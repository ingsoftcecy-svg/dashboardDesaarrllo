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pepej\Downloads\"/>
    </mc:Choice>
  </mc:AlternateContent>
  <xr:revisionPtr revIDLastSave="0" documentId="13_ncr:1_{8956E0B8-0306-489A-BF7E-3C0D983DB278}" xr6:coauthVersionLast="47" xr6:coauthVersionMax="47" xr10:uidLastSave="{00000000-0000-0000-0000-000000000000}"/>
  <bookViews>
    <workbookView xWindow="-28920" yWindow="-120" windowWidth="29040" windowHeight="15720" firstSheet="9" activeTab="9" xr2:uid="{FACC4DDF-8FBB-411E-850B-181C97455D87}"/>
  </bookViews>
  <sheets>
    <sheet name="Sheet1" sheetId="4" state="hidden" r:id="rId1"/>
    <sheet name="ZACATECAS" sheetId="1" state="hidden" r:id="rId2"/>
    <sheet name="Hoja1" sheetId="10" state="hidden" r:id="rId3"/>
    <sheet name="Anexar1" sheetId="9" state="hidden" r:id="rId4"/>
    <sheet name="Líderes" sheetId="3" state="hidden" r:id="rId5"/>
    <sheet name="Lideres" sheetId="8" state="hidden" r:id="rId6"/>
    <sheet name="Integrantes" sheetId="7" state="hidden" r:id="rId7"/>
    <sheet name="ZACATECAS (2)" sheetId="6" state="hidden" r:id="rId8"/>
    <sheet name="ZAC-BD" sheetId="11" state="hidden" r:id="rId9"/>
    <sheet name="BD_ZAC_OFICIAL" sheetId="12" r:id="rId10"/>
    <sheet name="Hoja3" sheetId="14" r:id="rId11"/>
    <sheet name="Hoja2" sheetId="13" state="hidden" r:id="rId12"/>
  </sheets>
  <externalReferences>
    <externalReference r:id="rId13"/>
    <externalReference r:id="rId14"/>
    <externalReference r:id="rId15"/>
  </externalReferences>
  <definedNames>
    <definedName name="_xlnm._FilterDatabase" localSheetId="9" hidden="1">BD_ZAC_OFICIAL!$A$1:$H$1224</definedName>
    <definedName name="_xlnm._FilterDatabase" localSheetId="4" hidden="1">Líderes!$B$2:$B$116</definedName>
    <definedName name="_xlnm._FilterDatabase" localSheetId="1" hidden="1">ZACATECAS!$F$862:$F$862</definedName>
    <definedName name="_xlnm._FilterDatabase" localSheetId="7" hidden="1">'ZACATECAS (2)'!$F$1051:$F$1051</definedName>
    <definedName name="_xlnm._FilterDatabase" localSheetId="8" hidden="1">'ZAC-BD'!$A$1:$I$1169</definedName>
    <definedName name="a" hidden="1">{#N/A,#N/A,FALSE,"ROTINA";#N/A,#N/A,FALSE,"ITENS";#N/A,#N/A,FALSE,"ACOMP"}</definedName>
    <definedName name="Ata" hidden="1">{#N/A,#N/A,FALSE,"ROTINA";#N/A,#N/A,FALSE,"ITENS";#N/A,#N/A,FALSE,"ACOMP"}</definedName>
    <definedName name="Crystal_1_1_WEBI_DataGrid" hidden="1">#REF!</definedName>
    <definedName name="Crystal_1_1_WEBI_HHeading" hidden="1">#REF!</definedName>
    <definedName name="Crystal_1_1_WEBI_ReportCrossTab" hidden="1">#REF!</definedName>
    <definedName name="Crystal_1_1_WEBI_Space" hidden="1">#REF!</definedName>
    <definedName name="Crystal_1_1_WEBI_VHeading" hidden="1">#REF!</definedName>
    <definedName name="Crystal_10_1_WEBI_DataGrid" hidden="1">#REF!</definedName>
    <definedName name="Crystal_10_1_WEBI_HHeading" hidden="1">#REF!</definedName>
    <definedName name="Crystal_10_1_WEBI_ReportCrossTab" hidden="1">#REF!</definedName>
    <definedName name="Crystal_10_1_WEBI_Space" hidden="1">#REF!</definedName>
    <definedName name="Crystal_10_1_WEBI_VHeading" hidden="1">#REF!</definedName>
    <definedName name="Crystal_11_1_WEB_DataGrid2" hidden="1">#REF!</definedName>
    <definedName name="Crystal_11_1_WEBI_DataGrid" hidden="1">#REF!</definedName>
    <definedName name="Crystal_11_1_WEBI_HHeading" hidden="1">#REF!</definedName>
    <definedName name="Crystal_11_1_WEBI_ReportCrossTab" hidden="1">#REF!</definedName>
    <definedName name="Crystal_11_1_WEBI_Space" hidden="1">#REF!</definedName>
    <definedName name="Crystal_11_1_WEBI_VHeading" hidden="1">#REF!</definedName>
    <definedName name="Crystal_12_1_WEBI_DataGrid" hidden="1">#REF!</definedName>
    <definedName name="Crystal_12_1_WEBI_HHeading" hidden="1">#REF!</definedName>
    <definedName name="Crystal_12_1_WEBI_ReportCrossTab" hidden="1">#REF!</definedName>
    <definedName name="Crystal_12_1_WEBI_Space" hidden="1">#REF!</definedName>
    <definedName name="Crystal_12_1_WEBI_VHeading" hidden="1">#REF!</definedName>
    <definedName name="Crystal_13_1_WEBI_DataGrid" hidden="1">#REF!</definedName>
    <definedName name="Crystal_13_1_WEBI_HHeading" hidden="1">#REF!</definedName>
    <definedName name="Crystal_13_1_WEBI_ReportCrossTab" hidden="1">#REF!</definedName>
    <definedName name="Crystal_13_1_WEBI_Space" hidden="1">#REF!</definedName>
    <definedName name="Crystal_13_1_WEBI_VHeading" hidden="1">#REF!</definedName>
    <definedName name="Crystal_14_1_WEBI_DataGrid" hidden="1">#REF!</definedName>
    <definedName name="Crystal_14_1_WEBI_HHeading" hidden="1">#REF!</definedName>
    <definedName name="Crystal_14_1_WEBI_ReportCrossTab" hidden="1">#REF!</definedName>
    <definedName name="Crystal_14_1_WEBI_Space" hidden="1">#REF!</definedName>
    <definedName name="Crystal_14_1_WEBI_VHeading" hidden="1">#REF!</definedName>
    <definedName name="Crystal_15_1_WEBI_DataGrid" hidden="1">#REF!</definedName>
    <definedName name="Crystal_15_1_WEBI_HHeading" hidden="1">#REF!</definedName>
    <definedName name="Crystal_15_1_WEBI_ReportCrossTab" hidden="1">#REF!</definedName>
    <definedName name="Crystal_15_1_WEBI_Space" hidden="1">#REF!</definedName>
    <definedName name="Crystal_15_1_WEBI_VHeading" hidden="1">#REF!</definedName>
    <definedName name="Crystal_16_1_WEBI_DataGrid" hidden="1">#REF!</definedName>
    <definedName name="Crystal_16_1_WEBI_HHeading" hidden="1">#REF!</definedName>
    <definedName name="Crystal_16_1_WEBI_ReportCrossTab" hidden="1">#REF!</definedName>
    <definedName name="Crystal_16_1_WEBI_Space" hidden="1">#REF!</definedName>
    <definedName name="Crystal_16_1_WEBI_VHeading" hidden="1">#REF!</definedName>
    <definedName name="Crystal_17_1_WEBI_DataGrid" hidden="1">#REF!</definedName>
    <definedName name="Crystal_17_1_WEBI_Table" hidden="1">#REF!</definedName>
    <definedName name="Crystal_17_1_WEBI_VHeading" hidden="1">#REF!</definedName>
    <definedName name="Crystal_19_1_WEBI_DataGrid" hidden="1">#REF!</definedName>
    <definedName name="Crystal_19_1_WEBI_HHeading" hidden="1">#REF!</definedName>
    <definedName name="Crystal_19_1_WEBI_ReportCrossTab" hidden="1">#REF!</definedName>
    <definedName name="Crystal_19_1_WEBI_Space" hidden="1">#REF!</definedName>
    <definedName name="Crystal_19_1_WEBI_VHeading" hidden="1">#REF!</definedName>
    <definedName name="Crystal_2_1_WEBI_DataGrid" hidden="1">#REF!</definedName>
    <definedName name="Crystal_2_1_WEBI_HHeading" hidden="1">#REF!</definedName>
    <definedName name="Crystal_2_1_WEBI_ReportCrossTab" hidden="1">#REF!</definedName>
    <definedName name="Crystal_2_1_WEBI_Space" hidden="1">#REF!</definedName>
    <definedName name="Crystal_2_1_WEBI_VHeading" hidden="1">#REF!</definedName>
    <definedName name="Crystal_20_1_WEBI_DataGrid" hidden="1">#REF!</definedName>
    <definedName name="Crystal_20_1_WEBI_HHeading" hidden="1">#REF!</definedName>
    <definedName name="Crystal_20_1_WEBI_ReportCrossTab" hidden="1">#REF!</definedName>
    <definedName name="Crystal_20_1_WEBI_Space" hidden="1">#REF!</definedName>
    <definedName name="Crystal_20_1_WEBI_VHeading" hidden="1">#REF!</definedName>
    <definedName name="Crystal_21_1_WEBI_DataGrid" hidden="1">#REF!</definedName>
    <definedName name="Crystal_21_1_WEBI_HHeading" hidden="1">#REF!</definedName>
    <definedName name="Crystal_21_1_WEBI_ReportCrossTab" hidden="1">#REF!</definedName>
    <definedName name="Crystal_21_1_WEBI_Space" hidden="1">#REF!</definedName>
    <definedName name="Crystal_21_1_WEBI_VHeading" hidden="1">#REF!</definedName>
    <definedName name="Crystal_22_1_WEBI_DataGrid" hidden="1">#REF!</definedName>
    <definedName name="Crystal_22_1_WEBI_HHeading" hidden="1">#REF!</definedName>
    <definedName name="Crystal_22_1_WEBI_ReportCrossTab" hidden="1">#REF!</definedName>
    <definedName name="Crystal_22_1_WEBI_Space" hidden="1">#REF!</definedName>
    <definedName name="Crystal_22_1_WEBI_VHeading" hidden="1">#REF!</definedName>
    <definedName name="Crystal_23_1_WEBI_DataGrid" hidden="1">#REF!</definedName>
    <definedName name="Crystal_23_1_WEBI_HHeading" hidden="1">#REF!</definedName>
    <definedName name="Crystal_23_1_WEBI_ReportCrossTab" hidden="1">#REF!</definedName>
    <definedName name="Crystal_23_1_WEBI_Space" hidden="1">#REF!</definedName>
    <definedName name="Crystal_23_1_WEBI_VHeading" hidden="1">#REF!</definedName>
    <definedName name="Crystal_24_1_WEBI_DataGrid" hidden="1">#REF!</definedName>
    <definedName name="Crystal_24_1_WEBI_HHeading" hidden="1">#REF!</definedName>
    <definedName name="Crystal_24_1_WEBI_ReportCrossTab" hidden="1">#REF!</definedName>
    <definedName name="Crystal_24_1_WEBI_Space" hidden="1">#REF!</definedName>
    <definedName name="Crystal_24_1_WEBI_VHeading" hidden="1">#REF!</definedName>
    <definedName name="Crystal_25_1_WEBI_DataGrid" hidden="1">#REF!</definedName>
    <definedName name="Crystal_25_1_WEBI_HHeading" hidden="1">#REF!</definedName>
    <definedName name="Crystal_25_1_WEBI_ReportCrossTab" hidden="1">#REF!</definedName>
    <definedName name="Crystal_25_1_WEBI_Space" hidden="1">#REF!</definedName>
    <definedName name="Crystal_25_1_WEBI_VHeading" hidden="1">#REF!</definedName>
    <definedName name="Crystal_26_1_WEBI_DataGrid" hidden="1">#REF!</definedName>
    <definedName name="Crystal_26_1_WEBI_HHeading" hidden="1">#REF!</definedName>
    <definedName name="Crystal_26_1_WEBI_ReportCrossTab" hidden="1">#REF!</definedName>
    <definedName name="Crystal_26_1_WEBI_Space" hidden="1">#REF!</definedName>
    <definedName name="Crystal_26_1_WEBI_VHeading" hidden="1">#REF!</definedName>
    <definedName name="Crystal_27_1_WEBI_DataGrid" hidden="1">#REF!</definedName>
    <definedName name="Crystal_27_1_WEBI_HHeading" hidden="1">#REF!</definedName>
    <definedName name="Crystal_27_1_WEBI_ReportCrossTab" hidden="1">#REF!</definedName>
    <definedName name="Crystal_27_1_WEBI_Space" hidden="1">#REF!</definedName>
    <definedName name="Crystal_27_1_WEBI_VHeading" hidden="1">#REF!</definedName>
    <definedName name="Crystal_28_1_WEBI_DataGrid" hidden="1">#REF!</definedName>
    <definedName name="Crystal_28_1_WEBI_HHeading" hidden="1">#REF!</definedName>
    <definedName name="Crystal_28_1_WEBI_ReportCrossTab" hidden="1">#REF!</definedName>
    <definedName name="Crystal_28_1_WEBI_Space" hidden="1">#REF!</definedName>
    <definedName name="Crystal_28_1_WEBI_VHeading" hidden="1">#REF!</definedName>
    <definedName name="Crystal_29_1_WEBI_DataGrid" hidden="1">#REF!</definedName>
    <definedName name="Crystal_29_1_WEBI_HHeading" hidden="1">#REF!</definedName>
    <definedName name="Crystal_29_1_WEBI_ReportCrossTab" hidden="1">#REF!</definedName>
    <definedName name="Crystal_29_1_WEBI_Space" hidden="1">#REF!</definedName>
    <definedName name="Crystal_29_1_WEBI_VHeading" hidden="1">#REF!</definedName>
    <definedName name="Crystal_30_1_WEBI_DataGrid" hidden="1">#REF!</definedName>
    <definedName name="Crystal_30_1_WEBI_HHeading" hidden="1">#REF!</definedName>
    <definedName name="Crystal_30_1_WEBI_ReportCrossTab" hidden="1">#REF!</definedName>
    <definedName name="Crystal_30_1_WEBI_Space" hidden="1">#REF!</definedName>
    <definedName name="Crystal_30_1_WEBI_Table" hidden="1">#REF!</definedName>
    <definedName name="Crystal_30_1_WEBI_VHeading" hidden="1">#REF!</definedName>
    <definedName name="Crystal_31_1_WEBI_DataGrid" hidden="1">#REF!</definedName>
    <definedName name="Crystal_31_1_WEBI_HHeading" hidden="1">#REF!</definedName>
    <definedName name="Crystal_31_1_WEBI_ReportCrossTab" hidden="1">#REF!</definedName>
    <definedName name="Crystal_31_1_WEBI_Space" hidden="1">#REF!</definedName>
    <definedName name="Crystal_31_1_WEBI_VHeading" hidden="1">#REF!</definedName>
    <definedName name="Crystal_32_1_WEBI_DataGrid" hidden="1">#REF!</definedName>
    <definedName name="Crystal_32_1_WEBI_HHeading" hidden="1">#REF!</definedName>
    <definedName name="Crystal_32_1_WEBI_ReportCrossTab" hidden="1">#REF!</definedName>
    <definedName name="Crystal_32_1_WEBI_Space" hidden="1">#REF!</definedName>
    <definedName name="Crystal_32_1_WEBI_Table" hidden="1">#REF!</definedName>
    <definedName name="Crystal_32_1_WEBI_VHeading" hidden="1">#REF!</definedName>
    <definedName name="Crystal_33_1_WEBI_DataGrid" hidden="1">#REF!</definedName>
    <definedName name="Crystal_33_1_WEBI_HHeading" hidden="1">#REF!</definedName>
    <definedName name="Crystal_33_1_WEBI_Table" hidden="1">#REF!</definedName>
    <definedName name="Crystal_34_1_WEBI_DataGrid" hidden="1">#REF!</definedName>
    <definedName name="Crystal_34_1_WEBI_HHeading" hidden="1">#REF!</definedName>
    <definedName name="Crystal_34_1_WEBI_ReportCrossTab" hidden="1">#REF!</definedName>
    <definedName name="Crystal_34_1_WEBI_Space" hidden="1">#REF!</definedName>
    <definedName name="Crystal_34_1_WEBI_VHeading" hidden="1">#REF!</definedName>
    <definedName name="Crystal_35_1_WEBI_DataGrid" hidden="1">#REF!</definedName>
    <definedName name="Crystal_35_1_WEBI_HHeading" hidden="1">#REF!</definedName>
    <definedName name="Crystal_35_1_WEBI_ReportCrossTab" hidden="1">#REF!</definedName>
    <definedName name="Crystal_35_1_WEBI_Space" hidden="1">#REF!</definedName>
    <definedName name="Crystal_35_1_WEBI_VHeading" hidden="1">#REF!</definedName>
    <definedName name="Crystal_5_1_WEBI_DataGrid" hidden="1">#REF!</definedName>
    <definedName name="Crystal_5_1_WEBI_HHeading" hidden="1">#REF!</definedName>
    <definedName name="Crystal_5_1_WEBI_ReportCrossTab" hidden="1">#REF!</definedName>
    <definedName name="Crystal_5_1_WEBI_Space" hidden="1">#REF!</definedName>
    <definedName name="Crystal_5_1_WEBI_VHeading" hidden="1">#REF!</definedName>
    <definedName name="Crystal_6_1_WEBI_DataGrid" hidden="1">#REF!</definedName>
    <definedName name="Crystal_6_1_WEBI_HHeading" hidden="1">#REF!</definedName>
    <definedName name="Crystal_6_1_WEBI_ReportCrossTab" hidden="1">#REF!</definedName>
    <definedName name="Crystal_6_1_WEBI_Space" hidden="1">#REF!</definedName>
    <definedName name="Crystal_6_1_WEBI_VHeading" hidden="1">#REF!</definedName>
    <definedName name="Crystal_7_1_WEBI_DataGrid" hidden="1">#REF!</definedName>
    <definedName name="Crystal_7_1_WEBI_HHeading" hidden="1">#REF!</definedName>
    <definedName name="Crystal_7_1_WEBI_ReportCrossTab" hidden="1">#REF!</definedName>
    <definedName name="Crystal_7_1_WEBI_Space" hidden="1">#REF!</definedName>
    <definedName name="Crystal_7_1_WEBI_VHeading" hidden="1">#REF!</definedName>
    <definedName name="Crystal_8_1_WEBI_DataGrid" hidden="1">#REF!</definedName>
    <definedName name="Crystal_8_1_WEBI_HHeading" hidden="1">#REF!</definedName>
    <definedName name="Crystal_8_1_WEBI_ReportCrossTab" hidden="1">#REF!</definedName>
    <definedName name="Crystal_8_1_WEBI_Space" hidden="1">#REF!</definedName>
    <definedName name="Crystal_8_1_WEBI_VHeading" hidden="1">#REF!</definedName>
    <definedName name="Crystal_9_1_WEBI_DataGrid" hidden="1">#REF!</definedName>
    <definedName name="Crystal_9_1_WEBI_HHeading" hidden="1">#REF!</definedName>
    <definedName name="Crystal_9_1_WEBI_ReportCrossTab" hidden="1">#REF!</definedName>
    <definedName name="Crystal_9_1_WEBI_Space" hidden="1">#REF!</definedName>
    <definedName name="Crystal_9_1_WEBI_VHeading" hidden="1">#REF!</definedName>
    <definedName name="DatosExternos_1" localSheetId="6" hidden="1">Integrantes!$A$1:$D$1091</definedName>
    <definedName name="DatosExternos_2" localSheetId="5" hidden="1">Lideres!$A$1:$D$126</definedName>
    <definedName name="DatosExternos_3" localSheetId="3" hidden="1">Anexar1!$A$1:$D$1216</definedName>
    <definedName name="esdr" hidden="1">{#N/A,#N/A,FALSE,"ROTINA";#N/A,#N/A,FALSE,"ITENS";#N/A,#N/A,FALSE,"ACOMP"}</definedName>
    <definedName name="EV__LASTREFTIME__" hidden="1">41654.450150463</definedName>
    <definedName name="EV_LASTREFTIME_2" hidden="1">41703.4900231482</definedName>
    <definedName name="grl" hidden="1">{#N/A,#N/A,FALSE,"ROTINA";#N/A,#N/A,FALSE,"ITENS";#N/A,#N/A,FALSE,"ACOMP"}</definedName>
    <definedName name="hhjhjtrh" hidden="1">#REF!</definedName>
    <definedName name="List1">#REF!</definedName>
    <definedName name="List10">#REF!</definedName>
    <definedName name="List11">#REF!</definedName>
    <definedName name="List12">#REF!</definedName>
    <definedName name="List13">#REF!</definedName>
    <definedName name="List14">#REF!</definedName>
    <definedName name="List15">#REF!</definedName>
    <definedName name="List16">#REF!</definedName>
    <definedName name="List17">#REF!</definedName>
    <definedName name="List18">#REF!</definedName>
    <definedName name="List19">#REF!</definedName>
    <definedName name="List2">#REF!</definedName>
    <definedName name="List20">#REF!</definedName>
    <definedName name="List21">#REF!</definedName>
    <definedName name="List3">#REF!</definedName>
    <definedName name="List3b">#REF!</definedName>
    <definedName name="List4">#REF!</definedName>
    <definedName name="List5">#REF!</definedName>
    <definedName name="List7">#REF!</definedName>
    <definedName name="List8">#REF!</definedName>
    <definedName name="List9">#REF!</definedName>
    <definedName name="n" hidden="1">#REF!</definedName>
    <definedName name="OBZ" hidden="1">{#N/A,#N/A,FALSE,"ROTINA";#N/A,#N/A,FALSE,"ITENS";#N/A,#N/A,FALSE,"ACOMP"}</definedName>
    <definedName name="Plantas">[1]BACK!$J$3:$J$7</definedName>
    <definedName name="Projetos" hidden="1">{#N/A,#N/A,FALSE,"ROTINA";#N/A,#N/A,FALSE,"ITENS";#N/A,#N/A,FALSE,"ACOMP"}</definedName>
    <definedName name="PRP" hidden="1">#REF!</definedName>
    <definedName name="Slicer_DPTO">#N/A</definedName>
    <definedName name="SWOT" hidden="1">{#N/A,#N/A,FALSE,"ROTINA";#N/A,#N/A,FALSE,"ITENS";#N/A,#N/A,FALSE,"ACOMP"}</definedName>
    <definedName name="table1">#REF!</definedName>
    <definedName name="Table2">'[2]C2018 PROD Volumes Planned'!$B$2:$S$311</definedName>
    <definedName name="test" hidden="1">{#N/A,#N/A,FALSE,"ROTINA";#N/A,#N/A,FALSE,"ITENS";#N/A,#N/A,FALSE,"ACOMP"}</definedName>
    <definedName name="teste" hidden="1">{#N/A,#N/A,FALSE,"ROTINA";#N/A,#N/A,FALSE,"ITENS";#N/A,#N/A,FALSE,"ACOMP"}</definedName>
    <definedName name="testes" hidden="1">{#N/A,#N/A,FALSE,"ROTINA";#N/A,#N/A,FALSE,"ITENS";#N/A,#N/A,FALSE,"ACOMP"}</definedName>
    <definedName name="wrn.DIRETRIZ." hidden="1">{#N/A,#N/A,FALSE,"ROTINA";#N/A,#N/A,FALSE,"ITENS";#N/A,#N/A,FALSE,"ACOMP"}</definedName>
    <definedName name="x" hidden="1">{#N/A,#N/A,FALSE,"ROTINA";#N/A,#N/A,FALSE,"ITENS";#N/A,#N/A,FALSE,"ACOMP"}</definedName>
    <definedName name="y" hidden="1">{#N/A,#N/A,FALSE,"ROTINA";#N/A,#N/A,FALSE,"ITENS";#N/A,#N/A,FALSE,"ACOMP"}</definedName>
    <definedName name="z" hidden="1">{#N/A,#N/A,FALSE,"ROTINA";#N/A,#N/A,FALSE,"ITENS";#N/A,#N/A,FALSE,"ACOMP"}</definedName>
    <definedName name="Z_" hidden="1">#REF!</definedName>
    <definedName name="Z_BDB4B167_E3AA_11D7_8D7A_00B0D08F20DC_.wvu.PrintArea" hidden="1">#REF!</definedName>
  </definedNames>
  <calcPr calcId="191028"/>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6" i="12" l="1"/>
  <c r="F114" i="12"/>
  <c r="F112" i="12"/>
  <c r="F300" i="12"/>
  <c r="F113" i="12"/>
  <c r="D116" i="12"/>
  <c r="D114" i="12"/>
  <c r="D112" i="12"/>
  <c r="D300" i="12"/>
  <c r="D113" i="12"/>
  <c r="B116" i="12"/>
  <c r="B114" i="12"/>
  <c r="B112" i="12"/>
  <c r="B300" i="12"/>
  <c r="B113" i="12"/>
  <c r="I11" i="11" l="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9" i="11"/>
  <c r="I10" i="11"/>
  <c r="I3" i="11"/>
  <c r="I4" i="11"/>
  <c r="I5" i="11"/>
  <c r="I6" i="11"/>
  <c r="I7" i="11"/>
  <c r="I8" i="11"/>
  <c r="I2" i="11"/>
  <c r="E2" i="11"/>
  <c r="E18" i="11"/>
  <c r="E19" i="11"/>
  <c r="E20" i="11"/>
  <c r="E21" i="11"/>
  <c r="E22" i="11"/>
  <c r="E23" i="11"/>
  <c r="E24" i="11"/>
  <c r="E25" i="11"/>
  <c r="E26" i="11"/>
  <c r="E35" i="11"/>
  <c r="E42" i="11"/>
  <c r="E58" i="11"/>
  <c r="E64" i="11"/>
  <c r="E84" i="11"/>
  <c r="E86" i="11"/>
  <c r="E87" i="11"/>
  <c r="E90" i="11"/>
  <c r="E95" i="11"/>
  <c r="E108" i="11"/>
  <c r="E112" i="11"/>
  <c r="E114" i="11"/>
  <c r="E121" i="11"/>
  <c r="E126" i="11"/>
  <c r="E129" i="11"/>
  <c r="E131" i="11"/>
  <c r="E132" i="11"/>
  <c r="E137" i="11"/>
  <c r="E148" i="11"/>
  <c r="E153" i="11"/>
  <c r="E161" i="11"/>
  <c r="E162" i="11"/>
  <c r="E163" i="11"/>
  <c r="E164" i="11"/>
  <c r="E165" i="11"/>
  <c r="E166" i="11"/>
  <c r="E167" i="11"/>
  <c r="E168" i="11"/>
  <c r="E169" i="11"/>
  <c r="E170" i="11"/>
  <c r="E186" i="11"/>
  <c r="E198" i="11"/>
  <c r="E199" i="11"/>
  <c r="E200" i="11"/>
  <c r="E201" i="11"/>
  <c r="E202" i="11"/>
  <c r="E203" i="11"/>
  <c r="E204" i="11"/>
  <c r="E205" i="11"/>
  <c r="E206" i="11"/>
  <c r="E207" i="11"/>
  <c r="E223" i="11"/>
  <c r="E235" i="11"/>
  <c r="E236" i="11"/>
  <c r="E237" i="11"/>
  <c r="E238" i="11"/>
  <c r="E239" i="11"/>
  <c r="E240" i="11"/>
  <c r="E241" i="11"/>
  <c r="E242" i="11"/>
  <c r="E243" i="11"/>
  <c r="E244" i="11"/>
  <c r="E245" i="11"/>
  <c r="E246" i="11"/>
  <c r="E247" i="11"/>
  <c r="E253" i="11"/>
  <c r="E260" i="11"/>
  <c r="E264" i="11"/>
  <c r="E265" i="11"/>
  <c r="E269" i="11"/>
  <c r="E277" i="11"/>
  <c r="E278" i="11"/>
  <c r="E279" i="11"/>
  <c r="E280" i="11"/>
  <c r="E281" i="11"/>
  <c r="E282" i="11"/>
  <c r="E283" i="11"/>
  <c r="E284" i="11"/>
  <c r="E285" i="11"/>
  <c r="E286" i="11"/>
  <c r="E287" i="11"/>
  <c r="E288" i="11"/>
  <c r="E289" i="11"/>
  <c r="E290" i="11"/>
  <c r="E291" i="11"/>
  <c r="E292" i="11"/>
  <c r="E293" i="11"/>
  <c r="E309" i="11"/>
  <c r="E314" i="11"/>
  <c r="E325" i="11"/>
  <c r="E331" i="11"/>
  <c r="E347" i="11"/>
  <c r="E357" i="11"/>
  <c r="E369" i="11"/>
  <c r="E386" i="11"/>
  <c r="E391" i="11"/>
  <c r="E407" i="11"/>
  <c r="E413" i="11"/>
  <c r="E423" i="11"/>
  <c r="E433" i="11"/>
  <c r="E435" i="11"/>
  <c r="E436" i="11"/>
  <c r="E437" i="11"/>
  <c r="E438" i="11"/>
  <c r="E439" i="11"/>
  <c r="E440" i="11"/>
  <c r="E441" i="11"/>
  <c r="E442" i="11"/>
  <c r="E443" i="11"/>
  <c r="E444" i="11"/>
  <c r="E445" i="11"/>
  <c r="E451" i="11"/>
  <c r="E459" i="11"/>
  <c r="E466" i="11"/>
  <c r="E467" i="11"/>
  <c r="E468" i="11"/>
  <c r="E469" i="11"/>
  <c r="E472" i="11"/>
  <c r="E482" i="11"/>
  <c r="E484" i="11"/>
  <c r="E493" i="11"/>
  <c r="E499" i="11"/>
  <c r="E506" i="11"/>
  <c r="E513" i="11"/>
  <c r="E515" i="11"/>
  <c r="E516" i="11"/>
  <c r="E524" i="11"/>
  <c r="E528" i="11"/>
  <c r="E534" i="11"/>
  <c r="E537" i="11"/>
  <c r="E541" i="11"/>
  <c r="E548" i="11"/>
  <c r="E555" i="11"/>
  <c r="E567" i="11"/>
  <c r="E573" i="11"/>
  <c r="E578" i="11"/>
  <c r="E583" i="11"/>
  <c r="E591" i="11"/>
  <c r="E596" i="11"/>
  <c r="E607" i="11"/>
  <c r="E624" i="11"/>
  <c r="E628" i="11"/>
  <c r="E634" i="11"/>
  <c r="E637" i="11"/>
  <c r="E639" i="11"/>
  <c r="E651" i="11"/>
  <c r="E652" i="11"/>
  <c r="E653" i="11"/>
  <c r="E661" i="11"/>
  <c r="E662" i="11"/>
  <c r="E679" i="11"/>
  <c r="E691" i="11"/>
  <c r="E692" i="11"/>
  <c r="E693" i="11"/>
  <c r="E708" i="11"/>
  <c r="E718" i="11"/>
  <c r="E730" i="11"/>
  <c r="E738" i="11"/>
  <c r="E746" i="11"/>
  <c r="E747" i="11"/>
  <c r="E760" i="11"/>
  <c r="E768" i="11"/>
  <c r="E773" i="11"/>
  <c r="E777" i="11"/>
  <c r="E784" i="11"/>
  <c r="E795" i="11"/>
  <c r="E801" i="11"/>
  <c r="E806" i="11"/>
  <c r="E812" i="11"/>
  <c r="E826" i="11"/>
  <c r="E842" i="11"/>
  <c r="E843" i="11"/>
  <c r="E844" i="11"/>
  <c r="E845" i="11"/>
  <c r="E846" i="11"/>
  <c r="E847" i="11"/>
  <c r="E848" i="11"/>
  <c r="E849" i="11"/>
  <c r="E850" i="11"/>
  <c r="E863" i="11"/>
  <c r="E869" i="11"/>
  <c r="E870" i="11"/>
  <c r="E880" i="11"/>
  <c r="E890" i="11"/>
  <c r="E891" i="11"/>
  <c r="E892" i="11"/>
  <c r="E897" i="11"/>
  <c r="E903" i="11"/>
  <c r="E919" i="11"/>
  <c r="E931" i="11"/>
  <c r="E932" i="11"/>
  <c r="E933" i="11"/>
  <c r="E934" i="11"/>
  <c r="E935" i="11"/>
  <c r="E936" i="11"/>
  <c r="E937" i="11"/>
  <c r="E938" i="11"/>
  <c r="E939" i="11"/>
  <c r="E940" i="11"/>
  <c r="E941" i="11"/>
  <c r="E942" i="11"/>
  <c r="E943" i="11"/>
  <c r="E944" i="11"/>
  <c r="E945" i="11"/>
  <c r="E952" i="11"/>
  <c r="E962" i="11"/>
  <c r="E981"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21" i="11"/>
  <c r="E1026" i="11"/>
  <c r="E1039" i="11"/>
  <c r="E1046" i="11"/>
  <c r="E1047" i="11"/>
  <c r="E1048" i="11"/>
  <c r="E1049" i="11"/>
  <c r="E1050" i="11"/>
  <c r="E1051" i="11"/>
  <c r="E1052" i="11"/>
  <c r="E1053" i="11"/>
  <c r="E1054" i="11"/>
  <c r="E1061" i="11"/>
  <c r="E1062" i="11"/>
  <c r="E1063" i="11"/>
  <c r="E1064" i="11"/>
  <c r="E1065" i="11"/>
  <c r="E1066" i="11"/>
  <c r="E1067" i="11"/>
  <c r="E1081" i="11"/>
  <c r="E1090" i="11"/>
  <c r="E1097" i="11"/>
  <c r="E1109" i="11"/>
  <c r="E1110" i="11"/>
  <c r="E1111" i="11"/>
  <c r="E1112" i="11"/>
  <c r="E1113" i="11"/>
  <c r="E1114" i="11"/>
  <c r="E1115" i="11"/>
  <c r="E1116" i="11"/>
  <c r="E1117" i="11"/>
  <c r="E1118" i="11"/>
  <c r="E1119" i="11"/>
  <c r="E1120" i="11"/>
  <c r="E1121" i="11"/>
  <c r="E1122" i="11"/>
  <c r="E1128" i="11"/>
  <c r="E1129" i="11"/>
  <c r="E1130" i="11"/>
  <c r="E1131" i="11"/>
  <c r="E1132" i="11"/>
  <c r="E1133" i="11"/>
  <c r="E1134" i="11"/>
  <c r="E1135" i="11"/>
  <c r="E1136" i="11"/>
  <c r="E1137" i="11"/>
  <c r="E1138" i="11"/>
  <c r="E1139" i="11"/>
  <c r="E1140" i="11"/>
  <c r="E1141" i="11"/>
  <c r="E1142" i="11"/>
  <c r="E1143" i="11"/>
  <c r="E1144" i="11"/>
  <c r="E1162" i="11"/>
  <c r="E3" i="11"/>
  <c r="E4" i="11"/>
  <c r="E5" i="11"/>
  <c r="E6" i="11"/>
  <c r="E7" i="11"/>
  <c r="E8" i="11"/>
  <c r="E9" i="11"/>
  <c r="I175" i="1"/>
  <c r="E14" i="11" s="1"/>
  <c r="I761" i="1"/>
  <c r="I762" i="1"/>
  <c r="E271" i="11" s="1"/>
  <c r="I56" i="1"/>
  <c r="E905" i="11" s="1"/>
  <c r="I55" i="1"/>
  <c r="E904" i="11" s="1"/>
  <c r="I120" i="1"/>
  <c r="I98" i="1"/>
  <c r="I105" i="1"/>
  <c r="I99" i="1" l="1"/>
  <c r="I535" i="1"/>
  <c r="E757" i="11" s="1"/>
  <c r="I138" i="1"/>
  <c r="E115" i="11" s="1"/>
  <c r="I139" i="1"/>
  <c r="E116" i="11" s="1"/>
  <c r="I140" i="1"/>
  <c r="E117" i="11" s="1"/>
  <c r="I141" i="1"/>
  <c r="E118" i="11" s="1"/>
  <c r="I142" i="1"/>
  <c r="E119" i="11" s="1"/>
  <c r="I143" i="1"/>
  <c r="E120" i="11" s="1"/>
  <c r="I144" i="1"/>
  <c r="E248" i="11" s="1"/>
  <c r="I145" i="1"/>
  <c r="E249" i="11" s="1"/>
  <c r="I146" i="1"/>
  <c r="E250" i="11" s="1"/>
  <c r="I147" i="1"/>
  <c r="E251" i="11" s="1"/>
  <c r="I148" i="1"/>
  <c r="E252" i="11" s="1"/>
  <c r="I149" i="1"/>
  <c r="E864" i="11" s="1"/>
  <c r="I150" i="1"/>
  <c r="E865" i="11" s="1"/>
  <c r="I151" i="1"/>
  <c r="E866" i="11" s="1"/>
  <c r="I152" i="1"/>
  <c r="E867" i="11" s="1"/>
  <c r="I153" i="1"/>
  <c r="E868" i="11" s="1"/>
  <c r="I155" i="1"/>
  <c r="E36" i="11" s="1"/>
  <c r="I156" i="1"/>
  <c r="E37" i="11" s="1"/>
  <c r="I157" i="1"/>
  <c r="E38" i="11" s="1"/>
  <c r="I158" i="1"/>
  <c r="E39" i="11" s="1"/>
  <c r="I159" i="1"/>
  <c r="E40" i="11" s="1"/>
  <c r="I160" i="1"/>
  <c r="E41" i="11" s="1"/>
  <c r="I161" i="1"/>
  <c r="E85" i="11" s="1"/>
  <c r="I164" i="1"/>
  <c r="E88" i="11" s="1"/>
  <c r="I165" i="1"/>
  <c r="E89" i="11" s="1"/>
  <c r="I166" i="1"/>
  <c r="E408" i="11" s="1"/>
  <c r="I167" i="1"/>
  <c r="E409" i="11" s="1"/>
  <c r="I168" i="1"/>
  <c r="E410" i="11" s="1"/>
  <c r="I169" i="1"/>
  <c r="E411" i="11" s="1"/>
  <c r="I170" i="1"/>
  <c r="E412" i="11" s="1"/>
  <c r="I171" i="1"/>
  <c r="E10" i="11" s="1"/>
  <c r="I172" i="1"/>
  <c r="E11" i="11" s="1"/>
  <c r="I173" i="1"/>
  <c r="E12" i="11" s="1"/>
  <c r="I174" i="1"/>
  <c r="E13" i="11" s="1"/>
  <c r="I176" i="1"/>
  <c r="E15" i="11" s="1"/>
  <c r="I177" i="1"/>
  <c r="E16" i="11" s="1"/>
  <c r="I916" i="1"/>
  <c r="E59" i="11" s="1"/>
  <c r="I917" i="1"/>
  <c r="E60" i="11" s="1"/>
  <c r="I928" i="1"/>
  <c r="E654" i="11" s="1"/>
  <c r="I918" i="1"/>
  <c r="E61" i="11" s="1"/>
  <c r="I919" i="1"/>
  <c r="E62" i="11" s="1"/>
  <c r="I920" i="1"/>
  <c r="E63" i="11" s="1"/>
  <c r="I76" i="1"/>
  <c r="E65" i="11" s="1"/>
  <c r="I77" i="1"/>
  <c r="E66" i="11" s="1"/>
  <c r="I78" i="1"/>
  <c r="E67" i="11" s="1"/>
  <c r="I79" i="1"/>
  <c r="E68" i="11" s="1"/>
  <c r="I80" i="1"/>
  <c r="E69" i="11" s="1"/>
  <c r="I81" i="1"/>
  <c r="E70" i="11" s="1"/>
  <c r="I82" i="1"/>
  <c r="E71" i="11" s="1"/>
  <c r="I83" i="1"/>
  <c r="E72" i="11" s="1"/>
  <c r="I84" i="1"/>
  <c r="E73" i="11" s="1"/>
  <c r="I85" i="1"/>
  <c r="E74" i="11" s="1"/>
  <c r="I86" i="1"/>
  <c r="E75" i="11" s="1"/>
  <c r="I87" i="1"/>
  <c r="E76" i="11" s="1"/>
  <c r="I88" i="1"/>
  <c r="E77" i="11" s="1"/>
  <c r="I89" i="1"/>
  <c r="E78" i="11" s="1"/>
  <c r="I90" i="1"/>
  <c r="E79" i="11" s="1"/>
  <c r="I91" i="1"/>
  <c r="E80" i="11" s="1"/>
  <c r="I92" i="1"/>
  <c r="E81" i="11" s="1"/>
  <c r="I93" i="1"/>
  <c r="E82" i="11" s="1"/>
  <c r="I94" i="1"/>
  <c r="E83" i="11" s="1"/>
  <c r="I178" i="1"/>
  <c r="E17" i="11" s="1"/>
  <c r="I179" i="1"/>
  <c r="E27" i="11" s="1"/>
  <c r="I180" i="1"/>
  <c r="E28" i="11" s="1"/>
  <c r="I181" i="1"/>
  <c r="E29" i="11" s="1"/>
  <c r="I892" i="1"/>
  <c r="E91" i="11" s="1"/>
  <c r="I893" i="1"/>
  <c r="E92" i="11" s="1"/>
  <c r="I894" i="1"/>
  <c r="E93" i="11" s="1"/>
  <c r="I895" i="1"/>
  <c r="E94" i="11" s="1"/>
  <c r="I182" i="1"/>
  <c r="E30" i="11" s="1"/>
  <c r="I183" i="1"/>
  <c r="E31" i="11" s="1"/>
  <c r="I184" i="1"/>
  <c r="E32" i="11" s="1"/>
  <c r="I185" i="1"/>
  <c r="E33" i="11" s="1"/>
  <c r="I186" i="1"/>
  <c r="E34" i="11" s="1"/>
  <c r="I187" i="1"/>
  <c r="E485" i="11" s="1"/>
  <c r="I188" i="1"/>
  <c r="E486" i="11" s="1"/>
  <c r="I189" i="1"/>
  <c r="E487" i="11" s="1"/>
  <c r="I190" i="1"/>
  <c r="E488" i="11" s="1"/>
  <c r="I191" i="1"/>
  <c r="E489" i="11" s="1"/>
  <c r="I192" i="1"/>
  <c r="E490" i="11" s="1"/>
  <c r="I193" i="1"/>
  <c r="E491" i="11" s="1"/>
  <c r="I194" i="1"/>
  <c r="E492" i="11" s="1"/>
  <c r="I200" i="1"/>
  <c r="I207" i="1"/>
  <c r="I238" i="1"/>
  <c r="I203" i="1"/>
  <c r="E111" i="11" s="1"/>
  <c r="I210" i="1"/>
  <c r="I204" i="1"/>
  <c r="I196" i="1"/>
  <c r="I201" i="1"/>
  <c r="I208" i="1"/>
  <c r="I211" i="1"/>
  <c r="I198" i="1"/>
  <c r="I199" i="1"/>
  <c r="E110" i="11" s="1"/>
  <c r="I209" i="1"/>
  <c r="I206" i="1"/>
  <c r="E113" i="11" s="1"/>
  <c r="I202" i="1"/>
  <c r="I197" i="1"/>
  <c r="I225" i="1"/>
  <c r="E345" i="11" s="1"/>
  <c r="I195" i="1"/>
  <c r="E109" i="11" s="1"/>
  <c r="I212" i="1"/>
  <c r="E332" i="11" s="1"/>
  <c r="I214" i="1"/>
  <c r="E334" i="11" s="1"/>
  <c r="I218" i="1"/>
  <c r="E338" i="11" s="1"/>
  <c r="I217" i="1"/>
  <c r="E337" i="11" s="1"/>
  <c r="I220" i="1"/>
  <c r="E340" i="11" s="1"/>
  <c r="I213" i="1"/>
  <c r="E333" i="11" s="1"/>
  <c r="I226" i="1"/>
  <c r="E346" i="11" s="1"/>
  <c r="I219" i="1"/>
  <c r="E339" i="11" s="1"/>
  <c r="I215" i="1"/>
  <c r="E335" i="11" s="1"/>
  <c r="I224" i="1"/>
  <c r="E344" i="11" s="1"/>
  <c r="I216" i="1"/>
  <c r="E336" i="11" s="1"/>
  <c r="I222" i="1"/>
  <c r="E342" i="11" s="1"/>
  <c r="I221" i="1"/>
  <c r="E341" i="11" s="1"/>
  <c r="I223" i="1"/>
  <c r="E343" i="11" s="1"/>
  <c r="I229" i="1"/>
  <c r="E394" i="11" s="1"/>
  <c r="I234" i="1"/>
  <c r="E399" i="11" s="1"/>
  <c r="I228" i="1"/>
  <c r="E393" i="11" s="1"/>
  <c r="I237" i="1"/>
  <c r="E402" i="11" s="1"/>
  <c r="I227" i="1"/>
  <c r="E392" i="11" s="1"/>
  <c r="I241" i="1"/>
  <c r="E405" i="11" s="1"/>
  <c r="I233" i="1"/>
  <c r="E398" i="11" s="1"/>
  <c r="I232" i="1"/>
  <c r="E397" i="11" s="1"/>
  <c r="I95" i="1"/>
  <c r="E149" i="11" s="1"/>
  <c r="I96" i="1"/>
  <c r="E150" i="11" s="1"/>
  <c r="I97" i="1"/>
  <c r="E151" i="11" s="1"/>
  <c r="I100" i="1"/>
  <c r="E152" i="11" s="1"/>
  <c r="I921" i="1"/>
  <c r="E154" i="11" s="1"/>
  <c r="I922" i="1"/>
  <c r="E155" i="11" s="1"/>
  <c r="I923" i="1"/>
  <c r="E156" i="11" s="1"/>
  <c r="I924" i="1"/>
  <c r="E157" i="11" s="1"/>
  <c r="I925" i="1"/>
  <c r="E158" i="11" s="1"/>
  <c r="I926" i="1"/>
  <c r="E159" i="11" s="1"/>
  <c r="I927" i="1"/>
  <c r="E160" i="11" s="1"/>
  <c r="I235" i="1"/>
  <c r="E400" i="11" s="1"/>
  <c r="I230" i="1"/>
  <c r="E395" i="11" s="1"/>
  <c r="I231" i="1"/>
  <c r="E396" i="11" s="1"/>
  <c r="I242" i="1"/>
  <c r="E406" i="11" s="1"/>
  <c r="I239" i="1"/>
  <c r="E403" i="11" s="1"/>
  <c r="I240" i="1"/>
  <c r="E404" i="11" s="1"/>
  <c r="I236" i="1"/>
  <c r="E401" i="11" s="1"/>
  <c r="I257" i="1"/>
  <c r="E136" i="11" s="1"/>
  <c r="I246" i="1"/>
  <c r="E125" i="11" s="1"/>
  <c r="I256" i="1"/>
  <c r="E135" i="11" s="1"/>
  <c r="I245" i="1"/>
  <c r="E124" i="11" s="1"/>
  <c r="I255" i="1"/>
  <c r="E134" i="11" s="1"/>
  <c r="I248" i="1"/>
  <c r="E127" i="11" s="1"/>
  <c r="I840" i="1"/>
  <c r="E187" i="11" s="1"/>
  <c r="I841" i="1"/>
  <c r="E188" i="11" s="1"/>
  <c r="I842" i="1"/>
  <c r="E189" i="11" s="1"/>
  <c r="I843" i="1"/>
  <c r="E190" i="11" s="1"/>
  <c r="I844" i="1"/>
  <c r="E191" i="11" s="1"/>
  <c r="I845" i="1"/>
  <c r="E192" i="11" s="1"/>
  <c r="I846" i="1"/>
  <c r="E193" i="11" s="1"/>
  <c r="I847" i="1"/>
  <c r="E194" i="11" s="1"/>
  <c r="I848" i="1"/>
  <c r="E195" i="11" s="1"/>
  <c r="I849" i="1"/>
  <c r="E196" i="11" s="1"/>
  <c r="I850" i="1"/>
  <c r="E197" i="11" s="1"/>
  <c r="I251" i="1"/>
  <c r="E130" i="11" s="1"/>
  <c r="I243" i="1"/>
  <c r="E122" i="11" s="1"/>
  <c r="I249" i="1"/>
  <c r="E128" i="11" s="1"/>
  <c r="I244" i="1"/>
  <c r="E123" i="11" s="1"/>
  <c r="I268" i="1"/>
  <c r="E479" i="11" s="1"/>
  <c r="I265" i="1"/>
  <c r="E476" i="11" s="1"/>
  <c r="I264" i="1"/>
  <c r="E475" i="11" s="1"/>
  <c r="I267" i="1"/>
  <c r="E478" i="11" s="1"/>
  <c r="I269" i="1"/>
  <c r="E480" i="11" s="1"/>
  <c r="I266" i="1"/>
  <c r="E477" i="11" s="1"/>
  <c r="I263" i="1"/>
  <c r="E474" i="11" s="1"/>
  <c r="I272" i="1"/>
  <c r="E483" i="11" s="1"/>
  <c r="I270" i="1"/>
  <c r="E481" i="11" s="1"/>
  <c r="I262" i="1"/>
  <c r="E473" i="11" s="1"/>
  <c r="I260" i="1"/>
  <c r="E471" i="11" s="1"/>
  <c r="I254" i="1"/>
  <c r="E133" i="11" s="1"/>
  <c r="I259" i="1"/>
  <c r="E470" i="11" s="1"/>
  <c r="I277" i="1"/>
  <c r="E642" i="11" s="1"/>
  <c r="I275" i="1"/>
  <c r="E640" i="11" s="1"/>
  <c r="I278" i="1"/>
  <c r="E643" i="11" s="1"/>
  <c r="I276" i="1"/>
  <c r="E641" i="11" s="1"/>
  <c r="I282" i="1"/>
  <c r="E647" i="11" s="1"/>
  <c r="I280" i="1"/>
  <c r="E645" i="11" s="1"/>
  <c r="I279" i="1"/>
  <c r="E644" i="11" s="1"/>
  <c r="I284" i="1"/>
  <c r="E649" i="11" s="1"/>
  <c r="I283" i="1"/>
  <c r="E648" i="11" s="1"/>
  <c r="I285" i="1"/>
  <c r="E650" i="11" s="1"/>
  <c r="I273" i="1"/>
  <c r="E638" i="11" s="1"/>
  <c r="I281" i="1"/>
  <c r="E646" i="11" s="1"/>
  <c r="I293" i="1"/>
  <c r="E519" i="11" s="1"/>
  <c r="I301" i="1"/>
  <c r="E527" i="11" s="1"/>
  <c r="I288" i="1"/>
  <c r="E514" i="11" s="1"/>
  <c r="I297" i="1"/>
  <c r="E523" i="11" s="1"/>
  <c r="I299" i="1"/>
  <c r="E525" i="11" s="1"/>
  <c r="I296" i="1"/>
  <c r="E522" i="11" s="1"/>
  <c r="I292" i="1"/>
  <c r="E518" i="11" s="1"/>
  <c r="I291" i="1"/>
  <c r="E517" i="11" s="1"/>
  <c r="I300" i="1"/>
  <c r="E526" i="11" s="1"/>
  <c r="I294" i="1"/>
  <c r="E520" i="11" s="1"/>
  <c r="I295" i="1"/>
  <c r="E521" i="11" s="1"/>
  <c r="I314" i="1"/>
  <c r="E620" i="11" s="1"/>
  <c r="I668" i="1"/>
  <c r="E920" i="11" s="1"/>
  <c r="I303" i="1"/>
  <c r="E609" i="11" s="1"/>
  <c r="I316" i="1"/>
  <c r="E622" i="11" s="1"/>
  <c r="I306" i="1"/>
  <c r="E612" i="11" s="1"/>
  <c r="I307" i="1"/>
  <c r="E613" i="11" s="1"/>
  <c r="I310" i="1"/>
  <c r="E616" i="11" s="1"/>
  <c r="I309" i="1"/>
  <c r="E615" i="11" s="1"/>
  <c r="I315" i="1"/>
  <c r="E621" i="11" s="1"/>
  <c r="I313" i="1"/>
  <c r="E619" i="11" s="1"/>
  <c r="I311" i="1"/>
  <c r="E617" i="11" s="1"/>
  <c r="I312" i="1"/>
  <c r="E618" i="11" s="1"/>
  <c r="I302" i="1"/>
  <c r="E608" i="11" s="1"/>
  <c r="I308" i="1"/>
  <c r="E614" i="11" s="1"/>
  <c r="I304" i="1"/>
  <c r="E610" i="11" s="1"/>
  <c r="I305" i="1"/>
  <c r="E611" i="11" s="1"/>
  <c r="I317" i="1"/>
  <c r="E623" i="11" s="1"/>
  <c r="I669" i="1"/>
  <c r="E310" i="11" s="1"/>
  <c r="I670" i="1"/>
  <c r="E311" i="11" s="1"/>
  <c r="I671" i="1"/>
  <c r="E312" i="11" s="1"/>
  <c r="I672" i="1"/>
  <c r="E313" i="11" s="1"/>
  <c r="I328" i="1"/>
  <c r="E837" i="11" s="1"/>
  <c r="I319" i="1"/>
  <c r="E828" i="11" s="1"/>
  <c r="I331" i="1"/>
  <c r="E840" i="11" s="1"/>
  <c r="I325" i="1"/>
  <c r="E834" i="11" s="1"/>
  <c r="I327" i="1"/>
  <c r="E836" i="11" s="1"/>
  <c r="I332" i="1"/>
  <c r="E841" i="11" s="1"/>
  <c r="I323" i="1"/>
  <c r="E832" i="11" s="1"/>
  <c r="I330" i="1"/>
  <c r="E839" i="11" s="1"/>
  <c r="I320" i="1"/>
  <c r="E829" i="11" s="1"/>
  <c r="I329" i="1"/>
  <c r="E838" i="11" s="1"/>
  <c r="I896" i="1"/>
  <c r="E326" i="11" s="1"/>
  <c r="I897" i="1"/>
  <c r="E327" i="11" s="1"/>
  <c r="I898" i="1"/>
  <c r="I899" i="1"/>
  <c r="E329" i="11" s="1"/>
  <c r="I900" i="1"/>
  <c r="E330" i="11" s="1"/>
  <c r="I321" i="1"/>
  <c r="E830" i="11" s="1"/>
  <c r="I322" i="1"/>
  <c r="E831" i="11" s="1"/>
  <c r="I326" i="1"/>
  <c r="E835" i="11" s="1"/>
  <c r="I324" i="1"/>
  <c r="E833" i="11" s="1"/>
  <c r="I318" i="1"/>
  <c r="E827" i="11" s="1"/>
  <c r="I334" i="1"/>
  <c r="E172" i="11" s="1"/>
  <c r="I338" i="1"/>
  <c r="E176" i="11" s="1"/>
  <c r="I347" i="1"/>
  <c r="E185" i="11" s="1"/>
  <c r="I341" i="1"/>
  <c r="E179" i="11" s="1"/>
  <c r="I337" i="1"/>
  <c r="E175" i="11" s="1"/>
  <c r="I336" i="1"/>
  <c r="E174" i="11" s="1"/>
  <c r="I344" i="1"/>
  <c r="E182" i="11" s="1"/>
  <c r="I345" i="1"/>
  <c r="E183" i="11" s="1"/>
  <c r="I346" i="1"/>
  <c r="E184" i="11" s="1"/>
  <c r="I333" i="1"/>
  <c r="E171" i="11" s="1"/>
  <c r="I342" i="1"/>
  <c r="E180" i="11" s="1"/>
  <c r="I340" i="1"/>
  <c r="E178" i="11" s="1"/>
  <c r="I339" i="1"/>
  <c r="E177" i="11" s="1"/>
  <c r="I343" i="1"/>
  <c r="E181" i="11" s="1"/>
  <c r="I673" i="1"/>
  <c r="E348" i="11" s="1"/>
  <c r="I674" i="1"/>
  <c r="E349" i="11" s="1"/>
  <c r="I675" i="1"/>
  <c r="E350" i="11" s="1"/>
  <c r="I676" i="1"/>
  <c r="E351" i="11" s="1"/>
  <c r="I677" i="1"/>
  <c r="E352" i="11" s="1"/>
  <c r="I678" i="1"/>
  <c r="E353" i="11" s="1"/>
  <c r="I679" i="1"/>
  <c r="E354" i="11" s="1"/>
  <c r="I680" i="1"/>
  <c r="E355" i="11" s="1"/>
  <c r="I681" i="1"/>
  <c r="E356" i="11" s="1"/>
  <c r="I335" i="1"/>
  <c r="E173" i="11" s="1"/>
  <c r="I357" i="1"/>
  <c r="E263" i="11" s="1"/>
  <c r="I362" i="1"/>
  <c r="E268" i="11" s="1"/>
  <c r="I360" i="1"/>
  <c r="E266" i="11" s="1"/>
  <c r="I353" i="1"/>
  <c r="E259" i="11" s="1"/>
  <c r="I350" i="1"/>
  <c r="E256" i="11" s="1"/>
  <c r="I361" i="1"/>
  <c r="E267" i="11" s="1"/>
  <c r="I349" i="1"/>
  <c r="E255" i="11" s="1"/>
  <c r="I355" i="1"/>
  <c r="E261" i="11" s="1"/>
  <c r="I348" i="1"/>
  <c r="E254" i="11" s="1"/>
  <c r="I356" i="1"/>
  <c r="E262" i="11" s="1"/>
  <c r="I682" i="1"/>
  <c r="E370" i="11" s="1"/>
  <c r="I683" i="1"/>
  <c r="E371" i="11" s="1"/>
  <c r="I684" i="1"/>
  <c r="E372" i="11" s="1"/>
  <c r="I685" i="1"/>
  <c r="E373" i="11" s="1"/>
  <c r="I686" i="1"/>
  <c r="E374" i="11" s="1"/>
  <c r="I687" i="1"/>
  <c r="E375" i="11" s="1"/>
  <c r="I688" i="1"/>
  <c r="E376" i="11" s="1"/>
  <c r="I689" i="1"/>
  <c r="E377" i="11" s="1"/>
  <c r="I690" i="1"/>
  <c r="E378" i="11" s="1"/>
  <c r="I691" i="1"/>
  <c r="E379" i="11" s="1"/>
  <c r="I692" i="1"/>
  <c r="E380" i="11" s="1"/>
  <c r="I693" i="1"/>
  <c r="E381" i="11" s="1"/>
  <c r="I694" i="1"/>
  <c r="E382" i="11" s="1"/>
  <c r="I695" i="1"/>
  <c r="E383" i="11" s="1"/>
  <c r="I696" i="1"/>
  <c r="E384" i="11" s="1"/>
  <c r="I697" i="1"/>
  <c r="E385" i="11" s="1"/>
  <c r="I351" i="1"/>
  <c r="E257" i="11" s="1"/>
  <c r="I352" i="1"/>
  <c r="E258" i="11" s="1"/>
  <c r="I377" i="1"/>
  <c r="E308" i="11" s="1"/>
  <c r="I376" i="1"/>
  <c r="E307" i="11" s="1"/>
  <c r="I374" i="1"/>
  <c r="E305" i="11" s="1"/>
  <c r="I363" i="1"/>
  <c r="E294" i="11" s="1"/>
  <c r="I375" i="1"/>
  <c r="E306" i="11" s="1"/>
  <c r="I364" i="1"/>
  <c r="E295" i="11" s="1"/>
  <c r="I367" i="1"/>
  <c r="E298" i="11" s="1"/>
  <c r="I370" i="1"/>
  <c r="E301" i="11" s="1"/>
  <c r="I372" i="1"/>
  <c r="E303" i="11" s="1"/>
  <c r="I366" i="1"/>
  <c r="E297" i="11" s="1"/>
  <c r="I373" i="1"/>
  <c r="E304" i="11" s="1"/>
  <c r="I371" i="1"/>
  <c r="E302" i="11" s="1"/>
  <c r="I365" i="1"/>
  <c r="E296" i="11" s="1"/>
  <c r="I368" i="1"/>
  <c r="E299" i="11" s="1"/>
  <c r="I369" i="1"/>
  <c r="E300" i="11" s="1"/>
  <c r="I383" i="1"/>
  <c r="E48" i="11" s="1"/>
  <c r="I381" i="1"/>
  <c r="E46" i="11" s="1"/>
  <c r="I390" i="1"/>
  <c r="E55" i="11" s="1"/>
  <c r="I384" i="1"/>
  <c r="E49" i="11" s="1"/>
  <c r="I382" i="1"/>
  <c r="E47" i="11" s="1"/>
  <c r="I388" i="1"/>
  <c r="E53" i="11" s="1"/>
  <c r="I387" i="1"/>
  <c r="E52" i="11" s="1"/>
  <c r="I379" i="1"/>
  <c r="E44" i="11" s="1"/>
  <c r="I380" i="1"/>
  <c r="E45" i="11" s="1"/>
  <c r="I386" i="1"/>
  <c r="E51" i="11" s="1"/>
  <c r="I385" i="1"/>
  <c r="E50" i="11" s="1"/>
  <c r="I378" i="1"/>
  <c r="E43" i="11" s="1"/>
  <c r="I391" i="1"/>
  <c r="E56" i="11" s="1"/>
  <c r="I389" i="1"/>
  <c r="E54" i="11" s="1"/>
  <c r="I392" i="1"/>
  <c r="E57" i="11" s="1"/>
  <c r="I407" i="1"/>
  <c r="I409" i="1"/>
  <c r="E678" i="11" s="1"/>
  <c r="I408" i="1"/>
  <c r="I398" i="1"/>
  <c r="E667" i="11" s="1"/>
  <c r="I401" i="1"/>
  <c r="E670" i="11" s="1"/>
  <c r="I404" i="1"/>
  <c r="E673" i="11" s="1"/>
  <c r="I901" i="1"/>
  <c r="E452" i="11" s="1"/>
  <c r="I902" i="1"/>
  <c r="E453" i="11" s="1"/>
  <c r="I903" i="1"/>
  <c r="E454" i="11" s="1"/>
  <c r="I904" i="1"/>
  <c r="E455" i="11" s="1"/>
  <c r="I905" i="1"/>
  <c r="E456" i="11" s="1"/>
  <c r="I906" i="1"/>
  <c r="E457" i="11" s="1"/>
  <c r="I907" i="1"/>
  <c r="E458" i="11" s="1"/>
  <c r="I395" i="1"/>
  <c r="E664" i="11" s="1"/>
  <c r="I405" i="1"/>
  <c r="E674" i="11" s="1"/>
  <c r="I399" i="1"/>
  <c r="E668" i="11" s="1"/>
  <c r="I406" i="1"/>
  <c r="E675" i="11" s="1"/>
  <c r="I396" i="1"/>
  <c r="E665" i="11" s="1"/>
  <c r="I402" i="1"/>
  <c r="E671" i="11" s="1"/>
  <c r="I400" i="1"/>
  <c r="E669" i="11" s="1"/>
  <c r="I410" i="1"/>
  <c r="E1022" i="11" s="1"/>
  <c r="I397" i="1"/>
  <c r="E666" i="11" s="1"/>
  <c r="I394" i="1"/>
  <c r="E663" i="11" s="1"/>
  <c r="I403" i="1"/>
  <c r="E672" i="11" s="1"/>
  <c r="I416" i="1"/>
  <c r="E1028" i="11" s="1"/>
  <c r="I413" i="1"/>
  <c r="E1025" i="11" s="1"/>
  <c r="I412" i="1"/>
  <c r="E1024" i="11" s="1"/>
  <c r="I422" i="1"/>
  <c r="E1034" i="11" s="1"/>
  <c r="I417" i="1"/>
  <c r="E1029" i="11" s="1"/>
  <c r="I426" i="1"/>
  <c r="E1038" i="11" s="1"/>
  <c r="I423" i="1"/>
  <c r="E1035" i="11" s="1"/>
  <c r="I419" i="1"/>
  <c r="E1031" i="11" s="1"/>
  <c r="I420" i="1"/>
  <c r="E1032" i="11" s="1"/>
  <c r="I411" i="1"/>
  <c r="E1023" i="11" s="1"/>
  <c r="I7" i="1"/>
  <c r="E494" i="11" s="1"/>
  <c r="I8" i="1"/>
  <c r="E495" i="11" s="1"/>
  <c r="I9" i="1"/>
  <c r="E496" i="11" s="1"/>
  <c r="I10" i="1"/>
  <c r="E497" i="11" s="1"/>
  <c r="I11" i="1"/>
  <c r="E498" i="11" s="1"/>
  <c r="I12" i="1"/>
  <c r="E500" i="11" s="1"/>
  <c r="I13" i="1"/>
  <c r="E501" i="11" s="1"/>
  <c r="I14" i="1"/>
  <c r="E502" i="11" s="1"/>
  <c r="I15" i="1"/>
  <c r="E503" i="11" s="1"/>
  <c r="I16" i="1"/>
  <c r="E504" i="11" s="1"/>
  <c r="I17" i="1"/>
  <c r="E505" i="11" s="1"/>
  <c r="I18" i="1"/>
  <c r="E507" i="11" s="1"/>
  <c r="I19" i="1"/>
  <c r="E508" i="11" s="1"/>
  <c r="I20" i="1"/>
  <c r="E509" i="11" s="1"/>
  <c r="I21" i="1"/>
  <c r="E510" i="11" s="1"/>
  <c r="I22" i="1"/>
  <c r="E511" i="11" s="1"/>
  <c r="I23" i="1"/>
  <c r="E512" i="11" s="1"/>
  <c r="I415" i="1"/>
  <c r="E1027" i="11" s="1"/>
  <c r="I425" i="1"/>
  <c r="E1037" i="11" s="1"/>
  <c r="I418" i="1"/>
  <c r="E1030" i="11" s="1"/>
  <c r="I424" i="1"/>
  <c r="E1036" i="11" s="1"/>
  <c r="I421" i="1"/>
  <c r="E1033" i="11" s="1"/>
  <c r="I427" i="1"/>
  <c r="E315" i="11" s="1"/>
  <c r="I433" i="1"/>
  <c r="E321" i="11" s="1"/>
  <c r="I432" i="1"/>
  <c r="E320" i="11" s="1"/>
  <c r="I428" i="1"/>
  <c r="E316" i="11" s="1"/>
  <c r="I101" i="1"/>
  <c r="E529" i="11" s="1"/>
  <c r="I102" i="1"/>
  <c r="E530" i="11" s="1"/>
  <c r="I103" i="1"/>
  <c r="E531" i="11" s="1"/>
  <c r="I104" i="1"/>
  <c r="E532" i="11" s="1"/>
  <c r="I106" i="1"/>
  <c r="E533" i="11" s="1"/>
  <c r="I24" i="1"/>
  <c r="E535" i="11" s="1"/>
  <c r="I25" i="1"/>
  <c r="E536" i="11" s="1"/>
  <c r="I26" i="1"/>
  <c r="E538" i="11" s="1"/>
  <c r="I27" i="1"/>
  <c r="E539" i="11" s="1"/>
  <c r="I28" i="1"/>
  <c r="E540" i="11" s="1"/>
  <c r="I430" i="1"/>
  <c r="E318" i="11" s="1"/>
  <c r="I431" i="1"/>
  <c r="E319" i="11" s="1"/>
  <c r="I434" i="1"/>
  <c r="E322" i="11" s="1"/>
  <c r="I435" i="1"/>
  <c r="E323" i="11" s="1"/>
  <c r="I436" i="1"/>
  <c r="E324" i="11" s="1"/>
  <c r="I429" i="1"/>
  <c r="E317" i="11" s="1"/>
  <c r="I439" i="1"/>
  <c r="E763" i="11" s="1"/>
  <c r="I437" i="1"/>
  <c r="E761" i="11" s="1"/>
  <c r="I442" i="1"/>
  <c r="E766" i="11" s="1"/>
  <c r="I443" i="1"/>
  <c r="E767" i="11" s="1"/>
  <c r="I438" i="1"/>
  <c r="E762" i="11" s="1"/>
  <c r="I441" i="1"/>
  <c r="E765" i="11" s="1"/>
  <c r="I440" i="1"/>
  <c r="E764" i="11" s="1"/>
  <c r="I444" i="1"/>
  <c r="E796" i="11" s="1"/>
  <c r="I450" i="1"/>
  <c r="E802" i="11" s="1"/>
  <c r="I448" i="1"/>
  <c r="E800" i="11" s="1"/>
  <c r="I446" i="1"/>
  <c r="E798" i="11" s="1"/>
  <c r="I453" i="1"/>
  <c r="E805" i="11" s="1"/>
  <c r="I447" i="1"/>
  <c r="E799" i="11" s="1"/>
  <c r="I452" i="1"/>
  <c r="E804" i="11" s="1"/>
  <c r="I445" i="1"/>
  <c r="E797" i="11" s="1"/>
  <c r="I451" i="1"/>
  <c r="E803" i="11" s="1"/>
  <c r="I454" i="1"/>
  <c r="E138" i="11" s="1"/>
  <c r="I455" i="1"/>
  <c r="E139" i="11" s="1"/>
  <c r="I29" i="1"/>
  <c r="E568" i="11" s="1"/>
  <c r="I30" i="1"/>
  <c r="E569" i="11" s="1"/>
  <c r="I31" i="1"/>
  <c r="E570" i="11" s="1"/>
  <c r="I32" i="1"/>
  <c r="E571" i="11" s="1"/>
  <c r="I33" i="1"/>
  <c r="E572" i="11" s="1"/>
  <c r="I34" i="1"/>
  <c r="E574" i="11" s="1"/>
  <c r="I35" i="1"/>
  <c r="E575" i="11" s="1"/>
  <c r="I36" i="1"/>
  <c r="E576" i="11" s="1"/>
  <c r="I37" i="1"/>
  <c r="E577" i="11" s="1"/>
  <c r="I908" i="1"/>
  <c r="E579" i="11" s="1"/>
  <c r="I909" i="1"/>
  <c r="E580" i="11" s="1"/>
  <c r="I910" i="1"/>
  <c r="E581" i="11" s="1"/>
  <c r="I911" i="1"/>
  <c r="E582" i="11" s="1"/>
  <c r="I38" i="1"/>
  <c r="E584" i="11" s="1"/>
  <c r="I39" i="1"/>
  <c r="E585" i="11" s="1"/>
  <c r="I40" i="1"/>
  <c r="E586" i="11" s="1"/>
  <c r="I41" i="1"/>
  <c r="E587" i="11" s="1"/>
  <c r="I42" i="1"/>
  <c r="E588" i="11" s="1"/>
  <c r="I43" i="1"/>
  <c r="E589" i="11" s="1"/>
  <c r="I44" i="1"/>
  <c r="E590" i="11" s="1"/>
  <c r="I45" i="1"/>
  <c r="E592" i="11" s="1"/>
  <c r="I46" i="1"/>
  <c r="E593" i="11" s="1"/>
  <c r="I47" i="1"/>
  <c r="E594" i="11" s="1"/>
  <c r="I48" i="1"/>
  <c r="E595" i="11" s="1"/>
  <c r="I463" i="1"/>
  <c r="E147" i="11" s="1"/>
  <c r="I458" i="1"/>
  <c r="E142" i="11" s="1"/>
  <c r="I457" i="1"/>
  <c r="E141" i="11" s="1"/>
  <c r="I456" i="1"/>
  <c r="E140" i="11" s="1"/>
  <c r="I462" i="1"/>
  <c r="E146" i="11" s="1"/>
  <c r="I461" i="1"/>
  <c r="E145" i="11" s="1"/>
  <c r="I459" i="1"/>
  <c r="E143" i="11" s="1"/>
  <c r="I460" i="1"/>
  <c r="E144" i="11" s="1"/>
  <c r="I470" i="1"/>
  <c r="E420" i="11" s="1"/>
  <c r="I464" i="1"/>
  <c r="E414" i="11" s="1"/>
  <c r="I467" i="1"/>
  <c r="E417" i="11" s="1"/>
  <c r="I469" i="1"/>
  <c r="E419" i="11" s="1"/>
  <c r="I472" i="1"/>
  <c r="E422" i="11" s="1"/>
  <c r="I465" i="1"/>
  <c r="E415" i="11" s="1"/>
  <c r="I471" i="1"/>
  <c r="E421" i="11" s="1"/>
  <c r="I466" i="1"/>
  <c r="E416" i="11" s="1"/>
  <c r="I468" i="1"/>
  <c r="E418" i="11" s="1"/>
  <c r="I478" i="1"/>
  <c r="E465" i="11" s="1"/>
  <c r="I474" i="1"/>
  <c r="E461" i="11" s="1"/>
  <c r="I473" i="1"/>
  <c r="E460" i="11" s="1"/>
  <c r="I476" i="1"/>
  <c r="E463" i="11" s="1"/>
  <c r="I477" i="1"/>
  <c r="E464" i="11" s="1"/>
  <c r="I475" i="1"/>
  <c r="E462" i="11" s="1"/>
  <c r="I484" i="1"/>
  <c r="E228" i="11" s="1"/>
  <c r="I482" i="1"/>
  <c r="E226" i="11" s="1"/>
  <c r="I487" i="1"/>
  <c r="E231" i="11" s="1"/>
  <c r="I490" i="1"/>
  <c r="E234" i="11" s="1"/>
  <c r="I486" i="1"/>
  <c r="E230" i="11" s="1"/>
  <c r="I489" i="1"/>
  <c r="E233" i="11" s="1"/>
  <c r="I480" i="1"/>
  <c r="E224" i="11" s="1"/>
  <c r="I483" i="1"/>
  <c r="E227" i="11" s="1"/>
  <c r="I485" i="1"/>
  <c r="E229" i="11" s="1"/>
  <c r="I488" i="1"/>
  <c r="E232" i="11" s="1"/>
  <c r="I498" i="1"/>
  <c r="E563" i="11" s="1"/>
  <c r="I500" i="1"/>
  <c r="E565" i="11" s="1"/>
  <c r="I497" i="1"/>
  <c r="E562" i="11" s="1"/>
  <c r="I481" i="1"/>
  <c r="E225" i="11" s="1"/>
  <c r="I492" i="1"/>
  <c r="E557" i="11" s="1"/>
  <c r="I491" i="1"/>
  <c r="E556" i="11" s="1"/>
  <c r="I929" i="1"/>
  <c r="E655" i="11" s="1"/>
  <c r="I930" i="1"/>
  <c r="E656" i="11" s="1"/>
  <c r="I931" i="1"/>
  <c r="E657" i="11" s="1"/>
  <c r="I932" i="1"/>
  <c r="E658" i="11" s="1"/>
  <c r="I933" i="1"/>
  <c r="E659" i="11" s="1"/>
  <c r="I934" i="1"/>
  <c r="E660" i="11" s="1"/>
  <c r="I698" i="1"/>
  <c r="E807" i="11" s="1"/>
  <c r="I495" i="1"/>
  <c r="E560" i="11" s="1"/>
  <c r="I494" i="1"/>
  <c r="E559" i="11" s="1"/>
  <c r="I493" i="1"/>
  <c r="E558" i="11" s="1"/>
  <c r="I499" i="1"/>
  <c r="E564" i="11" s="1"/>
  <c r="I501" i="1"/>
  <c r="E566" i="11" s="1"/>
  <c r="I496" i="1"/>
  <c r="E561" i="11" s="1"/>
  <c r="I507" i="1"/>
  <c r="I508" i="1"/>
  <c r="E725" i="11" s="1"/>
  <c r="I502" i="1"/>
  <c r="E719" i="11" s="1"/>
  <c r="I504" i="1"/>
  <c r="E721" i="11" s="1"/>
  <c r="I505" i="1"/>
  <c r="E722" i="11" s="1"/>
  <c r="I506" i="1"/>
  <c r="E723" i="11" s="1"/>
  <c r="I509" i="1"/>
  <c r="E726" i="11" s="1"/>
  <c r="I511" i="1"/>
  <c r="E728" i="11" s="1"/>
  <c r="I503" i="1"/>
  <c r="E720" i="11" s="1"/>
  <c r="I512" i="1"/>
  <c r="E729" i="11" s="1"/>
  <c r="I515" i="1"/>
  <c r="E98" i="11" s="1"/>
  <c r="I520" i="1"/>
  <c r="E103" i="11" s="1"/>
  <c r="I513" i="1"/>
  <c r="E96" i="11" s="1"/>
  <c r="I518" i="1"/>
  <c r="E101" i="11" s="1"/>
  <c r="I516" i="1"/>
  <c r="E99" i="11" s="1"/>
  <c r="I519" i="1"/>
  <c r="E102" i="11" s="1"/>
  <c r="I522" i="1"/>
  <c r="E105" i="11" s="1"/>
  <c r="I514" i="1"/>
  <c r="E97" i="11" s="1"/>
  <c r="I523" i="1"/>
  <c r="E106" i="11" s="1"/>
  <c r="I524" i="1"/>
  <c r="E107" i="11" s="1"/>
  <c r="I521" i="1"/>
  <c r="E104" i="11" s="1"/>
  <c r="I517" i="1"/>
  <c r="E100" i="11" s="1"/>
  <c r="I528" i="1"/>
  <c r="E750" i="11" s="1"/>
  <c r="I537" i="1"/>
  <c r="E759" i="11" s="1"/>
  <c r="I533" i="1"/>
  <c r="E755" i="11" s="1"/>
  <c r="I531" i="1"/>
  <c r="E753" i="11" s="1"/>
  <c r="I534" i="1"/>
  <c r="E756" i="11" s="1"/>
  <c r="I529" i="1"/>
  <c r="E751" i="11" s="1"/>
  <c r="I526" i="1"/>
  <c r="E748" i="11" s="1"/>
  <c r="I532" i="1"/>
  <c r="E754" i="11" s="1"/>
  <c r="I527" i="1"/>
  <c r="E749" i="11" s="1"/>
  <c r="I530" i="1"/>
  <c r="E752" i="11" s="1"/>
  <c r="I536" i="1"/>
  <c r="E758" i="11" s="1"/>
  <c r="I548" i="1"/>
  <c r="E823" i="11" s="1"/>
  <c r="I543" i="1"/>
  <c r="E818" i="11" s="1"/>
  <c r="I550" i="1"/>
  <c r="E825" i="11" s="1"/>
  <c r="I542" i="1"/>
  <c r="E817" i="11" s="1"/>
  <c r="I107" i="1"/>
  <c r="E709" i="11" s="1"/>
  <c r="I108" i="1"/>
  <c r="E710" i="11" s="1"/>
  <c r="I109" i="1"/>
  <c r="E711" i="11" s="1"/>
  <c r="I110" i="1"/>
  <c r="E712" i="11" s="1"/>
  <c r="I111" i="1"/>
  <c r="E713" i="11" s="1"/>
  <c r="I112" i="1"/>
  <c r="E714" i="11" s="1"/>
  <c r="I113" i="1"/>
  <c r="E715" i="11" s="1"/>
  <c r="I114" i="1"/>
  <c r="E716" i="11" s="1"/>
  <c r="I115" i="1"/>
  <c r="E717" i="11" s="1"/>
  <c r="I546" i="1"/>
  <c r="E821" i="11" s="1"/>
  <c r="I547" i="1"/>
  <c r="E822" i="11" s="1"/>
  <c r="I538" i="1"/>
  <c r="E813" i="11" s="1"/>
  <c r="I541" i="1"/>
  <c r="E816" i="11" s="1"/>
  <c r="I539" i="1"/>
  <c r="E814" i="11" s="1"/>
  <c r="I540" i="1"/>
  <c r="E815" i="11" s="1"/>
  <c r="I544" i="1"/>
  <c r="E819" i="11" s="1"/>
  <c r="I545" i="1"/>
  <c r="E820" i="11" s="1"/>
  <c r="I549" i="1"/>
  <c r="E824" i="11" s="1"/>
  <c r="I561" i="1"/>
  <c r="E368" i="11" s="1"/>
  <c r="I116" i="1"/>
  <c r="E731" i="11" s="1"/>
  <c r="I117" i="1"/>
  <c r="E732" i="11" s="1"/>
  <c r="I118" i="1"/>
  <c r="E733" i="11" s="1"/>
  <c r="I119" i="1"/>
  <c r="E734" i="11" s="1"/>
  <c r="I121" i="1"/>
  <c r="E735" i="11" s="1"/>
  <c r="I122" i="1"/>
  <c r="E736" i="11" s="1"/>
  <c r="I123" i="1"/>
  <c r="E737" i="11" s="1"/>
  <c r="I851" i="1"/>
  <c r="E739" i="11" s="1"/>
  <c r="I852" i="1"/>
  <c r="E740" i="11" s="1"/>
  <c r="I853" i="1"/>
  <c r="E741" i="11" s="1"/>
  <c r="I854" i="1"/>
  <c r="E742" i="11" s="1"/>
  <c r="I855" i="1"/>
  <c r="E743" i="11" s="1"/>
  <c r="I856" i="1"/>
  <c r="E744" i="11" s="1"/>
  <c r="I857" i="1"/>
  <c r="E745" i="11" s="1"/>
  <c r="I560" i="1"/>
  <c r="E367" i="11" s="1"/>
  <c r="I559" i="1"/>
  <c r="E366" i="11" s="1"/>
  <c r="I558" i="1"/>
  <c r="E365" i="11" s="1"/>
  <c r="I557" i="1"/>
  <c r="E364" i="11" s="1"/>
  <c r="I556" i="1"/>
  <c r="E363" i="11" s="1"/>
  <c r="I555" i="1"/>
  <c r="E362" i="11" s="1"/>
  <c r="I554" i="1"/>
  <c r="E361" i="11" s="1"/>
  <c r="I553" i="1"/>
  <c r="E360" i="11" s="1"/>
  <c r="I552" i="1"/>
  <c r="E359" i="11" s="1"/>
  <c r="I551" i="1"/>
  <c r="E358" i="11" s="1"/>
  <c r="I572" i="1"/>
  <c r="E690" i="11" s="1"/>
  <c r="I699" i="1"/>
  <c r="E808" i="11" s="1"/>
  <c r="I700" i="1"/>
  <c r="E809" i="11" s="1"/>
  <c r="I701" i="1"/>
  <c r="E810" i="11" s="1"/>
  <c r="I702" i="1"/>
  <c r="E811" i="11" s="1"/>
  <c r="I571" i="1"/>
  <c r="E689" i="11" s="1"/>
  <c r="I570" i="1"/>
  <c r="E688" i="11" s="1"/>
  <c r="I569" i="1"/>
  <c r="E687" i="11" s="1"/>
  <c r="I568" i="1"/>
  <c r="E686" i="11" s="1"/>
  <c r="I567" i="1"/>
  <c r="E685" i="11" s="1"/>
  <c r="I566" i="1"/>
  <c r="E684" i="11" s="1"/>
  <c r="I565" i="1"/>
  <c r="E683" i="11" s="1"/>
  <c r="I912" i="1"/>
  <c r="E387" i="11" s="1"/>
  <c r="I913" i="1"/>
  <c r="E388" i="11" s="1"/>
  <c r="I914" i="1"/>
  <c r="E389" i="11" s="1"/>
  <c r="I915" i="1"/>
  <c r="E390" i="11" s="1"/>
  <c r="I564" i="1"/>
  <c r="E682" i="11" s="1"/>
  <c r="I563" i="1"/>
  <c r="E681" i="11" s="1"/>
  <c r="I562" i="1"/>
  <c r="E680" i="11" s="1"/>
  <c r="I582" i="1"/>
  <c r="E783" i="11" s="1"/>
  <c r="I581" i="1"/>
  <c r="E782" i="11" s="1"/>
  <c r="I580" i="1"/>
  <c r="E781" i="11" s="1"/>
  <c r="I579" i="1"/>
  <c r="E780" i="11" s="1"/>
  <c r="I578" i="1"/>
  <c r="E779" i="11" s="1"/>
  <c r="I577" i="1"/>
  <c r="E778" i="11" s="1"/>
  <c r="I858" i="1"/>
  <c r="E785" i="11" s="1"/>
  <c r="I859" i="1"/>
  <c r="E786" i="11" s="1"/>
  <c r="I860" i="1"/>
  <c r="E787" i="11" s="1"/>
  <c r="I861" i="1"/>
  <c r="E788" i="11" s="1"/>
  <c r="I862" i="1"/>
  <c r="E789" i="11" s="1"/>
  <c r="I863" i="1"/>
  <c r="E790" i="11" s="1"/>
  <c r="I864" i="1"/>
  <c r="E791" i="11" s="1"/>
  <c r="I865" i="1"/>
  <c r="E792" i="11" s="1"/>
  <c r="I866" i="1"/>
  <c r="E793" i="11" s="1"/>
  <c r="I867" i="1"/>
  <c r="E794" i="11" s="1"/>
  <c r="I575" i="1"/>
  <c r="E776" i="11" s="1"/>
  <c r="I574" i="1"/>
  <c r="E775" i="11" s="1"/>
  <c r="I573" i="1"/>
  <c r="E774" i="11" s="1"/>
  <c r="I588" i="1"/>
  <c r="E1103" i="11" s="1"/>
  <c r="I593" i="1"/>
  <c r="E1108" i="11" s="1"/>
  <c r="I587" i="1"/>
  <c r="E1102" i="11" s="1"/>
  <c r="I583" i="1"/>
  <c r="E1098" i="11" s="1"/>
  <c r="I592" i="1"/>
  <c r="E1107" i="11" s="1"/>
  <c r="I586" i="1"/>
  <c r="E1101" i="11" s="1"/>
  <c r="I590" i="1"/>
  <c r="E1105" i="11" s="1"/>
  <c r="I585" i="1"/>
  <c r="E1100" i="11" s="1"/>
  <c r="I591" i="1"/>
  <c r="E1106" i="11" s="1"/>
  <c r="I589" i="1"/>
  <c r="E1104" i="11" s="1"/>
  <c r="I584" i="1"/>
  <c r="E1099" i="11" s="1"/>
  <c r="I595" i="1"/>
  <c r="E446" i="11" s="1"/>
  <c r="I596" i="1"/>
  <c r="E447" i="11" s="1"/>
  <c r="I597" i="1"/>
  <c r="E448" i="11" s="1"/>
  <c r="I598" i="1"/>
  <c r="E449" i="11" s="1"/>
  <c r="I599" i="1"/>
  <c r="E450" i="11" s="1"/>
  <c r="I612" i="1"/>
  <c r="E554" i="11" s="1"/>
  <c r="I611" i="1"/>
  <c r="E553" i="11" s="1"/>
  <c r="I610" i="1"/>
  <c r="E552" i="11" s="1"/>
  <c r="I609" i="1"/>
  <c r="E551" i="11" s="1"/>
  <c r="I608" i="1"/>
  <c r="E550" i="11" s="1"/>
  <c r="I607" i="1"/>
  <c r="E549" i="11" s="1"/>
  <c r="I605" i="1"/>
  <c r="E547" i="11" s="1"/>
  <c r="I604" i="1"/>
  <c r="E546" i="11" s="1"/>
  <c r="I603" i="1"/>
  <c r="E545" i="11" s="1"/>
  <c r="I602" i="1"/>
  <c r="E544" i="11" s="1"/>
  <c r="I601" i="1"/>
  <c r="E543" i="11" s="1"/>
  <c r="I600" i="1"/>
  <c r="E542" i="11" s="1"/>
  <c r="I615" i="1"/>
  <c r="E694" i="11" s="1"/>
  <c r="I616" i="1"/>
  <c r="E695" i="11" s="1"/>
  <c r="I617" i="1"/>
  <c r="E696" i="11" s="1"/>
  <c r="I618" i="1"/>
  <c r="E697" i="11" s="1"/>
  <c r="I619" i="1"/>
  <c r="E698" i="11" s="1"/>
  <c r="I620" i="1"/>
  <c r="E699" i="11" s="1"/>
  <c r="I621" i="1"/>
  <c r="E700" i="11" s="1"/>
  <c r="I622" i="1"/>
  <c r="E701" i="11" s="1"/>
  <c r="I623" i="1"/>
  <c r="E702" i="11" s="1"/>
  <c r="I624" i="1"/>
  <c r="E703" i="11" s="1"/>
  <c r="I625" i="1"/>
  <c r="E704" i="11" s="1"/>
  <c r="I626" i="1"/>
  <c r="E705" i="11" s="1"/>
  <c r="I627" i="1"/>
  <c r="E706" i="11" s="1"/>
  <c r="I628" i="1"/>
  <c r="E707" i="11" s="1"/>
  <c r="I636" i="1"/>
  <c r="E858" i="11" s="1"/>
  <c r="I634" i="1"/>
  <c r="E856" i="11" s="1"/>
  <c r="I637" i="1"/>
  <c r="E859" i="11" s="1"/>
  <c r="I631" i="1"/>
  <c r="E853" i="11" s="1"/>
  <c r="I124" i="1"/>
  <c r="E871" i="11" s="1"/>
  <c r="I125" i="1"/>
  <c r="E872" i="11" s="1"/>
  <c r="I126" i="1"/>
  <c r="E873" i="11" s="1"/>
  <c r="I127" i="1"/>
  <c r="E874" i="11" s="1"/>
  <c r="I128" i="1"/>
  <c r="E875" i="11" s="1"/>
  <c r="I129" i="1"/>
  <c r="E876" i="11" s="1"/>
  <c r="I130" i="1"/>
  <c r="E877" i="11" s="1"/>
  <c r="I131" i="1"/>
  <c r="E878" i="11" s="1"/>
  <c r="I132" i="1"/>
  <c r="E879" i="11" s="1"/>
  <c r="I703" i="1"/>
  <c r="E881" i="11" s="1"/>
  <c r="I704" i="1"/>
  <c r="E882" i="11" s="1"/>
  <c r="I705" i="1"/>
  <c r="E883" i="11" s="1"/>
  <c r="I706" i="1"/>
  <c r="E884" i="11" s="1"/>
  <c r="I707" i="1"/>
  <c r="E885" i="11" s="1"/>
  <c r="I708" i="1"/>
  <c r="E886" i="11" s="1"/>
  <c r="I709" i="1"/>
  <c r="E887" i="11" s="1"/>
  <c r="I710" i="1"/>
  <c r="E888" i="11" s="1"/>
  <c r="I711" i="1"/>
  <c r="E889" i="11" s="1"/>
  <c r="I49" i="1"/>
  <c r="I50" i="1"/>
  <c r="I51" i="1"/>
  <c r="E893" i="11" s="1"/>
  <c r="I52" i="1"/>
  <c r="E894" i="11" s="1"/>
  <c r="I53" i="1"/>
  <c r="E895" i="11" s="1"/>
  <c r="I54" i="1"/>
  <c r="E896" i="11" s="1"/>
  <c r="I133" i="1"/>
  <c r="E898" i="11" s="1"/>
  <c r="I134" i="1"/>
  <c r="E899" i="11" s="1"/>
  <c r="I135" i="1"/>
  <c r="E900" i="11" s="1"/>
  <c r="I136" i="1"/>
  <c r="E901" i="11" s="1"/>
  <c r="I137" i="1"/>
  <c r="E902" i="11" s="1"/>
  <c r="I57" i="1"/>
  <c r="E906" i="11" s="1"/>
  <c r="I58" i="1"/>
  <c r="E907" i="11" s="1"/>
  <c r="I59" i="1"/>
  <c r="E908" i="11" s="1"/>
  <c r="I60" i="1"/>
  <c r="E909" i="11" s="1"/>
  <c r="I61" i="1"/>
  <c r="I62" i="1"/>
  <c r="E911" i="11" s="1"/>
  <c r="I63" i="1"/>
  <c r="E912" i="11" s="1"/>
  <c r="I64" i="1"/>
  <c r="E913" i="11" s="1"/>
  <c r="I65" i="1"/>
  <c r="E914" i="11" s="1"/>
  <c r="I66" i="1"/>
  <c r="I67" i="1"/>
  <c r="I68" i="1"/>
  <c r="E917" i="11" s="1"/>
  <c r="I69" i="1"/>
  <c r="E918" i="11" s="1"/>
  <c r="I712" i="1"/>
  <c r="E921" i="11" s="1"/>
  <c r="I713" i="1"/>
  <c r="E922" i="11" s="1"/>
  <c r="I714" i="1"/>
  <c r="E923" i="11" s="1"/>
  <c r="I715" i="1"/>
  <c r="E924" i="11" s="1"/>
  <c r="I716" i="1"/>
  <c r="E925" i="11" s="1"/>
  <c r="I717" i="1"/>
  <c r="E926" i="11" s="1"/>
  <c r="I718" i="1"/>
  <c r="E927" i="11" s="1"/>
  <c r="I719" i="1"/>
  <c r="E928" i="11" s="1"/>
  <c r="I720" i="1"/>
  <c r="E929" i="11" s="1"/>
  <c r="I721" i="1"/>
  <c r="E930" i="11" s="1"/>
  <c r="I722" i="1"/>
  <c r="E946" i="11" s="1"/>
  <c r="I723" i="1"/>
  <c r="E947" i="11" s="1"/>
  <c r="I724" i="1"/>
  <c r="E948" i="11" s="1"/>
  <c r="I725" i="1"/>
  <c r="E949" i="11" s="1"/>
  <c r="I726" i="1"/>
  <c r="E950" i="11" s="1"/>
  <c r="I727" i="1"/>
  <c r="E951" i="11" s="1"/>
  <c r="I728" i="1"/>
  <c r="E953" i="11" s="1"/>
  <c r="I729" i="1"/>
  <c r="E954" i="11" s="1"/>
  <c r="I730" i="1"/>
  <c r="E955" i="11" s="1"/>
  <c r="I731" i="1"/>
  <c r="E956" i="11" s="1"/>
  <c r="I732" i="1"/>
  <c r="E957" i="11" s="1"/>
  <c r="I733" i="1"/>
  <c r="E958" i="11" s="1"/>
  <c r="I734" i="1"/>
  <c r="E959" i="11" s="1"/>
  <c r="I735" i="1"/>
  <c r="E960" i="11" s="1"/>
  <c r="I736" i="1"/>
  <c r="E961" i="11" s="1"/>
  <c r="I737" i="1"/>
  <c r="E963" i="11" s="1"/>
  <c r="I738" i="1"/>
  <c r="E964" i="11" s="1"/>
  <c r="I739" i="1"/>
  <c r="E965" i="11" s="1"/>
  <c r="I740" i="1"/>
  <c r="E966" i="11" s="1"/>
  <c r="I741" i="1"/>
  <c r="E967" i="11" s="1"/>
  <c r="I742" i="1"/>
  <c r="E968" i="11" s="1"/>
  <c r="I743" i="1"/>
  <c r="E969" i="11" s="1"/>
  <c r="I744" i="1"/>
  <c r="E970" i="11" s="1"/>
  <c r="I745" i="1"/>
  <c r="E971" i="11" s="1"/>
  <c r="I746" i="1"/>
  <c r="E972" i="11" s="1"/>
  <c r="I747" i="1"/>
  <c r="E973" i="11" s="1"/>
  <c r="I748" i="1"/>
  <c r="E974" i="11" s="1"/>
  <c r="I749" i="1"/>
  <c r="E975" i="11" s="1"/>
  <c r="I750" i="1"/>
  <c r="E976" i="11" s="1"/>
  <c r="I751" i="1"/>
  <c r="E977" i="11" s="1"/>
  <c r="I752" i="1"/>
  <c r="E978" i="11" s="1"/>
  <c r="I753" i="1"/>
  <c r="E979" i="11" s="1"/>
  <c r="I754" i="1"/>
  <c r="E980" i="11" s="1"/>
  <c r="I755" i="1"/>
  <c r="E982" i="11" s="1"/>
  <c r="I756" i="1"/>
  <c r="E983" i="11" s="1"/>
  <c r="I757" i="1"/>
  <c r="E984" i="11" s="1"/>
  <c r="I758" i="1"/>
  <c r="E985" i="11" s="1"/>
  <c r="I759" i="1"/>
  <c r="E986" i="11" s="1"/>
  <c r="I868" i="1"/>
  <c r="E1014" i="11" s="1"/>
  <c r="I869" i="1"/>
  <c r="E1015" i="11" s="1"/>
  <c r="I870" i="1"/>
  <c r="E1016" i="11" s="1"/>
  <c r="I871" i="1"/>
  <c r="E1017" i="11" s="1"/>
  <c r="I872" i="1"/>
  <c r="E1018" i="11" s="1"/>
  <c r="I873" i="1"/>
  <c r="E1019" i="11" s="1"/>
  <c r="I874" i="1"/>
  <c r="E1020" i="11" s="1"/>
  <c r="I875" i="1"/>
  <c r="I876" i="1"/>
  <c r="I877" i="1"/>
  <c r="I878" i="1"/>
  <c r="I632" i="1"/>
  <c r="E854" i="11" s="1"/>
  <c r="I629" i="1"/>
  <c r="E851" i="11" s="1"/>
  <c r="I635" i="1"/>
  <c r="E857" i="11" s="1"/>
  <c r="I638" i="1"/>
  <c r="E860" i="11" s="1"/>
  <c r="I640" i="1"/>
  <c r="E862" i="11" s="1"/>
  <c r="I639" i="1"/>
  <c r="E861" i="11" s="1"/>
  <c r="I630" i="1"/>
  <c r="E852" i="11" s="1"/>
  <c r="I633" i="1"/>
  <c r="E855" i="11" s="1"/>
  <c r="I648" i="1"/>
  <c r="E215" i="11" s="1"/>
  <c r="I649" i="1"/>
  <c r="E216" i="11" s="1"/>
  <c r="I647" i="1"/>
  <c r="E214" i="11" s="1"/>
  <c r="I653" i="1"/>
  <c r="E220" i="11" s="1"/>
  <c r="I650" i="1"/>
  <c r="E217" i="11" s="1"/>
  <c r="I652" i="1"/>
  <c r="E219" i="11" s="1"/>
  <c r="I642" i="1"/>
  <c r="E209" i="11" s="1"/>
  <c r="I643" i="1"/>
  <c r="E210" i="11" s="1"/>
  <c r="I655" i="1"/>
  <c r="E222" i="11" s="1"/>
  <c r="I654" i="1"/>
  <c r="E221" i="11" s="1"/>
  <c r="I644" i="1"/>
  <c r="E211" i="11" s="1"/>
  <c r="I641" i="1"/>
  <c r="E208" i="11" s="1"/>
  <c r="I646" i="1"/>
  <c r="E213" i="11" s="1"/>
  <c r="I70" i="1"/>
  <c r="E1040" i="11" s="1"/>
  <c r="I71" i="1"/>
  <c r="E1041" i="11" s="1"/>
  <c r="I72" i="1"/>
  <c r="E1042" i="11" s="1"/>
  <c r="I73" i="1"/>
  <c r="E1043" i="11" s="1"/>
  <c r="I74" i="1"/>
  <c r="E1044" i="11" s="1"/>
  <c r="I75" i="1"/>
  <c r="E1045" i="11" s="1"/>
  <c r="I760" i="1"/>
  <c r="E270" i="11" s="1"/>
  <c r="I763" i="1"/>
  <c r="E272" i="11" s="1"/>
  <c r="I764" i="1"/>
  <c r="E273" i="11" s="1"/>
  <c r="I765" i="1"/>
  <c r="E274" i="11" s="1"/>
  <c r="I766" i="1"/>
  <c r="E275" i="11" s="1"/>
  <c r="I767" i="1"/>
  <c r="E276" i="11" s="1"/>
  <c r="I879" i="1"/>
  <c r="E1068" i="11" s="1"/>
  <c r="I880" i="1"/>
  <c r="E1069" i="11" s="1"/>
  <c r="I881" i="1"/>
  <c r="E1070" i="11" s="1"/>
  <c r="I882" i="1"/>
  <c r="E1071" i="11" s="1"/>
  <c r="I883" i="1"/>
  <c r="E1072" i="11" s="1"/>
  <c r="I884" i="1"/>
  <c r="E1073" i="11" s="1"/>
  <c r="I885" i="1"/>
  <c r="E1074" i="11" s="1"/>
  <c r="I886" i="1"/>
  <c r="E1075" i="11" s="1"/>
  <c r="I887" i="1"/>
  <c r="E1076" i="11" s="1"/>
  <c r="I888" i="1"/>
  <c r="E1077" i="11" s="1"/>
  <c r="I889" i="1"/>
  <c r="E1078" i="11" s="1"/>
  <c r="I890" i="1"/>
  <c r="E1079" i="11" s="1"/>
  <c r="I891" i="1"/>
  <c r="E1080" i="11" s="1"/>
  <c r="I645" i="1"/>
  <c r="E212" i="11" s="1"/>
  <c r="I651" i="1"/>
  <c r="E218" i="11" s="1"/>
  <c r="I667" i="1"/>
  <c r="E636" i="11" s="1"/>
  <c r="I660" i="1"/>
  <c r="E629" i="11" s="1"/>
  <c r="I658" i="1"/>
  <c r="E627" i="11" s="1"/>
  <c r="I657" i="1"/>
  <c r="E626" i="11" s="1"/>
  <c r="I666" i="1"/>
  <c r="E635" i="11" s="1"/>
  <c r="I661" i="1"/>
  <c r="E630" i="11" s="1"/>
  <c r="I664" i="1"/>
  <c r="E633" i="11" s="1"/>
  <c r="I656" i="1"/>
  <c r="E625" i="11" s="1"/>
  <c r="I663" i="1"/>
  <c r="E632" i="11" s="1"/>
  <c r="I662" i="1"/>
  <c r="E631" i="11" s="1"/>
  <c r="I768" i="1"/>
  <c r="E1123" i="11" s="1"/>
  <c r="I769" i="1"/>
  <c r="E1124" i="11" s="1"/>
  <c r="I770" i="1"/>
  <c r="E1125" i="11" s="1"/>
  <c r="I771" i="1"/>
  <c r="E1126" i="11" s="1"/>
  <c r="I772" i="1"/>
  <c r="E1127" i="11" s="1"/>
  <c r="I773" i="1"/>
  <c r="E1145" i="11" s="1"/>
  <c r="I774" i="1"/>
  <c r="E1146" i="11" s="1"/>
  <c r="I775" i="1"/>
  <c r="E1147" i="11" s="1"/>
  <c r="I776" i="1"/>
  <c r="E1148" i="11" s="1"/>
  <c r="I777" i="1"/>
  <c r="E1149" i="11" s="1"/>
  <c r="I778" i="1"/>
  <c r="E1150" i="11" s="1"/>
  <c r="I779" i="1"/>
  <c r="E1151" i="11" s="1"/>
  <c r="I780" i="1"/>
  <c r="E1152" i="11" s="1"/>
  <c r="I781" i="1"/>
  <c r="E1153" i="11" s="1"/>
  <c r="I782" i="1"/>
  <c r="E1154" i="11" s="1"/>
  <c r="I783" i="1"/>
  <c r="E1155" i="11" s="1"/>
  <c r="I784" i="1"/>
  <c r="E1156" i="11" s="1"/>
  <c r="I785" i="1"/>
  <c r="E1157" i="11" s="1"/>
  <c r="I786" i="1"/>
  <c r="E1158" i="11" s="1"/>
  <c r="I787" i="1"/>
  <c r="E1159" i="11" s="1"/>
  <c r="I788" i="1"/>
  <c r="E1160" i="11" s="1"/>
  <c r="I789" i="1"/>
  <c r="E1161" i="11" s="1"/>
  <c r="I935" i="1"/>
  <c r="E1163" i="11" s="1"/>
  <c r="I936" i="1"/>
  <c r="E1164" i="11" s="1"/>
  <c r="I937" i="1"/>
  <c r="E1165" i="11" s="1"/>
  <c r="I938" i="1"/>
  <c r="E1166" i="11" s="1"/>
  <c r="I939" i="1"/>
  <c r="E1167" i="11" s="1"/>
  <c r="I940" i="1"/>
  <c r="E1168" i="11" s="1"/>
  <c r="I941" i="1"/>
  <c r="E1169" i="11" s="1"/>
  <c r="I790" i="1"/>
  <c r="E1091" i="11" s="1"/>
  <c r="I791" i="1"/>
  <c r="E1092" i="11" s="1"/>
  <c r="I792" i="1"/>
  <c r="E1093" i="11" s="1"/>
  <c r="I793" i="1"/>
  <c r="E1094" i="11" s="1"/>
  <c r="I794" i="1"/>
  <c r="E1095" i="11" s="1"/>
  <c r="I795" i="1"/>
  <c r="E1096" i="11" s="1"/>
  <c r="I796" i="1"/>
  <c r="E1082" i="11" s="1"/>
  <c r="I797" i="1"/>
  <c r="E1083" i="11" s="1"/>
  <c r="I798" i="1"/>
  <c r="E1084" i="11" s="1"/>
  <c r="I799" i="1"/>
  <c r="E1085" i="11" s="1"/>
  <c r="I800" i="1"/>
  <c r="E1086" i="11" s="1"/>
  <c r="I801" i="1"/>
  <c r="E424" i="11" s="1"/>
  <c r="I802" i="1"/>
  <c r="E425" i="11" s="1"/>
  <c r="I803" i="1"/>
  <c r="E426" i="11" s="1"/>
  <c r="I804" i="1"/>
  <c r="E427" i="11" s="1"/>
  <c r="I805" i="1"/>
  <c r="E428" i="11" s="1"/>
  <c r="I806" i="1"/>
  <c r="E429" i="11" s="1"/>
  <c r="I807" i="1"/>
  <c r="E430" i="11" s="1"/>
  <c r="I808" i="1"/>
  <c r="E431" i="11" s="1"/>
  <c r="I809" i="1"/>
  <c r="E432" i="11" s="1"/>
  <c r="I810" i="1"/>
  <c r="E597" i="11" s="1"/>
  <c r="I811" i="1"/>
  <c r="E598" i="11" s="1"/>
  <c r="I812" i="1"/>
  <c r="E599" i="11" s="1"/>
  <c r="I813" i="1"/>
  <c r="E600" i="11" s="1"/>
  <c r="I814" i="1"/>
  <c r="E601" i="11" s="1"/>
  <c r="I815" i="1"/>
  <c r="E602" i="11" s="1"/>
  <c r="I816" i="1"/>
  <c r="E603" i="11" s="1"/>
  <c r="I817" i="1"/>
  <c r="E604" i="11" s="1"/>
  <c r="I818" i="1"/>
  <c r="E605" i="11" s="1"/>
  <c r="I819" i="1"/>
  <c r="E606" i="11" s="1"/>
  <c r="I820" i="1"/>
  <c r="E769" i="11" s="1"/>
  <c r="I821" i="1"/>
  <c r="E770" i="11" s="1"/>
  <c r="I822" i="1"/>
  <c r="E771" i="11" s="1"/>
  <c r="I823" i="1"/>
  <c r="E772" i="11" s="1"/>
  <c r="I824" i="1"/>
  <c r="E1055" i="11" s="1"/>
  <c r="I825" i="1"/>
  <c r="E1056" i="11" s="1"/>
  <c r="I826" i="1"/>
  <c r="E1057" i="11" s="1"/>
  <c r="I827" i="1"/>
  <c r="E1058" i="11" s="1"/>
  <c r="I828" i="1"/>
  <c r="E1059" i="11" s="1"/>
  <c r="I829" i="1"/>
  <c r="E1060" i="11" s="1"/>
  <c r="I830" i="1"/>
  <c r="E1087" i="11" s="1"/>
  <c r="I831" i="1"/>
  <c r="E1088" i="11" s="1"/>
  <c r="I832" i="1"/>
  <c r="E1089" i="11" s="1"/>
  <c r="I833" i="1"/>
  <c r="I834" i="1"/>
  <c r="I835" i="1"/>
  <c r="I836" i="1"/>
  <c r="I837" i="1"/>
  <c r="I838" i="1"/>
  <c r="I839" i="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2" i="9"/>
  <c r="E724" i="11" l="1"/>
  <c r="E727" i="11"/>
  <c r="E676" i="11"/>
  <c r="E677" i="11"/>
  <c r="E915" i="11"/>
  <c r="E916" i="11"/>
  <c r="E910" i="11"/>
  <c r="E328" i="11"/>
  <c r="E43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tc={BFFB70DC-80E2-40D7-BB3D-8FF0F8FC3375}</author>
  </authors>
  <commentList>
    <comment ref="I733" authorId="0" shapeId="0" xr:uid="{BFFB70DC-80E2-40D7-BB3D-8FF0F8FC33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Incapacidad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612DC2-1C24-43C4-82FF-A47A22DABE20}" keepAlive="1" name="Consulta - Anexar1" description="Conexión a la consulta 'Anexar1' en el libro." type="5" refreshedVersion="0" background="1" saveData="1">
    <dbPr connection="Provider=Microsoft.Mashup.OleDb.1;Data Source=$Workbook$;Location=Anexar1;Extended Properties=&quot;&quot;" command="SELECT * FROM [Anexar1]"/>
  </connection>
  <connection id="2" xr16:uid="{2C352679-EE9D-4BE3-82AA-6DAC76568758}" keepAlive="1" name="Consulta - Integrantes" description="Conexión a la consulta 'Integrantes' en el libro." type="5" refreshedVersion="0" background="1" saveData="1">
    <dbPr connection="Provider=Microsoft.Mashup.OleDb.1;Data Source=$Workbook$;Location=Integrantes;Extended Properties=&quot;&quot;" command="SELECT * FROM [Integrantes]"/>
  </connection>
  <connection id="3" xr16:uid="{334E9BC4-1A43-437A-8CF6-78FF57759BE0}" keepAlive="1" name="Consulta - Lideres" description="Conexión a la consulta 'Lideres' en el libro." type="5" refreshedVersion="0" background="1" saveData="1">
    <dbPr connection="Provider=Microsoft.Mashup.OleDb.1;Data Source=$Workbook$;Location=Lideres;Extended Properties=&quot;&quot;" command="SELECT * FROM [Lideres]"/>
  </connection>
</connections>
</file>

<file path=xl/sharedStrings.xml><?xml version="1.0" encoding="utf-8"?>
<sst xmlns="http://schemas.openxmlformats.org/spreadsheetml/2006/main" count="49740" uniqueCount="3362">
  <si>
    <t>DPTO</t>
  </si>
  <si>
    <t>MEDIO AMBIENTE</t>
  </si>
  <si>
    <t>Etiquetas de fila</t>
  </si>
  <si>
    <t>Count of SHARP</t>
  </si>
  <si>
    <t>CHAVOS AMBIENTALES</t>
  </si>
  <si>
    <t>ROBERTO CARLOS SANCHEZ DE SANTIAGO</t>
  </si>
  <si>
    <t>GERENTES DE HIERRO</t>
  </si>
  <si>
    <t>EDGAR OSWALDO MARTINEZ HUITRADO</t>
  </si>
  <si>
    <t>LOS ESPECIALISTAS</t>
  </si>
  <si>
    <t>NANCY ERENDIRA TEJEDOR SANTOS</t>
  </si>
  <si>
    <t>LOS PUMAS</t>
  </si>
  <si>
    <t>ALEJANDRO SALCEDO BRAVO</t>
  </si>
  <si>
    <t>LAS ESTRELLAS</t>
  </si>
  <si>
    <t>ISAI FLORES ORTIZ</t>
  </si>
  <si>
    <t>Grand Total</t>
  </si>
  <si>
    <t>* ESTA BASE DE DATOS ESTÁ SUJETA A CAMBIOS POR ENTRADAS Y SALIDAS DE PERSONAL</t>
  </si>
  <si>
    <t>ÁREA</t>
  </si>
  <si>
    <t>NOMBRE DEL EQUIPO</t>
  </si>
  <si>
    <t>SHARP LÍDER</t>
  </si>
  <si>
    <t>NOMBRE DEL LIDER</t>
  </si>
  <si>
    <t>QR Safety lider</t>
  </si>
  <si>
    <t>SHARP</t>
  </si>
  <si>
    <t>LINEA</t>
  </si>
  <si>
    <t>INTEGRANTES</t>
  </si>
  <si>
    <t>QR Safety</t>
  </si>
  <si>
    <t>RECUENTO OP</t>
  </si>
  <si>
    <t>EA</t>
  </si>
  <si>
    <t>Pilar del Champion</t>
  </si>
  <si>
    <t>BLOQUE FRÍO</t>
  </si>
  <si>
    <t>Filtros-Gobierno</t>
  </si>
  <si>
    <t>LOS ANDAMOS CON TODO</t>
  </si>
  <si>
    <t>LUIS ALBERTO MONTAÑEZ ARELLANO</t>
  </si>
  <si>
    <t>RQB061L8</t>
  </si>
  <si>
    <t>PEDRO MALDONADO MARQUEZ</t>
  </si>
  <si>
    <t>MRT7GWX2</t>
  </si>
  <si>
    <t>MANTENIMIENTO</t>
  </si>
  <si>
    <t>JUAN MANUEL RODARTE MARTINEZ</t>
  </si>
  <si>
    <t>F0AYDXW6</t>
  </si>
  <si>
    <t>AMBIENTAL</t>
  </si>
  <si>
    <t>JESUS MENCHACA DEL VILLAR</t>
  </si>
  <si>
    <t>UZILBZB3</t>
  </si>
  <si>
    <t>GENTE</t>
  </si>
  <si>
    <t>JESUS CALDERON ALFARO</t>
  </si>
  <si>
    <t>P7D098LM</t>
  </si>
  <si>
    <t>SEGURIDAD</t>
  </si>
  <si>
    <t>ALDO ERNESTO SILVA VARELA</t>
  </si>
  <si>
    <t>DJ45FXYZ</t>
  </si>
  <si>
    <t>CALIDAD</t>
  </si>
  <si>
    <t>Mixto</t>
  </si>
  <si>
    <t>LOS BRAVOS DEL FRIO</t>
  </si>
  <si>
    <t>OSCAR MANUEL GONZALEZ BOTELLO</t>
  </si>
  <si>
    <t>s/QR</t>
  </si>
  <si>
    <t>RICARDO ESTEBAN JARAMILLO  ROBLES</t>
  </si>
  <si>
    <t>QBV5KOXC</t>
  </si>
  <si>
    <t>OSWALDO DELGADILLO GONZALEZ</t>
  </si>
  <si>
    <t>3S4R4LS3</t>
  </si>
  <si>
    <t>LOGISTICA</t>
  </si>
  <si>
    <t>Oscar Eduardo Valdez Muñoz</t>
  </si>
  <si>
    <t>I3SMNMI9</t>
  </si>
  <si>
    <t>TWXFSXHD</t>
  </si>
  <si>
    <t>MIGUEL ANGEL NAVARRO ESCOBEDO</t>
  </si>
  <si>
    <t>S/QR</t>
  </si>
  <si>
    <t>GESTIÓN</t>
  </si>
  <si>
    <t>MARIO ALBERTO REYES HERNANDEZ</t>
  </si>
  <si>
    <t>HW2VFZF4</t>
  </si>
  <si>
    <t>JORGE LUIS RODRIGUEZ BERMUDEZ</t>
  </si>
  <si>
    <t>79MFZSQY</t>
  </si>
  <si>
    <t>LOS BRONCOS</t>
  </si>
  <si>
    <t>MIGUEL ANGEL RIVERA MUÑOZ</t>
  </si>
  <si>
    <t>XT56FWKC</t>
  </si>
  <si>
    <t>RAFAEL CHAVEZ REVELES</t>
  </si>
  <si>
    <t>RWKF0AUZ</t>
  </si>
  <si>
    <t xml:space="preserve">GESTIÓN </t>
  </si>
  <si>
    <t>Jose Guadalupe Valle Acuña</t>
  </si>
  <si>
    <t>5XJPEILB</t>
  </si>
  <si>
    <t>JOSE EDUARDO ALVARADO CEBALLOS</t>
  </si>
  <si>
    <t>Y3015061</t>
  </si>
  <si>
    <t>JORGE ALBERTO ORTIZ HERNANDEZ</t>
  </si>
  <si>
    <t>8S5O6O0T</t>
  </si>
  <si>
    <t>ERON GUARDADO ROBLES</t>
  </si>
  <si>
    <t>PK913GGJ</t>
  </si>
  <si>
    <t>EFREN GONZALEZ CONTRERAS</t>
  </si>
  <si>
    <t>2Q9QBHLV</t>
  </si>
  <si>
    <t>Fermentación</t>
  </si>
  <si>
    <t>LOS CHAMBINES DE FERMENTACIÓN</t>
  </si>
  <si>
    <t>JUAN JOSE MEJIA MONTOYA</t>
  </si>
  <si>
    <t>N6BDN2HM</t>
  </si>
  <si>
    <t>WILMAR YOEL GONZALEZ LARA</t>
  </si>
  <si>
    <t>FI1ILAAW</t>
  </si>
  <si>
    <t>VICTOR HUGO ASCENCIO LEYVA</t>
  </si>
  <si>
    <t>R6F08W5W</t>
  </si>
  <si>
    <t>JUAN FRANCISCO GARCIA CARRILLO</t>
  </si>
  <si>
    <t>FEWQU3R1</t>
  </si>
  <si>
    <t>GUSTAVO MELENCIANO MARTINEZ</t>
  </si>
  <si>
    <t>BENITO VALLE VELAZQUEZ</t>
  </si>
  <si>
    <t>YEVK7LMM</t>
  </si>
  <si>
    <t>LOS EMBAJADORES</t>
  </si>
  <si>
    <t>RAUL DAVID CORTES ALANIZ</t>
  </si>
  <si>
    <t>M98R69MI</t>
  </si>
  <si>
    <t>VICTOR MANUEL REYES VALLE</t>
  </si>
  <si>
    <t>Q59ZFGAY</t>
  </si>
  <si>
    <t>RODOLFO CABRERA CASTRO</t>
  </si>
  <si>
    <t>DQX7D0NJ</t>
  </si>
  <si>
    <t>Pedro Luis Rodriguez Gamez</t>
  </si>
  <si>
    <t>F0L9JUY6</t>
  </si>
  <si>
    <t>PEDRO ANTONIO URIBE ARANDA</t>
  </si>
  <si>
    <t>RV3C4E09</t>
  </si>
  <si>
    <t>GERMAN RUEDAS SANCHEZ</t>
  </si>
  <si>
    <t>Q1ON1IL1</t>
  </si>
  <si>
    <t>LOS ESENCIALES DEL FRIO</t>
  </si>
  <si>
    <t>CARLOS EDUARDO ORNEDO ESQUEDA</t>
  </si>
  <si>
    <t>T02YFJTH</t>
  </si>
  <si>
    <t>RODOLFO ESPARZA GONZALEZ</t>
  </si>
  <si>
    <t>961V0JXM</t>
  </si>
  <si>
    <t>JUAN GABRIEL HERNANDEZ GUARDADO</t>
  </si>
  <si>
    <t>VIUDQQ4Y</t>
  </si>
  <si>
    <t>JUAN CARLOS MORALES ORTIZ</t>
  </si>
  <si>
    <t>3PMQ3WLG</t>
  </si>
  <si>
    <t>ARTURO SAUCEDO CABRERA</t>
  </si>
  <si>
    <t>ZE5KWHFQ</t>
  </si>
  <si>
    <t>LOS FUERTES DEL FRIO</t>
  </si>
  <si>
    <t>IVAN ALEJANDRO ROJERO MALDONADO</t>
  </si>
  <si>
    <t>VD0VAHM5</t>
  </si>
  <si>
    <t>VICTOR SOTO LIZARDO</t>
  </si>
  <si>
    <t>206I8XPK</t>
  </si>
  <si>
    <t>Gente</t>
  </si>
  <si>
    <t>ROGELIO MARTINEZ ALVARADO</t>
  </si>
  <si>
    <t>QNDGRWOV</t>
  </si>
  <si>
    <t>Logistica</t>
  </si>
  <si>
    <t>RAFAEL MARTINEZ MARES</t>
  </si>
  <si>
    <t>DNC33P71</t>
  </si>
  <si>
    <t>MANUEL DE JESUS FALCON ARROYO</t>
  </si>
  <si>
    <t>ETZGZQH2</t>
  </si>
  <si>
    <t>LUIS MANUEL DOMINGUEZ GARCIA</t>
  </si>
  <si>
    <t>ZZ4MYSPS</t>
  </si>
  <si>
    <t>JAIME CID VEYNA</t>
  </si>
  <si>
    <t>VRYEKVV2</t>
  </si>
  <si>
    <t>HUMBERTO RODARTE MARTINEZ</t>
  </si>
  <si>
    <t>KJ25BM2H</t>
  </si>
  <si>
    <t>LOS GOBERNAITORS</t>
  </si>
  <si>
    <t>TOPILTZIN TONATIUH I CURIEL CABRAL</t>
  </si>
  <si>
    <t>TLN5OBD5</t>
  </si>
  <si>
    <t>PEDRO PALOS JARA</t>
  </si>
  <si>
    <t>3YZWTZRR</t>
  </si>
  <si>
    <t>HECTOR MANUEL DE LA ROSA AGUERO</t>
  </si>
  <si>
    <t>KI7INOZ8</t>
  </si>
  <si>
    <t>FRANCISCO JAVIER VARELA RODRIGUEZ</t>
  </si>
  <si>
    <t>B4ATYYC9</t>
  </si>
  <si>
    <t>ARMANDO RAYZOLA ROLDAN</t>
  </si>
  <si>
    <t>C0T5L0ZJ</t>
  </si>
  <si>
    <t>MONTSE Y SUS FERMENTADORES</t>
  </si>
  <si>
    <t>OSCAR GUILLERMO MEJIA GARCIA</t>
  </si>
  <si>
    <t>AIKG9IFH</t>
  </si>
  <si>
    <t>OSCAR CAMPOS GUERRERO</t>
  </si>
  <si>
    <t>SERGIO MIGUEL PARRA VAZQUEZ</t>
  </si>
  <si>
    <t>ORTGV0R3</t>
  </si>
  <si>
    <t>MAURICIO ARELLANO TREJO</t>
  </si>
  <si>
    <t>Luis Adolfo Maldonado Dominguez</t>
  </si>
  <si>
    <t>XVJEEJN8</t>
  </si>
  <si>
    <t>JUAN MANUEL HUERTA DE LA ROSA</t>
  </si>
  <si>
    <t>W4PNPF0E</t>
  </si>
  <si>
    <t>ENRIQUE MEDINA GARCIA</t>
  </si>
  <si>
    <t>0XDPTR9C</t>
  </si>
  <si>
    <t>MANTENIMIENTO ELA</t>
  </si>
  <si>
    <t>MUNICH</t>
  </si>
  <si>
    <t>JUAN CARLOS CALVILLO GARAY</t>
  </si>
  <si>
    <t>3SRCO90I</t>
  </si>
  <si>
    <t>VICTOR MENDOZA MARTINEZ</t>
  </si>
  <si>
    <t>Z0H6JU4Y</t>
  </si>
  <si>
    <t>SERGIO ENRIQUE RODRIGUEZ ESPARZA</t>
  </si>
  <si>
    <t>53GEJ05C</t>
  </si>
  <si>
    <t>RAMON COLLAZO CAMARILLO</t>
  </si>
  <si>
    <t>KL8QVQF6</t>
  </si>
  <si>
    <t>PABLO CESAR OROZCO DELGADO</t>
  </si>
  <si>
    <t>1CQJY6ZF</t>
  </si>
  <si>
    <t>LUIS OTONIEL PACHECO AVILA</t>
  </si>
  <si>
    <t>8QQPH6YT</t>
  </si>
  <si>
    <t>LUIS ANTONIO RAMIREZ ACOSTA</t>
  </si>
  <si>
    <t>RWCRH85D</t>
  </si>
  <si>
    <t>GESTION</t>
  </si>
  <si>
    <t>JUAN LOPEZ JUAREZ</t>
  </si>
  <si>
    <t>JRXZVLMO</t>
  </si>
  <si>
    <t>JUAN ISIDRO CAMPOS SOLIS</t>
  </si>
  <si>
    <t>QGJMGZ22</t>
  </si>
  <si>
    <t>JOSE EUSEBIO IBARRA MARTINEZ</t>
  </si>
  <si>
    <t>CGMOQC8P</t>
  </si>
  <si>
    <t>HERIBERTO LIMON BORREGO</t>
  </si>
  <si>
    <t>9YN3CIX0</t>
  </si>
  <si>
    <t>ARTURO VELAZQUEZ BELTRAN</t>
  </si>
  <si>
    <t>8KIQHEBE</t>
  </si>
  <si>
    <t>MARCO ANTONIO MENCHACA PEREZ</t>
  </si>
  <si>
    <t>LAZARO QUEZADA OJEDA</t>
  </si>
  <si>
    <t>ALEJANDRO LOPEZ RODRIGUEZ</t>
  </si>
  <si>
    <t>2RM3TYCC</t>
  </si>
  <si>
    <t>ALEJANDRO DE JESUS ROBLES GUZMAN</t>
  </si>
  <si>
    <t>KHEYNRW2</t>
  </si>
  <si>
    <t>BLENDER</t>
  </si>
  <si>
    <t>REYES DE LA MEZCLA</t>
  </si>
  <si>
    <t>OSCAR RODRIGUEZ CODALLOS</t>
  </si>
  <si>
    <t>NESTOR MONTOYA DUEÑAS</t>
  </si>
  <si>
    <t>UP091S0F</t>
  </si>
  <si>
    <t>LUIS RICARDO VALDES SANCHEZ</t>
  </si>
  <si>
    <t>52FP4KVI</t>
  </si>
  <si>
    <t>LUIS ARMANDO REYES DEL REAL</t>
  </si>
  <si>
    <t>ARQ1XTFA</t>
  </si>
  <si>
    <t>JOSE REFUGIO LOPEZ MARTINEZ</t>
  </si>
  <si>
    <t>W6Q1OMXN</t>
  </si>
  <si>
    <t>HELMER DEL REAL PEREZ</t>
  </si>
  <si>
    <t>S44REE30</t>
  </si>
  <si>
    <t>CARLOS ADRIAN ROBLES MONTENEGRO</t>
  </si>
  <si>
    <t>5LL1TM2P</t>
  </si>
  <si>
    <t>ACA</t>
  </si>
  <si>
    <t>CAZADORES</t>
  </si>
  <si>
    <t>GABRIEL ALEJANDRO GÓMEZ FLORES</t>
  </si>
  <si>
    <t>B8OW74JS</t>
  </si>
  <si>
    <t>FRANCISCO ZAVALA DOMINGUEZ</t>
  </si>
  <si>
    <t>5OAFR058</t>
  </si>
  <si>
    <t xml:space="preserve">AMBIENTAL </t>
  </si>
  <si>
    <t xml:space="preserve">JOSÉ LUIS JUÁREZ DELGADO </t>
  </si>
  <si>
    <t>3DKNB90O</t>
  </si>
  <si>
    <t>AMBIENTAL Y PEOPLE</t>
  </si>
  <si>
    <t xml:space="preserve">LEOBARDO CARRILLO FIGUEROA </t>
  </si>
  <si>
    <t>Y8BF7RQJ</t>
  </si>
  <si>
    <t>APOYO CHAMPION DE AMBIENTAL</t>
  </si>
  <si>
    <t xml:space="preserve">ALFREDO NIETO REVILLA </t>
  </si>
  <si>
    <t>0TT2LM1Y</t>
  </si>
  <si>
    <t>ENRIQUE DELGADO BELMONTE</t>
  </si>
  <si>
    <t>L8XYS3PE</t>
  </si>
  <si>
    <t>APOYO CHAMPION DE CALIDAD</t>
  </si>
  <si>
    <t>MANUEL DE JESUS ZAPATA ORTIZ</t>
  </si>
  <si>
    <t>23JA76D3</t>
  </si>
  <si>
    <t>APOYO CHAMPION DE GESTIÓN</t>
  </si>
  <si>
    <t xml:space="preserve">ISABEL ALFONSO TAPIA MEDELLÍN </t>
  </si>
  <si>
    <t>QB55RPOZ</t>
  </si>
  <si>
    <t>APOYO CHAMPION DE LOGISTICA</t>
  </si>
  <si>
    <t>GUILLERMO REYES MENDEZ</t>
  </si>
  <si>
    <t>74ABURF4</t>
  </si>
  <si>
    <t>APOYO CHAMPION DE MANTENIMIENTO</t>
  </si>
  <si>
    <t xml:space="preserve">JAVIER SANCHEZ VAZQUEZ </t>
  </si>
  <si>
    <t>APOYO CHAMPION DE PEOPLE</t>
  </si>
  <si>
    <t xml:space="preserve">GERARDO NIETO NIETO </t>
  </si>
  <si>
    <t>G582IJQN</t>
  </si>
  <si>
    <t>FRAY MARTÍN RODRÍGUEZ DELGADILLO</t>
  </si>
  <si>
    <t>N9WBN3UH</t>
  </si>
  <si>
    <t>APOYO CHAMPION DE SEGURIDAD</t>
  </si>
  <si>
    <t xml:space="preserve">SALVADOR REYES DELGADO </t>
  </si>
  <si>
    <t>NSE21G4L</t>
  </si>
  <si>
    <t>JESÚS MEJÍA UREÑO</t>
  </si>
  <si>
    <t>J1LEI3X9</t>
  </si>
  <si>
    <t>DAVID ESCOBEDO SÁNCHEZ</t>
  </si>
  <si>
    <t>DZ8JZDH1</t>
  </si>
  <si>
    <t xml:space="preserve">ANTONIO MARTÍNEZ GUERRERO </t>
  </si>
  <si>
    <t>CHM4K7T1</t>
  </si>
  <si>
    <t>LOGÍSTICA Y SEGURIDAD</t>
  </si>
  <si>
    <t>JAIME PÉREZ MORALES</t>
  </si>
  <si>
    <t>1FKUVMD2</t>
  </si>
  <si>
    <t xml:space="preserve">ARMANDO LECHUGA RAMOS </t>
  </si>
  <si>
    <t>C8E2X041</t>
  </si>
  <si>
    <t xml:space="preserve">LEONEL RAMIREZ DOMINGUEZ </t>
  </si>
  <si>
    <t>277RE756</t>
  </si>
  <si>
    <t>PEOPLE</t>
  </si>
  <si>
    <t>JOSÉ ANTONIO MARTÍNEZ ALCALÁ</t>
  </si>
  <si>
    <t>QDQB4O4Q</t>
  </si>
  <si>
    <t>COCIMIENTOS</t>
  </si>
  <si>
    <t>CUCHILLAS</t>
  </si>
  <si>
    <t>BETSAIDA GUERRERO SILVA</t>
  </si>
  <si>
    <t>8FNLA1FG</t>
  </si>
  <si>
    <t>MARIO ALBERTO ZAMARRIPA LLANAS</t>
  </si>
  <si>
    <t>4IG8W7IT</t>
  </si>
  <si>
    <t>MANUEL DE JESUS DEL REAL ESQUIVEL</t>
  </si>
  <si>
    <t>L6GVBWA4</t>
  </si>
  <si>
    <t>CARLOS RIVERA REYES</t>
  </si>
  <si>
    <t>FR3PUVFF</t>
  </si>
  <si>
    <t>VALERIA NATALY CASTAÑON RAMIREZ</t>
  </si>
  <si>
    <t>CONCEPCION REYES MONTERO</t>
  </si>
  <si>
    <t>ABEL GUILLERMO MAZATAN PAREDES</t>
  </si>
  <si>
    <t>CIUD1IBY</t>
  </si>
  <si>
    <t>LOS CAZADORES DEL AMARGOR</t>
  </si>
  <si>
    <t>FATIMA NEDITH GOMEZ MIRELES</t>
  </si>
  <si>
    <t>GR6YDQ7Y</t>
  </si>
  <si>
    <t>URIEL ESCOBEDO MURO</t>
  </si>
  <si>
    <t>R7B6UG8V</t>
  </si>
  <si>
    <t>JUAN RAMON JIMENEZ DELGADO</t>
  </si>
  <si>
    <t>A3WTC291</t>
  </si>
  <si>
    <t>JUAN ANTONIO VALDEZ LICERIO</t>
  </si>
  <si>
    <t>KTG11T4S</t>
  </si>
  <si>
    <t>JOSE LUIS CAZARES PINALES</t>
  </si>
  <si>
    <t>1Y71BDGV</t>
  </si>
  <si>
    <t>ERIKA IVOONE IBARRA NAVA</t>
  </si>
  <si>
    <t>J MARIO TRUJILLO MEZA</t>
  </si>
  <si>
    <t>1LKTGK36</t>
  </si>
  <si>
    <t>LOS NAHUALES</t>
  </si>
  <si>
    <t>LUIS MANUEL GARCIA VICTORIO</t>
  </si>
  <si>
    <t>XVTBL8WN</t>
  </si>
  <si>
    <t>VICTOR MANUEL HURTADO ORTIZ</t>
  </si>
  <si>
    <t>5K0PXT2E</t>
  </si>
  <si>
    <t>SERGIO TRUJILLO GUARDADO</t>
  </si>
  <si>
    <t>H4CVW1OC</t>
  </si>
  <si>
    <t>MARIO DAVID CASTAÑEDA VAZQUEZ</t>
  </si>
  <si>
    <t>D25WXNXC</t>
  </si>
  <si>
    <t>JUAN ANTONIO RIVERA NAJAR</t>
  </si>
  <si>
    <t>1FEW86DC</t>
  </si>
  <si>
    <t>JOSE GABRIEL RODRIGUEZ CERVANTES</t>
  </si>
  <si>
    <t>33ME9S6T</t>
  </si>
  <si>
    <t>HECTOR ALEJANDRO CRISTERNA CRUZ</t>
  </si>
  <si>
    <t>LPRSE7TC</t>
  </si>
  <si>
    <t>FLAVIO CESAR DIAZ MALDONADO</t>
  </si>
  <si>
    <t>82U0CPAK</t>
  </si>
  <si>
    <t>ARTURO RODARTE PERALES</t>
  </si>
  <si>
    <t>HWU7PQK2</t>
  </si>
  <si>
    <t>ANDRES SARABIA RODARTE</t>
  </si>
  <si>
    <t>BDX9J0GN</t>
  </si>
  <si>
    <t>Los Panchitos</t>
  </si>
  <si>
    <t>JOSÉ FRANCISCO TORRES LÓPEZ</t>
  </si>
  <si>
    <t>GHJJWOWM</t>
  </si>
  <si>
    <t>SANTIAGO HERRERA AMADOR</t>
  </si>
  <si>
    <t>XKG3ECRV</t>
  </si>
  <si>
    <t>LEOBARDO VARELA NIETO</t>
  </si>
  <si>
    <t>NVVH0PK7</t>
  </si>
  <si>
    <t>JOSE LUIS MALDONADO</t>
  </si>
  <si>
    <t>YHTWC2L1</t>
  </si>
  <si>
    <t>JOSE CARLOS CARDONA LOERA</t>
  </si>
  <si>
    <t>HG8ZRJ1Q</t>
  </si>
  <si>
    <t>MARCO AURELIO CUAUCOATL RAMIREZ REVELES</t>
  </si>
  <si>
    <t>J GUADALUPE GUZMAN MUÑOZ</t>
  </si>
  <si>
    <t>B8Y14ORV</t>
  </si>
  <si>
    <t>HUGO ALBERTO CARDONA ESPINOZA</t>
  </si>
  <si>
    <t>E4HJ2ZSH</t>
  </si>
  <si>
    <t>ADRIAN HERNANDEZ DE AVILA</t>
  </si>
  <si>
    <t>SWICZVS3</t>
  </si>
  <si>
    <t>MASH-RAINBOW</t>
  </si>
  <si>
    <t>LUIS FERNANDO GUTIERREZ MURILLO</t>
  </si>
  <si>
    <t>DF9ZK6U8</t>
  </si>
  <si>
    <t>OMAR ALBERTO ROBLES SOSA</t>
  </si>
  <si>
    <t>N4W4NDXT</t>
  </si>
  <si>
    <t>MANUEL DE JESUS CHAVEZ GARCIA</t>
  </si>
  <si>
    <t>L5SEIO5W</t>
  </si>
  <si>
    <t>JAIME LOPEZ CHAVEZ</t>
  </si>
  <si>
    <t>X5712339</t>
  </si>
  <si>
    <t>J MANUEL RAYGOZA JUAREZ</t>
  </si>
  <si>
    <t>GYLEDKM6</t>
  </si>
  <si>
    <t>J JESUS RIVERA MEDINA</t>
  </si>
  <si>
    <t>1TCUCRZV</t>
  </si>
  <si>
    <t>EDUARDO VALLE ARIAS</t>
  </si>
  <si>
    <t>M3UPDNMY</t>
  </si>
  <si>
    <t>EDGAR ZAMARRON ACOSTA</t>
  </si>
  <si>
    <t>EDGAR EMANUEL JUAREZ ALBA</t>
  </si>
  <si>
    <t>9NPKKEGP</t>
  </si>
  <si>
    <t>ALBERTO NUÑEZ VELEZ</t>
  </si>
  <si>
    <t>N0Y6GKI0</t>
  </si>
  <si>
    <t>MOSTO-BOYS</t>
  </si>
  <si>
    <t>RAÚL BAÑUELOS FLORES</t>
  </si>
  <si>
    <t>NP6IPSVN</t>
  </si>
  <si>
    <t>RIGOBERTO MOTA CORTES</t>
  </si>
  <si>
    <t>MZ94YRKS</t>
  </si>
  <si>
    <t>JOSE MANUEL VARELA ROSALES</t>
  </si>
  <si>
    <t>2W6RGS2R</t>
  </si>
  <si>
    <t>JOSE AMADOR RODRIGUEZ JUAREZ</t>
  </si>
  <si>
    <t>NUW64TUF</t>
  </si>
  <si>
    <t>HECTOR HUGO VALDEZ PIÑA</t>
  </si>
  <si>
    <t>TD92FR55</t>
  </si>
  <si>
    <t>ALDO ADRIAN SIFUENTES VELOZ</t>
  </si>
  <si>
    <t>G6BZTZAO</t>
  </si>
  <si>
    <t>ENVASADO</t>
  </si>
  <si>
    <t>CONEJOS</t>
  </si>
  <si>
    <t>LUIS MANUEL RAMIREZ QUINTANAR</t>
  </si>
  <si>
    <t>FE6V8MJW</t>
  </si>
  <si>
    <t>REYES CARDONA JOSE RICARDO</t>
  </si>
  <si>
    <t>5H8WVCDF</t>
  </si>
  <si>
    <t>Champion Calidad</t>
  </si>
  <si>
    <t>MURO TOVAR CRUZ</t>
  </si>
  <si>
    <t>5E308T58</t>
  </si>
  <si>
    <t>Champion Mantenimiento</t>
  </si>
  <si>
    <t>MANRIQUEZ AGUILAR JAVIER</t>
  </si>
  <si>
    <t>E6BC2GYT</t>
  </si>
  <si>
    <t>Champion Gestión</t>
  </si>
  <si>
    <t>LUIS CARLOS VAZQUEZ CASTAÑEDA</t>
  </si>
  <si>
    <t>9AZU6G3I</t>
  </si>
  <si>
    <t>Champion Seguridad</t>
  </si>
  <si>
    <t>ESPARZA MARTINEZ JOSE ALFREDO</t>
  </si>
  <si>
    <t>MNBDPPTV</t>
  </si>
  <si>
    <t>Champion Ambiental</t>
  </si>
  <si>
    <t>ARMENDARIZ RAUDALES MARIO ANTONIO</t>
  </si>
  <si>
    <t>W2B9M9SI</t>
  </si>
  <si>
    <t>Champion Gente</t>
  </si>
  <si>
    <t>EXOTICOS</t>
  </si>
  <si>
    <t>EDUARDO TRUJILLO ROJAS</t>
  </si>
  <si>
    <t>SALAZAR GAMEZ GABRIEL</t>
  </si>
  <si>
    <t>C1OTGNRI</t>
  </si>
  <si>
    <t>ROMAN SANCHEZ ARMANDO</t>
  </si>
  <si>
    <t>O7AVXMKI</t>
  </si>
  <si>
    <t>PUENTE DEL RIO ALEJANDRO</t>
  </si>
  <si>
    <t>TVMWPTHR</t>
  </si>
  <si>
    <t>MURILLO PINEDO IGNACIO</t>
  </si>
  <si>
    <t>9Y69RT74</t>
  </si>
  <si>
    <t>HUERTA SOTO GUSTAVO ANGEL</t>
  </si>
  <si>
    <t>GDQ3GGHC</t>
  </si>
  <si>
    <t>MAPACHES</t>
  </si>
  <si>
    <t>FERNANDO VALDIVIA FLORES</t>
  </si>
  <si>
    <t>5AT8KHIT</t>
  </si>
  <si>
    <t>VILLARREAL TORRES JOSE ALBERTO</t>
  </si>
  <si>
    <t>2K6KSZ2Z</t>
  </si>
  <si>
    <t>MANUEL CERVANTES MAGDALENO</t>
  </si>
  <si>
    <t>2VLKSNSD</t>
  </si>
  <si>
    <t>FEMAT RAMIREZ LUIS DANIEL</t>
  </si>
  <si>
    <t>PZCLBJUG</t>
  </si>
  <si>
    <t>DIAZ MORENO RAMIRO</t>
  </si>
  <si>
    <t>SXGDY1N4</t>
  </si>
  <si>
    <t>Champion GENTE</t>
  </si>
  <si>
    <t>DAVID ISMAEL TORRES</t>
  </si>
  <si>
    <t>572SEMGE</t>
  </si>
  <si>
    <t>MS84OMX2</t>
  </si>
  <si>
    <t>Jorge Luis Vazquez Perez</t>
  </si>
  <si>
    <t>DKQYDP4J</t>
  </si>
  <si>
    <t>CAPRICHOS</t>
  </si>
  <si>
    <t>PACHECO SANTACRUZ URIEL</t>
  </si>
  <si>
    <t>YPPBF7FE</t>
  </si>
  <si>
    <t>JOSE MARIA CASTILLO CORONA</t>
  </si>
  <si>
    <t>JACOBO ARTEAGA JAIME NOEL</t>
  </si>
  <si>
    <t>9QMSJ0PD</t>
  </si>
  <si>
    <t>GARCIA GONZALEZ MANUEL</t>
  </si>
  <si>
    <t>C8L22FFW</t>
  </si>
  <si>
    <t>CHAVEZ RUELAS HILARIO</t>
  </si>
  <si>
    <t>37BOK38O</t>
  </si>
  <si>
    <t>CARRILLO ESCAREÑO IGNACIO</t>
  </si>
  <si>
    <t>13KSPUPD</t>
  </si>
  <si>
    <t>CHANGOS</t>
  </si>
  <si>
    <t>J. JESÚS REYES CAMPOS</t>
  </si>
  <si>
    <t>NBE3QB3D</t>
  </si>
  <si>
    <t>JOSE ISABEL RODRIGUEZ DE LA CRUZ</t>
  </si>
  <si>
    <t>OMAR TORRES ZAPATA</t>
  </si>
  <si>
    <t>ISMAEL SANCHEZ RODRIGUEZ</t>
  </si>
  <si>
    <t>HTSMZVKW</t>
  </si>
  <si>
    <t>ADRIAN MORENO MARTINEZ</t>
  </si>
  <si>
    <t>6Y2THO7F</t>
  </si>
  <si>
    <t>KAPASES</t>
  </si>
  <si>
    <t>VARELA JARAMILLO JESUS</t>
  </si>
  <si>
    <t>4TJURH1J</t>
  </si>
  <si>
    <t>ORTIZ MARTINEZ IVAN</t>
  </si>
  <si>
    <t>D0RBQAYU</t>
  </si>
  <si>
    <t>MACIAS BARRIOS JULIO CESAR</t>
  </si>
  <si>
    <t>V394BFSH</t>
  </si>
  <si>
    <t xml:space="preserve">HELDER ALEJANDRO GAMEZ RODRIGUEZ </t>
  </si>
  <si>
    <t>4WZVR1YM</t>
  </si>
  <si>
    <t>CHAMPION MEDIO AMBIENTE</t>
  </si>
  <si>
    <t>ALEJANDRO CARDENAS MACIAS</t>
  </si>
  <si>
    <t>4LOT6JZ5</t>
  </si>
  <si>
    <t>CHAMPION MANTENIMIENTO</t>
  </si>
  <si>
    <t>BEER LOVERS</t>
  </si>
  <si>
    <t>MARIA DE JESUS MUÑOZ CASTILLO</t>
  </si>
  <si>
    <t>3UXH95FJ</t>
  </si>
  <si>
    <t>SAMUEL DEL RIO CASTILLO</t>
  </si>
  <si>
    <t>ET1CWK08</t>
  </si>
  <si>
    <t>CHAMPION GENTE</t>
  </si>
  <si>
    <t>NORMA RUTH REGIS DUEÑAS</t>
  </si>
  <si>
    <t>EO3VE6SF</t>
  </si>
  <si>
    <t>CHAMPION AMBIENTAL</t>
  </si>
  <si>
    <t>MARCELO DEL REAL MARQUEZ</t>
  </si>
  <si>
    <t>OILVKLFQ</t>
  </si>
  <si>
    <t>MANUEL DOMINGUEZ RODRIGUEZ</t>
  </si>
  <si>
    <t>LVT9AV8G</t>
  </si>
  <si>
    <t>APOYO GENTE</t>
  </si>
  <si>
    <t>LUIS ALBERTO LEYVA ESCARCIA</t>
  </si>
  <si>
    <t>RDK19S3E</t>
  </si>
  <si>
    <t>CHAMPION CALIDAD</t>
  </si>
  <si>
    <t>JUAN ANTONIO SAUCEDO VALENZUELA</t>
  </si>
  <si>
    <t>94QJ4L3T</t>
  </si>
  <si>
    <t>CHAMPION GESTION</t>
  </si>
  <si>
    <t>JOSE IGNACIO ELICERIO ORTIZ</t>
  </si>
  <si>
    <t>3UCAIZT9</t>
  </si>
  <si>
    <t>CHAMPION SEGURIDAD</t>
  </si>
  <si>
    <t>HUMBERTO LOPEZ VAZQUEZ</t>
  </si>
  <si>
    <t>7J9SYSAY</t>
  </si>
  <si>
    <t>CHAMPION LOGISTICA</t>
  </si>
  <si>
    <t>BUD LIGHTYEAR</t>
  </si>
  <si>
    <t>LUIS ANGEL PADRON MACIAS</t>
  </si>
  <si>
    <t>BBI1BP7Y</t>
  </si>
  <si>
    <t>SAUL DE JESUS ORTIZ CASTILLO</t>
  </si>
  <si>
    <t>2LNNAN44</t>
  </si>
  <si>
    <t>MARGARITA TORRES RUIZ</t>
  </si>
  <si>
    <t>VGNBE5I5</t>
  </si>
  <si>
    <t>APOYO GESTION</t>
  </si>
  <si>
    <t>LUIS PAULO SANDOVAL CORTES</t>
  </si>
  <si>
    <t>A34RTHTK</t>
  </si>
  <si>
    <t>JOSE OROZCO MALDONADO</t>
  </si>
  <si>
    <t>H7TOWJCB</t>
  </si>
  <si>
    <t>JORGE MONTENEGRO CUELLAR</t>
  </si>
  <si>
    <t>I0QC6NWB</t>
  </si>
  <si>
    <t>GUADALUPE VALADEZ DE LA CRUZ</t>
  </si>
  <si>
    <t>P79870MN</t>
  </si>
  <si>
    <t>GERARDO IGNACIO ANGUIANO RAYGOZA</t>
  </si>
  <si>
    <t>FZPGW967</t>
  </si>
  <si>
    <t>ANTONIO OLIVARES DUEÑAS</t>
  </si>
  <si>
    <t>Q0FB5Y4N</t>
  </si>
  <si>
    <t>LINCES</t>
  </si>
  <si>
    <t>JUAN ARTURO VAZQUEZ DE LIRA</t>
  </si>
  <si>
    <t>BW5A4AEV</t>
  </si>
  <si>
    <t>RODOLFO SALAZAR DE LA TORRE</t>
  </si>
  <si>
    <t>UXWJSYUM</t>
  </si>
  <si>
    <t>CHAMPION GESTIÓN</t>
  </si>
  <si>
    <t>MARLA GUADALUPE LIRA BAÑUELO</t>
  </si>
  <si>
    <t>B9RN4U5C</t>
  </si>
  <si>
    <t xml:space="preserve">MARIA DE JESUS RIVAS LANDEROS </t>
  </si>
  <si>
    <t>3PZ2WLI4</t>
  </si>
  <si>
    <t xml:space="preserve">LIDIA SELENE RIVAS LANDEROS </t>
  </si>
  <si>
    <t>YAYRXSQF</t>
  </si>
  <si>
    <t>JUAN CARLOS ROJAS LOPEZ</t>
  </si>
  <si>
    <t>ISIDORO RAMIREZ TORRES</t>
  </si>
  <si>
    <t>IA0J566L</t>
  </si>
  <si>
    <t>ESTEBAN REYES IBARRA</t>
  </si>
  <si>
    <t>SS32MJT8</t>
  </si>
  <si>
    <t>APOYO SEGURIDAD</t>
  </si>
  <si>
    <t>DAVID JIMENEZ MARTINEZ</t>
  </si>
  <si>
    <t>SIXZMC2F</t>
  </si>
  <si>
    <t>COMPADRES</t>
  </si>
  <si>
    <t>NOE CRUZ RAUDALES</t>
  </si>
  <si>
    <t>O5AFG12Q</t>
  </si>
  <si>
    <t>ROMAN ROSALES RAMIRO</t>
  </si>
  <si>
    <t>BERVR5UM</t>
  </si>
  <si>
    <t>CHAMPION DE LOGISTICA</t>
  </si>
  <si>
    <t>MWYT4VVF</t>
  </si>
  <si>
    <t>MANUEL SALAZAR PALACIOS</t>
  </si>
  <si>
    <t xml:space="preserve">CHAMPION GENTE </t>
  </si>
  <si>
    <t xml:space="preserve">ELEAZAR VALDEZ GARCÍA </t>
  </si>
  <si>
    <t>30689OOK</t>
  </si>
  <si>
    <t>APOYO CHAMPION GESTION</t>
  </si>
  <si>
    <t>JESÚS MANUEL GALLEGOS PICAZO</t>
  </si>
  <si>
    <t>0RKANQMD</t>
  </si>
  <si>
    <t>IVAN VILLA RIVERA</t>
  </si>
  <si>
    <t>F2J22T0Y</t>
  </si>
  <si>
    <t>CHAMPION DE AMBIENTAL</t>
  </si>
  <si>
    <t>VÍCTOR MANUEL DE ÁVILA GARCÍA</t>
  </si>
  <si>
    <t>ROAL6JDK</t>
  </si>
  <si>
    <t>LEONEL CAZAREZ HERNANDEZ</t>
  </si>
  <si>
    <t>AFORBG9Y</t>
  </si>
  <si>
    <t>ENRIQUE ESCOBEDO HERNANDEZ</t>
  </si>
  <si>
    <t>N44AJ9K7</t>
  </si>
  <si>
    <t>OMAR RAMIREZ RODRIGUEZ</t>
  </si>
  <si>
    <t>ZASI9TW7</t>
  </si>
  <si>
    <t>MIGUEL ÁNGEL VILLAVICENCIO VALENZUELA</t>
  </si>
  <si>
    <t>1G62BV8D</t>
  </si>
  <si>
    <t>NF99JZLM</t>
  </si>
  <si>
    <t>AURELIANO ORTIZ DELGADO</t>
  </si>
  <si>
    <t>FOSBXHYD</t>
  </si>
  <si>
    <t xml:space="preserve">APOYO MANTENIMIENTO </t>
  </si>
  <si>
    <t>GUILLERMO DELGADO RAMIREZ</t>
  </si>
  <si>
    <t>38O1YBX2</t>
  </si>
  <si>
    <t xml:space="preserve">CHAMPION DE GENTE </t>
  </si>
  <si>
    <t>PEDRO RAMÍREZ DOMÍNGUEZ</t>
  </si>
  <si>
    <t>EUK64GU4</t>
  </si>
  <si>
    <t>JOSÉ LEONEL CAMPOS MEDELLIN</t>
  </si>
  <si>
    <t>2PAR0XD5</t>
  </si>
  <si>
    <t>HERMINIO ALEJANDRO PINEDO ORTÍZ</t>
  </si>
  <si>
    <t>OEZ6UZQH</t>
  </si>
  <si>
    <t>APOYO CHAMPION AMBIENTAL</t>
  </si>
  <si>
    <t>NOÉ ÁNIBAL CASTRO MALDONADO</t>
  </si>
  <si>
    <t>YYE3T3JK</t>
  </si>
  <si>
    <t>GUERREROS</t>
  </si>
  <si>
    <t xml:space="preserve">VICTOR MANUEL MURO GALLEGOS </t>
  </si>
  <si>
    <t>JOSÉ DE JESÚS MEDINA DELGADO</t>
  </si>
  <si>
    <t>KHIIGVR9</t>
  </si>
  <si>
    <t>APOYO CHAMPION DE CALDIAD</t>
  </si>
  <si>
    <t>MOYSES GAYTAN GURROLA</t>
  </si>
  <si>
    <t>RQP8VWVO</t>
  </si>
  <si>
    <t>APOYO AMBIENTAL</t>
  </si>
  <si>
    <t>PB0ZYNDF</t>
  </si>
  <si>
    <t>JUAN MANUEL GUARDADO CASTRO</t>
  </si>
  <si>
    <t>LAUYC11J</t>
  </si>
  <si>
    <t>CHAMPION DE CALIDAD.</t>
  </si>
  <si>
    <t>MARTINEZ CASTAÑON JOSE PABLO</t>
  </si>
  <si>
    <t>KLWCE4CU</t>
  </si>
  <si>
    <t xml:space="preserve">APOYO CHAMPION DE GESTION </t>
  </si>
  <si>
    <t>GUTIERREZ AHUMADA JUAN LUIS</t>
  </si>
  <si>
    <t>CENQ62HH</t>
  </si>
  <si>
    <t>GALVAN MORALES FRANCISCO JAVIER</t>
  </si>
  <si>
    <t>NK6HSBSQ</t>
  </si>
  <si>
    <t>LOPEZ VALDES JOSE</t>
  </si>
  <si>
    <t>SZV6IAK0</t>
  </si>
  <si>
    <t xml:space="preserve">APOYO DE CHAMPION SEGURIDAD </t>
  </si>
  <si>
    <t>MARTINEZ ALMARAZ RODOLFO</t>
  </si>
  <si>
    <t>28RJSXSF</t>
  </si>
  <si>
    <t xml:space="preserve">CHAMPION CALIDAD </t>
  </si>
  <si>
    <t>JARAMILLO VEGA MARIO DE JESUS</t>
  </si>
  <si>
    <t>PTSGKY2F</t>
  </si>
  <si>
    <t>APOYO DE CHAMPION CALIDAD</t>
  </si>
  <si>
    <t>LEYVA ESCARCIA JOSE PATRICIO</t>
  </si>
  <si>
    <t>AO8CNWJX</t>
  </si>
  <si>
    <t xml:space="preserve">APOYO DE CHAMPION MANTENIMIENTO </t>
  </si>
  <si>
    <t>CID GALICIA RICARDO</t>
  </si>
  <si>
    <t>0N87G9DS</t>
  </si>
  <si>
    <t xml:space="preserve">APOYO DE CHAMPION AMBIENTAL </t>
  </si>
  <si>
    <t>DEL RIO FIGUEROA SERGIO</t>
  </si>
  <si>
    <t>27UNSIN8</t>
  </si>
  <si>
    <t xml:space="preserve">CHAMPION MANTENIMIENTO </t>
  </si>
  <si>
    <t>CARDENAS MACIAS BASILIO</t>
  </si>
  <si>
    <t>6WVEYQE9</t>
  </si>
  <si>
    <t xml:space="preserve">CHAMPION GESTION </t>
  </si>
  <si>
    <t>GARCIA ALVARADO DANIEL</t>
  </si>
  <si>
    <t>JMTJRJSI</t>
  </si>
  <si>
    <t xml:space="preserve">APOYO DE CHAMPION GENTE </t>
  </si>
  <si>
    <t>RUBEN NAJERA FIGUEROA</t>
  </si>
  <si>
    <t>0NHP53NU</t>
  </si>
  <si>
    <t>APOYO DE LOGISTICA</t>
  </si>
  <si>
    <t>JUAN MANUEL CASTILLO HERNANDEZ</t>
  </si>
  <si>
    <t>PXJ2GZUH</t>
  </si>
  <si>
    <t>INMORTALES</t>
  </si>
  <si>
    <t>EDGAR IVAN GARCIA BARRIOS</t>
  </si>
  <si>
    <t>SPCFRT25</t>
  </si>
  <si>
    <t>MUÑOZ MARTINEZ J GUADALUPE</t>
  </si>
  <si>
    <t>RECENDEZ TAPIA RIGOBERTO</t>
  </si>
  <si>
    <t>U55FRSDB</t>
  </si>
  <si>
    <t>TORRES BAEZ MIGUEL</t>
  </si>
  <si>
    <t>5K6I0578</t>
  </si>
  <si>
    <t>FLORES MIRANDA JUAN CARLOS</t>
  </si>
  <si>
    <t>3J82LJ1Z</t>
  </si>
  <si>
    <t>CARRILLO ARELLANO GERARDO</t>
  </si>
  <si>
    <t>8OOQICDG</t>
  </si>
  <si>
    <t>JUAN CARLOS DE LA CRUZ DE LA CRUZ</t>
  </si>
  <si>
    <t>APOYO DE MANTENIMIENTO</t>
  </si>
  <si>
    <t>LOPEZ ORTIZ JUAN PEDRO</t>
  </si>
  <si>
    <t>YW017UHW</t>
  </si>
  <si>
    <t>RODARTE MALDONADO ALEJANDRO</t>
  </si>
  <si>
    <t>CE2S31AW</t>
  </si>
  <si>
    <t xml:space="preserve">APOYO DE CHAMPION DE LOGISTICA </t>
  </si>
  <si>
    <t>HERNANDEZ VALDEZ MANUEL</t>
  </si>
  <si>
    <t>58AHBY6D</t>
  </si>
  <si>
    <t>AGUILERA GONZALEZ PABLO</t>
  </si>
  <si>
    <t>BIJED1O9</t>
  </si>
  <si>
    <t>RAMIREZ RODRIGUEZ MANUEL</t>
  </si>
  <si>
    <t>GXYY5J8B</t>
  </si>
  <si>
    <t>PARGA NUÑEZ MANUEL</t>
  </si>
  <si>
    <t>X22VTW4S</t>
  </si>
  <si>
    <t xml:space="preserve">APOYO DE GENTE </t>
  </si>
  <si>
    <t>ALVARADO MORALES VENANCIO</t>
  </si>
  <si>
    <t>L2R2H1XO</t>
  </si>
  <si>
    <t>ALVARADO DAVILA JOSE MANUEL</t>
  </si>
  <si>
    <t>9JOOEVKA</t>
  </si>
  <si>
    <t>MENDEZ AVILA JUAN LUIS</t>
  </si>
  <si>
    <t>BIACHE AVILA J JESUS</t>
  </si>
  <si>
    <t>UH6APMQC</t>
  </si>
  <si>
    <t>CORONA</t>
  </si>
  <si>
    <t>CASTRO SOLIS FRANCISCO</t>
  </si>
  <si>
    <t>HX8Y386H</t>
  </si>
  <si>
    <t>BELMONTES MARTINEZ DAVID</t>
  </si>
  <si>
    <t>4QTYI65R</t>
  </si>
  <si>
    <t>GAYTAN CERVANTES JOSE LUIS</t>
  </si>
  <si>
    <t>V5TI5C2C</t>
  </si>
  <si>
    <t>MONTENEGRO CUELLAR SERGIO ANTONIO</t>
  </si>
  <si>
    <t>HA752NIM</t>
  </si>
  <si>
    <t xml:space="preserve">CHAMPION DE GESTION </t>
  </si>
  <si>
    <t>JOSE ANTONIO CASTILLO CARDONA</t>
  </si>
  <si>
    <t>APOYO DE SEGURIDAD</t>
  </si>
  <si>
    <t>GARCIA GODINEZ UBALDO VALERIANO</t>
  </si>
  <si>
    <t>CASTAÑEDA CASTRO MANUEL DE JESUS</t>
  </si>
  <si>
    <t>B54L1MZT</t>
  </si>
  <si>
    <t>SAMUEL LUMBRERAS ALFERES</t>
  </si>
  <si>
    <t>OWN7K9N1</t>
  </si>
  <si>
    <t>CERVANTES REYES OMAR FELIPE</t>
  </si>
  <si>
    <t>V1TCLC2Q</t>
  </si>
  <si>
    <t xml:space="preserve">APOYO  DE GESTION </t>
  </si>
  <si>
    <t>LUIS EDUARDO DOMINGUEZ VARELA</t>
  </si>
  <si>
    <t>19KHV3C0</t>
  </si>
  <si>
    <t>LEOBARDO GARCIA REZA</t>
  </si>
  <si>
    <t>095F8KX0</t>
  </si>
  <si>
    <t>ARTURO RODRIGUEZ</t>
  </si>
  <si>
    <t>1A8YQAW6</t>
  </si>
  <si>
    <t>APOYO DE CALIDAD</t>
  </si>
  <si>
    <t>GARZA CARDENAS ROLANDO</t>
  </si>
  <si>
    <t>243TH99Q</t>
  </si>
  <si>
    <t>GUERRERO HERRERA JORGE LUIS</t>
  </si>
  <si>
    <t>M7EJ79HI</t>
  </si>
  <si>
    <t>MONTOYA CANDELAS MIGUEL ANGEL</t>
  </si>
  <si>
    <t>1TD6VTV4</t>
  </si>
  <si>
    <t>LAS MERAS VENAS</t>
  </si>
  <si>
    <t>RAUL SANTOS HERNANDEZ</t>
  </si>
  <si>
    <t>XQRAVKTT</t>
  </si>
  <si>
    <t>Apoyo a Seguridad</t>
  </si>
  <si>
    <t xml:space="preserve">LAS MERAS VENAS </t>
  </si>
  <si>
    <t>ALANIZ PEREYRA ANGEL</t>
  </si>
  <si>
    <t>MS4PHJF1</t>
  </si>
  <si>
    <t>BURGOS RAMIREZ FRANCISCO</t>
  </si>
  <si>
    <t>6NH5ZJOO</t>
  </si>
  <si>
    <t>RAUL RODRIGO BUGARIN LOPEZ</t>
  </si>
  <si>
    <t>TO1JNX5X</t>
  </si>
  <si>
    <t xml:space="preserve">CHAMPION DE CALIDAD </t>
  </si>
  <si>
    <t>CORDOVA ACOSTA MARTIN</t>
  </si>
  <si>
    <t>KWT9T1MF</t>
  </si>
  <si>
    <t>ESPINOZA SANCHEZ NOEL</t>
  </si>
  <si>
    <t>USWPV5HW</t>
  </si>
  <si>
    <t>ROSALES RAMIREZ JORGE JOEL</t>
  </si>
  <si>
    <t>4B2WTF76</t>
  </si>
  <si>
    <t>SALVADOR BAÑUELOS RODRIGUEZ</t>
  </si>
  <si>
    <t>AX3OJPX5</t>
  </si>
  <si>
    <t xml:space="preserve">APOYO LOGISTICA </t>
  </si>
  <si>
    <t>GABRIEL CARDONA</t>
  </si>
  <si>
    <t>HH2A8B5O</t>
  </si>
  <si>
    <t>RODRIGUEZ LOPEZ NEFTALI</t>
  </si>
  <si>
    <t>2GULJWP0</t>
  </si>
  <si>
    <t>TORRES CORTEZ JOSE MANUEL</t>
  </si>
  <si>
    <t>EFE0N4P8</t>
  </si>
  <si>
    <t>PEDRO HERNANDEZ LICERIO</t>
  </si>
  <si>
    <t>Q6A7DNQI</t>
  </si>
  <si>
    <t>DELGADO SANCHEZ SANTOS ALBERTO</t>
  </si>
  <si>
    <t>CDKNC7IG</t>
  </si>
  <si>
    <t>EFRAIN BARRERA MONTOYA</t>
  </si>
  <si>
    <t>APOYO LOGISTICA</t>
  </si>
  <si>
    <t>EDUARDO MANUEL PRADO AMARO</t>
  </si>
  <si>
    <t>VLQ0IPWI</t>
  </si>
  <si>
    <t>LOS MAS CHINGONES</t>
  </si>
  <si>
    <t>ALFREDO BURCIAGA ROJAS</t>
  </si>
  <si>
    <t>LHXAPY0D</t>
  </si>
  <si>
    <t>CHAMPION DE GESTION</t>
  </si>
  <si>
    <t>VICTOR ENRIQUE PIÑA FLORES</t>
  </si>
  <si>
    <t>V7Y0F69Z</t>
  </si>
  <si>
    <t xml:space="preserve">CHAMPION DE SEGURIDAD </t>
  </si>
  <si>
    <t>VILLELA TORRES MIGUEL ANGEL</t>
  </si>
  <si>
    <t>RPWQT5RU</t>
  </si>
  <si>
    <t>RODRIGUEZ FLORES FERNANDO</t>
  </si>
  <si>
    <t>LCF0RO7H</t>
  </si>
  <si>
    <t>APOYO CALIDAD</t>
  </si>
  <si>
    <t>VIRAMONTES MARTINEZ REYES</t>
  </si>
  <si>
    <t>39JDHQAE</t>
  </si>
  <si>
    <t>ROMAN MAURICIO OSCAR</t>
  </si>
  <si>
    <t>TJJDKIX7</t>
  </si>
  <si>
    <t>LOPEZ LOPEZ MIGUEL ANGEL</t>
  </si>
  <si>
    <t>LDZ53TYK</t>
  </si>
  <si>
    <t>MALDONADO LOPEZ JORGE</t>
  </si>
  <si>
    <t>OE5F64BS</t>
  </si>
  <si>
    <t>AGUILAR PARGA MANUEL DE JESUS</t>
  </si>
  <si>
    <t>F7ANSI8G</t>
  </si>
  <si>
    <t>PEREZ BARRIOS CARLOS</t>
  </si>
  <si>
    <t>8RQV3RGZ</t>
  </si>
  <si>
    <t>DEL RIO FIGUEROA VICTOR HUGO</t>
  </si>
  <si>
    <t>038TSHM8</t>
  </si>
  <si>
    <t>LEDEZMA RAMIREZ MAURICIO ALEJANDRO</t>
  </si>
  <si>
    <t>606DVU39</t>
  </si>
  <si>
    <t>ARELLANO ORDAZ MIGUEL ANGEL</t>
  </si>
  <si>
    <t>JILK47FS</t>
  </si>
  <si>
    <t>GILBERTO HERNANDEZ FLORES</t>
  </si>
  <si>
    <t>73K0TYL1</t>
  </si>
  <si>
    <t xml:space="preserve">LOS MAS CHINGONES </t>
  </si>
  <si>
    <t>RAFAEL HERNANDEZ MORENO</t>
  </si>
  <si>
    <t>2BEEA96W</t>
  </si>
  <si>
    <t>LOS CATADORES</t>
  </si>
  <si>
    <t>DOROTEO RUEDA ESTRADA</t>
  </si>
  <si>
    <t>Z4RQINLW</t>
  </si>
  <si>
    <t>RICARDO ALVARADO MORALES</t>
  </si>
  <si>
    <t>9O10EQ5R</t>
  </si>
  <si>
    <t>2Y5M55IQ</t>
  </si>
  <si>
    <t>FILIBERTO HERNANDEZ TORRES</t>
  </si>
  <si>
    <t>R3A68YTE</t>
  </si>
  <si>
    <t>CHAMPION MANTENIMIENTO.</t>
  </si>
  <si>
    <t>5L23MV4O</t>
  </si>
  <si>
    <t>LUIS MANUEL MARTINEZ FLORES</t>
  </si>
  <si>
    <t>VVOA9SGS</t>
  </si>
  <si>
    <t>APOYO DE AMBIENTAL</t>
  </si>
  <si>
    <t>JOSE GUADALUPE GOYTIA PARDO</t>
  </si>
  <si>
    <t>IXBJD8T0</t>
  </si>
  <si>
    <t>CHAMPIONS LOGISTICA</t>
  </si>
  <si>
    <t>JOSE GUADALUPE PADILLA CARRILLO</t>
  </si>
  <si>
    <t>SA7QA6D2</t>
  </si>
  <si>
    <t>VICTOR HUGO GARZA CARDENAS</t>
  </si>
  <si>
    <t>ZDBY7N7F</t>
  </si>
  <si>
    <t>EDUARDO GARCIA ALVARADO</t>
  </si>
  <si>
    <t>JJHKH30V</t>
  </si>
  <si>
    <t>CHAMPION DE CALIDAD</t>
  </si>
  <si>
    <t>CARLOS ALBERTO NIETO ROBLES</t>
  </si>
  <si>
    <t>HCRZCKZO</t>
  </si>
  <si>
    <t>JOSE GUADALUPUE ALVARADO LOPEZ</t>
  </si>
  <si>
    <t>9CPI7MPI</t>
  </si>
  <si>
    <t>MARCELO GONZALES GUTIERREZ</t>
  </si>
  <si>
    <t>UJ4IV2VA</t>
  </si>
  <si>
    <t>MANUEL ALBERTO ORTIZ</t>
  </si>
  <si>
    <t>JUAN DARI MONTOYA TORRES</t>
  </si>
  <si>
    <t>1PJOB1QN</t>
  </si>
  <si>
    <t>JOHAN NOE ORTIZ REVELES</t>
  </si>
  <si>
    <t>CHAMPIONS ENGAMENT</t>
  </si>
  <si>
    <t>RODRIGO HINOJOZA MOLINA</t>
  </si>
  <si>
    <t>C6461EGA</t>
  </si>
  <si>
    <t>APOYO MANTENIMIENTO</t>
  </si>
  <si>
    <t>LOS INTOCABLES</t>
  </si>
  <si>
    <t>FRANCISCO JAVIER TORRES LECHUGA</t>
  </si>
  <si>
    <t>7SY8R2WU</t>
  </si>
  <si>
    <t>JOSE ANTONIO VELAZQUEZ GRACIA</t>
  </si>
  <si>
    <t>7YMNLXVT</t>
  </si>
  <si>
    <t>SEFERINO MACIAS MENDOZA</t>
  </si>
  <si>
    <t>I1410253</t>
  </si>
  <si>
    <t>BENJAMIN LOPEZ ESPINOZA</t>
  </si>
  <si>
    <t>RNYAB2JP</t>
  </si>
  <si>
    <t>ALVARO ALVARADO PACHECO</t>
  </si>
  <si>
    <t>VN5B6M78</t>
  </si>
  <si>
    <t>RAYMUNDO VAZQUEZ SANDOVAL</t>
  </si>
  <si>
    <t>1AVMW3DU</t>
  </si>
  <si>
    <t>OSCAR ANTONIO FELIX DELGADO</t>
  </si>
  <si>
    <t>EWMGF01B</t>
  </si>
  <si>
    <t>GUSTAVO VALENCIA AVALOS</t>
  </si>
  <si>
    <t>4DAOHLLN</t>
  </si>
  <si>
    <t>MIGUEL ANGEL DAVILA CHIHUAHUA</t>
  </si>
  <si>
    <t>2EKDJ69O</t>
  </si>
  <si>
    <t>MIGUEL OCHA MARTEL</t>
  </si>
  <si>
    <t>5Q0G6GXU</t>
  </si>
  <si>
    <t>JOSE MANUEL RIVERA ZAMORA</t>
  </si>
  <si>
    <t>EAP3K9X4</t>
  </si>
  <si>
    <t>JOSE DE JESUS LLAMAS CASTILLO</t>
  </si>
  <si>
    <t>RHNPKDPC</t>
  </si>
  <si>
    <t>JUAN CARLOS ROJAS PADILLA</t>
  </si>
  <si>
    <t>YFKCL3EB</t>
  </si>
  <si>
    <t>CHAMPION DE SEGURIDAD</t>
  </si>
  <si>
    <t>SIGY ALFREDO LOPEZ LOPEZ</t>
  </si>
  <si>
    <t>4ZLU8AJY</t>
  </si>
  <si>
    <t>LUIS IVAN VALDEZ AGUILAR</t>
  </si>
  <si>
    <t>FG1NINGN</t>
  </si>
  <si>
    <t>CHAMPIONS GENTE</t>
  </si>
  <si>
    <t>RICARDO LUNA RODRIGUEZ</t>
  </si>
  <si>
    <t>A633W6AJ</t>
  </si>
  <si>
    <t>ALAN VILLELA GALLEGOS</t>
  </si>
  <si>
    <t>LOS WARRIORS</t>
  </si>
  <si>
    <t>VICENTE ALBERTO VALDIVIA MONTOYA</t>
  </si>
  <si>
    <t>IZ4P3YGG</t>
  </si>
  <si>
    <t>ALVARO SALAS GUITIERREZ</t>
  </si>
  <si>
    <t>7YDWN0W7</t>
  </si>
  <si>
    <t>SALVADOR ALVAREZ DE LA TORRE</t>
  </si>
  <si>
    <t>BUOGCJIG</t>
  </si>
  <si>
    <t>JUAN ANTONIO GUERRA GUEVARA</t>
  </si>
  <si>
    <t>24O93YBF</t>
  </si>
  <si>
    <t>HOMERO MARTINEZ VAZQUEZ</t>
  </si>
  <si>
    <t>FSQ5XPY0</t>
  </si>
  <si>
    <t>EDUARDO VALLE GUERRERO</t>
  </si>
  <si>
    <t>V7IUJVLF</t>
  </si>
  <si>
    <t>MARCOS ROBLES AGUIRRE</t>
  </si>
  <si>
    <t>86GEICME</t>
  </si>
  <si>
    <t>CARLOS ESCALANTE RODRIGUEZ</t>
  </si>
  <si>
    <t>78G2VBW0</t>
  </si>
  <si>
    <t>OSCAR IVAN CARRILLO MUÑOZ</t>
  </si>
  <si>
    <t>S3LN9BIM</t>
  </si>
  <si>
    <t>DANIEL PEREZ BANDA</t>
  </si>
  <si>
    <t>DUH8FGHV</t>
  </si>
  <si>
    <t>OLIVERIO RAMIREZ DOMINGUEZ</t>
  </si>
  <si>
    <t>L65TOFSK</t>
  </si>
  <si>
    <t>SERGIO ARMANDO ROMAN TREJO</t>
  </si>
  <si>
    <t>0AG1ERXQ</t>
  </si>
  <si>
    <t>JOSE LUIS JUAREZ TORRES</t>
  </si>
  <si>
    <t>LENY NIETO NIETO</t>
  </si>
  <si>
    <t>2HH7YEFK</t>
  </si>
  <si>
    <t>ROBERTO LEYVA ROBLES</t>
  </si>
  <si>
    <t>ZN9PQEDJ</t>
  </si>
  <si>
    <t>MARTINEZ MUÑOZ MIGUEL ANGEL</t>
  </si>
  <si>
    <t xml:space="preserve">EL JARDÍN </t>
  </si>
  <si>
    <t>FLORES MURILLO OSCAR</t>
  </si>
  <si>
    <t>MDJ9MACZ</t>
  </si>
  <si>
    <t>ZAMARRIPA MARIN ALBERTO</t>
  </si>
  <si>
    <t>T8094X98</t>
  </si>
  <si>
    <t>ACOSTA HUERTA ADRIAN</t>
  </si>
  <si>
    <t>MURILLO LUNA MANUEL</t>
  </si>
  <si>
    <t>NAJAR RAMIREZ ROY</t>
  </si>
  <si>
    <t>AWBKJIV9</t>
  </si>
  <si>
    <t>SANCHEZ CASTAÑEDA ARMANDO</t>
  </si>
  <si>
    <t>ALVAREZ RODRIGUEZ JUAN CARLOS</t>
  </si>
  <si>
    <t>YT1EU519</t>
  </si>
  <si>
    <t>DIAZ NIETO JUAN MANUEL</t>
  </si>
  <si>
    <t>OJYFW2VA</t>
  </si>
  <si>
    <t>ORTIZ PINEDO CARLOS DAVID</t>
  </si>
  <si>
    <t>2YQ8B7OJ</t>
  </si>
  <si>
    <t>CHAMPION MANTENIMINETO</t>
  </si>
  <si>
    <t>ESCARCIA TREJO JOSE ANTONIO</t>
  </si>
  <si>
    <t>6J56TFJC</t>
  </si>
  <si>
    <t>ALVARADO BARRON ISAAC FERNANDO</t>
  </si>
  <si>
    <t>MORALES MARTINEZ OTOHNIEL</t>
  </si>
  <si>
    <t>H55M6QQT</t>
  </si>
  <si>
    <t>LUIS ROBERTO TORRES MURILLO</t>
  </si>
  <si>
    <t>LZD2WV9P</t>
  </si>
  <si>
    <t xml:space="preserve">JESUS MANUEL DUEÑAS GARCIA </t>
  </si>
  <si>
    <t>42TJJKX4</t>
  </si>
  <si>
    <t>RUBEN MURILLO GARCIA</t>
  </si>
  <si>
    <t>Z74HTUVE</t>
  </si>
  <si>
    <t>EXPERIENCIA AL 100</t>
  </si>
  <si>
    <t>GARZA NORIEGA ESTEBAN</t>
  </si>
  <si>
    <t>YHQZR47R</t>
  </si>
  <si>
    <t>GONZALEZ DE LA ROSA JUAN FRANCISCO</t>
  </si>
  <si>
    <t>A5P99N01</t>
  </si>
  <si>
    <t>MONTES VALTIERRA HECTOR DANIEL</t>
  </si>
  <si>
    <t>J2ZUC4AC</t>
  </si>
  <si>
    <t>DOMINGUEZ CARRILLO ANDRES</t>
  </si>
  <si>
    <t>7MLAC86D</t>
  </si>
  <si>
    <t>CAMPOS LUNA ARMANDO</t>
  </si>
  <si>
    <t>APUM7TQP</t>
  </si>
  <si>
    <t>APOYO ENGAGEMENT</t>
  </si>
  <si>
    <t>PALOMINO GONZALEZ JOB</t>
  </si>
  <si>
    <t>MANUEL VEGA MORALES</t>
  </si>
  <si>
    <t>IJ7Z1TEP</t>
  </si>
  <si>
    <t>CHAMPION DE GENTE</t>
  </si>
  <si>
    <t>GERARDO VALLE HERNANDEZ</t>
  </si>
  <si>
    <t>439VFS6G</t>
  </si>
  <si>
    <t>ESCOBEDO SILVA DANIEL</t>
  </si>
  <si>
    <t>CHAMPION ENGAGEMENT</t>
  </si>
  <si>
    <t>ZANDATE SOTELO JOSE PABLO</t>
  </si>
  <si>
    <t>YMIGLCF8</t>
  </si>
  <si>
    <t>JULIO CESAR MURILLO RODRIGUEZ</t>
  </si>
  <si>
    <t>2KZI5BOH</t>
  </si>
  <si>
    <t>CHAMPION DE GESTIÓN</t>
  </si>
  <si>
    <t>HOMERO ORTIZ AGUILAR</t>
  </si>
  <si>
    <t>RODRIGUEZ DIAZ VICTOR HUGO</t>
  </si>
  <si>
    <t>AHYP62OQ</t>
  </si>
  <si>
    <t>GONZALEZ JARA SAMUEL</t>
  </si>
  <si>
    <t>P940XB3X</t>
  </si>
  <si>
    <t>VAZQUEZ OLGUIN LUIS GILBERTO</t>
  </si>
  <si>
    <t>MXGL9XBD</t>
  </si>
  <si>
    <t>FAMILIAR 940</t>
  </si>
  <si>
    <t>RODRIGUEZ LOPEZ VICENTE</t>
  </si>
  <si>
    <t>AKSF5WBP</t>
  </si>
  <si>
    <t>PEREZ SAUCEDO CESAR</t>
  </si>
  <si>
    <t>CAZARES CASAS GUMARO</t>
  </si>
  <si>
    <t>GRANO LOPEZ BERNARDO</t>
  </si>
  <si>
    <t>5GA3L0I8</t>
  </si>
  <si>
    <t>PARRA DELGADO ROBERTO</t>
  </si>
  <si>
    <t>NDTF5F80</t>
  </si>
  <si>
    <t>CASAS GAMEZ JULIO CESAR</t>
  </si>
  <si>
    <t>HZ0GW6Y7</t>
  </si>
  <si>
    <t>ARELLANO CONTRERAS MAURICIO</t>
  </si>
  <si>
    <t>K8ICA990</t>
  </si>
  <si>
    <t>PALACIOS CASTRO DAVID</t>
  </si>
  <si>
    <t>DELGADO LEYVA RICARDO ARTURO</t>
  </si>
  <si>
    <t>HERNANDEZ ELICERIO SERGIO</t>
  </si>
  <si>
    <t>JXFY3HM4</t>
  </si>
  <si>
    <t>GOYTIA CORDOVA JORGE</t>
  </si>
  <si>
    <t>AJR8JMI2</t>
  </si>
  <si>
    <t>SAUCEDO LOPEZ JUAN MANUEL</t>
  </si>
  <si>
    <t>NOLKO12G</t>
  </si>
  <si>
    <t>RODARTE ALVARADO JOSE CARLOS</t>
  </si>
  <si>
    <t>WL9WSWTD</t>
  </si>
  <si>
    <t>TISCAREÑO SANCHEZ ANDRES</t>
  </si>
  <si>
    <t>VICTOR ALFONSO PALACIOS LOPEZ</t>
  </si>
  <si>
    <t>ZWDNAZTF</t>
  </si>
  <si>
    <t>CARAJOS</t>
  </si>
  <si>
    <t>EDGAR ALFREDO LANDEROS</t>
  </si>
  <si>
    <t>GUILLERMO RAUDALES</t>
  </si>
  <si>
    <t>GL5YWNGK</t>
  </si>
  <si>
    <t>CHAMPION DE MANTENIMIENTO</t>
  </si>
  <si>
    <t>JOSE DE JESUS ORTIZ VILLEGAS</t>
  </si>
  <si>
    <t>JLE78UOK</t>
  </si>
  <si>
    <t>JOSE ALFREDO PARRA VILLAGRANA</t>
  </si>
  <si>
    <t>4K1OJPJV</t>
  </si>
  <si>
    <t>MIGUEL GARAY MARTINEZ</t>
  </si>
  <si>
    <t>QX2HFPD5</t>
  </si>
  <si>
    <t>APOYO DE GESTIÓN.</t>
  </si>
  <si>
    <t>LUIS DAVID RAMIREZ RAMOS</t>
  </si>
  <si>
    <t>0G8C2MR7</t>
  </si>
  <si>
    <t>RIOS DAVILA OSCAR OVED</t>
  </si>
  <si>
    <t>9BCWKOMU</t>
  </si>
  <si>
    <t>MARTIN RODRIGUEZ</t>
  </si>
  <si>
    <t>WBY0Y9U6</t>
  </si>
  <si>
    <t xml:space="preserve">CHAMPION DE AMBIENTAL </t>
  </si>
  <si>
    <t>J CRUZ MARTINEZ DE LA TORRE</t>
  </si>
  <si>
    <t>UDKD3S8G</t>
  </si>
  <si>
    <t>JORGE ARTURO GARCIA CHAVEZ</t>
  </si>
  <si>
    <t>REWCKYTJ</t>
  </si>
  <si>
    <t>JOSE EFRAIN HERNANDEZ TORRES</t>
  </si>
  <si>
    <t>2AWMIJ8O</t>
  </si>
  <si>
    <t>APOYO DE GENTE</t>
  </si>
  <si>
    <t>LEDEZMA REYES ADOLFO</t>
  </si>
  <si>
    <t>LYM6IURC</t>
  </si>
  <si>
    <t>ALEXIS GONZALO GODINA MARTINEZ</t>
  </si>
  <si>
    <t>8JOEP89D</t>
  </si>
  <si>
    <t>MAXIMILIANO VAZQUEZ CARRILLO</t>
  </si>
  <si>
    <t>ALVARO SANCHEZ TREJO</t>
  </si>
  <si>
    <t>D26QZOXN</t>
  </si>
  <si>
    <t>APOYO GESTIÓN</t>
  </si>
  <si>
    <t>ALEJANDRO CASTAÑON AGUILAR</t>
  </si>
  <si>
    <t>ECAV9QEQ</t>
  </si>
  <si>
    <t>LOS MEJORES</t>
  </si>
  <si>
    <t>LUIS MANUEL GARDUÑO</t>
  </si>
  <si>
    <t>DAVID ESCALERA REYES</t>
  </si>
  <si>
    <t>ZD75Q7O7</t>
  </si>
  <si>
    <t>APOYO DE GESTION</t>
  </si>
  <si>
    <t xml:space="preserve">LOS MEJORES </t>
  </si>
  <si>
    <t xml:space="preserve">LUIS MANUEL GARDUÑO </t>
  </si>
  <si>
    <t>CARDONA CARDONA JOAQUIN</t>
  </si>
  <si>
    <t>F0VKMQ64</t>
  </si>
  <si>
    <t>RAMIRO ESPARZA ORTIZ</t>
  </si>
  <si>
    <t>6EBWJAMU</t>
  </si>
  <si>
    <t>JESUS DE SANTIAGO GALLEGOS</t>
  </si>
  <si>
    <t>ESCOBEDO CARDONA ARTURO</t>
  </si>
  <si>
    <t>RODRIGUEZ GARCIA ERASMO</t>
  </si>
  <si>
    <t>LC7518EG</t>
  </si>
  <si>
    <t>JOSE ANGEL IBARRA SUSTAITA</t>
  </si>
  <si>
    <t>6T9LLUSL</t>
  </si>
  <si>
    <t>GARCIA CORTEZ JUAN MARTIN</t>
  </si>
  <si>
    <t>RODRIGUEZ GALVAN JULIAN</t>
  </si>
  <si>
    <t>LLKA3C3J</t>
  </si>
  <si>
    <t>J DE JESUS RIVAS MEDINA</t>
  </si>
  <si>
    <t>G9CIWCWP</t>
  </si>
  <si>
    <t>ALVARADO DE LA CRUZ ENRIQUE</t>
  </si>
  <si>
    <t>9U78BFF3</t>
  </si>
  <si>
    <t>RIVAS PEREYRA RODOLFO</t>
  </si>
  <si>
    <t xml:space="preserve">LORENZO MACIAS COLLAZO </t>
  </si>
  <si>
    <t>FAE2UGA0</t>
  </si>
  <si>
    <t>JESUS SOLIS REYES</t>
  </si>
  <si>
    <t>GU840ZSR</t>
  </si>
  <si>
    <t>CHAMPION DE SEGURIDAD.</t>
  </si>
  <si>
    <t>VALLE HERNANDEZ DANIEL</t>
  </si>
  <si>
    <t>RUIZ GONZALEZ JULIO</t>
  </si>
  <si>
    <t>FFRE982R</t>
  </si>
  <si>
    <t>SALAZAR GONZALEZ GUSTAVO</t>
  </si>
  <si>
    <t>RENEGADOS</t>
  </si>
  <si>
    <t>SAUL CHAVEZ SALAS</t>
  </si>
  <si>
    <t>FRANCISCO JAVIER MEDINA BRIONES</t>
  </si>
  <si>
    <t>7ZQTDY4O</t>
  </si>
  <si>
    <t>APOYO DE GESTIÓN</t>
  </si>
  <si>
    <t>J. ROSARIO DE LA ISLA MARQUEZ</t>
  </si>
  <si>
    <t>RD078MUM</t>
  </si>
  <si>
    <t>MAURO CARDONA CASTILLO</t>
  </si>
  <si>
    <t>PN78WDAP</t>
  </si>
  <si>
    <t xml:space="preserve">CHAMPION DE MANTENIMIENTO </t>
  </si>
  <si>
    <t>SERGIO CARDONA CASTILLO</t>
  </si>
  <si>
    <t>DJSXM3EA</t>
  </si>
  <si>
    <t>JORGE HERNANDEZ CASTILLO</t>
  </si>
  <si>
    <t>W5LVCE1Z</t>
  </si>
  <si>
    <t xml:space="preserve">APOYO  EN SEGURIDAD </t>
  </si>
  <si>
    <t>ERNESTO PADILLA VARELA</t>
  </si>
  <si>
    <t>P0O6O5I4</t>
  </si>
  <si>
    <t xml:space="preserve">CHAMPION LOGISTICA </t>
  </si>
  <si>
    <t>SERGIO CORDERO IBARRA</t>
  </si>
  <si>
    <t>MB39XRCR</t>
  </si>
  <si>
    <t xml:space="preserve">CHAMPION DE GESTIÓN </t>
  </si>
  <si>
    <t>JOSE ROBERTO VALLE ORTIZ</t>
  </si>
  <si>
    <t>T6OSF44H</t>
  </si>
  <si>
    <t xml:space="preserve">APOYO DE SEGURIDAD </t>
  </si>
  <si>
    <t>BALDOMERO DOMINGUEZ SOLIS</t>
  </si>
  <si>
    <t>INAD8SH1</t>
  </si>
  <si>
    <t>APOYO MTTO.</t>
  </si>
  <si>
    <t xml:space="preserve">JOSE ANTONIO LEDEZMA LUJAN </t>
  </si>
  <si>
    <t>QPOB7Q1R</t>
  </si>
  <si>
    <t>JERONIMO CASAS DIAZ</t>
  </si>
  <si>
    <t>1DUIXYW0</t>
  </si>
  <si>
    <t>ANTONIO DE JESUS MARTINEZ LUJAN</t>
  </si>
  <si>
    <t>TNF0Q7Q5</t>
  </si>
  <si>
    <t xml:space="preserve">CHAMPION DE LOGÍSTICA </t>
  </si>
  <si>
    <t>JUAN LUIS PULIDO TREJO</t>
  </si>
  <si>
    <t>O93M4Y8U</t>
  </si>
  <si>
    <t xml:space="preserve">APOYO DE GESTION </t>
  </si>
  <si>
    <t>JOSE DE JESUS MEDELLIN CARRILLO</t>
  </si>
  <si>
    <t>IQAAAZ0E</t>
  </si>
  <si>
    <t xml:space="preserve">APOYO DE LOGISTICA </t>
  </si>
  <si>
    <t>ARMANDO SEGOVIA RODRIGUEZ</t>
  </si>
  <si>
    <t>W52IGE66</t>
  </si>
  <si>
    <t>DANIEL ORTIZ LOERA</t>
  </si>
  <si>
    <t>FUFL7MP5</t>
  </si>
  <si>
    <t xml:space="preserve">APOYO DE CALIDAD </t>
  </si>
  <si>
    <t>JOSE LUIS SALDIVAR SANTOS</t>
  </si>
  <si>
    <t>HYO4H50P</t>
  </si>
  <si>
    <t xml:space="preserve">APOYO DE AMBIENTAL </t>
  </si>
  <si>
    <t>FLACOS</t>
  </si>
  <si>
    <t>SUSANA AGUILERA</t>
  </si>
  <si>
    <t>ULKI9RRX</t>
  </si>
  <si>
    <t>SALAS SALAS JOSE CARLOS</t>
  </si>
  <si>
    <t>JYIGHA01</t>
  </si>
  <si>
    <t>CHAMPION  CALIDAD</t>
  </si>
  <si>
    <t>MARTINEZ LOPEZ ROQUE</t>
  </si>
  <si>
    <t>02N4N3T9</t>
  </si>
  <si>
    <t>CAMPOS GUERRERO JESUS GUADALUPE</t>
  </si>
  <si>
    <t>CJEHI8BY</t>
  </si>
  <si>
    <t>LUMBRERAS ALFEREZ PEDRO</t>
  </si>
  <si>
    <t>MKT8KI6K</t>
  </si>
  <si>
    <t>IBARRA CARRILLO JOSE ANGEL</t>
  </si>
  <si>
    <t>AFD9FH55</t>
  </si>
  <si>
    <t>MEDINA ORTIZ JESUS SALVADOR</t>
  </si>
  <si>
    <t>0BUJDNA5</t>
  </si>
  <si>
    <t>PEREZ MARTINEZ IVANHOE</t>
  </si>
  <si>
    <t>Z76AG979</t>
  </si>
  <si>
    <t>CHAMPION  LOGISTICA</t>
  </si>
  <si>
    <t>DE LIRA MATA ALDO ALEJANDRO</t>
  </si>
  <si>
    <t>J60UWMOR</t>
  </si>
  <si>
    <t>CRUZ LUNA VALENTIN</t>
  </si>
  <si>
    <t>I52KW1XQ</t>
  </si>
  <si>
    <t xml:space="preserve">APOYO SEGURIDAD </t>
  </si>
  <si>
    <t>CID GAMEZ GUILLERMO</t>
  </si>
  <si>
    <t>KTDVJOEQ</t>
  </si>
  <si>
    <t xml:space="preserve">CHAMPION SEGURIDAD </t>
  </si>
  <si>
    <t>LOS PODEROSOS</t>
  </si>
  <si>
    <t>DIEGO CONTRERAS</t>
  </si>
  <si>
    <t>RODRIGUEZ RODRIGUEZ ARON</t>
  </si>
  <si>
    <t>61M4YW64</t>
  </si>
  <si>
    <t>MENDEZ RODARTE JUAN FRANCISCO</t>
  </si>
  <si>
    <t>YMC7NQ8Y</t>
  </si>
  <si>
    <t>SALAS SUSTAITA MANUEL</t>
  </si>
  <si>
    <t>0TMG75RJ</t>
  </si>
  <si>
    <t>CASTILLO HERRERA JUAN ANTONIO</t>
  </si>
  <si>
    <t>3XY9E0BN</t>
  </si>
  <si>
    <t>GONZALEZ VALDEZ HECTOR OMERO</t>
  </si>
  <si>
    <t>S8TNMX7U</t>
  </si>
  <si>
    <t>RODRIGUEZ MACIAS MARTIN</t>
  </si>
  <si>
    <t>RODRIGUEZ ARANDA MANUEL</t>
  </si>
  <si>
    <t>27TQG52E</t>
  </si>
  <si>
    <t>LOS TOROS</t>
  </si>
  <si>
    <t>EMILIO MARTINEZ ZAVALA</t>
  </si>
  <si>
    <t>TRONCOSO ANDRADE MANUEL</t>
  </si>
  <si>
    <t>TZH18X4T</t>
  </si>
  <si>
    <t>8N7LTHOA</t>
  </si>
  <si>
    <t>GARCIA ESPARZA FRANCISCO JAVIER</t>
  </si>
  <si>
    <t>C1BT00XG</t>
  </si>
  <si>
    <t>MONTOYA DUARTE ISMAEL</t>
  </si>
  <si>
    <t>HHOV2XR0</t>
  </si>
  <si>
    <t>HERNANDEZ CABRERA JAVIER</t>
  </si>
  <si>
    <t>H3ELK8IL</t>
  </si>
  <si>
    <t>ORTIZ CHAVEZ REYNALDO</t>
  </si>
  <si>
    <t>Q2HCTPZZ</t>
  </si>
  <si>
    <t>HVH00V5R</t>
  </si>
  <si>
    <t>RODOLFO VILLELA MARTINEZ</t>
  </si>
  <si>
    <t>TREJO MELENDEZ OCTAVIO</t>
  </si>
  <si>
    <t>K1ZVO5Q9</t>
  </si>
  <si>
    <t>DEL VILLAR MURO PEDRO</t>
  </si>
  <si>
    <t>0WQ1O3OZ</t>
  </si>
  <si>
    <t>GARZA GARCIA JORGE</t>
  </si>
  <si>
    <t>K6N3JTY9</t>
  </si>
  <si>
    <t>LOERA MORENO SERGIO</t>
  </si>
  <si>
    <t>74SNVGAG</t>
  </si>
  <si>
    <t>COYOTES</t>
  </si>
  <si>
    <t>SOSA RODRIGUEZ JOSE MANUEL</t>
  </si>
  <si>
    <t>LKA8XXYA</t>
  </si>
  <si>
    <t>SANCHEZ GARCIA JAIME</t>
  </si>
  <si>
    <t>JCWB5JNR</t>
  </si>
  <si>
    <t>JOSE FRANCISCO RODRIGUEZ RODRIGUEZ</t>
  </si>
  <si>
    <t>PVBBPN4B</t>
  </si>
  <si>
    <t>MEDINA SAUCEDO ALBERTO</t>
  </si>
  <si>
    <t>IZKEZFJR</t>
  </si>
  <si>
    <t>ORTIZ RAMOS JAVIER</t>
  </si>
  <si>
    <t>L9WKHTLO</t>
  </si>
  <si>
    <t>BUGARIN CARDENAS JOSE LUIS</t>
  </si>
  <si>
    <t>JPAEDYL4</t>
  </si>
  <si>
    <t>ACEVEDO ARIAS RODOLFO</t>
  </si>
  <si>
    <t>XQ3SKWCR</t>
  </si>
  <si>
    <t>JESUS OMAR NAVARRO MUÑOZ</t>
  </si>
  <si>
    <t>TDF53A54</t>
  </si>
  <si>
    <t>JOAN SUSTAITA TREJO</t>
  </si>
  <si>
    <t>VSL3R3OP</t>
  </si>
  <si>
    <t>RAMIREZ HERNANDEZ LUIS ENRIQUE</t>
  </si>
  <si>
    <t>KMSNL2RJ</t>
  </si>
  <si>
    <t>LA BANDA DEL ZORRO</t>
  </si>
  <si>
    <t>MARTIN RUELAS MENDEZ</t>
  </si>
  <si>
    <t>FI6X77XL</t>
  </si>
  <si>
    <t>JAVIER BAÑUELOS RODRIGUEZ</t>
  </si>
  <si>
    <t>PCDVCK3J</t>
  </si>
  <si>
    <t>FRANCISCO JAVIER MEDINA HERNANDEZ</t>
  </si>
  <si>
    <t>Q3Y3FZOV</t>
  </si>
  <si>
    <t>JUAN MANUEL VAZQUEZ CUEVAS</t>
  </si>
  <si>
    <t>NA9APAE9</t>
  </si>
  <si>
    <t>ALEJANDRO QUIROZ HERNANDEZ</t>
  </si>
  <si>
    <t>ERW1QMDQ</t>
  </si>
  <si>
    <t>JOSE DANIEL LICERIO GAYTAN</t>
  </si>
  <si>
    <t>MRFE3FRB</t>
  </si>
  <si>
    <t>VICTOR HUGO MAURICIO DAVILA</t>
  </si>
  <si>
    <t>MUN6ULL9</t>
  </si>
  <si>
    <t>FRED JOHAN NIETO VAZQUEZ</t>
  </si>
  <si>
    <t>R4A1UJGA</t>
  </si>
  <si>
    <t>JESUS FELICIANO MAURICIO QUIÑONES</t>
  </si>
  <si>
    <t>EE8PVL16</t>
  </si>
  <si>
    <t>LAS FALLAS FANTASMA</t>
  </si>
  <si>
    <t>JOSE LUIS LOPEZ ZAMARRIPA</t>
  </si>
  <si>
    <t>SPKASPBJ</t>
  </si>
  <si>
    <t>JUAN LUIS ROSALES IBARRA</t>
  </si>
  <si>
    <t>Y00S0UR4</t>
  </si>
  <si>
    <t>ANGEL ALBERTO PERALES GARAY</t>
  </si>
  <si>
    <t>0JPN6LLQ</t>
  </si>
  <si>
    <t>JOSE DIAZ LOPEZ</t>
  </si>
  <si>
    <t>YZS47GW8</t>
  </si>
  <si>
    <t>JOSE DE JESUS MARQUEZ DOMINGUEZ</t>
  </si>
  <si>
    <t>GC2M0LGX</t>
  </si>
  <si>
    <t xml:space="preserve">RIVAS SANCHEZ ROLANDO  </t>
  </si>
  <si>
    <t>R6V64BB1</t>
  </si>
  <si>
    <t>LORENZO CRUZ RODRIGUEZ</t>
  </si>
  <si>
    <t>I3D51SC9</t>
  </si>
  <si>
    <t>ESCUADRON MODELO</t>
  </si>
  <si>
    <t>GABRIEL HERNANDEZ MEDINA</t>
  </si>
  <si>
    <t>Y8CBLA9Z</t>
  </si>
  <si>
    <t>JAVIER LUNA LOPEZ</t>
  </si>
  <si>
    <t>LJ11K42H</t>
  </si>
  <si>
    <t>RUPERTO LOPEZ ZAMARRIPA</t>
  </si>
  <si>
    <t>T66APPVG</t>
  </si>
  <si>
    <t>FRANCISCO FIGUEROA ZAPATA</t>
  </si>
  <si>
    <t>50O1WH7J</t>
  </si>
  <si>
    <t>TERESO DE JESUS GONZALEZ MONREAL</t>
  </si>
  <si>
    <t>0758XCMO</t>
  </si>
  <si>
    <t>EFRAIN DELGADO HERNANDEZ</t>
  </si>
  <si>
    <t>JUAN JOSE LOPEZ MUÑOZ</t>
  </si>
  <si>
    <t>F6K97SXF</t>
  </si>
  <si>
    <t>ROBERTO ROBLES MARQUEZ</t>
  </si>
  <si>
    <t>S4O6J09K</t>
  </si>
  <si>
    <t>CONRADO FLORES ROBLEDO</t>
  </si>
  <si>
    <t>Z218RWCP</t>
  </si>
  <si>
    <t>JUAN CARLOS GONZALEZ SANCHEZ</t>
  </si>
  <si>
    <t>O7IG8GF3</t>
  </si>
  <si>
    <t>MARQUEZ ARELLANO ISRAEL</t>
  </si>
  <si>
    <t>LOS CHARROS</t>
  </si>
  <si>
    <t>HIGINIO GONZALEZ ORTIZ</t>
  </si>
  <si>
    <t>GTKCD6NM</t>
  </si>
  <si>
    <t>JACOBO ARELLANO MONCADA</t>
  </si>
  <si>
    <t>F0MJQNJA</t>
  </si>
  <si>
    <t>GERARDO MENDEZ SANDOVAL</t>
  </si>
  <si>
    <t>33ZY0ZOI</t>
  </si>
  <si>
    <t>GONZALO ORTIZ MAURICIO</t>
  </si>
  <si>
    <t>YKAYBA0E</t>
  </si>
  <si>
    <t>HERIBERTO MARTINEZ MARTINEZ</t>
  </si>
  <si>
    <t>EVYYF9D3</t>
  </si>
  <si>
    <t>ANDRES PERALES MACIAS</t>
  </si>
  <si>
    <t>L1E5Z3FQ</t>
  </si>
  <si>
    <t>MANUEL DE JESÚS TORRES VELÁZQUEZ</t>
  </si>
  <si>
    <t>6D3F89B5</t>
  </si>
  <si>
    <t>ROQUE ALEJANDRO DE LUNA DELGADO</t>
  </si>
  <si>
    <t>O524U4AR</t>
  </si>
  <si>
    <t>CESAR NIETO TORRES</t>
  </si>
  <si>
    <t>E7NWMN4R</t>
  </si>
  <si>
    <t>MANUEL VAZQUEZ AGUILAR</t>
  </si>
  <si>
    <t>J8KCW99Z</t>
  </si>
  <si>
    <t>CARDONA VELAZQUEZ MARTIN</t>
  </si>
  <si>
    <t>TGAATZZF</t>
  </si>
  <si>
    <t>LOS OSOS DORMIDOS</t>
  </si>
  <si>
    <t>JUAN RODRIGUEZ CASTORENA</t>
  </si>
  <si>
    <t>IT8MMS2U</t>
  </si>
  <si>
    <t>DANIEL ESPARZA FERNANDEZ</t>
  </si>
  <si>
    <t>TVT4BKKL</t>
  </si>
  <si>
    <t>JOSE MANUEL TORRES JAIME</t>
  </si>
  <si>
    <t>N5KJ1N38</t>
  </si>
  <si>
    <t>JOSE MANUEL GARCIA HERNANDEZ</t>
  </si>
  <si>
    <t>JOSE ANGEL VARELA JARAMILLO</t>
  </si>
  <si>
    <t>985BNV5W</t>
  </si>
  <si>
    <t xml:space="preserve">RAFAEL TORRES GUTIERREZ </t>
  </si>
  <si>
    <t>3ZM5S36J</t>
  </si>
  <si>
    <t>JUAN ROGELIO FIGUEROA TREJO</t>
  </si>
  <si>
    <t>78JXPHMI</t>
  </si>
  <si>
    <t>HUGO ALFREDO ALVARADO SILVA</t>
  </si>
  <si>
    <t>0OC5M3MZ</t>
  </si>
  <si>
    <t>RITO MADERA GONZALEZ</t>
  </si>
  <si>
    <t>DAVID VILLEGAS PEREZ</t>
  </si>
  <si>
    <t>KLOPU32U</t>
  </si>
  <si>
    <t>ANGEL ISIDRO VILLARREAL ESPARZA</t>
  </si>
  <si>
    <t>ZQ3D2O2U</t>
  </si>
  <si>
    <t>COLMILLOS BLANCOS</t>
  </si>
  <si>
    <t xml:space="preserve"> MEJIA TRUJILLO JULIO EDUARDO</t>
  </si>
  <si>
    <t>36ISGAG3</t>
  </si>
  <si>
    <t>RAMIREZ IBARRA ALFREDO</t>
  </si>
  <si>
    <t>ZWS3D482</t>
  </si>
  <si>
    <t>GONZALEZ AVILA SAUL</t>
  </si>
  <si>
    <t>6OMOAIV2</t>
  </si>
  <si>
    <t>VELAZQUEZ CAZAREZ JAYME</t>
  </si>
  <si>
    <t>A3435Y12</t>
  </si>
  <si>
    <t xml:space="preserve">APOYO GENTE </t>
  </si>
  <si>
    <t>HERRERA CARDONA OCTAVIO</t>
  </si>
  <si>
    <t>1P6OPC0P</t>
  </si>
  <si>
    <t>CERVANTES URIBE JORGE HECTOR</t>
  </si>
  <si>
    <t>04AC1QVS</t>
  </si>
  <si>
    <t xml:space="preserve">JOEL ALVAREZ MARTINEZ </t>
  </si>
  <si>
    <t>VVL26X8T</t>
  </si>
  <si>
    <t>HERNANDEZ ALVARADO EDUARDO</t>
  </si>
  <si>
    <t>60N59KV0</t>
  </si>
  <si>
    <t>RAMIREZ PARRA LUIS ROBERTO</t>
  </si>
  <si>
    <t>KMSOHG66</t>
  </si>
  <si>
    <t>CESAR ISAI SAUCEDO LOPEZ</t>
  </si>
  <si>
    <t>LBN8A2F3</t>
  </si>
  <si>
    <t>GONZALEZ RAMIREZ TOMAS</t>
  </si>
  <si>
    <t>IATPJ0OY</t>
  </si>
  <si>
    <t>EDUARDO SALAZAR MALDONADO</t>
  </si>
  <si>
    <t>6MZBZDS7</t>
  </si>
  <si>
    <t xml:space="preserve">EDUARDO MEDINA </t>
  </si>
  <si>
    <t>G5J72534</t>
  </si>
  <si>
    <t>LOS PITBULLS</t>
  </si>
  <si>
    <t>MARCO ANTONIO HERNANDEZ CASAS</t>
  </si>
  <si>
    <t>CARLOS ALBERTO ALVAREZ MARTINEZ</t>
  </si>
  <si>
    <t>PQTW6747</t>
  </si>
  <si>
    <t>LUNA JUAREZ ROLANDO</t>
  </si>
  <si>
    <t>FEP3B5MH</t>
  </si>
  <si>
    <t>DOMINGUEZ DE SANTIAGO RAFAEL</t>
  </si>
  <si>
    <t>ES4LBI64</t>
  </si>
  <si>
    <t>TALAVERA OTERO CUAUHTEMOC</t>
  </si>
  <si>
    <t>KS6NQ25S</t>
  </si>
  <si>
    <t>MARQUEZ DOMINGUEZ RAMON</t>
  </si>
  <si>
    <t>YU5LNYJO</t>
  </si>
  <si>
    <t>CASTRO MORENO EMILIO</t>
  </si>
  <si>
    <t>3512O4XJ</t>
  </si>
  <si>
    <t>PALACIOS ESCOBEDO VICTOR HUGO</t>
  </si>
  <si>
    <t>G6WWNZZY</t>
  </si>
  <si>
    <t>LARA SOSA ADAN</t>
  </si>
  <si>
    <t>Q1RA26MS</t>
  </si>
  <si>
    <t>RAMIREZ MONTOYA JUAN DAVID</t>
  </si>
  <si>
    <t>BRILU81Z</t>
  </si>
  <si>
    <t>MARTINEZ LIZARDO JOSE ANGEL</t>
  </si>
  <si>
    <t>HWFW3CF8</t>
  </si>
  <si>
    <t>EMMANUEL ALEJANDRO ZAPATA PARRA</t>
  </si>
  <si>
    <t>ANDRADE SANTILLAN ALEJANDRO</t>
  </si>
  <si>
    <t>8MF5FX4S</t>
  </si>
  <si>
    <t>ROBLES NIETO EVERARDO</t>
  </si>
  <si>
    <t>HFZS9ZHZ</t>
  </si>
  <si>
    <t>LOS WAKANDIANOS</t>
  </si>
  <si>
    <t xml:space="preserve">GURROLA SAID ALEJANDRO </t>
  </si>
  <si>
    <t>VJ5NQ2V1</t>
  </si>
  <si>
    <t>ESPITIA PINEDO RAUL</t>
  </si>
  <si>
    <t>T444UB73</t>
  </si>
  <si>
    <t>ELICERIO RODRIGUEZ OSCAR</t>
  </si>
  <si>
    <t>SPH0J7F0</t>
  </si>
  <si>
    <t>ELICERIO RODRIGUEZ JOSE MANUEL</t>
  </si>
  <si>
    <t>NP5YG9SI</t>
  </si>
  <si>
    <t>APOYO  GENTE</t>
  </si>
  <si>
    <t>ESCOBEDO RAMIREZ AGUSTIN</t>
  </si>
  <si>
    <t>NUÑEZ MUÑOZ GUSTAVO</t>
  </si>
  <si>
    <t>2FC1JFJB</t>
  </si>
  <si>
    <t>RAMIREZ ESTRADA ALBERTO</t>
  </si>
  <si>
    <t>WP09S7EY</t>
  </si>
  <si>
    <t>DE LA ROSA MEDINA JOSE DE JESUS</t>
  </si>
  <si>
    <t>QK8RTUF9</t>
  </si>
  <si>
    <t>CARRILLO MONTALVO DELFINO</t>
  </si>
  <si>
    <t>5GZMSMOO</t>
  </si>
  <si>
    <t>LUJAN CRUZ JOSE IGNACIO</t>
  </si>
  <si>
    <t>1PKMTJYU</t>
  </si>
  <si>
    <t>GODINA MARTINEZ SERGIO IVAN</t>
  </si>
  <si>
    <t>L3BAQAOP</t>
  </si>
  <si>
    <t>SILVA DELGADO DANIEL</t>
  </si>
  <si>
    <t>O783YBTA</t>
  </si>
  <si>
    <t>BRETADO CASTRO OSBALDO DE JESUS</t>
  </si>
  <si>
    <t>CJNJR6VB</t>
  </si>
  <si>
    <t>ORTIZ MIRANDA MIGUEL ANGEL</t>
  </si>
  <si>
    <t>W65TUJ5C</t>
  </si>
  <si>
    <t>HULK</t>
  </si>
  <si>
    <t>ELICERIO ADAME HILARIO</t>
  </si>
  <si>
    <t>RTCI63TH</t>
  </si>
  <si>
    <t>ESPARZA GARCIA FERNANDO</t>
  </si>
  <si>
    <t>SHLHL1D5</t>
  </si>
  <si>
    <t>GONZALEZ GARCIA LORENZO</t>
  </si>
  <si>
    <t>7L6B4MGB</t>
  </si>
  <si>
    <t>GONZALEZ SALDIVAR JUAN MANUEL</t>
  </si>
  <si>
    <t>4A1QVH7E</t>
  </si>
  <si>
    <t>LOPEZ RODRIGUEZ MARCELO</t>
  </si>
  <si>
    <t>41DXKSX5</t>
  </si>
  <si>
    <t>MARTINEZ PI?A FERNANDO</t>
  </si>
  <si>
    <t>D8O3VIFK</t>
  </si>
  <si>
    <t>MORENO LEOS ROGELIO</t>
  </si>
  <si>
    <t>6U07CLBN</t>
  </si>
  <si>
    <t>ORDAZ MOLINA RAUL</t>
  </si>
  <si>
    <t>D6RS60P4</t>
  </si>
  <si>
    <t>RAMIREZ HERNANDEZ ANGEL</t>
  </si>
  <si>
    <t>BDJH04SE</t>
  </si>
  <si>
    <t>REYES DOMINGUEZ JOSE DE JESUS</t>
  </si>
  <si>
    <t>O2WRPQFC</t>
  </si>
  <si>
    <t>SOSA LOPEZ JORGE</t>
  </si>
  <si>
    <t>9NZJFRVX</t>
  </si>
  <si>
    <t>LOS MILAGROSOS</t>
  </si>
  <si>
    <t>CARRILLO HERNANDEZ HUGO ADRIAN</t>
  </si>
  <si>
    <t>BA47TW67</t>
  </si>
  <si>
    <t>CESAR SALINAS MARTINEZ</t>
  </si>
  <si>
    <t>SVDSINJG</t>
  </si>
  <si>
    <t>Champion seguridad</t>
  </si>
  <si>
    <t>JESUS ORTEGA GARAY</t>
  </si>
  <si>
    <t>5NNXX0UN</t>
  </si>
  <si>
    <t>JORGE HERNANDEZ JAQUES</t>
  </si>
  <si>
    <t>Q88IE2RQ</t>
  </si>
  <si>
    <t xml:space="preserve">JOSE MANUEL CAMPOS AVILA </t>
  </si>
  <si>
    <t>J9JT0ETR</t>
  </si>
  <si>
    <t>JOSE MANUEL ORTIZ SUATITA</t>
  </si>
  <si>
    <t>ETROHTG6</t>
  </si>
  <si>
    <t>Champion calidad</t>
  </si>
  <si>
    <t>LUIS JAVIER QUINTERO REYES</t>
  </si>
  <si>
    <t>TSNRYOZI</t>
  </si>
  <si>
    <t>MARCO ANTONIO DIAZ ARROYO</t>
  </si>
  <si>
    <t>5QGT5O1X</t>
  </si>
  <si>
    <t>RAMIRO LOPEZ VALDES</t>
  </si>
  <si>
    <t>M4Z7URUJ</t>
  </si>
  <si>
    <t>SERVANDO VALDEZ SOSA</t>
  </si>
  <si>
    <t>XY00C0Q2</t>
  </si>
  <si>
    <t>Champion Logistica</t>
  </si>
  <si>
    <t xml:space="preserve">TREJO BA#UELOS ALFONSO        </t>
  </si>
  <si>
    <t>TJ0VLCHE</t>
  </si>
  <si>
    <t>LOS RORRITOS</t>
  </si>
  <si>
    <t>ADRIAN PALACIOS VILLELA</t>
  </si>
  <si>
    <t>E6CY6UQ6</t>
  </si>
  <si>
    <t>ADRIAN RUIZ MARTINEZ</t>
  </si>
  <si>
    <t>6GIHXJ99</t>
  </si>
  <si>
    <t>APOYO A CALIDAD</t>
  </si>
  <si>
    <t>EUGENIO DEVORA RAMIREZ</t>
  </si>
  <si>
    <t>5ZGQXCM7</t>
  </si>
  <si>
    <t>GUARDADO LEYVA BULMARO</t>
  </si>
  <si>
    <t>SOH9VDIS</t>
  </si>
  <si>
    <t>JORGE LUIS DOMINGUEZ ARIAS</t>
  </si>
  <si>
    <t>PFWM3VZE</t>
  </si>
  <si>
    <t>JUAN MANUEL RODRIGUEZ SANTILLAN</t>
  </si>
  <si>
    <t>YCWOHCVA</t>
  </si>
  <si>
    <t>LICERIO MALDONADO ERASMO</t>
  </si>
  <si>
    <t>MV50CBXS</t>
  </si>
  <si>
    <t>CHAMPIONS SEGURIDAD</t>
  </si>
  <si>
    <t>OROZCO ARELLANO ARMANDO</t>
  </si>
  <si>
    <t>N3SZ9K7M</t>
  </si>
  <si>
    <t>RUIZ MACIAS EDUARDO</t>
  </si>
  <si>
    <t>57DP15NZ</t>
  </si>
  <si>
    <t>SATARAIN MARTINEZ JUAN MANUEL</t>
  </si>
  <si>
    <t>CC1CNMWD</t>
  </si>
  <si>
    <t>MIXTO 11-12</t>
  </si>
  <si>
    <t>THE GOLDEN BOY'S</t>
  </si>
  <si>
    <t>DANIEL FLORES ROMERO</t>
  </si>
  <si>
    <t>HECTOR GONZALEZ MACIEL</t>
  </si>
  <si>
    <t>ARELLANO CONTRERAS JOSE PABLO</t>
  </si>
  <si>
    <t>AH64G8IX</t>
  </si>
  <si>
    <t>FERNANDEZ MEDRANO FIDEL</t>
  </si>
  <si>
    <t>D4L0TTSY</t>
  </si>
  <si>
    <t>GONZALEZ MEZA ADELAIDO</t>
  </si>
  <si>
    <t>PNJL4O4E</t>
  </si>
  <si>
    <t>LICERIO MONTOYA GUILLERMO</t>
  </si>
  <si>
    <t>X19AUR9Q</t>
  </si>
  <si>
    <t>RAMIREZ HERNANDEZ JOSE MANUEL</t>
  </si>
  <si>
    <t>IKJ05IJS</t>
  </si>
  <si>
    <t>ARMANDO GONZALEZ SANCHEZ</t>
  </si>
  <si>
    <t>0ZFHC4TI</t>
  </si>
  <si>
    <t>GONZALEZ BARRERA OSCAR EDUARDO</t>
  </si>
  <si>
    <t>SYQC0J63</t>
  </si>
  <si>
    <t>CRUZ LUNA BERNARDINO</t>
  </si>
  <si>
    <t>2RF29Y8C</t>
  </si>
  <si>
    <t>GONZALEZ ROBLES JOSE MANUEL</t>
  </si>
  <si>
    <t>9W85COW9</t>
  </si>
  <si>
    <t>MANUEL ALEJANDRO HUERTA NUÑEZ</t>
  </si>
  <si>
    <t>FQSWA74P</t>
  </si>
  <si>
    <t>MIXTO 1-2</t>
  </si>
  <si>
    <t xml:space="preserve">LAS AGUILAS </t>
  </si>
  <si>
    <t>DAVID RODRIGUEZ RODRIGUEZ</t>
  </si>
  <si>
    <t>JUAN ALAMILLO MONTES</t>
  </si>
  <si>
    <t>9TAGA4B5</t>
  </si>
  <si>
    <t>Oscar Sustaita Martinez</t>
  </si>
  <si>
    <t>YS1G6ODT</t>
  </si>
  <si>
    <t xml:space="preserve">Mario Ambriz Marquez </t>
  </si>
  <si>
    <t>P7WUI258</t>
  </si>
  <si>
    <t>JUAN SEBASTIAN ROMAN TREJO</t>
  </si>
  <si>
    <t>Apoyo Champion Ambiental</t>
  </si>
  <si>
    <t>Hector Lenin Reyes Hernandez</t>
  </si>
  <si>
    <t>R1WFP00C</t>
  </si>
  <si>
    <t>Filiberto Soriano Cuellar</t>
  </si>
  <si>
    <t>WZPROZM3</t>
  </si>
  <si>
    <t>MIXTO 13-14</t>
  </si>
  <si>
    <t>LOS CHAMPIONS</t>
  </si>
  <si>
    <t>Y26BL1D6</t>
  </si>
  <si>
    <t>BARRON JIMENEZ JOSE MANUEL</t>
  </si>
  <si>
    <t>Q8GU80ZP</t>
  </si>
  <si>
    <t>CARRILLO MACIAS ROSENDO RAFAEL</t>
  </si>
  <si>
    <t>NXAJT20U</t>
  </si>
  <si>
    <t>CORTEZ VILLARREAL MIGUEL ANGEL</t>
  </si>
  <si>
    <t>3MP2R4NV</t>
  </si>
  <si>
    <t>FELIX DELGADO ANTONIO</t>
  </si>
  <si>
    <t>UYKHFHKI</t>
  </si>
  <si>
    <t>HERRERA RAMIREZ EDGAR FABIAN</t>
  </si>
  <si>
    <t>S6WA77E7</t>
  </si>
  <si>
    <t xml:space="preserve">Apoyo a Mantenimiento </t>
  </si>
  <si>
    <t>LOPEZ RAMIREZ HERALDO MAYEL</t>
  </si>
  <si>
    <t>EKGN8C3A</t>
  </si>
  <si>
    <t>Apoyo a Calidad</t>
  </si>
  <si>
    <t>MARIA ISABEL PINALES</t>
  </si>
  <si>
    <t>MENDIOLA HINOJOSA BENITO ABRAM</t>
  </si>
  <si>
    <t>HG6NQNKW</t>
  </si>
  <si>
    <t>Champion Logística</t>
  </si>
  <si>
    <t>MONREAL MARTINEZ GABRIEL</t>
  </si>
  <si>
    <t>NQ2YSPE6</t>
  </si>
  <si>
    <t>Apoyo Gente</t>
  </si>
  <si>
    <t>ORTIZ CONTRERAS JAVIER</t>
  </si>
  <si>
    <t>QORLY58H</t>
  </si>
  <si>
    <t>REYES VILLAVICENCIO FILIBERTO</t>
  </si>
  <si>
    <t>0CCEXBVD</t>
  </si>
  <si>
    <t>SERNA SANTILLAN JOSE LUIS</t>
  </si>
  <si>
    <t>QVVBOLP3</t>
  </si>
  <si>
    <t>Apoyo a Gestion</t>
  </si>
  <si>
    <t>SILVA AGUILAR ABEL</t>
  </si>
  <si>
    <t>NDMRUVKF</t>
  </si>
  <si>
    <t>MIXTO 3-4</t>
  </si>
  <si>
    <t>LOS MIXTECOS</t>
  </si>
  <si>
    <t>EDUARDO JOVANI MARQUEZ</t>
  </si>
  <si>
    <t>LEYVA MARTINEZ BRAYAN</t>
  </si>
  <si>
    <t>6OAYCE4S</t>
  </si>
  <si>
    <t xml:space="preserve">EDWIN YAIR MAURICIO BERNAL </t>
  </si>
  <si>
    <t>FQYDWYFZ</t>
  </si>
  <si>
    <t>TREJO LOPEZ ALBERTO</t>
  </si>
  <si>
    <t>GZXOUV36</t>
  </si>
  <si>
    <t>TORRES DE ALBA LUIS</t>
  </si>
  <si>
    <t>AEP99MZ8</t>
  </si>
  <si>
    <t>RODRIGUEZ GARCIA ABRAHAM</t>
  </si>
  <si>
    <t>1BKWSQ2M</t>
  </si>
  <si>
    <t>RIVERA TORRES CELESTINO</t>
  </si>
  <si>
    <t>6Z2E89MV</t>
  </si>
  <si>
    <t xml:space="preserve">Apoyo Ambiental </t>
  </si>
  <si>
    <t>RAMON TREJO CORREA</t>
  </si>
  <si>
    <t>S57QFJAX</t>
  </si>
  <si>
    <t>NUÑEZ VALDEZ SAUL</t>
  </si>
  <si>
    <t>IVOKIJR1</t>
  </si>
  <si>
    <t>MEDELLIN MIRELES MARCO ANTONIO</t>
  </si>
  <si>
    <t>GXMZZC60</t>
  </si>
  <si>
    <t>Mixto 3-4</t>
  </si>
  <si>
    <t xml:space="preserve">MARCO ANTONIO VASQUEZ URIBE </t>
  </si>
  <si>
    <t>N7X0XKHK</t>
  </si>
  <si>
    <t>JOSE MANUEL GONZALEZ BUGARIN</t>
  </si>
  <si>
    <t>ZN6AQ0ZJ</t>
  </si>
  <si>
    <t xml:space="preserve">APOYO CALIDAD </t>
  </si>
  <si>
    <t>IRACHETA JARAMILLO LUIS ANGEL</t>
  </si>
  <si>
    <t>UG1PDVOU</t>
  </si>
  <si>
    <t>FRANCO PEREIDA FLAVIO</t>
  </si>
  <si>
    <t>8KD7PXQJ</t>
  </si>
  <si>
    <t>ELICERIO PARRA ARMANDO</t>
  </si>
  <si>
    <t>4KIJH2BH</t>
  </si>
  <si>
    <t>CASTILLO DUARTE FREDI ENRIQUE</t>
  </si>
  <si>
    <t>S7MG13AR</t>
  </si>
  <si>
    <t>CAMACHO OLIVA GILBERTO ANTONIO</t>
  </si>
  <si>
    <t>86PIWWBW</t>
  </si>
  <si>
    <t>MIXTO 5-7</t>
  </si>
  <si>
    <t>MAJIC</t>
  </si>
  <si>
    <t>HECTOR EDUARDO OROZCO</t>
  </si>
  <si>
    <t>WNGKA7UG</t>
  </si>
  <si>
    <t>RAMIREZ MARTINEZ ROSENDO</t>
  </si>
  <si>
    <t>RS12GM7D</t>
  </si>
  <si>
    <t>GONZALEZ DE SANTIAGO RODRIGO</t>
  </si>
  <si>
    <t>WH7SM1C7</t>
  </si>
  <si>
    <t>RIVAS REYES ADRIAN</t>
  </si>
  <si>
    <t>8I5JSC1R</t>
  </si>
  <si>
    <t>RIOS MUÑOZ JOSE</t>
  </si>
  <si>
    <t>DELGADO ARTEAGA JORGE</t>
  </si>
  <si>
    <t>8PJGO28S</t>
  </si>
  <si>
    <t>SOSA GARCIA SERGIO</t>
  </si>
  <si>
    <t>CTMSDX4I</t>
  </si>
  <si>
    <t>PEREZ DELGADO ROLANDO</t>
  </si>
  <si>
    <t>1XSSRXSD</t>
  </si>
  <si>
    <t>VAZQUEZ RAMOS ISMAEL</t>
  </si>
  <si>
    <t>0EUOKOY1</t>
  </si>
  <si>
    <t>RUIZ AGUI?AGA CARLOS OSVALDO</t>
  </si>
  <si>
    <t>7C1AZQRB</t>
  </si>
  <si>
    <t>MONREAL ROBLES FABIAN</t>
  </si>
  <si>
    <t>RXKAK4TF</t>
  </si>
  <si>
    <t>JARA CRUZ LUIS FERNANDO</t>
  </si>
  <si>
    <t>NRWV6FYF</t>
  </si>
  <si>
    <t>JOSE EDUARDO GONZALES LARA</t>
  </si>
  <si>
    <t>U4B0AHAE</t>
  </si>
  <si>
    <t>MIXTO 6-9</t>
  </si>
  <si>
    <t>ESCUADRÓN DE LA MUERTE</t>
  </si>
  <si>
    <t>XXMPIIAE</t>
  </si>
  <si>
    <t>GARZA ELICERIO J GUADALUPE</t>
  </si>
  <si>
    <t>7BDWKGAJ</t>
  </si>
  <si>
    <t>NIETO SERRANO RAMON</t>
  </si>
  <si>
    <t>4LX6DAJD</t>
  </si>
  <si>
    <t>NIETO JARAMILLO FRANCISCO JAVIER</t>
  </si>
  <si>
    <t>LN9U0HDV</t>
  </si>
  <si>
    <t>LOPEZ SOSA EUGENIO</t>
  </si>
  <si>
    <t>4FEYFLFT</t>
  </si>
  <si>
    <t>CRUZ PEREZ ANTONIO</t>
  </si>
  <si>
    <t>EITZWBJT</t>
  </si>
  <si>
    <t>ESCOBEDO VELAZQUEZ ANDRES</t>
  </si>
  <si>
    <t>SALAZAR CAMARILLO MIGUEL ANGEL</t>
  </si>
  <si>
    <t>ZAVALA MURILLO JOSE ALDAIR</t>
  </si>
  <si>
    <t>LJ7JYCWZ</t>
  </si>
  <si>
    <t>VAZQUEZ MORENO RAUL</t>
  </si>
  <si>
    <t>07GGWS02</t>
  </si>
  <si>
    <t>APOYO DE MTTO</t>
  </si>
  <si>
    <t>RICARDO AGUILAR LOPEZ</t>
  </si>
  <si>
    <t>XITK9Q6E</t>
  </si>
  <si>
    <t>CARRILLO  ESPINOZA  AARON</t>
  </si>
  <si>
    <t>5CYV5GJT</t>
  </si>
  <si>
    <t>ORTIZ RODRIGUEZ ALEJANDRO</t>
  </si>
  <si>
    <t>H269KJ92</t>
  </si>
  <si>
    <t>RODRIGUEZ  BANDA CESAR</t>
  </si>
  <si>
    <t>MACIEL  CASTILLO JORE LUIS</t>
  </si>
  <si>
    <t>03YEDOG3</t>
  </si>
  <si>
    <t>MARIA DEL REFUGIO</t>
  </si>
  <si>
    <t>E0O7QCRU</t>
  </si>
  <si>
    <t>MIXTO 9-10</t>
  </si>
  <si>
    <t>LOS MAÑANEROS</t>
  </si>
  <si>
    <t>HERNANDEZ ROSALES SIMON</t>
  </si>
  <si>
    <t>JUAN RODRIGUEZ LOPEZ</t>
  </si>
  <si>
    <t>GSG5FC6J</t>
  </si>
  <si>
    <t>LUIS FERNANDEZ MACIAS</t>
  </si>
  <si>
    <t>U4O2QGWR</t>
  </si>
  <si>
    <t>RODRIGUEZ CABRERA JORGE ADAN</t>
  </si>
  <si>
    <t>RICARDO SEGURA ESCOBEDO</t>
  </si>
  <si>
    <t>18ZSJZBN</t>
  </si>
  <si>
    <t>JORGE LUIS AGUILAR JARA</t>
  </si>
  <si>
    <t>4ZRBNO42</t>
  </si>
  <si>
    <t>ARMANDO LOPEZ ALMANZA</t>
  </si>
  <si>
    <t>XGB3E3F6</t>
  </si>
  <si>
    <t>FELIX DELGADO ARTURO</t>
  </si>
  <si>
    <t>OC4JQEWE</t>
  </si>
  <si>
    <t xml:space="preserve">JAVIER ORTIZ DE LA CRUZ </t>
  </si>
  <si>
    <t>7YDV03LH</t>
  </si>
  <si>
    <t xml:space="preserve">GILBERTO MENDEZ PALACIOS </t>
  </si>
  <si>
    <t xml:space="preserve">APOYO DE GESTIÓN </t>
  </si>
  <si>
    <t>JORGE LUIS SALAZAR HINOJOSA</t>
  </si>
  <si>
    <t>RLGGVHSL</t>
  </si>
  <si>
    <t>SANCHEZ DE LA TORRE JOJANNSE</t>
  </si>
  <si>
    <t>I6MU8BA6</t>
  </si>
  <si>
    <t>LOGÍSTICA</t>
  </si>
  <si>
    <t>ANDENES</t>
  </si>
  <si>
    <t xml:space="preserve">Metálicos Indestructibles </t>
  </si>
  <si>
    <t xml:space="preserve">BERENICE MACIAS </t>
  </si>
  <si>
    <t>ALFREDO ORTIZ SANTACRUZ</t>
  </si>
  <si>
    <t xml:space="preserve">ALMACEN ALTERNO </t>
  </si>
  <si>
    <t>Finger Sagrado</t>
  </si>
  <si>
    <t xml:space="preserve">JOSE ALEJANDRO GARCIA RODRIGUEZ </t>
  </si>
  <si>
    <t>R24IN4O5</t>
  </si>
  <si>
    <t>RAMÍREZ LÓPEZ JOSE LUIS</t>
  </si>
  <si>
    <t>83AXZ8WK</t>
  </si>
  <si>
    <t>GONZÁLEZ MÁRQUEZ MARIO ARMANDO</t>
  </si>
  <si>
    <t>CONTRERAS VÁZQUEZ ULISES</t>
  </si>
  <si>
    <t>L6DBA6WE</t>
  </si>
  <si>
    <t>CALDERA SALCEDO JOSE DE JESUS</t>
  </si>
  <si>
    <t>IIIBU0JJ</t>
  </si>
  <si>
    <t xml:space="preserve">EXPORTACION </t>
  </si>
  <si>
    <t>GUERREROS ULTRA</t>
  </si>
  <si>
    <t xml:space="preserve">RUMUALDO BARAJAS </t>
  </si>
  <si>
    <t>STIA2PTO</t>
  </si>
  <si>
    <t>CARLOS ALBERTO RAMIREZ SANTACRUZ</t>
  </si>
  <si>
    <t>CARLOS MEJIA FELIX</t>
  </si>
  <si>
    <t>EDUARDO PARRA DELGADO</t>
  </si>
  <si>
    <t>ERI ISAEL RODRIGUEZ MARTINEZ</t>
  </si>
  <si>
    <t>JESUS ANTONIO ROSALES ESPARZA</t>
  </si>
  <si>
    <t>JOSE ALEJANDRO BUGARIN SALAZAR</t>
  </si>
  <si>
    <t xml:space="preserve">GESTION </t>
  </si>
  <si>
    <t>JUAN ANGEL ORDAZ SEGOVIA</t>
  </si>
  <si>
    <t>JUAN CRISTO GARZA MARTINEZ</t>
  </si>
  <si>
    <t>JUAN EDUARDO HERNANDEZ SAUCEDO</t>
  </si>
  <si>
    <t>LINEAS</t>
  </si>
  <si>
    <t>Indestructibles</t>
  </si>
  <si>
    <t>BRAYAN ALEJANDRO CARDONA</t>
  </si>
  <si>
    <t>JI0O2GRR</t>
  </si>
  <si>
    <t>ALEJANDRO MELENDRES AVIÑA</t>
  </si>
  <si>
    <t>Champion de Medio Ambiente</t>
  </si>
  <si>
    <t>ALFREDO VILLAR PEREZ</t>
  </si>
  <si>
    <t>Champion de People</t>
  </si>
  <si>
    <t>CARLOS GUARDADO LEYVA</t>
  </si>
  <si>
    <t>Champion de Seguridad</t>
  </si>
  <si>
    <t>DANIEL SANTOS TREJO</t>
  </si>
  <si>
    <t>FROYLAN GARCIA ROMERO</t>
  </si>
  <si>
    <t>GERARDO VASQUEZ LEDESMA</t>
  </si>
  <si>
    <t>JESUS MANUEL IBARRA ALVAREZ</t>
  </si>
  <si>
    <t>JHONAN DOMINGUEZ SALAZAR</t>
  </si>
  <si>
    <t>Champion de logística</t>
  </si>
  <si>
    <t>JOSE ANTONIO LOPEZ LUNA</t>
  </si>
  <si>
    <t>Champion de Mantenimiento</t>
  </si>
  <si>
    <t>JOSE LUIS HERNANDEZ CHAVEZ</t>
  </si>
  <si>
    <t>JUAN MANUEL ORTIZ ORTIZ</t>
  </si>
  <si>
    <t>MARIO ALBERTO ORTIZ TREJO</t>
  </si>
  <si>
    <t>ROBERTO VELASQUEZ ALONSO</t>
  </si>
  <si>
    <t>SALVADOR FELIX RAMIREZ</t>
  </si>
  <si>
    <t>SAUL MARQUEZ MURILLO</t>
  </si>
  <si>
    <t>ALEXIS EDUARDO MARES</t>
  </si>
  <si>
    <t>CANAL MODERNO</t>
  </si>
  <si>
    <t>Los tunning de moderno</t>
  </si>
  <si>
    <t>ALEJANDRA YUMIRA PASILLAS TARANGO</t>
  </si>
  <si>
    <t>ECGV4JAB</t>
  </si>
  <si>
    <t xml:space="preserve">Sergio Eduardo Rodriguez Rodriguez </t>
  </si>
  <si>
    <t>Luis Manuel Sandoval Orozco</t>
  </si>
  <si>
    <t>Andres Jared Mendez Trinidad</t>
  </si>
  <si>
    <t>Jose Luciano Martinez Velazquez</t>
  </si>
  <si>
    <t>Victor Ulises Soto Rivera</t>
  </si>
  <si>
    <t xml:space="preserve">NACIONAL </t>
  </si>
  <si>
    <t xml:space="preserve">Muñecos </t>
  </si>
  <si>
    <t>NAYELI JAZMIN TOVAR ARROYO</t>
  </si>
  <si>
    <t>WSR7W9D1</t>
  </si>
  <si>
    <t xml:space="preserve">FRANCISCO JAVIER ESCOBAR PALACIOS </t>
  </si>
  <si>
    <t>FRANCISCO JAVIER OROZCO MALDONADO</t>
  </si>
  <si>
    <t>GABRIEL PEREZ DELGADO</t>
  </si>
  <si>
    <t>JOSE ALFREDO GONZALEZ BENITEZ</t>
  </si>
  <si>
    <t xml:space="preserve">JOSE LUIS SANCHEZ </t>
  </si>
  <si>
    <t>LORENZO RODRIGUEZ ARANDA</t>
  </si>
  <si>
    <t>LUIS FERNANDO DOMINGUEZ RAMIREZ</t>
  </si>
  <si>
    <t>MANUEL MALDONADO SANCHEZ</t>
  </si>
  <si>
    <t>RAFAEL RIVERA HERNANDEZ</t>
  </si>
  <si>
    <t>ARMANDO SANTILLAN ANDRADE</t>
  </si>
  <si>
    <t>ARTURO DAVILA LOPEZ</t>
  </si>
  <si>
    <t>CRUZ DIMAS DE SANTIAGO</t>
  </si>
  <si>
    <t>BRAULIO LOPEZ HERNANDEZ</t>
  </si>
  <si>
    <t>GABRIEL RAYGOZA CABELLO</t>
  </si>
  <si>
    <t>J JESUS VALLE URIBE</t>
  </si>
  <si>
    <t>JOSE MANUEL SANCHEZ GARCIA</t>
  </si>
  <si>
    <t>RAMIRO CABRERA RODRIGUEZ</t>
  </si>
  <si>
    <t>RICARDO PIÑA MURILLO</t>
  </si>
  <si>
    <t>SALVADOR FLORES ROBLEDO</t>
  </si>
  <si>
    <t xml:space="preserve">TAPANCO </t>
  </si>
  <si>
    <t xml:space="preserve">NO LE MUEVAN AHI LLEGO </t>
  </si>
  <si>
    <t xml:space="preserve">EDUARDO MUÑOZ ESCOBAR </t>
  </si>
  <si>
    <t>S3P3TFPV</t>
  </si>
  <si>
    <t>SERGIO JESUS VALDEZ DOMINGUEZ</t>
  </si>
  <si>
    <t>HE6XRC6T</t>
  </si>
  <si>
    <t xml:space="preserve">NO LE MUEVAN AHÍ LLEGO </t>
  </si>
  <si>
    <t>RENE FERNANDO MAURUCIO QUIÑONES</t>
  </si>
  <si>
    <t>0CR2XKUQ</t>
  </si>
  <si>
    <t>OSCAR LARA VASQUEZ</t>
  </si>
  <si>
    <t>TMRG343N</t>
  </si>
  <si>
    <t>MAURICIO RUIZ SEGOVIA</t>
  </si>
  <si>
    <t>1WHS47ME</t>
  </si>
  <si>
    <t xml:space="preserve">MANTENIMIENTO </t>
  </si>
  <si>
    <t xml:space="preserve">JOSE DE JESUS DE LIRA </t>
  </si>
  <si>
    <t>CRB60HNT</t>
  </si>
  <si>
    <t>DAVID DE JESUS RAMOS GUERRERO</t>
  </si>
  <si>
    <t>BF6B3HEM</t>
  </si>
  <si>
    <t>Nortecarguistas</t>
  </si>
  <si>
    <t>Fatima Rodriguez</t>
  </si>
  <si>
    <t>ANTONIO RAMIREZ PALACIOS</t>
  </si>
  <si>
    <t>DIEGO EZEQUIEL RODRIGUEZ MARQUEZ</t>
  </si>
  <si>
    <t>FIDEL DE JESUS TORRES ALVARADO</t>
  </si>
  <si>
    <t>HERACLIO VILLARREAL TERRONES</t>
  </si>
  <si>
    <t>JAVIER AGUILAR VAZQUEZ</t>
  </si>
  <si>
    <t>JUAN DANIEL RODRIGUEZ SALAZAR</t>
  </si>
  <si>
    <t xml:space="preserve">EXPORTACION /ALTERNO </t>
  </si>
  <si>
    <t>JUAN MANUEL PALACIOS HERNANDEZ</t>
  </si>
  <si>
    <t>LEONARDO DANIEL VILLAGRANA DOMINGUEZ</t>
  </si>
  <si>
    <t>ROBERTO ZAVALA CASAS</t>
  </si>
  <si>
    <t>Paisas</t>
  </si>
  <si>
    <t xml:space="preserve">FRANCISCO GARCIA PINEDA </t>
  </si>
  <si>
    <t>CESAR MEDINA MIRAMONTES</t>
  </si>
  <si>
    <t>DULCE MARIA ESTRADA MARTINEZ</t>
  </si>
  <si>
    <t>ELIAS GURROLA LOPEZ</t>
  </si>
  <si>
    <t>ELOY VELAZQUEZ RAMIREZ</t>
  </si>
  <si>
    <t>ERIC TORRES TORRES</t>
  </si>
  <si>
    <t>FERNANDO DANIEL HERNANDEZ SANCHEZ</t>
  </si>
  <si>
    <t>GILBERTO MENDEZ RODARTE</t>
  </si>
  <si>
    <t>GUSTAVO LEYVA ZAVALA</t>
  </si>
  <si>
    <t>HECTOR DAVID ELICERIO RODRIGUEZ</t>
  </si>
  <si>
    <t>JOSE MANUEL DOMINGUEZ RAMIREZ</t>
  </si>
  <si>
    <t>LUIS ANTONIO VAQUERA MARTINEZ</t>
  </si>
  <si>
    <t>MANUEL DE JESUS DUARTE RODRIGUEZ</t>
  </si>
  <si>
    <t>MARCO ANTONIO ARANDA NAVA</t>
  </si>
  <si>
    <t>ORLANDO ROMAN MAURICIO</t>
  </si>
  <si>
    <t>RAMIRO SOSA JUAREZ</t>
  </si>
  <si>
    <t>RAUL ORTIZ CAMARILLO</t>
  </si>
  <si>
    <t>REYES RODRIGUEZ SALAZAR</t>
  </si>
  <si>
    <t>YEFRY RUELAS SANCHEZ</t>
  </si>
  <si>
    <t>PYR</t>
  </si>
  <si>
    <t>Pelusas del PyR</t>
  </si>
  <si>
    <t>RICARDO HERNANDEZ VAZQUEZ</t>
  </si>
  <si>
    <t>3IEBQ27M</t>
  </si>
  <si>
    <t>ROGELIO AVILA PEREZ</t>
  </si>
  <si>
    <t>H5AT7TQ4</t>
  </si>
  <si>
    <t>EDGAR MONTOYA ORTIZ</t>
  </si>
  <si>
    <t>9OTXVL5Z</t>
  </si>
  <si>
    <t>CRISTOBAL HERNANDEZ PEREZ</t>
  </si>
  <si>
    <t>86VZM2HW</t>
  </si>
  <si>
    <t xml:space="preserve"> JUAN CARLOS GARCIA VEGA</t>
  </si>
  <si>
    <t>2S2AAGLI</t>
  </si>
  <si>
    <t xml:space="preserve"> ERNESTO GONZALEZ GUERRERO</t>
  </si>
  <si>
    <t>GJLNE4PY</t>
  </si>
  <si>
    <t>ALTERNO/TAPANCO</t>
  </si>
  <si>
    <t>EXPOALTERNOS</t>
  </si>
  <si>
    <t xml:space="preserve">DIANA DE LA RIVA SANCHEZ </t>
  </si>
  <si>
    <t>K6BCLG2S</t>
  </si>
  <si>
    <t>ROSAURO FALCON BALANDRAN</t>
  </si>
  <si>
    <t>SOM0QL4W</t>
  </si>
  <si>
    <t>Exporalternos</t>
  </si>
  <si>
    <t>FELIPE TORRES RÁMIREZ</t>
  </si>
  <si>
    <t>7ZR9SXZD</t>
  </si>
  <si>
    <t>CRUZ ANTONIO RAMIREZ GARCIA</t>
  </si>
  <si>
    <t>3QKU56IK</t>
  </si>
  <si>
    <t xml:space="preserve">ALFREDO CRUZ </t>
  </si>
  <si>
    <t>JRQTP97F</t>
  </si>
  <si>
    <t xml:space="preserve"> GONZALO HERRERA RUELAS</t>
  </si>
  <si>
    <t>L718CBI3</t>
  </si>
  <si>
    <t xml:space="preserve"> EFREN NARVAEZ LOPEZ</t>
  </si>
  <si>
    <t>UZVBYTV0</t>
  </si>
  <si>
    <t xml:space="preserve"> ABRAHAM BELMONTES MAURICIO</t>
  </si>
  <si>
    <t>ZTO6S34L</t>
  </si>
  <si>
    <t>Tiburones LOG</t>
  </si>
  <si>
    <t xml:space="preserve">ADRIANA STEPHANIE SAUCEDO FELIX </t>
  </si>
  <si>
    <t>ANA GEOVANA VILLAGRANA ORTIZ</t>
  </si>
  <si>
    <t>ARMANDO PINALES SANCHEZ</t>
  </si>
  <si>
    <t>DANIEL VILLAGRANA TORRES</t>
  </si>
  <si>
    <t>FERNANDO DEL VILLAR CARRILLO</t>
  </si>
  <si>
    <t>JORGE LUIS SAUCEDO DIAZ</t>
  </si>
  <si>
    <t>Tumbacarguistas del Norte</t>
  </si>
  <si>
    <t xml:space="preserve">LUIS ERNESTO VARGAS </t>
  </si>
  <si>
    <t>S7FVXVZO</t>
  </si>
  <si>
    <t>BONIFACIO ALVARADO AYALA</t>
  </si>
  <si>
    <t>JOSE GARCIA CASTRO</t>
  </si>
  <si>
    <t>JUAN MANUEL VALENZUELA SALAZAR</t>
  </si>
  <si>
    <t>JOSE CARLOS ARROYO</t>
  </si>
  <si>
    <t>MARCO ANTONIO RODRIGUEZ MACIAS</t>
  </si>
  <si>
    <t>J JESUS LOPEZ ARELLANO</t>
  </si>
  <si>
    <t>JOSE LUIS AGUILAR LOPEZ</t>
  </si>
  <si>
    <t>MANUEL DE JESUS DE AVILA CARLOS</t>
  </si>
  <si>
    <t>JORGE LARA MEDINA</t>
  </si>
  <si>
    <t>MARCO ANTONIO GARCIA GARCIA</t>
  </si>
  <si>
    <t>DAVID CASTRO MORENO</t>
  </si>
  <si>
    <t>GABRIEL MARTINEZ JACOBO</t>
  </si>
  <si>
    <t>HOMERO GALLEGOS MENDEZ</t>
  </si>
  <si>
    <t>JOSUE ABRAHAM CASTILLO CRUZ</t>
  </si>
  <si>
    <t>MANUEL REVELES NAVA</t>
  </si>
  <si>
    <t>JOSE ERNESTO LOPEZ CARBAJAL</t>
  </si>
  <si>
    <t>JUAN MANUEL LUNA FERNANDEZ</t>
  </si>
  <si>
    <t xml:space="preserve">ALTERNO </t>
  </si>
  <si>
    <t xml:space="preserve">TEAM MODELO </t>
  </si>
  <si>
    <t>CINTHIA CALDERON ESPINOZA</t>
  </si>
  <si>
    <t>DIEGO GUTIERREZ HERNANDEZ</t>
  </si>
  <si>
    <t>LEONARDO DANIEL LUNA ARMAS</t>
  </si>
  <si>
    <t>JUAN MANUEL HERNANDEZ HERNANDEZ</t>
  </si>
  <si>
    <t xml:space="preserve">PEOPLE </t>
  </si>
  <si>
    <t>BENITO CHAIREZ AGÜERO</t>
  </si>
  <si>
    <t xml:space="preserve">LOGISTICA </t>
  </si>
  <si>
    <t>JORGE REYES DAVILA</t>
  </si>
  <si>
    <t>AGUSTIN RODRIGUEZ LOPEZ</t>
  </si>
  <si>
    <t>ALTERNO</t>
  </si>
  <si>
    <t>TEAM FENIX</t>
  </si>
  <si>
    <t>AURELIO CRUZ</t>
  </si>
  <si>
    <t>JOSE MANUEL MORFIN</t>
  </si>
  <si>
    <t>IVAN GONZALEZ</t>
  </si>
  <si>
    <t>IVAN ISRAEL MARTINEZ MUÑOZ</t>
  </si>
  <si>
    <t>ELVIS CHRISTIAN VAZQUEZ SOSA</t>
  </si>
  <si>
    <t xml:space="preserve">LA MEZCLA </t>
  </si>
  <si>
    <t>JUAN CARLOS SOLIS CENTENO</t>
  </si>
  <si>
    <t>ALEJANDRO SANCHEZ QUINTERO</t>
  </si>
  <si>
    <t>LA MEZCLA</t>
  </si>
  <si>
    <t>Seguridad</t>
  </si>
  <si>
    <t>CRUZ MANUEL RAMIREZ ROBLES</t>
  </si>
  <si>
    <t>ENRIQUE LUNA DIAZ</t>
  </si>
  <si>
    <t>Gestión</t>
  </si>
  <si>
    <t>HILARIO LEDEZMA RAMIREZ</t>
  </si>
  <si>
    <t>Calidad</t>
  </si>
  <si>
    <t>JOAQUIN URIBE MARTINEZ</t>
  </si>
  <si>
    <t>Mantenimiento</t>
  </si>
  <si>
    <t>JUAN CARLOS VAZQUEZ AGUILAR</t>
  </si>
  <si>
    <t>LUCIANO CONTRERAS GONZALEZ</t>
  </si>
  <si>
    <t>Ambiental</t>
  </si>
  <si>
    <t>MANUEL CASTAÑEDA CHAVEZ</t>
  </si>
  <si>
    <t xml:space="preserve">Gestión </t>
  </si>
  <si>
    <t>RUBEN RAMIREZ MENDOZA</t>
  </si>
  <si>
    <t>People</t>
  </si>
  <si>
    <t xml:space="preserve">RECEPCION </t>
  </si>
  <si>
    <t>LOS GUERREROS MODELO</t>
  </si>
  <si>
    <t xml:space="preserve">ESTEFANIA SATIBAÑEZ </t>
  </si>
  <si>
    <t>CRUZ CECILIO HERNANDEZ SANTA</t>
  </si>
  <si>
    <t>FERNANDO TORRES MARTINEZ</t>
  </si>
  <si>
    <t>JOSE LUIS LOPEZ MORENO</t>
  </si>
  <si>
    <t>JOSE MANUEL TORRES ARELLANO</t>
  </si>
  <si>
    <t>JUAN GABRIEL SEGURA GUZMAN</t>
  </si>
  <si>
    <t>JUAN MANUEL RODRIGUEZ DOMINGUEZ</t>
  </si>
  <si>
    <t>MARTIN ORTIZ ESCARCIA</t>
  </si>
  <si>
    <t>NARCISO SANCHEZ CASTAÑEDA</t>
  </si>
  <si>
    <t xml:space="preserve">NICOLAS TORRES CASTORENA </t>
  </si>
  <si>
    <t>RODRIGO VAZQUEZ BAEZ</t>
  </si>
  <si>
    <t xml:space="preserve">PNC </t>
  </si>
  <si>
    <t>LOS QUE SHOW</t>
  </si>
  <si>
    <t>LILIANA ELIZABETH SALINAS RODRIGUEZ</t>
  </si>
  <si>
    <t>JORGE MARTINEZ REVELES</t>
  </si>
  <si>
    <t>JOSE RIVERA CASAREZ</t>
  </si>
  <si>
    <t>JUAN CARLOS SANCHEZ ROSALES</t>
  </si>
  <si>
    <t>SEGURIDAD, PEOPLE</t>
  </si>
  <si>
    <t>NOEL QUINTERO SANCHEZ</t>
  </si>
  <si>
    <t xml:space="preserve">TAPANQUEÑOS </t>
  </si>
  <si>
    <t xml:space="preserve">GRICELDA ROBLES CASTAÑEDA </t>
  </si>
  <si>
    <t>Alejandro Leos Ochoa</t>
  </si>
  <si>
    <t>ANDREOS JLOSETTE YAÑEZ ORTIZ</t>
  </si>
  <si>
    <t>José Enrique Ramírez Ramírez</t>
  </si>
  <si>
    <t>Mario Alberto De Lira Medina</t>
  </si>
  <si>
    <t>Pedro Ortiz Ortiz</t>
  </si>
  <si>
    <t>RODOLFO HERRERA HERNANDEZ</t>
  </si>
  <si>
    <t>BRITANY ANAHI GOMEZ MARTINEZ</t>
  </si>
  <si>
    <t>s</t>
  </si>
  <si>
    <t>JUAN ALEJANDRO RODRIGUEZ LLANAS</t>
  </si>
  <si>
    <t>MIGUEL ANGEL SOLIS AGUILAR</t>
  </si>
  <si>
    <t>AGUILAS DE ATAQUE</t>
  </si>
  <si>
    <t>FRANCISCO JAVIER IBARRA CASTRO</t>
  </si>
  <si>
    <t>YP1QZZ5E</t>
  </si>
  <si>
    <t>VICTOR HUGO DE LA ROSA GARCIA</t>
  </si>
  <si>
    <t>EHGOW4JX</t>
  </si>
  <si>
    <t>SILVESTRE SANCHEZ MARTINEZ</t>
  </si>
  <si>
    <t>4E1GWSOX</t>
  </si>
  <si>
    <t>GENTE/GESTION</t>
  </si>
  <si>
    <t>JOSE LUIS JARA ALVARADO</t>
  </si>
  <si>
    <t>U094102N</t>
  </si>
  <si>
    <t>JOSE CRUZ TAPIA ORTIZ</t>
  </si>
  <si>
    <t>MGZIIX36</t>
  </si>
  <si>
    <t>JOSE BONIEK NAVA MOLINA</t>
  </si>
  <si>
    <t>CK92V72H</t>
  </si>
  <si>
    <t>DAVID ESPARZA BORJON</t>
  </si>
  <si>
    <t>G2EIFENZ</t>
  </si>
  <si>
    <t>DAVID ALBERTO CASAS ESQUIVEL</t>
  </si>
  <si>
    <t>P8PFRTID</t>
  </si>
  <si>
    <t>EL PODER DEL SABER</t>
  </si>
  <si>
    <t>FREDY VAZQUEZ VAZQUEZ</t>
  </si>
  <si>
    <t>0DHCTPUG</t>
  </si>
  <si>
    <t>ROBERTO CARLOS GONZALEZ GALLEGOS</t>
  </si>
  <si>
    <t>DVPKXSBE</t>
  </si>
  <si>
    <t>OSCAR EDUARDO CARRANZA MORAN</t>
  </si>
  <si>
    <t>0VHBGSUI</t>
  </si>
  <si>
    <t>OSCAR DANIEL DOMINGUEZ</t>
  </si>
  <si>
    <t>YCZVPE4W</t>
  </si>
  <si>
    <t>MOISES MIRELES NAVARRO</t>
  </si>
  <si>
    <t>IRM34M2A</t>
  </si>
  <si>
    <t>MIGUEL AGUSTIN ESPARZA VANEGAS</t>
  </si>
  <si>
    <t>C6DYFX1J</t>
  </si>
  <si>
    <t>HECTOR HUGO JUAREZ RIOS</t>
  </si>
  <si>
    <t>JGNIMGYE</t>
  </si>
  <si>
    <t>GERARDO RINCON ORTEGA</t>
  </si>
  <si>
    <t>UKVMZCCK</t>
  </si>
  <si>
    <t>GENARO AVILA RAMOS</t>
  </si>
  <si>
    <t>I96CXGMZ</t>
  </si>
  <si>
    <t>FRANCISCO JAVIER CHAVEZ GARCIA</t>
  </si>
  <si>
    <t>D096HAZ1</t>
  </si>
  <si>
    <t>EMIGDIO PEREA DELGADO</t>
  </si>
  <si>
    <t>L3KLCG78</t>
  </si>
  <si>
    <t>EDUARDO ESQUIBEL RODRIGUEZ</t>
  </si>
  <si>
    <t>19LYBKMG</t>
  </si>
  <si>
    <t>LOS PICHONES</t>
  </si>
  <si>
    <t>IRMA AZUCENA REVELES MURILLO</t>
  </si>
  <si>
    <t>LPD6HZ6T</t>
  </si>
  <si>
    <t>ROBERTO RAMIREZ MARQUEZ</t>
  </si>
  <si>
    <t>DGT7WO3Z</t>
  </si>
  <si>
    <t>MANUEL SILVA SAUCEDO</t>
  </si>
  <si>
    <t>R92JSPNP</t>
  </si>
  <si>
    <t>JOSE LUIS SANCHEZ GONZALEZ</t>
  </si>
  <si>
    <t>0PPTI35Y</t>
  </si>
  <si>
    <t>JOSE EDGAR ALEJANDRO HERNANDEZ RODRIGUEZ</t>
  </si>
  <si>
    <t>XCLHD633</t>
  </si>
  <si>
    <t>JORGE LUIS ROBLES MEDINA</t>
  </si>
  <si>
    <t>CSM4XJ9I</t>
  </si>
  <si>
    <t>HECTOR DANIEL ESPINOZA LOPEZ</t>
  </si>
  <si>
    <t>J1IAXHMO</t>
  </si>
  <si>
    <t>GUILLERMO SAUCEDO MARTINEZ</t>
  </si>
  <si>
    <t>AIPEVJ8W</t>
  </si>
  <si>
    <t>LOS TIGRES AMBIENTALES</t>
  </si>
  <si>
    <t>LUIS ALBERTO LEDESMA GARCIA</t>
  </si>
  <si>
    <t>G6LFOSPQ</t>
  </si>
  <si>
    <t>SAUL GUERRERO GARCIA</t>
  </si>
  <si>
    <t>M0U3ECR3</t>
  </si>
  <si>
    <t>NICOLAS RENE CEBALLOS PINEDO</t>
  </si>
  <si>
    <t>Y9AYWXVM</t>
  </si>
  <si>
    <t>MAURO ALBERTO CORDOVA HERRERA</t>
  </si>
  <si>
    <t>VVIRNUCI</t>
  </si>
  <si>
    <t>JUAN PEDRO MURO CHAVEZ</t>
  </si>
  <si>
    <t>O1IYFYMB</t>
  </si>
  <si>
    <t>JUAN CARLOS MACIAS AGUAYO</t>
  </si>
  <si>
    <t>7W4XX43Q</t>
  </si>
  <si>
    <t>JOSE EMILIO ESCATEL DEL PILAR</t>
  </si>
  <si>
    <t>789MTPH6</t>
  </si>
  <si>
    <t>JOSE EDUARDO LARA DURON</t>
  </si>
  <si>
    <t>K2RIZT6K</t>
  </si>
  <si>
    <t>HUMBERTO GALLEGOS RAMIREZ</t>
  </si>
  <si>
    <t>ZP3JHAVZ</t>
  </si>
  <si>
    <t>FACUNDO MORENO LOPEZ</t>
  </si>
  <si>
    <t>18D4RKOP</t>
  </si>
  <si>
    <t>ARCADIO OVALLE MENDOZA</t>
  </si>
  <si>
    <t>FBWFZDZ6</t>
  </si>
  <si>
    <t>PREDICTIVOS ZACATECAS</t>
  </si>
  <si>
    <t>JUAN LUIS HERNANDEZ GARCIA</t>
  </si>
  <si>
    <t>CRUK8GAE</t>
  </si>
  <si>
    <t>TOMAS MENDEZ GAYTAN</t>
  </si>
  <si>
    <t>M3TQ6JJH</t>
  </si>
  <si>
    <t>ROMAN MEDRANO GUERRERO</t>
  </si>
  <si>
    <t>OSNQB518</t>
  </si>
  <si>
    <t>RAMIRO ORTIZ VAZQUEZ</t>
  </si>
  <si>
    <t>WEEY9FKP</t>
  </si>
  <si>
    <t>JOSE MANUEL CARRERA TORRES</t>
  </si>
  <si>
    <t>V4M2MX0R</t>
  </si>
  <si>
    <t>JOSE DE JESUS ALMANZA CASTRO</t>
  </si>
  <si>
    <t>ECCSCAOH</t>
  </si>
  <si>
    <t>HUMBERTO TORRES MARQUEZ</t>
  </si>
  <si>
    <t>K46GCO9Y</t>
  </si>
  <si>
    <t>CARLOS ULTRERAS CALDERA</t>
  </si>
  <si>
    <t>9LNBA90A</t>
  </si>
  <si>
    <t>RAYOS S.G.</t>
  </si>
  <si>
    <t>EFRAIN ORTIZ CABRAL</t>
  </si>
  <si>
    <t>XUZF3MMC</t>
  </si>
  <si>
    <t>LUIS MARTINEZ TORIBIO</t>
  </si>
  <si>
    <t>9V0MXJKD</t>
  </si>
  <si>
    <t>LEONARDO MUÑOZ VEGA</t>
  </si>
  <si>
    <t>6U4CE9R0</t>
  </si>
  <si>
    <t>JUAN MANUEL DE SANTIAGO ROSALES</t>
  </si>
  <si>
    <t>D8UA2UVP</t>
  </si>
  <si>
    <t>ERNESTO FERNANDEZ ROMERO</t>
  </si>
  <si>
    <t>QNK9CMS5</t>
  </si>
  <si>
    <t>TAU EXPERT MAZ</t>
  </si>
  <si>
    <t>SALVADOR REYES SILVA</t>
  </si>
  <si>
    <t>V591NAX6</t>
  </si>
  <si>
    <t>ROGELIO ROLANDO RUIZ FELIX</t>
  </si>
  <si>
    <t>P3XNR98H</t>
  </si>
  <si>
    <t>RICARDO HERNANDEZ TORRES</t>
  </si>
  <si>
    <t>LY3ZWWCM</t>
  </si>
  <si>
    <t>PABLO LUNA MARTINEZ</t>
  </si>
  <si>
    <t>LKVWY8C9</t>
  </si>
  <si>
    <t>LUIS FERNANDO DE LIRA MARTINEZ</t>
  </si>
  <si>
    <t>E9DXTTNP</t>
  </si>
  <si>
    <t>JULIO CESAR GARCIA JUAREZ</t>
  </si>
  <si>
    <t>TWNUEPAV</t>
  </si>
  <si>
    <t>JUAN LOPEZ CARDONA</t>
  </si>
  <si>
    <t>QN2D24F4</t>
  </si>
  <si>
    <t>JUAN ALONSO MALDONADO RODRIGUEZ</t>
  </si>
  <si>
    <t>8M6686A4</t>
  </si>
  <si>
    <t>JOSE ALBERTO ORTIZ GARZA</t>
  </si>
  <si>
    <t>CWGVTKQX</t>
  </si>
  <si>
    <t>FELIPE DE JESUS MEDINA MARTINEZ</t>
  </si>
  <si>
    <t>2UC491KD</t>
  </si>
  <si>
    <t>CESAR MUÑIZ PASILLAS</t>
  </si>
  <si>
    <t>SDK7ND0A</t>
  </si>
  <si>
    <t>ARMANDO ROMERO BENITEZ</t>
  </si>
  <si>
    <t>E0LWW0D4</t>
  </si>
  <si>
    <t>ARMANDO RODRIGUEZ MARTINEZ</t>
  </si>
  <si>
    <t>58PALFPB</t>
  </si>
  <si>
    <t>ALVARO RAMIREZ MUÑOZ</t>
  </si>
  <si>
    <t>NXPL61AF</t>
  </si>
  <si>
    <t>TRATOS DE AGUA</t>
  </si>
  <si>
    <t>EDUARDO MACIAS MORA</t>
  </si>
  <si>
    <t>YBVF8UAR</t>
  </si>
  <si>
    <t>MARCO ANTONIO HERNANDEZ CHAVEZ</t>
  </si>
  <si>
    <t>Q2Q69NN3</t>
  </si>
  <si>
    <t>LUIS MANUEL GOMEZ CASTRUITA</t>
  </si>
  <si>
    <t>ISFIMZ11</t>
  </si>
  <si>
    <t>JUAN JOSE LOPEZ RODRIGUEZ</t>
  </si>
  <si>
    <t>RKSIFOC1</t>
  </si>
  <si>
    <t>ARMANDO GONZALEZ SOSA</t>
  </si>
  <si>
    <t>DO5B4NFY</t>
  </si>
  <si>
    <t>AKYH7VNX</t>
  </si>
  <si>
    <t>JORGE RODRIGUEZ ARIAS</t>
  </si>
  <si>
    <t>LOL845UB</t>
  </si>
  <si>
    <t>HUGO SANCHEZ CHAVEZ</t>
  </si>
  <si>
    <t>X0YYYK4M</t>
  </si>
  <si>
    <t>FRANCISCO JAVIER PEREZ CATAÑO</t>
  </si>
  <si>
    <t>6KF6FQR2</t>
  </si>
  <si>
    <t>ALFREDO HERNANDEZ LOPEZ</t>
  </si>
  <si>
    <t>4WRQ66PQ</t>
  </si>
  <si>
    <t>ADRIAN GUADALUPE VAZQUEZ DAVILA</t>
  </si>
  <si>
    <t>NYL59G7H</t>
  </si>
  <si>
    <t xml:space="preserve">CHAMPION AMBIENTAL </t>
  </si>
  <si>
    <t>LEVADURA</t>
  </si>
  <si>
    <t>OMAR GONZALEZ CAMPOS</t>
  </si>
  <si>
    <t>P3SQS2E2</t>
  </si>
  <si>
    <t>MARCO ANTONIO VAZQUEZ GAYTAN</t>
  </si>
  <si>
    <t>OLGBXT0L</t>
  </si>
  <si>
    <t>JOAQUIN RODRIGUEZ ESQUIVEL</t>
  </si>
  <si>
    <t>PMM7URMM</t>
  </si>
  <si>
    <t>CHAMPION PEOPLE</t>
  </si>
  <si>
    <t>JAVIER ZAMARRIPA LOPEZ</t>
  </si>
  <si>
    <t>GDNC3NXQ</t>
  </si>
  <si>
    <t>CHAMPION AMBIENTAL/CALIDAD</t>
  </si>
  <si>
    <t>FERNANDO ALVARADO REYES</t>
  </si>
  <si>
    <t>D4NY5JFT</t>
  </si>
  <si>
    <t>CELSO RODRIGUEZ LOPEZ</t>
  </si>
  <si>
    <t>10LMVWWV</t>
  </si>
  <si>
    <t>JUAN MANUEL HERNANDEZ VALDEZ</t>
  </si>
  <si>
    <t>LOS ESPECIALISTAS DEL AGUA</t>
  </si>
  <si>
    <t>HECTOR JAVIER DIAZ SALAS</t>
  </si>
  <si>
    <t>GXMCL3A4</t>
  </si>
  <si>
    <t>RAUL LANDEROS RUIZ</t>
  </si>
  <si>
    <t>XK84TO49</t>
  </si>
  <si>
    <t>MARIO ERIK SALAS LOPEZ</t>
  </si>
  <si>
    <t>NRDHHAZV</t>
  </si>
  <si>
    <t>MANUEL PALACIOS PEREZ</t>
  </si>
  <si>
    <t>BDTDPACT</t>
  </si>
  <si>
    <t>ESTEFANIA MURILLO GONZALEZ</t>
  </si>
  <si>
    <t>6VQQT1QJ</t>
  </si>
  <si>
    <t>CHAMPION G&amp;G</t>
  </si>
  <si>
    <t>LOS INDESTRUCTIBLES</t>
  </si>
  <si>
    <t>PAULA KARINA RODRIGUEZ RAMOS</t>
  </si>
  <si>
    <t>NB2JHGT6</t>
  </si>
  <si>
    <t>OSBALDO PALMAS BASURTO</t>
  </si>
  <si>
    <t>UPO09TLI</t>
  </si>
  <si>
    <t>JOSE SANCHEZ SEGOVIA</t>
  </si>
  <si>
    <t>O5S776RL</t>
  </si>
  <si>
    <t>JOSE MANUEL RODRIGUEZ RODRIGUEZ</t>
  </si>
  <si>
    <t>RTXFYNVI</t>
  </si>
  <si>
    <t>JAVIER RENE FLORES AGUILAR</t>
  </si>
  <si>
    <t>CNLTGZKK</t>
  </si>
  <si>
    <t>SYE</t>
  </si>
  <si>
    <t>Calderas AP</t>
  </si>
  <si>
    <t>Carbonicos</t>
  </si>
  <si>
    <t>Edgar Ramirez Acuaña</t>
  </si>
  <si>
    <t>O9GTZ489</t>
  </si>
  <si>
    <t>VICTOR MANUEL DURAN RUIZ</t>
  </si>
  <si>
    <t>9RUHUN2N</t>
  </si>
  <si>
    <t>Turbinas</t>
  </si>
  <si>
    <t>OCTAVIO DANIEL DELGADO ESQUIVEL</t>
  </si>
  <si>
    <t>JF2573JM</t>
  </si>
  <si>
    <t>Refrigeración</t>
  </si>
  <si>
    <t>JUAN PABLO GARCIA GAMBOA</t>
  </si>
  <si>
    <t>9Z7MTW3Q</t>
  </si>
  <si>
    <t>Calderas BP</t>
  </si>
  <si>
    <t>JOSE RAMON HUITRON LEYVA</t>
  </si>
  <si>
    <t>0V7V2ZNT</t>
  </si>
  <si>
    <t>FIDEL ISMAEL AVILA DAVILA</t>
  </si>
  <si>
    <t>P1HHXAXS</t>
  </si>
  <si>
    <t xml:space="preserve">Deamoniacos </t>
  </si>
  <si>
    <t>CASANDRA FIGUEROA MALDONADO</t>
  </si>
  <si>
    <t>ELKBXYXS</t>
  </si>
  <si>
    <t>VICTOR HUGO VELAZQUEZ AVILA</t>
  </si>
  <si>
    <t>UTNT16W2</t>
  </si>
  <si>
    <t>CO2</t>
  </si>
  <si>
    <t>LUÍS FELIPE HERNÁNDEZ ARANDA</t>
  </si>
  <si>
    <t xml:space="preserve">Refrigeración </t>
  </si>
  <si>
    <t xml:space="preserve">JUAN PABLO REYES LOPEZ </t>
  </si>
  <si>
    <t>XGE4I5CM</t>
  </si>
  <si>
    <t>Sistema de aíre</t>
  </si>
  <si>
    <t>JUAN MALDONADO DE SANTIAGO</t>
  </si>
  <si>
    <t>2J9E2E92</t>
  </si>
  <si>
    <t>JOSE DE JESUS RODRIGUEZ DE LA CRUZ</t>
  </si>
  <si>
    <t>Y1WXUDDE</t>
  </si>
  <si>
    <t>EDGAR GENARO CAPETILLO MAYORGA</t>
  </si>
  <si>
    <t>Z8H3PY5Q</t>
  </si>
  <si>
    <t>CARLOZ JABIER MAGDALENO SEDILLO</t>
  </si>
  <si>
    <t>1DNLZC13</t>
  </si>
  <si>
    <t xml:space="preserve">Sistema de aire </t>
  </si>
  <si>
    <t xml:space="preserve">Los mas chingones </t>
  </si>
  <si>
    <t xml:space="preserve">Jose Luis Flores Diaz </t>
  </si>
  <si>
    <t>MARIO MORENO ARIZMENDEZ</t>
  </si>
  <si>
    <t>MT7KAPDI</t>
  </si>
  <si>
    <t>Caldera AP</t>
  </si>
  <si>
    <t>HCWGJPZQ</t>
  </si>
  <si>
    <t>ROGELIO REYES BENITEZ</t>
  </si>
  <si>
    <t>1D4OI1NL</t>
  </si>
  <si>
    <t xml:space="preserve">PAULO CESAR MACIAS ALONSO </t>
  </si>
  <si>
    <t>N7WWEP0Q</t>
  </si>
  <si>
    <t>Caldera BP</t>
  </si>
  <si>
    <t>JUAN CARLOS SOLIS</t>
  </si>
  <si>
    <t>L8I00TEA</t>
  </si>
  <si>
    <t>JOSE PICAZO PRADO</t>
  </si>
  <si>
    <t>3QF9DRC6</t>
  </si>
  <si>
    <t>JOEL DE SANTIAGO ALEMAN</t>
  </si>
  <si>
    <t>LHNZ5N44</t>
  </si>
  <si>
    <t>EDUARDO MARTÍNEZ RIESTRA</t>
  </si>
  <si>
    <t>QH6WRMIE</t>
  </si>
  <si>
    <t xml:space="preserve">Turbineros </t>
  </si>
  <si>
    <t>MARTIN EDUARDO CORONADO CORTES</t>
  </si>
  <si>
    <t>9SU0FCMC</t>
  </si>
  <si>
    <t>VICTOR MEJIA HERNANDEZ</t>
  </si>
  <si>
    <t>PEDRO BELMONTES ESPARZA</t>
  </si>
  <si>
    <t>XQU3GXKW</t>
  </si>
  <si>
    <t xml:space="preserve">Turbinas </t>
  </si>
  <si>
    <t>LAZARO ALCALA DE LIRA</t>
  </si>
  <si>
    <t>V1Y3LQF3</t>
  </si>
  <si>
    <t>JUAN GABRIEL VEYNA ESQUIVEL</t>
  </si>
  <si>
    <t>Y69A205S</t>
  </si>
  <si>
    <t>JORGE GAMEZ DOMINGUEZ</t>
  </si>
  <si>
    <t>0DTYEV0X</t>
  </si>
  <si>
    <t>ALFREDO GUERRERO GARCIA</t>
  </si>
  <si>
    <t>FU0UEPNF</t>
  </si>
  <si>
    <t>ALFREDO CARRILLO CASILLAS</t>
  </si>
  <si>
    <t>1OOOXIPW</t>
  </si>
  <si>
    <t>ENV  MTTO</t>
  </si>
  <si>
    <t>ENV 1</t>
  </si>
  <si>
    <t>AUTOKIT</t>
  </si>
  <si>
    <t>ALÁN MARTÍNEZ CHAIREZ</t>
  </si>
  <si>
    <t>ARMANDO ALMARAZ URQUIZO</t>
  </si>
  <si>
    <t>GILBERTO GÓMEZ OLVERA</t>
  </si>
  <si>
    <t>RUBÉN GONZÁLEZ GUTIÉRREZ</t>
  </si>
  <si>
    <t>ROBERTO SÁNCHEZ PASILLAS</t>
  </si>
  <si>
    <t>JUAN MANUEL RAMÍREZ ACOSTA</t>
  </si>
  <si>
    <t>ALBERTO VÁZQUEZ SÁNCHEZ</t>
  </si>
  <si>
    <t>BEST</t>
  </si>
  <si>
    <t>OSCAR EMMANUEL VELAZQUEZ</t>
  </si>
  <si>
    <t xml:space="preserve">VICTOR ANTONIO SOSA CARLOS </t>
  </si>
  <si>
    <t>JORGE MARTÍNEZ ZAPATA</t>
  </si>
  <si>
    <t>MANOLO CARDONA RODRÍGUEZ</t>
  </si>
  <si>
    <t>JUAN LANDEROS VELAZQUEZ</t>
  </si>
  <si>
    <t>LEOPOLDO GARCÍA MÉNDEZ</t>
  </si>
  <si>
    <t>CRUZ HORACIO CASTILLO M.</t>
  </si>
  <si>
    <t>APOYO MEDIO AMBIENTE</t>
  </si>
  <si>
    <t>ERASMO JUÁREZ CORONADO</t>
  </si>
  <si>
    <t>EXTREM</t>
  </si>
  <si>
    <t>JOSE MANUEL JUAREZ BURCIAGA</t>
  </si>
  <si>
    <t>FREDDY GPE. GÁMEZ MALDONADO</t>
  </si>
  <si>
    <t>JORGE CHÁVEZ SERRANO</t>
  </si>
  <si>
    <t>CARLOS MORAN CERVANTES</t>
  </si>
  <si>
    <t>J. JESÚS LÓPEZ REYES</t>
  </si>
  <si>
    <t>NITRO</t>
  </si>
  <si>
    <t xml:space="preserve">CARLOS ARMANDO RODRÍGUEZ LÓPEZ </t>
  </si>
  <si>
    <t>JOSÉ ALBERTO GARCÍA REZA</t>
  </si>
  <si>
    <t>PEDRO DOMÍNGUEZ CARRILLO</t>
  </si>
  <si>
    <t>FRANCISCO JAVIER NUÑEZ SALINAS</t>
  </si>
  <si>
    <t>ANDRES ALMEIDA ESPINOZA</t>
  </si>
  <si>
    <t>JESUS DIAZ CARRILLO</t>
  </si>
  <si>
    <t>JOSÉ MANUEL MUÑOZ CORTES</t>
  </si>
  <si>
    <t>JOSÉ ALFREDO FRANCO ORTEGA</t>
  </si>
  <si>
    <t>POWER</t>
  </si>
  <si>
    <t>JUAN RAMON GARCIA BOTELLO</t>
  </si>
  <si>
    <t>CARLOS ELÍAS GARCÍA BRIONES</t>
  </si>
  <si>
    <t>EDUARDO QUIROZ PÉREZ</t>
  </si>
  <si>
    <t>JORGE ACOSTA RODRÍGUEZ</t>
  </si>
  <si>
    <t>MANUEL DE JESÚS PACHECO MEDINA</t>
  </si>
  <si>
    <t xml:space="preserve">EDGAR EMMANUEL ESPINOZA AGUILAR </t>
  </si>
  <si>
    <t>EMMANUEL PINEDO BÁEZ</t>
  </si>
  <si>
    <t>FRANCISCO JAVIER GARCIA SALINAS</t>
  </si>
  <si>
    <t>ERNESTO GODINA LOPEZ</t>
  </si>
  <si>
    <t>SPEED</t>
  </si>
  <si>
    <t>OSCAR OSVALDO LUGO COLLAZO</t>
  </si>
  <si>
    <t>OSCAR MANUEL FLORES MARTÍNEZ</t>
  </si>
  <si>
    <t>JOSÉ GUADALUPE MARTÍNEZ GONZÁLEZ</t>
  </si>
  <si>
    <t>JESÚS HERNÁNDEZ VÁZQUEZ</t>
  </si>
  <si>
    <t>DAVID JACOBO REYES</t>
  </si>
  <si>
    <t>GUILLERMO SANTOS CASIO</t>
  </si>
  <si>
    <t>MANUEL DE JESUS DIAZ CHÁVEZ</t>
  </si>
  <si>
    <t>EDUARDO RIVERA ESCOBEDO</t>
  </si>
  <si>
    <t>LUIS GERARDO GARCIA ROQUE</t>
  </si>
  <si>
    <t>ENV 2</t>
  </si>
  <si>
    <t>FALK</t>
  </si>
  <si>
    <t>LUIS OSCAR SEGURA CAMARGO</t>
  </si>
  <si>
    <t>Jose Gpe. Alvarado Delgado</t>
  </si>
  <si>
    <t>SANTANA CARMONA AGUILAR</t>
  </si>
  <si>
    <t>MOISES HERNANDEZ LOPEZ</t>
  </si>
  <si>
    <t>LUIS MIGUEL CASTILLO GARCÍA</t>
  </si>
  <si>
    <t>LUIS ALBERTO DOMÍNGUEZ ÁVILA</t>
  </si>
  <si>
    <t>JUAN MAURICIO CALVILLO MONTALVO</t>
  </si>
  <si>
    <t>Felipe Valdez Valdez</t>
  </si>
  <si>
    <t>GILBERTO  PUENTE MORENO</t>
  </si>
  <si>
    <t>J JESUS VENEGAS ALMANZA</t>
  </si>
  <si>
    <t>NOE MEZA MARTINEZ</t>
  </si>
  <si>
    <t>PISTONS</t>
  </si>
  <si>
    <t>MIGUEL OVALLE HERNANDEZ</t>
  </si>
  <si>
    <t>Luis Roldan Barraza</t>
  </si>
  <si>
    <t>Martin Tovar Salazar</t>
  </si>
  <si>
    <t>Martín Medina Hurtado</t>
  </si>
  <si>
    <t>Heriberto Dominguez Silva</t>
  </si>
  <si>
    <t>Jose Roberto Arteaga Lopez</t>
  </si>
  <si>
    <t>Miguel Perez Garcia</t>
  </si>
  <si>
    <t>Genaro Castañon Garces</t>
  </si>
  <si>
    <t>Aldo nahun Hernandez</t>
  </si>
  <si>
    <t>Juan Francisco Reyes Rivera</t>
  </si>
  <si>
    <t>Cesar Gamez Alvarez</t>
  </si>
  <si>
    <t>ADRIÁN VALLE SANTACRUZ</t>
  </si>
  <si>
    <t>ALEJANDRO CASTRO MONCADA</t>
  </si>
  <si>
    <t xml:space="preserve">APOYO GESTION </t>
  </si>
  <si>
    <t>DINAMICOS</t>
  </si>
  <si>
    <t>RAFAEL MARTÍNEZ NIETO</t>
  </si>
  <si>
    <t>Federico Castillo Acuña</t>
  </si>
  <si>
    <t xml:space="preserve">Hermilo Vega Mejia </t>
  </si>
  <si>
    <t>Raúl Aguilar De León</t>
  </si>
  <si>
    <t>Ochoa Avalos Leobardo</t>
  </si>
  <si>
    <t xml:space="preserve">Jesus Abraham Perez Bueno </t>
  </si>
  <si>
    <t>NOEL ORDAZ HERNANDEZ</t>
  </si>
  <si>
    <t>FRANCISCO VALLES ROMERO</t>
  </si>
  <si>
    <t>DOMINGO C MARTINEZ ALDABA</t>
  </si>
  <si>
    <t>TRANSTORQUE</t>
  </si>
  <si>
    <t>SERGIO DE HARO HERNANDEZ</t>
  </si>
  <si>
    <t>Jayme Santacruz Díaz</t>
  </si>
  <si>
    <t>Jorge Landa Benítez</t>
  </si>
  <si>
    <t xml:space="preserve">Raul Acosta Martinez </t>
  </si>
  <si>
    <t>Juan Carlos López Cervantes</t>
  </si>
  <si>
    <t>JOSÉ ALFREDO DÁVILA MOTA</t>
  </si>
  <si>
    <t>ESPECIALISTAS</t>
  </si>
  <si>
    <t>DEENIS WALBERTO BLANCO DE LA TORRE</t>
  </si>
  <si>
    <t>Guillermo Ismael Vasquez Flores</t>
  </si>
  <si>
    <t>Eduardo Garay Castro</t>
  </si>
  <si>
    <t>David Ortega Ríos</t>
  </si>
  <si>
    <t xml:space="preserve">Víctor Manuel Reyes Figueroa </t>
  </si>
  <si>
    <t>HÉCTOR JAVIER MEDINA RIVERA</t>
  </si>
  <si>
    <t>JUAN PEDRO ALBINO CALDERÓN</t>
  </si>
  <si>
    <t>ENV 3</t>
  </si>
  <si>
    <t>TAPERLOOK</t>
  </si>
  <si>
    <t>JOSUE FRANCISCO GUTIERREZ MORALES</t>
  </si>
  <si>
    <t>Adrián De Santiago Alemán</t>
  </si>
  <si>
    <t>Cesar Ricardo Acuña de la Trinidad</t>
  </si>
  <si>
    <t>Diego Noe González González</t>
  </si>
  <si>
    <t>ÁNGEL LIRA RAMOS</t>
  </si>
  <si>
    <t>J CARMELO VELAZQUEZ CASTRO</t>
  </si>
  <si>
    <t>PITS</t>
  </si>
  <si>
    <t>CESAR GALLEGOS RAMÍREZ</t>
  </si>
  <si>
    <t>Jose Omar Esquivel Escareño</t>
  </si>
  <si>
    <t>Roberto Lozano Hernández</t>
  </si>
  <si>
    <t>Margarito Garcia Adame</t>
  </si>
  <si>
    <t>ESLABONES</t>
  </si>
  <si>
    <t>Juan Sonora Ultreras</t>
  </si>
  <si>
    <t>Jose Antonio Montañez Ceballos</t>
  </si>
  <si>
    <t>Miguel Aguilar Alba</t>
  </si>
  <si>
    <t xml:space="preserve">Nicolas Márquez Contreras </t>
  </si>
  <si>
    <t>TOOL</t>
  </si>
  <si>
    <t>LEÓN GERARDO RIVERA GUERRERO</t>
  </si>
  <si>
    <t>Carlos Sifuentes Romero</t>
  </si>
  <si>
    <t>Miguel Ángel Dávila Pinales</t>
  </si>
  <si>
    <t>Homero Zapata Ortiz</t>
  </si>
  <si>
    <t>José De Jesús Gallegos Zavala</t>
  </si>
  <si>
    <t>Jorge Alberto Rico Navarro</t>
  </si>
  <si>
    <t>Jose Eduardo Villa Lopez</t>
  </si>
  <si>
    <t>JORGE LOPEZ GARCIA</t>
  </si>
  <si>
    <t>JUAN CARLOS SANCHEZ MTZ</t>
  </si>
  <si>
    <t>GABRIEL MORENO TRONCOSO</t>
  </si>
  <si>
    <t>MACHINES</t>
  </si>
  <si>
    <t>RUBÉN DE JESÚS MURILLO OLVERA</t>
  </si>
  <si>
    <t xml:space="preserve">Ricardo Gutiérrez Pacheco </t>
  </si>
  <si>
    <t>Martin Mireles Navarro</t>
  </si>
  <si>
    <t>Emmanuel De Jesus Nabor Caldera</t>
  </si>
  <si>
    <t>Pedro Galindo Oliva</t>
  </si>
  <si>
    <t>HUGO CESAR VELASCO RUIZ</t>
  </si>
  <si>
    <t>JOSÉ GPE GURROLA CARRILLO</t>
  </si>
  <si>
    <t>VICTOR H CASTELLANOS Z</t>
  </si>
  <si>
    <t>ENGRANES</t>
  </si>
  <si>
    <t>CESAR MENCHACA RODARTE</t>
  </si>
  <si>
    <t>Jesús Macias Barrios</t>
  </si>
  <si>
    <t xml:space="preserve">MEDIO AMBIENTE </t>
  </si>
  <si>
    <t>Francisco Javier Rodriguez Bautista</t>
  </si>
  <si>
    <t>Martín Ramírez Garza</t>
  </si>
  <si>
    <t>Carlos Eduardo Martinez García</t>
  </si>
  <si>
    <t>Mike Varela Rodríguez</t>
  </si>
  <si>
    <t>Eduardo Martínez De Santiago</t>
  </si>
  <si>
    <t>JESUS ESTUPIÑÁN SOLIS</t>
  </si>
  <si>
    <t xml:space="preserve">HUGO ERNESTO SOTO </t>
  </si>
  <si>
    <t>PCM</t>
  </si>
  <si>
    <t>LA NASA</t>
  </si>
  <si>
    <t>GERARDO REYES CALDERA</t>
  </si>
  <si>
    <t>JOSE HUMBERTO VELAZQUEZ BELTRÁN</t>
  </si>
  <si>
    <t>GERARDO DÁVILA ESQUIVEL</t>
  </si>
  <si>
    <t>JUAN VEYNA ESQUIVEL</t>
  </si>
  <si>
    <t>HILARIO GARCIA GARCIA</t>
  </si>
  <si>
    <t>LUIS OMAR ROMERO CERRILLO</t>
  </si>
  <si>
    <t>ANTONIO MARTINEZ ROBLEDO</t>
  </si>
  <si>
    <t>GUSTAVO HURTADO ESPARZA</t>
  </si>
  <si>
    <t>OSCAR GALLARDO IBARRA</t>
  </si>
  <si>
    <t>JORGE TREJO RAMIREZ</t>
  </si>
  <si>
    <t>FELIPE DE JESUS SILVA HURTADO</t>
  </si>
  <si>
    <t>TIBURONES</t>
  </si>
  <si>
    <t>MARIO MURO LUJAN</t>
  </si>
  <si>
    <t>CÉSAR GUILLERMO MARTINEZ AGUILAR</t>
  </si>
  <si>
    <t>LUIS MANUEL ESPARZA CASTRO</t>
  </si>
  <si>
    <t>BALTAZAR MUÑOZ GARCIA</t>
  </si>
  <si>
    <t>FELIPE DE JESUS LUJAN LOPEZ</t>
  </si>
  <si>
    <t>UBALDO CABRAL MUÑOZ</t>
  </si>
  <si>
    <t>BRAULIO SABINO SALCEDO ARELLANO</t>
  </si>
  <si>
    <t>JESUS ORTIZ SANCHEZ</t>
  </si>
  <si>
    <t xml:space="preserve">JORGE ENRIQUE PACHECO LOZANO </t>
  </si>
  <si>
    <t xml:space="preserve">SALVADOR CASTAÑEDA DEVORA </t>
  </si>
  <si>
    <t>HECTOR LUNA RENTERÍA</t>
  </si>
  <si>
    <t xml:space="preserve">JESUS MANUEL RODRIGUEZ DÁVILA </t>
  </si>
  <si>
    <t>J JESUS OROZCO IBARRA</t>
  </si>
  <si>
    <t>C &amp; A</t>
  </si>
  <si>
    <t>NEUMATICOS</t>
  </si>
  <si>
    <t>JAIME DE LA ISLA</t>
  </si>
  <si>
    <t>FRANCISCO GOYTIA GAUCIN</t>
  </si>
  <si>
    <t>DAVID SIFUENTES MONTAÑEZ</t>
  </si>
  <si>
    <t>CARLOS ROBERTO FALCON</t>
  </si>
  <si>
    <t xml:space="preserve">JOSE REFUGIO GONZALEZ </t>
  </si>
  <si>
    <t>SALVADOR LOPEZ ARENA</t>
  </si>
  <si>
    <t>FLORENCIO CATAÑO AGUILERA</t>
  </si>
  <si>
    <t>BT173TIN</t>
  </si>
  <si>
    <t>EDUARDO ANTONIO GAETA RODARTE</t>
  </si>
  <si>
    <t>DOH11EIW</t>
  </si>
  <si>
    <t>MARTIN GERARDO RINCON CERVANTES</t>
  </si>
  <si>
    <t>YCH6CG4W</t>
  </si>
  <si>
    <t>SAMUEL MONTES JUAREZ</t>
  </si>
  <si>
    <t>Z6W16W3P</t>
  </si>
  <si>
    <t>JUAN PABLO ROMERO MARTINEZ</t>
  </si>
  <si>
    <t>WFVHUGK1</t>
  </si>
  <si>
    <t>GERARDO VARELA JARAMILLO</t>
  </si>
  <si>
    <t>ALDO FLORES DIAZ DE LEON</t>
  </si>
  <si>
    <t>Z2YJNF07</t>
  </si>
  <si>
    <t>SANTIAGO CASAS GAMEZ</t>
  </si>
  <si>
    <t>SELENE MACIAS GALAN</t>
  </si>
  <si>
    <t>JUAN MANUEL HUERTA DE LA</t>
  </si>
  <si>
    <t>HECTOR OMAR DOMINGUEZ  NUÑEZ</t>
  </si>
  <si>
    <t xml:space="preserve"> JORGE ARMANDO MEDELLIN PARRA</t>
  </si>
  <si>
    <t>LPX572YW</t>
  </si>
  <si>
    <t>MANUEL PINEDO ALVARADO</t>
  </si>
  <si>
    <t>SU8MBVXY</t>
  </si>
  <si>
    <t>JORGE GUADALUPE MEZA BUSTOS</t>
  </si>
  <si>
    <t>Nombre</t>
  </si>
  <si>
    <t>Clasificación</t>
  </si>
  <si>
    <t>SHARP ID</t>
  </si>
  <si>
    <t>Líder</t>
  </si>
  <si>
    <t>FRANCISCO MIGUEL GARCIA ARELLANO</t>
  </si>
  <si>
    <t>GAMALIEL RODRÍGUEZ ORDAZ</t>
  </si>
  <si>
    <t>WILBER ALONSO ORDAZ</t>
  </si>
  <si>
    <t>DEENIS W. BLANCO DE LA TORRE</t>
  </si>
  <si>
    <t>CUAUHTEMOC GARCIA ARREDONDO</t>
  </si>
  <si>
    <t>Expoalternos</t>
  </si>
  <si>
    <t>HUGO ARECHIGA MUÑOZ</t>
  </si>
  <si>
    <t>MANUEL ALBERTO ESPARZA</t>
  </si>
  <si>
    <t xml:space="preserve">GUERREROS </t>
  </si>
  <si>
    <t>GRIS OLIVARES FLORES</t>
  </si>
  <si>
    <t>VICTOR MANUEL MURO GALLEGOS</t>
  </si>
  <si>
    <t xml:space="preserve">LOS MAS MODELO </t>
  </si>
  <si>
    <t xml:space="preserve">LOS PNC </t>
  </si>
  <si>
    <t xml:space="preserve">ILEANA SARAI LIMON ROJAS </t>
  </si>
  <si>
    <t>JOSE PABLO CABRAL GUERRERO</t>
  </si>
  <si>
    <t xml:space="preserve">WUALTER MICHELLE ROBLES </t>
  </si>
  <si>
    <t>Metálicos Indestructibles</t>
  </si>
  <si>
    <t xml:space="preserve">NAYELI TOVAR </t>
  </si>
  <si>
    <t>Muñecos</t>
  </si>
  <si>
    <t>Tapalternos</t>
  </si>
  <si>
    <t xml:space="preserve"> JOSUE FRANCISCO GUTIERREZ MORALES</t>
  </si>
  <si>
    <t xml:space="preserve">TEAM FENIX </t>
  </si>
  <si>
    <t>KARINA LANDEROS BOTELLO</t>
  </si>
  <si>
    <t>CESAR RAMIREZ BALDERAS</t>
  </si>
  <si>
    <t>Operador</t>
  </si>
  <si>
    <t>José Humberto Ortíz de la Cruz</t>
  </si>
  <si>
    <t>JUAN ANTINIO SAUCEDO VALENZUELA</t>
  </si>
  <si>
    <t>LUIS ERNESTO DE LA CRUZ RAYGOZA</t>
  </si>
  <si>
    <t>MARTIN FELIPE ELISERIO LOERA</t>
  </si>
  <si>
    <t>MANUEL HERNANDEZ GUARDADO</t>
  </si>
  <si>
    <t xml:space="preserve">JOSÉ DE JESÚS ZAVALA CALDERON </t>
  </si>
  <si>
    <t>RAUL PEREZ DE SANTIAGO</t>
  </si>
  <si>
    <t>OCTAVIO DE JESUS DOMINGUEZ GONZALEZ</t>
  </si>
  <si>
    <t>LUIS GOMEZ RAMOS</t>
  </si>
  <si>
    <t>RUVALCABA CASTRO MIGUEL</t>
  </si>
  <si>
    <t xml:space="preserve">ESTEBAN GARZA CÁRDENAS </t>
  </si>
  <si>
    <t>REYES DELGADILLO LUIS GERARDO</t>
  </si>
  <si>
    <t>MACIAS RUIZ JORGE LUIS</t>
  </si>
  <si>
    <t>JOSE REYES HERNANDEZ CUEVAS</t>
  </si>
  <si>
    <t xml:space="preserve">DAVID ALEJANDRO VILLASEÑOR RUELAS </t>
  </si>
  <si>
    <t>DOMINGUEZ DELGADO JOSE ALFREDO</t>
  </si>
  <si>
    <t>Juan De Dios Diaz Torres</t>
  </si>
  <si>
    <t>JOSE GUADALUPE HERRERA GARCIA</t>
  </si>
  <si>
    <t>JOSE ALFREDO PINEDO GARAY</t>
  </si>
  <si>
    <t>FRANCISCO JAVIER ESCOBAR PALACIOS</t>
  </si>
  <si>
    <t>Santana Carmona Aguilar</t>
  </si>
  <si>
    <t>NOÉ MEZA MARTÍNEZ</t>
  </si>
  <si>
    <t>Moisés Hernández López</t>
  </si>
  <si>
    <t>Luis Miguel Castillo Garcia</t>
  </si>
  <si>
    <t>Luis Alberto Dominguez Avila</t>
  </si>
  <si>
    <t>Juan Mauricio Calvillo Montalvo</t>
  </si>
  <si>
    <t>Gabriel Rodríguez Sánchez</t>
  </si>
  <si>
    <t xml:space="preserve">JUAN EDUARDO HERNANDEZ SAUCEDO </t>
  </si>
  <si>
    <t xml:space="preserve">JUAN CRISTO GARZA MARTINEZ </t>
  </si>
  <si>
    <t>JOSE ALEJANDRO BULGARIN SALAZAR</t>
  </si>
  <si>
    <t xml:space="preserve">ERI ISRAEL RODRIGUEZ MARTINEZ </t>
  </si>
  <si>
    <t xml:space="preserve">CARLOS MEJIA FELIX </t>
  </si>
  <si>
    <t>JOSE GUADALUPE RAMOS MARTINEZ</t>
  </si>
  <si>
    <t>GARCIA ROMERO FROYLAN</t>
  </si>
  <si>
    <t>FELIX RAMIREZ SALVADOR</t>
  </si>
  <si>
    <t>ALDO RODRIGUEZ PACHECO</t>
  </si>
  <si>
    <t xml:space="preserve"> ROBERTO VELASQUEZ ALONSO</t>
  </si>
  <si>
    <t xml:space="preserve"> MARIO ALBERTO ORTIZ TREJO</t>
  </si>
  <si>
    <t xml:space="preserve"> LUIS ALBERTO MACIAS TREJO</t>
  </si>
  <si>
    <t xml:space="preserve"> JOSE ANTONIO LOPEZ LUNA</t>
  </si>
  <si>
    <t xml:space="preserve"> JHONAN DOMINGUEZ SALAZAR</t>
  </si>
  <si>
    <t xml:space="preserve"> ALEJANDRO MELENDRES AVIÑA</t>
  </si>
  <si>
    <t>SAUL SANTOYO SOLIS</t>
  </si>
  <si>
    <t>ADOLFO GASPAR VALDEZ</t>
  </si>
  <si>
    <t>JUAN ESPINOZA CABRERA</t>
  </si>
  <si>
    <t xml:space="preserve">JUAN DE JESUS CARRILLO VEGA </t>
  </si>
  <si>
    <t>GENARO ISAAC ROBLES HURTADO</t>
  </si>
  <si>
    <t xml:space="preserve">Miguel Angel Ramirez Varela </t>
  </si>
  <si>
    <t>MARTIN CABRERA DE SANTIAGO</t>
  </si>
  <si>
    <t xml:space="preserve">MARCO ANTONIO VAZQUEZ GAYTAN </t>
  </si>
  <si>
    <t>JORGE ALVARADO FLORES</t>
  </si>
  <si>
    <t>JUAN ANTONIO TORRES ESCOBEDO</t>
  </si>
  <si>
    <t>ANDRES DOMNGUEZ JIMENEZ</t>
  </si>
  <si>
    <t>JESUS VAZQUEZ BERUMEN</t>
  </si>
  <si>
    <t>GUILLERO HERNANDEZ GUITIERREZ</t>
  </si>
  <si>
    <t>JOSE LUIS DIAZ CASAS</t>
  </si>
  <si>
    <t>JESUS MANUEL MONTOYA MAURICIO</t>
  </si>
  <si>
    <t>Diego Ortiz Quiroz</t>
  </si>
  <si>
    <t>LUIS ERNESTO MORALES TOVAR</t>
  </si>
  <si>
    <t>DIEGO ZAVALA MARTINEZ</t>
  </si>
  <si>
    <t>JOSE LUIS MALDINADO</t>
  </si>
  <si>
    <t>MARTINEZ HERNANDEZ JOSE SANTOS</t>
  </si>
  <si>
    <t>LARA REYES EMILIANO</t>
  </si>
  <si>
    <t>SOLIS MARTINEZ RUBEN</t>
  </si>
  <si>
    <t>JARAMILLO LOPEZ JUAN FERNANDO</t>
  </si>
  <si>
    <t>HÉCTOR MARTÍN GARCIA RODRIGUEZ</t>
  </si>
  <si>
    <t>JULIO ADRIAN MONTOYA CANDELAS</t>
  </si>
  <si>
    <t>RAYGOZA CABELLO GABRIEL</t>
  </si>
  <si>
    <t xml:space="preserve"> RICARDO PIÑA MURILLO</t>
  </si>
  <si>
    <t xml:space="preserve"> JOSE MANUEL SANCHEZ GARCIA</t>
  </si>
  <si>
    <t xml:space="preserve"> CRUZ DIMAS DE SANTIAGO</t>
  </si>
  <si>
    <t xml:space="preserve"> ALFREDO ORTIZ SANTACRUZ</t>
  </si>
  <si>
    <t>RUBEN BERMUDEZ ALAMILLO</t>
  </si>
  <si>
    <t>RODOLFO ZAPATA SERNA</t>
  </si>
  <si>
    <t>ISAIAS JARAMILLO MUÑIZ</t>
  </si>
  <si>
    <t>EDGAR EDUARDO ARELLANO MARTINEZ</t>
  </si>
  <si>
    <t xml:space="preserve"> JUAN CARLOS HERRERA CORDOVA</t>
  </si>
  <si>
    <t xml:space="preserve"> JOSE LUIS SANCHEZ VELAZQUEZ</t>
  </si>
  <si>
    <t>REYNALDO RAMIREZ GUAJARDO</t>
  </si>
  <si>
    <t>MANUEL DE JESUS URIBE GARCIA</t>
  </si>
  <si>
    <t>DIEGO FERNANDO DAVILA LOPEZ</t>
  </si>
  <si>
    <t xml:space="preserve"> ROBERTO ZAVALA CASAS</t>
  </si>
  <si>
    <t xml:space="preserve"> RAFAEL RIVERA HERNANDEZ</t>
  </si>
  <si>
    <t xml:space="preserve"> LUIS FERNANDO DOMINGUEZ RAMIREZ</t>
  </si>
  <si>
    <t xml:space="preserve"> LORENZO RODRIGUEZ ARANDA</t>
  </si>
  <si>
    <t xml:space="preserve"> LEONARDO DANIEL VILLAGRANA DOMINGUEZ</t>
  </si>
  <si>
    <t xml:space="preserve"> JUAN MANUEL PALACIOS HERNANDEZ</t>
  </si>
  <si>
    <t xml:space="preserve"> JAVIER AGUILAR VAZQUEZ</t>
  </si>
  <si>
    <t xml:space="preserve"> ARTURO DAVILA LOPEZ</t>
  </si>
  <si>
    <t xml:space="preserve">ELOY VELAZQUEZ RAMIREZ </t>
  </si>
  <si>
    <t xml:space="preserve">BALTAZAR ROBLES NIETO </t>
  </si>
  <si>
    <t xml:space="preserve"> RAMIRO SOSA JUAREZ</t>
  </si>
  <si>
    <t xml:space="preserve"> MARCO ANTONIO ARANDA NAVA</t>
  </si>
  <si>
    <t xml:space="preserve"> JUAN MANUEL VALENZUELA SALAZAR</t>
  </si>
  <si>
    <t xml:space="preserve"> JOSE MANUEL DOMINGUEZ RAMIREZ</t>
  </si>
  <si>
    <t xml:space="preserve"> GUSTAVO LEYVA ZAVALA</t>
  </si>
  <si>
    <t xml:space="preserve"> FIDEL DE JESUS TORRES ALVARADO</t>
  </si>
  <si>
    <t xml:space="preserve"> ELIAS GURROLA LOPEZ</t>
  </si>
  <si>
    <t xml:space="preserve"> CESAR MEDINA MIRAMONTES</t>
  </si>
  <si>
    <t>DANIEL SILVA RAMIREZ</t>
  </si>
  <si>
    <t>RAFAEL TORRES GUZMAN</t>
  </si>
  <si>
    <t>JESUS MICHAEL GALLEGOS HERNANDEZ</t>
  </si>
  <si>
    <t>JUAN ROBERTO ALMANZA GTZ</t>
  </si>
  <si>
    <t>Oscar Del Río Acuña</t>
  </si>
  <si>
    <t>LUIS FERNANDO HERNANDEZ HERNANDEZ</t>
  </si>
  <si>
    <t>SAMUEL RUIZ SANCHEZ</t>
  </si>
  <si>
    <t>JORGE ALEJANDRO MARTINEZ REYES</t>
  </si>
  <si>
    <t>ERASMO ALDAVA MARTINEZ</t>
  </si>
  <si>
    <t>RAMIREZ LOPEZ JOSE LUIS</t>
  </si>
  <si>
    <t>JOAQUIN ACUÑA GUERRERO</t>
  </si>
  <si>
    <t>ARNULFO SALAZAR GONZALEZ</t>
  </si>
  <si>
    <t>ALVAREZ CASTAÑEDA SERGIO ALONSO</t>
  </si>
  <si>
    <t xml:space="preserve"> FRANCISCO RAMON MACIAS MARQUEZ</t>
  </si>
  <si>
    <t xml:space="preserve"> ARMANDO PINALES SANCHEZ</t>
  </si>
  <si>
    <t>VELOZ ESPARZA DANIEL ALEXANDER</t>
  </si>
  <si>
    <t>ROQUE SOTO DE LA CRUZ</t>
  </si>
  <si>
    <t>LUIS ENRIQUE CONTRERAS SAENZ</t>
  </si>
  <si>
    <t>GONZALEZ SILVA LUIS ENRIQUE</t>
  </si>
  <si>
    <t>GARCIA CASTRO JOSE</t>
  </si>
  <si>
    <t>GALLEGOS MENDEZ HOMERO</t>
  </si>
  <si>
    <t xml:space="preserve"> RAYMUNDO RAMIREZ HEREDIA</t>
  </si>
  <si>
    <t xml:space="preserve"> MARCO ANTONIO GARCIA GARCIA</t>
  </si>
  <si>
    <t xml:space="preserve"> J JESUS LOPEZ ARELLANO</t>
  </si>
  <si>
    <t xml:space="preserve"> FERNANDO DANIEL HERNANDEZ SANCHEZ</t>
  </si>
  <si>
    <t xml:space="preserve"> DANY LOPEZ ROBLES</t>
  </si>
  <si>
    <t>CAL</t>
  </si>
  <si>
    <t>ELA</t>
  </si>
  <si>
    <t>CUCHILLA</t>
  </si>
  <si>
    <t>CAZADORES DEL AMARGOR</t>
  </si>
  <si>
    <t xml:space="preserve">LOS BRAVOS DE BLOQUE FRIO </t>
  </si>
  <si>
    <t>RAUL DAVID CORTES ALANIS</t>
  </si>
  <si>
    <t>LOS ESCENCIALES DEL FRÍO</t>
  </si>
  <si>
    <t>LOS FUERTES DEL FRÍO</t>
  </si>
  <si>
    <t>LOS GOVERNAITORS</t>
  </si>
  <si>
    <t>TOPILTZIN TONATIU IZCOALT CURIEL CABRAL</t>
  </si>
  <si>
    <t>LOS PANCHITOS</t>
  </si>
  <si>
    <t>OSCAR GUILLERMO MEJIA GARCÍA</t>
  </si>
  <si>
    <t>ENV</t>
  </si>
  <si>
    <t>COMPADRES - L4</t>
  </si>
  <si>
    <t>GUERREROS - L4</t>
  </si>
  <si>
    <t>INMORTALES - L4</t>
  </si>
  <si>
    <t>MIXTECOS - L4</t>
  </si>
  <si>
    <t xml:space="preserve">ÁGUILAS - MIX 1 -2 </t>
  </si>
  <si>
    <t>BEER LOVERS - L3</t>
  </si>
  <si>
    <t>BUD LIGHTYEAR - L3</t>
  </si>
  <si>
    <t>CAPRICHOS - L1</t>
  </si>
  <si>
    <t>CARAJOS - L9</t>
  </si>
  <si>
    <t>CATADORES - L6</t>
  </si>
  <si>
    <t>CHAMPIONS - L14</t>
  </si>
  <si>
    <t>CHANGOS - L1</t>
  </si>
  <si>
    <t>CHARROS - L12</t>
  </si>
  <si>
    <t>COLMILLOS BLANCOS - L13</t>
  </si>
  <si>
    <t>MEJIA TRUJILLO JULIO EDUARDO</t>
  </si>
  <si>
    <t>CONEJOS - L2</t>
  </si>
  <si>
    <t>CORONA - L5</t>
  </si>
  <si>
    <t>COYOTEZ - L11</t>
  </si>
  <si>
    <t>EL JARDÍN - L7</t>
  </si>
  <si>
    <t>ESCUADRÓN DE LA MUERTE - L6</t>
  </si>
  <si>
    <t>ESCUADRÓN MODELO - L12</t>
  </si>
  <si>
    <t>EXÓTICOS - L2</t>
  </si>
  <si>
    <t>EXPERIENCIA AL 100 - L7</t>
  </si>
  <si>
    <t>FAMILIAR 940 - L6</t>
  </si>
  <si>
    <t>FLACOS - L10</t>
  </si>
  <si>
    <t>GOLDEN BOYS - L11</t>
  </si>
  <si>
    <t>HULK - L13</t>
  </si>
  <si>
    <t>INTOCABLES - L6</t>
  </si>
  <si>
    <t>KAPASES - L1</t>
  </si>
  <si>
    <t>LA BANDA DEL ZORRO - L11</t>
  </si>
  <si>
    <t>LAS FALLAS FANTASMA - L11</t>
  </si>
  <si>
    <t>LAS MERAS VENAS - L5</t>
  </si>
  <si>
    <t>LINCES - L3</t>
  </si>
  <si>
    <t>LOS MÁS CHINGONES - L5</t>
  </si>
  <si>
    <t>LOS MEJORES - L9</t>
  </si>
  <si>
    <t>MAJIC - L7</t>
  </si>
  <si>
    <t>MAÑANEROS - L10</t>
  </si>
  <si>
    <t>MAPACHES - L2</t>
  </si>
  <si>
    <t>MILAGROSOS - L14</t>
  </si>
  <si>
    <t>OSOS DORMIDOS - L12</t>
  </si>
  <si>
    <t>PITBULLS - L13</t>
  </si>
  <si>
    <t>PODEROSOS - L10</t>
  </si>
  <si>
    <t>RENEGADOS - L9</t>
  </si>
  <si>
    <t>RORRITOS - L14</t>
  </si>
  <si>
    <t>TOROS - L10</t>
  </si>
  <si>
    <t>WAKANDIANOS - L13</t>
  </si>
  <si>
    <t>WARRIORS - L6</t>
  </si>
  <si>
    <t>MTE</t>
  </si>
  <si>
    <t xml:space="preserve">ESPECIALISTAS </t>
  </si>
  <si>
    <t>RUBEN DE JESUS MURILLO OLVERA</t>
  </si>
  <si>
    <t>LEON GERARDO RIVERA GUERRERO</t>
  </si>
  <si>
    <t>MTG</t>
  </si>
  <si>
    <t>LOS NAHUALES MTG</t>
  </si>
  <si>
    <t xml:space="preserve">LOS PICHONES </t>
  </si>
  <si>
    <t xml:space="preserve">LOS PREDICTIVOS DE ZACATECAS </t>
  </si>
  <si>
    <t xml:space="preserve">SALVADOR REYES SILVA </t>
  </si>
  <si>
    <t>TIGRES AMBIENTALES</t>
  </si>
  <si>
    <t>TURBINEROS</t>
  </si>
  <si>
    <t>DEAMONIACOS</t>
  </si>
  <si>
    <t xml:space="preserve">LO MAS CHINGON DE SYE </t>
  </si>
  <si>
    <t>JOSE LUIS FLORES DIAZ</t>
  </si>
  <si>
    <t>LOS CARBÓNICOS</t>
  </si>
  <si>
    <t xml:space="preserve">EDGAR RAMIREZ ACUÑA </t>
  </si>
  <si>
    <t>TAG</t>
  </si>
  <si>
    <t>LOS INDESTRUCTIBLES AMBIENTALES</t>
  </si>
  <si>
    <t xml:space="preserve">LOG </t>
  </si>
  <si>
    <t>Tiburones</t>
  </si>
  <si>
    <t>LOS PAISAS</t>
  </si>
  <si>
    <t xml:space="preserve">EXPOALTERNOS </t>
  </si>
  <si>
    <t>TAPANQUEÑOS</t>
  </si>
  <si>
    <t>EQUIPOS AUTÓNOMOS ZACATECAS</t>
  </si>
  <si>
    <t>EINED72D</t>
  </si>
  <si>
    <t>YGU6V7QI</t>
  </si>
  <si>
    <t>2B8AG5X9</t>
  </si>
  <si>
    <t>IIMBUDGE</t>
  </si>
  <si>
    <t>TAABU2GH</t>
  </si>
  <si>
    <t>WAWJ4JC4</t>
  </si>
  <si>
    <t>5BK0ZWW4</t>
  </si>
  <si>
    <t>GYFM3G3X</t>
  </si>
  <si>
    <t>U5PWTQEO</t>
  </si>
  <si>
    <t>UABQ4A60</t>
  </si>
  <si>
    <t>IVJXLAV7</t>
  </si>
  <si>
    <t>8XYAJGMI</t>
  </si>
  <si>
    <t>7PZDYXAJ</t>
  </si>
  <si>
    <t>G4RNAZ46</t>
  </si>
  <si>
    <t>HT0130MW</t>
  </si>
  <si>
    <t>2HUZSP5F</t>
  </si>
  <si>
    <t>79E7R29M</t>
  </si>
  <si>
    <t>QCQFKBAJ</t>
  </si>
  <si>
    <t>3DOCG0ZJ</t>
  </si>
  <si>
    <t>X6F2WOQ8</t>
  </si>
  <si>
    <t>7AWTZ83X</t>
  </si>
  <si>
    <t>JAKCE3IK</t>
  </si>
  <si>
    <t>V5BZ92BY</t>
  </si>
  <si>
    <t>NDWRUZWZ</t>
  </si>
  <si>
    <t>SH36YE0K</t>
  </si>
  <si>
    <t>18GQNPS1</t>
  </si>
  <si>
    <t>KDC2B5KC</t>
  </si>
  <si>
    <t>GKHYIWXF</t>
  </si>
  <si>
    <t>J0AS0XP2</t>
  </si>
  <si>
    <t>PG2MASOO</t>
  </si>
  <si>
    <t>17BVUPJ1</t>
  </si>
  <si>
    <t>V9XAGP45</t>
  </si>
  <si>
    <t>HKV26I9N</t>
  </si>
  <si>
    <t>94FBIO57</t>
  </si>
  <si>
    <t>1K7IPNLR</t>
  </si>
  <si>
    <t>8M3YUP1D</t>
  </si>
  <si>
    <t>8DTDKFB7</t>
  </si>
  <si>
    <t>9Y08T7UC</t>
  </si>
  <si>
    <t>DJEWRKZW</t>
  </si>
  <si>
    <t>M409AZKB</t>
  </si>
  <si>
    <t>HCPEAU9L</t>
  </si>
  <si>
    <t>SWU3KZHE</t>
  </si>
  <si>
    <t>GH1HX4DN</t>
  </si>
  <si>
    <t>AKQK4BGG</t>
  </si>
  <si>
    <t>702Z1O78</t>
  </si>
  <si>
    <t>JPGNTUF1</t>
  </si>
  <si>
    <t>ZAH9B5AU</t>
  </si>
  <si>
    <t>DKHTE9OF</t>
  </si>
  <si>
    <t>4D687Q78</t>
  </si>
  <si>
    <t>LVGBIDQM</t>
  </si>
  <si>
    <t>VY99NMUB</t>
  </si>
  <si>
    <t>XFPYFGF0</t>
  </si>
  <si>
    <t>0PT6GW0L</t>
  </si>
  <si>
    <t>E1FOT0PA</t>
  </si>
  <si>
    <t>3GMFV0FD</t>
  </si>
  <si>
    <t>Q4NJDI6D</t>
  </si>
  <si>
    <t>SJGN7Q35</t>
  </si>
  <si>
    <t>VPUPC3SL</t>
  </si>
  <si>
    <t>CLF73KC3</t>
  </si>
  <si>
    <t>0LJQAOE1</t>
  </si>
  <si>
    <t>2ZNAY1RT</t>
  </si>
  <si>
    <t>77LCC7XT</t>
  </si>
  <si>
    <t>B1BGMQBS</t>
  </si>
  <si>
    <t>U1NT7L8U</t>
  </si>
  <si>
    <t>GZJL3X9S</t>
  </si>
  <si>
    <t>CQL58734</t>
  </si>
  <si>
    <t>OYN0ZTN2</t>
  </si>
  <si>
    <t>DI7EI230</t>
  </si>
  <si>
    <t>36T08LEY</t>
  </si>
  <si>
    <t>0VKN8I4O</t>
  </si>
  <si>
    <t>BHP2ZS5Y</t>
  </si>
  <si>
    <t>5XJWEMQ8</t>
  </si>
  <si>
    <t>AC9FVAOE</t>
  </si>
  <si>
    <t>ZXBVZ7RB</t>
  </si>
  <si>
    <t>XQ08XDC4</t>
  </si>
  <si>
    <t>BERACAOA</t>
  </si>
  <si>
    <t>9X892CPV</t>
  </si>
  <si>
    <t>G377X0UD</t>
  </si>
  <si>
    <t>2EP798T5</t>
  </si>
  <si>
    <t>3GCPB6FA</t>
  </si>
  <si>
    <t>FUAGMDH5</t>
  </si>
  <si>
    <t>189U9CPU</t>
  </si>
  <si>
    <t>POZNXUCC</t>
  </si>
  <si>
    <t>L4OI9YR2</t>
  </si>
  <si>
    <t>V3KCB31A</t>
  </si>
  <si>
    <t>Y5XIXTNQ</t>
  </si>
  <si>
    <t>SLR80V5V</t>
  </si>
  <si>
    <t>JBUFLOG6</t>
  </si>
  <si>
    <t>2ZNKGD43</t>
  </si>
  <si>
    <t>LF3GZTNQ</t>
  </si>
  <si>
    <t>0WXSSKKI</t>
  </si>
  <si>
    <t>CQD9MQHK</t>
  </si>
  <si>
    <t>YNAZ5DA8</t>
  </si>
  <si>
    <t>PVJL2EG2</t>
  </si>
  <si>
    <t>NBU0LCVI</t>
  </si>
  <si>
    <t>O92D74S0</t>
  </si>
  <si>
    <t>PWU2E90U</t>
  </si>
  <si>
    <t>LNTDMW3Y</t>
  </si>
  <si>
    <t>59TZKIWO</t>
  </si>
  <si>
    <t>25KRGLZP</t>
  </si>
  <si>
    <t>CWQMXMG9</t>
  </si>
  <si>
    <t>6UTCO9T1</t>
  </si>
  <si>
    <t>ABHCYAIR</t>
  </si>
  <si>
    <t>L7P1DQJW</t>
  </si>
  <si>
    <t>5XE1384A</t>
  </si>
  <si>
    <t>ND6CTWP4</t>
  </si>
  <si>
    <t>AMOZVH0X</t>
  </si>
  <si>
    <t>S2IOJ9WZ</t>
  </si>
  <si>
    <t>HAB3P0H7</t>
  </si>
  <si>
    <t>MGWLEIQG</t>
  </si>
  <si>
    <t>8DB7CBV4</t>
  </si>
  <si>
    <t>BLQW6LQ9</t>
  </si>
  <si>
    <t>C55N8POL</t>
  </si>
  <si>
    <t>UBQH3MFL</t>
  </si>
  <si>
    <t>8KL56UP7</t>
  </si>
  <si>
    <t>ZYU41EKK</t>
  </si>
  <si>
    <t>0HWGFU27</t>
  </si>
  <si>
    <t>VVP37F2O</t>
  </si>
  <si>
    <t>8CI2NQXF</t>
  </si>
  <si>
    <t>U8PR5X0P</t>
  </si>
  <si>
    <t>KAW7YB6S</t>
  </si>
  <si>
    <t xml:space="preserve">APOYO EN GENTE </t>
  </si>
  <si>
    <t>XHH47AC4</t>
  </si>
  <si>
    <t>QS2V944G</t>
  </si>
  <si>
    <t>6CEPLA8R</t>
  </si>
  <si>
    <t>4F5WZW2U</t>
  </si>
  <si>
    <t>DV3CWII2</t>
  </si>
  <si>
    <t>LOQCFPV5</t>
  </si>
  <si>
    <t>0NKVUIP3</t>
  </si>
  <si>
    <t>2ATXNVED</t>
  </si>
  <si>
    <t>9CLQYEI4</t>
  </si>
  <si>
    <t>GYNH4P1Q</t>
  </si>
  <si>
    <t>ID3CCPP6</t>
  </si>
  <si>
    <t>K927R332</t>
  </si>
  <si>
    <t>6Y9BA7CK</t>
  </si>
  <si>
    <t>YDHFCNED</t>
  </si>
  <si>
    <t>O5UR9KCB</t>
  </si>
  <si>
    <t>UZQZJOSA</t>
  </si>
  <si>
    <t>PQKKRLBB</t>
  </si>
  <si>
    <t>RQCAY5XG</t>
  </si>
  <si>
    <t>WO7Q09CB</t>
  </si>
  <si>
    <t>XNMQ4Q62</t>
  </si>
  <si>
    <t>VOS0K7G1</t>
  </si>
  <si>
    <t>9LY113WC</t>
  </si>
  <si>
    <t>LE98Y5NG</t>
  </si>
  <si>
    <t>2IAC10U9</t>
  </si>
  <si>
    <t>PS4ACAA0</t>
  </si>
  <si>
    <t>C4AAMYAJ</t>
  </si>
  <si>
    <t>RBM7ZO3U</t>
  </si>
  <si>
    <t>8YIQ8YF3</t>
  </si>
  <si>
    <t>BK9IJ6IB</t>
  </si>
  <si>
    <t>OLXIBSYZ</t>
  </si>
  <si>
    <t>8R4231H0</t>
  </si>
  <si>
    <t>WXBZTSH3</t>
  </si>
  <si>
    <t>UK9XOBNQ</t>
  </si>
  <si>
    <t>PJWAL4MA</t>
  </si>
  <si>
    <t>A2N1H5OF</t>
  </si>
  <si>
    <t>H46303P6</t>
  </si>
  <si>
    <t>6B4GZGAP</t>
  </si>
  <si>
    <t>FTLILMOW</t>
  </si>
  <si>
    <t>RPFNQ462</t>
  </si>
  <si>
    <t>A36AYQX6</t>
  </si>
  <si>
    <t>KMXSB08O</t>
  </si>
  <si>
    <t>TTUUTE6Q</t>
  </si>
  <si>
    <t>9FU93OQL</t>
  </si>
  <si>
    <t>HKML85PK</t>
  </si>
  <si>
    <t>5B4BLW63</t>
  </si>
  <si>
    <t>LHK0ZPCG</t>
  </si>
  <si>
    <t>ODBITK06</t>
  </si>
  <si>
    <t>HWDJ1XXE</t>
  </si>
  <si>
    <t>LKLF8I75</t>
  </si>
  <si>
    <t>W895CFX1</t>
  </si>
  <si>
    <t>JSNIBL9R</t>
  </si>
  <si>
    <t>FNKC2SXF</t>
  </si>
  <si>
    <t>UMD1SK89</t>
  </si>
  <si>
    <t>NX6FCOW3</t>
  </si>
  <si>
    <t>VR1JRPDG</t>
  </si>
  <si>
    <t>6Q9BU35P</t>
  </si>
  <si>
    <t>RI228BM8</t>
  </si>
  <si>
    <t>A7JXUJKF</t>
  </si>
  <si>
    <t>E3ZHESRT</t>
  </si>
  <si>
    <t>BKJ4R1JJ</t>
  </si>
  <si>
    <t>3RLNDGQ5</t>
  </si>
  <si>
    <t>SS2YB4UK</t>
  </si>
  <si>
    <t>OS7RZF1T</t>
  </si>
  <si>
    <t>LVZEJ0P2</t>
  </si>
  <si>
    <t>AJKMEJRZ</t>
  </si>
  <si>
    <t>OCHW41B1</t>
  </si>
  <si>
    <t>Z1XFPEYE</t>
  </si>
  <si>
    <t>RZIMNPJ2</t>
  </si>
  <si>
    <t>WLQ3JCMS</t>
  </si>
  <si>
    <t>CE4HQ9KN</t>
  </si>
  <si>
    <t>OBCI2SDZ</t>
  </si>
  <si>
    <t>M9ZRG6JW</t>
  </si>
  <si>
    <t>KGGUBEQY</t>
  </si>
  <si>
    <t>E4SDPL24</t>
  </si>
  <si>
    <t>OP1HJBSV</t>
  </si>
  <si>
    <t>NSXME78H</t>
  </si>
  <si>
    <t>J6ILMWMZ</t>
  </si>
  <si>
    <t>R58177ZO</t>
  </si>
  <si>
    <t>67W387PV</t>
  </si>
  <si>
    <t>GM8A2W76</t>
  </si>
  <si>
    <t>JOJJ9KG2</t>
  </si>
  <si>
    <t>9C947FYK</t>
  </si>
  <si>
    <t>I2PZXIFM</t>
  </si>
  <si>
    <t>MD3DZFVN</t>
  </si>
  <si>
    <t>OVG6TJLE</t>
  </si>
  <si>
    <t>LF4UCA89</t>
  </si>
  <si>
    <t>9WCCBLM6</t>
  </si>
  <si>
    <t>L2BD8AGU</t>
  </si>
  <si>
    <t>HYF32D19</t>
  </si>
  <si>
    <t>TFKBBC4F</t>
  </si>
  <si>
    <t>AH33KLIT</t>
  </si>
  <si>
    <t>5CAJMCXV</t>
  </si>
  <si>
    <t>W2JVW47X</t>
  </si>
  <si>
    <t>XECK511Y</t>
  </si>
  <si>
    <t>CNHV88YF</t>
  </si>
  <si>
    <t>TQX0PFYT</t>
  </si>
  <si>
    <t>LNMK9Q2Z</t>
  </si>
  <si>
    <t>6Z44HPLO</t>
  </si>
  <si>
    <t>IR10XBVO</t>
  </si>
  <si>
    <t>4TF7ZIXZ</t>
  </si>
  <si>
    <t>0LXYSVJ5</t>
  </si>
  <si>
    <t>IUE5ACZZ</t>
  </si>
  <si>
    <t>JHQQFG87</t>
  </si>
  <si>
    <t>2XLU3S1X</t>
  </si>
  <si>
    <t>4Y6M1SYG</t>
  </si>
  <si>
    <t>89KFRQ6R</t>
  </si>
  <si>
    <t>QV8UKKUZ</t>
  </si>
  <si>
    <t>852LWBGH</t>
  </si>
  <si>
    <t>OF93OVW6</t>
  </si>
  <si>
    <t>7H3I9M6U</t>
  </si>
  <si>
    <t>ZYQMIKUD</t>
  </si>
  <si>
    <t>XVM2SSLC</t>
  </si>
  <si>
    <t>X8J25HET</t>
  </si>
  <si>
    <t>VA5L6AJO</t>
  </si>
  <si>
    <t>2M3RCRTZ</t>
  </si>
  <si>
    <t>71R9ACOH</t>
  </si>
  <si>
    <t>I8Q8TL5Q</t>
  </si>
  <si>
    <t>IVFK68E9</t>
  </si>
  <si>
    <t>D80SQWSC</t>
  </si>
  <si>
    <t>CPIDTW9G</t>
  </si>
  <si>
    <t>4OG4V4YP</t>
  </si>
  <si>
    <t>28WHJWLH</t>
  </si>
  <si>
    <t>Q9XKHRZ4</t>
  </si>
  <si>
    <t>2H78FEMM</t>
  </si>
  <si>
    <t>TY7V0TJN</t>
  </si>
  <si>
    <t>JEXIAQ10</t>
  </si>
  <si>
    <t>9MIMISGF</t>
  </si>
  <si>
    <t>QPEXVAVZ</t>
  </si>
  <si>
    <t>H75EPEBQ</t>
  </si>
  <si>
    <t>8NOGWMD6</t>
  </si>
  <si>
    <t>7K65XO6Y</t>
  </si>
  <si>
    <t>J9KP6OFB</t>
  </si>
  <si>
    <t>5TQZUZZ1</t>
  </si>
  <si>
    <t>JH9DKHOB</t>
  </si>
  <si>
    <t>S3NN73FO</t>
  </si>
  <si>
    <t>V06VYU8T</t>
  </si>
  <si>
    <t>90JSIQXN</t>
  </si>
  <si>
    <t>GHB27Q40</t>
  </si>
  <si>
    <t>LJGGS9UX</t>
  </si>
  <si>
    <t>G8PEBN0R</t>
  </si>
  <si>
    <t>SW5T1MUW</t>
  </si>
  <si>
    <t>B3VK36S5</t>
  </si>
  <si>
    <t>0QGG15RJ</t>
  </si>
  <si>
    <t>7FZ4AMTS</t>
  </si>
  <si>
    <t>3F3R44KV</t>
  </si>
  <si>
    <t>S5MEIBND</t>
  </si>
  <si>
    <t>VDUGGN1L</t>
  </si>
  <si>
    <t>BU</t>
  </si>
  <si>
    <t>Operación</t>
  </si>
  <si>
    <t xml:space="preserve">Nombre del equipo </t>
  </si>
  <si>
    <t xml:space="preserve">Departamento </t>
  </si>
  <si>
    <t>LÍNEA</t>
  </si>
  <si>
    <t>ID Sharp</t>
  </si>
  <si>
    <t xml:space="preserve">Nombre del integrante </t>
  </si>
  <si>
    <t>Puesto / ROL</t>
  </si>
  <si>
    <t>CHAMPION</t>
  </si>
  <si>
    <t>MEX</t>
  </si>
  <si>
    <t>ZAC</t>
  </si>
  <si>
    <t>Packaging Maintenance</t>
  </si>
  <si>
    <t>Integrante</t>
  </si>
  <si>
    <t>Packaging</t>
  </si>
  <si>
    <t>Utilities</t>
  </si>
  <si>
    <t>Quality</t>
  </si>
  <si>
    <t>Environment</t>
  </si>
  <si>
    <t>Brewing</t>
  </si>
  <si>
    <t>Deamoniacos</t>
  </si>
  <si>
    <t>EL JARDÍN</t>
  </si>
  <si>
    <t>Maintenance</t>
  </si>
  <si>
    <t>Logística</t>
  </si>
  <si>
    <t>GONZALO HERRERA RUELAS</t>
  </si>
  <si>
    <t>EFREN NARVAEZ LOPEZ</t>
  </si>
  <si>
    <t>ABRAHAM BELMONTES MAURICIO</t>
  </si>
  <si>
    <t>INDESTRUCTIBLES AMBIENTALES</t>
  </si>
  <si>
    <t>LAS AGUILAS</t>
  </si>
  <si>
    <t>LOS MÁS CHINGONES DE SYE</t>
  </si>
  <si>
    <t>Brewing Maintenance</t>
  </si>
  <si>
    <t>NO LE MUEVAN AHI LLEGO</t>
  </si>
  <si>
    <t>JUAN CARLOS GARCIA VEGA</t>
  </si>
  <si>
    <t>ERNESTO GONZALEZ GUERRERO</t>
  </si>
  <si>
    <t>LOS RESTAURADORES</t>
  </si>
  <si>
    <t>Turbineros</t>
  </si>
  <si>
    <t>-</t>
  </si>
  <si>
    <t xml:space="preserve">BEER LOVERS </t>
  </si>
  <si>
    <t>SAUCEDO VALENZUELA JUAN ANTONIO</t>
  </si>
  <si>
    <t>NORMA RUTH REGIS</t>
  </si>
  <si>
    <t xml:space="preserve">MARCELO DEL REAL MARQUEZ </t>
  </si>
  <si>
    <t>LOPEZ VAZQUEZ HUMBERTO</t>
  </si>
  <si>
    <t>LEYVA ESCARCIA LUIS ALBERTO</t>
  </si>
  <si>
    <t>ELICERIO ORTIZ JOSE IGNACIO</t>
  </si>
  <si>
    <t>DOMINGUEZ RODRIGUEZ MANUEL</t>
  </si>
  <si>
    <t>DEL RIO CASTILLO SAMUEL</t>
  </si>
  <si>
    <t xml:space="preserve">BUD LIGHTYEAR </t>
  </si>
  <si>
    <t>ORTIZ CASTILLO SAUL DE JESUS</t>
  </si>
  <si>
    <t>OROZCO MALDONADO JOSE</t>
  </si>
  <si>
    <t>OLIVARES DUE?AS ANTONIO</t>
  </si>
  <si>
    <t>MONTENEGRO CUELLAR JORGE</t>
  </si>
  <si>
    <t>ANGUIANO RAYGOZA GERARDO IGNACIO</t>
  </si>
  <si>
    <t xml:space="preserve">CAPRICHOS </t>
  </si>
  <si>
    <t xml:space="preserve">Uriel  Santacruz Pacheco </t>
  </si>
  <si>
    <t>Manuel Garcia Gonzalez</t>
  </si>
  <si>
    <t xml:space="preserve">Jose M. Castillo </t>
  </si>
  <si>
    <t>Jaime Noel Arteaga Jacobo</t>
  </si>
  <si>
    <t>Ignacio Esacreño Carrillo</t>
  </si>
  <si>
    <t xml:space="preserve">Hilario Ruelas Chavez </t>
  </si>
  <si>
    <t>FERNANDO VALDIVIA</t>
  </si>
  <si>
    <t xml:space="preserve">CARAJOS </t>
  </si>
  <si>
    <t>VAZQUEZ CARRILLO MAXIMILIANO</t>
  </si>
  <si>
    <t>SALDIVAR  SANTOS JOSE LUIS</t>
  </si>
  <si>
    <t>RODRIGUEZ MARTIN</t>
  </si>
  <si>
    <t>RAUDALES MARTINEZ GUILLERMO</t>
  </si>
  <si>
    <t>PADILLA VARELA ERNESTO</t>
  </si>
  <si>
    <t xml:space="preserve">JOSE DE JESUS ORTIZ VILLEGAS </t>
  </si>
  <si>
    <t xml:space="preserve">JOSE ALFREDO PARRA VILLAGRANA </t>
  </si>
  <si>
    <t>JOSE ALEJANDRO CASTAÑO AGUILAR</t>
  </si>
  <si>
    <t>HERNANDEZ TORRES JOSE EFRAIN</t>
  </si>
  <si>
    <t>GODINA MARTINEZ ALEXIS GONZALO</t>
  </si>
  <si>
    <t>GARCIA CHAVEZ JORGE ARTURO</t>
  </si>
  <si>
    <t>GARAY MARTINEZ MIGUEL</t>
  </si>
  <si>
    <t xml:space="preserve">SAUL CHAVEZ SALAS </t>
  </si>
  <si>
    <t xml:space="preserve">CATADORES </t>
  </si>
  <si>
    <t>NIETO ROBLES CARLOS ALBERTO</t>
  </si>
  <si>
    <t>MONTOYA TORRES JUAN DARIO</t>
  </si>
  <si>
    <t>MARTINEZ FLORES LUIS MANUEL</t>
  </si>
  <si>
    <t>MARTINEZ DE LA TORRE J CRUZ</t>
  </si>
  <si>
    <t>MANUEL  ALBERTO ORTIZ RAMIREZ</t>
  </si>
  <si>
    <t>JOSE GUADALUPE ALVARADO LOPEZ</t>
  </si>
  <si>
    <t>GOYTIA PARDO JOSE GUADALUPE</t>
  </si>
  <si>
    <t>GONZALEZ GUTIERREZ MARCELO</t>
  </si>
  <si>
    <t>GARZA CARDENAS VICTOR HUGO</t>
  </si>
  <si>
    <t>GARCIA ALVARADO EDUARDO</t>
  </si>
  <si>
    <t>FILIBERTO HERNANDEZ</t>
  </si>
  <si>
    <t>ALVARADO MORALES RICARDO</t>
  </si>
  <si>
    <t>AMBIENTAL Y GENTE</t>
  </si>
  <si>
    <t xml:space="preserve">CHAMPIONS </t>
  </si>
  <si>
    <t>ROSENDO RAFAEL CARRILLO MACIAS</t>
  </si>
  <si>
    <t>MIGUEL ANGEL CORTEZ VILLARREAL</t>
  </si>
  <si>
    <t>JOSE MANUEL BARRON JIMENEZ</t>
  </si>
  <si>
    <t>JOSE LUIS SERNA SANTILLAN</t>
  </si>
  <si>
    <t>HERALDO MAYEL LOPEZ RAMIREZ</t>
  </si>
  <si>
    <t>GABRIEL MONREAL MARTINEZ</t>
  </si>
  <si>
    <t>FILIBERTO REYES VILLAVICENCIO</t>
  </si>
  <si>
    <t>EDWIN YAHIR MAURICIO</t>
  </si>
  <si>
    <t>EDGAR FABIAN HERRERA RAMIREZ</t>
  </si>
  <si>
    <t>BENITO ABRAM MENDIOLA HINOJOSA</t>
  </si>
  <si>
    <t>ANTONIO FELIX DELGADO</t>
  </si>
  <si>
    <t>ABEL SILVA AGUILAR</t>
  </si>
  <si>
    <t xml:space="preserve">CHANGOS </t>
  </si>
  <si>
    <t>Carlos Alberto Alvarez</t>
  </si>
  <si>
    <t xml:space="preserve">CHARROS </t>
  </si>
  <si>
    <t>MARTIN CARDONA VELAZQUEZ</t>
  </si>
  <si>
    <t>DIEGO CONTRERAS ROSALES</t>
  </si>
  <si>
    <t xml:space="preserve">COLMILLOS BLANCOS </t>
  </si>
  <si>
    <t>SALAZAR MALDONADO EDUARDO</t>
  </si>
  <si>
    <t>MEDINA VAZQUEZ EDUARDO</t>
  </si>
  <si>
    <t>ALVAREZ MARTINEZ JOEL</t>
  </si>
  <si>
    <t>JULIO EDUARDO  MEJIA TRUJILLO</t>
  </si>
  <si>
    <t xml:space="preserve">COMPADRES </t>
  </si>
  <si>
    <t>VILLA RIVERA IVAN</t>
  </si>
  <si>
    <t>SALAZAR PALACIOS MANUEL</t>
  </si>
  <si>
    <t>INCAPACITADO</t>
  </si>
  <si>
    <t>RAMIREZ RODRIGUEZ OMAR</t>
  </si>
  <si>
    <t>RAMIREZ DOMINGUEZ PEDRO</t>
  </si>
  <si>
    <t>ORTIZ DELGADO AURELIANO</t>
  </si>
  <si>
    <t>NOE ANIBAL CASTRO MALDONADO</t>
  </si>
  <si>
    <t>MIGUEL ANGEL VILLAVICENCIO</t>
  </si>
  <si>
    <t>HERMINIO PINEDO ORTIZ</t>
  </si>
  <si>
    <t>GALLEGOS PICAZO JESUS MANUEL</t>
  </si>
  <si>
    <t>ESCOBEDO HERNANDEZ ENRIQUE</t>
  </si>
  <si>
    <t>ELEAZAR VALDEZ GARCIA</t>
  </si>
  <si>
    <t>DE AVILA GARCIA VICTOR MANUEL</t>
  </si>
  <si>
    <t>CASAREZ HERNANDEZ LEONEL</t>
  </si>
  <si>
    <t>CAMPOS MEDELLIN JOSE LEONEL</t>
  </si>
  <si>
    <t xml:space="preserve">CONEJOS </t>
  </si>
  <si>
    <t>Mario Armendariz Raudales</t>
  </si>
  <si>
    <t>Luis Carlos Vazquez Castañeda</t>
  </si>
  <si>
    <t>Jose Ricardo Reyes Cardona</t>
  </si>
  <si>
    <t>Jose Alfredo Esparza</t>
  </si>
  <si>
    <t>Javier Manriquez Aguilar</t>
  </si>
  <si>
    <t>Cruz Muro Tovar</t>
  </si>
  <si>
    <t xml:space="preserve">CORONA </t>
  </si>
  <si>
    <t>SAMUEL LUMBRERAS ALFEREZ</t>
  </si>
  <si>
    <t>RODRIGUEZ ARANDA ARTURO</t>
  </si>
  <si>
    <t>MANUEL PARGA NUÑEZ</t>
  </si>
  <si>
    <t>GARCIA REZA LEOBARDO</t>
  </si>
  <si>
    <t>CASTILLO CARDONA JOSE ANTONIO</t>
  </si>
  <si>
    <t xml:space="preserve">COYOTES </t>
  </si>
  <si>
    <t>RODOLFO ACEVEDO ARIAS</t>
  </si>
  <si>
    <t>LUIS ENRIQUE RAMIREZ HERNANDEZ</t>
  </si>
  <si>
    <t>JOSE MANUEL SOSA RODRIGUEZ</t>
  </si>
  <si>
    <t>JOSE LUIS BUGARIN CARDENAS</t>
  </si>
  <si>
    <t>JAVIER ORTIZ RAMOS</t>
  </si>
  <si>
    <t>JAIME SANCHEZ GARCIA</t>
  </si>
  <si>
    <t>ALBERTO MEDINA SAUCEDO</t>
  </si>
  <si>
    <t>JUAN SALAZAR BANDA</t>
  </si>
  <si>
    <t xml:space="preserve">EL JARDIN </t>
  </si>
  <si>
    <t xml:space="preserve">VICENTE ALBERTO VALDIVIA MONTOYA </t>
  </si>
  <si>
    <t xml:space="preserve">ROY NAJAR RAMIREZ </t>
  </si>
  <si>
    <t xml:space="preserve">OTOHNIEL MORALES MARTINEZ </t>
  </si>
  <si>
    <t>OSCAR FLORES MURILLO</t>
  </si>
  <si>
    <t>MANUEL MURILLO LUNA</t>
  </si>
  <si>
    <t xml:space="preserve">LUIS ROBERTO TORRES MURILLO </t>
  </si>
  <si>
    <t xml:space="preserve">JUAN MANUEL DIAZ NIETO </t>
  </si>
  <si>
    <t>JUAN CARLOS ALVAREZ RODRIGUEZ</t>
  </si>
  <si>
    <t>JOSE ANTONIO ESCARCIA TREJO</t>
  </si>
  <si>
    <t>JESUS MANUEL DUEÑAS GARCIA</t>
  </si>
  <si>
    <t>ISAAC FERNANDO ALVARADO BARRON</t>
  </si>
  <si>
    <t>CARLOS DAVID ORTIZ PINEDO</t>
  </si>
  <si>
    <t>ARMANDO SANCHEZ CASTAÑEDA</t>
  </si>
  <si>
    <t>ALBERTO ZAMARRIPA MARIN</t>
  </si>
  <si>
    <t>ADRIAN ACOSTA HUERTA</t>
  </si>
  <si>
    <t xml:space="preserve">ESCUADRON DE LA MUERTE </t>
  </si>
  <si>
    <t>Wualter Michell Robles Gamez</t>
  </si>
  <si>
    <t>RICARDO AGULIAR LOPEZ</t>
  </si>
  <si>
    <t>RAUL VAZQUEZ MORENO</t>
  </si>
  <si>
    <t>RAMON  NIETO SERRANO</t>
  </si>
  <si>
    <t>MIGUEL ANGEL SALAZAR CAMARILLO</t>
  </si>
  <si>
    <t>MARIA DEL REFUGIO RIVAS</t>
  </si>
  <si>
    <t>JOSE ALDAIR ZAVALA MURRILLO</t>
  </si>
  <si>
    <t>JORGE LUIS MACIEL CASTILLO</t>
  </si>
  <si>
    <t>J GUADALUPE GARZA LICERIO</t>
  </si>
  <si>
    <t>FRANCISCO JAVIER NIETO JARAMILLO</t>
  </si>
  <si>
    <t>EUGENIO LOPEZ SOSA</t>
  </si>
  <si>
    <t>CESAR RODRIGUEZ BANDA</t>
  </si>
  <si>
    <t>ANTONIO CRUZ PEREZ</t>
  </si>
  <si>
    <t xml:space="preserve">ANDRES ESCOBEDO VELAZQUEZ </t>
  </si>
  <si>
    <t>ALEJANDRO ORTIZ RODRIGUEZ</t>
  </si>
  <si>
    <t>AARON CARRILLO ESPINOZA</t>
  </si>
  <si>
    <t xml:space="preserve">ESCUADRON MODELO </t>
  </si>
  <si>
    <t xml:space="preserve">RUPERTO LOPEZ ZAMARRIPA </t>
  </si>
  <si>
    <t>ISRAEL MARQUEZ ARELLANO</t>
  </si>
  <si>
    <t xml:space="preserve">EXOTICOS </t>
  </si>
  <si>
    <t>Ignacio Murillo Pinedo</t>
  </si>
  <si>
    <t>Gustavo Angel Huerta Soto</t>
  </si>
  <si>
    <t>Gabriel Salazar Gamez</t>
  </si>
  <si>
    <t>Armando Roman Sanchez</t>
  </si>
  <si>
    <t>Alejandro Puente Del Rio</t>
  </si>
  <si>
    <t xml:space="preserve">EXPERIENCIA AL 100 </t>
  </si>
  <si>
    <t xml:space="preserve">VEGA MORALES MANUEL </t>
  </si>
  <si>
    <t xml:space="preserve">JULIO CESAR MURILLO RODRIGUEZ </t>
  </si>
  <si>
    <t>ALFREDO CRUZ DE LA ROSA</t>
  </si>
  <si>
    <t xml:space="preserve">FAMILIAR 940 </t>
  </si>
  <si>
    <t>VICTOR ALFONSO PALACIOS</t>
  </si>
  <si>
    <t>VICENTE RODRIGUEZ</t>
  </si>
  <si>
    <t>SERGIO HERNANDEZ</t>
  </si>
  <si>
    <t>ROBERTO PARRA</t>
  </si>
  <si>
    <t>RICARDO ARTURO DELGADO LEYVA</t>
  </si>
  <si>
    <t>MAURICIO ARELLANO CONTRERAS</t>
  </si>
  <si>
    <t>JULIO CESAR CASAS</t>
  </si>
  <si>
    <t>JUAN MANUEL SAUCEDO LOPEZ</t>
  </si>
  <si>
    <t>JORGE GOYTIA</t>
  </si>
  <si>
    <t>GUMARO CAZARES</t>
  </si>
  <si>
    <t>DAVID PALACIOS CAMPOS</t>
  </si>
  <si>
    <t>CESAR PEREZ SAUCEDO</t>
  </si>
  <si>
    <t>CARLOS RODARTE</t>
  </si>
  <si>
    <t>BERNARDO GRANO</t>
  </si>
  <si>
    <t>ANDRES TISCAREÑO SANCHEZ</t>
  </si>
  <si>
    <t xml:space="preserve">LUIS MANUEL GARDUÑO RENTERIA </t>
  </si>
  <si>
    <t>FINGER SAGRADO</t>
  </si>
  <si>
    <t xml:space="preserve">FLACOS </t>
  </si>
  <si>
    <t>VALENTIN CRUZ LUNA</t>
  </si>
  <si>
    <t>ROQUE MARTINEZ LOPEZ</t>
  </si>
  <si>
    <t>PEDRO LUMBRERAS ALFEREZ</t>
  </si>
  <si>
    <t>JOSE CARLOS SALAS SALAS</t>
  </si>
  <si>
    <t>JOSE ANGEL IBARRA CARRILLO</t>
  </si>
  <si>
    <t>JESUS SALVADOR MEDINA ORTIZ</t>
  </si>
  <si>
    <t>JESUS GUADALUPE CAMPOS GUERRERO</t>
  </si>
  <si>
    <t>IVANHOE PEREZ MARTINEZ</t>
  </si>
  <si>
    <t>GUILLERMO CID GAMEZ</t>
  </si>
  <si>
    <t>ALDO ALEJANDRO DE LIRA MATA</t>
  </si>
  <si>
    <t>NAJERA FIGUEROA RUBEN</t>
  </si>
  <si>
    <t>MOISES GAYTAN GURROLA</t>
  </si>
  <si>
    <t>MEDINA DELGADO JOSE DE JESUS</t>
  </si>
  <si>
    <t>GUARDADO CASTRO JUAN MANUEL</t>
  </si>
  <si>
    <t>GALVAN FRANCISCO JAVIER</t>
  </si>
  <si>
    <t xml:space="preserve">HULK </t>
  </si>
  <si>
    <t>SAID ALEJANDRO GURROLA</t>
  </si>
  <si>
    <t>ROGELIO MORENO LEOS</t>
  </si>
  <si>
    <t>RAUL ORDAZ MOLINA</t>
  </si>
  <si>
    <t>MARCELO LOPEZ RODRIGUEZ</t>
  </si>
  <si>
    <t>LORENZO GONZALEZ GARCIA</t>
  </si>
  <si>
    <t>JUAN MANUEL GONZALEZ SALDIVAR</t>
  </si>
  <si>
    <t>JOSE DE JESUS REYES DOMINGUEZ</t>
  </si>
  <si>
    <t>JORGE SOSA LOPEZ</t>
  </si>
  <si>
    <t>HILARIO ELICERIO ADAME</t>
  </si>
  <si>
    <t>FERNANDO MARTINEZ PI?A</t>
  </si>
  <si>
    <t>FERNANDO ESPARZA GARCIA</t>
  </si>
  <si>
    <t>ANGEL RAMIREZ HERNANDEZ</t>
  </si>
  <si>
    <t>INDESTRUCTIBLES</t>
  </si>
  <si>
    <t>JONATHAN HERRERA RAMIREZ</t>
  </si>
  <si>
    <t xml:space="preserve">INMORTALES </t>
  </si>
  <si>
    <t xml:space="preserve">RAMIRO LUNA HERNANDEZ </t>
  </si>
  <si>
    <t>JUAN CARLOS DE LA CRUZ DE LA CUZ</t>
  </si>
  <si>
    <t xml:space="preserve">INTOCABLES </t>
  </si>
  <si>
    <t>SEFERINO MACIAS MENOZA</t>
  </si>
  <si>
    <t>MIGUEL OCHOA MARTEL</t>
  </si>
  <si>
    <t>LUIS IVAN VALDEZ</t>
  </si>
  <si>
    <t xml:space="preserve">KAPASES </t>
  </si>
  <si>
    <t>Julio Cesar Macias</t>
  </si>
  <si>
    <t>Jesus Varela</t>
  </si>
  <si>
    <t xml:space="preserve">Ivan Ortiz Martinez </t>
  </si>
  <si>
    <t xml:space="preserve">Helder Alejandro Gomez </t>
  </si>
  <si>
    <t>Alejandro Cardenas Macias</t>
  </si>
  <si>
    <t xml:space="preserve">LA BANDA DEL ZORRO </t>
  </si>
  <si>
    <t xml:space="preserve">Juan Sebastian Roman </t>
  </si>
  <si>
    <t xml:space="preserve">Juan Alamillo Montes </t>
  </si>
  <si>
    <t xml:space="preserve">DAVID RODRIGUEZ RODRIGUEZ </t>
  </si>
  <si>
    <t>AMBIENTAL Y CALIDAD</t>
  </si>
  <si>
    <t xml:space="preserve">LAS FALLAS FANTASMA </t>
  </si>
  <si>
    <t>ROLANDO RIVAS SANCHEZ</t>
  </si>
  <si>
    <t>Santos Alberto Delgado Sanchez</t>
  </si>
  <si>
    <t>Salvador Bañuelos Rodrigues</t>
  </si>
  <si>
    <t>Raul Rodrigo Bugarin Lopez</t>
  </si>
  <si>
    <t>Pedro Hernandez Licerio</t>
  </si>
  <si>
    <t>Noel Espinoza Sanchez</t>
  </si>
  <si>
    <t>Neftali Rodriguez Lopez</t>
  </si>
  <si>
    <t>Martin Cordova Acosta</t>
  </si>
  <si>
    <t>Jose Manuel Torres Cortez</t>
  </si>
  <si>
    <t>Jorge Joel Rosales Ramirez</t>
  </si>
  <si>
    <t>Gabriel Cardona Escobedo</t>
  </si>
  <si>
    <t>Francisco Burgos Ramirez</t>
  </si>
  <si>
    <t>Efrain Barrera Montoya</t>
  </si>
  <si>
    <t>Eduardo Manuel Prado Amaro</t>
  </si>
  <si>
    <t>Angel Alaniz Pereyra</t>
  </si>
  <si>
    <t xml:space="preserve">LINCES </t>
  </si>
  <si>
    <t>ROJAS LOPEZ JUAN CARLOS</t>
  </si>
  <si>
    <t>RAMIREZ TORRES ISIDORO</t>
  </si>
  <si>
    <t>MARLA GUADALUPE LIRA BAÑUELOS</t>
  </si>
  <si>
    <t xml:space="preserve">LIDIA SELENE RIVAS LANDEROS  </t>
  </si>
  <si>
    <t>JIMENEZ MARTINEZ DAVID</t>
  </si>
  <si>
    <t>VICTOR HUGO ZAPATA DOMINGUEZ</t>
  </si>
  <si>
    <t>SAGRARIO MONTSERRAT BERNAL GARCIA</t>
  </si>
  <si>
    <t>RICARDO ESPARZA DOMINGUEZ</t>
  </si>
  <si>
    <t>PEDRO LUIS RODRIGUEZ GAMEZ</t>
  </si>
  <si>
    <t>LUIS ADOLFO MALDONADO DOMINGUEZ</t>
  </si>
  <si>
    <t>JOSE LEANDRO MARTINEZ SANDOVAL</t>
  </si>
  <si>
    <t>OSCAR EDUARDO VALDEZ MUÑOZ</t>
  </si>
  <si>
    <t>LUIS FERNANDO ZAPATA CARDONA</t>
  </si>
  <si>
    <t>JESUS EDUARDO BRICEÑO MONTELONGO</t>
  </si>
  <si>
    <t>ISAÍ SOLOZANO HUARACHA</t>
  </si>
  <si>
    <t>MIGUEL ANGEL SANCHEZ FLORES</t>
  </si>
  <si>
    <t>GUILLERMO GERARDO GONZALEZ ULLOA</t>
  </si>
  <si>
    <t>EDGAR RENE DIAZ SANCHEZ</t>
  </si>
  <si>
    <t>ARIADNNE MAGDALENA TORRES RODRIGUEZ</t>
  </si>
  <si>
    <t>RAFAEL VERA ORTEGA</t>
  </si>
  <si>
    <t>OSCAR NUÑEZ CALZADA</t>
  </si>
  <si>
    <t>MARCO AURELIO CUACOATL RAMIREZ REVELES</t>
  </si>
  <si>
    <t>ERIKA IVOONE IBARRA</t>
  </si>
  <si>
    <t>SHERLYN GARCIA PEREZ</t>
  </si>
  <si>
    <t>ROGRIGO REGALADO</t>
  </si>
  <si>
    <t>ANA PAOLA PERERA MARIN</t>
  </si>
  <si>
    <t>LOS MALQUERIDOS</t>
  </si>
  <si>
    <t>OSCAR HERNANDEZ GONZALEZ</t>
  </si>
  <si>
    <t>MIGUEL ANGEL DIAZ RODRIGUEZ</t>
  </si>
  <si>
    <t>MANUEL DE JESUS ADAME GONZALEZ</t>
  </si>
  <si>
    <t>JUAN ANTONIO MEDINA SAUCEDO</t>
  </si>
  <si>
    <t>JOSE SANTIAGO PIEDRAS LUEVANO</t>
  </si>
  <si>
    <t>JOSE GERARDO FLORES GARCIA</t>
  </si>
  <si>
    <t>GUILLERMO GUERRERO MENDEZ</t>
  </si>
  <si>
    <t>GABRIEL LEOS ORTIZ</t>
  </si>
  <si>
    <t>EVERARDO ARELLANO DUARTE</t>
  </si>
  <si>
    <t>ERNESTOR NAURIZA ORTIZ</t>
  </si>
  <si>
    <t>ERICK CESAR HERNANDEZ TORRES</t>
  </si>
  <si>
    <t>EDUARDO ELIAS RODRIGUEZ</t>
  </si>
  <si>
    <t>DANIEL ALEXANDER VELOZ ESPARZA</t>
  </si>
  <si>
    <t>BENJAMIN HUERTA DE LA ROSA</t>
  </si>
  <si>
    <t>ANTONIO CEBALLOS SANTOS</t>
  </si>
  <si>
    <t>JAQUELINE CALDERA RAMIREZ</t>
  </si>
  <si>
    <t>Victor Hugo Del Rio Figueroa</t>
  </si>
  <si>
    <t>Victor Enrique Piña Flores</t>
  </si>
  <si>
    <t>Reyes Viramontes Martinez</t>
  </si>
  <si>
    <t>Rafael Hernandez Moreno</t>
  </si>
  <si>
    <t>Oscar Roman Mauricio</t>
  </si>
  <si>
    <t>Miguel Angel Villela Torres</t>
  </si>
  <si>
    <t>Miguel Angel Lopez Lopez</t>
  </si>
  <si>
    <t>Miguel Angel Arellano Ordaz</t>
  </si>
  <si>
    <t>Mauricio Alejandro Ledezma Ramirez</t>
  </si>
  <si>
    <t>Manuel De Jesus Aguilar Parga</t>
  </si>
  <si>
    <t>Gilberto Hernandez Flores</t>
  </si>
  <si>
    <t>Fernando Rodriguez Flores</t>
  </si>
  <si>
    <t>Carlos Perez Barrios</t>
  </si>
  <si>
    <t>Alfredo Burciaga Rojas</t>
  </si>
  <si>
    <t>LUIS MANUEL GARDUÑO RENTERIA</t>
  </si>
  <si>
    <t>SOLIS REYES JESUS</t>
  </si>
  <si>
    <t>RIVAS MEDINA J DE JESUS</t>
  </si>
  <si>
    <t>MACIAS COLLAZO LORENZO</t>
  </si>
  <si>
    <t xml:space="preserve">JULIO RUIZ GONZALEZ </t>
  </si>
  <si>
    <t xml:space="preserve">JOAQUIN CARDONA CARDONA </t>
  </si>
  <si>
    <t>IBARRA SUSTAITA JOSE ANGEL</t>
  </si>
  <si>
    <t>GUSTAVO SALAZAR GONZALEZ</t>
  </si>
  <si>
    <t>ESPARZA ORTIZ RAMIRO</t>
  </si>
  <si>
    <t>ESCALERA REYES DAVID</t>
  </si>
  <si>
    <t>EDUARDO NERI DE LUNA</t>
  </si>
  <si>
    <t>GERARDO ESPARZA TORTADO</t>
  </si>
  <si>
    <t>FILIBERTO PINEDO RODRÍGUEZ</t>
  </si>
  <si>
    <t>VICTOR MANUEL DE JESÚS SIMENTAL</t>
  </si>
  <si>
    <t>JOSÉ MARÍA LUJÁN SORIANOI</t>
  </si>
  <si>
    <t>RUBEN CARRILLO CASAS</t>
  </si>
  <si>
    <t>OSCAR IVAN IBARRA ORTIZ</t>
  </si>
  <si>
    <t>SEGURIDAD Y GENTE</t>
  </si>
  <si>
    <t>FATIMA ALEJANDRA OLVERA IBARRA</t>
  </si>
  <si>
    <t>LOS TUNNING DE MODERNO</t>
  </si>
  <si>
    <t xml:space="preserve">MAJIC </t>
  </si>
  <si>
    <t>SERGIO SOSA GARCIA</t>
  </si>
  <si>
    <t>ROSENDO RAMIREZ MARTINEZ</t>
  </si>
  <si>
    <t>ROLANDO PEREZ DELGADO</t>
  </si>
  <si>
    <t>RODRIGO GONZALES DE SANTIAGO</t>
  </si>
  <si>
    <t>LUIS FERNANDO JARA CRUZ</t>
  </si>
  <si>
    <t>JOSE RIOS MUÑOZ</t>
  </si>
  <si>
    <t>JORGE DELGADO ARTEAGA</t>
  </si>
  <si>
    <t>ISMAEL VAZQUEZ RAMOS</t>
  </si>
  <si>
    <t>FABIAN MONRREAL ROBLES</t>
  </si>
  <si>
    <t xml:space="preserve">CARLOS OSVALDO RUIZ AGUÑAGA </t>
  </si>
  <si>
    <t>ADRIAN RIVAS REYES</t>
  </si>
  <si>
    <t xml:space="preserve">MAÑANEROS </t>
  </si>
  <si>
    <t>SIMON HERNANDEZ ROSALES</t>
  </si>
  <si>
    <t>MENDEZ PALACIOS GILBERTO</t>
  </si>
  <si>
    <t>JOJANNSE SANCHEZ DE LA TORRE</t>
  </si>
  <si>
    <t>JAVIER ORTIZ DE LA CRUZ</t>
  </si>
  <si>
    <t>ARTURO FELIX DELGADO</t>
  </si>
  <si>
    <t>FERNANDO MARTINEZ</t>
  </si>
  <si>
    <t xml:space="preserve">MAPACHES </t>
  </si>
  <si>
    <t>RAMIRO DIAZ MORENO</t>
  </si>
  <si>
    <t>Manuel Cervantes</t>
  </si>
  <si>
    <t>Luis Daniel Femat Ramirez</t>
  </si>
  <si>
    <t>Jorge Luis Vazquez</t>
  </si>
  <si>
    <t>David Ismael Torres Ortiz</t>
  </si>
  <si>
    <t>Alberto Villareal</t>
  </si>
  <si>
    <t>RODRÍGUEZ RANGEL JOSÉ LUIS</t>
  </si>
  <si>
    <t>SAMANTHA MONTSERRAT ROJERO LERMA</t>
  </si>
  <si>
    <t>METALICOS INDESTRUCTIBLES</t>
  </si>
  <si>
    <t>BERENICE MACIAS ALONSO</t>
  </si>
  <si>
    <t xml:space="preserve">MILAGROSOS </t>
  </si>
  <si>
    <t>JOSE MANUEL ORTIZ SUSTAITA</t>
  </si>
  <si>
    <t>JOSE MANUEL CAMPOS AVILA</t>
  </si>
  <si>
    <t>JORGE HERNANDEZ JAQUEZ</t>
  </si>
  <si>
    <t>HUGO ADRIAN CARRILLO HERNANDEZ</t>
  </si>
  <si>
    <t>ALFONSO TREJO BA?UELOS</t>
  </si>
  <si>
    <t xml:space="preserve">MIXTECOS </t>
  </si>
  <si>
    <t>VASQUEZ URIBE MARCO ANTONIO</t>
  </si>
  <si>
    <t>TREJO CORREA RAMON</t>
  </si>
  <si>
    <t>GONZALEZ BUGARIN JOSE MANUEL</t>
  </si>
  <si>
    <t>OBED CALVILLO RAMIREZ</t>
  </si>
  <si>
    <t>Lider</t>
  </si>
  <si>
    <t>PAOLA CRISTINA OLIVARES SANCHEZ</t>
  </si>
  <si>
    <t>MUÑECOS</t>
  </si>
  <si>
    <t>NAYELI JAZMIN TOVAR</t>
  </si>
  <si>
    <t>NORTECARGUISTAS</t>
  </si>
  <si>
    <t xml:space="preserve">FATIMA RODRIGUEZ </t>
  </si>
  <si>
    <t xml:space="preserve">OSOS DORMIDOS </t>
  </si>
  <si>
    <t>RAFAEL TORRES GUTIERREZ</t>
  </si>
  <si>
    <t>PAISAS</t>
  </si>
  <si>
    <t>PELUSAS DEL PYR</t>
  </si>
  <si>
    <t xml:space="preserve">PITBULLS </t>
  </si>
  <si>
    <t>VICTOR HUGO PALACIOS ESCOBEDO</t>
  </si>
  <si>
    <t>ROLANDO LUNA JUAREZ</t>
  </si>
  <si>
    <t>RAMON MARQUEZ DOMINGUEZ</t>
  </si>
  <si>
    <t>RAFAEL DOMINGUEZ DE SANTIAGO</t>
  </si>
  <si>
    <t xml:space="preserve">JUAN DAVID RAMIREZ MONTOYA </t>
  </si>
  <si>
    <t>JOSE ANGEL MARTINEZ LIZARDO</t>
  </si>
  <si>
    <t>EVERARDO ROBLES NIETO</t>
  </si>
  <si>
    <t>EMMAUNEL ALEJANDRO ZAPATA PARRA</t>
  </si>
  <si>
    <t>EMILIO CASTRO MORENO</t>
  </si>
  <si>
    <t>CUAUHTEMOC TALAVERA OTERO</t>
  </si>
  <si>
    <t>ALEJANDRO SANTILLAN ANDRADE</t>
  </si>
  <si>
    <t>ADAN LARA SOSA</t>
  </si>
  <si>
    <t xml:space="preserve">PODEROSOS </t>
  </si>
  <si>
    <t>MARTIN RODRIGUEZ MACIAS</t>
  </si>
  <si>
    <t>MANUEL SALAS SUSTAITA</t>
  </si>
  <si>
    <t>MANUEL RODRIGUEZ ARANDA</t>
  </si>
  <si>
    <t>JUAN FRANCISCO MENDEZ RODARTE</t>
  </si>
  <si>
    <t>JUAN ANTONIO CASTILLO HERRERA</t>
  </si>
  <si>
    <t>HECTOR OMERO GONZALEZ VALDEZ</t>
  </si>
  <si>
    <t>ARON RODRIGUEZ RODRIGUEZ</t>
  </si>
  <si>
    <t>RAPTORS</t>
  </si>
  <si>
    <t>SILVIA ANGELICA FERNANDEZ REYES</t>
  </si>
  <si>
    <t>RODRIGO ESQUIVEL DIAZ</t>
  </si>
  <si>
    <t>MIGUEL ANGEL ROJAS RODRIGUEZ</t>
  </si>
  <si>
    <t>JUAN MANUEL CASTRO DUEÑAS</t>
  </si>
  <si>
    <t>JUAN LUIS LOPEZ TORRES</t>
  </si>
  <si>
    <t>JUAN CARLOS JARAMILLO QUIÑONES</t>
  </si>
  <si>
    <t>JOSE CARLOS DEL RIO FIGUEROA</t>
  </si>
  <si>
    <t>JORGE AGUILERA BAÑUELOS</t>
  </si>
  <si>
    <t>JAVIER DELGADO RODARTE</t>
  </si>
  <si>
    <t>GERARDO GONZALEZ GONZALEZ</t>
  </si>
  <si>
    <t>ALDO ADAN JUAREZ JIMENEZ</t>
  </si>
  <si>
    <t xml:space="preserve">RENEGADOS </t>
  </si>
  <si>
    <t>VALLE ORTIZ JOSE ROBERTO</t>
  </si>
  <si>
    <t>SEGOVIA RODRIGUEZ ARMANDO</t>
  </si>
  <si>
    <t>PULIDO TREJO JUAN LUIS</t>
  </si>
  <si>
    <t>ORTIZ LOERA DANIEL</t>
  </si>
  <si>
    <t>MEDINA BRIONES FRANCISCO JAVIER</t>
  </si>
  <si>
    <t>MEDELLIN CARRILLO JOSE DE JESUS</t>
  </si>
  <si>
    <t>LEDEZMA LUJAN JOSE ANTONIO</t>
  </si>
  <si>
    <t xml:space="preserve">J ROSARIO DE LA ISLA MARQUEZ </t>
  </si>
  <si>
    <t>HERNANDEZ CASTILLO JORGE</t>
  </si>
  <si>
    <t>DOMINGUEZ SOLIS BALDOMERO</t>
  </si>
  <si>
    <t>CORDERO IBARRA SERGIO</t>
  </si>
  <si>
    <t>CASAS DIAZ JERONIMO</t>
  </si>
  <si>
    <t>CARDONA CASTILLO SERGIO</t>
  </si>
  <si>
    <t xml:space="preserve">CARDONA CASTILLO MAURO </t>
  </si>
  <si>
    <t>ANTONIO DE JESUS  MARTINEZ LUJAN</t>
  </si>
  <si>
    <t>Blender</t>
  </si>
  <si>
    <t xml:space="preserve">RORRITOS </t>
  </si>
  <si>
    <t>JULIO EDUARDO MEJIA TRUJILLO</t>
  </si>
  <si>
    <t>SANTOS HERNANDEZ RAUL</t>
  </si>
  <si>
    <t>RUIZ MARTINES ADRIAN</t>
  </si>
  <si>
    <t>RODRIGUEZ SANTILLAN JUAN MANUEL</t>
  </si>
  <si>
    <t>PALACIOS VILLELA ADRIAN</t>
  </si>
  <si>
    <t>JORGE LUIS DOMINGUE</t>
  </si>
  <si>
    <t>DEVORA RAMIREZ EUGENIO</t>
  </si>
  <si>
    <t>ROBLES CASTA#EDA GRICELDA</t>
  </si>
  <si>
    <t>TEAM MODELO</t>
  </si>
  <si>
    <t xml:space="preserve">THE GOLDEN BOYS </t>
  </si>
  <si>
    <t>OSCAR EDUARDO GONZALEZ BARRERA</t>
  </si>
  <si>
    <t>JOSE PABLO ARELLANO CONTRERAS</t>
  </si>
  <si>
    <t>JOSE MANUEL RAMIREZ HERNANDEZ</t>
  </si>
  <si>
    <t>JOSE MANUEL GONZALEZ ROBLES</t>
  </si>
  <si>
    <t>GUILLERMO LICERIO MONTOYA</t>
  </si>
  <si>
    <t>BERNARDINO CRUZ LUNA</t>
  </si>
  <si>
    <t>ADELAIDO GONZALEZ MEZA</t>
  </si>
  <si>
    <t xml:space="preserve">TOROS </t>
  </si>
  <si>
    <t>SERGIO LOERA MORENO</t>
  </si>
  <si>
    <t>REYNALDO ORTIZ CHAVEZ</t>
  </si>
  <si>
    <t xml:space="preserve">PEDRO DEL VILLAR MURO </t>
  </si>
  <si>
    <t>OCTAVIO TREJO MELENDEZ</t>
  </si>
  <si>
    <t>MANUEL TRONCOSO ANDRADE</t>
  </si>
  <si>
    <t xml:space="preserve">JORGE GARZA GARCIA </t>
  </si>
  <si>
    <t>JAVIER HERNANDEZ CABRERA</t>
  </si>
  <si>
    <t>ISMAEL MONTOYA DUARTE</t>
  </si>
  <si>
    <t>FRANCISCO JAVIER GARCIA ESPARZA</t>
  </si>
  <si>
    <t>TUMBACARGUISTAS DEL NORTE</t>
  </si>
  <si>
    <t xml:space="preserve">WAKANDIANOS </t>
  </si>
  <si>
    <t>SERGIO IVÁN GODINA MARTÍNEZ</t>
  </si>
  <si>
    <t>RAÚL ESPITIA PINEDO</t>
  </si>
  <si>
    <t>OSCAR ELICERIO RODRÍGUEZ</t>
  </si>
  <si>
    <t>OSBALDO DE JESÚS BRETADO CASTRO</t>
  </si>
  <si>
    <t>MIGUEL ÁNGEL ORTIZ MIRANDA</t>
  </si>
  <si>
    <t>JOSE MANUEL ELISERIO RODRÍGUEZ</t>
  </si>
  <si>
    <t>JOSÉ IGNACIO LUJAN CRUZ</t>
  </si>
  <si>
    <t>JOSÉ DE JESÚS DE LA ROSA MEDINA</t>
  </si>
  <si>
    <t>GUSTAVO NUÑEZ MUÑOZ</t>
  </si>
  <si>
    <t>DELFINO CARRILLO MONTALVO</t>
  </si>
  <si>
    <t>DANIEL SILVA DELGADO</t>
  </si>
  <si>
    <t>ALBERTO RAMÍREZ ESTRADA</t>
  </si>
  <si>
    <t>AGUSTIN ESCOBEDO RAMÍREZ</t>
  </si>
  <si>
    <t xml:space="preserve">WARRIORS </t>
  </si>
  <si>
    <t>VALLE GUERRERO EDUARDO</t>
  </si>
  <si>
    <t>SALAS GUTIERREZ ALVARO</t>
  </si>
  <si>
    <t>ROMAN TREJO SERGIO ARMANDO</t>
  </si>
  <si>
    <t>ROBLES AGUIRRE MARCOS</t>
  </si>
  <si>
    <t>RAMIREZ DOMINGUEZ OLIVERIO</t>
  </si>
  <si>
    <t>PEREZ BANDA DANIEL</t>
  </si>
  <si>
    <t>MIGUEL ANGEL MARTINEZ MUÑOZ</t>
  </si>
  <si>
    <t>MARTINEZ VAZQUEZ HOMERO</t>
  </si>
  <si>
    <t>JUAREZ TORRES JOSE LUIS</t>
  </si>
  <si>
    <t>GUERRA GUEVARA JUAN ANTONIO</t>
  </si>
  <si>
    <t>ESCALANTE RODRIGUEZ CARLOS</t>
  </si>
  <si>
    <t>CARRILLO MU?OZ OSCAR IVAN</t>
  </si>
  <si>
    <t>ALVAREZ DE LA TORRE SALVADOR</t>
  </si>
  <si>
    <t xml:space="preserve">ENVASADO 1 </t>
  </si>
  <si>
    <t>https://www.myworkday.com/abinbev/learning/mylearning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</si>
</sst>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family val="2"/>
      <scheme val="minor"/>
    </font>
    <font>
      <sz val="11"/>
      <color theme="2" tint="-0.499984740745262"/>
      <name val="Bahnschrift SemiLight"/>
      <family val="2"/>
    </font>
    <font>
      <sz val="16"/>
      <color theme="1"/>
      <name val="Avenir Next LT Pro Demi"/>
      <family val="2"/>
    </font>
    <font>
      <sz val="12"/>
      <color theme="1"/>
      <name val="Calibri"/>
      <family val="2"/>
      <scheme val="minor"/>
    </font>
    <font>
      <sz val="8"/>
      <name val="Calibri"/>
      <family val="2"/>
      <scheme val="minor"/>
    </font>
    <font>
      <b/>
      <sz val="12"/>
      <color theme="0"/>
      <name val="Bahnschrift Light"/>
      <family val="2"/>
    </font>
    <font>
      <sz val="12"/>
      <color theme="0"/>
      <name val="Calibri"/>
      <family val="2"/>
      <scheme val="minor"/>
    </font>
    <font>
      <sz val="12"/>
      <name val="Calibri"/>
      <family val="2"/>
      <scheme val="minor"/>
    </font>
    <font>
      <sz val="12"/>
      <color rgb="FF000000"/>
      <name val="Calibri"/>
      <family val="2"/>
      <scheme val="minor"/>
    </font>
    <font>
      <sz val="11"/>
      <color rgb="FF000000"/>
      <name val="Calibri"/>
      <family val="2"/>
    </font>
    <font>
      <sz val="11"/>
      <color rgb="FF010101"/>
      <name val="Calibri"/>
      <family val="2"/>
    </font>
    <font>
      <sz val="10"/>
      <name val="Arial"/>
      <family val="2"/>
    </font>
    <font>
      <sz val="11"/>
      <color rgb="FF000000"/>
      <name val="Calibri Light"/>
      <family val="2"/>
      <scheme val="major"/>
    </font>
    <font>
      <sz val="12"/>
      <name val="Calibri"/>
      <family val="2"/>
    </font>
    <font>
      <sz val="11"/>
      <color rgb="FF010101"/>
      <name val="Calibri"/>
      <family val="2"/>
      <scheme val="minor"/>
    </font>
    <font>
      <sz val="10"/>
      <color theme="1"/>
      <name val="Bahnschrift Light"/>
      <family val="2"/>
    </font>
    <font>
      <sz val="12"/>
      <color theme="1"/>
      <name val="Bahnschrift Light"/>
      <family val="2"/>
    </font>
    <font>
      <sz val="11"/>
      <name val="Arial"/>
      <family val="2"/>
    </font>
    <font>
      <u/>
      <sz val="11"/>
      <color theme="1"/>
      <name val="Calibri"/>
      <family val="2"/>
      <scheme val="minor"/>
    </font>
    <font>
      <sz val="12"/>
      <color theme="2" tint="-0.499984740745262"/>
      <name val="Abadi"/>
      <family val="2"/>
    </font>
    <font>
      <sz val="12"/>
      <color theme="1"/>
      <name val="Abadi"/>
      <family val="2"/>
    </font>
    <font>
      <sz val="12"/>
      <color theme="0"/>
      <name val="Abadi"/>
      <family val="2"/>
    </font>
    <font>
      <sz val="12"/>
      <name val="Abadi"/>
      <family val="2"/>
    </font>
    <font>
      <sz val="12"/>
      <color rgb="FF000000"/>
      <name val="Abadi"/>
      <family val="2"/>
    </font>
    <font>
      <sz val="12"/>
      <name val="Poppins"/>
    </font>
    <font>
      <sz val="12"/>
      <color theme="1"/>
      <name val="Poppins"/>
    </font>
    <font>
      <sz val="12"/>
      <color rgb="FF000000"/>
      <name val="Poppins"/>
    </font>
    <font>
      <sz val="12"/>
      <color rgb="FF010101"/>
      <name val="Poppins"/>
    </font>
    <font>
      <b/>
      <sz val="12"/>
      <color theme="0"/>
      <name val="Poppins"/>
    </font>
    <font>
      <b/>
      <sz val="11"/>
      <color theme="0"/>
      <name val="Calibri"/>
      <family val="2"/>
      <scheme val="minor"/>
    </font>
    <font>
      <b/>
      <sz val="10"/>
      <color rgb="FFFFFFFF"/>
      <name val="Aptos Narrow"/>
      <family val="2"/>
    </font>
    <font>
      <sz val="10"/>
      <color rgb="FF000000"/>
      <name val="Aptos Narrow"/>
      <family val="2"/>
    </font>
    <font>
      <sz val="10"/>
      <name val="Aptos Narrow"/>
      <family val="2"/>
    </font>
    <font>
      <sz val="10"/>
      <color rgb="FF010101"/>
      <name val="Aptos Narrow"/>
      <family val="2"/>
    </font>
    <font>
      <sz val="11"/>
      <color theme="1"/>
      <name val="Poppins"/>
    </font>
    <font>
      <u/>
      <sz val="11"/>
      <color theme="10"/>
      <name val="Calibri"/>
      <family val="2"/>
      <scheme val="minor"/>
    </font>
  </fonts>
  <fills count="11">
    <fill>
      <patternFill patternType="none"/>
    </fill>
    <fill>
      <patternFill patternType="gray125"/>
    </fill>
    <fill>
      <patternFill patternType="solid">
        <fgColor rgb="FF002060"/>
        <bgColor indexed="64"/>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rgb="FF305496"/>
        <bgColor rgb="FF000000"/>
      </patternFill>
    </fill>
    <fill>
      <patternFill patternType="solid">
        <fgColor rgb="FF0E2841"/>
        <bgColor rgb="FF000000"/>
      </patternFill>
    </fill>
    <fill>
      <patternFill patternType="solid">
        <fgColor rgb="FFDAF2D0"/>
        <bgColor rgb="FF000000"/>
      </patternFill>
    </fill>
  </fills>
  <borders count="46">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theme="1"/>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rgb="FF757171"/>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theme="2" tint="-0.499984740745262"/>
      </left>
      <right/>
      <top style="thin">
        <color theme="2" tint="-0.499984740745262"/>
      </top>
      <bottom style="thin">
        <color rgb="FF757171"/>
      </bottom>
      <diagonal/>
    </border>
    <border>
      <left style="thin">
        <color theme="2" tint="-0.499984740745262"/>
      </left>
      <right/>
      <top style="thin">
        <color theme="2" tint="-0.499984740745262"/>
      </top>
      <bottom style="thin">
        <color theme="2" tint="-0.499984740745262"/>
      </bottom>
      <diagonal/>
    </border>
    <border>
      <left style="thin">
        <color rgb="FF000000"/>
      </left>
      <right/>
      <top/>
      <bottom/>
      <diagonal/>
    </border>
    <border>
      <left style="thin">
        <color theme="2" tint="-0.499984740745262"/>
      </left>
      <right/>
      <top/>
      <bottom style="thin">
        <color theme="2" tint="-0.499984740745262"/>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2" tint="-0.499984740745262"/>
      </bottom>
      <diagonal/>
    </border>
    <border>
      <left style="thin">
        <color rgb="FF000000"/>
      </left>
      <right style="thin">
        <color rgb="FF000000"/>
      </right>
      <top style="medium">
        <color indexed="64"/>
      </top>
      <bottom style="thin">
        <color rgb="FF000000"/>
      </bottom>
      <diagonal/>
    </border>
    <border>
      <left style="thin">
        <color indexed="64"/>
      </left>
      <right/>
      <top style="medium">
        <color indexed="64"/>
      </top>
      <bottom style="thin">
        <color indexed="64"/>
      </bottom>
      <diagonal/>
    </border>
    <border>
      <left/>
      <right style="thin">
        <color rgb="FF000000"/>
      </right>
      <top style="medium">
        <color indexed="64"/>
      </top>
      <bottom style="thin">
        <color rgb="FF000000"/>
      </bottom>
      <diagonal/>
    </border>
    <border>
      <left/>
      <right/>
      <top style="thin">
        <color theme="1"/>
      </top>
      <bottom/>
      <diagonal/>
    </border>
    <border>
      <left/>
      <right style="thin">
        <color rgb="FF000000"/>
      </right>
      <top style="thin">
        <color theme="1"/>
      </top>
      <bottom style="thin">
        <color rgb="FF000000"/>
      </bottom>
      <diagonal/>
    </border>
    <border>
      <left style="thin">
        <color indexed="64"/>
      </left>
      <right style="thin">
        <color indexed="64"/>
      </right>
      <top style="thin">
        <color theme="1"/>
      </top>
      <bottom style="thin">
        <color indexed="64"/>
      </bottom>
      <diagonal/>
    </border>
    <border>
      <left style="thin">
        <color indexed="64"/>
      </left>
      <right style="medium">
        <color indexed="64"/>
      </right>
      <top style="thin">
        <color theme="1"/>
      </top>
      <bottom style="thin">
        <color indexed="64"/>
      </bottom>
      <diagonal/>
    </border>
    <border>
      <left style="thin">
        <color rgb="FF000000"/>
      </left>
      <right style="thin">
        <color theme="1"/>
      </right>
      <top style="thin">
        <color rgb="FF000000"/>
      </top>
      <bottom style="thin">
        <color rgb="FF000000"/>
      </bottom>
      <diagonal/>
    </border>
    <border>
      <left/>
      <right style="thin">
        <color indexed="64"/>
      </right>
      <top style="thin">
        <color theme="1"/>
      </top>
      <bottom style="thin">
        <color indexed="64"/>
      </bottom>
      <diagonal/>
    </border>
    <border>
      <left style="thin">
        <color rgb="FF000000"/>
      </left>
      <right style="thin">
        <color rgb="FF000000"/>
      </right>
      <top style="thin">
        <color theme="1"/>
      </top>
      <bottom/>
      <diagonal/>
    </border>
    <border>
      <left style="thin">
        <color rgb="FF000000"/>
      </left>
      <right/>
      <top style="thin">
        <color theme="1"/>
      </top>
      <bottom style="thin">
        <color rgb="FF000000"/>
      </bottom>
      <diagonal/>
    </border>
    <border>
      <left style="thin">
        <color rgb="FF000000"/>
      </left>
      <right style="thin">
        <color theme="1"/>
      </right>
      <top style="thin">
        <color rgb="FF000000"/>
      </top>
      <bottom/>
      <diagonal/>
    </border>
    <border>
      <left style="thin">
        <color rgb="FF000000"/>
      </left>
      <right style="thin">
        <color rgb="FF000000"/>
      </right>
      <top style="thin">
        <color rgb="FF000000"/>
      </top>
      <bottom style="thin">
        <color theme="1"/>
      </bottom>
      <diagonal/>
    </border>
    <border>
      <left style="thin">
        <color rgb="FF000000"/>
      </left>
      <right style="thin">
        <color theme="1"/>
      </right>
      <top style="thin">
        <color rgb="FF000000"/>
      </top>
      <bottom style="thin">
        <color theme="1"/>
      </bottom>
      <diagonal/>
    </border>
    <border>
      <left style="thin">
        <color rgb="FF000000"/>
      </left>
      <right style="thin">
        <color rgb="FF000000"/>
      </right>
      <top style="thin">
        <color theme="1"/>
      </top>
      <bottom style="thin">
        <color theme="1"/>
      </bottom>
      <diagonal/>
    </border>
  </borders>
  <cellStyleXfs count="5">
    <xf numFmtId="0" fontId="0" fillId="0" borderId="0"/>
    <xf numFmtId="0" fontId="4" fillId="0" borderId="0"/>
    <xf numFmtId="0" fontId="1" fillId="0" borderId="0"/>
    <xf numFmtId="9" fontId="1" fillId="0" borderId="0" applyFont="0" applyFill="0" applyBorder="0" applyAlignment="0" applyProtection="0"/>
    <xf numFmtId="0" fontId="36" fillId="0" borderId="0" applyNumberFormat="0" applyFill="0" applyBorder="0" applyAlignment="0" applyProtection="0"/>
  </cellStyleXfs>
  <cellXfs count="566">
    <xf numFmtId="0" fontId="0" fillId="0" borderId="0" xfId="0"/>
    <xf numFmtId="0" fontId="6" fillId="2" borderId="1" xfId="0" applyFont="1" applyFill="1" applyBorder="1"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vertical="center"/>
    </xf>
    <xf numFmtId="0" fontId="2" fillId="0" borderId="0" xfId="0" applyFont="1" applyAlignment="1">
      <alignment horizontal="center"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8" fillId="0" borderId="3" xfId="1" applyFont="1" applyBorder="1" applyAlignment="1">
      <alignment horizontal="center" vertical="center"/>
    </xf>
    <xf numFmtId="0" fontId="8" fillId="0" borderId="3" xfId="1" applyFont="1" applyBorder="1" applyAlignment="1">
      <alignment horizontal="center" vertical="center" wrapText="1"/>
    </xf>
    <xf numFmtId="1" fontId="8" fillId="0" borderId="3" xfId="0" applyNumberFormat="1"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horizontal="center" vertical="center"/>
    </xf>
    <xf numFmtId="0" fontId="8" fillId="0" borderId="4" xfId="0" applyFont="1" applyBorder="1" applyAlignment="1">
      <alignment horizontal="center" vertical="center" wrapText="1"/>
    </xf>
    <xf numFmtId="0" fontId="8" fillId="0" borderId="5" xfId="1" applyFont="1" applyBorder="1" applyAlignment="1">
      <alignment horizontal="center" vertical="center"/>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7" xfId="1" applyFont="1" applyBorder="1" applyAlignment="1">
      <alignment horizontal="center" vertical="center"/>
    </xf>
    <xf numFmtId="0" fontId="8" fillId="0" borderId="7" xfId="1" applyFont="1" applyBorder="1" applyAlignment="1">
      <alignment horizontal="center" vertical="center" wrapText="1"/>
    </xf>
    <xf numFmtId="1" fontId="8" fillId="0" borderId="7" xfId="0" applyNumberFormat="1" applyFont="1" applyBorder="1" applyAlignment="1">
      <alignment horizontal="center" vertical="center"/>
    </xf>
    <xf numFmtId="0" fontId="8" fillId="0" borderId="7" xfId="0" applyFont="1" applyBorder="1" applyAlignment="1">
      <alignment horizontal="center" vertical="center"/>
    </xf>
    <xf numFmtId="0" fontId="8" fillId="0" borderId="8" xfId="1" applyFont="1" applyBorder="1" applyAlignment="1">
      <alignment horizontal="center" vertical="center"/>
    </xf>
    <xf numFmtId="0" fontId="4" fillId="0" borderId="3" xfId="0" applyFont="1" applyBorder="1" applyAlignment="1">
      <alignment horizontal="center" vertical="center"/>
    </xf>
    <xf numFmtId="0" fontId="4" fillId="0" borderId="3" xfId="1" applyBorder="1" applyAlignment="1">
      <alignment horizontal="center" vertical="center"/>
    </xf>
    <xf numFmtId="0" fontId="10" fillId="0" borderId="3" xfId="0" applyFont="1" applyBorder="1" applyAlignment="1">
      <alignment horizontal="center" vertical="center"/>
    </xf>
    <xf numFmtId="0" fontId="11" fillId="0" borderId="11" xfId="0" applyFont="1" applyBorder="1" applyAlignment="1">
      <alignment horizontal="center" vertical="center"/>
    </xf>
    <xf numFmtId="0" fontId="11" fillId="0" borderId="2" xfId="0" applyFont="1" applyBorder="1" applyAlignment="1">
      <alignment horizontal="center" vertical="center"/>
    </xf>
    <xf numFmtId="0" fontId="10" fillId="0" borderId="3" xfId="0" applyFont="1" applyBorder="1" applyAlignment="1">
      <alignment horizontal="center" vertical="center" wrapText="1"/>
    </xf>
    <xf numFmtId="0" fontId="8" fillId="4" borderId="3" xfId="0" applyFont="1" applyFill="1" applyBorder="1" applyAlignment="1">
      <alignment horizontal="center" vertical="center"/>
    </xf>
    <xf numFmtId="0" fontId="8" fillId="4" borderId="5" xfId="1" applyFont="1" applyFill="1" applyBorder="1" applyAlignment="1">
      <alignment horizontal="center" vertical="center"/>
    </xf>
    <xf numFmtId="0" fontId="8" fillId="0" borderId="2" xfId="0" applyFont="1" applyBorder="1" applyAlignment="1">
      <alignment horizontal="center" vertical="center"/>
    </xf>
    <xf numFmtId="0" fontId="8" fillId="4" borderId="3" xfId="1" applyFont="1" applyFill="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8" fillId="0" borderId="9" xfId="1" applyFont="1" applyBorder="1" applyAlignment="1">
      <alignment horizontal="center" vertical="center"/>
    </xf>
    <xf numFmtId="0" fontId="11" fillId="0" borderId="3" xfId="0" applyFont="1" applyBorder="1" applyAlignment="1">
      <alignment horizontal="center" vertical="center"/>
    </xf>
    <xf numFmtId="1" fontId="8" fillId="0" borderId="11" xfId="0" applyNumberFormat="1" applyFont="1" applyBorder="1" applyAlignment="1">
      <alignment horizontal="center" vertical="center"/>
    </xf>
    <xf numFmtId="1" fontId="8" fillId="0" borderId="2" xfId="0" applyNumberFormat="1" applyFont="1" applyBorder="1" applyAlignment="1">
      <alignment horizontal="center" vertical="center"/>
    </xf>
    <xf numFmtId="0" fontId="8" fillId="0" borderId="11" xfId="1" applyFont="1" applyBorder="1" applyAlignment="1">
      <alignment horizontal="center" vertical="center"/>
    </xf>
    <xf numFmtId="0" fontId="8" fillId="0" borderId="9" xfId="0" applyFont="1" applyBorder="1" applyAlignment="1">
      <alignment horizontal="center" vertical="center"/>
    </xf>
    <xf numFmtId="0" fontId="8" fillId="0" borderId="11" xfId="0" applyFont="1" applyBorder="1" applyAlignment="1">
      <alignment horizontal="center" vertical="center"/>
    </xf>
    <xf numFmtId="0" fontId="10" fillId="0" borderId="7" xfId="0" applyFont="1" applyBorder="1" applyAlignment="1">
      <alignment horizontal="center" vertical="center"/>
    </xf>
    <xf numFmtId="0" fontId="8" fillId="0" borderId="12" xfId="0" applyFont="1" applyBorder="1" applyAlignment="1">
      <alignment horizontal="center" vertical="center"/>
    </xf>
    <xf numFmtId="0" fontId="14" fillId="0" borderId="5" xfId="0" applyFont="1" applyBorder="1" applyAlignment="1">
      <alignment horizontal="center" vertical="center"/>
    </xf>
    <xf numFmtId="0" fontId="8" fillId="0" borderId="14" xfId="1" applyFont="1" applyBorder="1" applyAlignment="1">
      <alignment horizontal="center" vertical="center"/>
    </xf>
    <xf numFmtId="0" fontId="14" fillId="0" borderId="3" xfId="0" applyFont="1" applyBorder="1" applyAlignment="1">
      <alignment horizontal="center" vertical="center"/>
    </xf>
    <xf numFmtId="0" fontId="8" fillId="0" borderId="5" xfId="1" applyFont="1" applyBorder="1" applyAlignment="1">
      <alignment horizontal="center" vertical="center" wrapText="1"/>
    </xf>
    <xf numFmtId="0" fontId="8" fillId="0" borderId="2" xfId="1" applyFont="1" applyBorder="1" applyAlignment="1">
      <alignment horizontal="center" vertical="center"/>
    </xf>
    <xf numFmtId="0" fontId="8" fillId="0" borderId="8" xfId="1" applyFont="1" applyBorder="1" applyAlignment="1">
      <alignment horizontal="center" vertical="center" wrapText="1"/>
    </xf>
    <xf numFmtId="0" fontId="8" fillId="0" borderId="13" xfId="1" applyFont="1" applyBorder="1" applyAlignment="1">
      <alignment horizontal="center" vertical="center"/>
    </xf>
    <xf numFmtId="0" fontId="8" fillId="0" borderId="15" xfId="0" applyFont="1" applyBorder="1" applyAlignment="1">
      <alignment horizontal="center" vertical="center"/>
    </xf>
    <xf numFmtId="0" fontId="8" fillId="0" borderId="2" xfId="1" applyFont="1" applyBorder="1" applyAlignment="1">
      <alignment horizontal="center" vertical="center" wrapText="1"/>
    </xf>
    <xf numFmtId="0" fontId="8" fillId="0" borderId="9" xfId="1" applyFont="1" applyBorder="1" applyAlignment="1">
      <alignment horizontal="center" vertical="center" wrapText="1"/>
    </xf>
    <xf numFmtId="0" fontId="7"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1" fontId="8" fillId="0" borderId="4" xfId="0" applyNumberFormat="1" applyFont="1" applyBorder="1" applyAlignment="1">
      <alignment horizontal="center" vertical="center"/>
    </xf>
    <xf numFmtId="1" fontId="8" fillId="0" borderId="6" xfId="0" applyNumberFormat="1"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xf>
    <xf numFmtId="0" fontId="4" fillId="0" borderId="2" xfId="1" applyBorder="1" applyAlignment="1">
      <alignment horizontal="center" vertical="center"/>
    </xf>
    <xf numFmtId="0" fontId="15" fillId="0" borderId="5" xfId="0" applyFont="1" applyBorder="1" applyAlignment="1">
      <alignment horizontal="center" vertical="center"/>
    </xf>
    <xf numFmtId="0" fontId="14" fillId="0" borderId="2" xfId="0" applyFont="1" applyBorder="1" applyAlignment="1">
      <alignment horizontal="center" vertical="center"/>
    </xf>
    <xf numFmtId="0" fontId="8" fillId="0" borderId="5" xfId="0" applyFont="1" applyBorder="1" applyAlignment="1">
      <alignment horizontal="center" vertical="center"/>
    </xf>
    <xf numFmtId="0" fontId="9" fillId="0" borderId="2" xfId="0" applyFont="1" applyBorder="1" applyAlignment="1">
      <alignment horizontal="center" vertical="center"/>
    </xf>
    <xf numFmtId="0" fontId="4" fillId="0" borderId="5" xfId="0" applyFont="1" applyBorder="1" applyAlignment="1">
      <alignment horizontal="center" vertical="center"/>
    </xf>
    <xf numFmtId="0" fontId="11" fillId="0" borderId="4" xfId="0" applyFont="1" applyBorder="1" applyAlignment="1">
      <alignment horizontal="center" vertical="center"/>
    </xf>
    <xf numFmtId="1" fontId="8" fillId="0" borderId="16" xfId="0" applyNumberFormat="1" applyFont="1" applyBorder="1" applyAlignment="1">
      <alignment horizontal="center" vertical="center"/>
    </xf>
    <xf numFmtId="0" fontId="8" fillId="0" borderId="4" xfId="1" applyFont="1" applyBorder="1" applyAlignment="1">
      <alignment horizontal="center" vertical="center"/>
    </xf>
    <xf numFmtId="1" fontId="8" fillId="0" borderId="17" xfId="0" applyNumberFormat="1" applyFont="1" applyBorder="1" applyAlignment="1">
      <alignment horizontal="center" vertical="center"/>
    </xf>
    <xf numFmtId="0" fontId="11" fillId="3" borderId="4" xfId="0" applyFont="1" applyFill="1" applyBorder="1" applyAlignment="1">
      <alignment horizontal="center" vertical="center"/>
    </xf>
    <xf numFmtId="0" fontId="8" fillId="5" borderId="3"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8" fillId="0" borderId="11" xfId="1" applyFont="1" applyBorder="1" applyAlignment="1">
      <alignment horizontal="center" vertical="center" wrapText="1"/>
    </xf>
    <xf numFmtId="0" fontId="8" fillId="0" borderId="10" xfId="0" applyFont="1" applyBorder="1" applyAlignment="1">
      <alignment horizontal="center" vertical="center"/>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0" xfId="1" applyFont="1" applyAlignment="1">
      <alignment horizontal="center" vertical="center" wrapText="1"/>
    </xf>
    <xf numFmtId="0" fontId="8" fillId="0" borderId="17" xfId="1" applyFont="1" applyBorder="1" applyAlignment="1">
      <alignment horizontal="center" vertical="center"/>
    </xf>
    <xf numFmtId="0" fontId="15" fillId="0" borderId="8" xfId="0" applyFont="1" applyBorder="1" applyAlignment="1">
      <alignment horizontal="center" vertical="center"/>
    </xf>
    <xf numFmtId="0" fontId="16" fillId="0" borderId="19" xfId="0" applyFont="1" applyBorder="1" applyAlignment="1">
      <alignment horizontal="left"/>
    </xf>
    <xf numFmtId="0" fontId="16" fillId="0" borderId="19" xfId="0" applyFont="1" applyBorder="1" applyAlignment="1">
      <alignment horizontal="center" vertical="center"/>
    </xf>
    <xf numFmtId="0" fontId="16" fillId="0" borderId="19" xfId="0" applyFont="1" applyBorder="1"/>
    <xf numFmtId="0" fontId="16" fillId="0" borderId="20" xfId="0" applyFont="1" applyBorder="1" applyAlignment="1">
      <alignment horizontal="left"/>
    </xf>
    <xf numFmtId="0" fontId="16" fillId="0" borderId="20" xfId="0" applyFont="1" applyBorder="1" applyAlignment="1">
      <alignment horizontal="center" vertical="center"/>
    </xf>
    <xf numFmtId="0" fontId="16" fillId="0" borderId="20" xfId="0" applyFont="1" applyBorder="1"/>
    <xf numFmtId="0" fontId="16" fillId="4" borderId="20" xfId="0" applyFont="1" applyFill="1" applyBorder="1" applyAlignment="1">
      <alignment horizontal="left"/>
    </xf>
    <xf numFmtId="0" fontId="16" fillId="4" borderId="20" xfId="0" applyFont="1" applyFill="1" applyBorder="1" applyAlignment="1">
      <alignment horizontal="center" vertical="center"/>
    </xf>
    <xf numFmtId="0" fontId="16" fillId="4" borderId="20" xfId="0" applyFont="1" applyFill="1" applyBorder="1"/>
    <xf numFmtId="0" fontId="6" fillId="2" borderId="18" xfId="0" applyFont="1" applyFill="1" applyBorder="1" applyAlignment="1">
      <alignment horizontal="center" vertical="center" wrapText="1"/>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8" fillId="0" borderId="22" xfId="1" applyFont="1" applyBorder="1" applyAlignment="1">
      <alignment horizontal="center" vertical="center" wrapText="1"/>
    </xf>
    <xf numFmtId="0" fontId="4" fillId="0" borderId="5" xfId="0" applyFont="1" applyBorder="1" applyAlignment="1">
      <alignment horizontal="center"/>
    </xf>
    <xf numFmtId="0" fontId="8" fillId="0" borderId="21" xfId="1" applyFont="1" applyBorder="1" applyAlignment="1">
      <alignment horizontal="center" vertical="center" wrapText="1"/>
    </xf>
    <xf numFmtId="0" fontId="4" fillId="0" borderId="21" xfId="0" applyFont="1" applyBorder="1" applyAlignment="1">
      <alignment horizontal="center" vertical="center"/>
    </xf>
    <xf numFmtId="0" fontId="8" fillId="0" borderId="5" xfId="0" applyFont="1" applyBorder="1" applyAlignment="1">
      <alignment horizontal="center" vertical="center" wrapText="1"/>
    </xf>
    <xf numFmtId="0" fontId="8" fillId="0" borderId="21" xfId="0" applyFont="1" applyBorder="1" applyAlignment="1">
      <alignment horizontal="center" vertical="center"/>
    </xf>
    <xf numFmtId="0" fontId="9" fillId="0" borderId="21" xfId="0" applyFont="1" applyBorder="1" applyAlignment="1">
      <alignment horizontal="center" vertical="center" wrapText="1"/>
    </xf>
    <xf numFmtId="0" fontId="4" fillId="0" borderId="21" xfId="1" applyBorder="1" applyAlignment="1">
      <alignment horizontal="center" vertical="center" wrapText="1"/>
    </xf>
    <xf numFmtId="0" fontId="11" fillId="0" borderId="16" xfId="0" applyFont="1" applyBorder="1" applyAlignment="1">
      <alignment horizontal="center" vertical="center"/>
    </xf>
    <xf numFmtId="0" fontId="9" fillId="0" borderId="4" xfId="0" applyFont="1" applyBorder="1" applyAlignment="1">
      <alignment horizontal="center" vertical="center"/>
    </xf>
    <xf numFmtId="0" fontId="8" fillId="0" borderId="6" xfId="1" applyFont="1" applyBorder="1" applyAlignment="1">
      <alignment horizontal="center" vertical="center"/>
    </xf>
    <xf numFmtId="0" fontId="4" fillId="0" borderId="21" xfId="1" applyBorder="1" applyAlignment="1">
      <alignment horizontal="center" vertical="center"/>
    </xf>
    <xf numFmtId="0" fontId="17" fillId="0" borderId="24" xfId="0" applyFont="1" applyBorder="1" applyAlignment="1">
      <alignment horizontal="center" vertical="center"/>
    </xf>
    <xf numFmtId="0" fontId="16" fillId="4" borderId="3" xfId="0" applyFont="1" applyFill="1" applyBorder="1" applyAlignment="1">
      <alignment horizontal="left"/>
    </xf>
    <xf numFmtId="0" fontId="8" fillId="0" borderId="20" xfId="1" applyFont="1" applyBorder="1" applyAlignment="1">
      <alignment horizontal="center" vertical="center"/>
    </xf>
    <xf numFmtId="0" fontId="16" fillId="4" borderId="7" xfId="0" applyFont="1" applyFill="1" applyBorder="1" applyAlignment="1">
      <alignment horizontal="left"/>
    </xf>
    <xf numFmtId="0" fontId="17" fillId="0" borderId="3" xfId="0" applyFont="1" applyBorder="1" applyAlignment="1">
      <alignment horizontal="center" vertical="center"/>
    </xf>
    <xf numFmtId="0" fontId="8" fillId="0" borderId="19" xfId="1" applyFont="1" applyBorder="1" applyAlignment="1">
      <alignment horizontal="center" vertical="center"/>
    </xf>
    <xf numFmtId="0" fontId="17" fillId="0" borderId="2" xfId="0" applyFont="1" applyBorder="1" applyAlignment="1">
      <alignment horizontal="center" vertical="center"/>
    </xf>
    <xf numFmtId="0" fontId="17" fillId="4" borderId="19" xfId="0" applyFont="1" applyFill="1" applyBorder="1" applyAlignment="1">
      <alignment horizontal="center" vertical="center"/>
    </xf>
    <xf numFmtId="0" fontId="17" fillId="0" borderId="7" xfId="0" applyFont="1" applyBorder="1" applyAlignment="1">
      <alignment horizontal="center" vertical="center"/>
    </xf>
    <xf numFmtId="0" fontId="4" fillId="0" borderId="19" xfId="0" applyFont="1" applyBorder="1" applyAlignment="1">
      <alignment horizontal="center"/>
    </xf>
    <xf numFmtId="0" fontId="4" fillId="0" borderId="19" xfId="0" applyFont="1" applyBorder="1" applyAlignment="1">
      <alignment horizontal="center" vertical="center"/>
    </xf>
    <xf numFmtId="0" fontId="17" fillId="4" borderId="3" xfId="0" applyFont="1" applyFill="1" applyBorder="1" applyAlignment="1">
      <alignment horizontal="center" vertical="center"/>
    </xf>
    <xf numFmtId="1" fontId="8" fillId="0" borderId="19" xfId="0" applyNumberFormat="1" applyFont="1" applyBorder="1" applyAlignment="1">
      <alignment horizontal="center" vertical="center"/>
    </xf>
    <xf numFmtId="0" fontId="16" fillId="4" borderId="3" xfId="0" applyFont="1" applyFill="1" applyBorder="1" applyAlignment="1">
      <alignment horizontal="center" vertical="center"/>
    </xf>
    <xf numFmtId="0" fontId="17" fillId="0" borderId="9" xfId="0" applyFont="1" applyBorder="1" applyAlignment="1">
      <alignment horizontal="center" vertical="center"/>
    </xf>
    <xf numFmtId="0" fontId="9" fillId="0" borderId="19" xfId="0" applyFont="1" applyBorder="1" applyAlignment="1">
      <alignment horizontal="center" vertical="center"/>
    </xf>
    <xf numFmtId="1" fontId="8" fillId="0" borderId="20" xfId="0" applyNumberFormat="1" applyFont="1" applyBorder="1" applyAlignment="1">
      <alignment horizontal="center" vertical="center"/>
    </xf>
    <xf numFmtId="0" fontId="4" fillId="0" borderId="19" xfId="1" applyBorder="1" applyAlignment="1">
      <alignment horizontal="center" vertical="center"/>
    </xf>
    <xf numFmtId="0" fontId="4" fillId="0" borderId="20" xfId="1" applyBorder="1" applyAlignment="1">
      <alignment horizontal="center" vertical="center"/>
    </xf>
    <xf numFmtId="0" fontId="8" fillId="0" borderId="19" xfId="0" applyFont="1" applyBorder="1" applyAlignment="1">
      <alignment horizontal="center" vertical="center"/>
    </xf>
    <xf numFmtId="0" fontId="4" fillId="0" borderId="20" xfId="0" applyFont="1" applyBorder="1" applyAlignment="1">
      <alignment horizontal="center" vertical="center"/>
    </xf>
    <xf numFmtId="0" fontId="8" fillId="0" borderId="24" xfId="1" applyFont="1" applyBorder="1" applyAlignment="1">
      <alignment horizontal="center" vertical="center" wrapText="1"/>
    </xf>
    <xf numFmtId="0" fontId="8" fillId="0" borderId="24" xfId="0" applyFont="1" applyBorder="1" applyAlignment="1">
      <alignment horizontal="center" vertical="center"/>
    </xf>
    <xf numFmtId="0" fontId="8" fillId="0" borderId="23" xfId="1" applyFont="1" applyBorder="1" applyAlignment="1">
      <alignment horizontal="center" vertical="center" wrapText="1"/>
    </xf>
    <xf numFmtId="0" fontId="4" fillId="0" borderId="24" xfId="0" applyFont="1" applyBorder="1" applyAlignment="1">
      <alignment horizontal="center" vertical="center"/>
    </xf>
    <xf numFmtId="0" fontId="8" fillId="0" borderId="23" xfId="0" applyFont="1" applyBorder="1" applyAlignment="1">
      <alignment horizontal="center" vertical="center"/>
    </xf>
    <xf numFmtId="0" fontId="8" fillId="0" borderId="19" xfId="1" applyFont="1" applyBorder="1" applyAlignment="1">
      <alignment horizontal="center" vertical="center" wrapText="1"/>
    </xf>
    <xf numFmtId="0" fontId="8" fillId="0" borderId="19" xfId="0" applyFont="1" applyBorder="1" applyAlignment="1">
      <alignment horizontal="center" vertical="center" wrapText="1"/>
    </xf>
    <xf numFmtId="0" fontId="4" fillId="0" borderId="24" xfId="1" applyBorder="1" applyAlignment="1">
      <alignment horizontal="center" vertical="center" wrapText="1"/>
    </xf>
    <xf numFmtId="0" fontId="4" fillId="0" borderId="23" xfId="0" applyFont="1" applyBorder="1" applyAlignment="1">
      <alignment horizontal="center" vertical="center"/>
    </xf>
    <xf numFmtId="0" fontId="13" fillId="0" borderId="2" xfId="0" applyFont="1" applyBorder="1" applyAlignment="1">
      <alignment horizontal="center" vertical="center" wrapText="1"/>
    </xf>
    <xf numFmtId="0" fontId="13" fillId="0" borderId="11" xfId="0" applyFont="1" applyBorder="1" applyAlignment="1">
      <alignment horizontal="center" vertical="center" wrapText="1"/>
    </xf>
    <xf numFmtId="0" fontId="10" fillId="0" borderId="12" xfId="0" applyFont="1" applyBorder="1" applyAlignment="1">
      <alignment horizontal="center" vertical="center"/>
    </xf>
    <xf numFmtId="0" fontId="8" fillId="0" borderId="9" xfId="0" applyFont="1" applyBorder="1" applyAlignment="1">
      <alignment horizontal="center" vertical="center" wrapText="1"/>
    </xf>
    <xf numFmtId="0" fontId="8" fillId="4" borderId="7"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8" fillId="5" borderId="0" xfId="0" applyFont="1" applyFill="1" applyAlignment="1">
      <alignment horizontal="center" vertical="center"/>
    </xf>
    <xf numFmtId="0" fontId="0" fillId="0" borderId="3" xfId="0" applyBorder="1" applyAlignment="1">
      <alignment horizontal="center"/>
    </xf>
    <xf numFmtId="0" fontId="0" fillId="0" borderId="7" xfId="0" applyBorder="1" applyAlignment="1">
      <alignment horizontal="center"/>
    </xf>
    <xf numFmtId="0" fontId="17" fillId="0" borderId="7" xfId="0" applyFont="1" applyBorder="1" applyAlignment="1">
      <alignment horizontal="center"/>
    </xf>
    <xf numFmtId="0" fontId="17" fillId="0" borderId="0" xfId="0" applyFont="1" applyAlignment="1">
      <alignment horizontal="center"/>
    </xf>
    <xf numFmtId="0" fontId="0" fillId="0" borderId="9" xfId="0" applyBorder="1" applyAlignment="1">
      <alignment horizontal="center"/>
    </xf>
    <xf numFmtId="0" fontId="17" fillId="0" borderId="9" xfId="0" applyFont="1" applyBorder="1" applyAlignment="1">
      <alignment horizontal="center"/>
    </xf>
    <xf numFmtId="0" fontId="17" fillId="0" borderId="3" xfId="0" applyFont="1" applyBorder="1" applyAlignment="1">
      <alignment horizontal="center"/>
    </xf>
    <xf numFmtId="0" fontId="0" fillId="0" borderId="10" xfId="0" applyBorder="1" applyAlignment="1">
      <alignment horizont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10" fillId="4" borderId="0" xfId="0" applyFont="1" applyFill="1" applyAlignment="1">
      <alignment horizontal="center" vertical="center"/>
    </xf>
    <xf numFmtId="0" fontId="0" fillId="4" borderId="0" xfId="0" applyFill="1" applyAlignment="1">
      <alignment horizontal="center" vertical="center"/>
    </xf>
    <xf numFmtId="0" fontId="0" fillId="0" borderId="10" xfId="0" applyBorder="1" applyAlignment="1">
      <alignment horizontal="center" vertical="center"/>
    </xf>
    <xf numFmtId="0" fontId="17" fillId="0" borderId="19" xfId="0" applyFont="1" applyBorder="1" applyAlignment="1">
      <alignment horizontal="center"/>
    </xf>
    <xf numFmtId="0" fontId="17" fillId="0" borderId="21" xfId="0" applyFont="1" applyBorder="1" applyAlignment="1">
      <alignment horizontal="center"/>
    </xf>
    <xf numFmtId="0" fontId="17" fillId="0" borderId="23" xfId="0" applyFont="1" applyBorder="1" applyAlignment="1">
      <alignment horizontal="center"/>
    </xf>
    <xf numFmtId="0" fontId="17" fillId="0" borderId="20" xfId="0" applyFont="1" applyBorder="1" applyAlignment="1">
      <alignment horizontal="center"/>
    </xf>
    <xf numFmtId="0" fontId="17" fillId="0" borderId="5" xfId="0" applyFont="1" applyBorder="1" applyAlignment="1">
      <alignment horizontal="center"/>
    </xf>
    <xf numFmtId="0" fontId="17" fillId="0" borderId="24" xfId="0" applyFont="1" applyBorder="1" applyAlignment="1">
      <alignment horizontal="center"/>
    </xf>
    <xf numFmtId="0" fontId="17" fillId="0" borderId="8" xfId="0" applyFont="1" applyBorder="1" applyAlignment="1">
      <alignment horizontal="center"/>
    </xf>
    <xf numFmtId="0" fontId="17" fillId="4" borderId="5" xfId="0" applyFont="1" applyFill="1" applyBorder="1" applyAlignment="1">
      <alignment horizontal="center"/>
    </xf>
    <xf numFmtId="0" fontId="17" fillId="4" borderId="24" xfId="0" applyFont="1" applyFill="1" applyBorder="1" applyAlignment="1">
      <alignment horizontal="center"/>
    </xf>
    <xf numFmtId="0" fontId="16" fillId="4" borderId="5" xfId="0" applyFont="1" applyFill="1" applyBorder="1" applyAlignment="1">
      <alignment horizontal="center"/>
    </xf>
    <xf numFmtId="0" fontId="17" fillId="0" borderId="28" xfId="0" applyFont="1" applyBorder="1" applyAlignment="1">
      <alignment horizontal="center"/>
    </xf>
    <xf numFmtId="0" fontId="17" fillId="0" borderId="21" xfId="0" applyFont="1" applyBorder="1"/>
    <xf numFmtId="0" fontId="17" fillId="0" borderId="5" xfId="0" applyFont="1" applyBorder="1"/>
    <xf numFmtId="0" fontId="19" fillId="0" borderId="0" xfId="0" applyFont="1" applyAlignment="1">
      <alignment horizontal="center" vertical="center"/>
    </xf>
    <xf numFmtId="0" fontId="8" fillId="0" borderId="29" xfId="0" applyFont="1" applyBorder="1" applyAlignment="1">
      <alignment horizontal="center" vertical="center" wrapText="1"/>
    </xf>
    <xf numFmtId="0" fontId="2" fillId="0" borderId="7" xfId="0" applyFont="1" applyBorder="1" applyAlignment="1">
      <alignment horizontal="center" vertical="center"/>
    </xf>
    <xf numFmtId="0" fontId="7" fillId="2" borderId="9"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17" fillId="0" borderId="24" xfId="0" applyFont="1" applyBorder="1"/>
    <xf numFmtId="0" fontId="17" fillId="0" borderId="27" xfId="0" applyFont="1" applyBorder="1" applyAlignment="1">
      <alignment horizontal="center"/>
    </xf>
    <xf numFmtId="0" fontId="10" fillId="0" borderId="0" xfId="0" applyFont="1" applyAlignment="1">
      <alignment horizontal="center" vertical="center" wrapText="1"/>
    </xf>
    <xf numFmtId="0" fontId="9" fillId="0" borderId="6" xfId="0" applyFont="1" applyBorder="1" applyAlignment="1">
      <alignment horizontal="center" vertical="center"/>
    </xf>
    <xf numFmtId="0" fontId="16" fillId="4" borderId="19" xfId="0" applyFont="1" applyFill="1" applyBorder="1"/>
    <xf numFmtId="0" fontId="0" fillId="4" borderId="0" xfId="0" applyFill="1"/>
    <xf numFmtId="0" fontId="8" fillId="0" borderId="6" xfId="0" applyFont="1" applyBorder="1" applyAlignment="1">
      <alignment horizontal="center" vertical="center"/>
    </xf>
    <xf numFmtId="0" fontId="16" fillId="4" borderId="5" xfId="0" applyFont="1" applyFill="1" applyBorder="1" applyAlignment="1">
      <alignment horizontal="left"/>
    </xf>
    <xf numFmtId="0" fontId="4" fillId="0" borderId="7" xfId="0" applyFont="1" applyBorder="1" applyAlignment="1">
      <alignment horizontal="center" vertical="center"/>
    </xf>
    <xf numFmtId="0" fontId="16" fillId="4" borderId="19" xfId="0" applyFont="1" applyFill="1" applyBorder="1" applyAlignment="1">
      <alignment horizontal="center" vertical="center"/>
    </xf>
    <xf numFmtId="0" fontId="4" fillId="0" borderId="20" xfId="0" applyFont="1" applyBorder="1" applyAlignment="1">
      <alignment horizontal="center"/>
    </xf>
    <xf numFmtId="0" fontId="4" fillId="0" borderId="9" xfId="0" applyFont="1" applyBorder="1" applyAlignment="1">
      <alignment horizontal="center" vertical="center"/>
    </xf>
    <xf numFmtId="0" fontId="16" fillId="4" borderId="8" xfId="0" applyFont="1" applyFill="1" applyBorder="1" applyAlignment="1">
      <alignment horizontal="center"/>
    </xf>
    <xf numFmtId="0" fontId="8" fillId="0" borderId="26" xfId="1" applyFont="1" applyBorder="1" applyAlignment="1">
      <alignment horizontal="center" vertical="center" wrapText="1"/>
    </xf>
    <xf numFmtId="0" fontId="9" fillId="0" borderId="5" xfId="0" applyFont="1" applyBorder="1" applyAlignment="1">
      <alignment horizontal="center" vertical="center" wrapText="1"/>
    </xf>
    <xf numFmtId="0" fontId="17" fillId="0" borderId="21" xfId="0" applyFont="1" applyBorder="1" applyAlignment="1">
      <alignment horizontal="center" vertical="center"/>
    </xf>
    <xf numFmtId="0" fontId="16" fillId="4" borderId="24" xfId="0" applyFont="1" applyFill="1" applyBorder="1" applyAlignment="1">
      <alignment horizontal="center"/>
    </xf>
    <xf numFmtId="0" fontId="9" fillId="0" borderId="24" xfId="0" applyFont="1" applyBorder="1" applyAlignment="1">
      <alignment horizontal="center" vertical="center" wrapText="1"/>
    </xf>
    <xf numFmtId="0" fontId="17" fillId="0" borderId="22" xfId="0" applyFont="1" applyBorder="1" applyAlignment="1">
      <alignment horizontal="center"/>
    </xf>
    <xf numFmtId="0" fontId="4" fillId="0" borderId="25" xfId="0" applyFont="1" applyBorder="1" applyAlignment="1">
      <alignment horizontal="center" vertical="center"/>
    </xf>
    <xf numFmtId="0" fontId="17" fillId="4" borderId="8" xfId="0" applyFont="1" applyFill="1" applyBorder="1" applyAlignment="1">
      <alignment horizontal="center"/>
    </xf>
    <xf numFmtId="0" fontId="4" fillId="0" borderId="5" xfId="1" applyBorder="1" applyAlignment="1">
      <alignment horizontal="center" vertical="center"/>
    </xf>
    <xf numFmtId="0" fontId="8" fillId="0" borderId="20" xfId="1" applyFont="1" applyBorder="1" applyAlignment="1">
      <alignment horizontal="center" vertical="center" wrapText="1"/>
    </xf>
    <xf numFmtId="0" fontId="4" fillId="0" borderId="23" xfId="1" applyBorder="1" applyAlignment="1">
      <alignment horizontal="center" vertical="center" wrapText="1"/>
    </xf>
    <xf numFmtId="0" fontId="0" fillId="0" borderId="3" xfId="0" applyBorder="1"/>
    <xf numFmtId="0" fontId="4" fillId="0" borderId="4" xfId="1" applyBorder="1" applyAlignment="1">
      <alignment horizontal="center" vertical="center" wrapText="1"/>
    </xf>
    <xf numFmtId="0" fontId="11" fillId="0" borderId="6" xfId="0" applyFont="1" applyBorder="1" applyAlignment="1">
      <alignment horizontal="center" vertical="center"/>
    </xf>
    <xf numFmtId="0" fontId="18" fillId="0" borderId="4" xfId="0" applyFont="1" applyBorder="1" applyAlignment="1">
      <alignment horizontal="center" vertical="center"/>
    </xf>
    <xf numFmtId="1" fontId="8" fillId="0" borderId="17" xfId="1" applyNumberFormat="1" applyFont="1" applyBorder="1" applyAlignment="1">
      <alignment horizontal="center" vertical="center"/>
    </xf>
    <xf numFmtId="1" fontId="8" fillId="0" borderId="3" xfId="1" applyNumberFormat="1" applyFont="1" applyBorder="1" applyAlignment="1">
      <alignment horizontal="center" vertical="center"/>
    </xf>
    <xf numFmtId="0" fontId="8" fillId="4" borderId="9" xfId="0" applyFont="1" applyFill="1" applyBorder="1" applyAlignment="1">
      <alignment horizontal="center" vertical="center"/>
    </xf>
    <xf numFmtId="0" fontId="10" fillId="0" borderId="12" xfId="0" applyFont="1" applyBorder="1" applyAlignment="1">
      <alignment horizontal="center" vertical="center" wrapText="1"/>
    </xf>
    <xf numFmtId="0" fontId="12" fillId="0" borderId="3" xfId="0" applyFont="1" applyBorder="1" applyAlignment="1">
      <alignment horizontal="center" vertical="center"/>
    </xf>
    <xf numFmtId="0" fontId="10" fillId="0" borderId="15" xfId="0" applyFont="1" applyBorder="1" applyAlignment="1">
      <alignment horizontal="center" vertical="center"/>
    </xf>
    <xf numFmtId="0" fontId="14" fillId="0" borderId="8" xfId="0" applyFont="1" applyBorder="1" applyAlignment="1">
      <alignment horizontal="center" vertical="center"/>
    </xf>
    <xf numFmtId="0" fontId="8" fillId="0" borderId="14" xfId="0" applyFont="1" applyBorder="1" applyAlignment="1">
      <alignment horizontal="center" vertical="center"/>
    </xf>
    <xf numFmtId="0" fontId="8" fillId="4" borderId="8" xfId="1" applyFont="1" applyFill="1" applyBorder="1" applyAlignment="1">
      <alignment horizontal="center" vertical="center"/>
    </xf>
    <xf numFmtId="0" fontId="20" fillId="0" borderId="0" xfId="0" applyFont="1" applyAlignment="1">
      <alignment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7" xfId="0" applyFont="1" applyBorder="1" applyAlignment="1">
      <alignment horizontal="center"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0" fontId="22" fillId="2" borderId="3" xfId="0" applyFont="1" applyFill="1" applyBorder="1" applyAlignment="1">
      <alignment horizontal="center" vertical="center"/>
    </xf>
    <xf numFmtId="0" fontId="22" fillId="2" borderId="5"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21"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3" fillId="0" borderId="3" xfId="0" applyFont="1" applyBorder="1" applyAlignment="1">
      <alignment horizontal="center" vertical="center" wrapText="1"/>
    </xf>
    <xf numFmtId="0" fontId="23" fillId="0" borderId="3" xfId="0" applyFont="1" applyBorder="1" applyAlignment="1">
      <alignment horizontal="center" vertical="center"/>
    </xf>
    <xf numFmtId="0" fontId="21" fillId="0" borderId="9" xfId="1" applyFont="1" applyBorder="1" applyAlignment="1">
      <alignment horizontal="center" vertical="center"/>
    </xf>
    <xf numFmtId="0" fontId="21" fillId="0" borderId="9" xfId="1" applyFont="1" applyBorder="1" applyAlignment="1">
      <alignment horizontal="center" vertical="center" wrapText="1"/>
    </xf>
    <xf numFmtId="1" fontId="23" fillId="0" borderId="3" xfId="0" applyNumberFormat="1" applyFont="1" applyBorder="1" applyAlignment="1">
      <alignment horizontal="center" vertical="center"/>
    </xf>
    <xf numFmtId="0" fontId="23" fillId="0" borderId="3" xfId="1" applyFont="1" applyBorder="1" applyAlignment="1">
      <alignment horizontal="center" vertical="center"/>
    </xf>
    <xf numFmtId="0" fontId="21" fillId="0" borderId="3" xfId="1" applyFont="1" applyBorder="1" applyAlignment="1">
      <alignment horizontal="center" vertical="center"/>
    </xf>
    <xf numFmtId="0" fontId="21" fillId="0" borderId="3" xfId="1" applyFont="1" applyBorder="1" applyAlignment="1">
      <alignment horizontal="center" vertical="center" wrapText="1"/>
    </xf>
    <xf numFmtId="0" fontId="23" fillId="0" borderId="8" xfId="1" applyFont="1" applyBorder="1" applyAlignment="1">
      <alignment horizontal="center" vertical="center"/>
    </xf>
    <xf numFmtId="0" fontId="21" fillId="0" borderId="20" xfId="1" applyFont="1" applyBorder="1" applyAlignment="1">
      <alignment horizontal="center" vertical="center"/>
    </xf>
    <xf numFmtId="0" fontId="21" fillId="0" borderId="23" xfId="1" applyFont="1" applyBorder="1" applyAlignment="1">
      <alignment horizontal="center" vertical="center" wrapText="1"/>
    </xf>
    <xf numFmtId="0" fontId="21" fillId="0" borderId="3" xfId="0" applyFont="1" applyBorder="1" applyAlignment="1">
      <alignment horizontal="center" vertical="center"/>
    </xf>
    <xf numFmtId="1" fontId="23" fillId="0" borderId="4" xfId="0" applyNumberFormat="1" applyFont="1" applyBorder="1" applyAlignment="1">
      <alignment horizontal="center" vertical="center"/>
    </xf>
    <xf numFmtId="0" fontId="23" fillId="0" borderId="0" xfId="0" applyFont="1" applyAlignment="1">
      <alignment horizontal="center" vertical="center"/>
    </xf>
    <xf numFmtId="0" fontId="21" fillId="0" borderId="7" xfId="0" applyFont="1" applyBorder="1" applyAlignment="1">
      <alignment horizontal="center" vertical="center"/>
    </xf>
    <xf numFmtId="0" fontId="21" fillId="0" borderId="19" xfId="0" applyFont="1" applyBorder="1" applyAlignment="1">
      <alignment horizontal="center" vertical="center"/>
    </xf>
    <xf numFmtId="0" fontId="21" fillId="0" borderId="24" xfId="0" applyFont="1" applyBorder="1" applyAlignment="1">
      <alignment horizontal="center" vertical="center"/>
    </xf>
    <xf numFmtId="1" fontId="23" fillId="0" borderId="19" xfId="0" applyNumberFormat="1" applyFont="1" applyBorder="1" applyAlignment="1">
      <alignment horizontal="center" vertical="center"/>
    </xf>
    <xf numFmtId="0" fontId="23" fillId="0" borderId="19" xfId="0" applyFont="1" applyBorder="1" applyAlignment="1">
      <alignment horizontal="center" vertical="center"/>
    </xf>
    <xf numFmtId="1" fontId="23" fillId="0" borderId="20" xfId="0" applyNumberFormat="1" applyFont="1" applyBorder="1" applyAlignment="1">
      <alignment horizontal="center" vertical="center"/>
    </xf>
    <xf numFmtId="0" fontId="23" fillId="0" borderId="20" xfId="0" applyFont="1" applyBorder="1" applyAlignment="1">
      <alignment horizontal="center" vertical="center"/>
    </xf>
    <xf numFmtId="0" fontId="23" fillId="0" borderId="5" xfId="0" applyFont="1" applyBorder="1" applyAlignment="1">
      <alignment horizontal="center" vertical="center"/>
    </xf>
    <xf numFmtId="1" fontId="23" fillId="0" borderId="2" xfId="0" applyNumberFormat="1" applyFont="1" applyBorder="1" applyAlignment="1">
      <alignment horizontal="center" vertical="center"/>
    </xf>
    <xf numFmtId="0" fontId="23" fillId="0" borderId="21" xfId="0" applyFont="1" applyBorder="1" applyAlignment="1">
      <alignment horizontal="center" vertical="center"/>
    </xf>
    <xf numFmtId="0" fontId="21" fillId="0" borderId="9" xfId="0" applyFont="1" applyBorder="1" applyAlignment="1">
      <alignment horizontal="center" vertical="center"/>
    </xf>
    <xf numFmtId="0" fontId="24" fillId="0" borderId="3" xfId="0" applyFont="1" applyBorder="1" applyAlignment="1">
      <alignment horizontal="center" vertical="center"/>
    </xf>
    <xf numFmtId="0" fontId="23" fillId="0" borderId="24" xfId="0" applyFont="1" applyBorder="1" applyAlignment="1">
      <alignment horizontal="center" vertical="center"/>
    </xf>
    <xf numFmtId="0" fontId="21" fillId="0" borderId="2" xfId="1" applyFont="1" applyBorder="1" applyAlignment="1">
      <alignment horizontal="center" vertical="center"/>
    </xf>
    <xf numFmtId="0" fontId="21" fillId="0" borderId="21" xfId="1" applyFont="1" applyBorder="1" applyAlignment="1">
      <alignment horizontal="center" vertical="center"/>
    </xf>
    <xf numFmtId="0" fontId="24" fillId="0" borderId="0" xfId="0" applyFont="1" applyAlignment="1">
      <alignment horizontal="center" vertical="center"/>
    </xf>
    <xf numFmtId="0" fontId="21" fillId="0" borderId="19" xfId="1" applyFont="1" applyBorder="1" applyAlignment="1">
      <alignment horizontal="center" vertical="center"/>
    </xf>
    <xf numFmtId="0" fontId="21" fillId="0" borderId="24" xfId="1" applyFont="1" applyBorder="1" applyAlignment="1">
      <alignment horizontal="center" vertical="center"/>
    </xf>
    <xf numFmtId="1" fontId="21" fillId="0" borderId="3" xfId="1" applyNumberFormat="1" applyFont="1" applyBorder="1" applyAlignment="1">
      <alignment horizontal="center" vertical="center" wrapText="1"/>
    </xf>
    <xf numFmtId="1" fontId="24" fillId="0" borderId="3" xfId="0" applyNumberFormat="1" applyFont="1" applyBorder="1" applyAlignment="1">
      <alignment vertical="center"/>
    </xf>
    <xf numFmtId="1" fontId="23" fillId="0" borderId="7" xfId="0" applyNumberFormat="1" applyFont="1" applyBorder="1" applyAlignment="1">
      <alignment horizontal="center" vertical="center"/>
    </xf>
    <xf numFmtId="0" fontId="21" fillId="0" borderId="5" xfId="1" applyFont="1" applyBorder="1" applyAlignment="1">
      <alignment horizontal="center" vertical="center" wrapText="1"/>
    </xf>
    <xf numFmtId="1" fontId="23" fillId="0" borderId="16" xfId="0" applyNumberFormat="1" applyFont="1" applyBorder="1" applyAlignment="1">
      <alignment horizontal="center" vertical="center"/>
    </xf>
    <xf numFmtId="1" fontId="23" fillId="0" borderId="0" xfId="0" applyNumberFormat="1" applyFont="1" applyAlignment="1">
      <alignment horizontal="center" vertical="center"/>
    </xf>
    <xf numFmtId="0" fontId="23" fillId="0" borderId="12" xfId="0" applyFont="1" applyBorder="1" applyAlignment="1">
      <alignment horizontal="center" vertical="center"/>
    </xf>
    <xf numFmtId="0" fontId="23" fillId="0" borderId="13" xfId="1" applyFont="1" applyBorder="1" applyAlignment="1">
      <alignment horizontal="center" vertical="center"/>
    </xf>
    <xf numFmtId="1" fontId="23" fillId="0" borderId="11" xfId="0" applyNumberFormat="1" applyFont="1" applyBorder="1" applyAlignment="1">
      <alignment horizontal="center" vertical="center"/>
    </xf>
    <xf numFmtId="0" fontId="23" fillId="0" borderId="14" xfId="1" applyFont="1" applyBorder="1" applyAlignment="1">
      <alignment horizontal="center" vertical="center"/>
    </xf>
    <xf numFmtId="0" fontId="23" fillId="0" borderId="14" xfId="1" applyFont="1" applyBorder="1" applyAlignment="1">
      <alignment horizontal="center" vertical="center" wrapText="1"/>
    </xf>
    <xf numFmtId="0" fontId="23" fillId="0" borderId="8" xfId="1" applyFont="1" applyBorder="1" applyAlignment="1">
      <alignment horizontal="center" vertical="center" wrapText="1"/>
    </xf>
    <xf numFmtId="0" fontId="23" fillId="0" borderId="9" xfId="0" applyFont="1" applyBorder="1" applyAlignment="1">
      <alignment horizontal="center" vertical="center"/>
    </xf>
    <xf numFmtId="0" fontId="23" fillId="0" borderId="13" xfId="1" applyFont="1" applyBorder="1" applyAlignment="1">
      <alignment horizontal="center" vertical="center" wrapText="1"/>
    </xf>
    <xf numFmtId="0" fontId="23" fillId="0" borderId="5" xfId="1" applyFont="1" applyBorder="1" applyAlignment="1">
      <alignment horizontal="center" vertical="center" wrapText="1"/>
    </xf>
    <xf numFmtId="1" fontId="23" fillId="0" borderId="9" xfId="0" applyNumberFormat="1" applyFont="1" applyBorder="1" applyAlignment="1">
      <alignment horizontal="center" vertical="center"/>
    </xf>
    <xf numFmtId="0" fontId="23" fillId="0" borderId="10" xfId="0" applyFont="1" applyBorder="1" applyAlignment="1">
      <alignment horizontal="center" vertical="center"/>
    </xf>
    <xf numFmtId="0" fontId="21" fillId="0" borderId="20" xfId="0" applyFont="1" applyBorder="1" applyAlignment="1">
      <alignment horizontal="center" vertical="center"/>
    </xf>
    <xf numFmtId="0" fontId="21" fillId="0" borderId="23" xfId="0" applyFont="1" applyBorder="1" applyAlignment="1">
      <alignment horizontal="center" vertical="center"/>
    </xf>
    <xf numFmtId="0" fontId="23" fillId="0" borderId="9" xfId="1" applyFont="1" applyBorder="1" applyAlignment="1">
      <alignment horizontal="center" vertical="center" wrapText="1"/>
    </xf>
    <xf numFmtId="0" fontId="23" fillId="0" borderId="11" xfId="1" applyFont="1" applyBorder="1" applyAlignment="1">
      <alignment horizontal="center" vertical="center"/>
    </xf>
    <xf numFmtId="0" fontId="23" fillId="0" borderId="3" xfId="1" applyFont="1" applyBorder="1" applyAlignment="1">
      <alignment horizontal="center" vertical="center" wrapText="1"/>
    </xf>
    <xf numFmtId="1" fontId="24" fillId="0" borderId="11" xfId="0" applyNumberFormat="1" applyFont="1" applyBorder="1" applyAlignment="1">
      <alignment horizontal="center" vertical="center" wrapText="1"/>
    </xf>
    <xf numFmtId="1" fontId="24" fillId="0" borderId="0" xfId="0" applyNumberFormat="1" applyFont="1" applyAlignment="1">
      <alignment horizontal="center" vertical="center" wrapText="1"/>
    </xf>
    <xf numFmtId="1" fontId="23" fillId="0" borderId="2" xfId="1" applyNumberFormat="1" applyFont="1" applyBorder="1" applyAlignment="1">
      <alignment horizontal="center" vertical="center"/>
    </xf>
    <xf numFmtId="1" fontId="23" fillId="0" borderId="0" xfId="1" applyNumberFormat="1" applyFont="1" applyAlignment="1">
      <alignment horizontal="center" vertical="center"/>
    </xf>
    <xf numFmtId="1" fontId="23" fillId="0" borderId="11" xfId="1" applyNumberFormat="1" applyFont="1" applyBorder="1" applyAlignment="1">
      <alignment horizontal="center" vertical="center"/>
    </xf>
    <xf numFmtId="0" fontId="23" fillId="0" borderId="11" xfId="0" applyFont="1" applyBorder="1" applyAlignment="1">
      <alignment horizontal="center" vertical="center"/>
    </xf>
    <xf numFmtId="0" fontId="23" fillId="0" borderId="5" xfId="0" applyFont="1" applyBorder="1" applyAlignment="1">
      <alignment horizontal="center" vertical="center" wrapText="1"/>
    </xf>
    <xf numFmtId="1" fontId="23" fillId="0" borderId="17" xfId="0" applyNumberFormat="1" applyFont="1" applyBorder="1" applyAlignment="1">
      <alignment horizontal="center" vertical="center"/>
    </xf>
    <xf numFmtId="0" fontId="23" fillId="0" borderId="11" xfId="1" applyFont="1" applyBorder="1" applyAlignment="1">
      <alignment horizontal="center" vertical="center" wrapText="1"/>
    </xf>
    <xf numFmtId="0" fontId="23" fillId="0" borderId="19" xfId="1" applyFont="1" applyBorder="1" applyAlignment="1">
      <alignment horizontal="center" vertical="center"/>
    </xf>
    <xf numFmtId="0" fontId="23" fillId="0" borderId="19" xfId="0" applyFont="1" applyBorder="1" applyAlignment="1">
      <alignment horizontal="center" vertical="center" wrapText="1"/>
    </xf>
    <xf numFmtId="1" fontId="24" fillId="0" borderId="2" xfId="0" applyNumberFormat="1" applyFont="1" applyBorder="1" applyAlignment="1">
      <alignment horizontal="center" vertical="center" wrapText="1"/>
    </xf>
    <xf numFmtId="0" fontId="23" fillId="0" borderId="5" xfId="1" applyFont="1" applyBorder="1" applyAlignment="1">
      <alignment horizontal="center" vertical="center"/>
    </xf>
    <xf numFmtId="0" fontId="21" fillId="0" borderId="5" xfId="0" applyFont="1" applyBorder="1" applyAlignment="1">
      <alignment horizontal="center" vertical="center"/>
    </xf>
    <xf numFmtId="1" fontId="23" fillId="0" borderId="16" xfId="1" applyNumberFormat="1" applyFont="1" applyBorder="1" applyAlignment="1">
      <alignment horizontal="center" vertical="center"/>
    </xf>
    <xf numFmtId="1" fontId="23" fillId="0" borderId="17" xfId="1" applyNumberFormat="1" applyFont="1" applyBorder="1" applyAlignment="1">
      <alignment horizontal="center" vertical="center"/>
    </xf>
    <xf numFmtId="0" fontId="21" fillId="0" borderId="2" xfId="0" applyFont="1" applyBorder="1" applyAlignment="1">
      <alignment horizontal="center" vertical="center"/>
    </xf>
    <xf numFmtId="0" fontId="21" fillId="0" borderId="21" xfId="0" applyFont="1" applyBorder="1" applyAlignment="1">
      <alignment horizontal="center" vertical="center"/>
    </xf>
    <xf numFmtId="0" fontId="23" fillId="0" borderId="15" xfId="0" applyFont="1" applyBorder="1" applyAlignment="1">
      <alignment horizontal="center" vertical="center"/>
    </xf>
    <xf numFmtId="0" fontId="24" fillId="0" borderId="9" xfId="0" applyFont="1" applyBorder="1" applyAlignment="1">
      <alignment horizontal="center" vertical="center" wrapText="1"/>
    </xf>
    <xf numFmtId="0" fontId="24" fillId="0" borderId="19" xfId="0" applyFont="1" applyBorder="1" applyAlignment="1">
      <alignment horizontal="center" vertical="center"/>
    </xf>
    <xf numFmtId="0" fontId="24" fillId="0" borderId="19" xfId="0" applyFont="1" applyBorder="1" applyAlignment="1">
      <alignment horizontal="center" vertical="center" wrapText="1"/>
    </xf>
    <xf numFmtId="0" fontId="23" fillId="0" borderId="2" xfId="0" applyFont="1" applyBorder="1" applyAlignment="1">
      <alignment horizontal="center" vertical="center"/>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xf>
    <xf numFmtId="0" fontId="24" fillId="0" borderId="21"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5" xfId="1" applyFont="1" applyBorder="1" applyAlignment="1">
      <alignment horizontal="center" vertical="center"/>
    </xf>
    <xf numFmtId="0" fontId="25" fillId="0" borderId="2" xfId="1" applyFont="1" applyBorder="1" applyAlignment="1">
      <alignment horizontal="center" vertical="center"/>
    </xf>
    <xf numFmtId="0" fontId="26" fillId="0" borderId="21" xfId="0" applyFont="1" applyBorder="1" applyAlignment="1">
      <alignment horizontal="center" vertical="center"/>
    </xf>
    <xf numFmtId="0" fontId="26" fillId="0" borderId="3" xfId="0" applyFont="1" applyBorder="1" applyAlignment="1">
      <alignment horizontal="center" vertical="center"/>
    </xf>
    <xf numFmtId="1" fontId="25" fillId="0" borderId="4" xfId="0" applyNumberFormat="1" applyFont="1" applyBorder="1" applyAlignment="1">
      <alignment horizontal="center" vertical="center"/>
    </xf>
    <xf numFmtId="0" fontId="25" fillId="0" borderId="3" xfId="0" applyFont="1" applyBorder="1" applyAlignment="1">
      <alignment horizontal="center" vertical="center"/>
    </xf>
    <xf numFmtId="0" fontId="25" fillId="0" borderId="3" xfId="1" applyFont="1" applyBorder="1" applyAlignment="1">
      <alignment horizontal="center" vertical="center"/>
    </xf>
    <xf numFmtId="0" fontId="26" fillId="0" borderId="0" xfId="0" applyFont="1" applyAlignment="1">
      <alignment horizontal="center" vertical="center"/>
    </xf>
    <xf numFmtId="0" fontId="25" fillId="0" borderId="19" xfId="1" applyFont="1" applyBorder="1" applyAlignment="1">
      <alignment horizontal="center" vertical="center"/>
    </xf>
    <xf numFmtId="0" fontId="26" fillId="0" borderId="24" xfId="0" applyFont="1" applyBorder="1" applyAlignment="1">
      <alignment horizontal="center" vertical="center"/>
    </xf>
    <xf numFmtId="0" fontId="27" fillId="0" borderId="0" xfId="0" applyFont="1" applyAlignment="1">
      <alignment horizontal="center" vertical="center"/>
    </xf>
    <xf numFmtId="0" fontId="25" fillId="0" borderId="21" xfId="1" applyFont="1" applyBorder="1" applyAlignment="1">
      <alignment horizontal="center" vertical="center" wrapText="1"/>
    </xf>
    <xf numFmtId="0" fontId="25" fillId="0" borderId="24" xfId="1" applyFont="1" applyBorder="1" applyAlignment="1">
      <alignment horizontal="center" vertical="center" wrapText="1"/>
    </xf>
    <xf numFmtId="0" fontId="26" fillId="0" borderId="10" xfId="0" applyFont="1" applyBorder="1" applyAlignment="1">
      <alignment horizontal="center" vertical="center"/>
    </xf>
    <xf numFmtId="0" fontId="25" fillId="0" borderId="5" xfId="1" applyFont="1" applyBorder="1" applyAlignment="1">
      <alignment horizontal="center" vertical="center" wrapText="1"/>
    </xf>
    <xf numFmtId="0" fontId="26" fillId="0" borderId="5" xfId="0" applyFont="1" applyBorder="1" applyAlignment="1">
      <alignment horizontal="center" vertical="center"/>
    </xf>
    <xf numFmtId="0" fontId="25" fillId="0" borderId="0" xfId="0" applyFont="1" applyAlignment="1">
      <alignment horizontal="center" vertical="center"/>
    </xf>
    <xf numFmtId="0" fontId="26" fillId="0" borderId="19" xfId="0" applyFont="1" applyBorder="1" applyAlignment="1">
      <alignment horizontal="center" vertical="center"/>
    </xf>
    <xf numFmtId="0" fontId="26" fillId="0" borderId="2" xfId="0" applyFont="1" applyBorder="1" applyAlignment="1">
      <alignment horizontal="center" vertical="center"/>
    </xf>
    <xf numFmtId="0" fontId="26" fillId="0" borderId="7" xfId="0" applyFont="1" applyBorder="1" applyAlignment="1">
      <alignment horizontal="center" vertical="center"/>
    </xf>
    <xf numFmtId="0" fontId="25" fillId="0" borderId="4" xfId="0" applyFont="1" applyBorder="1" applyAlignment="1">
      <alignment horizontal="center" vertical="center" wrapText="1"/>
    </xf>
    <xf numFmtId="0" fontId="25" fillId="0" borderId="3" xfId="1" applyFont="1" applyBorder="1" applyAlignment="1">
      <alignment horizontal="center" vertical="center" wrapText="1"/>
    </xf>
    <xf numFmtId="0" fontId="26" fillId="0" borderId="9" xfId="0" applyFont="1" applyBorder="1" applyAlignment="1">
      <alignment horizontal="center" vertical="center"/>
    </xf>
    <xf numFmtId="1" fontId="25" fillId="0" borderId="3" xfId="0" applyNumberFormat="1" applyFont="1" applyBorder="1" applyAlignment="1">
      <alignment horizontal="center" vertical="center"/>
    </xf>
    <xf numFmtId="0" fontId="26" fillId="4" borderId="9" xfId="0" applyFont="1" applyFill="1" applyBorder="1" applyAlignment="1">
      <alignment horizontal="center" vertical="center"/>
    </xf>
    <xf numFmtId="1" fontId="25" fillId="0" borderId="3" xfId="0" applyNumberFormat="1" applyFont="1" applyBorder="1" applyAlignment="1">
      <alignment horizontal="center" vertical="center" wrapText="1"/>
    </xf>
    <xf numFmtId="0" fontId="25" fillId="0" borderId="7" xfId="0" applyFont="1" applyBorder="1" applyAlignment="1">
      <alignment horizontal="center" vertical="center"/>
    </xf>
    <xf numFmtId="1" fontId="25" fillId="0" borderId="4" xfId="0" applyNumberFormat="1" applyFont="1" applyBorder="1" applyAlignment="1">
      <alignment horizontal="center" vertical="center" wrapText="1"/>
    </xf>
    <xf numFmtId="0" fontId="25" fillId="0" borderId="20" xfId="1" applyFont="1" applyBorder="1" applyAlignment="1">
      <alignment horizontal="center" vertical="center"/>
    </xf>
    <xf numFmtId="0" fontId="26" fillId="0" borderId="23" xfId="0" applyFont="1" applyBorder="1" applyAlignment="1">
      <alignment horizontal="center" vertical="center"/>
    </xf>
    <xf numFmtId="0" fontId="27" fillId="0" borderId="3" xfId="0" applyFont="1" applyBorder="1" applyAlignment="1">
      <alignment horizontal="center" vertical="center"/>
    </xf>
    <xf numFmtId="0" fontId="25" fillId="0" borderId="23" xfId="1" applyFont="1" applyBorder="1" applyAlignment="1">
      <alignment horizontal="center" vertical="center" wrapText="1"/>
    </xf>
    <xf numFmtId="1" fontId="25" fillId="0" borderId="24" xfId="0" applyNumberFormat="1" applyFont="1" applyBorder="1" applyAlignment="1">
      <alignment horizontal="center" vertical="center"/>
    </xf>
    <xf numFmtId="0" fontId="25" fillId="0" borderId="24" xfId="0" applyFont="1" applyBorder="1" applyAlignment="1">
      <alignment horizontal="center" vertical="center"/>
    </xf>
    <xf numFmtId="0" fontId="25" fillId="4" borderId="3" xfId="1" applyFont="1" applyFill="1" applyBorder="1" applyAlignment="1">
      <alignment horizontal="center" vertical="center"/>
    </xf>
    <xf numFmtId="0" fontId="25" fillId="0" borderId="4" xfId="0" applyFont="1" applyBorder="1" applyAlignment="1">
      <alignment horizontal="center" vertical="center"/>
    </xf>
    <xf numFmtId="0" fontId="26" fillId="0" borderId="20" xfId="0" applyFont="1" applyBorder="1" applyAlignment="1">
      <alignment horizontal="center" vertical="center"/>
    </xf>
    <xf numFmtId="0" fontId="25" fillId="0" borderId="0" xfId="1" applyFont="1" applyAlignment="1">
      <alignment horizontal="center" vertical="center" wrapText="1"/>
    </xf>
    <xf numFmtId="0" fontId="27" fillId="0" borderId="7" xfId="0" applyFont="1" applyBorder="1" applyAlignment="1">
      <alignment horizontal="center" vertical="center"/>
    </xf>
    <xf numFmtId="0" fontId="25" fillId="0" borderId="6" xfId="0" applyFont="1" applyBorder="1" applyAlignment="1">
      <alignment horizontal="center" vertical="center" wrapText="1"/>
    </xf>
    <xf numFmtId="0" fontId="25" fillId="0" borderId="7" xfId="0" applyFont="1" applyBorder="1" applyAlignment="1">
      <alignment horizontal="center" vertical="center" wrapText="1"/>
    </xf>
    <xf numFmtId="1" fontId="25" fillId="0" borderId="6" xfId="0" applyNumberFormat="1" applyFont="1" applyBorder="1" applyAlignment="1">
      <alignment horizontal="center" vertical="center"/>
    </xf>
    <xf numFmtId="0" fontId="25" fillId="0" borderId="7" xfId="1" applyFont="1" applyBorder="1" applyAlignment="1">
      <alignment horizontal="center" vertical="center"/>
    </xf>
    <xf numFmtId="0" fontId="25" fillId="0" borderId="8" xfId="1" applyFont="1" applyBorder="1" applyAlignment="1">
      <alignment horizontal="center" vertical="center"/>
    </xf>
    <xf numFmtId="0" fontId="25" fillId="0" borderId="8" xfId="1" applyFont="1" applyBorder="1" applyAlignment="1">
      <alignment horizontal="center" vertical="center" wrapText="1"/>
    </xf>
    <xf numFmtId="0" fontId="25" fillId="0" borderId="9" xfId="1" applyFont="1" applyBorder="1" applyAlignment="1">
      <alignment horizontal="center" vertical="center"/>
    </xf>
    <xf numFmtId="0" fontId="25" fillId="0" borderId="28" xfId="1" applyFont="1" applyBorder="1" applyAlignment="1">
      <alignment horizontal="center" vertical="center" wrapText="1"/>
    </xf>
    <xf numFmtId="0" fontId="26" fillId="0" borderId="8" xfId="0" applyFont="1" applyBorder="1" applyAlignment="1">
      <alignment horizontal="center" vertical="center"/>
    </xf>
    <xf numFmtId="1" fontId="25" fillId="0" borderId="29" xfId="0" applyNumberFormat="1" applyFont="1" applyBorder="1" applyAlignment="1">
      <alignment horizontal="center" vertical="center"/>
    </xf>
    <xf numFmtId="0" fontId="25" fillId="0" borderId="12" xfId="0" applyFont="1" applyBorder="1" applyAlignment="1">
      <alignment horizontal="center" vertical="center"/>
    </xf>
    <xf numFmtId="1" fontId="25" fillId="0" borderId="12" xfId="0" applyNumberFormat="1" applyFont="1" applyBorder="1" applyAlignment="1">
      <alignment horizontal="center" vertical="center"/>
    </xf>
    <xf numFmtId="0" fontId="25" fillId="0" borderId="14" xfId="1" applyFont="1" applyBorder="1" applyAlignment="1">
      <alignment horizontal="center" vertical="center"/>
    </xf>
    <xf numFmtId="0" fontId="26" fillId="0" borderId="12" xfId="0" applyFont="1" applyBorder="1" applyAlignment="1">
      <alignment horizontal="center" vertical="center"/>
    </xf>
    <xf numFmtId="0" fontId="25" fillId="0" borderId="20" xfId="1" applyFont="1" applyBorder="1" applyAlignment="1">
      <alignment horizontal="center" vertical="center" wrapText="1"/>
    </xf>
    <xf numFmtId="0" fontId="25" fillId="0" borderId="29"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30" xfId="1" applyFont="1" applyBorder="1" applyAlignment="1">
      <alignment horizontal="center" vertical="center"/>
    </xf>
    <xf numFmtId="0" fontId="25" fillId="0" borderId="26" xfId="1" applyFont="1" applyBorder="1" applyAlignment="1">
      <alignment horizontal="center" vertical="center" wrapText="1"/>
    </xf>
    <xf numFmtId="0" fontId="25" fillId="0" borderId="9" xfId="0" applyFont="1" applyBorder="1" applyAlignment="1">
      <alignment horizontal="center" vertical="center"/>
    </xf>
    <xf numFmtId="0" fontId="25" fillId="0" borderId="22" xfId="1" applyFont="1" applyBorder="1" applyAlignment="1">
      <alignment horizontal="center" vertical="center"/>
    </xf>
    <xf numFmtId="0" fontId="25" fillId="0" borderId="5" xfId="0" applyFont="1" applyBorder="1" applyAlignment="1">
      <alignment horizontal="center" vertical="center"/>
    </xf>
    <xf numFmtId="0" fontId="25" fillId="0" borderId="0" xfId="1" applyFont="1" applyAlignment="1">
      <alignment horizontal="center" vertical="center"/>
    </xf>
    <xf numFmtId="1" fontId="25" fillId="0" borderId="7" xfId="0" applyNumberFormat="1" applyFont="1" applyBorder="1" applyAlignment="1">
      <alignment horizontal="center" vertical="center"/>
    </xf>
    <xf numFmtId="0" fontId="25" fillId="4" borderId="3" xfId="0" applyFont="1" applyFill="1" applyBorder="1" applyAlignment="1">
      <alignment horizontal="center" vertical="center"/>
    </xf>
    <xf numFmtId="0" fontId="25" fillId="0" borderId="7" xfId="1" applyFont="1" applyBorder="1" applyAlignment="1">
      <alignment horizontal="center" vertical="center" wrapText="1"/>
    </xf>
    <xf numFmtId="0" fontId="25" fillId="0" borderId="2" xfId="1" applyFont="1" applyBorder="1" applyAlignment="1">
      <alignment horizontal="center" vertical="center" wrapText="1"/>
    </xf>
    <xf numFmtId="1" fontId="25" fillId="0" borderId="2" xfId="0" applyNumberFormat="1" applyFont="1" applyBorder="1" applyAlignment="1">
      <alignment horizontal="center" vertical="center"/>
    </xf>
    <xf numFmtId="1" fontId="25" fillId="0" borderId="0" xfId="0" applyNumberFormat="1" applyFont="1" applyAlignment="1">
      <alignment horizontal="center" vertical="center"/>
    </xf>
    <xf numFmtId="1" fontId="25" fillId="0" borderId="11" xfId="0" applyNumberFormat="1" applyFont="1" applyBorder="1" applyAlignment="1">
      <alignment horizontal="center" vertical="center"/>
    </xf>
    <xf numFmtId="1" fontId="25" fillId="0" borderId="17" xfId="0" applyNumberFormat="1" applyFont="1" applyBorder="1" applyAlignment="1">
      <alignment horizontal="center" vertical="center"/>
    </xf>
    <xf numFmtId="0" fontId="25" fillId="0" borderId="17" xfId="0" applyFont="1" applyBorder="1" applyAlignment="1">
      <alignment horizontal="center" vertical="center"/>
    </xf>
    <xf numFmtId="1" fontId="27" fillId="0" borderId="4" xfId="0" applyNumberFormat="1" applyFont="1" applyBorder="1" applyAlignment="1">
      <alignment vertical="center"/>
    </xf>
    <xf numFmtId="1" fontId="25" fillId="0" borderId="4" xfId="1" applyNumberFormat="1" applyFont="1" applyBorder="1" applyAlignment="1">
      <alignment horizontal="center" vertical="center" wrapText="1"/>
    </xf>
    <xf numFmtId="1" fontId="25" fillId="0" borderId="6" xfId="1" applyNumberFormat="1" applyFont="1" applyBorder="1" applyAlignment="1">
      <alignment horizontal="center" vertical="center" wrapText="1"/>
    </xf>
    <xf numFmtId="0" fontId="28" fillId="0" borderId="5" xfId="0" applyFont="1" applyBorder="1" applyAlignment="1">
      <alignment horizontal="center" vertical="center"/>
    </xf>
    <xf numFmtId="0" fontId="28" fillId="0" borderId="8" xfId="0" applyFont="1" applyBorder="1" applyAlignment="1">
      <alignment horizontal="center" vertical="center"/>
    </xf>
    <xf numFmtId="0" fontId="25" fillId="0" borderId="24" xfId="1" applyFont="1" applyBorder="1" applyAlignment="1">
      <alignment horizontal="center" vertical="center"/>
    </xf>
    <xf numFmtId="1" fontId="27" fillId="0" borderId="6" xfId="0" applyNumberFormat="1" applyFont="1" applyBorder="1" applyAlignment="1">
      <alignment vertical="center"/>
    </xf>
    <xf numFmtId="0" fontId="25" fillId="0" borderId="21" xfId="1" applyFont="1" applyBorder="1" applyAlignment="1">
      <alignment horizontal="center" vertical="center"/>
    </xf>
    <xf numFmtId="1" fontId="27" fillId="0" borderId="2" xfId="0" applyNumberFormat="1" applyFont="1" applyBorder="1" applyAlignment="1">
      <alignment vertical="center"/>
    </xf>
    <xf numFmtId="1" fontId="27" fillId="0" borderId="0" xfId="0" applyNumberFormat="1" applyFont="1" applyAlignment="1">
      <alignment vertical="center"/>
    </xf>
    <xf numFmtId="1" fontId="27" fillId="0" borderId="11" xfId="0" applyNumberFormat="1" applyFont="1" applyBorder="1" applyAlignment="1">
      <alignment vertical="center"/>
    </xf>
    <xf numFmtId="1" fontId="27" fillId="0" borderId="24" xfId="0" applyNumberFormat="1" applyFont="1" applyBorder="1" applyAlignment="1">
      <alignment vertical="center"/>
    </xf>
    <xf numFmtId="0" fontId="27" fillId="0" borderId="9" xfId="0" applyFont="1" applyBorder="1" applyAlignment="1">
      <alignment horizontal="center" vertical="center"/>
    </xf>
    <xf numFmtId="1" fontId="26" fillId="0" borderId="4" xfId="0" applyNumberFormat="1" applyFont="1" applyBorder="1" applyAlignment="1">
      <alignment horizontal="center" vertical="center"/>
    </xf>
    <xf numFmtId="0" fontId="26" fillId="4" borderId="3" xfId="0" applyFont="1" applyFill="1" applyBorder="1" applyAlignment="1">
      <alignment horizontal="center" vertical="center"/>
    </xf>
    <xf numFmtId="1" fontId="25" fillId="0" borderId="16" xfId="0" applyNumberFormat="1" applyFont="1" applyBorder="1" applyAlignment="1">
      <alignment horizontal="center" vertical="center"/>
    </xf>
    <xf numFmtId="0" fontId="25" fillId="0" borderId="15" xfId="0" applyFont="1" applyBorder="1" applyAlignment="1">
      <alignment horizontal="center" vertical="center"/>
    </xf>
    <xf numFmtId="0" fontId="26" fillId="4" borderId="19" xfId="0" applyFont="1" applyFill="1" applyBorder="1" applyAlignment="1">
      <alignment horizontal="center" vertical="center"/>
    </xf>
    <xf numFmtId="1" fontId="26" fillId="0" borderId="6" xfId="0" applyNumberFormat="1" applyFont="1" applyBorder="1" applyAlignment="1">
      <alignment horizontal="center" vertical="center"/>
    </xf>
    <xf numFmtId="1" fontId="26" fillId="0" borderId="0" xfId="0" applyNumberFormat="1" applyFont="1" applyAlignment="1">
      <alignment horizontal="center" vertical="center"/>
    </xf>
    <xf numFmtId="1" fontId="26" fillId="0" borderId="16" xfId="0" applyNumberFormat="1" applyFont="1" applyBorder="1" applyAlignment="1">
      <alignment horizontal="center" vertical="center"/>
    </xf>
    <xf numFmtId="0" fontId="26" fillId="4" borderId="0" xfId="0" applyFont="1" applyFill="1" applyAlignment="1">
      <alignment horizontal="center" vertical="center"/>
    </xf>
    <xf numFmtId="1" fontId="25" fillId="0" borderId="4" xfId="1" applyNumberFormat="1" applyFont="1" applyBorder="1" applyAlignment="1">
      <alignment horizontal="center" vertical="center"/>
    </xf>
    <xf numFmtId="0" fontId="26" fillId="4" borderId="7" xfId="0" applyFont="1" applyFill="1" applyBorder="1" applyAlignment="1">
      <alignment horizontal="center" vertical="center"/>
    </xf>
    <xf numFmtId="0" fontId="25" fillId="0" borderId="2" xfId="0" applyFont="1" applyBorder="1" applyAlignment="1">
      <alignment horizontal="center" vertical="center"/>
    </xf>
    <xf numFmtId="1" fontId="25" fillId="0" borderId="6" xfId="0" applyNumberFormat="1" applyFont="1" applyBorder="1" applyAlignment="1">
      <alignment horizontal="center" vertical="center" wrapText="1"/>
    </xf>
    <xf numFmtId="0" fontId="25" fillId="0" borderId="23" xfId="0" applyFont="1" applyBorder="1" applyAlignment="1">
      <alignment horizontal="center" vertical="center"/>
    </xf>
    <xf numFmtId="0" fontId="25" fillId="0" borderId="8" xfId="0" applyFont="1" applyBorder="1" applyAlignment="1">
      <alignment horizontal="center" vertical="center"/>
    </xf>
    <xf numFmtId="1" fontId="27" fillId="0" borderId="6" xfId="0" applyNumberFormat="1" applyFont="1" applyBorder="1" applyAlignment="1">
      <alignment horizontal="center" vertical="center"/>
    </xf>
    <xf numFmtId="1" fontId="27" fillId="0" borderId="4" xfId="0" applyNumberFormat="1" applyFont="1" applyBorder="1" applyAlignment="1">
      <alignment horizontal="center" vertical="center"/>
    </xf>
    <xf numFmtId="1" fontId="27" fillId="0" borderId="11" xfId="0" applyNumberFormat="1" applyFont="1" applyBorder="1" applyAlignment="1">
      <alignment horizontal="center" vertical="center"/>
    </xf>
    <xf numFmtId="1" fontId="27" fillId="0" borderId="0" xfId="0" applyNumberFormat="1" applyFont="1" applyAlignment="1">
      <alignment horizontal="center" vertical="center"/>
    </xf>
    <xf numFmtId="1" fontId="25" fillId="0" borderId="20" xfId="0" applyNumberFormat="1" applyFont="1" applyBorder="1" applyAlignment="1">
      <alignment horizontal="center" vertical="center"/>
    </xf>
    <xf numFmtId="0" fontId="27" fillId="0" borderId="3" xfId="0" applyFont="1" applyBorder="1" applyAlignment="1">
      <alignment horizontal="center" vertical="center" wrapText="1"/>
    </xf>
    <xf numFmtId="1" fontId="25" fillId="0" borderId="6" xfId="1" applyNumberFormat="1" applyFont="1" applyBorder="1" applyAlignment="1">
      <alignment horizontal="center" vertical="center"/>
    </xf>
    <xf numFmtId="0" fontId="27" fillId="0" borderId="7" xfId="0" applyFont="1" applyBorder="1" applyAlignment="1">
      <alignment horizontal="center" vertical="center" wrapText="1"/>
    </xf>
    <xf numFmtId="0" fontId="25" fillId="6" borderId="3" xfId="0" applyFont="1" applyFill="1" applyBorder="1" applyAlignment="1">
      <alignment horizontal="center" vertical="center"/>
    </xf>
    <xf numFmtId="0" fontId="26" fillId="6" borderId="0" xfId="0" applyFont="1" applyFill="1" applyAlignment="1">
      <alignment horizontal="center" vertical="center"/>
    </xf>
    <xf numFmtId="0" fontId="25" fillId="6" borderId="3" xfId="1" applyFont="1" applyFill="1" applyBorder="1" applyAlignment="1">
      <alignment horizontal="center" vertical="center"/>
    </xf>
    <xf numFmtId="0" fontId="25" fillId="7" borderId="5" xfId="1" applyFont="1" applyFill="1" applyBorder="1" applyAlignment="1">
      <alignment horizontal="center" vertical="center"/>
    </xf>
    <xf numFmtId="0" fontId="27" fillId="6" borderId="3" xfId="0" applyFont="1" applyFill="1" applyBorder="1" applyAlignment="1">
      <alignment horizontal="center" vertical="center"/>
    </xf>
    <xf numFmtId="0" fontId="25" fillId="6" borderId="7" xfId="1" applyFont="1" applyFill="1" applyBorder="1" applyAlignment="1">
      <alignment horizontal="center" vertical="center"/>
    </xf>
    <xf numFmtId="0" fontId="25" fillId="6" borderId="7" xfId="0" applyFont="1" applyFill="1" applyBorder="1" applyAlignment="1">
      <alignment horizontal="center" vertical="center"/>
    </xf>
    <xf numFmtId="0" fontId="25" fillId="7" borderId="8" xfId="1" applyFont="1" applyFill="1" applyBorder="1" applyAlignment="1">
      <alignment horizontal="center" vertical="center"/>
    </xf>
    <xf numFmtId="0" fontId="25" fillId="0" borderId="20" xfId="0" applyFont="1" applyBorder="1" applyAlignment="1">
      <alignment horizontal="center" vertical="center"/>
    </xf>
    <xf numFmtId="0" fontId="26" fillId="6" borderId="3" xfId="0" applyFont="1" applyFill="1" applyBorder="1" applyAlignment="1">
      <alignment horizontal="center" vertical="center"/>
    </xf>
    <xf numFmtId="0" fontId="26" fillId="6" borderId="10" xfId="0" applyFont="1" applyFill="1" applyBorder="1" applyAlignment="1">
      <alignment horizontal="center" vertical="center"/>
    </xf>
    <xf numFmtId="0" fontId="26" fillId="6" borderId="7" xfId="0" applyFont="1" applyFill="1" applyBorder="1" applyAlignment="1">
      <alignment horizontal="center" vertical="center"/>
    </xf>
    <xf numFmtId="0" fontId="27" fillId="0" borderId="10" xfId="0" applyFont="1" applyBorder="1" applyAlignment="1">
      <alignment horizontal="center" vertical="center"/>
    </xf>
    <xf numFmtId="0" fontId="25" fillId="0" borderId="10" xfId="0" applyFont="1" applyBorder="1" applyAlignment="1">
      <alignment horizontal="center" vertical="center"/>
    </xf>
    <xf numFmtId="0" fontId="25" fillId="6" borderId="3" xfId="1" applyFont="1" applyFill="1" applyBorder="1" applyAlignment="1">
      <alignment horizontal="center" vertical="center" wrapText="1"/>
    </xf>
    <xf numFmtId="1" fontId="25" fillId="6" borderId="4" xfId="0" applyNumberFormat="1" applyFont="1" applyFill="1" applyBorder="1" applyAlignment="1">
      <alignment horizontal="center" vertical="center"/>
    </xf>
    <xf numFmtId="1" fontId="25" fillId="6" borderId="3" xfId="0" applyNumberFormat="1" applyFont="1" applyFill="1" applyBorder="1" applyAlignment="1">
      <alignment horizontal="center" vertical="center"/>
    </xf>
    <xf numFmtId="0" fontId="26" fillId="0" borderId="28" xfId="0" applyFont="1" applyBorder="1" applyAlignment="1">
      <alignment horizontal="center" vertical="center"/>
    </xf>
    <xf numFmtId="0" fontId="26" fillId="4" borderId="10" xfId="0" applyFont="1" applyFill="1" applyBorder="1" applyAlignment="1">
      <alignment horizontal="center" vertical="center"/>
    </xf>
    <xf numFmtId="1" fontId="25" fillId="4" borderId="3" xfId="0" applyNumberFormat="1" applyFont="1" applyFill="1" applyBorder="1" applyAlignment="1">
      <alignment horizontal="center" vertical="center" wrapText="1"/>
    </xf>
    <xf numFmtId="1" fontId="25" fillId="0" borderId="3" xfId="2" applyNumberFormat="1" applyFont="1" applyBorder="1" applyAlignment="1">
      <alignment horizontal="center" vertical="center" wrapText="1"/>
    </xf>
    <xf numFmtId="1" fontId="25" fillId="0" borderId="7" xfId="0" applyNumberFormat="1" applyFont="1" applyBorder="1" applyAlignment="1">
      <alignment horizontal="center" vertical="center" wrapText="1"/>
    </xf>
    <xf numFmtId="0" fontId="29" fillId="2" borderId="32" xfId="0" applyFont="1" applyFill="1" applyBorder="1" applyAlignment="1">
      <alignment horizontal="center" vertical="center" wrapText="1"/>
    </xf>
    <xf numFmtId="0" fontId="29" fillId="2" borderId="31"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5" fillId="0" borderId="42" xfId="1" applyFont="1" applyBorder="1" applyAlignment="1">
      <alignment horizontal="center" vertical="center" wrapText="1"/>
    </xf>
    <xf numFmtId="0" fontId="25" fillId="0" borderId="19" xfId="0" applyFont="1" applyBorder="1" applyAlignment="1">
      <alignment horizontal="center" vertical="center" wrapText="1"/>
    </xf>
    <xf numFmtId="0" fontId="25" fillId="0" borderId="15" xfId="1" applyFont="1" applyBorder="1" applyAlignment="1">
      <alignment horizontal="center" vertical="center" wrapText="1"/>
    </xf>
    <xf numFmtId="0" fontId="25" fillId="0" borderId="36" xfId="1" applyFont="1" applyBorder="1" applyAlignment="1">
      <alignment horizontal="center" vertical="center" wrapText="1"/>
    </xf>
    <xf numFmtId="0" fontId="25" fillId="0" borderId="5" xfId="0" applyFont="1" applyBorder="1" applyAlignment="1">
      <alignment horizontal="center" vertical="center" wrapText="1"/>
    </xf>
    <xf numFmtId="1" fontId="25" fillId="0" borderId="24" xfId="1" applyNumberFormat="1" applyFont="1" applyBorder="1" applyAlignment="1">
      <alignment horizontal="center" vertical="center" wrapText="1"/>
    </xf>
    <xf numFmtId="0" fontId="26" fillId="0" borderId="21" xfId="1" applyFont="1" applyBorder="1" applyAlignment="1">
      <alignment horizontal="center" vertical="center" wrapText="1"/>
    </xf>
    <xf numFmtId="0" fontId="26" fillId="0" borderId="24" xfId="1" applyFont="1" applyBorder="1" applyAlignment="1">
      <alignment horizontal="center" vertical="center" wrapText="1"/>
    </xf>
    <xf numFmtId="0" fontId="25" fillId="6" borderId="5" xfId="1" applyFont="1" applyFill="1" applyBorder="1" applyAlignment="1">
      <alignment horizontal="center" vertical="center" wrapText="1"/>
    </xf>
    <xf numFmtId="1" fontId="26" fillId="0" borderId="4" xfId="1" applyNumberFormat="1" applyFont="1" applyBorder="1" applyAlignment="1">
      <alignment horizontal="center" vertical="center" wrapText="1"/>
    </xf>
    <xf numFmtId="0" fontId="25" fillId="0" borderId="38" xfId="1" applyFont="1" applyBorder="1" applyAlignment="1">
      <alignment horizontal="center" vertical="center" wrapText="1"/>
    </xf>
    <xf numFmtId="0" fontId="27" fillId="0" borderId="5" xfId="0" applyFont="1" applyBorder="1" applyAlignment="1">
      <alignment horizontal="center" vertical="center" wrapText="1"/>
    </xf>
    <xf numFmtId="0" fontId="27" fillId="0" borderId="24" xfId="0" applyFont="1" applyBorder="1" applyAlignment="1">
      <alignment horizontal="center" vertical="center" wrapText="1"/>
    </xf>
    <xf numFmtId="0" fontId="25" fillId="6" borderId="8" xfId="1" applyFont="1" applyFill="1" applyBorder="1" applyAlignment="1">
      <alignment horizontal="center" vertical="center" wrapText="1"/>
    </xf>
    <xf numFmtId="0" fontId="26" fillId="0" borderId="23" xfId="1" applyFont="1" applyBorder="1" applyAlignment="1">
      <alignment horizontal="center" vertical="center" wrapText="1"/>
    </xf>
    <xf numFmtId="0" fontId="27" fillId="0" borderId="21" xfId="0" applyFont="1" applyBorder="1" applyAlignment="1">
      <alignment horizontal="center" vertical="center" wrapText="1"/>
    </xf>
    <xf numFmtId="1" fontId="25" fillId="0" borderId="3" xfId="1" applyNumberFormat="1" applyFont="1" applyBorder="1" applyAlignment="1">
      <alignment horizontal="center" vertical="center" wrapText="1"/>
    </xf>
    <xf numFmtId="1" fontId="25" fillId="0" borderId="43" xfId="0" applyNumberFormat="1" applyFont="1" applyBorder="1" applyAlignment="1">
      <alignment horizontal="center" vertical="center" wrapText="1"/>
    </xf>
    <xf numFmtId="1" fontId="27" fillId="0" borderId="36" xfId="0" applyNumberFormat="1" applyFont="1" applyBorder="1" applyAlignment="1">
      <alignment horizontal="center" vertical="center" wrapText="1"/>
    </xf>
    <xf numFmtId="1" fontId="27" fillId="0" borderId="34" xfId="0" applyNumberFormat="1" applyFont="1" applyBorder="1" applyAlignment="1">
      <alignment horizontal="center" vertical="center" wrapText="1"/>
    </xf>
    <xf numFmtId="0" fontId="26" fillId="0" borderId="34" xfId="0" applyFont="1" applyBorder="1" applyAlignment="1">
      <alignment horizontal="center" vertical="center" wrapText="1"/>
    </xf>
    <xf numFmtId="0" fontId="26" fillId="0" borderId="0" xfId="0" applyFont="1" applyAlignment="1">
      <alignment wrapText="1"/>
    </xf>
    <xf numFmtId="0" fontId="25" fillId="0" borderId="15" xfId="0" applyFont="1" applyBorder="1" applyAlignment="1">
      <alignment horizontal="center" vertical="center" wrapText="1"/>
    </xf>
    <xf numFmtId="0" fontId="26" fillId="0" borderId="34" xfId="0" applyFont="1" applyBorder="1" applyAlignment="1">
      <alignment horizontal="center" wrapText="1"/>
    </xf>
    <xf numFmtId="0" fontId="27" fillId="0" borderId="34" xfId="0" applyFont="1" applyBorder="1" applyAlignment="1">
      <alignment horizontal="center" vertical="center" wrapText="1"/>
    </xf>
    <xf numFmtId="0" fontId="25" fillId="0" borderId="34" xfId="0" applyFont="1" applyBorder="1" applyAlignment="1">
      <alignment horizontal="center" vertical="center" wrapText="1"/>
    </xf>
    <xf numFmtId="0" fontId="25" fillId="0" borderId="23" xfId="0" applyFont="1" applyBorder="1" applyAlignment="1">
      <alignment horizontal="center" vertical="center" wrapText="1"/>
    </xf>
    <xf numFmtId="0" fontId="26" fillId="0" borderId="3" xfId="0" applyFont="1" applyBorder="1" applyAlignment="1">
      <alignment horizontal="center" wrapText="1"/>
    </xf>
    <xf numFmtId="1" fontId="25" fillId="0" borderId="15" xfId="0" applyNumberFormat="1" applyFont="1" applyBorder="1" applyAlignment="1">
      <alignment horizontal="center" vertical="center" wrapText="1"/>
    </xf>
    <xf numFmtId="1" fontId="25" fillId="0" borderId="2" xfId="0" applyNumberFormat="1" applyFont="1" applyBorder="1" applyAlignment="1">
      <alignment horizontal="center" vertical="center" wrapText="1"/>
    </xf>
    <xf numFmtId="1" fontId="25" fillId="0" borderId="34" xfId="0" applyNumberFormat="1" applyFont="1" applyBorder="1" applyAlignment="1">
      <alignment horizontal="center" vertical="center" wrapText="1"/>
    </xf>
    <xf numFmtId="0" fontId="25" fillId="0" borderId="13" xfId="1" applyFont="1" applyBorder="1" applyAlignment="1">
      <alignment horizontal="center" vertical="center" wrapText="1"/>
    </xf>
    <xf numFmtId="0" fontId="25" fillId="0" borderId="37" xfId="1" applyFont="1" applyBorder="1" applyAlignment="1">
      <alignment horizontal="center" vertical="center" wrapText="1"/>
    </xf>
    <xf numFmtId="1" fontId="25" fillId="0" borderId="36" xfId="0" applyNumberFormat="1" applyFont="1" applyBorder="1" applyAlignment="1">
      <alignment horizontal="center" vertical="center" wrapText="1"/>
    </xf>
    <xf numFmtId="0" fontId="25" fillId="0" borderId="40" xfId="0" applyFont="1" applyBorder="1" applyAlignment="1">
      <alignment horizontal="center" vertical="center" wrapText="1"/>
    </xf>
    <xf numFmtId="1" fontId="25" fillId="0" borderId="16" xfId="0" applyNumberFormat="1" applyFont="1" applyBorder="1" applyAlignment="1">
      <alignment horizontal="center" vertical="center" wrapText="1"/>
    </xf>
    <xf numFmtId="0" fontId="27" fillId="0" borderId="15" xfId="0" applyFont="1" applyBorder="1" applyAlignment="1">
      <alignment horizontal="center" vertical="center" wrapText="1"/>
    </xf>
    <xf numFmtId="0" fontId="26" fillId="0" borderId="3" xfId="0" applyFont="1" applyBorder="1" applyAlignment="1">
      <alignment horizontal="center" vertical="center" wrapText="1"/>
    </xf>
    <xf numFmtId="1" fontId="25" fillId="0" borderId="2" xfId="1" applyNumberFormat="1" applyFont="1" applyBorder="1" applyAlignment="1">
      <alignment horizontal="center" vertical="center" wrapText="1"/>
    </xf>
    <xf numFmtId="1" fontId="25" fillId="0" borderId="34" xfId="1" applyNumberFormat="1" applyFont="1" applyBorder="1" applyAlignment="1">
      <alignment horizontal="center" vertical="center" wrapText="1"/>
    </xf>
    <xf numFmtId="1" fontId="25" fillId="0" borderId="36" xfId="1" applyNumberFormat="1" applyFont="1" applyBorder="1" applyAlignment="1">
      <alignment horizontal="center" vertical="center" wrapText="1"/>
    </xf>
    <xf numFmtId="0" fontId="26" fillId="0" borderId="15" xfId="0" applyFont="1" applyBorder="1" applyAlignment="1">
      <alignment horizontal="center" vertical="center" wrapText="1"/>
    </xf>
    <xf numFmtId="1" fontId="25" fillId="0" borderId="39" xfId="0" applyNumberFormat="1" applyFont="1" applyBorder="1" applyAlignment="1">
      <alignment horizontal="center" vertical="center" wrapText="1"/>
    </xf>
    <xf numFmtId="0" fontId="25" fillId="0" borderId="36" xfId="0" applyFont="1" applyBorder="1" applyAlignment="1">
      <alignment horizontal="center" vertical="center" wrapText="1"/>
    </xf>
    <xf numFmtId="0" fontId="26" fillId="6" borderId="34" xfId="0"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7" borderId="38" xfId="1" applyFont="1" applyFill="1" applyBorder="1" applyAlignment="1">
      <alignment horizontal="center" vertical="center" wrapText="1"/>
    </xf>
    <xf numFmtId="0" fontId="26" fillId="0" borderId="7" xfId="0" applyFont="1" applyBorder="1" applyAlignment="1">
      <alignment horizontal="center" wrapText="1"/>
    </xf>
    <xf numFmtId="0" fontId="25" fillId="6" borderId="15" xfId="0" applyFont="1" applyFill="1" applyBorder="1" applyAlignment="1">
      <alignment horizontal="center" vertical="center" wrapText="1"/>
    </xf>
    <xf numFmtId="0" fontId="27" fillId="6" borderId="34" xfId="0" applyFont="1" applyFill="1" applyBorder="1" applyAlignment="1">
      <alignment horizontal="center" vertical="center" wrapText="1"/>
    </xf>
    <xf numFmtId="0" fontId="25" fillId="7" borderId="37" xfId="1" applyFont="1" applyFill="1" applyBorder="1" applyAlignment="1">
      <alignment horizontal="center" vertical="center" wrapText="1"/>
    </xf>
    <xf numFmtId="0" fontId="26" fillId="6" borderId="3" xfId="0" applyFont="1" applyFill="1" applyBorder="1" applyAlignment="1">
      <alignment horizontal="center" vertical="center" wrapText="1"/>
    </xf>
    <xf numFmtId="0" fontId="25" fillId="7" borderId="13" xfId="1" applyFont="1" applyFill="1" applyBorder="1" applyAlignment="1">
      <alignment horizontal="center" vertical="center" wrapText="1"/>
    </xf>
    <xf numFmtId="0" fontId="26" fillId="0" borderId="21" xfId="0" applyFont="1" applyBorder="1" applyAlignment="1">
      <alignment horizontal="center" wrapText="1"/>
    </xf>
    <xf numFmtId="1" fontId="25" fillId="0" borderId="39" xfId="1" applyNumberFormat="1" applyFont="1" applyBorder="1" applyAlignment="1">
      <alignment horizontal="center" vertical="center" wrapText="1"/>
    </xf>
    <xf numFmtId="0" fontId="26" fillId="0" borderId="41" xfId="0" applyFont="1" applyBorder="1" applyAlignment="1">
      <alignment horizontal="center" wrapText="1"/>
    </xf>
    <xf numFmtId="0" fontId="25" fillId="0" borderId="35" xfId="0" applyFont="1" applyBorder="1" applyAlignment="1">
      <alignment horizontal="center" vertical="center" wrapText="1"/>
    </xf>
    <xf numFmtId="0" fontId="26" fillId="0" borderId="23" xfId="0" applyFont="1" applyBorder="1" applyAlignment="1">
      <alignment horizontal="center" wrapText="1"/>
    </xf>
    <xf numFmtId="1" fontId="27" fillId="0" borderId="4" xfId="0" applyNumberFormat="1" applyFont="1" applyBorder="1" applyAlignment="1">
      <alignment horizontal="center" vertical="center" wrapText="1"/>
    </xf>
    <xf numFmtId="0" fontId="26" fillId="0" borderId="24" xfId="0" applyFont="1" applyBorder="1" applyAlignment="1">
      <alignment horizontal="center" wrapText="1"/>
    </xf>
    <xf numFmtId="1" fontId="27" fillId="0" borderId="2" xfId="0" applyNumberFormat="1" applyFont="1" applyBorder="1" applyAlignment="1">
      <alignment wrapText="1"/>
    </xf>
    <xf numFmtId="1" fontId="27" fillId="0" borderId="34" xfId="0" applyNumberFormat="1" applyFont="1" applyBorder="1" applyAlignment="1">
      <alignment wrapText="1"/>
    </xf>
    <xf numFmtId="0" fontId="26" fillId="0" borderId="5" xfId="0" applyFont="1" applyBorder="1" applyAlignment="1">
      <alignment horizontal="center" wrapText="1"/>
    </xf>
    <xf numFmtId="0" fontId="25" fillId="7" borderId="2" xfId="1" applyFont="1" applyFill="1" applyBorder="1" applyAlignment="1">
      <alignment horizontal="center" vertical="center" wrapText="1"/>
    </xf>
    <xf numFmtId="0" fontId="26" fillId="0" borderId="15" xfId="0" applyFont="1" applyBorder="1" applyAlignment="1">
      <alignment horizontal="center" wrapText="1"/>
    </xf>
    <xf numFmtId="0" fontId="25" fillId="7" borderId="3" xfId="1" applyFont="1" applyFill="1" applyBorder="1" applyAlignment="1">
      <alignment horizontal="center" vertical="center" wrapText="1"/>
    </xf>
    <xf numFmtId="0" fontId="28" fillId="0" borderId="38" xfId="0" applyFont="1" applyBorder="1" applyAlignment="1">
      <alignment horizontal="center" vertical="center" wrapText="1"/>
    </xf>
    <xf numFmtId="0" fontId="26" fillId="0" borderId="40" xfId="0" applyFont="1" applyBorder="1" applyAlignment="1">
      <alignment horizontal="center" wrapText="1"/>
    </xf>
    <xf numFmtId="0" fontId="26" fillId="6" borderId="3" xfId="0" applyFont="1" applyFill="1" applyBorder="1" applyAlignment="1">
      <alignment horizontal="center" wrapText="1"/>
    </xf>
    <xf numFmtId="0" fontId="25" fillId="0" borderId="21" xfId="0" applyFont="1" applyBorder="1" applyAlignment="1">
      <alignment horizontal="center" vertical="center" wrapText="1"/>
    </xf>
    <xf numFmtId="1" fontId="25" fillId="0" borderId="35" xfId="1" applyNumberFormat="1" applyFont="1" applyBorder="1" applyAlignment="1">
      <alignment horizontal="center" vertical="center" wrapText="1"/>
    </xf>
    <xf numFmtId="0" fontId="26" fillId="0" borderId="35" xfId="0" applyFont="1" applyBorder="1" applyAlignment="1">
      <alignment horizontal="center" vertical="center" wrapText="1"/>
    </xf>
    <xf numFmtId="0" fontId="25" fillId="0" borderId="24" xfId="0" applyFont="1" applyBorder="1" applyAlignment="1">
      <alignment horizontal="center" vertical="center" wrapText="1"/>
    </xf>
    <xf numFmtId="0" fontId="25" fillId="6" borderId="7" xfId="0" applyFont="1" applyFill="1" applyBorder="1" applyAlignment="1">
      <alignment horizontal="center" vertical="center" wrapText="1"/>
    </xf>
    <xf numFmtId="0" fontId="25" fillId="7" borderId="42" xfId="1" applyFont="1" applyFill="1" applyBorder="1" applyAlignment="1">
      <alignment horizontal="center" vertical="center" wrapText="1"/>
    </xf>
    <xf numFmtId="1" fontId="25" fillId="6" borderId="6" xfId="0" applyNumberFormat="1" applyFont="1" applyFill="1" applyBorder="1" applyAlignment="1">
      <alignment horizontal="center" vertical="center" wrapText="1"/>
    </xf>
    <xf numFmtId="1" fontId="25" fillId="6" borderId="4" xfId="0" applyNumberFormat="1" applyFont="1" applyFill="1" applyBorder="1" applyAlignment="1">
      <alignment horizontal="center" vertical="center" wrapText="1"/>
    </xf>
    <xf numFmtId="0" fontId="26" fillId="0" borderId="5" xfId="1" applyFont="1" applyBorder="1" applyAlignment="1">
      <alignment horizontal="center" vertical="center" wrapText="1"/>
    </xf>
    <xf numFmtId="0" fontId="25" fillId="0" borderId="8" xfId="0" applyFont="1" applyBorder="1" applyAlignment="1">
      <alignment horizontal="center" vertical="center" wrapText="1"/>
    </xf>
    <xf numFmtId="0" fontId="26" fillId="0" borderId="8" xfId="0" applyFont="1" applyBorder="1" applyAlignment="1">
      <alignment horizontal="center" wrapText="1"/>
    </xf>
    <xf numFmtId="0" fontId="26" fillId="6" borderId="7" xfId="0" applyFont="1" applyFill="1" applyBorder="1" applyAlignment="1">
      <alignment horizontal="center" vertical="center" wrapText="1"/>
    </xf>
    <xf numFmtId="0" fontId="26" fillId="0" borderId="7" xfId="0" applyFont="1" applyBorder="1" applyAlignment="1">
      <alignment horizontal="center" vertical="center" wrapText="1"/>
    </xf>
    <xf numFmtId="1" fontId="27" fillId="0" borderId="36" xfId="0" applyNumberFormat="1" applyFont="1" applyBorder="1" applyAlignment="1">
      <alignment wrapText="1"/>
    </xf>
    <xf numFmtId="1" fontId="27" fillId="0" borderId="39" xfId="0" applyNumberFormat="1" applyFont="1" applyBorder="1" applyAlignment="1">
      <alignment wrapText="1"/>
    </xf>
    <xf numFmtId="0" fontId="27" fillId="8" borderId="39" xfId="0" applyFont="1" applyFill="1" applyBorder="1" applyAlignment="1">
      <alignment wrapText="1"/>
    </xf>
    <xf numFmtId="1" fontId="26" fillId="0" borderId="24" xfId="0" applyNumberFormat="1" applyFont="1" applyBorder="1" applyAlignment="1">
      <alignment horizontal="center" wrapText="1"/>
    </xf>
    <xf numFmtId="1" fontId="27" fillId="0" borderId="6" xfId="0" applyNumberFormat="1" applyFont="1" applyBorder="1" applyAlignment="1">
      <alignment horizontal="center" vertical="center" wrapText="1"/>
    </xf>
    <xf numFmtId="1" fontId="26" fillId="0" borderId="6" xfId="0" applyNumberFormat="1" applyFont="1" applyBorder="1" applyAlignment="1">
      <alignment horizontal="center" wrapText="1"/>
    </xf>
    <xf numFmtId="1" fontId="26" fillId="0" borderId="4" xfId="0" applyNumberFormat="1" applyFont="1" applyBorder="1" applyAlignment="1">
      <alignment horizontal="center" wrapText="1"/>
    </xf>
    <xf numFmtId="0" fontId="26" fillId="0" borderId="40" xfId="0" applyFont="1" applyBorder="1" applyAlignment="1">
      <alignment horizontal="center" vertical="center" wrapText="1"/>
    </xf>
    <xf numFmtId="0" fontId="26" fillId="4" borderId="40" xfId="0" applyFont="1" applyFill="1" applyBorder="1" applyAlignment="1">
      <alignment horizontal="center" vertical="center" wrapText="1"/>
    </xf>
    <xf numFmtId="0" fontId="28" fillId="0" borderId="42" xfId="0" applyFont="1" applyBorder="1" applyAlignment="1">
      <alignment horizontal="center" vertical="center" wrapText="1"/>
    </xf>
    <xf numFmtId="0" fontId="25" fillId="0" borderId="34" xfId="0" applyFont="1" applyBorder="1" applyAlignment="1">
      <alignment horizontal="center" wrapText="1"/>
    </xf>
    <xf numFmtId="0" fontId="25" fillId="0" borderId="45" xfId="0" applyFont="1" applyBorder="1" applyAlignment="1">
      <alignment horizontal="center" vertical="center" wrapText="1"/>
    </xf>
    <xf numFmtId="0" fontId="25" fillId="0" borderId="43" xfId="1" applyFont="1" applyBorder="1" applyAlignment="1">
      <alignment horizontal="center" vertical="center" wrapText="1"/>
    </xf>
    <xf numFmtId="0" fontId="25" fillId="0" borderId="44" xfId="1" applyFont="1" applyBorder="1" applyAlignment="1">
      <alignment horizontal="center" vertical="center" wrapText="1"/>
    </xf>
    <xf numFmtId="0" fontId="26" fillId="4" borderId="45" xfId="0" applyFont="1" applyFill="1" applyBorder="1" applyAlignment="1">
      <alignment horizontal="center" vertical="center" wrapText="1"/>
    </xf>
    <xf numFmtId="0" fontId="25" fillId="0" borderId="43" xfId="0" applyFont="1" applyBorder="1" applyAlignment="1">
      <alignment horizontal="center" vertical="center" wrapText="1"/>
    </xf>
    <xf numFmtId="0" fontId="31" fillId="9" borderId="0" xfId="0" applyFont="1" applyFill="1" applyAlignment="1">
      <alignment horizontal="center" vertical="center" wrapText="1"/>
    </xf>
    <xf numFmtId="0" fontId="32" fillId="0" borderId="0" xfId="0" applyFont="1" applyAlignment="1">
      <alignment horizont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2" fillId="10" borderId="0" xfId="0" applyFont="1" applyFill="1" applyAlignment="1">
      <alignment horizontal="center"/>
    </xf>
    <xf numFmtId="0" fontId="32" fillId="3" borderId="0" xfId="0" applyFont="1" applyFill="1" applyAlignment="1">
      <alignment horizontal="center"/>
    </xf>
    <xf numFmtId="0" fontId="23" fillId="0" borderId="4" xfId="0" applyFont="1" applyBorder="1" applyAlignment="1">
      <alignment horizontal="center" vertical="center" wrapText="1"/>
    </xf>
    <xf numFmtId="0" fontId="21" fillId="4" borderId="0" xfId="0" applyFont="1" applyFill="1" applyAlignment="1">
      <alignment horizontal="center" vertical="center"/>
    </xf>
    <xf numFmtId="1" fontId="23" fillId="0" borderId="3" xfId="0" applyNumberFormat="1" applyFont="1" applyBorder="1" applyAlignment="1">
      <alignment horizontal="center" vertical="center" wrapText="1"/>
    </xf>
    <xf numFmtId="0" fontId="23" fillId="0" borderId="7" xfId="0" applyFont="1" applyBorder="1" applyAlignment="1">
      <alignment horizontal="center" vertical="center"/>
    </xf>
    <xf numFmtId="1" fontId="33" fillId="0" borderId="0" xfId="0" applyNumberFormat="1" applyFont="1" applyAlignment="1">
      <alignment horizontal="center" vertical="center"/>
    </xf>
    <xf numFmtId="2" fontId="31" fillId="9" borderId="0" xfId="0" applyNumberFormat="1" applyFont="1" applyFill="1" applyAlignment="1">
      <alignment horizontal="center" vertical="center" wrapText="1"/>
    </xf>
    <xf numFmtId="0" fontId="30" fillId="2" borderId="0" xfId="0" applyFont="1" applyFill="1" applyAlignment="1">
      <alignment horizontal="center" vertical="center"/>
    </xf>
    <xf numFmtId="0" fontId="0" fillId="5" borderId="0" xfId="0" applyFill="1" applyAlignment="1">
      <alignment horizontal="center" vertical="center"/>
    </xf>
    <xf numFmtId="0" fontId="35" fillId="6" borderId="0" xfId="0" applyFont="1" applyFill="1" applyAlignment="1">
      <alignment horizontal="center" vertical="center"/>
    </xf>
    <xf numFmtId="0" fontId="0" fillId="0" borderId="2" xfId="0" applyBorder="1" applyAlignment="1">
      <alignment horizontal="center" vertical="center"/>
    </xf>
    <xf numFmtId="0" fontId="36" fillId="0" borderId="0" xfId="4"/>
    <xf numFmtId="0" fontId="20" fillId="0" borderId="0" xfId="0" applyFont="1" applyAlignment="1">
      <alignment horizontal="center" vertical="center"/>
    </xf>
    <xf numFmtId="0" fontId="21" fillId="0" borderId="0" xfId="0" applyFont="1" applyAlignment="1">
      <alignment horizontal="center" vertical="center"/>
    </xf>
    <xf numFmtId="0" fontId="21" fillId="0" borderId="10"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cellXfs>
  <cellStyles count="5">
    <cellStyle name="Hyperlink" xfId="4" xr:uid="{00000000-000B-0000-0000-000008000000}"/>
    <cellStyle name="Normal" xfId="0" builtinId="0"/>
    <cellStyle name="Normal 2" xfId="1" xr:uid="{21EABC88-C788-48A3-9C14-24763E21B641}"/>
    <cellStyle name="Normal 4 2" xfId="2" xr:uid="{A705E92B-DEC7-4D9B-AF9C-AD828D454E4D}"/>
    <cellStyle name="Porcentaje 2" xfId="3" xr:uid="{F02F5F36-BF32-403B-A0BC-5B4602F0C14A}"/>
  </cellStyles>
  <dxfs count="48">
    <dxf>
      <font>
        <strike val="0"/>
        <outline val="0"/>
        <shadow val="0"/>
        <u val="none"/>
        <vertAlign val="baseline"/>
        <sz val="12"/>
        <color auto="1"/>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scheme val="minor"/>
      </font>
      <fill>
        <patternFill patternType="none">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2"/>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Calibri"/>
        <scheme val="minor"/>
      </font>
      <numFmt numFmtId="1" formatCode="0"/>
      <fill>
        <patternFill patternType="none">
          <fgColor indexed="64"/>
          <bgColor auto="1"/>
        </patternFill>
      </fill>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Bahnschrift Light"/>
        <family val="2"/>
        <scheme val="none"/>
      </font>
      <fill>
        <patternFill patternType="solid">
          <fgColor indexed="64"/>
          <bgColor rgb="FFFFFF00"/>
        </patternFill>
      </fill>
      <alignment horizontal="center"/>
    </dxf>
    <dxf>
      <font>
        <b val="0"/>
        <i val="0"/>
        <strike val="0"/>
        <condense val="0"/>
        <extend val="0"/>
        <outline val="0"/>
        <shadow val="0"/>
        <u val="none"/>
        <vertAlign val="baseline"/>
        <sz val="12"/>
        <color auto="1"/>
        <name val="Calibri"/>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medium">
          <color rgb="FF000000"/>
        </top>
      </border>
    </dxf>
    <dxf>
      <font>
        <strike val="0"/>
        <outline val="0"/>
        <shadow val="0"/>
        <u val="none"/>
        <vertAlign val="baseline"/>
        <sz val="12"/>
        <color auto="1"/>
        <name val="Calibri"/>
        <scheme val="none"/>
      </font>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2"/>
        <color theme="0"/>
        <name val="Calibri"/>
        <scheme val="minor"/>
      </font>
      <fill>
        <patternFill patternType="solid">
          <fgColor indexed="64"/>
          <bgColor rgb="FF002060"/>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72 Light"/>
        <family val="2"/>
        <scheme val="none"/>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72 Light"/>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72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medium">
          <color rgb="FF000000"/>
        </bottom>
      </border>
    </dxf>
    <dxf>
      <font>
        <strike val="0"/>
        <outline val="0"/>
        <shadow val="0"/>
        <vertAlign val="baseline"/>
        <sz val="10"/>
        <name val="72 Light"/>
        <family val="2"/>
        <scheme val="none"/>
      </font>
      <fill>
        <patternFill patternType="none">
          <bgColor auto="1"/>
        </patternFill>
      </fill>
      <alignment horizontal="left" textRotation="0" indent="0" justifyLastLine="0" shrinkToFit="0" readingOrder="0"/>
    </dxf>
    <dxf>
      <font>
        <b/>
        <i val="0"/>
        <strike val="0"/>
        <condense val="0"/>
        <extend val="0"/>
        <outline val="0"/>
        <shadow val="0"/>
        <u val="none"/>
        <vertAlign val="baseline"/>
        <sz val="12"/>
        <color theme="0"/>
        <name val="Bahnschrift Light"/>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font>
        <strike val="0"/>
        <outline val="0"/>
        <shadow val="0"/>
        <u val="none"/>
        <vertAlign val="baseline"/>
        <sz val="12"/>
        <color auto="1"/>
        <name val="Abad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2"/>
        <color auto="1"/>
        <name val="Abad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numFmt numFmtId="1" formatCode="0"/>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badi"/>
        <family val="2"/>
        <scheme val="none"/>
      </font>
      <fill>
        <patternFill patternType="solid">
          <fgColor indexed="64"/>
          <bgColor rgb="FFFFFF00"/>
        </patternFill>
      </fill>
      <alignment horizontal="center" vertical="center" textRotation="0" indent="0" justifyLastLine="0" shrinkToFit="0" readingOrder="0"/>
    </dxf>
    <dxf>
      <font>
        <b val="0"/>
        <i val="0"/>
        <strike val="0"/>
        <condense val="0"/>
        <extend val="0"/>
        <outline val="0"/>
        <shadow val="0"/>
        <u val="none"/>
        <vertAlign val="baseline"/>
        <sz val="12"/>
        <color auto="1"/>
        <name val="Abad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Abad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medium">
          <color indexed="64"/>
        </top>
      </border>
    </dxf>
    <dxf>
      <font>
        <strike val="0"/>
        <outline val="0"/>
        <shadow val="0"/>
        <u val="none"/>
        <vertAlign val="baseline"/>
        <sz val="12"/>
        <color auto="1"/>
        <name val="Abadi"/>
        <family val="2"/>
        <scheme val="none"/>
      </font>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2"/>
        <color theme="0"/>
        <name val="Abadi"/>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 Id="rId27"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165100</xdr:colOff>
      <xdr:row>2</xdr:row>
      <xdr:rowOff>177800</xdr:rowOff>
    </xdr:from>
    <xdr:to>
      <xdr:col>7</xdr:col>
      <xdr:colOff>165100</xdr:colOff>
      <xdr:row>16</xdr:row>
      <xdr:rowOff>123825</xdr:rowOff>
    </xdr:to>
    <mc:AlternateContent xmlns:mc="http://schemas.openxmlformats.org/markup-compatibility/2006" xmlns:a14="http://schemas.microsoft.com/office/drawing/2010/main">
      <mc:Choice Requires="a14">
        <xdr:graphicFrame macro="">
          <xdr:nvGraphicFramePr>
            <xdr:cNvPr id="2" name="DPTO">
              <a:extLst>
                <a:ext uri="{FF2B5EF4-FFF2-40B4-BE49-F238E27FC236}">
                  <a16:creationId xmlns:a16="http://schemas.microsoft.com/office/drawing/2014/main" id="{AD814AC1-CD0D-201C-0E88-A86CD1FAB76D}"/>
                </a:ext>
              </a:extLst>
            </xdr:cNvPr>
            <xdr:cNvGraphicFramePr/>
          </xdr:nvGraphicFramePr>
          <xdr:xfrm>
            <a:off x="0" y="0"/>
            <a:ext cx="0" cy="0"/>
          </xdr:xfrm>
          <a:graphic>
            <a:graphicData uri="http://schemas.microsoft.com/office/drawing/2010/slicer">
              <sle:slicer xmlns:sle="http://schemas.microsoft.com/office/drawing/2010/slicer" name="DPTO"/>
            </a:graphicData>
          </a:graphic>
        </xdr:graphicFrame>
      </mc:Choice>
      <mc:Fallback xmlns="">
        <xdr:sp macro="" textlink="">
          <xdr:nvSpPr>
            <xdr:cNvPr id="0" name=""/>
            <xdr:cNvSpPr>
              <a:spLocks noTextEdit="1"/>
            </xdr:cNvSpPr>
          </xdr:nvSpPr>
          <xdr:spPr>
            <a:xfrm>
              <a:off x="5092700" y="54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333375</xdr:colOff>
      <xdr:row>0</xdr:row>
      <xdr:rowOff>66675</xdr:rowOff>
    </xdr:from>
    <xdr:to>
      <xdr:col>2</xdr:col>
      <xdr:colOff>968827</xdr:colOff>
      <xdr:row>3</xdr:row>
      <xdr:rowOff>149225</xdr:rowOff>
    </xdr:to>
    <xdr:pic>
      <xdr:nvPicPr>
        <xdr:cNvPr id="2" name="Picture 1">
          <a:extLst>
            <a:ext uri="{FF2B5EF4-FFF2-40B4-BE49-F238E27FC236}">
              <a16:creationId xmlns:a16="http://schemas.microsoft.com/office/drawing/2014/main" id="{1A0ADFBA-BE1F-42B3-8772-B25163B714A5}"/>
            </a:ext>
          </a:extLst>
        </xdr:cNvPr>
        <xdr:cNvPicPr>
          <a:picLocks noChangeAspect="1"/>
        </xdr:cNvPicPr>
      </xdr:nvPicPr>
      <xdr:blipFill>
        <a:blip xmlns:r="http://schemas.openxmlformats.org/officeDocument/2006/relationships" r:embed="rId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428875" y="66675"/>
          <a:ext cx="635452" cy="6204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333375</xdr:colOff>
      <xdr:row>0</xdr:row>
      <xdr:rowOff>66675</xdr:rowOff>
    </xdr:from>
    <xdr:to>
      <xdr:col>2</xdr:col>
      <xdr:colOff>968827</xdr:colOff>
      <xdr:row>3</xdr:row>
      <xdr:rowOff>142875</xdr:rowOff>
    </xdr:to>
    <xdr:pic>
      <xdr:nvPicPr>
        <xdr:cNvPr id="2" name="Picture 1">
          <a:extLst>
            <a:ext uri="{FF2B5EF4-FFF2-40B4-BE49-F238E27FC236}">
              <a16:creationId xmlns:a16="http://schemas.microsoft.com/office/drawing/2014/main" id="{10498D0C-19DA-4832-82F4-CF436375D4D1}"/>
            </a:ext>
          </a:extLst>
        </xdr:cNvPr>
        <xdr:cNvPicPr>
          <a:picLocks noChangeAspect="1"/>
        </xdr:cNvPicPr>
      </xdr:nvPicPr>
      <xdr:blipFill>
        <a:blip xmlns:r="http://schemas.openxmlformats.org/officeDocument/2006/relationships" r:embed="rId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794635" y="66675"/>
          <a:ext cx="635452" cy="6172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nheuserbuschinbev-my.sharepoint.com/personal/mara_zaldivar_modelo_gmodelo_com_mx/Documents/PEOPLE/2.%20Seguimiento%20Regional/2.%20Avances%20Regional/ZAC/Template%20Cronograma%20QUAS%20Y%20ATO%20ZAC.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riley/AppData/Local/Microsoft/Windows/Temporary%20Internet%20Files/Content.Outlook/G5YOG4UB/C2019%20Target%20setting%20Database%20Template.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nheuserbuschinbev-my.sharepoint.com/personal/jhovany_quiroz_modelo_gmodelo_com_mx/Documents/Jhovany/Documents/Doc%20tete/Equipos%20autonomos%20Envasado%202026.xlsx" TargetMode="External"/><Relationship Id="rId1" Type="http://schemas.openxmlformats.org/officeDocument/2006/relationships/externalLinkPath" Target="https://anheuserbuschinbev-my.sharepoint.com/personal/jhovany_quiroz_modelo_gmodelo_com_mx/Documents/Jhovany/Documents/Doc%20tete/Equipos%20autonomos%20Envasad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NTT - QUAS"/>
      <sheetName val="GANTT - ATO"/>
      <sheetName val="BACK"/>
      <sheetName val="EQUIPOS TORREON"/>
      <sheetName val="EQUIPOS GDL"/>
      <sheetName val="EQUIPOS DE MEDICIÓN"/>
      <sheetName val="EQUIPOS MZN"/>
      <sheetName val="Sheet3"/>
      <sheetName val="MAZATLÁN"/>
      <sheetName val="EQUIPOS ZAC"/>
      <sheetName val="MARA"/>
      <sheetName val="ZACATECAS"/>
      <sheetName val="Sheet4"/>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IVOT"/>
      <sheetName val="plant PIVOT"/>
      <sheetName val="STD Hl Calc"/>
      <sheetName val="C2018 PROD Volumes Planned"/>
      <sheetName val="DATABASE"/>
      <sheetName val="PIVOT BOP"/>
      <sheetName val="Sheet1"/>
      <sheetName val="BOP List"/>
      <sheetName val="Template"/>
      <sheetName val="2019 Targets Template"/>
      <sheetName val="RollUp Std hl ex zim"/>
      <sheetName val="RollUp Beer vol ex Zim"/>
      <sheetName val="C2018_PROD_Volumes_Planned"/>
      <sheetName val="Lista"/>
      <sheetName val="plant_PIVOT"/>
      <sheetName val="STD_Hl_Calc"/>
      <sheetName val="PIVOT_BOP"/>
      <sheetName val="BOP_List"/>
      <sheetName val="2019_Targets_Template"/>
      <sheetName val="RollUp_Std_hl_ex_zim"/>
      <sheetName val="RollUp_Beer_vol_ex_Zim"/>
      <sheetName val="plant_PIVOT1"/>
      <sheetName val="STD_Hl_Calc1"/>
      <sheetName val="C2018_PROD_Volumes_Planned1"/>
      <sheetName val="PIVOT_BOP1"/>
      <sheetName val="BOP_List1"/>
      <sheetName val="2019_Targets_Template1"/>
      <sheetName val="RollUp_Std_hl_ex_zim1"/>
      <sheetName val="RollUp_Beer_vol_ex_Zim1"/>
      <sheetName val="plant_PIVOT2"/>
      <sheetName val="STD_Hl_Calc2"/>
      <sheetName val="C2018_PROD_Volumes_Planned2"/>
      <sheetName val="PIVOT_BOP2"/>
      <sheetName val="BOP_List2"/>
      <sheetName val="2019_Targets_Template2"/>
      <sheetName val="RollUp_Std_hl_ex_zim2"/>
      <sheetName val="RollUp_Beer_vol_ex_Zim2"/>
      <sheetName val="Hoja1"/>
      <sheetName val="plant_PIVOT8"/>
      <sheetName val="STD_Hl_Calc8"/>
      <sheetName val="C2018_PROD_Volumes_Planned8"/>
      <sheetName val="PIVOT_BOP8"/>
      <sheetName val="BOP_List8"/>
      <sheetName val="2019_Targets_Template8"/>
      <sheetName val="RollUp_Std_hl_ex_zim8"/>
      <sheetName val="RollUp_Beer_vol_ex_Zim8"/>
      <sheetName val="plant_PIVOT3"/>
      <sheetName val="STD_Hl_Calc3"/>
      <sheetName val="C2018_PROD_Volumes_Planned3"/>
      <sheetName val="PIVOT_BOP3"/>
      <sheetName val="BOP_List3"/>
      <sheetName val="2019_Targets_Template3"/>
      <sheetName val="RollUp_Std_hl_ex_zim3"/>
      <sheetName val="RollUp_Beer_vol_ex_Zim3"/>
      <sheetName val="plant_PIVOT7"/>
      <sheetName val="STD_Hl_Calc7"/>
      <sheetName val="C2018_PROD_Volumes_Planned7"/>
      <sheetName val="PIVOT_BOP7"/>
      <sheetName val="BOP_List7"/>
      <sheetName val="2019_Targets_Template7"/>
      <sheetName val="RollUp_Std_hl_ex_zim7"/>
      <sheetName val="RollUp_Beer_vol_ex_Zim7"/>
      <sheetName val="plant_PIVOT4"/>
      <sheetName val="STD_Hl_Calc4"/>
      <sheetName val="C2018_PROD_Volumes_Planned4"/>
      <sheetName val="PIVOT_BOP4"/>
      <sheetName val="BOP_List4"/>
      <sheetName val="2019_Targets_Template4"/>
      <sheetName val="RollUp_Std_hl_ex_zim4"/>
      <sheetName val="RollUp_Beer_vol_ex_Zim4"/>
      <sheetName val="plant_PIVOT6"/>
      <sheetName val="STD_Hl_Calc6"/>
      <sheetName val="C2018_PROD_Volumes_Planned6"/>
      <sheetName val="PIVOT_BOP6"/>
      <sheetName val="BOP_List6"/>
      <sheetName val="2019_Targets_Template6"/>
      <sheetName val="RollUp_Std_hl_ex_zim6"/>
      <sheetName val="RollUp_Beer_vol_ex_Zim6"/>
      <sheetName val="plant_PIVOT5"/>
      <sheetName val="STD_Hl_Calc5"/>
      <sheetName val="C2018_PROD_Volumes_Planned5"/>
      <sheetName val="PIVOT_BOP5"/>
      <sheetName val="BOP_List5"/>
      <sheetName val="2019_Targets_Template5"/>
      <sheetName val="RollUp_Std_hl_ex_zim5"/>
      <sheetName val="RollUp_Beer_vol_ex_Zim5"/>
      <sheetName val="plant_PIVOT9"/>
      <sheetName val="STD_Hl_Calc9"/>
      <sheetName val="C2018_PROD_Volumes_Planned9"/>
      <sheetName val="PIVOT_BOP9"/>
      <sheetName val="BOP_List9"/>
      <sheetName val="2019_Targets_Template9"/>
      <sheetName val="RollUp_Std_hl_ex_zim9"/>
      <sheetName val="RollUp_Beer_vol_ex_Zim9"/>
      <sheetName val="plant_PIVOT10"/>
      <sheetName val="STD_Hl_Calc10"/>
      <sheetName val="C2018_PROD_Volumes_Planned10"/>
      <sheetName val="PIVOT_BOP10"/>
      <sheetName val="BOP_List10"/>
      <sheetName val="2019_Targets_Template10"/>
      <sheetName val="RollUp_Std_hl_ex_zim10"/>
      <sheetName val="RollUp_Beer_vol_ex_Zim10"/>
      <sheetName val="plant_PIVOT11"/>
      <sheetName val="STD_Hl_Calc11"/>
      <sheetName val="C2018_PROD_Volumes_Planned11"/>
      <sheetName val="PIVOT_BOP11"/>
      <sheetName val="BOP_List11"/>
      <sheetName val="2019_Targets_Template11"/>
      <sheetName val="RollUp_Std_hl_ex_zim11"/>
      <sheetName val="RollUp_Beer_vol_ex_Zim11"/>
      <sheetName val="plant_PIVOT12"/>
      <sheetName val="STD_Hl_Calc12"/>
      <sheetName val="C2018_PROD_Volumes_Planned12"/>
      <sheetName val="PIVOT_BOP12"/>
      <sheetName val="BOP_List12"/>
      <sheetName val="2019_Targets_Template12"/>
      <sheetName val="RollUp_Std_hl_ex_zim12"/>
      <sheetName val="RollUp_Beer_vol_ex_Zim1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RELACION GENERAL"/>
      <sheetName val="RELACION EQUIPOS AUTO PEO"/>
      <sheetName val="Hoja2"/>
    </sheetNames>
    <sheetDataSet>
      <sheetData sheetId="0" refreshError="1"/>
      <sheetData sheetId="1" refreshError="1"/>
      <sheetData sheetId="2">
        <row r="5">
          <cell r="C5">
            <v>32046175</v>
          </cell>
          <cell r="D5" t="str">
            <v>Cruz Muro Tovar</v>
          </cell>
          <cell r="E5" t="str">
            <v xml:space="preserve">CONEJOS </v>
          </cell>
          <cell r="F5">
            <v>1</v>
          </cell>
        </row>
        <row r="6">
          <cell r="C6">
            <v>32046354</v>
          </cell>
          <cell r="D6" t="str">
            <v>Javier Manriquez Aguilar</v>
          </cell>
          <cell r="E6" t="str">
            <v xml:space="preserve">CONEJOS </v>
          </cell>
          <cell r="F6">
            <v>1</v>
          </cell>
        </row>
        <row r="7">
          <cell r="C7">
            <v>32067736</v>
          </cell>
          <cell r="D7" t="str">
            <v>Jose Ricardo Reyes Cardona</v>
          </cell>
          <cell r="E7" t="str">
            <v xml:space="preserve">CONEJOS </v>
          </cell>
          <cell r="F7">
            <v>1</v>
          </cell>
        </row>
        <row r="8">
          <cell r="C8">
            <v>32136855</v>
          </cell>
          <cell r="D8" t="str">
            <v>Luis Carlos Vazquez Castañeda</v>
          </cell>
          <cell r="E8" t="str">
            <v xml:space="preserve">CONEJOS </v>
          </cell>
          <cell r="F8">
            <v>1</v>
          </cell>
        </row>
        <row r="9">
          <cell r="C9">
            <v>32046253</v>
          </cell>
          <cell r="D9" t="str">
            <v>Mario Armendariz Raudales</v>
          </cell>
          <cell r="E9" t="str">
            <v xml:space="preserve">CONEJOS </v>
          </cell>
          <cell r="F9">
            <v>1</v>
          </cell>
        </row>
        <row r="10">
          <cell r="C10">
            <v>32057054</v>
          </cell>
          <cell r="D10" t="str">
            <v>Jose Alfredo Esparza</v>
          </cell>
          <cell r="E10" t="str">
            <v xml:space="preserve">CONEJOS </v>
          </cell>
          <cell r="F10">
            <v>1</v>
          </cell>
        </row>
        <row r="11">
          <cell r="C11">
            <v>32107322</v>
          </cell>
          <cell r="D11" t="str">
            <v>Gabriel Salazar Gamez</v>
          </cell>
          <cell r="E11" t="str">
            <v xml:space="preserve">EXOTICOS </v>
          </cell>
          <cell r="F11">
            <v>1</v>
          </cell>
        </row>
        <row r="12">
          <cell r="C12">
            <v>32131837</v>
          </cell>
          <cell r="D12" t="str">
            <v>Ignacio Murillo Pinedo</v>
          </cell>
          <cell r="E12" t="str">
            <v xml:space="preserve">EXOTICOS </v>
          </cell>
          <cell r="F12">
            <v>1</v>
          </cell>
        </row>
        <row r="13">
          <cell r="C13">
            <v>32145468</v>
          </cell>
          <cell r="D13" t="str">
            <v>Gustavo Angel Huerta Soto</v>
          </cell>
          <cell r="E13" t="str">
            <v xml:space="preserve">EXOTICOS </v>
          </cell>
          <cell r="F13">
            <v>1</v>
          </cell>
        </row>
        <row r="14">
          <cell r="C14">
            <v>32046388</v>
          </cell>
          <cell r="D14" t="str">
            <v>Armando Roman Sanchez</v>
          </cell>
          <cell r="E14" t="str">
            <v xml:space="preserve">EXOTICOS </v>
          </cell>
          <cell r="F14">
            <v>1</v>
          </cell>
        </row>
        <row r="15">
          <cell r="C15">
            <v>32046339</v>
          </cell>
          <cell r="D15" t="str">
            <v>Alejandro Puente Del Rio</v>
          </cell>
          <cell r="E15" t="str">
            <v xml:space="preserve">EXOTICOS </v>
          </cell>
          <cell r="F15">
            <v>1</v>
          </cell>
        </row>
        <row r="16">
          <cell r="C16">
            <v>32143041</v>
          </cell>
          <cell r="D16" t="str">
            <v>Jose Isabel Rodriguez De La Cruz</v>
          </cell>
          <cell r="E16" t="str">
            <v xml:space="preserve">EXOTICOS </v>
          </cell>
          <cell r="F16">
            <v>1</v>
          </cell>
        </row>
        <row r="17">
          <cell r="C17">
            <v>32046582</v>
          </cell>
          <cell r="D17" t="str">
            <v>Luis Daniel Femat Ramirez</v>
          </cell>
          <cell r="E17" t="str">
            <v xml:space="preserve">MAPACHES </v>
          </cell>
          <cell r="F17">
            <v>1</v>
          </cell>
        </row>
        <row r="18">
          <cell r="C18">
            <v>32044863</v>
          </cell>
          <cell r="D18" t="str">
            <v>Manuel Cervantes</v>
          </cell>
          <cell r="E18" t="str">
            <v xml:space="preserve">MAPACHES </v>
          </cell>
          <cell r="F18">
            <v>1</v>
          </cell>
        </row>
        <row r="19">
          <cell r="C19">
            <v>32132064</v>
          </cell>
          <cell r="D19" t="str">
            <v>David Ismael Torres Ortiz</v>
          </cell>
          <cell r="E19" t="str">
            <v xml:space="preserve">MAPACHES </v>
          </cell>
          <cell r="F19">
            <v>1</v>
          </cell>
        </row>
        <row r="20">
          <cell r="C20">
            <v>32197891</v>
          </cell>
          <cell r="D20" t="str">
            <v>Jorge Luis Vazquez</v>
          </cell>
          <cell r="E20" t="str">
            <v xml:space="preserve">MAPACHES </v>
          </cell>
          <cell r="F20">
            <v>1</v>
          </cell>
        </row>
        <row r="21">
          <cell r="C21">
            <v>32046520</v>
          </cell>
          <cell r="D21" t="str">
            <v>Alberto Villareal</v>
          </cell>
          <cell r="E21" t="str">
            <v xml:space="preserve">MAPACHES </v>
          </cell>
          <cell r="F21">
            <v>1</v>
          </cell>
        </row>
        <row r="22">
          <cell r="C22">
            <v>32045229</v>
          </cell>
          <cell r="D22" t="str">
            <v>RAMIRO DIAZ MORENO</v>
          </cell>
          <cell r="E22" t="str">
            <v xml:space="preserve">MAPACHES </v>
          </cell>
          <cell r="F22">
            <v>1</v>
          </cell>
        </row>
        <row r="23">
          <cell r="C23">
            <v>32044535</v>
          </cell>
          <cell r="D23" t="str">
            <v>Filiberto Soriano Cuellar</v>
          </cell>
          <cell r="E23" t="str">
            <v xml:space="preserve">AGUILAS </v>
          </cell>
          <cell r="F23">
            <v>2</v>
          </cell>
        </row>
        <row r="24">
          <cell r="C24">
            <v>32060912</v>
          </cell>
          <cell r="D24" t="str">
            <v xml:space="preserve">Mario Ambriz Marquez </v>
          </cell>
          <cell r="E24" t="str">
            <v xml:space="preserve">AGUILAS </v>
          </cell>
          <cell r="F24">
            <v>2</v>
          </cell>
        </row>
        <row r="25">
          <cell r="C25">
            <v>32067355</v>
          </cell>
          <cell r="D25" t="str">
            <v>Hector Lenin Reyes Hernandez</v>
          </cell>
          <cell r="E25" t="str">
            <v xml:space="preserve">AGUILAS </v>
          </cell>
          <cell r="F25">
            <v>2</v>
          </cell>
        </row>
        <row r="26">
          <cell r="C26">
            <v>32061471</v>
          </cell>
          <cell r="D26" t="str">
            <v>Oscar Sustaita Martinez</v>
          </cell>
          <cell r="E26" t="str">
            <v xml:space="preserve">AGUILAS </v>
          </cell>
          <cell r="F26">
            <v>2</v>
          </cell>
        </row>
        <row r="27">
          <cell r="C27">
            <v>32197846</v>
          </cell>
          <cell r="D27" t="str">
            <v xml:space="preserve">Juan Sebastian Roman </v>
          </cell>
          <cell r="E27" t="str">
            <v xml:space="preserve">AGUILAS </v>
          </cell>
          <cell r="F27">
            <v>2</v>
          </cell>
        </row>
        <row r="28">
          <cell r="C28">
            <v>32188121</v>
          </cell>
          <cell r="D28" t="str">
            <v xml:space="preserve">Juan Alamillo Montes </v>
          </cell>
          <cell r="E28" t="str">
            <v xml:space="preserve">AGUILAS </v>
          </cell>
          <cell r="F28">
            <v>2</v>
          </cell>
        </row>
        <row r="29">
          <cell r="C29">
            <v>32045763</v>
          </cell>
          <cell r="D29" t="str">
            <v>GOMEZ RAMOS LUIS</v>
          </cell>
          <cell r="E29" t="str">
            <v xml:space="preserve">AGUILAS </v>
          </cell>
          <cell r="F29">
            <v>2</v>
          </cell>
        </row>
        <row r="30">
          <cell r="C30">
            <v>32198267</v>
          </cell>
          <cell r="D30" t="str">
            <v>Alejandro Cardenas Macias</v>
          </cell>
          <cell r="E30" t="str">
            <v xml:space="preserve">KAPASES </v>
          </cell>
          <cell r="F30">
            <v>2</v>
          </cell>
        </row>
        <row r="31">
          <cell r="C31">
            <v>32131821</v>
          </cell>
          <cell r="D31" t="str">
            <v xml:space="preserve">Ivan Ortiz Martinez </v>
          </cell>
          <cell r="E31" t="str">
            <v xml:space="preserve">KAPASES </v>
          </cell>
          <cell r="F31">
            <v>2</v>
          </cell>
        </row>
        <row r="32">
          <cell r="C32">
            <v>32046406</v>
          </cell>
          <cell r="D32" t="str">
            <v>Jesus Varela</v>
          </cell>
          <cell r="E32" t="str">
            <v xml:space="preserve">KAPASES </v>
          </cell>
          <cell r="F32">
            <v>2</v>
          </cell>
        </row>
        <row r="33">
          <cell r="C33">
            <v>32044448</v>
          </cell>
          <cell r="D33" t="str">
            <v>Julio Cesar Macias</v>
          </cell>
          <cell r="E33" t="str">
            <v xml:space="preserve">KAPASES </v>
          </cell>
          <cell r="F33">
            <v>2</v>
          </cell>
        </row>
        <row r="34">
          <cell r="C34">
            <v>32155897</v>
          </cell>
          <cell r="D34" t="str">
            <v xml:space="preserve">Helder Alejandro Gomez </v>
          </cell>
          <cell r="E34" t="str">
            <v xml:space="preserve">KAPASES </v>
          </cell>
          <cell r="F34">
            <v>2</v>
          </cell>
        </row>
        <row r="35">
          <cell r="C35">
            <v>32044113</v>
          </cell>
          <cell r="D35" t="str">
            <v>J. Jesus Reyes Campos</v>
          </cell>
          <cell r="E35" t="str">
            <v xml:space="preserve">CHANGOS </v>
          </cell>
          <cell r="F35">
            <v>2</v>
          </cell>
        </row>
        <row r="36">
          <cell r="C36">
            <v>32044609</v>
          </cell>
          <cell r="D36" t="str">
            <v>Ismael Sanchez Rodriguez</v>
          </cell>
          <cell r="E36" t="str">
            <v xml:space="preserve">CHANGOS </v>
          </cell>
          <cell r="F36">
            <v>2</v>
          </cell>
        </row>
        <row r="37">
          <cell r="C37">
            <v>32188131</v>
          </cell>
          <cell r="D37" t="str">
            <v>Adrian Moreno Martinez</v>
          </cell>
          <cell r="E37" t="str">
            <v xml:space="preserve">CHANGOS </v>
          </cell>
          <cell r="F37">
            <v>2</v>
          </cell>
        </row>
        <row r="38">
          <cell r="C38">
            <v>32148618</v>
          </cell>
          <cell r="D38" t="str">
            <v>Omar Torres Zapata</v>
          </cell>
          <cell r="E38" t="str">
            <v xml:space="preserve">CHANGOS </v>
          </cell>
          <cell r="F38">
            <v>2</v>
          </cell>
        </row>
        <row r="39">
          <cell r="C39">
            <v>32199334</v>
          </cell>
          <cell r="D39" t="str">
            <v>Carlos Alberto Alvarez</v>
          </cell>
          <cell r="E39" t="str">
            <v xml:space="preserve">CHANGOS </v>
          </cell>
          <cell r="F39">
            <v>2</v>
          </cell>
        </row>
        <row r="40">
          <cell r="C40">
            <v>32046313</v>
          </cell>
          <cell r="D40" t="str">
            <v>Jaime Noel Arteaga Jacobo</v>
          </cell>
          <cell r="E40" t="str">
            <v xml:space="preserve">CAPRICHOS </v>
          </cell>
          <cell r="F40">
            <v>2</v>
          </cell>
        </row>
        <row r="41">
          <cell r="C41">
            <v>32060923</v>
          </cell>
          <cell r="D41" t="str">
            <v xml:space="preserve">Hilario Ruelas Chavez </v>
          </cell>
          <cell r="E41" t="str">
            <v xml:space="preserve">CAPRICHOS </v>
          </cell>
          <cell r="F41">
            <v>2</v>
          </cell>
        </row>
        <row r="42">
          <cell r="C42">
            <v>32044001</v>
          </cell>
          <cell r="D42" t="str">
            <v xml:space="preserve">Uriel  Santacruz Pacheco </v>
          </cell>
          <cell r="E42" t="str">
            <v xml:space="preserve">CAPRICHOS </v>
          </cell>
          <cell r="F42">
            <v>2</v>
          </cell>
        </row>
        <row r="43">
          <cell r="C43">
            <v>32046293</v>
          </cell>
          <cell r="D43" t="str">
            <v>Ignacio Esacreño Carrillo</v>
          </cell>
          <cell r="E43" t="str">
            <v xml:space="preserve">CAPRICHOS </v>
          </cell>
          <cell r="F43">
            <v>2</v>
          </cell>
        </row>
        <row r="44">
          <cell r="C44">
            <v>32198288</v>
          </cell>
          <cell r="D44" t="str">
            <v xml:space="preserve">Jose M. Castillo </v>
          </cell>
          <cell r="E44" t="str">
            <v xml:space="preserve">CAPRICHOS </v>
          </cell>
          <cell r="F44">
            <v>2</v>
          </cell>
        </row>
        <row r="45">
          <cell r="C45">
            <v>32046028</v>
          </cell>
          <cell r="D45" t="str">
            <v>Manuel Garcia Gonzalez</v>
          </cell>
          <cell r="E45" t="str">
            <v xml:space="preserve">CAPRICHOS </v>
          </cell>
          <cell r="F45">
            <v>2</v>
          </cell>
        </row>
        <row r="46">
          <cell r="C46">
            <v>32044673</v>
          </cell>
          <cell r="D46" t="str">
            <v>MONTENEGRO CUELLAR JORGE</v>
          </cell>
          <cell r="E46" t="str">
            <v xml:space="preserve">BUD LIGHTYEAR </v>
          </cell>
          <cell r="F46">
            <v>3</v>
          </cell>
        </row>
        <row r="47">
          <cell r="C47">
            <v>32045487</v>
          </cell>
          <cell r="D47" t="str">
            <v>LUIS PAULO SANDOVAL CORTES</v>
          </cell>
          <cell r="E47" t="str">
            <v xml:space="preserve">BUD LIGHTYEAR </v>
          </cell>
          <cell r="F47">
            <v>3</v>
          </cell>
        </row>
        <row r="48">
          <cell r="C48">
            <v>32045727</v>
          </cell>
          <cell r="D48" t="str">
            <v>OROZCO MALDONADO JOSE</v>
          </cell>
          <cell r="E48" t="str">
            <v xml:space="preserve">BUD LIGHTYEAR </v>
          </cell>
          <cell r="F48">
            <v>3</v>
          </cell>
        </row>
        <row r="49">
          <cell r="C49">
            <v>32066826</v>
          </cell>
          <cell r="D49" t="str">
            <v>OLIVARES DUE?AS ANTONIO</v>
          </cell>
          <cell r="E49" t="str">
            <v xml:space="preserve">BUD LIGHTYEAR </v>
          </cell>
          <cell r="F49">
            <v>3</v>
          </cell>
        </row>
        <row r="50">
          <cell r="C50">
            <v>32132577</v>
          </cell>
          <cell r="D50" t="str">
            <v>ANGUIANO RAYGOZA GERARDO IGNACIO</v>
          </cell>
          <cell r="E50" t="str">
            <v xml:space="preserve">BUD LIGHTYEAR </v>
          </cell>
          <cell r="F50">
            <v>3</v>
          </cell>
        </row>
        <row r="51">
          <cell r="C51">
            <v>32198280</v>
          </cell>
          <cell r="D51" t="str">
            <v>GUADALUPE VALADEZ DE LA CRUZ</v>
          </cell>
          <cell r="E51" t="str">
            <v xml:space="preserve">BUD LIGHTYEAR </v>
          </cell>
          <cell r="F51">
            <v>3</v>
          </cell>
        </row>
        <row r="52">
          <cell r="C52">
            <v>32202296</v>
          </cell>
          <cell r="D52" t="str">
            <v>ORTIZ CASTILLO SAUL DE JESUS</v>
          </cell>
          <cell r="E52" t="str">
            <v xml:space="preserve">BUD LIGHTYEAR </v>
          </cell>
          <cell r="F52">
            <v>3</v>
          </cell>
        </row>
        <row r="53">
          <cell r="C53">
            <v>32198295</v>
          </cell>
          <cell r="D53" t="str">
            <v>MARGARITA TORRES RUIZ</v>
          </cell>
          <cell r="E53" t="str">
            <v xml:space="preserve">BUD LIGHTYEAR </v>
          </cell>
          <cell r="F53">
            <v>3</v>
          </cell>
        </row>
        <row r="54">
          <cell r="C54">
            <v>32043938</v>
          </cell>
          <cell r="D54" t="str">
            <v>RODOLFO SALAZAR DE LA TORRE</v>
          </cell>
          <cell r="E54" t="str">
            <v xml:space="preserve">LINCES </v>
          </cell>
          <cell r="F54">
            <v>3</v>
          </cell>
        </row>
        <row r="55">
          <cell r="C55">
            <v>32044283</v>
          </cell>
          <cell r="D55" t="str">
            <v>ROJAS LOPEZ JUAN CARLOS</v>
          </cell>
          <cell r="E55" t="str">
            <v xml:space="preserve">LINCES </v>
          </cell>
          <cell r="F55">
            <v>3</v>
          </cell>
        </row>
        <row r="56">
          <cell r="C56">
            <v>32044951</v>
          </cell>
          <cell r="D56" t="str">
            <v>JIMENEZ MARTINEZ DAVID</v>
          </cell>
          <cell r="E56" t="str">
            <v xml:space="preserve">LINCES </v>
          </cell>
          <cell r="F56">
            <v>3</v>
          </cell>
        </row>
        <row r="57">
          <cell r="C57">
            <v>32045054</v>
          </cell>
          <cell r="D57" t="str">
            <v>RAMIREZ TORRES ISIDORO</v>
          </cell>
          <cell r="E57" t="str">
            <v xml:space="preserve">LINCES </v>
          </cell>
          <cell r="F57">
            <v>3</v>
          </cell>
        </row>
        <row r="58">
          <cell r="C58">
            <v>32150512</v>
          </cell>
          <cell r="D58" t="str">
            <v>ESTEBAN REYES IBARRA</v>
          </cell>
          <cell r="E58" t="str">
            <v xml:space="preserve">LINCES </v>
          </cell>
          <cell r="F58">
            <v>3</v>
          </cell>
        </row>
        <row r="59">
          <cell r="C59">
            <v>32198302</v>
          </cell>
          <cell r="D59" t="str">
            <v>MARLA GUADALUPE LIRA BAÑUELOS</v>
          </cell>
          <cell r="E59" t="str">
            <v xml:space="preserve">LINCES </v>
          </cell>
          <cell r="F59">
            <v>3</v>
          </cell>
        </row>
        <row r="60">
          <cell r="C60">
            <v>32198290</v>
          </cell>
          <cell r="D60" t="str">
            <v xml:space="preserve">LIDIA SELENE RIVAS LANDEROS  </v>
          </cell>
          <cell r="E60" t="str">
            <v xml:space="preserve">LINCES </v>
          </cell>
          <cell r="F60">
            <v>3</v>
          </cell>
        </row>
        <row r="61">
          <cell r="C61">
            <v>32198296</v>
          </cell>
          <cell r="D61" t="str">
            <v xml:space="preserve">MARIA DE JESUS RIVAS LANDEROS </v>
          </cell>
          <cell r="E61" t="str">
            <v xml:space="preserve">LINCES </v>
          </cell>
          <cell r="F61">
            <v>3</v>
          </cell>
        </row>
        <row r="62">
          <cell r="C62">
            <v>32044830</v>
          </cell>
          <cell r="D62" t="str">
            <v>DOMINGUEZ RODRIGUEZ MANUEL</v>
          </cell>
          <cell r="E62" t="str">
            <v xml:space="preserve">BEER LOVERS </v>
          </cell>
          <cell r="F62">
            <v>3</v>
          </cell>
        </row>
        <row r="63">
          <cell r="C63">
            <v>32045522</v>
          </cell>
          <cell r="D63" t="str">
            <v xml:space="preserve">MARCELO DEL REAL MARQUEZ </v>
          </cell>
          <cell r="E63" t="str">
            <v xml:space="preserve">BEER LOVERS </v>
          </cell>
          <cell r="F63">
            <v>3</v>
          </cell>
        </row>
        <row r="64">
          <cell r="C64">
            <v>32046025</v>
          </cell>
          <cell r="D64" t="str">
            <v>LOPEZ VAZQUEZ HUMBERTO</v>
          </cell>
          <cell r="E64" t="str">
            <v xml:space="preserve">BEER LOVERS </v>
          </cell>
          <cell r="F64">
            <v>3</v>
          </cell>
        </row>
        <row r="65">
          <cell r="C65">
            <v>32046634</v>
          </cell>
          <cell r="D65" t="str">
            <v>DEL RIO CASTILLO SAMUEL</v>
          </cell>
          <cell r="E65" t="str">
            <v xml:space="preserve">BEER LOVERS </v>
          </cell>
          <cell r="F65">
            <v>3</v>
          </cell>
        </row>
        <row r="66">
          <cell r="C66">
            <v>32065049</v>
          </cell>
          <cell r="D66" t="str">
            <v>SAUCEDO VALENZUELA JUAN ANTONIO</v>
          </cell>
          <cell r="E66" t="str">
            <v xml:space="preserve">BEER LOVERS </v>
          </cell>
          <cell r="F66">
            <v>3</v>
          </cell>
        </row>
        <row r="67">
          <cell r="C67">
            <v>32132584</v>
          </cell>
          <cell r="D67" t="str">
            <v>LEYVA ESCARCIA LUIS ALBERTO</v>
          </cell>
          <cell r="E67" t="str">
            <v xml:space="preserve">BEER LOVERS </v>
          </cell>
          <cell r="F67">
            <v>3</v>
          </cell>
        </row>
        <row r="68">
          <cell r="C68">
            <v>32143282</v>
          </cell>
          <cell r="D68" t="str">
            <v>ELICERIO ORTIZ JOSE IGNACIO</v>
          </cell>
          <cell r="E68" t="str">
            <v xml:space="preserve">BEER LOVERS </v>
          </cell>
          <cell r="F68">
            <v>3</v>
          </cell>
        </row>
        <row r="69">
          <cell r="C69">
            <v>32198303</v>
          </cell>
          <cell r="D69" t="str">
            <v>NORMA RUTH REGIS</v>
          </cell>
          <cell r="E69" t="str">
            <v xml:space="preserve">BEER LOVERS </v>
          </cell>
          <cell r="F69">
            <v>3</v>
          </cell>
        </row>
        <row r="70">
          <cell r="C70">
            <v>32046165</v>
          </cell>
          <cell r="D70" t="str">
            <v>ALVARADO MORALES VENANCIO</v>
          </cell>
          <cell r="E70" t="str">
            <v xml:space="preserve">INMORTALES </v>
          </cell>
          <cell r="F70">
            <v>4</v>
          </cell>
        </row>
        <row r="71">
          <cell r="C71">
            <v>32044201</v>
          </cell>
          <cell r="D71" t="str">
            <v>MUÑOZ MARTINEZ J GUADALUPE</v>
          </cell>
          <cell r="E71" t="str">
            <v xml:space="preserve">INMORTALES </v>
          </cell>
          <cell r="F71">
            <v>4</v>
          </cell>
        </row>
        <row r="72">
          <cell r="C72">
            <v>32045593</v>
          </cell>
          <cell r="D72" t="str">
            <v>JUAN CARLOS DE LA CRUZ DE LA CUZ</v>
          </cell>
          <cell r="E72" t="str">
            <v xml:space="preserve">INMORTALES </v>
          </cell>
          <cell r="F72">
            <v>4</v>
          </cell>
        </row>
        <row r="73">
          <cell r="C73">
            <v>32044554</v>
          </cell>
          <cell r="D73" t="str">
            <v>RECENDEZ TAPIA RIGOBERTO</v>
          </cell>
          <cell r="E73" t="str">
            <v xml:space="preserve">INMORTALES </v>
          </cell>
          <cell r="F73">
            <v>4</v>
          </cell>
        </row>
        <row r="74">
          <cell r="C74">
            <v>32063475</v>
          </cell>
          <cell r="D74" t="str">
            <v>BIACHE AVILA J JESUS</v>
          </cell>
          <cell r="E74" t="str">
            <v xml:space="preserve">INMORTALES </v>
          </cell>
          <cell r="F74">
            <v>4</v>
          </cell>
        </row>
        <row r="75">
          <cell r="C75">
            <v>32044946</v>
          </cell>
          <cell r="D75" t="str">
            <v>TORRES BAEZ MIGUEL</v>
          </cell>
          <cell r="E75" t="str">
            <v xml:space="preserve">INMORTALES </v>
          </cell>
          <cell r="F75">
            <v>4</v>
          </cell>
        </row>
        <row r="76">
          <cell r="C76">
            <v>32046511</v>
          </cell>
          <cell r="D76" t="str">
            <v>MENDEZ AVILA JUAN LUIS</v>
          </cell>
          <cell r="E76" t="str">
            <v xml:space="preserve">INMORTALES </v>
          </cell>
          <cell r="F76">
            <v>4</v>
          </cell>
        </row>
        <row r="77">
          <cell r="C77">
            <v>32045754</v>
          </cell>
          <cell r="D77" t="str">
            <v>HERNANDEZ VALDEZ MANUEL</v>
          </cell>
          <cell r="E77" t="str">
            <v xml:space="preserve">INMORTALES </v>
          </cell>
          <cell r="F77">
            <v>4</v>
          </cell>
        </row>
        <row r="78">
          <cell r="C78">
            <v>32045768</v>
          </cell>
          <cell r="D78" t="str">
            <v>AGUILERA GONZALEZ PABLO</v>
          </cell>
          <cell r="E78" t="str">
            <v xml:space="preserve">INMORTALES </v>
          </cell>
          <cell r="F78">
            <v>4</v>
          </cell>
        </row>
        <row r="79">
          <cell r="C79">
            <v>32045137</v>
          </cell>
          <cell r="D79" t="str">
            <v>CARRILLO ARELLANO GERARDO</v>
          </cell>
          <cell r="E79" t="str">
            <v xml:space="preserve">INMORTALES </v>
          </cell>
          <cell r="F79">
            <v>4</v>
          </cell>
        </row>
        <row r="80">
          <cell r="C80">
            <v>32045629</v>
          </cell>
          <cell r="D80" t="str">
            <v>LOPEZ ORTIZ JUAN PEDRO</v>
          </cell>
          <cell r="E80" t="str">
            <v xml:space="preserve">INMORTALES </v>
          </cell>
          <cell r="F80">
            <v>4</v>
          </cell>
        </row>
        <row r="81">
          <cell r="C81">
            <v>32044986</v>
          </cell>
          <cell r="D81" t="str">
            <v>FLORES MIRANDA JUAN CARLOS</v>
          </cell>
          <cell r="E81" t="str">
            <v xml:space="preserve">INMORTALES </v>
          </cell>
          <cell r="F81">
            <v>4</v>
          </cell>
        </row>
        <row r="82">
          <cell r="C82">
            <v>32046135</v>
          </cell>
          <cell r="D82" t="str">
            <v>RAMIREZ RODRIGUEZ MANUEL</v>
          </cell>
          <cell r="E82" t="str">
            <v xml:space="preserve">INMORTALES </v>
          </cell>
          <cell r="F82">
            <v>4</v>
          </cell>
        </row>
        <row r="83">
          <cell r="C83">
            <v>32045731</v>
          </cell>
          <cell r="D83" t="str">
            <v>RODARTE MALDONADO ALEJANDRO</v>
          </cell>
          <cell r="E83" t="str">
            <v xml:space="preserve">INMORTALES </v>
          </cell>
          <cell r="F83">
            <v>4</v>
          </cell>
        </row>
        <row r="84">
          <cell r="C84">
            <v>32046468</v>
          </cell>
          <cell r="D84" t="str">
            <v>ALVARADO DAVILA JOSE MANUEL</v>
          </cell>
          <cell r="E84" t="str">
            <v xml:space="preserve">INMORTALES </v>
          </cell>
          <cell r="F84">
            <v>4</v>
          </cell>
        </row>
        <row r="85">
          <cell r="C85">
            <v>32143287</v>
          </cell>
          <cell r="D85" t="str">
            <v>DEL RIO FIGUEROA SERGIO</v>
          </cell>
          <cell r="E85" t="str">
            <v xml:space="preserve">GUERREROS </v>
          </cell>
          <cell r="F85">
            <v>4</v>
          </cell>
        </row>
        <row r="86">
          <cell r="C86">
            <v>32046155</v>
          </cell>
          <cell r="D86" t="str">
            <v>GALVAN FRANCISCO JAVIER</v>
          </cell>
          <cell r="E86" t="str">
            <v xml:space="preserve">GUERREROS </v>
          </cell>
          <cell r="F86">
            <v>4</v>
          </cell>
        </row>
        <row r="87">
          <cell r="C87">
            <v>32044615</v>
          </cell>
          <cell r="D87" t="str">
            <v>MOISES GAYTAN GURROLA</v>
          </cell>
          <cell r="E87" t="str">
            <v xml:space="preserve">GUERREROS </v>
          </cell>
          <cell r="F87">
            <v>4</v>
          </cell>
        </row>
        <row r="88">
          <cell r="C88">
            <v>32045807</v>
          </cell>
          <cell r="D88" t="str">
            <v>GUTIERREZ AHUMADA JUAN LUIS</v>
          </cell>
          <cell r="E88" t="str">
            <v xml:space="preserve">GUERREROS </v>
          </cell>
          <cell r="F88">
            <v>4</v>
          </cell>
        </row>
        <row r="89">
          <cell r="C89">
            <v>32046353</v>
          </cell>
          <cell r="D89" t="str">
            <v>LOPEZ VALDES JOSE</v>
          </cell>
          <cell r="E89" t="str">
            <v xml:space="preserve">GUERREROS </v>
          </cell>
          <cell r="F89">
            <v>4</v>
          </cell>
        </row>
        <row r="90">
          <cell r="C90">
            <v>32143290</v>
          </cell>
          <cell r="D90" t="str">
            <v>CARDENAS MACIAS BASILIO</v>
          </cell>
          <cell r="E90" t="str">
            <v xml:space="preserve">GUERREROS </v>
          </cell>
          <cell r="F90">
            <v>4</v>
          </cell>
        </row>
        <row r="91">
          <cell r="C91">
            <v>32067003</v>
          </cell>
          <cell r="D91" t="str">
            <v>MARTINEZ ALMARAZ RODOLFO</v>
          </cell>
          <cell r="E91" t="str">
            <v xml:space="preserve">GUERREROS </v>
          </cell>
          <cell r="F91">
            <v>4</v>
          </cell>
        </row>
        <row r="92">
          <cell r="C92">
            <v>32143281</v>
          </cell>
          <cell r="D92" t="str">
            <v>CID GALICIA RICARDO</v>
          </cell>
          <cell r="E92" t="str">
            <v xml:space="preserve">GUERREROS </v>
          </cell>
          <cell r="F92">
            <v>4</v>
          </cell>
        </row>
        <row r="93">
          <cell r="C93">
            <v>32180204</v>
          </cell>
          <cell r="D93" t="str">
            <v>JUAN MANUEL CASTILLO HERNANDEZ</v>
          </cell>
          <cell r="E93" t="str">
            <v xml:space="preserve">GUERREROS </v>
          </cell>
          <cell r="F93">
            <v>4</v>
          </cell>
        </row>
        <row r="94">
          <cell r="C94">
            <v>32045613</v>
          </cell>
          <cell r="D94" t="str">
            <v>MARTINEZ CASTAÑON JOSE PABLO</v>
          </cell>
          <cell r="E94" t="str">
            <v xml:space="preserve">GUERREROS </v>
          </cell>
          <cell r="F94">
            <v>4</v>
          </cell>
        </row>
        <row r="95">
          <cell r="C95">
            <v>32132237</v>
          </cell>
          <cell r="D95" t="str">
            <v>LEYVA ESCARCIA JOSE PATRICIO</v>
          </cell>
          <cell r="E95" t="str">
            <v xml:space="preserve">GUERREROS </v>
          </cell>
          <cell r="F95">
            <v>4</v>
          </cell>
        </row>
        <row r="96">
          <cell r="C96">
            <v>32132045</v>
          </cell>
          <cell r="D96" t="str">
            <v>JARAMILLO VEGA MARIO DE JESUS</v>
          </cell>
          <cell r="E96" t="str">
            <v xml:space="preserve">GUERREROS </v>
          </cell>
          <cell r="F96">
            <v>4</v>
          </cell>
        </row>
        <row r="97">
          <cell r="C97">
            <v>32148612</v>
          </cell>
          <cell r="D97" t="str">
            <v>NAJERA FIGUEROA RUBEN</v>
          </cell>
          <cell r="E97" t="str">
            <v xml:space="preserve">GUERREROS </v>
          </cell>
          <cell r="F97">
            <v>4</v>
          </cell>
        </row>
        <row r="98">
          <cell r="C98">
            <v>32143658</v>
          </cell>
          <cell r="D98" t="str">
            <v>GARCIA ALVARADO DANIEL</v>
          </cell>
          <cell r="E98" t="str">
            <v xml:space="preserve">GUERREROS </v>
          </cell>
          <cell r="F98">
            <v>4</v>
          </cell>
        </row>
        <row r="99">
          <cell r="C99">
            <v>32045344</v>
          </cell>
          <cell r="D99" t="str">
            <v>GUARDADO CASTRO JUAN MANUEL</v>
          </cell>
          <cell r="E99" t="str">
            <v xml:space="preserve">GUERREROS </v>
          </cell>
          <cell r="F99">
            <v>4</v>
          </cell>
        </row>
        <row r="100">
          <cell r="C100">
            <v>32044578</v>
          </cell>
          <cell r="D100" t="str">
            <v>MEDINA DELGADO JOSE DE JESUS</v>
          </cell>
          <cell r="E100" t="str">
            <v xml:space="preserve">GUERREROS </v>
          </cell>
          <cell r="F100">
            <v>4</v>
          </cell>
        </row>
        <row r="101">
          <cell r="C101">
            <v>32044871</v>
          </cell>
          <cell r="D101" t="str">
            <v>RODRIGUEZ GARCIA ABRAHAM</v>
          </cell>
          <cell r="E101" t="str">
            <v xml:space="preserve">MIXTECOS </v>
          </cell>
          <cell r="F101">
            <v>4</v>
          </cell>
        </row>
        <row r="102">
          <cell r="C102">
            <v>32060942</v>
          </cell>
          <cell r="D102" t="str">
            <v>CAMACHO OLIVA GILBERTO ANTONIO</v>
          </cell>
          <cell r="E102" t="str">
            <v xml:space="preserve">MIXTECOS </v>
          </cell>
          <cell r="F102">
            <v>4</v>
          </cell>
        </row>
        <row r="103">
          <cell r="C103">
            <v>32044553</v>
          </cell>
          <cell r="D103" t="str">
            <v>TREJO LOPEZ ALBERTO</v>
          </cell>
          <cell r="E103" t="str">
            <v xml:space="preserve">MIXTECOS </v>
          </cell>
          <cell r="F103">
            <v>4</v>
          </cell>
        </row>
        <row r="104">
          <cell r="C104">
            <v>32132174</v>
          </cell>
          <cell r="D104" t="str">
            <v>ELICERIO PARRA ARMANDO</v>
          </cell>
          <cell r="E104" t="str">
            <v xml:space="preserve">MIXTECOS </v>
          </cell>
          <cell r="F104">
            <v>4</v>
          </cell>
        </row>
        <row r="105">
          <cell r="C105">
            <v>32149609</v>
          </cell>
          <cell r="D105" t="str">
            <v>IRACHETA JARAMILLO LUIS ANGEL</v>
          </cell>
          <cell r="E105" t="str">
            <v xml:space="preserve">MIXTECOS </v>
          </cell>
          <cell r="F105">
            <v>4</v>
          </cell>
        </row>
        <row r="106">
          <cell r="C106">
            <v>32045535</v>
          </cell>
          <cell r="D106" t="str">
            <v>CASTILLO DUARTE FREDI ENRIQUE</v>
          </cell>
          <cell r="E106" t="str">
            <v xml:space="preserve">MIXTECOS </v>
          </cell>
          <cell r="F106">
            <v>4</v>
          </cell>
        </row>
        <row r="107">
          <cell r="C107">
            <v>32149603</v>
          </cell>
          <cell r="D107" t="str">
            <v>MEDELLIN MIRELES MARCO ANTONIO</v>
          </cell>
          <cell r="E107" t="str">
            <v xml:space="preserve">MIXTECOS </v>
          </cell>
          <cell r="F107">
            <v>4</v>
          </cell>
        </row>
        <row r="108">
          <cell r="C108">
            <v>32046209</v>
          </cell>
          <cell r="D108" t="str">
            <v>TORRES DE ALBA LUIS</v>
          </cell>
          <cell r="E108" t="str">
            <v xml:space="preserve">MIXTECOS </v>
          </cell>
          <cell r="F108">
            <v>4</v>
          </cell>
        </row>
        <row r="109">
          <cell r="C109">
            <v>32198294</v>
          </cell>
          <cell r="D109" t="str">
            <v>VASQUEZ URIBE MARCO ANTONIO</v>
          </cell>
          <cell r="E109" t="str">
            <v xml:space="preserve">MIXTECOS </v>
          </cell>
          <cell r="F109">
            <v>4</v>
          </cell>
        </row>
        <row r="110">
          <cell r="C110">
            <v>32148616</v>
          </cell>
          <cell r="D110" t="str">
            <v>FRANCO PEREIDA FLAVIO</v>
          </cell>
          <cell r="E110" t="str">
            <v xml:space="preserve">MIXTECOS </v>
          </cell>
          <cell r="F110">
            <v>4</v>
          </cell>
        </row>
        <row r="111">
          <cell r="C111">
            <v>32045621</v>
          </cell>
          <cell r="D111" t="str">
            <v>RIVERA TORRES CELESTINO</v>
          </cell>
          <cell r="E111" t="str">
            <v xml:space="preserve">MIXTECOS </v>
          </cell>
          <cell r="F111">
            <v>4</v>
          </cell>
        </row>
        <row r="112">
          <cell r="C112">
            <v>32107323</v>
          </cell>
          <cell r="D112" t="str">
            <v>GONZALEZ BUGARIN JOSE MANUEL</v>
          </cell>
          <cell r="E112" t="str">
            <v xml:space="preserve">MIXTECOS </v>
          </cell>
          <cell r="F112">
            <v>4</v>
          </cell>
        </row>
        <row r="113">
          <cell r="C113">
            <v>32044454</v>
          </cell>
          <cell r="D113" t="str">
            <v>TREJO CORREA RAMON</v>
          </cell>
          <cell r="E113" t="str">
            <v xml:space="preserve">MIXTECOS </v>
          </cell>
          <cell r="F113">
            <v>4</v>
          </cell>
        </row>
        <row r="114">
          <cell r="C114">
            <v>32132603</v>
          </cell>
          <cell r="D114" t="str">
            <v>NUÑEZ VALDEZ SAUL</v>
          </cell>
          <cell r="E114" t="str">
            <v xml:space="preserve">MIXTECOS </v>
          </cell>
          <cell r="F114">
            <v>4</v>
          </cell>
        </row>
        <row r="115">
          <cell r="C115">
            <v>32197860</v>
          </cell>
          <cell r="D115" t="str">
            <v>LEYVA MARTINEZ BRAYAN</v>
          </cell>
          <cell r="E115" t="str">
            <v xml:space="preserve">MIXTECOS </v>
          </cell>
          <cell r="F115">
            <v>4</v>
          </cell>
        </row>
        <row r="116">
          <cell r="C116">
            <v>32057512</v>
          </cell>
          <cell r="D116" t="str">
            <v>CASAREZ HERNANDEZ LEONEL</v>
          </cell>
          <cell r="E116" t="str">
            <v xml:space="preserve">COMPADRES </v>
          </cell>
          <cell r="F116">
            <v>4</v>
          </cell>
        </row>
        <row r="117">
          <cell r="C117">
            <v>32132058</v>
          </cell>
          <cell r="D117" t="str">
            <v>ORTIZ DELGADO AURELIANO</v>
          </cell>
          <cell r="E117" t="str">
            <v xml:space="preserve">COMPADRES </v>
          </cell>
          <cell r="F117">
            <v>4</v>
          </cell>
        </row>
        <row r="118">
          <cell r="C118">
            <v>32096443</v>
          </cell>
          <cell r="D118" t="str">
            <v>MIGUEL ANGEL VILLAVICENCIO</v>
          </cell>
          <cell r="E118" t="str">
            <v xml:space="preserve">COMPADRES </v>
          </cell>
          <cell r="F118">
            <v>4</v>
          </cell>
        </row>
        <row r="119">
          <cell r="C119">
            <v>32046440</v>
          </cell>
          <cell r="D119" t="str">
            <v>DE AVILA GARCIA VICTOR MANUEL</v>
          </cell>
          <cell r="E119" t="str">
            <v xml:space="preserve">COMPADRES </v>
          </cell>
          <cell r="F119">
            <v>4</v>
          </cell>
        </row>
        <row r="120">
          <cell r="C120">
            <v>32142779</v>
          </cell>
          <cell r="D120" t="str">
            <v>GUILLERMO DELGADO RAMIREZ</v>
          </cell>
          <cell r="E120" t="str">
            <v xml:space="preserve">COMPADRES </v>
          </cell>
          <cell r="F120">
            <v>4</v>
          </cell>
        </row>
        <row r="121">
          <cell r="C121">
            <v>32143050</v>
          </cell>
          <cell r="D121" t="str">
            <v>RAMIREZ DOMINGUEZ PEDRO</v>
          </cell>
          <cell r="E121" t="str">
            <v xml:space="preserve">COMPADRES </v>
          </cell>
          <cell r="F121">
            <v>4</v>
          </cell>
        </row>
        <row r="122">
          <cell r="C122">
            <v>32149066</v>
          </cell>
          <cell r="D122" t="str">
            <v>CAMPOS MEDELLIN JOSE LEONEL</v>
          </cell>
          <cell r="E122" t="str">
            <v xml:space="preserve">COMPADRES </v>
          </cell>
          <cell r="F122">
            <v>4</v>
          </cell>
        </row>
        <row r="123">
          <cell r="C123">
            <v>32071028</v>
          </cell>
          <cell r="D123" t="str">
            <v>RAMIREZ RODRIGUEZ OMAR</v>
          </cell>
          <cell r="E123" t="str">
            <v xml:space="preserve">COMPADRES </v>
          </cell>
          <cell r="F123">
            <v>4</v>
          </cell>
        </row>
        <row r="124">
          <cell r="C124">
            <v>32199342</v>
          </cell>
          <cell r="D124" t="str">
            <v>NOE ANIBAL CASTRO MALDONADO</v>
          </cell>
          <cell r="E124" t="str">
            <v xml:space="preserve">COMPADRES </v>
          </cell>
          <cell r="F124">
            <v>4</v>
          </cell>
        </row>
        <row r="125">
          <cell r="C125">
            <v>32197883</v>
          </cell>
          <cell r="D125" t="str">
            <v>HERMINIO PINEDO ORTIZ</v>
          </cell>
          <cell r="E125" t="str">
            <v xml:space="preserve">COMPADRES </v>
          </cell>
          <cell r="F125">
            <v>4</v>
          </cell>
        </row>
        <row r="126">
          <cell r="C126">
            <v>32045654</v>
          </cell>
          <cell r="D126" t="str">
            <v>GALLEGOS PICAZO JESUS MANUEL</v>
          </cell>
          <cell r="E126" t="str">
            <v xml:space="preserve">COMPADRES </v>
          </cell>
          <cell r="F126">
            <v>4</v>
          </cell>
        </row>
        <row r="127">
          <cell r="C127">
            <v>32071020</v>
          </cell>
          <cell r="D127" t="str">
            <v>ESCOBEDO HERNANDEZ ENRIQUE</v>
          </cell>
          <cell r="E127" t="str">
            <v xml:space="preserve">COMPADRES </v>
          </cell>
          <cell r="F127">
            <v>4</v>
          </cell>
        </row>
        <row r="128">
          <cell r="C128">
            <v>32046030</v>
          </cell>
          <cell r="D128" t="str">
            <v>VILLA RIVERA IVAN</v>
          </cell>
          <cell r="E128" t="str">
            <v xml:space="preserve">COMPADRES </v>
          </cell>
          <cell r="F128">
            <v>4</v>
          </cell>
        </row>
        <row r="129">
          <cell r="C129">
            <v>32044684</v>
          </cell>
          <cell r="D129" t="str">
            <v>ROMAN ROSALES RAMIRO</v>
          </cell>
          <cell r="E129" t="str">
            <v xml:space="preserve">COMPADRES </v>
          </cell>
          <cell r="F129">
            <v>4</v>
          </cell>
        </row>
        <row r="130">
          <cell r="C130">
            <v>32045356</v>
          </cell>
          <cell r="D130" t="str">
            <v>ELEAZAR VALDEZ GARCIA</v>
          </cell>
          <cell r="E130" t="str">
            <v xml:space="preserve">COMPADRES </v>
          </cell>
          <cell r="F130">
            <v>4</v>
          </cell>
        </row>
        <row r="131">
          <cell r="C131">
            <v>32044737</v>
          </cell>
          <cell r="D131" t="str">
            <v>SALAZAR PALACIOS MANUEL</v>
          </cell>
          <cell r="E131" t="str">
            <v xml:space="preserve">COMPADRES </v>
          </cell>
          <cell r="F131">
            <v>4</v>
          </cell>
        </row>
        <row r="132">
          <cell r="C132">
            <v>32044721</v>
          </cell>
          <cell r="D132" t="str">
            <v>CASTRO SOLIS FRANCISCO</v>
          </cell>
          <cell r="E132" t="str">
            <v xml:space="preserve">CORONA </v>
          </cell>
          <cell r="F132">
            <v>5</v>
          </cell>
        </row>
        <row r="133">
          <cell r="C133">
            <v>32044733</v>
          </cell>
          <cell r="D133" t="str">
            <v>BELMONTES MARTINEZ DAVID</v>
          </cell>
          <cell r="E133" t="str">
            <v xml:space="preserve">CORONA </v>
          </cell>
          <cell r="F133">
            <v>5</v>
          </cell>
        </row>
        <row r="134">
          <cell r="C134">
            <v>32044741</v>
          </cell>
          <cell r="D134" t="str">
            <v>GAYTAN CERVANTES JOSE LUIS</v>
          </cell>
          <cell r="E134" t="str">
            <v xml:space="preserve">CORONA </v>
          </cell>
          <cell r="F134">
            <v>5</v>
          </cell>
        </row>
        <row r="135">
          <cell r="C135">
            <v>32045011</v>
          </cell>
          <cell r="D135" t="str">
            <v>MONTENEGRO CUELLAR SERGIO ANTONIO</v>
          </cell>
          <cell r="E135" t="str">
            <v xml:space="preserve">CORONA </v>
          </cell>
          <cell r="F135">
            <v>5</v>
          </cell>
        </row>
        <row r="136">
          <cell r="C136">
            <v>32046142</v>
          </cell>
          <cell r="D136" t="str">
            <v>MANUEL PARGA NUÑEZ</v>
          </cell>
          <cell r="E136" t="str">
            <v xml:space="preserve">CORONA </v>
          </cell>
          <cell r="F136">
            <v>5</v>
          </cell>
        </row>
        <row r="137">
          <cell r="C137">
            <v>32046547</v>
          </cell>
          <cell r="D137" t="str">
            <v>CASTAÑEDA CASTRO MANUEL DE JESUS</v>
          </cell>
          <cell r="E137" t="str">
            <v xml:space="preserve">CORONA </v>
          </cell>
          <cell r="F137">
            <v>5</v>
          </cell>
        </row>
        <row r="138">
          <cell r="C138">
            <v>32067182</v>
          </cell>
          <cell r="D138" t="str">
            <v>CERVANTES REYES OMAR FELIPE</v>
          </cell>
          <cell r="E138" t="str">
            <v xml:space="preserve">CORONA </v>
          </cell>
          <cell r="F138">
            <v>5</v>
          </cell>
        </row>
        <row r="139">
          <cell r="C139">
            <v>32142777</v>
          </cell>
          <cell r="D139" t="str">
            <v>RODRIGUEZ ARANDA ARTURO</v>
          </cell>
          <cell r="E139" t="str">
            <v xml:space="preserve">CORONA </v>
          </cell>
          <cell r="F139">
            <v>5</v>
          </cell>
        </row>
        <row r="140">
          <cell r="C140">
            <v>32143289</v>
          </cell>
          <cell r="D140" t="str">
            <v>GARZA CARDENAS ROLANDO</v>
          </cell>
          <cell r="E140" t="str">
            <v xml:space="preserve">CORONA </v>
          </cell>
          <cell r="F140">
            <v>5</v>
          </cell>
        </row>
        <row r="141">
          <cell r="C141">
            <v>32143307</v>
          </cell>
          <cell r="D141" t="str">
            <v>GUERRERO HERRERA JORGE LUIS</v>
          </cell>
          <cell r="E141" t="str">
            <v xml:space="preserve">CORONA </v>
          </cell>
          <cell r="F141">
            <v>5</v>
          </cell>
        </row>
        <row r="142">
          <cell r="C142">
            <v>32149610</v>
          </cell>
          <cell r="D142" t="str">
            <v>MONTOYA CANDELAS MIGUEL ANGEL</v>
          </cell>
          <cell r="E142" t="str">
            <v xml:space="preserve">CORONA </v>
          </cell>
          <cell r="F142">
            <v>5</v>
          </cell>
        </row>
        <row r="143">
          <cell r="C143">
            <v>32096559</v>
          </cell>
          <cell r="D143" t="str">
            <v>GARCIA REZA LEOBARDO</v>
          </cell>
          <cell r="E143" t="str">
            <v xml:space="preserve">CORONA </v>
          </cell>
          <cell r="F143">
            <v>5</v>
          </cell>
        </row>
        <row r="144">
          <cell r="C144">
            <v>32060917</v>
          </cell>
          <cell r="D144" t="str">
            <v>SAMUEL LUMBRERAS ALFEREZ</v>
          </cell>
          <cell r="E144" t="str">
            <v xml:space="preserve">CORONA </v>
          </cell>
          <cell r="F144">
            <v>5</v>
          </cell>
        </row>
        <row r="145">
          <cell r="C145">
            <v>32096528</v>
          </cell>
          <cell r="D145" t="str">
            <v>LUIS EDUARDO DOMINGUEZ VARELA</v>
          </cell>
          <cell r="E145" t="str">
            <v xml:space="preserve">CORONA </v>
          </cell>
          <cell r="F145">
            <v>5</v>
          </cell>
        </row>
        <row r="146">
          <cell r="C146">
            <v>32045202</v>
          </cell>
          <cell r="D146" t="str">
            <v>CASTILLO CARDONA JOSE ANTONIO</v>
          </cell>
          <cell r="E146" t="str">
            <v xml:space="preserve">CORONA </v>
          </cell>
          <cell r="F146">
            <v>5</v>
          </cell>
        </row>
        <row r="147">
          <cell r="C147">
            <v>32045693</v>
          </cell>
          <cell r="D147" t="str">
            <v>GARCIA GODINEZ UBALDO VALERIANO</v>
          </cell>
          <cell r="E147" t="str">
            <v xml:space="preserve">CORONA </v>
          </cell>
          <cell r="F147">
            <v>5</v>
          </cell>
        </row>
        <row r="148">
          <cell r="C148">
            <v>32044086</v>
          </cell>
          <cell r="D148" t="str">
            <v>Angel Alaniz Pereyra</v>
          </cell>
          <cell r="E148" t="str">
            <v xml:space="preserve">LAS MERAS VENAS </v>
          </cell>
          <cell r="F148">
            <v>5</v>
          </cell>
        </row>
        <row r="149">
          <cell r="C149">
            <v>32044307</v>
          </cell>
          <cell r="D149" t="str">
            <v>Francisco Burgos Ramirez</v>
          </cell>
          <cell r="E149" t="str">
            <v xml:space="preserve">LAS MERAS VENAS </v>
          </cell>
          <cell r="F149">
            <v>5</v>
          </cell>
        </row>
        <row r="150">
          <cell r="C150">
            <v>32045397</v>
          </cell>
          <cell r="D150" t="str">
            <v>Martin Cordova Acosta</v>
          </cell>
          <cell r="E150" t="str">
            <v xml:space="preserve">LAS MERAS VENAS </v>
          </cell>
          <cell r="F150">
            <v>5</v>
          </cell>
        </row>
        <row r="151">
          <cell r="C151">
            <v>32150519</v>
          </cell>
          <cell r="D151" t="str">
            <v>Santos Alberto Delgado Sanchez</v>
          </cell>
          <cell r="E151" t="str">
            <v xml:space="preserve">LAS MERAS VENAS </v>
          </cell>
          <cell r="F151">
            <v>5</v>
          </cell>
        </row>
        <row r="152">
          <cell r="C152">
            <v>32198273</v>
          </cell>
          <cell r="D152" t="str">
            <v>Eduardo Manuel Prado Amaro</v>
          </cell>
          <cell r="E152" t="str">
            <v xml:space="preserve">LAS MERAS VENAS </v>
          </cell>
          <cell r="F152">
            <v>5</v>
          </cell>
        </row>
        <row r="153">
          <cell r="C153">
            <v>32045652</v>
          </cell>
          <cell r="D153" t="str">
            <v>Noel Espinoza Sanchez</v>
          </cell>
          <cell r="E153" t="str">
            <v xml:space="preserve">LAS MERAS VENAS </v>
          </cell>
          <cell r="F153">
            <v>5</v>
          </cell>
        </row>
        <row r="154">
          <cell r="C154">
            <v>32067738</v>
          </cell>
          <cell r="D154" t="str">
            <v>Gabriel Cardona Escobedo</v>
          </cell>
          <cell r="E154" t="str">
            <v xml:space="preserve">LAS MERAS VENAS </v>
          </cell>
          <cell r="F154">
            <v>5</v>
          </cell>
        </row>
        <row r="155">
          <cell r="C155">
            <v>32145464</v>
          </cell>
          <cell r="D155" t="str">
            <v>Pedro Hernandez Licerio</v>
          </cell>
          <cell r="E155" t="str">
            <v xml:space="preserve">LAS MERAS VENAS </v>
          </cell>
          <cell r="F155">
            <v>5</v>
          </cell>
        </row>
        <row r="156">
          <cell r="C156">
            <v>32186049</v>
          </cell>
          <cell r="D156" t="str">
            <v>Efrain Barrera Montoya</v>
          </cell>
          <cell r="E156" t="str">
            <v xml:space="preserve">LAS MERAS VENAS </v>
          </cell>
          <cell r="F156">
            <v>5</v>
          </cell>
        </row>
        <row r="157">
          <cell r="C157">
            <v>32132022</v>
          </cell>
          <cell r="D157" t="str">
            <v>Neftali Rodriguez Lopez</v>
          </cell>
          <cell r="E157" t="str">
            <v xml:space="preserve">LAS MERAS VENAS </v>
          </cell>
          <cell r="F157">
            <v>5</v>
          </cell>
        </row>
        <row r="158">
          <cell r="C158">
            <v>32046143</v>
          </cell>
          <cell r="D158" t="str">
            <v>Jorge Joel Rosales Ramirez</v>
          </cell>
          <cell r="E158" t="str">
            <v xml:space="preserve">LAS MERAS VENAS </v>
          </cell>
          <cell r="F158">
            <v>5</v>
          </cell>
        </row>
        <row r="159">
          <cell r="C159">
            <v>32046178</v>
          </cell>
          <cell r="D159" t="str">
            <v>Salvador Bañuelos Rodrigues</v>
          </cell>
          <cell r="E159" t="str">
            <v xml:space="preserve">LAS MERAS VENAS </v>
          </cell>
          <cell r="F159">
            <v>5</v>
          </cell>
        </row>
        <row r="160">
          <cell r="C160">
            <v>32139709</v>
          </cell>
          <cell r="D160" t="str">
            <v>Jose Manuel Torres Cortez</v>
          </cell>
          <cell r="E160" t="str">
            <v xml:space="preserve">LAS MERAS VENAS </v>
          </cell>
          <cell r="F160">
            <v>5</v>
          </cell>
        </row>
        <row r="161">
          <cell r="C161">
            <v>32044464</v>
          </cell>
          <cell r="D161" t="str">
            <v>Raul Rodrigo Bugarin Lopez</v>
          </cell>
          <cell r="E161" t="str">
            <v xml:space="preserve">LAS MERAS VENAS </v>
          </cell>
          <cell r="F161">
            <v>5</v>
          </cell>
        </row>
        <row r="162">
          <cell r="C162">
            <v>32045170</v>
          </cell>
          <cell r="D162" t="str">
            <v>Miguel Angel Villela Torres</v>
          </cell>
          <cell r="E162" t="str">
            <v xml:space="preserve">LOS MAS CHINGONES </v>
          </cell>
          <cell r="F162">
            <v>5</v>
          </cell>
        </row>
        <row r="163">
          <cell r="C163">
            <v>32045395</v>
          </cell>
          <cell r="D163" t="str">
            <v>Reyes Viramontes Martinez</v>
          </cell>
          <cell r="E163" t="str">
            <v xml:space="preserve">LOS MAS CHINGONES </v>
          </cell>
          <cell r="F163">
            <v>5</v>
          </cell>
        </row>
        <row r="164">
          <cell r="C164">
            <v>32045599</v>
          </cell>
          <cell r="D164" t="str">
            <v>Oscar Roman Mauricio</v>
          </cell>
          <cell r="E164" t="str">
            <v xml:space="preserve">LOS MAS CHINGONES </v>
          </cell>
          <cell r="F164">
            <v>5</v>
          </cell>
        </row>
        <row r="165">
          <cell r="C165">
            <v>32045656</v>
          </cell>
          <cell r="D165" t="str">
            <v>Miguel Angel Lopez Lopez</v>
          </cell>
          <cell r="E165" t="str">
            <v xml:space="preserve">LOS MAS CHINGONES </v>
          </cell>
          <cell r="F165">
            <v>5</v>
          </cell>
        </row>
        <row r="166">
          <cell r="C166">
            <v>32046615</v>
          </cell>
          <cell r="D166" t="str">
            <v>Manuel De Jesus Aguilar Parga</v>
          </cell>
          <cell r="E166" t="str">
            <v xml:space="preserve">LOS MAS CHINGONES </v>
          </cell>
          <cell r="F166">
            <v>5</v>
          </cell>
        </row>
        <row r="167">
          <cell r="C167">
            <v>32132188</v>
          </cell>
          <cell r="D167" t="str">
            <v>Carlos Perez Barrios</v>
          </cell>
          <cell r="E167" t="str">
            <v xml:space="preserve">LOS MAS CHINGONES </v>
          </cell>
          <cell r="F167">
            <v>5</v>
          </cell>
        </row>
        <row r="168">
          <cell r="C168">
            <v>32045207</v>
          </cell>
          <cell r="D168" t="str">
            <v>Fernando Rodriguez Flores</v>
          </cell>
          <cell r="E168" t="str">
            <v xml:space="preserve">LOS MAS CHINGONES </v>
          </cell>
          <cell r="F168">
            <v>5</v>
          </cell>
        </row>
        <row r="169">
          <cell r="C169">
            <v>32142764</v>
          </cell>
          <cell r="D169" t="str">
            <v>Victor Hugo Del Rio Figueroa</v>
          </cell>
          <cell r="E169" t="str">
            <v xml:space="preserve">LOS MAS CHINGONES </v>
          </cell>
          <cell r="F169">
            <v>5</v>
          </cell>
        </row>
        <row r="170">
          <cell r="C170">
            <v>32143263</v>
          </cell>
          <cell r="D170" t="str">
            <v>Mauricio Alejandro Ledezma Ramirez</v>
          </cell>
          <cell r="E170" t="str">
            <v xml:space="preserve">LOS MAS CHINGONES </v>
          </cell>
          <cell r="F170">
            <v>5</v>
          </cell>
        </row>
        <row r="171">
          <cell r="C171">
            <v>32149072</v>
          </cell>
          <cell r="D171" t="str">
            <v>Miguel Angel Arellano Ordaz</v>
          </cell>
          <cell r="E171" t="str">
            <v xml:space="preserve">LOS MAS CHINGONES </v>
          </cell>
          <cell r="F171">
            <v>5</v>
          </cell>
        </row>
        <row r="172">
          <cell r="C172">
            <v>32044226</v>
          </cell>
          <cell r="D172" t="str">
            <v>Alfredo Burciaga Rojas</v>
          </cell>
          <cell r="E172" t="str">
            <v xml:space="preserve">LOS MAS CHINGONES </v>
          </cell>
          <cell r="F172">
            <v>5</v>
          </cell>
        </row>
        <row r="173">
          <cell r="C173">
            <v>32180918</v>
          </cell>
          <cell r="D173" t="str">
            <v>Gilberto Hernandez Flores</v>
          </cell>
          <cell r="E173" t="str">
            <v xml:space="preserve">LOS MAS CHINGONES </v>
          </cell>
          <cell r="F173">
            <v>5</v>
          </cell>
        </row>
        <row r="174">
          <cell r="C174">
            <v>32044647</v>
          </cell>
          <cell r="D174" t="str">
            <v>Victor Enrique Piña Flores</v>
          </cell>
          <cell r="E174" t="str">
            <v xml:space="preserve">LOS MAS CHINGONES </v>
          </cell>
          <cell r="F174">
            <v>5</v>
          </cell>
        </row>
        <row r="175">
          <cell r="C175">
            <v>32045118</v>
          </cell>
          <cell r="D175" t="str">
            <v>Rafael Hernandez Moreno</v>
          </cell>
          <cell r="E175" t="str">
            <v xml:space="preserve">LOS MAS CHINGONES </v>
          </cell>
          <cell r="F175">
            <v>5</v>
          </cell>
        </row>
        <row r="176">
          <cell r="C176">
            <v>32101568</v>
          </cell>
          <cell r="D176" t="str">
            <v>JOSE GUADALUPE PADILLA CARRILLO</v>
          </cell>
          <cell r="E176" t="str">
            <v xml:space="preserve">CATADORES </v>
          </cell>
          <cell r="F176">
            <v>6</v>
          </cell>
        </row>
        <row r="177">
          <cell r="C177">
            <v>32045310</v>
          </cell>
          <cell r="D177" t="str">
            <v>ALVARADO MORALES RICARDO</v>
          </cell>
          <cell r="E177" t="str">
            <v xml:space="preserve">CATADORES </v>
          </cell>
          <cell r="F177">
            <v>6</v>
          </cell>
        </row>
        <row r="178">
          <cell r="C178">
            <v>32070296</v>
          </cell>
          <cell r="D178" t="str">
            <v>GOYTIA PARDO JOSE GUADALUPE</v>
          </cell>
          <cell r="E178" t="str">
            <v xml:space="preserve">CATADORES </v>
          </cell>
          <cell r="F178">
            <v>6</v>
          </cell>
        </row>
        <row r="179">
          <cell r="C179">
            <v>32143042</v>
          </cell>
          <cell r="D179" t="str">
            <v>GONZALEZ GUTIERREZ MARCELO</v>
          </cell>
          <cell r="E179" t="str">
            <v xml:space="preserve">CATADORES </v>
          </cell>
          <cell r="F179">
            <v>6</v>
          </cell>
        </row>
        <row r="180">
          <cell r="C180">
            <v>32131838</v>
          </cell>
          <cell r="D180" t="str">
            <v>GARZA CARDENAS VICTOR HUGO</v>
          </cell>
          <cell r="E180" t="str">
            <v xml:space="preserve">CATADORES </v>
          </cell>
          <cell r="F180">
            <v>6</v>
          </cell>
        </row>
        <row r="181">
          <cell r="C181">
            <v>32132230</v>
          </cell>
          <cell r="D181" t="str">
            <v>GARCIA ALVARADO EDUARDO</v>
          </cell>
          <cell r="E181" t="str">
            <v xml:space="preserve">CATADORES </v>
          </cell>
          <cell r="F181">
            <v>6</v>
          </cell>
        </row>
        <row r="182">
          <cell r="C182">
            <v>32139711</v>
          </cell>
          <cell r="D182" t="str">
            <v>NIETO ROBLES CARLOS ALBERTO</v>
          </cell>
          <cell r="E182" t="str">
            <v xml:space="preserve">CATADORES </v>
          </cell>
          <cell r="F182">
            <v>6</v>
          </cell>
        </row>
        <row r="183">
          <cell r="C183">
            <v>32171440</v>
          </cell>
          <cell r="D183" t="str">
            <v>MANUEL  ALBERTO ORTIZ RAMIREZ</v>
          </cell>
          <cell r="E183" t="str">
            <v xml:space="preserve">CATADORES </v>
          </cell>
          <cell r="F183">
            <v>6</v>
          </cell>
        </row>
        <row r="184">
          <cell r="C184">
            <v>32046220</v>
          </cell>
          <cell r="D184" t="str">
            <v>MARTINEZ FLORES LUIS MANUEL</v>
          </cell>
          <cell r="E184" t="str">
            <v xml:space="preserve">CATADORES </v>
          </cell>
          <cell r="F184">
            <v>6</v>
          </cell>
        </row>
        <row r="185">
          <cell r="C185">
            <v>32046642</v>
          </cell>
          <cell r="D185" t="str">
            <v>MARTINEZ DE LA TORRE J CRUZ</v>
          </cell>
          <cell r="E185" t="str">
            <v xml:space="preserve">CATADORES </v>
          </cell>
          <cell r="F185">
            <v>6</v>
          </cell>
        </row>
        <row r="186">
          <cell r="C186">
            <v>32186164</v>
          </cell>
          <cell r="D186" t="str">
            <v>JOHAN NOE REVELES ORTIZ</v>
          </cell>
          <cell r="E186" t="str">
            <v xml:space="preserve">CATADORES </v>
          </cell>
          <cell r="F186">
            <v>6</v>
          </cell>
        </row>
        <row r="187">
          <cell r="C187">
            <v>32148626</v>
          </cell>
          <cell r="D187" t="str">
            <v>MONTOYA TORRES JUAN DARIO</v>
          </cell>
          <cell r="E187" t="str">
            <v xml:space="preserve">CATADORES </v>
          </cell>
          <cell r="F187">
            <v>6</v>
          </cell>
        </row>
        <row r="188">
          <cell r="C188">
            <v>32142945</v>
          </cell>
          <cell r="D188" t="str">
            <v>JOSE GUADALUPE ALVARADO LOPEZ</v>
          </cell>
          <cell r="E188" t="str">
            <v xml:space="preserve">CATADORES </v>
          </cell>
          <cell r="F188">
            <v>6</v>
          </cell>
        </row>
        <row r="189">
          <cell r="C189">
            <v>32188125</v>
          </cell>
          <cell r="D189" t="str">
            <v>RODRIGO HINOJOSA MOLINA</v>
          </cell>
          <cell r="E189" t="str">
            <v xml:space="preserve">CATADORES </v>
          </cell>
          <cell r="F189">
            <v>6</v>
          </cell>
        </row>
        <row r="190">
          <cell r="C190">
            <v>32045775</v>
          </cell>
          <cell r="D190" t="str">
            <v>FILIBERTO HERNANDEZ</v>
          </cell>
          <cell r="E190" t="str">
            <v xml:space="preserve">CATADORES </v>
          </cell>
          <cell r="F190">
            <v>6</v>
          </cell>
        </row>
        <row r="191">
          <cell r="C191">
            <v>32132180</v>
          </cell>
          <cell r="D191" t="str">
            <v xml:space="preserve">ANDRES ESCOBEDO VELAZQUEZ </v>
          </cell>
          <cell r="E191" t="str">
            <v xml:space="preserve">ESCUADRON DE LA MUERTE </v>
          </cell>
          <cell r="F191">
            <v>6</v>
          </cell>
        </row>
        <row r="192">
          <cell r="C192">
            <v>32045625</v>
          </cell>
          <cell r="D192" t="str">
            <v>RAMON  NIETO SERRANO</v>
          </cell>
          <cell r="E192" t="str">
            <v xml:space="preserve">ESCUADRON DE LA MUERTE </v>
          </cell>
          <cell r="F192">
            <v>6</v>
          </cell>
        </row>
        <row r="193">
          <cell r="C193">
            <v>32171442</v>
          </cell>
          <cell r="D193" t="str">
            <v>RICARDO AGULIAR LOPEZ</v>
          </cell>
          <cell r="E193" t="str">
            <v xml:space="preserve">ESCUADRON DE LA MUERTE </v>
          </cell>
          <cell r="F193">
            <v>6</v>
          </cell>
        </row>
        <row r="194">
          <cell r="C194">
            <v>32198298</v>
          </cell>
          <cell r="D194" t="str">
            <v>MARIA DEL REFUGIO RIVAS</v>
          </cell>
          <cell r="E194" t="str">
            <v xml:space="preserve">ESCUADRON DE LA MUERTE </v>
          </cell>
          <cell r="F194">
            <v>6</v>
          </cell>
        </row>
        <row r="195">
          <cell r="C195">
            <v>32046494</v>
          </cell>
          <cell r="D195" t="str">
            <v>ANTONIO CRUZ PEREZ</v>
          </cell>
          <cell r="E195" t="str">
            <v xml:space="preserve">ESCUADRON DE LA MUERTE </v>
          </cell>
          <cell r="F195">
            <v>6</v>
          </cell>
        </row>
        <row r="196">
          <cell r="C196">
            <v>32197892</v>
          </cell>
          <cell r="D196" t="str">
            <v>JORGE LUIS MACIEL CASTILLO</v>
          </cell>
          <cell r="E196" t="str">
            <v xml:space="preserve">ESCUADRON DE LA MUERTE </v>
          </cell>
          <cell r="F196">
            <v>6</v>
          </cell>
        </row>
        <row r="197">
          <cell r="C197">
            <v>32197855</v>
          </cell>
          <cell r="D197" t="str">
            <v>ALEJANDRO ORTIZ RODRIGUEZ</v>
          </cell>
          <cell r="E197" t="str">
            <v xml:space="preserve">ESCUADRON DE LA MUERTE </v>
          </cell>
          <cell r="F197">
            <v>6</v>
          </cell>
        </row>
        <row r="198">
          <cell r="C198">
            <v>32148867</v>
          </cell>
          <cell r="D198" t="str">
            <v>JOSE ALDAIR ZAVALA MURRILLO</v>
          </cell>
          <cell r="E198" t="str">
            <v xml:space="preserve">ESCUADRON DE LA MUERTE </v>
          </cell>
          <cell r="F198">
            <v>6</v>
          </cell>
        </row>
        <row r="199">
          <cell r="C199">
            <v>32046048</v>
          </cell>
          <cell r="D199" t="str">
            <v>EUGENIO LOPEZ SOSA</v>
          </cell>
          <cell r="E199" t="str">
            <v xml:space="preserve">ESCUADRON DE LA MUERTE </v>
          </cell>
          <cell r="F199">
            <v>6</v>
          </cell>
        </row>
        <row r="200">
          <cell r="C200">
            <v>32153098</v>
          </cell>
          <cell r="D200" t="str">
            <v>RAUL VAZQUEZ MORENO</v>
          </cell>
          <cell r="E200" t="str">
            <v xml:space="preserve">ESCUADRON DE LA MUERTE </v>
          </cell>
          <cell r="F200">
            <v>6</v>
          </cell>
        </row>
        <row r="201">
          <cell r="C201">
            <v>32136718</v>
          </cell>
          <cell r="D201" t="str">
            <v>MIGUEL ANGEL SALAZAR CAMARILLO</v>
          </cell>
          <cell r="E201" t="str">
            <v xml:space="preserve">ESCUADRON DE LA MUERTE </v>
          </cell>
          <cell r="F201">
            <v>6</v>
          </cell>
        </row>
        <row r="202">
          <cell r="C202">
            <v>32045186</v>
          </cell>
          <cell r="D202" t="str">
            <v>J GUADALUPE GARZA LICERIO</v>
          </cell>
          <cell r="E202" t="str">
            <v xml:space="preserve">ESCUADRON DE LA MUERTE </v>
          </cell>
          <cell r="F202">
            <v>6</v>
          </cell>
        </row>
        <row r="203">
          <cell r="C203">
            <v>32197853</v>
          </cell>
          <cell r="D203" t="str">
            <v>AARON CARRILLO ESPINOZA</v>
          </cell>
          <cell r="E203" t="str">
            <v xml:space="preserve">ESCUADRON DE LA MUERTE </v>
          </cell>
          <cell r="F203">
            <v>6</v>
          </cell>
        </row>
        <row r="204">
          <cell r="C204">
            <v>32197863</v>
          </cell>
          <cell r="D204" t="str">
            <v>CESAR RODRIGUEZ BANDA</v>
          </cell>
          <cell r="E204" t="str">
            <v xml:space="preserve">ESCUADRON DE LA MUERTE </v>
          </cell>
          <cell r="F204">
            <v>6</v>
          </cell>
        </row>
        <row r="205">
          <cell r="C205">
            <v>32045964</v>
          </cell>
          <cell r="D205" t="str">
            <v>FRANCISCO JAVIER NIETO JARAMILLO</v>
          </cell>
          <cell r="E205" t="str">
            <v xml:space="preserve">ESCUADRON DE LA MUERTE </v>
          </cell>
          <cell r="F205">
            <v>6</v>
          </cell>
        </row>
        <row r="206">
          <cell r="C206">
            <v>32044710</v>
          </cell>
          <cell r="D206" t="str">
            <v>OSCAR ANTONIO FELIX DELGADO</v>
          </cell>
          <cell r="E206" t="str">
            <v xml:space="preserve">INTOCABLES </v>
          </cell>
          <cell r="F206">
            <v>6</v>
          </cell>
        </row>
        <row r="207">
          <cell r="C207">
            <v>32171445</v>
          </cell>
          <cell r="D207" t="str">
            <v>ALAN VILLELA GALLEGOS</v>
          </cell>
          <cell r="E207" t="str">
            <v xml:space="preserve">INTOCABLES </v>
          </cell>
          <cell r="F207">
            <v>6</v>
          </cell>
        </row>
        <row r="208">
          <cell r="C208">
            <v>32067156</v>
          </cell>
          <cell r="D208" t="str">
            <v>JUAN CARLOS ROJAS PADILLA</v>
          </cell>
          <cell r="E208" t="str">
            <v xml:space="preserve">INTOCABLES </v>
          </cell>
          <cell r="F208">
            <v>6</v>
          </cell>
        </row>
        <row r="209">
          <cell r="C209">
            <v>32045623</v>
          </cell>
          <cell r="D209" t="str">
            <v>MIGUEL OCHOA MARTEL</v>
          </cell>
          <cell r="E209" t="str">
            <v xml:space="preserve">INTOCABLES </v>
          </cell>
          <cell r="F209">
            <v>6</v>
          </cell>
        </row>
        <row r="210">
          <cell r="C210">
            <v>32058093</v>
          </cell>
          <cell r="D210" t="str">
            <v>JOSE DE JESUS LLAMAS CASTILLO</v>
          </cell>
          <cell r="E210" t="str">
            <v xml:space="preserve">INTOCABLES </v>
          </cell>
          <cell r="F210">
            <v>6</v>
          </cell>
        </row>
        <row r="211">
          <cell r="C211">
            <v>32044622</v>
          </cell>
          <cell r="D211" t="str">
            <v>ALVARO ALVARADO PACHECO</v>
          </cell>
          <cell r="E211" t="str">
            <v xml:space="preserve">INTOCABLES </v>
          </cell>
          <cell r="F211">
            <v>6</v>
          </cell>
        </row>
        <row r="212">
          <cell r="C212">
            <v>32067180</v>
          </cell>
          <cell r="D212" t="str">
            <v>SIGY ALFREDO LOPEZ LOPEZ</v>
          </cell>
          <cell r="E212" t="str">
            <v xml:space="preserve">INTOCABLES </v>
          </cell>
          <cell r="F212">
            <v>6</v>
          </cell>
        </row>
        <row r="213">
          <cell r="C213">
            <v>32056899</v>
          </cell>
          <cell r="D213" t="str">
            <v>JOSE MANUEL RIVERA ZAMORA</v>
          </cell>
          <cell r="E213" t="str">
            <v xml:space="preserve">INTOCABLES </v>
          </cell>
          <cell r="F213">
            <v>6</v>
          </cell>
        </row>
        <row r="214">
          <cell r="C214">
            <v>32044745</v>
          </cell>
          <cell r="D214" t="str">
            <v>GUSTAVO VALENCIA AVALOS</v>
          </cell>
          <cell r="E214" t="str">
            <v xml:space="preserve">INTOCABLES </v>
          </cell>
          <cell r="F214">
            <v>6</v>
          </cell>
        </row>
        <row r="215">
          <cell r="C215">
            <v>32044444</v>
          </cell>
          <cell r="D215" t="str">
            <v>BENJAMIN LOPEZ ESPINOZA</v>
          </cell>
          <cell r="E215" t="str">
            <v xml:space="preserve">INTOCABLES </v>
          </cell>
          <cell r="F215">
            <v>6</v>
          </cell>
        </row>
        <row r="216">
          <cell r="C216">
            <v>32045551</v>
          </cell>
          <cell r="D216" t="str">
            <v>MIGUEL ANGEL DAVILA CHIHUAHUA</v>
          </cell>
          <cell r="E216" t="str">
            <v xml:space="preserve">INTOCABLES </v>
          </cell>
          <cell r="F216">
            <v>6</v>
          </cell>
        </row>
        <row r="217">
          <cell r="C217">
            <v>32044354</v>
          </cell>
          <cell r="D217" t="str">
            <v>SEFERINO MACIAS MENOZA</v>
          </cell>
          <cell r="E217" t="str">
            <v xml:space="preserve">INTOCABLES </v>
          </cell>
          <cell r="F217">
            <v>6</v>
          </cell>
        </row>
        <row r="218">
          <cell r="C218">
            <v>32155905</v>
          </cell>
          <cell r="D218" t="str">
            <v>RICARDO LUNA RODRIGUEZ</v>
          </cell>
          <cell r="E218" t="str">
            <v xml:space="preserve">INTOCABLES </v>
          </cell>
          <cell r="F218">
            <v>6</v>
          </cell>
        </row>
        <row r="219">
          <cell r="C219">
            <v>32043943</v>
          </cell>
          <cell r="D219" t="str">
            <v>JOSE ANTONIO VELAZQUEZ GRACIA</v>
          </cell>
          <cell r="E219" t="str">
            <v xml:space="preserve">INTOCABLES </v>
          </cell>
          <cell r="F219">
            <v>6</v>
          </cell>
        </row>
        <row r="220">
          <cell r="C220">
            <v>32044703</v>
          </cell>
          <cell r="D220" t="str">
            <v>RAYMUNDO VAZQUEZ SANDOVAL</v>
          </cell>
          <cell r="E220" t="str">
            <v xml:space="preserve">INTOCABLES </v>
          </cell>
          <cell r="F220">
            <v>6</v>
          </cell>
        </row>
        <row r="221">
          <cell r="C221">
            <v>32132588</v>
          </cell>
          <cell r="D221" t="str">
            <v>LUIS IVAN VALDEZ</v>
          </cell>
          <cell r="E221" t="str">
            <v xml:space="preserve">INTOCABLES </v>
          </cell>
          <cell r="F221">
            <v>6</v>
          </cell>
        </row>
        <row r="222">
          <cell r="C222">
            <v>32044100</v>
          </cell>
          <cell r="D222" t="str">
            <v>SALAS GUTIERREZ ALVARO</v>
          </cell>
          <cell r="E222" t="str">
            <v xml:space="preserve">WARRIORS </v>
          </cell>
          <cell r="F222">
            <v>6</v>
          </cell>
        </row>
        <row r="223">
          <cell r="C223">
            <v>32044705</v>
          </cell>
          <cell r="D223" t="str">
            <v>ALVAREZ DE LA TORRE SALVADOR</v>
          </cell>
          <cell r="E223" t="str">
            <v xml:space="preserve">WARRIORS </v>
          </cell>
          <cell r="F223">
            <v>6</v>
          </cell>
        </row>
        <row r="224">
          <cell r="C224">
            <v>32045074</v>
          </cell>
          <cell r="D224" t="str">
            <v>GUERRA GUEVARA JUAN ANTONIO</v>
          </cell>
          <cell r="E224" t="str">
            <v xml:space="preserve">WARRIORS </v>
          </cell>
          <cell r="F224">
            <v>6</v>
          </cell>
        </row>
        <row r="225">
          <cell r="C225">
            <v>32045584</v>
          </cell>
          <cell r="D225" t="str">
            <v>MARTINEZ VAZQUEZ HOMERO</v>
          </cell>
          <cell r="E225" t="str">
            <v xml:space="preserve">WARRIORS </v>
          </cell>
          <cell r="F225">
            <v>6</v>
          </cell>
        </row>
        <row r="226">
          <cell r="C226">
            <v>32046011</v>
          </cell>
          <cell r="D226" t="str">
            <v>VALLE GUERRERO EDUARDO</v>
          </cell>
          <cell r="E226" t="str">
            <v xml:space="preserve">WARRIORS </v>
          </cell>
          <cell r="F226">
            <v>6</v>
          </cell>
        </row>
        <row r="227">
          <cell r="C227">
            <v>32046234</v>
          </cell>
          <cell r="D227" t="str">
            <v>ROBLES AGUIRRE MARCOS</v>
          </cell>
          <cell r="E227" t="str">
            <v xml:space="preserve">WARRIORS </v>
          </cell>
          <cell r="F227">
            <v>6</v>
          </cell>
        </row>
        <row r="228">
          <cell r="C228">
            <v>32046441</v>
          </cell>
          <cell r="D228" t="str">
            <v>ESCALANTE RODRIGUEZ CARLOS</v>
          </cell>
          <cell r="E228" t="str">
            <v xml:space="preserve">WARRIORS </v>
          </cell>
          <cell r="F228">
            <v>6</v>
          </cell>
        </row>
        <row r="229">
          <cell r="C229">
            <v>32067362</v>
          </cell>
          <cell r="D229" t="str">
            <v>CARRILLO MU?OZ OSCAR IVAN</v>
          </cell>
          <cell r="E229" t="str">
            <v xml:space="preserve">WARRIORS </v>
          </cell>
          <cell r="F229">
            <v>6</v>
          </cell>
        </row>
        <row r="230">
          <cell r="C230">
            <v>32110718</v>
          </cell>
          <cell r="D230" t="str">
            <v>PEREZ BANDA DANIEL</v>
          </cell>
          <cell r="E230" t="str">
            <v xml:space="preserve">WARRIORS </v>
          </cell>
          <cell r="F230">
            <v>6</v>
          </cell>
        </row>
        <row r="231">
          <cell r="C231">
            <v>32143044</v>
          </cell>
          <cell r="D231" t="str">
            <v>RAMIREZ DOMINGUEZ OLIVERIO</v>
          </cell>
          <cell r="E231" t="str">
            <v xml:space="preserve">WARRIORS </v>
          </cell>
          <cell r="F231">
            <v>6</v>
          </cell>
        </row>
        <row r="232">
          <cell r="C232">
            <v>32143273</v>
          </cell>
          <cell r="D232" t="str">
            <v>ROMAN TREJO SERGIO ARMANDO</v>
          </cell>
          <cell r="E232" t="str">
            <v xml:space="preserve">WARRIORS </v>
          </cell>
          <cell r="F232">
            <v>6</v>
          </cell>
        </row>
        <row r="233">
          <cell r="C233">
            <v>32154115</v>
          </cell>
          <cell r="D233" t="str">
            <v>JUAREZ TORRES JOSE LUIS</v>
          </cell>
          <cell r="E233" t="str">
            <v xml:space="preserve">WARRIORS </v>
          </cell>
          <cell r="F233">
            <v>6</v>
          </cell>
        </row>
        <row r="234">
          <cell r="C234">
            <v>32171437</v>
          </cell>
          <cell r="D234" t="str">
            <v>LENY NIETO NIETO</v>
          </cell>
          <cell r="E234" t="str">
            <v xml:space="preserve">WARRIORS </v>
          </cell>
          <cell r="F234">
            <v>6</v>
          </cell>
        </row>
        <row r="235">
          <cell r="C235">
            <v>32171438</v>
          </cell>
          <cell r="D235" t="str">
            <v>ROBERTO LEYVA ROBLES</v>
          </cell>
          <cell r="E235" t="str">
            <v xml:space="preserve">WARRIORS </v>
          </cell>
          <cell r="F235">
            <v>6</v>
          </cell>
        </row>
        <row r="236">
          <cell r="C236">
            <v>32202291</v>
          </cell>
          <cell r="D236" t="str">
            <v>MIGUEL ANGEL MARTINEZ MUÑOZ</v>
          </cell>
          <cell r="E236" t="str">
            <v xml:space="preserve">WARRIORS </v>
          </cell>
          <cell r="F236">
            <v>6</v>
          </cell>
        </row>
        <row r="237">
          <cell r="C237">
            <v>32143045</v>
          </cell>
          <cell r="D237" t="str">
            <v xml:space="preserve">JUAN MANUEL DIAZ NIETO </v>
          </cell>
          <cell r="E237" t="str">
            <v xml:space="preserve">EL JARDIN </v>
          </cell>
          <cell r="F237">
            <v>7</v>
          </cell>
        </row>
        <row r="238">
          <cell r="C238">
            <v>32045614</v>
          </cell>
          <cell r="D238" t="str">
            <v>ARMANDO SANCHEZ CASTAÑEDA</v>
          </cell>
          <cell r="E238" t="str">
            <v xml:space="preserve">EL JARDIN </v>
          </cell>
          <cell r="F238">
            <v>7</v>
          </cell>
        </row>
        <row r="239">
          <cell r="C239">
            <v>32043910</v>
          </cell>
          <cell r="D239" t="str">
            <v>ALBERTO ZAMARRIPA MARIN</v>
          </cell>
          <cell r="E239" t="str">
            <v xml:space="preserve">EL JARDIN </v>
          </cell>
          <cell r="F239">
            <v>7</v>
          </cell>
        </row>
        <row r="240">
          <cell r="C240">
            <v>32197919</v>
          </cell>
          <cell r="D240" t="str">
            <v>RUBEN MURILLO GARCIA</v>
          </cell>
          <cell r="E240" t="str">
            <v xml:space="preserve">EL JARDIN </v>
          </cell>
          <cell r="F240">
            <v>7</v>
          </cell>
        </row>
        <row r="241">
          <cell r="C241">
            <v>32044451</v>
          </cell>
          <cell r="D241" t="str">
            <v xml:space="preserve">ROY NAJAR RAMIREZ </v>
          </cell>
          <cell r="E241" t="str">
            <v xml:space="preserve">EL JARDIN </v>
          </cell>
          <cell r="F241">
            <v>7</v>
          </cell>
        </row>
        <row r="242">
          <cell r="C242">
            <v>32149065</v>
          </cell>
          <cell r="D242" t="str">
            <v>JOSE ANTONIO ESCARCIA TREJO</v>
          </cell>
          <cell r="E242" t="str">
            <v xml:space="preserve">EL JARDIN </v>
          </cell>
          <cell r="F242">
            <v>7</v>
          </cell>
        </row>
        <row r="243">
          <cell r="C243">
            <v>32044014</v>
          </cell>
          <cell r="D243" t="str">
            <v>ADRIAN ACOSTA HUERTA</v>
          </cell>
          <cell r="E243" t="str">
            <v xml:space="preserve">EL JARDIN </v>
          </cell>
          <cell r="F243">
            <v>7</v>
          </cell>
        </row>
        <row r="244">
          <cell r="C244">
            <v>32155903</v>
          </cell>
          <cell r="D244" t="str">
            <v xml:space="preserve">OTOHNIEL MORALES MARTINEZ </v>
          </cell>
          <cell r="E244" t="str">
            <v xml:space="preserve">EL JARDIN </v>
          </cell>
          <cell r="F244">
            <v>7</v>
          </cell>
        </row>
        <row r="245">
          <cell r="C245">
            <v>32197887</v>
          </cell>
          <cell r="D245" t="str">
            <v>JESUS MANUEL DUEÑAS GARCIA</v>
          </cell>
          <cell r="E245" t="str">
            <v xml:space="preserve">EL JARDIN </v>
          </cell>
          <cell r="F245">
            <v>7</v>
          </cell>
        </row>
        <row r="246">
          <cell r="C246">
            <v>32143283</v>
          </cell>
          <cell r="D246" t="str">
            <v>CARLOS DAVID ORTIZ PINEDO</v>
          </cell>
          <cell r="E246" t="str">
            <v xml:space="preserve">EL JARDIN </v>
          </cell>
          <cell r="F246">
            <v>7</v>
          </cell>
        </row>
        <row r="247">
          <cell r="C247">
            <v>32044326</v>
          </cell>
          <cell r="D247" t="str">
            <v>MANUEL MURILLO LUNA</v>
          </cell>
          <cell r="E247" t="str">
            <v xml:space="preserve">EL JARDIN </v>
          </cell>
          <cell r="F247">
            <v>7</v>
          </cell>
        </row>
        <row r="248">
          <cell r="C248">
            <v>32045785</v>
          </cell>
          <cell r="D248" t="str">
            <v>JUAN CARLOS ALVAREZ RODRIGUEZ</v>
          </cell>
          <cell r="E248" t="str">
            <v xml:space="preserve">EL JARDIN </v>
          </cell>
          <cell r="F248">
            <v>7</v>
          </cell>
        </row>
        <row r="249">
          <cell r="C249">
            <v>32043822</v>
          </cell>
          <cell r="D249" t="str">
            <v>OSCAR FLORES MURILLO</v>
          </cell>
          <cell r="E249" t="str">
            <v xml:space="preserve">EL JARDIN </v>
          </cell>
          <cell r="F249">
            <v>7</v>
          </cell>
        </row>
        <row r="250">
          <cell r="C250">
            <v>32155886</v>
          </cell>
          <cell r="D250" t="str">
            <v>ISAAC FERNANDO ALVARADO BARRON</v>
          </cell>
          <cell r="E250" t="str">
            <v xml:space="preserve">EL JARDIN </v>
          </cell>
          <cell r="F250">
            <v>7</v>
          </cell>
        </row>
        <row r="251">
          <cell r="C251">
            <v>32177944</v>
          </cell>
          <cell r="D251" t="str">
            <v xml:space="preserve">LUIS ROBERTO TORRES MURILLO </v>
          </cell>
          <cell r="E251" t="str">
            <v xml:space="preserve">EL JARDIN </v>
          </cell>
          <cell r="F251">
            <v>7</v>
          </cell>
        </row>
        <row r="252">
          <cell r="C252">
            <v>32043866</v>
          </cell>
          <cell r="D252" t="str">
            <v>GARZA NORIEGA ESTEBAN</v>
          </cell>
          <cell r="E252" t="str">
            <v xml:space="preserve">EXPERIENCIA AL 100 </v>
          </cell>
          <cell r="F252">
            <v>7</v>
          </cell>
        </row>
        <row r="253">
          <cell r="C253">
            <v>32044281</v>
          </cell>
          <cell r="D253" t="str">
            <v>MONTES VALTIERRA HECTOR DANIEL</v>
          </cell>
          <cell r="E253" t="str">
            <v xml:space="preserve">EXPERIENCIA AL 100 </v>
          </cell>
          <cell r="F253">
            <v>7</v>
          </cell>
        </row>
        <row r="254">
          <cell r="C254">
            <v>32045740</v>
          </cell>
          <cell r="D254" t="str">
            <v>GERARDO VALLE HERNANDEZ</v>
          </cell>
          <cell r="E254" t="str">
            <v xml:space="preserve">EXPERIENCIA AL 100 </v>
          </cell>
          <cell r="F254">
            <v>7</v>
          </cell>
        </row>
        <row r="255">
          <cell r="C255">
            <v>32046481</v>
          </cell>
          <cell r="D255" t="str">
            <v>ZANDATE SOTELO JOSE PABLO</v>
          </cell>
          <cell r="E255" t="str">
            <v xml:space="preserve">EXPERIENCIA AL 100 </v>
          </cell>
          <cell r="F255">
            <v>7</v>
          </cell>
        </row>
        <row r="256">
          <cell r="C256">
            <v>32148624</v>
          </cell>
          <cell r="D256" t="str">
            <v>GONZALEZ JARA SAMUEL</v>
          </cell>
          <cell r="E256" t="str">
            <v xml:space="preserve">EXPERIENCIA AL 100 </v>
          </cell>
          <cell r="F256">
            <v>7</v>
          </cell>
        </row>
        <row r="257">
          <cell r="C257">
            <v>32043894</v>
          </cell>
          <cell r="D257" t="str">
            <v>GONZALEZ DE LA ROSA JUAN FRANCISCO</v>
          </cell>
          <cell r="E257" t="str">
            <v xml:space="preserve">EXPERIENCIA AL 100 </v>
          </cell>
          <cell r="F257">
            <v>7</v>
          </cell>
        </row>
        <row r="258">
          <cell r="C258">
            <v>32148627</v>
          </cell>
          <cell r="D258" t="str">
            <v>VAZQUEZ OLGUIN LUIS GILBERTO</v>
          </cell>
          <cell r="E258" t="str">
            <v xml:space="preserve">EXPERIENCIA AL 100 </v>
          </cell>
          <cell r="F258">
            <v>7</v>
          </cell>
        </row>
        <row r="259">
          <cell r="C259">
            <v>32061461</v>
          </cell>
          <cell r="D259" t="str">
            <v xml:space="preserve">JULIO CESAR MURILLO RODRIGUEZ </v>
          </cell>
          <cell r="E259" t="str">
            <v xml:space="preserve">EXPERIENCIA AL 100 </v>
          </cell>
          <cell r="F259">
            <v>7</v>
          </cell>
        </row>
        <row r="260">
          <cell r="C260">
            <v>32142977</v>
          </cell>
          <cell r="D260" t="str">
            <v>RODRIGUEZ DIAZ VICTOR HUGO</v>
          </cell>
          <cell r="E260" t="str">
            <v xml:space="preserve">EXPERIENCIA AL 100 </v>
          </cell>
          <cell r="F260">
            <v>7</v>
          </cell>
        </row>
        <row r="261">
          <cell r="C261">
            <v>32044901</v>
          </cell>
          <cell r="D261" t="str">
            <v>PALOMINO GONZALEZ JOB</v>
          </cell>
          <cell r="E261" t="str">
            <v xml:space="preserve">EXPERIENCIA AL 100 </v>
          </cell>
          <cell r="F261">
            <v>7</v>
          </cell>
        </row>
        <row r="262">
          <cell r="C262">
            <v>32046346</v>
          </cell>
          <cell r="D262" t="str">
            <v>ESCOBEDO SILVA DANIEL</v>
          </cell>
          <cell r="E262" t="str">
            <v xml:space="preserve">EXPERIENCIA AL 100 </v>
          </cell>
          <cell r="F262">
            <v>7</v>
          </cell>
        </row>
        <row r="263">
          <cell r="C263">
            <v>32044618</v>
          </cell>
          <cell r="D263" t="str">
            <v>CAMPOS LUNA ARMANDO</v>
          </cell>
          <cell r="E263" t="str">
            <v xml:space="preserve">EXPERIENCIA AL 100 </v>
          </cell>
          <cell r="F263">
            <v>7</v>
          </cell>
        </row>
        <row r="264">
          <cell r="C264">
            <v>32045393</v>
          </cell>
          <cell r="D264" t="str">
            <v xml:space="preserve">VEGA MORALES MANUEL </v>
          </cell>
          <cell r="E264" t="str">
            <v xml:space="preserve">EXPERIENCIA AL 100 </v>
          </cell>
          <cell r="F264">
            <v>7</v>
          </cell>
        </row>
        <row r="265">
          <cell r="C265">
            <v>32044285</v>
          </cell>
          <cell r="D265" t="str">
            <v>DOMINGUEZ CARRILLO ANDRES</v>
          </cell>
          <cell r="E265" t="str">
            <v xml:space="preserve">EXPERIENCIA AL 100 </v>
          </cell>
          <cell r="F265">
            <v>7</v>
          </cell>
        </row>
        <row r="266">
          <cell r="C266">
            <v>32177849</v>
          </cell>
          <cell r="D266" t="str">
            <v>HOMERO ORTIZ AGUILAR</v>
          </cell>
          <cell r="E266" t="str">
            <v xml:space="preserve">EXPERIENCIA AL 100 </v>
          </cell>
          <cell r="F266">
            <v>7</v>
          </cell>
        </row>
        <row r="267">
          <cell r="C267">
            <v>32046248</v>
          </cell>
          <cell r="D267" t="str">
            <v>JOSE RIOS MUÑOZ</v>
          </cell>
          <cell r="E267" t="str">
            <v xml:space="preserve">MAJIC </v>
          </cell>
          <cell r="F267">
            <v>7</v>
          </cell>
        </row>
        <row r="268">
          <cell r="C268">
            <v>32046391</v>
          </cell>
          <cell r="D268" t="str">
            <v>JORGE DELGADO ARTEAGA</v>
          </cell>
          <cell r="E268" t="str">
            <v xml:space="preserve">MAJIC </v>
          </cell>
          <cell r="F268">
            <v>7</v>
          </cell>
        </row>
        <row r="269">
          <cell r="C269">
            <v>32197895</v>
          </cell>
          <cell r="D269" t="str">
            <v>JOSE EDUARDO GONZALES LARA</v>
          </cell>
          <cell r="E269" t="str">
            <v xml:space="preserve">MAJIC </v>
          </cell>
          <cell r="F269">
            <v>7</v>
          </cell>
        </row>
        <row r="270">
          <cell r="C270">
            <v>32044094</v>
          </cell>
          <cell r="D270" t="str">
            <v>RODRIGO GONZALES DE SANTIAGO</v>
          </cell>
          <cell r="E270" t="str">
            <v xml:space="preserve">MAJIC </v>
          </cell>
          <cell r="F270">
            <v>7</v>
          </cell>
        </row>
        <row r="271">
          <cell r="C271">
            <v>32149861</v>
          </cell>
          <cell r="D271" t="str">
            <v>LUIS FERNANDO JARA CRUZ</v>
          </cell>
          <cell r="E271" t="str">
            <v xml:space="preserve">MAJIC </v>
          </cell>
          <cell r="F271">
            <v>7</v>
          </cell>
        </row>
        <row r="272">
          <cell r="C272">
            <v>32149250</v>
          </cell>
          <cell r="D272" t="str">
            <v>FABIAN MONRREAL ROBLES</v>
          </cell>
          <cell r="E272" t="str">
            <v xml:space="preserve">MAJIC </v>
          </cell>
          <cell r="F272">
            <v>7</v>
          </cell>
        </row>
        <row r="273">
          <cell r="C273">
            <v>32044082</v>
          </cell>
          <cell r="D273" t="str">
            <v>ROSENDO RAMIREZ MARTINEZ</v>
          </cell>
          <cell r="E273" t="str">
            <v xml:space="preserve">MAJIC </v>
          </cell>
          <cell r="F273">
            <v>7</v>
          </cell>
        </row>
        <row r="274">
          <cell r="C274">
            <v>32132050</v>
          </cell>
          <cell r="D274" t="str">
            <v>ROLANDO PEREZ DELGADO</v>
          </cell>
          <cell r="E274" t="str">
            <v xml:space="preserve">MAJIC </v>
          </cell>
          <cell r="F274">
            <v>7</v>
          </cell>
        </row>
        <row r="275">
          <cell r="C275">
            <v>32139710</v>
          </cell>
          <cell r="D275" t="str">
            <v xml:space="preserve">CARLOS OSVALDO RUIZ AGUÑAGA </v>
          </cell>
          <cell r="E275" t="str">
            <v xml:space="preserve">MAJIC </v>
          </cell>
          <cell r="F275">
            <v>7</v>
          </cell>
        </row>
        <row r="276">
          <cell r="C276">
            <v>32046570</v>
          </cell>
          <cell r="D276" t="str">
            <v>SERGIO SOSA GARCIA</v>
          </cell>
          <cell r="E276" t="str">
            <v xml:space="preserve">MAJIC </v>
          </cell>
          <cell r="F276">
            <v>7</v>
          </cell>
        </row>
        <row r="277">
          <cell r="C277">
            <v>32044873</v>
          </cell>
          <cell r="D277" t="str">
            <v>ADRIAN RIVAS REYES</v>
          </cell>
          <cell r="E277" t="str">
            <v xml:space="preserve">MAJIC </v>
          </cell>
          <cell r="F277">
            <v>7</v>
          </cell>
        </row>
        <row r="278">
          <cell r="C278">
            <v>32132238</v>
          </cell>
          <cell r="D278" t="str">
            <v>ISMAEL VAZQUEZ RAMOS</v>
          </cell>
          <cell r="E278" t="str">
            <v xml:space="preserve">MAJIC </v>
          </cell>
          <cell r="F278">
            <v>7</v>
          </cell>
        </row>
        <row r="279">
          <cell r="C279">
            <v>32067174</v>
          </cell>
          <cell r="D279" t="str">
            <v>RICARDO ARTURO DELGADO LEYVA</v>
          </cell>
          <cell r="E279" t="str">
            <v xml:space="preserve">FAMILIAR 940 </v>
          </cell>
          <cell r="F279">
            <v>7</v>
          </cell>
        </row>
        <row r="280">
          <cell r="C280">
            <v>32145330</v>
          </cell>
          <cell r="D280" t="str">
            <v>ANDRES TISCAREÑO SANCHEZ</v>
          </cell>
          <cell r="E280" t="str">
            <v xml:space="preserve">FAMILIAR 940 </v>
          </cell>
          <cell r="F280">
            <v>7</v>
          </cell>
        </row>
        <row r="281">
          <cell r="C281">
            <v>32044167</v>
          </cell>
          <cell r="D281" t="str">
            <v>BERNARDO GRANO</v>
          </cell>
          <cell r="E281" t="str">
            <v xml:space="preserve">FAMILIAR 940 </v>
          </cell>
          <cell r="F281">
            <v>7</v>
          </cell>
        </row>
        <row r="282">
          <cell r="C282">
            <v>32046478</v>
          </cell>
          <cell r="D282" t="str">
            <v>DAVID PALACIOS CAMPOS</v>
          </cell>
          <cell r="E282" t="str">
            <v xml:space="preserve">FAMILIAR 940 </v>
          </cell>
          <cell r="F282">
            <v>7</v>
          </cell>
        </row>
        <row r="283">
          <cell r="C283">
            <v>32067183</v>
          </cell>
          <cell r="D283" t="str">
            <v>SERGIO HERNANDEZ</v>
          </cell>
          <cell r="E283" t="str">
            <v xml:space="preserve">FAMILIAR 940 </v>
          </cell>
          <cell r="F283">
            <v>7</v>
          </cell>
        </row>
        <row r="284">
          <cell r="C284">
            <v>32143691</v>
          </cell>
          <cell r="D284" t="str">
            <v>CARLOS RODARTE</v>
          </cell>
          <cell r="E284" t="str">
            <v xml:space="preserve">FAMILIAR 940 </v>
          </cell>
          <cell r="F284">
            <v>7</v>
          </cell>
        </row>
        <row r="285">
          <cell r="C285">
            <v>32043978</v>
          </cell>
          <cell r="D285" t="str">
            <v>CESAR PEREZ SAUCEDO</v>
          </cell>
          <cell r="E285" t="str">
            <v xml:space="preserve">FAMILIAR 940 </v>
          </cell>
          <cell r="F285">
            <v>7</v>
          </cell>
        </row>
        <row r="286">
          <cell r="C286">
            <v>32132056</v>
          </cell>
          <cell r="D286" t="str">
            <v>JUAN MANUEL SAUCEDO LOPEZ</v>
          </cell>
          <cell r="E286" t="str">
            <v xml:space="preserve">FAMILIAR 940 </v>
          </cell>
          <cell r="F286">
            <v>7</v>
          </cell>
        </row>
        <row r="287">
          <cell r="C287">
            <v>32187989</v>
          </cell>
          <cell r="D287" t="str">
            <v>VICTOR ALFONSO PALACIOS</v>
          </cell>
          <cell r="E287" t="str">
            <v xml:space="preserve">FAMILIAR 940 </v>
          </cell>
          <cell r="F287">
            <v>7</v>
          </cell>
        </row>
        <row r="288">
          <cell r="C288">
            <v>32043889</v>
          </cell>
          <cell r="D288" t="str">
            <v>VICENTE RODRIGUEZ</v>
          </cell>
          <cell r="E288" t="str">
            <v xml:space="preserve">FAMILIAR 940 </v>
          </cell>
          <cell r="F288">
            <v>7</v>
          </cell>
        </row>
        <row r="289">
          <cell r="C289">
            <v>32046401</v>
          </cell>
          <cell r="D289" t="str">
            <v>JULIO CESAR CASAS</v>
          </cell>
          <cell r="E289" t="str">
            <v xml:space="preserve">FAMILIAR 940 </v>
          </cell>
          <cell r="F289">
            <v>7</v>
          </cell>
        </row>
        <row r="290">
          <cell r="C290">
            <v>32072429</v>
          </cell>
          <cell r="D290" t="str">
            <v>JORGE GOYTIA</v>
          </cell>
          <cell r="E290" t="str">
            <v xml:space="preserve">FAMILIAR 940 </v>
          </cell>
          <cell r="F290">
            <v>7</v>
          </cell>
        </row>
        <row r="291">
          <cell r="C291">
            <v>32044169</v>
          </cell>
          <cell r="D291" t="str">
            <v>ROBERTO PARRA</v>
          </cell>
          <cell r="E291" t="str">
            <v xml:space="preserve">FAMILIAR 940 </v>
          </cell>
          <cell r="F291">
            <v>7</v>
          </cell>
        </row>
        <row r="292">
          <cell r="C292">
            <v>32046414</v>
          </cell>
          <cell r="D292" t="str">
            <v>MAURICIO ARELLANO CONTRERAS</v>
          </cell>
          <cell r="E292" t="str">
            <v xml:space="preserve">FAMILIAR 940 </v>
          </cell>
          <cell r="F292">
            <v>7</v>
          </cell>
        </row>
        <row r="293">
          <cell r="C293">
            <v>32044074</v>
          </cell>
          <cell r="D293" t="str">
            <v>GUMARO CAZARES</v>
          </cell>
          <cell r="E293" t="str">
            <v xml:space="preserve">FAMILIAR 940 </v>
          </cell>
          <cell r="F293">
            <v>7</v>
          </cell>
        </row>
        <row r="294">
          <cell r="C294">
            <v>32046584</v>
          </cell>
          <cell r="D294" t="str">
            <v>GARCIA CORTEZ JUAN MARTIN</v>
          </cell>
          <cell r="E294" t="str">
            <v xml:space="preserve">LOS MEJORES </v>
          </cell>
          <cell r="F294">
            <v>9</v>
          </cell>
        </row>
        <row r="295">
          <cell r="C295">
            <v>32044919</v>
          </cell>
          <cell r="D295" t="str">
            <v>RODRIGUEZ GARCIA ERASMO</v>
          </cell>
          <cell r="E295" t="str">
            <v xml:space="preserve">LOS MEJORES </v>
          </cell>
          <cell r="F295">
            <v>9</v>
          </cell>
        </row>
        <row r="296">
          <cell r="C296">
            <v>32202288</v>
          </cell>
          <cell r="D296" t="str">
            <v>GUSTAVO SALAZAR GONZALEZ</v>
          </cell>
          <cell r="E296" t="str">
            <v xml:space="preserve">LOS MEJORES </v>
          </cell>
          <cell r="F296">
            <v>9</v>
          </cell>
        </row>
        <row r="297">
          <cell r="C297">
            <v>32046585</v>
          </cell>
          <cell r="D297" t="str">
            <v>RODRIGUEZ GALVAN JULIAN</v>
          </cell>
          <cell r="E297" t="str">
            <v xml:space="preserve">LOS MEJORES </v>
          </cell>
          <cell r="F297">
            <v>9</v>
          </cell>
        </row>
        <row r="298">
          <cell r="C298">
            <v>32044009</v>
          </cell>
          <cell r="D298" t="str">
            <v xml:space="preserve">JOAQUIN CARDONA CARDONA </v>
          </cell>
          <cell r="E298" t="str">
            <v xml:space="preserve">LOS MEJORES </v>
          </cell>
          <cell r="F298">
            <v>9</v>
          </cell>
        </row>
        <row r="299">
          <cell r="C299">
            <v>32043983</v>
          </cell>
          <cell r="D299" t="str">
            <v xml:space="preserve">JULIO RUIZ GONZALEZ </v>
          </cell>
          <cell r="E299" t="str">
            <v xml:space="preserve">LOS MEJORES </v>
          </cell>
          <cell r="F299">
            <v>9</v>
          </cell>
        </row>
        <row r="300">
          <cell r="C300">
            <v>32148854</v>
          </cell>
          <cell r="D300" t="str">
            <v>VALLE HERNANDEZ DANIEL</v>
          </cell>
          <cell r="E300" t="str">
            <v xml:space="preserve">LOS MEJORES </v>
          </cell>
          <cell r="F300">
            <v>9</v>
          </cell>
        </row>
        <row r="301">
          <cell r="C301">
            <v>32046602</v>
          </cell>
          <cell r="D301" t="str">
            <v>RIVAS MEDINA J DE JESUS</v>
          </cell>
          <cell r="E301" t="str">
            <v xml:space="preserve">LOS MEJORES </v>
          </cell>
          <cell r="F301">
            <v>9</v>
          </cell>
        </row>
        <row r="302">
          <cell r="C302">
            <v>32061474</v>
          </cell>
          <cell r="D302" t="str">
            <v>ALVARADO DE LA CRUZ ENRIQUE</v>
          </cell>
          <cell r="E302" t="str">
            <v xml:space="preserve">LOS MEJORES </v>
          </cell>
          <cell r="F302">
            <v>9</v>
          </cell>
        </row>
        <row r="303">
          <cell r="C303">
            <v>32067739</v>
          </cell>
          <cell r="D303" t="str">
            <v>MACIAS COLLAZO LORENZO</v>
          </cell>
          <cell r="E303" t="str">
            <v xml:space="preserve">LOS MEJORES </v>
          </cell>
          <cell r="F303">
            <v>9</v>
          </cell>
        </row>
        <row r="304">
          <cell r="C304">
            <v>32067168</v>
          </cell>
          <cell r="D304" t="str">
            <v>RIVAS PEREYRA RODOLFO</v>
          </cell>
          <cell r="E304" t="str">
            <v xml:space="preserve">LOS MEJORES </v>
          </cell>
          <cell r="F304">
            <v>9</v>
          </cell>
        </row>
        <row r="305">
          <cell r="C305">
            <v>32044869</v>
          </cell>
          <cell r="D305" t="str">
            <v>ESCOBEDO CARDONA ARTURO</v>
          </cell>
          <cell r="E305" t="str">
            <v xml:space="preserve">LOS MEJORES </v>
          </cell>
          <cell r="F305">
            <v>9</v>
          </cell>
        </row>
        <row r="306">
          <cell r="C306">
            <v>32046469</v>
          </cell>
          <cell r="D306" t="str">
            <v>ESCALERA REYES DAVID</v>
          </cell>
          <cell r="E306" t="str">
            <v xml:space="preserve">LOS MEJORES </v>
          </cell>
          <cell r="F306">
            <v>9</v>
          </cell>
        </row>
        <row r="307">
          <cell r="C307">
            <v>32044117</v>
          </cell>
          <cell r="D307" t="str">
            <v>ESPARZA ORTIZ RAMIRO</v>
          </cell>
          <cell r="E307" t="str">
            <v xml:space="preserve">LOS MEJORES </v>
          </cell>
          <cell r="F307">
            <v>9</v>
          </cell>
        </row>
        <row r="308">
          <cell r="C308">
            <v>32046156</v>
          </cell>
          <cell r="D308" t="str">
            <v>IBARRA SUSTAITA JOSE ANGEL</v>
          </cell>
          <cell r="E308" t="str">
            <v xml:space="preserve">LOS MEJORES </v>
          </cell>
          <cell r="F308">
            <v>9</v>
          </cell>
        </row>
        <row r="309">
          <cell r="C309">
            <v>32068002</v>
          </cell>
          <cell r="D309" t="str">
            <v>SOLIS REYES JESUS</v>
          </cell>
          <cell r="E309" t="str">
            <v xml:space="preserve">LOS MEJORES </v>
          </cell>
          <cell r="F309">
            <v>9</v>
          </cell>
        </row>
        <row r="310">
          <cell r="C310">
            <v>32044772</v>
          </cell>
          <cell r="D310" t="str">
            <v>JESUS DE SANTIAGO GALLEGOS</v>
          </cell>
          <cell r="E310" t="str">
            <v xml:space="preserve">LOS MEJORES </v>
          </cell>
          <cell r="F310">
            <v>9</v>
          </cell>
        </row>
        <row r="311">
          <cell r="C311">
            <v>32044101</v>
          </cell>
          <cell r="D311" t="str">
            <v>RAUDALES MARTINEZ GUILLERMO</v>
          </cell>
          <cell r="E311" t="str">
            <v xml:space="preserve">CARAJOS </v>
          </cell>
          <cell r="F311">
            <v>9</v>
          </cell>
        </row>
        <row r="312">
          <cell r="C312">
            <v>32044601</v>
          </cell>
          <cell r="D312" t="str">
            <v xml:space="preserve">JOSE DE JESUS ORTIZ VILLEGAS </v>
          </cell>
          <cell r="E312" t="str">
            <v xml:space="preserve">CARAJOS </v>
          </cell>
          <cell r="F312">
            <v>9</v>
          </cell>
        </row>
        <row r="313">
          <cell r="C313">
            <v>32044746</v>
          </cell>
          <cell r="D313" t="str">
            <v xml:space="preserve">JOSE ALFREDO PARRA VILLAGRANA </v>
          </cell>
          <cell r="E313" t="str">
            <v xml:space="preserve">CARAJOS </v>
          </cell>
          <cell r="F313">
            <v>9</v>
          </cell>
        </row>
        <row r="314">
          <cell r="C314">
            <v>32045013</v>
          </cell>
          <cell r="D314" t="str">
            <v>LUIS DAVID RAMIREZ RAMOS</v>
          </cell>
          <cell r="E314" t="str">
            <v xml:space="preserve">CARAJOS </v>
          </cell>
          <cell r="F314">
            <v>9</v>
          </cell>
        </row>
        <row r="315">
          <cell r="C315">
            <v>32046500</v>
          </cell>
          <cell r="D315" t="str">
            <v>RIOS DAVILA OSCAR OVED</v>
          </cell>
          <cell r="E315" t="str">
            <v xml:space="preserve">CARAJOS </v>
          </cell>
          <cell r="F315">
            <v>9</v>
          </cell>
        </row>
        <row r="316">
          <cell r="C316">
            <v>32046535</v>
          </cell>
          <cell r="D316" t="str">
            <v>RODRIGUEZ MARTIN</v>
          </cell>
          <cell r="E316" t="str">
            <v xml:space="preserve">CARAJOS </v>
          </cell>
          <cell r="F316">
            <v>9</v>
          </cell>
        </row>
        <row r="317">
          <cell r="C317">
            <v>32136494</v>
          </cell>
          <cell r="D317" t="str">
            <v>GARCIA CHAVEZ JORGE ARTURO</v>
          </cell>
          <cell r="E317" t="str">
            <v xml:space="preserve">CARAJOS </v>
          </cell>
          <cell r="F317">
            <v>9</v>
          </cell>
        </row>
        <row r="318">
          <cell r="C318">
            <v>32143308</v>
          </cell>
          <cell r="D318" t="str">
            <v>LEDEZMA REYES ADOLFO</v>
          </cell>
          <cell r="E318" t="str">
            <v xml:space="preserve">CARAJOS </v>
          </cell>
          <cell r="F318">
            <v>9</v>
          </cell>
        </row>
        <row r="319">
          <cell r="C319">
            <v>32143605</v>
          </cell>
          <cell r="D319" t="str">
            <v>GODINA MARTINEZ ALEXIS GONZALO</v>
          </cell>
          <cell r="E319" t="str">
            <v xml:space="preserve">CARAJOS </v>
          </cell>
          <cell r="F319">
            <v>9</v>
          </cell>
        </row>
        <row r="320">
          <cell r="C320">
            <v>32197857</v>
          </cell>
          <cell r="D320" t="str">
            <v>ALVARO SANCHEZ TREJO</v>
          </cell>
          <cell r="E320" t="str">
            <v xml:space="preserve">CARAJOS </v>
          </cell>
          <cell r="F320">
            <v>9</v>
          </cell>
        </row>
        <row r="321">
          <cell r="C321">
            <v>32202287</v>
          </cell>
          <cell r="D321" t="str">
            <v>JOSE ALEJANDRO CASTAÑO AGUILAR</v>
          </cell>
          <cell r="E321" t="str">
            <v xml:space="preserve">CARAJOS </v>
          </cell>
          <cell r="F321">
            <v>9</v>
          </cell>
        </row>
        <row r="322">
          <cell r="C322">
            <v>32044964</v>
          </cell>
          <cell r="D322" t="str">
            <v>GARAY MARTINEZ MIGUEL</v>
          </cell>
          <cell r="E322" t="str">
            <v xml:space="preserve">CARAJOS </v>
          </cell>
          <cell r="F322">
            <v>9</v>
          </cell>
        </row>
        <row r="323">
          <cell r="C323">
            <v>32143306</v>
          </cell>
          <cell r="D323" t="str">
            <v>HERNANDEZ TORRES JOSE EFRAIN</v>
          </cell>
          <cell r="E323" t="str">
            <v xml:space="preserve">CARAJOS </v>
          </cell>
          <cell r="F323">
            <v>9</v>
          </cell>
        </row>
        <row r="324">
          <cell r="C324">
            <v>32150523</v>
          </cell>
          <cell r="D324" t="str">
            <v>VAZQUEZ CARRILLO MAXIMILIANO</v>
          </cell>
          <cell r="E324" t="str">
            <v xml:space="preserve">CARAJOS </v>
          </cell>
          <cell r="F324">
            <v>9</v>
          </cell>
        </row>
        <row r="325">
          <cell r="C325">
            <v>32046201</v>
          </cell>
          <cell r="D325" t="str">
            <v>PADILLA VARELA ERNESTO</v>
          </cell>
          <cell r="E325" t="str">
            <v xml:space="preserve">CARAJOS </v>
          </cell>
          <cell r="F325">
            <v>9</v>
          </cell>
        </row>
        <row r="326">
          <cell r="C326">
            <v>32180198</v>
          </cell>
          <cell r="D326" t="str">
            <v>SALDIVAR  SANTOS JOSE LUIS</v>
          </cell>
          <cell r="E326" t="str">
            <v xml:space="preserve">CARAJOS </v>
          </cell>
          <cell r="F326">
            <v>9</v>
          </cell>
        </row>
        <row r="327">
          <cell r="C327">
            <v>32060919</v>
          </cell>
          <cell r="D327" t="str">
            <v>ANTONIO DE JESUS  MARTINEZ LUJAN</v>
          </cell>
          <cell r="E327" t="str">
            <v xml:space="preserve">RENEGADOS </v>
          </cell>
          <cell r="F327">
            <v>9</v>
          </cell>
        </row>
        <row r="328">
          <cell r="C328">
            <v>32046415</v>
          </cell>
          <cell r="D328" t="str">
            <v>LEDEZMA LUJAN JOSE ANTONIO</v>
          </cell>
          <cell r="E328" t="str">
            <v xml:space="preserve">RENEGADOS </v>
          </cell>
          <cell r="F328">
            <v>9</v>
          </cell>
        </row>
        <row r="329">
          <cell r="C329">
            <v>32045040</v>
          </cell>
          <cell r="D329" t="str">
            <v xml:space="preserve">J ROSARIO DE LA ISLA MARQUEZ </v>
          </cell>
          <cell r="E329" t="str">
            <v xml:space="preserve">RENEGADOS </v>
          </cell>
          <cell r="F329">
            <v>9</v>
          </cell>
        </row>
        <row r="330">
          <cell r="C330">
            <v>32046394</v>
          </cell>
          <cell r="D330" t="str">
            <v>DOMINGUEZ SOLIS BALDOMERO</v>
          </cell>
          <cell r="E330" t="str">
            <v xml:space="preserve">RENEGADOS </v>
          </cell>
          <cell r="F330">
            <v>9</v>
          </cell>
        </row>
        <row r="331">
          <cell r="C331">
            <v>32044265</v>
          </cell>
          <cell r="D331" t="str">
            <v>MEDINA BRIONES FRANCISCO JAVIER</v>
          </cell>
          <cell r="E331" t="str">
            <v xml:space="preserve">RENEGADOS </v>
          </cell>
          <cell r="F331">
            <v>9</v>
          </cell>
        </row>
        <row r="332">
          <cell r="C332">
            <v>32153095</v>
          </cell>
          <cell r="D332" t="str">
            <v>ORTIZ LOERA DANIEL</v>
          </cell>
          <cell r="E332" t="str">
            <v xml:space="preserve">RENEGADOS </v>
          </cell>
          <cell r="F332">
            <v>9</v>
          </cell>
        </row>
        <row r="333">
          <cell r="C333">
            <v>32046230</v>
          </cell>
          <cell r="D333" t="str">
            <v>CORDERO IBARRA SERGIO</v>
          </cell>
          <cell r="E333" t="str">
            <v xml:space="preserve">RENEGADOS </v>
          </cell>
          <cell r="F333">
            <v>9</v>
          </cell>
        </row>
        <row r="334">
          <cell r="C334">
            <v>32149877</v>
          </cell>
          <cell r="D334" t="str">
            <v>SEGOVIA RODRIGUEZ ARMANDO</v>
          </cell>
          <cell r="E334" t="str">
            <v xml:space="preserve">RENEGADOS </v>
          </cell>
          <cell r="F334">
            <v>9</v>
          </cell>
        </row>
        <row r="335">
          <cell r="C335">
            <v>32061941</v>
          </cell>
          <cell r="D335" t="str">
            <v>PULIDO TREJO JUAN LUIS</v>
          </cell>
          <cell r="E335" t="str">
            <v xml:space="preserve">RENEGADOS </v>
          </cell>
          <cell r="F335">
            <v>9</v>
          </cell>
        </row>
        <row r="336">
          <cell r="C336">
            <v>32045959</v>
          </cell>
          <cell r="D336" t="str">
            <v xml:space="preserve">CARDONA CASTILLO MAURO </v>
          </cell>
          <cell r="E336" t="str">
            <v xml:space="preserve">RENEGADOS </v>
          </cell>
          <cell r="F336">
            <v>9</v>
          </cell>
        </row>
        <row r="337">
          <cell r="C337">
            <v>32046073</v>
          </cell>
          <cell r="D337" t="str">
            <v>CARDONA CASTILLO SERGIO</v>
          </cell>
          <cell r="E337" t="str">
            <v xml:space="preserve">RENEGADOS </v>
          </cell>
          <cell r="F337">
            <v>9</v>
          </cell>
        </row>
        <row r="338">
          <cell r="C338">
            <v>32046558</v>
          </cell>
          <cell r="D338" t="str">
            <v>CASAS DIAZ JERONIMO</v>
          </cell>
          <cell r="E338" t="str">
            <v xml:space="preserve">RENEGADOS </v>
          </cell>
          <cell r="F338">
            <v>9</v>
          </cell>
        </row>
        <row r="339">
          <cell r="C339">
            <v>32149860</v>
          </cell>
          <cell r="D339" t="str">
            <v>MEDELLIN CARRILLO JOSE DE JESUS</v>
          </cell>
          <cell r="E339" t="str">
            <v xml:space="preserve">RENEGADOS </v>
          </cell>
          <cell r="F339">
            <v>9</v>
          </cell>
        </row>
        <row r="340">
          <cell r="C340">
            <v>32046386</v>
          </cell>
          <cell r="D340" t="str">
            <v>VALLE ORTIZ JOSE ROBERTO</v>
          </cell>
          <cell r="E340" t="str">
            <v xml:space="preserve">RENEGADOS </v>
          </cell>
          <cell r="F340">
            <v>9</v>
          </cell>
        </row>
        <row r="341">
          <cell r="C341">
            <v>32046149</v>
          </cell>
          <cell r="D341" t="str">
            <v>HERNANDEZ CASTILLO JORGE</v>
          </cell>
          <cell r="E341" t="str">
            <v xml:space="preserve">RENEGADOS </v>
          </cell>
          <cell r="F341">
            <v>9</v>
          </cell>
        </row>
        <row r="342">
          <cell r="C342">
            <v>32044475</v>
          </cell>
          <cell r="D342" t="str">
            <v>JOSE CARLOS SALAS SALAS</v>
          </cell>
          <cell r="E342" t="str">
            <v xml:space="preserve">FLACOS </v>
          </cell>
          <cell r="F342">
            <v>10</v>
          </cell>
        </row>
        <row r="343">
          <cell r="C343">
            <v>32044881</v>
          </cell>
          <cell r="D343" t="str">
            <v>ROQUE MARTINEZ LOPEZ</v>
          </cell>
          <cell r="E343" t="str">
            <v xml:space="preserve">FLACOS </v>
          </cell>
          <cell r="F343">
            <v>10</v>
          </cell>
        </row>
        <row r="344">
          <cell r="C344">
            <v>32046256</v>
          </cell>
          <cell r="D344" t="str">
            <v>JESUS GUADALUPE CAMPOS GUERRERO</v>
          </cell>
          <cell r="E344" t="str">
            <v xml:space="preserve">FLACOS </v>
          </cell>
          <cell r="F344">
            <v>10</v>
          </cell>
        </row>
        <row r="345">
          <cell r="C345">
            <v>32046338</v>
          </cell>
          <cell r="D345" t="str">
            <v>PEDRO LUMBRERAS ALFEREZ</v>
          </cell>
          <cell r="E345" t="str">
            <v xml:space="preserve">FLACOS </v>
          </cell>
          <cell r="F345">
            <v>10</v>
          </cell>
        </row>
        <row r="346">
          <cell r="C346">
            <v>32058105</v>
          </cell>
          <cell r="D346" t="str">
            <v>JOSE ANGEL IBARRA CARRILLO</v>
          </cell>
          <cell r="E346" t="str">
            <v xml:space="preserve">FLACOS </v>
          </cell>
          <cell r="F346">
            <v>10</v>
          </cell>
        </row>
        <row r="347">
          <cell r="C347">
            <v>32059341</v>
          </cell>
          <cell r="D347" t="str">
            <v>JESUS SALVADOR MEDINA ORTIZ</v>
          </cell>
          <cell r="E347" t="str">
            <v xml:space="preserve">FLACOS </v>
          </cell>
          <cell r="F347">
            <v>10</v>
          </cell>
        </row>
        <row r="348">
          <cell r="C348">
            <v>32132224</v>
          </cell>
          <cell r="D348" t="str">
            <v>IVANHOE PEREZ MARTINEZ</v>
          </cell>
          <cell r="E348" t="str">
            <v xml:space="preserve">FLACOS </v>
          </cell>
          <cell r="F348">
            <v>10</v>
          </cell>
        </row>
        <row r="349">
          <cell r="C349">
            <v>32143043</v>
          </cell>
          <cell r="D349" t="str">
            <v>ALDO ALEJANDRO DE LIRA MATA</v>
          </cell>
          <cell r="E349" t="str">
            <v xml:space="preserve">FLACOS </v>
          </cell>
          <cell r="F349">
            <v>10</v>
          </cell>
        </row>
        <row r="350">
          <cell r="C350">
            <v>32144347</v>
          </cell>
          <cell r="D350" t="str">
            <v>VALENTIN CRUZ LUNA</v>
          </cell>
          <cell r="E350" t="str">
            <v xml:space="preserve">FLACOS </v>
          </cell>
          <cell r="F350">
            <v>10</v>
          </cell>
        </row>
        <row r="351">
          <cell r="C351">
            <v>32149078</v>
          </cell>
          <cell r="D351" t="str">
            <v>GUILLERMO CID GAMEZ</v>
          </cell>
          <cell r="E351" t="str">
            <v xml:space="preserve">FLACOS </v>
          </cell>
          <cell r="F351">
            <v>10</v>
          </cell>
        </row>
        <row r="352">
          <cell r="C352">
            <v>32045984</v>
          </cell>
          <cell r="D352" t="str">
            <v>SIMON HERNANDEZ ROSALES</v>
          </cell>
          <cell r="E352" t="str">
            <v xml:space="preserve">MAÑANEROS </v>
          </cell>
          <cell r="F352">
            <v>10</v>
          </cell>
        </row>
        <row r="353">
          <cell r="C353">
            <v>32046029</v>
          </cell>
          <cell r="D353" t="str">
            <v>JUAN RODRIGUEZ LOPEZ</v>
          </cell>
          <cell r="E353" t="str">
            <v xml:space="preserve">MAÑANEROS </v>
          </cell>
          <cell r="F353">
            <v>10</v>
          </cell>
        </row>
        <row r="354">
          <cell r="C354">
            <v>32046154</v>
          </cell>
          <cell r="D354" t="str">
            <v>LUIS FERNANDEZ MACIAS</v>
          </cell>
          <cell r="E354" t="str">
            <v xml:space="preserve">MAÑANEROS </v>
          </cell>
          <cell r="F354">
            <v>10</v>
          </cell>
        </row>
        <row r="355">
          <cell r="C355">
            <v>32046310</v>
          </cell>
          <cell r="D355" t="str">
            <v>RICARDO SEGURA ESCOBEDO</v>
          </cell>
          <cell r="E355" t="str">
            <v xml:space="preserve">MAÑANEROS </v>
          </cell>
          <cell r="F355">
            <v>10</v>
          </cell>
        </row>
        <row r="356">
          <cell r="C356">
            <v>32046348</v>
          </cell>
          <cell r="D356" t="str">
            <v>JORGE LUIS AGUILAR JARA</v>
          </cell>
          <cell r="E356" t="str">
            <v xml:space="preserve">MAÑANEROS </v>
          </cell>
          <cell r="F356">
            <v>10</v>
          </cell>
        </row>
        <row r="357">
          <cell r="C357">
            <v>32046503</v>
          </cell>
          <cell r="D357" t="str">
            <v>ARMANDO LOPEZ ALMANZA</v>
          </cell>
          <cell r="E357" t="str">
            <v xml:space="preserve">MAÑANEROS </v>
          </cell>
          <cell r="F357">
            <v>10</v>
          </cell>
        </row>
        <row r="358">
          <cell r="C358">
            <v>32046591</v>
          </cell>
          <cell r="D358" t="str">
            <v>ARTURO FELIX DELGADO</v>
          </cell>
          <cell r="E358" t="str">
            <v xml:space="preserve">MAÑANEROS </v>
          </cell>
          <cell r="F358">
            <v>10</v>
          </cell>
        </row>
        <row r="359">
          <cell r="C359">
            <v>32132599</v>
          </cell>
          <cell r="D359" t="str">
            <v>JAVIER ORTIZ DE LA CRUZ</v>
          </cell>
          <cell r="E359" t="str">
            <v xml:space="preserve">MAÑANEROS </v>
          </cell>
          <cell r="F359">
            <v>10</v>
          </cell>
        </row>
        <row r="360">
          <cell r="C360">
            <v>32149071</v>
          </cell>
          <cell r="D360" t="str">
            <v>JORGE LUIS SALAZAR HINOJOSA</v>
          </cell>
          <cell r="E360" t="str">
            <v xml:space="preserve">MAÑANEROS </v>
          </cell>
          <cell r="F360">
            <v>10</v>
          </cell>
        </row>
        <row r="361">
          <cell r="C361">
            <v>32186046</v>
          </cell>
          <cell r="D361" t="str">
            <v>JOJANNSE SANCHEZ DE LA TORRE</v>
          </cell>
          <cell r="E361" t="str">
            <v xml:space="preserve">MAÑANEROS </v>
          </cell>
          <cell r="F361">
            <v>10</v>
          </cell>
        </row>
        <row r="362">
          <cell r="C362">
            <v>32148632</v>
          </cell>
          <cell r="D362" t="str">
            <v>MENDEZ PALACIOS GILBERTO</v>
          </cell>
          <cell r="E362" t="str">
            <v xml:space="preserve">MAÑANEROS </v>
          </cell>
          <cell r="F362">
            <v>10</v>
          </cell>
        </row>
        <row r="363">
          <cell r="C363">
            <v>32046198</v>
          </cell>
          <cell r="D363" t="str">
            <v>RODRIGUEZ CABRERA JORGE ADAN</v>
          </cell>
          <cell r="E363" t="str">
            <v xml:space="preserve">MAÑANEROS </v>
          </cell>
          <cell r="F363">
            <v>10</v>
          </cell>
        </row>
        <row r="364">
          <cell r="C364">
            <v>32043930</v>
          </cell>
          <cell r="D364" t="str">
            <v>MANUEL TRONCOSO ANDRADE</v>
          </cell>
          <cell r="E364" t="str">
            <v xml:space="preserve">TOROS </v>
          </cell>
          <cell r="F364">
            <v>10</v>
          </cell>
        </row>
        <row r="365">
          <cell r="C365">
            <v>32043993</v>
          </cell>
          <cell r="D365" t="str">
            <v>FRANCISCO JAVIER GARCIA ESPARZA</v>
          </cell>
          <cell r="E365" t="str">
            <v xml:space="preserve">TOROS </v>
          </cell>
          <cell r="F365">
            <v>10</v>
          </cell>
        </row>
        <row r="366">
          <cell r="C366">
            <v>32044861</v>
          </cell>
          <cell r="D366" t="str">
            <v>ISMAEL MONTOYA DUARTE</v>
          </cell>
          <cell r="E366" t="str">
            <v xml:space="preserve">TOROS </v>
          </cell>
          <cell r="F366">
            <v>10</v>
          </cell>
        </row>
        <row r="367">
          <cell r="C367">
            <v>32045995</v>
          </cell>
          <cell r="D367" t="str">
            <v>JAVIER HERNANDEZ CABRERA</v>
          </cell>
          <cell r="E367" t="str">
            <v xml:space="preserve">TOROS </v>
          </cell>
          <cell r="F367">
            <v>10</v>
          </cell>
        </row>
        <row r="368">
          <cell r="C368">
            <v>32046126</v>
          </cell>
          <cell r="D368" t="str">
            <v>REYNALDO ORTIZ CHAVEZ</v>
          </cell>
          <cell r="E368" t="str">
            <v xml:space="preserve">TOROS </v>
          </cell>
          <cell r="F368">
            <v>10</v>
          </cell>
        </row>
        <row r="369">
          <cell r="C369">
            <v>32046509</v>
          </cell>
          <cell r="D369" t="str">
            <v>OCTAVIO TREJO MELENDEZ</v>
          </cell>
          <cell r="E369" t="str">
            <v xml:space="preserve">TOROS </v>
          </cell>
          <cell r="F369">
            <v>10</v>
          </cell>
        </row>
        <row r="370">
          <cell r="C370">
            <v>32058108</v>
          </cell>
          <cell r="D370" t="str">
            <v xml:space="preserve">PEDRO DEL VILLAR MURO </v>
          </cell>
          <cell r="E370" t="str">
            <v xml:space="preserve">TOROS </v>
          </cell>
          <cell r="F370">
            <v>10</v>
          </cell>
        </row>
        <row r="371">
          <cell r="C371">
            <v>32132009</v>
          </cell>
          <cell r="D371" t="str">
            <v xml:space="preserve">JORGE GARZA GARCIA </v>
          </cell>
          <cell r="E371" t="str">
            <v xml:space="preserve">TOROS </v>
          </cell>
          <cell r="F371">
            <v>10</v>
          </cell>
        </row>
        <row r="372">
          <cell r="C372">
            <v>32132170</v>
          </cell>
          <cell r="D372" t="str">
            <v>SERGIO LOERA MORENO</v>
          </cell>
          <cell r="E372" t="str">
            <v xml:space="preserve">TOROS </v>
          </cell>
          <cell r="F372">
            <v>10</v>
          </cell>
        </row>
        <row r="373">
          <cell r="C373">
            <v>32046387</v>
          </cell>
          <cell r="D373" t="str">
            <v>RODOLFO VILLELA MARTINEZ</v>
          </cell>
          <cell r="E373" t="str">
            <v xml:space="preserve">TOROS </v>
          </cell>
          <cell r="F373">
            <v>10</v>
          </cell>
        </row>
        <row r="374">
          <cell r="C374">
            <v>32044026</v>
          </cell>
          <cell r="D374" t="str">
            <v>ARON RODRIGUEZ RODRIGUEZ</v>
          </cell>
          <cell r="E374" t="str">
            <v xml:space="preserve">PODEROSOS </v>
          </cell>
          <cell r="F374">
            <v>10</v>
          </cell>
        </row>
        <row r="375">
          <cell r="C375">
            <v>32044280</v>
          </cell>
          <cell r="D375" t="str">
            <v>JUAN FRANCISCO MENDEZ RODARTE</v>
          </cell>
          <cell r="E375" t="str">
            <v xml:space="preserve">PODEROSOS </v>
          </cell>
          <cell r="F375">
            <v>10</v>
          </cell>
        </row>
        <row r="376">
          <cell r="C376">
            <v>32045447</v>
          </cell>
          <cell r="D376" t="str">
            <v>MANUEL SALAS SUSTAITA</v>
          </cell>
          <cell r="E376" t="str">
            <v xml:space="preserve">PODEROSOS </v>
          </cell>
          <cell r="F376">
            <v>10</v>
          </cell>
        </row>
        <row r="377">
          <cell r="C377">
            <v>32046327</v>
          </cell>
          <cell r="D377" t="str">
            <v>JUAN ANTONIO CASTILLO HERRERA</v>
          </cell>
          <cell r="E377" t="str">
            <v xml:space="preserve">PODEROSOS </v>
          </cell>
          <cell r="F377">
            <v>10</v>
          </cell>
        </row>
        <row r="378">
          <cell r="C378">
            <v>32046635</v>
          </cell>
          <cell r="D378" t="str">
            <v>HECTOR OMERO GONZALEZ VALDEZ</v>
          </cell>
          <cell r="E378" t="str">
            <v xml:space="preserve">PODEROSOS </v>
          </cell>
          <cell r="F378">
            <v>10</v>
          </cell>
        </row>
        <row r="379">
          <cell r="C379">
            <v>32142776</v>
          </cell>
          <cell r="D379" t="str">
            <v>MARTIN RODRIGUEZ MACIAS</v>
          </cell>
          <cell r="E379" t="str">
            <v xml:space="preserve">PODEROSOS </v>
          </cell>
          <cell r="F379">
            <v>10</v>
          </cell>
        </row>
        <row r="380">
          <cell r="C380">
            <v>32142784</v>
          </cell>
          <cell r="D380" t="str">
            <v>MANUEL RODRIGUEZ ARANDA</v>
          </cell>
          <cell r="E380" t="str">
            <v xml:space="preserve">PODEROSOS </v>
          </cell>
          <cell r="F380">
            <v>10</v>
          </cell>
        </row>
        <row r="381">
          <cell r="C381">
            <v>32044172</v>
          </cell>
          <cell r="D381" t="str">
            <v>JOSE MANUEL SOSA RODRIGUEZ</v>
          </cell>
          <cell r="E381" t="str">
            <v xml:space="preserve">COYOTES </v>
          </cell>
          <cell r="F381">
            <v>11</v>
          </cell>
        </row>
        <row r="382">
          <cell r="C382">
            <v>32044809</v>
          </cell>
          <cell r="D382" t="str">
            <v>JAIME SANCHEZ GARCIA</v>
          </cell>
          <cell r="E382" t="str">
            <v xml:space="preserve">COYOTES </v>
          </cell>
          <cell r="F382">
            <v>11</v>
          </cell>
        </row>
        <row r="383">
          <cell r="C383">
            <v>32045052</v>
          </cell>
          <cell r="D383" t="str">
            <v>JOSE FRANCISCO RODRIGUEZ RODRIGUEZ</v>
          </cell>
          <cell r="E383" t="str">
            <v xml:space="preserve">COYOTES </v>
          </cell>
          <cell r="F383">
            <v>11</v>
          </cell>
        </row>
        <row r="384">
          <cell r="C384">
            <v>32045219</v>
          </cell>
          <cell r="D384" t="str">
            <v>ALBERTO MEDINA SAUCEDO</v>
          </cell>
          <cell r="E384" t="str">
            <v xml:space="preserve">COYOTES </v>
          </cell>
          <cell r="F384">
            <v>11</v>
          </cell>
        </row>
        <row r="385">
          <cell r="C385">
            <v>32046009</v>
          </cell>
          <cell r="D385" t="str">
            <v>JAVIER ORTIZ RAMOS</v>
          </cell>
          <cell r="E385" t="str">
            <v xml:space="preserve">COYOTES </v>
          </cell>
          <cell r="F385">
            <v>11</v>
          </cell>
        </row>
        <row r="386">
          <cell r="C386">
            <v>32046022</v>
          </cell>
          <cell r="D386" t="str">
            <v>JOSE LUIS BUGARIN CARDENAS</v>
          </cell>
          <cell r="E386" t="str">
            <v xml:space="preserve">COYOTES </v>
          </cell>
          <cell r="F386">
            <v>11</v>
          </cell>
        </row>
        <row r="387">
          <cell r="C387">
            <v>32046379</v>
          </cell>
          <cell r="D387" t="str">
            <v>RODOLFO ACEVEDO ARIAS</v>
          </cell>
          <cell r="E387" t="str">
            <v xml:space="preserve">COYOTES </v>
          </cell>
          <cell r="F387">
            <v>11</v>
          </cell>
        </row>
        <row r="388">
          <cell r="C388">
            <v>32132226</v>
          </cell>
          <cell r="D388" t="str">
            <v>JESUS OMAR NAVARRO MUÑOZ</v>
          </cell>
          <cell r="E388" t="str">
            <v xml:space="preserve">COYOTES </v>
          </cell>
          <cell r="F388">
            <v>11</v>
          </cell>
        </row>
        <row r="389">
          <cell r="C389">
            <v>32138048</v>
          </cell>
          <cell r="D389" t="str">
            <v>JOAN SUSTAITA TREJO</v>
          </cell>
          <cell r="E389" t="str">
            <v xml:space="preserve">COYOTES </v>
          </cell>
          <cell r="F389">
            <v>11</v>
          </cell>
        </row>
        <row r="390">
          <cell r="C390">
            <v>32148858</v>
          </cell>
          <cell r="D390" t="str">
            <v>LUIS ENRIQUE RAMIREZ HERNANDEZ</v>
          </cell>
          <cell r="E390" t="str">
            <v xml:space="preserve">COYOTES </v>
          </cell>
          <cell r="F390">
            <v>11</v>
          </cell>
        </row>
        <row r="391">
          <cell r="C391">
            <v>32044841</v>
          </cell>
          <cell r="D391" t="str">
            <v>HECTOR GONZALEZ MACIEL</v>
          </cell>
          <cell r="E391" t="str">
            <v xml:space="preserve">THE GOLDEN BOYS </v>
          </cell>
          <cell r="F391">
            <v>11</v>
          </cell>
        </row>
        <row r="392">
          <cell r="C392">
            <v>32045850</v>
          </cell>
          <cell r="D392" t="str">
            <v>JOSE PABLO ARELLANO CONTRERAS</v>
          </cell>
          <cell r="E392" t="str">
            <v xml:space="preserve">THE GOLDEN BOYS </v>
          </cell>
          <cell r="F392">
            <v>11</v>
          </cell>
        </row>
        <row r="393">
          <cell r="C393">
            <v>32046145</v>
          </cell>
          <cell r="D393" t="str">
            <v>FERNANDEZ MEDRANO FIDEL</v>
          </cell>
          <cell r="E393" t="str">
            <v xml:space="preserve">THE GOLDEN BOYS </v>
          </cell>
          <cell r="F393">
            <v>11</v>
          </cell>
        </row>
        <row r="394">
          <cell r="C394">
            <v>32046218</v>
          </cell>
          <cell r="D394" t="str">
            <v>ADELAIDO GONZALEZ MEZA</v>
          </cell>
          <cell r="E394" t="str">
            <v xml:space="preserve">THE GOLDEN BOYS </v>
          </cell>
          <cell r="F394">
            <v>11</v>
          </cell>
        </row>
        <row r="395">
          <cell r="C395">
            <v>32061469</v>
          </cell>
          <cell r="D395" t="str">
            <v>GUILLERMO LICERIO MONTOYA</v>
          </cell>
          <cell r="E395" t="str">
            <v xml:space="preserve">THE GOLDEN BOYS </v>
          </cell>
          <cell r="F395">
            <v>11</v>
          </cell>
        </row>
        <row r="396">
          <cell r="C396">
            <v>32107143</v>
          </cell>
          <cell r="D396" t="str">
            <v>JOSE MANUEL RAMIREZ HERNANDEZ</v>
          </cell>
          <cell r="E396" t="str">
            <v xml:space="preserve">THE GOLDEN BOYS </v>
          </cell>
          <cell r="F396">
            <v>11</v>
          </cell>
        </row>
        <row r="397">
          <cell r="C397">
            <v>32131834</v>
          </cell>
          <cell r="D397" t="str">
            <v>ARMANDO GONZALEZ SANCHEZ</v>
          </cell>
          <cell r="E397" t="str">
            <v xml:space="preserve">THE GOLDEN BOYS </v>
          </cell>
          <cell r="F397">
            <v>11</v>
          </cell>
        </row>
        <row r="398">
          <cell r="C398">
            <v>32132594</v>
          </cell>
          <cell r="D398" t="str">
            <v>OSCAR EDUARDO GONZALEZ BARRERA</v>
          </cell>
          <cell r="E398" t="str">
            <v xml:space="preserve">THE GOLDEN BOYS </v>
          </cell>
          <cell r="F398">
            <v>11</v>
          </cell>
        </row>
        <row r="399">
          <cell r="C399">
            <v>32142771</v>
          </cell>
          <cell r="D399" t="str">
            <v>BERNARDINO CRUZ LUNA</v>
          </cell>
          <cell r="E399" t="str">
            <v xml:space="preserve">THE GOLDEN BOYS </v>
          </cell>
          <cell r="F399">
            <v>11</v>
          </cell>
        </row>
        <row r="400">
          <cell r="C400">
            <v>32143627</v>
          </cell>
          <cell r="D400" t="str">
            <v>JOSE MANUEL GONZALEZ ROBLES</v>
          </cell>
          <cell r="E400" t="str">
            <v xml:space="preserve">THE GOLDEN BOYS </v>
          </cell>
          <cell r="F400">
            <v>11</v>
          </cell>
        </row>
        <row r="401">
          <cell r="C401">
            <v>32178729</v>
          </cell>
          <cell r="D401" t="str">
            <v>MANUEL ALEJANDRO HUERTA NUÑEZ</v>
          </cell>
          <cell r="E401" t="str">
            <v xml:space="preserve">THE GOLDEN BOYS </v>
          </cell>
          <cell r="F401">
            <v>11</v>
          </cell>
        </row>
        <row r="402">
          <cell r="C402">
            <v>32044476</v>
          </cell>
          <cell r="D402" t="str">
            <v>MARTIN RUELAS MENDEZ</v>
          </cell>
          <cell r="E402" t="str">
            <v xml:space="preserve">LA BANDA DEL ZORRO </v>
          </cell>
          <cell r="F402">
            <v>11</v>
          </cell>
        </row>
        <row r="403">
          <cell r="C403">
            <v>32044522</v>
          </cell>
          <cell r="D403" t="str">
            <v>JAVIER BAÑUELOS RODRIGUEZ</v>
          </cell>
          <cell r="E403" t="str">
            <v xml:space="preserve">LA BANDA DEL ZORRO </v>
          </cell>
          <cell r="F403">
            <v>11</v>
          </cell>
        </row>
        <row r="404">
          <cell r="C404">
            <v>32044641</v>
          </cell>
          <cell r="D404" t="str">
            <v>FRANCISCO JAVIER MEDINA HERNANDEZ</v>
          </cell>
          <cell r="E404" t="str">
            <v xml:space="preserve">LA BANDA DEL ZORRO </v>
          </cell>
          <cell r="F404">
            <v>11</v>
          </cell>
        </row>
        <row r="405">
          <cell r="C405">
            <v>32044836</v>
          </cell>
          <cell r="D405" t="str">
            <v>JUAN MANUEL VAZQUEZ CUEVAS</v>
          </cell>
          <cell r="E405" t="str">
            <v xml:space="preserve">LA BANDA DEL ZORRO </v>
          </cell>
          <cell r="F405">
            <v>11</v>
          </cell>
        </row>
        <row r="406">
          <cell r="C406">
            <v>32057057</v>
          </cell>
          <cell r="D406" t="str">
            <v>ALEJANDRO QUIROZ HERNANDEZ</v>
          </cell>
          <cell r="E406" t="str">
            <v xml:space="preserve">LA BANDA DEL ZORRO </v>
          </cell>
          <cell r="F406">
            <v>11</v>
          </cell>
        </row>
        <row r="407">
          <cell r="C407">
            <v>32132018</v>
          </cell>
          <cell r="D407" t="str">
            <v>JOSE DANIEL LICERIO GAYTAN</v>
          </cell>
          <cell r="E407" t="str">
            <v xml:space="preserve">LA BANDA DEL ZORRO </v>
          </cell>
          <cell r="F407">
            <v>11</v>
          </cell>
        </row>
        <row r="408">
          <cell r="C408">
            <v>32132049</v>
          </cell>
          <cell r="D408" t="str">
            <v>VICTOR HUGO MAURICIO DAVILA</v>
          </cell>
          <cell r="E408" t="str">
            <v xml:space="preserve">LA BANDA DEL ZORRO </v>
          </cell>
          <cell r="F408">
            <v>11</v>
          </cell>
        </row>
        <row r="409">
          <cell r="C409">
            <v>32132181</v>
          </cell>
          <cell r="D409" t="str">
            <v>FRED JOHAN NIETO VAZQUEZ</v>
          </cell>
          <cell r="E409" t="str">
            <v xml:space="preserve">LA BANDA DEL ZORRO </v>
          </cell>
          <cell r="F409">
            <v>11</v>
          </cell>
        </row>
        <row r="410">
          <cell r="C410">
            <v>32132236</v>
          </cell>
          <cell r="D410" t="str">
            <v>JESUS FELICIANO MAURICIO QUIÑONES</v>
          </cell>
          <cell r="E410" t="str">
            <v xml:space="preserve">LA BANDA DEL ZORRO </v>
          </cell>
          <cell r="F410">
            <v>11</v>
          </cell>
        </row>
        <row r="411">
          <cell r="C411">
            <v>32044327</v>
          </cell>
          <cell r="D411" t="str">
            <v>JOSE LUIS LOPEZ ZAMARRIPA</v>
          </cell>
          <cell r="E411" t="str">
            <v xml:space="preserve">LAS FALLAS FANTASMA </v>
          </cell>
          <cell r="F411">
            <v>11</v>
          </cell>
        </row>
        <row r="412">
          <cell r="C412">
            <v>32044973</v>
          </cell>
          <cell r="D412" t="str">
            <v>JUAN LUIS ROSALES IBARRA</v>
          </cell>
          <cell r="E412" t="str">
            <v xml:space="preserve">LAS FALLAS FANTASMA </v>
          </cell>
          <cell r="F412">
            <v>11</v>
          </cell>
        </row>
        <row r="413">
          <cell r="C413">
            <v>32045145</v>
          </cell>
          <cell r="D413" t="str">
            <v>ANGEL ALBERTO PERALES GARAY</v>
          </cell>
          <cell r="E413" t="str">
            <v xml:space="preserve">LAS FALLAS FANTASMA </v>
          </cell>
          <cell r="F413">
            <v>11</v>
          </cell>
        </row>
        <row r="414">
          <cell r="C414">
            <v>32045611</v>
          </cell>
          <cell r="D414" t="str">
            <v>JOSE DIAZ LOPEZ</v>
          </cell>
          <cell r="E414" t="str">
            <v xml:space="preserve">LAS FALLAS FANTASMA </v>
          </cell>
          <cell r="F414">
            <v>11</v>
          </cell>
        </row>
        <row r="415">
          <cell r="C415">
            <v>32045813</v>
          </cell>
          <cell r="D415" t="str">
            <v>JOSE DE JESUS MARQUEZ DOMINGUEZ</v>
          </cell>
          <cell r="E415" t="str">
            <v xml:space="preserve">LAS FALLAS FANTASMA </v>
          </cell>
          <cell r="F415">
            <v>11</v>
          </cell>
        </row>
        <row r="416">
          <cell r="C416">
            <v>32067361</v>
          </cell>
          <cell r="D416" t="str">
            <v>LORENZO CRUZ RODRIGUEZ</v>
          </cell>
          <cell r="E416" t="str">
            <v xml:space="preserve">LAS FALLAS FANTASMA </v>
          </cell>
          <cell r="F416">
            <v>11</v>
          </cell>
        </row>
        <row r="417">
          <cell r="C417">
            <v>32155922</v>
          </cell>
          <cell r="D417" t="str">
            <v>ROLANDO RIVAS SANCHEZ</v>
          </cell>
          <cell r="E417" t="str">
            <v xml:space="preserve">LAS FALLAS FANTASMA </v>
          </cell>
          <cell r="F417">
            <v>11</v>
          </cell>
        </row>
        <row r="418">
          <cell r="C418">
            <v>32044075</v>
          </cell>
          <cell r="D418" t="str">
            <v>HIGINIO GONZALEZ ORTIZ</v>
          </cell>
          <cell r="E418" t="str">
            <v xml:space="preserve">CHARROS </v>
          </cell>
          <cell r="F418">
            <v>12</v>
          </cell>
        </row>
        <row r="419">
          <cell r="C419">
            <v>32044370</v>
          </cell>
          <cell r="D419" t="str">
            <v>JACOBO ARELLANO MONCADA</v>
          </cell>
          <cell r="E419" t="str">
            <v xml:space="preserve">CHARROS </v>
          </cell>
          <cell r="F419">
            <v>12</v>
          </cell>
        </row>
        <row r="420">
          <cell r="C420">
            <v>32044561</v>
          </cell>
          <cell r="D420" t="str">
            <v>GERARDO MENDEZ SANDOVAL</v>
          </cell>
          <cell r="E420" t="str">
            <v xml:space="preserve">CHARROS </v>
          </cell>
          <cell r="F420">
            <v>12</v>
          </cell>
        </row>
        <row r="421">
          <cell r="C421">
            <v>32046159</v>
          </cell>
          <cell r="D421" t="str">
            <v>GONZALO ORTIZ MAURICIO</v>
          </cell>
          <cell r="E421" t="str">
            <v xml:space="preserve">CHARROS </v>
          </cell>
          <cell r="F421">
            <v>12</v>
          </cell>
        </row>
        <row r="422">
          <cell r="C422">
            <v>32046355</v>
          </cell>
          <cell r="D422" t="str">
            <v>HERIBERTO MARTINEZ MARTINEZ</v>
          </cell>
          <cell r="E422" t="str">
            <v xml:space="preserve">CHARROS </v>
          </cell>
          <cell r="F422">
            <v>12</v>
          </cell>
        </row>
        <row r="423">
          <cell r="C423">
            <v>32046569</v>
          </cell>
          <cell r="D423" t="str">
            <v>ANDRES PERALES MACIAS</v>
          </cell>
          <cell r="E423" t="str">
            <v xml:space="preserve">CHARROS </v>
          </cell>
          <cell r="F423">
            <v>12</v>
          </cell>
        </row>
        <row r="424">
          <cell r="C424">
            <v>32046671</v>
          </cell>
          <cell r="D424" t="str">
            <v>MANUEL DE JESÚS TORRES VELÁZQUEZ</v>
          </cell>
          <cell r="E424" t="str">
            <v xml:space="preserve">CHARROS </v>
          </cell>
          <cell r="F424">
            <v>12</v>
          </cell>
        </row>
        <row r="425">
          <cell r="C425">
            <v>32140576</v>
          </cell>
          <cell r="D425" t="str">
            <v>ROQUE ALEJANDRO DE LUNA DELGADO</v>
          </cell>
          <cell r="E425" t="str">
            <v xml:space="preserve">CHARROS </v>
          </cell>
          <cell r="F425">
            <v>12</v>
          </cell>
        </row>
        <row r="426">
          <cell r="C426">
            <v>32143625</v>
          </cell>
          <cell r="D426" t="str">
            <v>CESAR NIETO TORRES</v>
          </cell>
          <cell r="E426" t="str">
            <v xml:space="preserve">CHARROS </v>
          </cell>
          <cell r="F426">
            <v>12</v>
          </cell>
        </row>
        <row r="427">
          <cell r="C427">
            <v>32143665</v>
          </cell>
          <cell r="D427" t="str">
            <v>MANUEL VAZQUEZ AGUILAR</v>
          </cell>
          <cell r="E427" t="str">
            <v xml:space="preserve">CHARROS </v>
          </cell>
          <cell r="F427">
            <v>12</v>
          </cell>
        </row>
        <row r="428">
          <cell r="C428">
            <v>32150657</v>
          </cell>
          <cell r="D428" t="str">
            <v>MARTIN CARDONA VELAZQUEZ</v>
          </cell>
          <cell r="E428" t="str">
            <v xml:space="preserve">CHARROS </v>
          </cell>
          <cell r="F428">
            <v>12</v>
          </cell>
        </row>
        <row r="429">
          <cell r="C429">
            <v>32043890</v>
          </cell>
          <cell r="D429" t="str">
            <v>GABRIEL HERNANDEZ MEDINA</v>
          </cell>
          <cell r="E429" t="str">
            <v xml:space="preserve">ESCUADRON MODELO </v>
          </cell>
          <cell r="F429">
            <v>12</v>
          </cell>
        </row>
        <row r="430">
          <cell r="C430">
            <v>32044228</v>
          </cell>
          <cell r="D430" t="str">
            <v xml:space="preserve">RUPERTO LOPEZ ZAMARRIPA </v>
          </cell>
          <cell r="E430" t="str">
            <v xml:space="preserve">ESCUADRON MODELO </v>
          </cell>
          <cell r="F430">
            <v>12</v>
          </cell>
        </row>
        <row r="431">
          <cell r="C431">
            <v>32045179</v>
          </cell>
          <cell r="D431" t="str">
            <v>FRANCISCO FIGUEROA ZAPATA</v>
          </cell>
          <cell r="E431" t="str">
            <v xml:space="preserve">ESCUADRON MODELO </v>
          </cell>
          <cell r="F431">
            <v>12</v>
          </cell>
        </row>
        <row r="432">
          <cell r="C432">
            <v>32045392</v>
          </cell>
          <cell r="D432" t="str">
            <v>TERESO DE JESUS GONZALEZ MONREAL</v>
          </cell>
          <cell r="E432" t="str">
            <v xml:space="preserve">ESCUADRON MODELO </v>
          </cell>
          <cell r="F432">
            <v>12</v>
          </cell>
        </row>
        <row r="433">
          <cell r="C433">
            <v>32045643</v>
          </cell>
          <cell r="D433" t="str">
            <v>EFRAIN DELGADO HERNANDEZ</v>
          </cell>
          <cell r="E433" t="str">
            <v xml:space="preserve">ESCUADRON MODELO </v>
          </cell>
          <cell r="F433">
            <v>12</v>
          </cell>
        </row>
        <row r="434">
          <cell r="C434">
            <v>32046089</v>
          </cell>
          <cell r="D434" t="str">
            <v>JUAN JOSE LOPEZ MUÑOZ</v>
          </cell>
          <cell r="E434" t="str">
            <v xml:space="preserve">ESCUADRON MODELO </v>
          </cell>
          <cell r="F434">
            <v>12</v>
          </cell>
        </row>
        <row r="435">
          <cell r="C435">
            <v>32046515</v>
          </cell>
          <cell r="D435" t="str">
            <v>ROBERTO ROBLES MARQUEZ</v>
          </cell>
          <cell r="E435" t="str">
            <v xml:space="preserve">ESCUADRON MODELO </v>
          </cell>
          <cell r="F435">
            <v>12</v>
          </cell>
        </row>
        <row r="436">
          <cell r="C436">
            <v>32057876</v>
          </cell>
          <cell r="D436" t="str">
            <v>CONRADO FLORES ROBLEDO</v>
          </cell>
          <cell r="E436" t="str">
            <v xml:space="preserve">ESCUADRON MODELO </v>
          </cell>
          <cell r="F436">
            <v>12</v>
          </cell>
        </row>
        <row r="437">
          <cell r="C437">
            <v>32108994</v>
          </cell>
          <cell r="D437" t="str">
            <v>JUAN CARLOS GONZALEZ SANCHEZ</v>
          </cell>
          <cell r="E437" t="str">
            <v xml:space="preserve">ESCUADRON MODELO </v>
          </cell>
          <cell r="F437">
            <v>12</v>
          </cell>
        </row>
        <row r="438">
          <cell r="C438">
            <v>32132048</v>
          </cell>
          <cell r="D438" t="str">
            <v>ISRAEL MARQUEZ ARELLANO</v>
          </cell>
          <cell r="E438" t="str">
            <v xml:space="preserve">ESCUADRON MODELO </v>
          </cell>
          <cell r="F438">
            <v>12</v>
          </cell>
        </row>
        <row r="439">
          <cell r="C439">
            <v>32044156</v>
          </cell>
          <cell r="D439" t="str">
            <v>JAVIER LUNA LOPEZ</v>
          </cell>
          <cell r="E439" t="str">
            <v xml:space="preserve">ESCUADRON MODELO </v>
          </cell>
          <cell r="F439">
            <v>12</v>
          </cell>
        </row>
        <row r="440">
          <cell r="C440">
            <v>32043920</v>
          </cell>
          <cell r="D440" t="str">
            <v>JUAN RODRIGUEZ CASTORENA</v>
          </cell>
          <cell r="E440" t="str">
            <v xml:space="preserve">OSOS DORMIDOS </v>
          </cell>
          <cell r="F440">
            <v>12</v>
          </cell>
        </row>
        <row r="441">
          <cell r="C441">
            <v>32044046</v>
          </cell>
          <cell r="D441" t="str">
            <v>RAFAEL TORRES GUTIERREZ</v>
          </cell>
          <cell r="E441" t="str">
            <v xml:space="preserve">OSOS DORMIDOS </v>
          </cell>
          <cell r="F441">
            <v>12</v>
          </cell>
        </row>
        <row r="442">
          <cell r="C442">
            <v>32044051</v>
          </cell>
          <cell r="D442" t="str">
            <v>DANIEL ESPARZA FERNANDEZ</v>
          </cell>
          <cell r="E442" t="str">
            <v xml:space="preserve">OSOS DORMIDOS </v>
          </cell>
          <cell r="F442">
            <v>12</v>
          </cell>
        </row>
        <row r="443">
          <cell r="C443">
            <v>32044164</v>
          </cell>
          <cell r="D443" t="str">
            <v>JOSE MANUEL TORRES JAIME</v>
          </cell>
          <cell r="E443" t="str">
            <v xml:space="preserve">OSOS DORMIDOS </v>
          </cell>
          <cell r="F443">
            <v>12</v>
          </cell>
        </row>
        <row r="444">
          <cell r="C444">
            <v>32044644</v>
          </cell>
          <cell r="D444" t="str">
            <v>JOSE MANUEL GARCIA HERNANDEZ</v>
          </cell>
          <cell r="E444" t="str">
            <v xml:space="preserve">OSOS DORMIDOS </v>
          </cell>
          <cell r="F444">
            <v>12</v>
          </cell>
        </row>
        <row r="445">
          <cell r="C445">
            <v>32044852</v>
          </cell>
          <cell r="D445" t="str">
            <v>JOSE ANGEL VARELA JARAMILLO</v>
          </cell>
          <cell r="E445" t="str">
            <v xml:space="preserve">OSOS DORMIDOS </v>
          </cell>
          <cell r="F445">
            <v>12</v>
          </cell>
        </row>
        <row r="446">
          <cell r="C446">
            <v>32045140</v>
          </cell>
          <cell r="D446" t="str">
            <v>RITO MADERA GONZALEZ</v>
          </cell>
          <cell r="E446" t="str">
            <v xml:space="preserve">OSOS DORMIDOS </v>
          </cell>
          <cell r="F446">
            <v>12</v>
          </cell>
        </row>
        <row r="447">
          <cell r="C447">
            <v>32046657</v>
          </cell>
          <cell r="D447" t="str">
            <v>JUAN ROGELIO FIGUEROA TREJO</v>
          </cell>
          <cell r="E447" t="str">
            <v xml:space="preserve">OSOS DORMIDOS </v>
          </cell>
          <cell r="F447">
            <v>12</v>
          </cell>
        </row>
        <row r="448">
          <cell r="C448">
            <v>32106989</v>
          </cell>
          <cell r="D448" t="str">
            <v>HUGO ALFREDO ALVARADO SILVA</v>
          </cell>
          <cell r="E448" t="str">
            <v xml:space="preserve">OSOS DORMIDOS </v>
          </cell>
          <cell r="F448">
            <v>12</v>
          </cell>
        </row>
        <row r="449">
          <cell r="C449">
            <v>32132186</v>
          </cell>
          <cell r="D449" t="str">
            <v>DAVID VILLEGAS PEREZ</v>
          </cell>
          <cell r="E449" t="str">
            <v xml:space="preserve">OSOS DORMIDOS </v>
          </cell>
          <cell r="F449">
            <v>12</v>
          </cell>
        </row>
        <row r="450">
          <cell r="C450">
            <v>32132193</v>
          </cell>
          <cell r="D450" t="str">
            <v>ANGEL ISIDRO VILLARREAL ESPARZA</v>
          </cell>
          <cell r="E450" t="str">
            <v xml:space="preserve">OSOS DORMIDOS </v>
          </cell>
          <cell r="F450">
            <v>12</v>
          </cell>
        </row>
        <row r="451">
          <cell r="C451">
            <v>32045601</v>
          </cell>
          <cell r="D451" t="str">
            <v>CERVANTES URIBE JORGE HECTOR</v>
          </cell>
          <cell r="E451" t="str">
            <v xml:space="preserve">COLMILLOS BLANCOS </v>
          </cell>
          <cell r="F451">
            <v>13</v>
          </cell>
        </row>
        <row r="452">
          <cell r="C452">
            <v>32186050</v>
          </cell>
          <cell r="D452" t="str">
            <v>SALAZAR MALDONADO EDUARDO</v>
          </cell>
          <cell r="E452" t="str">
            <v xml:space="preserve">COLMILLOS BLANCOS </v>
          </cell>
          <cell r="F452">
            <v>13</v>
          </cell>
        </row>
        <row r="453">
          <cell r="C453">
            <v>32044722</v>
          </cell>
          <cell r="D453" t="str">
            <v>VELAZQUEZ CAZAREZ JAYME</v>
          </cell>
          <cell r="E453" t="str">
            <v xml:space="preserve">COLMILLOS BLANCOS </v>
          </cell>
          <cell r="F453">
            <v>13</v>
          </cell>
        </row>
        <row r="454">
          <cell r="C454">
            <v>32045798</v>
          </cell>
          <cell r="D454" t="str">
            <v>ALVAREZ MARTINEZ JOEL</v>
          </cell>
          <cell r="E454" t="str">
            <v xml:space="preserve">COLMILLOS BLANCOS </v>
          </cell>
          <cell r="F454">
            <v>13</v>
          </cell>
        </row>
        <row r="455">
          <cell r="C455">
            <v>32067154</v>
          </cell>
          <cell r="D455" t="str">
            <v>HERNANDEZ ALVARADO EDUARDO</v>
          </cell>
          <cell r="E455" t="str">
            <v xml:space="preserve">COLMILLOS BLANCOS </v>
          </cell>
          <cell r="F455">
            <v>13</v>
          </cell>
        </row>
        <row r="456">
          <cell r="C456">
            <v>32197873</v>
          </cell>
          <cell r="D456" t="str">
            <v>MEDINA VAZQUEZ EDUARDO</v>
          </cell>
          <cell r="E456" t="str">
            <v xml:space="preserve">COLMILLOS BLANCOS </v>
          </cell>
          <cell r="F456">
            <v>13</v>
          </cell>
        </row>
        <row r="457">
          <cell r="C457">
            <v>32044243</v>
          </cell>
          <cell r="D457" t="str">
            <v>RAMIREZ IBARRA ALFREDO</v>
          </cell>
          <cell r="E457" t="str">
            <v xml:space="preserve">COLMILLOS BLANCOS </v>
          </cell>
          <cell r="F457">
            <v>13</v>
          </cell>
        </row>
        <row r="458">
          <cell r="C458">
            <v>32132047</v>
          </cell>
          <cell r="D458" t="str">
            <v>CESAR ISAI SAUCEDO LOPEZ</v>
          </cell>
          <cell r="E458" t="str">
            <v xml:space="preserve">COLMILLOS BLANCOS </v>
          </cell>
          <cell r="F458">
            <v>13</v>
          </cell>
        </row>
        <row r="459">
          <cell r="C459">
            <v>32044993</v>
          </cell>
          <cell r="D459" t="str">
            <v>HERRERA CARDONA OCTAVIO</v>
          </cell>
          <cell r="E459" t="str">
            <v xml:space="preserve">COLMILLOS BLANCOS </v>
          </cell>
          <cell r="F459">
            <v>13</v>
          </cell>
        </row>
        <row r="460">
          <cell r="C460">
            <v>32044487</v>
          </cell>
          <cell r="D460" t="str">
            <v>GONZALEZ AVILA SAUL</v>
          </cell>
          <cell r="E460" t="str">
            <v xml:space="preserve">COLMILLOS BLANCOS </v>
          </cell>
          <cell r="F460">
            <v>13</v>
          </cell>
        </row>
        <row r="461">
          <cell r="C461">
            <v>32132604</v>
          </cell>
          <cell r="D461" t="str">
            <v>GONZALEZ RAMIREZ TOMAS</v>
          </cell>
          <cell r="E461" t="str">
            <v xml:space="preserve">COLMILLOS BLANCOS </v>
          </cell>
          <cell r="F461">
            <v>13</v>
          </cell>
        </row>
        <row r="462">
          <cell r="C462">
            <v>32111144</v>
          </cell>
          <cell r="D462" t="str">
            <v>RAMIREZ PARRA LUIS ROBERTO</v>
          </cell>
          <cell r="E462" t="str">
            <v xml:space="preserve">COLMILLOS BLANCOS </v>
          </cell>
          <cell r="F462">
            <v>13</v>
          </cell>
        </row>
        <row r="463">
          <cell r="C463">
            <v>32132046</v>
          </cell>
          <cell r="D463" t="str">
            <v>FERNANDO MARTINEZ PI?A</v>
          </cell>
          <cell r="E463" t="str">
            <v xml:space="preserve">HULK </v>
          </cell>
          <cell r="F463">
            <v>14</v>
          </cell>
        </row>
        <row r="464">
          <cell r="C464">
            <v>32044731</v>
          </cell>
          <cell r="D464" t="str">
            <v>ANGEL RAMIREZ HERNANDEZ</v>
          </cell>
          <cell r="E464" t="str">
            <v xml:space="preserve">HULK </v>
          </cell>
          <cell r="F464">
            <v>14</v>
          </cell>
        </row>
        <row r="465">
          <cell r="C465">
            <v>32044729</v>
          </cell>
          <cell r="D465" t="str">
            <v>JOSE DE JESUS REYES DOMINGUEZ</v>
          </cell>
          <cell r="E465" t="str">
            <v xml:space="preserve">HULK </v>
          </cell>
          <cell r="F465">
            <v>14</v>
          </cell>
        </row>
        <row r="466">
          <cell r="C466">
            <v>32202290</v>
          </cell>
          <cell r="D466" t="str">
            <v>HILARIO ELICERIO ADAME</v>
          </cell>
          <cell r="E466" t="str">
            <v xml:space="preserve">HULK </v>
          </cell>
          <cell r="F466">
            <v>14</v>
          </cell>
        </row>
        <row r="467">
          <cell r="C467">
            <v>32044915</v>
          </cell>
          <cell r="D467" t="str">
            <v>JORGE SOSA LOPEZ</v>
          </cell>
          <cell r="E467" t="str">
            <v xml:space="preserve">HULK </v>
          </cell>
          <cell r="F467">
            <v>14</v>
          </cell>
        </row>
        <row r="468">
          <cell r="C468">
            <v>32045237</v>
          </cell>
          <cell r="D468" t="str">
            <v>ROGELIO MORENO LEOS</v>
          </cell>
          <cell r="E468" t="str">
            <v xml:space="preserve">HULK </v>
          </cell>
          <cell r="F468">
            <v>14</v>
          </cell>
        </row>
        <row r="469">
          <cell r="C469">
            <v>32044865</v>
          </cell>
          <cell r="D469" t="str">
            <v>JUAN MANUEL GONZALEZ SALDIVAR</v>
          </cell>
          <cell r="E469" t="str">
            <v xml:space="preserve">HULK </v>
          </cell>
          <cell r="F469">
            <v>14</v>
          </cell>
        </row>
        <row r="470">
          <cell r="C470">
            <v>32046217</v>
          </cell>
          <cell r="D470" t="str">
            <v>RAUL ORDAZ MOLINA</v>
          </cell>
          <cell r="E470" t="str">
            <v xml:space="preserve">HULK </v>
          </cell>
          <cell r="F470">
            <v>14</v>
          </cell>
        </row>
        <row r="471">
          <cell r="C471">
            <v>32132234</v>
          </cell>
          <cell r="D471" t="str">
            <v>FERNANDO ESPARZA GARCIA</v>
          </cell>
          <cell r="E471" t="str">
            <v xml:space="preserve">HULK </v>
          </cell>
          <cell r="F471">
            <v>14</v>
          </cell>
        </row>
        <row r="472">
          <cell r="C472">
            <v>32045206</v>
          </cell>
          <cell r="D472" t="str">
            <v>MARCELO LOPEZ RODRIGUEZ</v>
          </cell>
          <cell r="E472" t="str">
            <v xml:space="preserve">HULK </v>
          </cell>
          <cell r="F472">
            <v>14</v>
          </cell>
        </row>
        <row r="473">
          <cell r="C473">
            <v>32046080</v>
          </cell>
          <cell r="D473" t="str">
            <v>LORENZO GONZALEZ GARCIA</v>
          </cell>
          <cell r="E473" t="str">
            <v xml:space="preserve">HULK </v>
          </cell>
          <cell r="F473">
            <v>14</v>
          </cell>
        </row>
        <row r="474">
          <cell r="C474">
            <v>32045180</v>
          </cell>
          <cell r="D474" t="str">
            <v>RAMON MARQUEZ DOMINGUEZ</v>
          </cell>
          <cell r="E474" t="str">
            <v xml:space="preserve">PITBULLS </v>
          </cell>
          <cell r="F474">
            <v>13</v>
          </cell>
        </row>
        <row r="475">
          <cell r="C475">
            <v>32142965</v>
          </cell>
          <cell r="D475" t="str">
            <v>ALEJANDRO SANTILLAN ANDRADE</v>
          </cell>
          <cell r="E475" t="str">
            <v xml:space="preserve">PITBULLS </v>
          </cell>
          <cell r="F475">
            <v>13</v>
          </cell>
        </row>
        <row r="476">
          <cell r="C476">
            <v>32046268</v>
          </cell>
          <cell r="D476" t="str">
            <v>VICTOR HUGO PALACIOS ESCOBEDO</v>
          </cell>
          <cell r="E476" t="str">
            <v xml:space="preserve">PITBULLS </v>
          </cell>
          <cell r="F476">
            <v>13</v>
          </cell>
        </row>
        <row r="477">
          <cell r="C477">
            <v>32043942</v>
          </cell>
          <cell r="D477" t="str">
            <v>ROLANDO LUNA JUAREZ</v>
          </cell>
          <cell r="E477" t="str">
            <v xml:space="preserve">PITBULLS </v>
          </cell>
          <cell r="F477">
            <v>13</v>
          </cell>
        </row>
        <row r="478">
          <cell r="C478">
            <v>32044067</v>
          </cell>
          <cell r="D478" t="str">
            <v>RAFAEL DOMINGUEZ DE SANTIAGO</v>
          </cell>
          <cell r="E478" t="str">
            <v xml:space="preserve">PITBULLS </v>
          </cell>
          <cell r="F478">
            <v>13</v>
          </cell>
        </row>
        <row r="479">
          <cell r="C479">
            <v>32138052</v>
          </cell>
          <cell r="D479" t="str">
            <v xml:space="preserve">JUAN DAVID RAMIREZ MONTOYA </v>
          </cell>
          <cell r="E479" t="str">
            <v xml:space="preserve">PITBULLS </v>
          </cell>
          <cell r="F479">
            <v>13</v>
          </cell>
        </row>
        <row r="480">
          <cell r="C480">
            <v>32140577</v>
          </cell>
          <cell r="D480" t="str">
            <v>JOSE ANGEL MARTINEZ LIZARDO</v>
          </cell>
          <cell r="E480" t="str">
            <v xml:space="preserve">PITBULLS </v>
          </cell>
          <cell r="F480">
            <v>13</v>
          </cell>
        </row>
        <row r="481">
          <cell r="C481">
            <v>32142975</v>
          </cell>
          <cell r="D481" t="str">
            <v>EVERARDO ROBLES NIETO</v>
          </cell>
          <cell r="E481" t="str">
            <v xml:space="preserve">PITBULLS </v>
          </cell>
          <cell r="F481">
            <v>13</v>
          </cell>
        </row>
        <row r="482">
          <cell r="C482">
            <v>32198229</v>
          </cell>
          <cell r="D482" t="str">
            <v>EMMAUNEL ALEJANDRO ZAPATA PARRA</v>
          </cell>
          <cell r="E482" t="str">
            <v xml:space="preserve">PITBULLS </v>
          </cell>
          <cell r="F482">
            <v>13</v>
          </cell>
        </row>
        <row r="483">
          <cell r="C483">
            <v>32045538</v>
          </cell>
          <cell r="D483" t="str">
            <v>EMILIO CASTRO MORENO</v>
          </cell>
          <cell r="E483" t="str">
            <v xml:space="preserve">PITBULLS </v>
          </cell>
          <cell r="F483">
            <v>13</v>
          </cell>
        </row>
        <row r="484">
          <cell r="C484">
            <v>32044682</v>
          </cell>
          <cell r="D484" t="str">
            <v>CUAUHTEMOC TALAVERA OTERO</v>
          </cell>
          <cell r="E484" t="str">
            <v xml:space="preserve">PITBULLS </v>
          </cell>
          <cell r="F484">
            <v>13</v>
          </cell>
        </row>
        <row r="485">
          <cell r="C485">
            <v>32136709</v>
          </cell>
          <cell r="D485" t="str">
            <v>ADAN LARA SOSA</v>
          </cell>
          <cell r="E485" t="str">
            <v xml:space="preserve">PITBULLS </v>
          </cell>
          <cell r="F485">
            <v>13</v>
          </cell>
        </row>
        <row r="486">
          <cell r="C486">
            <v>32142988</v>
          </cell>
          <cell r="D486" t="str">
            <v>SERGIO IVÁN GODINA MARTÍNEZ</v>
          </cell>
          <cell r="E486" t="str">
            <v xml:space="preserve">WAKANDIANOS </v>
          </cell>
          <cell r="F486">
            <v>13</v>
          </cell>
        </row>
        <row r="487">
          <cell r="C487">
            <v>32045021</v>
          </cell>
          <cell r="D487" t="str">
            <v>RAÚL ESPITIA PINEDO</v>
          </cell>
          <cell r="E487" t="str">
            <v xml:space="preserve">WAKANDIANOS </v>
          </cell>
          <cell r="F487">
            <v>13</v>
          </cell>
        </row>
        <row r="488">
          <cell r="C488">
            <v>32045059</v>
          </cell>
          <cell r="D488" t="str">
            <v>OSCAR ELICERIO RODRÍGUEZ</v>
          </cell>
          <cell r="E488" t="str">
            <v xml:space="preserve">WAKANDIANOS </v>
          </cell>
          <cell r="F488">
            <v>13</v>
          </cell>
        </row>
        <row r="489">
          <cell r="C489">
            <v>32149074</v>
          </cell>
          <cell r="D489" t="str">
            <v>OSBALDO DE JESÚS BRETADO CASTRO</v>
          </cell>
          <cell r="E489" t="str">
            <v xml:space="preserve">WAKANDIANOS </v>
          </cell>
          <cell r="F489">
            <v>13</v>
          </cell>
        </row>
        <row r="490">
          <cell r="C490">
            <v>32153534</v>
          </cell>
          <cell r="D490" t="str">
            <v>MIGUEL ÁNGEL ORTIZ MIRANDA</v>
          </cell>
          <cell r="E490" t="str">
            <v xml:space="preserve">WAKANDIANOS </v>
          </cell>
          <cell r="F490">
            <v>13</v>
          </cell>
        </row>
        <row r="491">
          <cell r="C491">
            <v>32045060</v>
          </cell>
          <cell r="D491" t="str">
            <v>JOSE MANUEL ELISERIO RODRÍGUEZ</v>
          </cell>
          <cell r="E491" t="str">
            <v xml:space="preserve">WAKANDIANOS </v>
          </cell>
          <cell r="F491">
            <v>13</v>
          </cell>
        </row>
        <row r="492">
          <cell r="C492">
            <v>32108864</v>
          </cell>
          <cell r="D492" t="str">
            <v>JOSÉ IGNACIO LUJAN CRUZ</v>
          </cell>
          <cell r="E492" t="str">
            <v xml:space="preserve">WAKANDIANOS </v>
          </cell>
          <cell r="F492">
            <v>13</v>
          </cell>
        </row>
        <row r="493">
          <cell r="C493">
            <v>32046316</v>
          </cell>
          <cell r="D493" t="str">
            <v>JOSÉ DE JESÚS DE LA ROSA MEDINA</v>
          </cell>
          <cell r="E493" t="str">
            <v xml:space="preserve">WAKANDIANOS </v>
          </cell>
          <cell r="F493">
            <v>13</v>
          </cell>
        </row>
        <row r="494">
          <cell r="C494">
            <v>32045585</v>
          </cell>
          <cell r="D494" t="str">
            <v>GUSTAVO NUÑEZ MUÑOZ</v>
          </cell>
          <cell r="E494" t="str">
            <v xml:space="preserve">WAKANDIANOS </v>
          </cell>
          <cell r="F494">
            <v>13</v>
          </cell>
        </row>
        <row r="495">
          <cell r="C495">
            <v>32061304</v>
          </cell>
          <cell r="D495" t="str">
            <v>DELFINO CARRILLO MONTALVO</v>
          </cell>
          <cell r="E495" t="str">
            <v xml:space="preserve">WAKANDIANOS </v>
          </cell>
          <cell r="F495">
            <v>13</v>
          </cell>
        </row>
        <row r="496">
          <cell r="C496">
            <v>32148864</v>
          </cell>
          <cell r="D496" t="str">
            <v>DANIEL SILVA DELGADO</v>
          </cell>
          <cell r="E496" t="str">
            <v xml:space="preserve">WAKANDIANOS </v>
          </cell>
          <cell r="F496">
            <v>13</v>
          </cell>
        </row>
        <row r="497">
          <cell r="C497">
            <v>32046006</v>
          </cell>
          <cell r="D497" t="str">
            <v>ALBERTO RAMÍREZ ESTRADA</v>
          </cell>
          <cell r="E497" t="str">
            <v xml:space="preserve">WAKANDIANOS </v>
          </cell>
          <cell r="F497">
            <v>13</v>
          </cell>
        </row>
        <row r="498">
          <cell r="C498">
            <v>32045364</v>
          </cell>
          <cell r="D498" t="str">
            <v>AGUSTIN ESCOBEDO RAMÍREZ</v>
          </cell>
          <cell r="E498" t="str">
            <v xml:space="preserve">WAKANDIANOS </v>
          </cell>
          <cell r="F498">
            <v>13</v>
          </cell>
        </row>
        <row r="499">
          <cell r="C499">
            <v>32046372</v>
          </cell>
          <cell r="D499" t="str">
            <v>LICERIO MALDONADO ERASMO</v>
          </cell>
          <cell r="E499" t="str">
            <v xml:space="preserve">RORRITOS </v>
          </cell>
          <cell r="F499">
            <v>14</v>
          </cell>
        </row>
        <row r="500">
          <cell r="C500">
            <v>32046176</v>
          </cell>
          <cell r="D500" t="str">
            <v>RUIZ MACIAS EDUARDO</v>
          </cell>
          <cell r="E500" t="str">
            <v xml:space="preserve">RORRITOS </v>
          </cell>
          <cell r="F500">
            <v>14</v>
          </cell>
        </row>
        <row r="501">
          <cell r="C501">
            <v>32045791</v>
          </cell>
          <cell r="D501" t="str">
            <v>DEVORA RAMIREZ EUGENIO</v>
          </cell>
          <cell r="E501" t="str">
            <v xml:space="preserve">RORRITOS </v>
          </cell>
          <cell r="F501">
            <v>14</v>
          </cell>
        </row>
        <row r="502">
          <cell r="C502">
            <v>32045962</v>
          </cell>
          <cell r="D502" t="str">
            <v>GUARDADO LEYVA BULMARO</v>
          </cell>
          <cell r="E502" t="str">
            <v xml:space="preserve">RORRITOS </v>
          </cell>
          <cell r="F502">
            <v>14</v>
          </cell>
        </row>
        <row r="503">
          <cell r="C503">
            <v>32044903</v>
          </cell>
          <cell r="D503" t="str">
            <v>PALACIOS VILLELA ADRIAN</v>
          </cell>
          <cell r="E503" t="str">
            <v xml:space="preserve">RORRITOS </v>
          </cell>
          <cell r="F503">
            <v>14</v>
          </cell>
        </row>
        <row r="504">
          <cell r="C504">
            <v>32046340</v>
          </cell>
          <cell r="D504" t="str">
            <v>RUIZ MARTINES ADRIAN</v>
          </cell>
          <cell r="E504" t="str">
            <v xml:space="preserve">RORRITOS </v>
          </cell>
          <cell r="F504">
            <v>14</v>
          </cell>
        </row>
        <row r="505">
          <cell r="C505">
            <v>32044998</v>
          </cell>
          <cell r="D505" t="str">
            <v>OROZCO ARELLANO ARMANDO</v>
          </cell>
          <cell r="E505" t="str">
            <v xml:space="preserve">RORRITOS </v>
          </cell>
          <cell r="F505">
            <v>14</v>
          </cell>
        </row>
        <row r="506">
          <cell r="C506">
            <v>32148856</v>
          </cell>
          <cell r="D506" t="str">
            <v>JORGE LUIS DOMINGUE</v>
          </cell>
          <cell r="E506" t="str">
            <v xml:space="preserve">RORRITOS </v>
          </cell>
          <cell r="F506">
            <v>14</v>
          </cell>
        </row>
        <row r="507">
          <cell r="C507">
            <v>32044466</v>
          </cell>
          <cell r="D507" t="str">
            <v>SATARAIN MARTINEZ JUAN MANUEL</v>
          </cell>
          <cell r="E507" t="str">
            <v xml:space="preserve">RORRITOS </v>
          </cell>
          <cell r="F507">
            <v>14</v>
          </cell>
        </row>
        <row r="508">
          <cell r="C508">
            <v>32044462</v>
          </cell>
          <cell r="D508" t="str">
            <v>RODRIGUEZ SANTILLAN JUAN MANUEL</v>
          </cell>
          <cell r="E508" t="str">
            <v xml:space="preserve">RORRITOS </v>
          </cell>
          <cell r="F508">
            <v>14</v>
          </cell>
        </row>
        <row r="509">
          <cell r="C509">
            <v>32199797</v>
          </cell>
          <cell r="D509" t="str">
            <v>SANTOS HERNANDEZ RAUL</v>
          </cell>
          <cell r="E509" t="str">
            <v xml:space="preserve">RORRITOS </v>
          </cell>
          <cell r="F509">
            <v>14</v>
          </cell>
        </row>
        <row r="510">
          <cell r="C510">
            <v>32131879</v>
          </cell>
          <cell r="D510" t="str">
            <v>CESAR SALINAS MARTINEZ</v>
          </cell>
          <cell r="E510" t="str">
            <v xml:space="preserve">MILAGROSOS </v>
          </cell>
          <cell r="F510">
            <v>14</v>
          </cell>
        </row>
        <row r="511">
          <cell r="C511">
            <v>32148861</v>
          </cell>
          <cell r="D511" t="str">
            <v>MARCO ANTONIO DIAZ ARROYO</v>
          </cell>
          <cell r="E511" t="str">
            <v xml:space="preserve">MILAGROSOS </v>
          </cell>
          <cell r="F511">
            <v>14</v>
          </cell>
        </row>
        <row r="512">
          <cell r="C512">
            <v>32187990</v>
          </cell>
          <cell r="D512" t="str">
            <v>JORGE HERNANDEZ JAQUEZ</v>
          </cell>
          <cell r="E512" t="str">
            <v xml:space="preserve">MILAGROSOS </v>
          </cell>
          <cell r="F512">
            <v>14</v>
          </cell>
        </row>
        <row r="513">
          <cell r="C513">
            <v>32138049</v>
          </cell>
          <cell r="D513" t="str">
            <v>JOSE MANUEL ORTIZ SUSTAITA</v>
          </cell>
          <cell r="E513" t="str">
            <v xml:space="preserve">MILAGROSOS </v>
          </cell>
          <cell r="F513">
            <v>14</v>
          </cell>
        </row>
        <row r="514">
          <cell r="C514">
            <v>32136509</v>
          </cell>
          <cell r="D514" t="str">
            <v>HUGO ADRIAN CARRILLO HERNANDEZ</v>
          </cell>
          <cell r="E514" t="str">
            <v xml:space="preserve">MILAGROSOS </v>
          </cell>
          <cell r="F514">
            <v>14</v>
          </cell>
        </row>
        <row r="515">
          <cell r="C515">
            <v>32102190</v>
          </cell>
          <cell r="D515" t="str">
            <v>LUIS JAVIER QUINTERO REYES</v>
          </cell>
          <cell r="E515" t="str">
            <v xml:space="preserve">MILAGROSOS </v>
          </cell>
          <cell r="F515">
            <v>14</v>
          </cell>
        </row>
        <row r="516">
          <cell r="C516">
            <v>32045523</v>
          </cell>
          <cell r="D516" t="str">
            <v>JESUS ORTEGA GARAY</v>
          </cell>
          <cell r="E516" t="str">
            <v xml:space="preserve">MILAGROSOS </v>
          </cell>
          <cell r="F516">
            <v>14</v>
          </cell>
        </row>
        <row r="517">
          <cell r="C517">
            <v>32107030</v>
          </cell>
          <cell r="D517" t="str">
            <v>ALFONSO TREJO BA?UELOS</v>
          </cell>
          <cell r="E517" t="str">
            <v xml:space="preserve">MILAGROSOS </v>
          </cell>
          <cell r="F517">
            <v>14</v>
          </cell>
        </row>
        <row r="518">
          <cell r="C518">
            <v>32046352</v>
          </cell>
          <cell r="D518" t="str">
            <v>RAMIRO LOPEZ VALDES</v>
          </cell>
          <cell r="E518" t="str">
            <v xml:space="preserve">MILAGROSOS </v>
          </cell>
          <cell r="F518">
            <v>14</v>
          </cell>
        </row>
        <row r="519">
          <cell r="C519">
            <v>32044961</v>
          </cell>
          <cell r="D519" t="str">
            <v>JOSE MANUEL CAMPOS AVILA</v>
          </cell>
          <cell r="E519" t="str">
            <v xml:space="preserve">MILAGROSOS </v>
          </cell>
          <cell r="F519">
            <v>14</v>
          </cell>
        </row>
        <row r="520">
          <cell r="C520">
            <v>32046367</v>
          </cell>
          <cell r="D520" t="str">
            <v>SERVANDO VALDEZ SOSA</v>
          </cell>
          <cell r="E520" t="str">
            <v xml:space="preserve">MILAGROSOS </v>
          </cell>
          <cell r="F520">
            <v>14</v>
          </cell>
        </row>
        <row r="521">
          <cell r="C521">
            <v>32064299</v>
          </cell>
          <cell r="D521" t="str">
            <v>ROSENDO RAFAEL CARRILLO MACIAS</v>
          </cell>
          <cell r="E521" t="str">
            <v xml:space="preserve">CHAMPIONS </v>
          </cell>
          <cell r="F521">
            <v>14</v>
          </cell>
        </row>
        <row r="522">
          <cell r="C522">
            <v>32045806</v>
          </cell>
          <cell r="D522" t="str">
            <v>MIGUEL ANGEL CORTEZ VILLARREAL</v>
          </cell>
          <cell r="E522" t="str">
            <v xml:space="preserve">CHAMPIONS </v>
          </cell>
          <cell r="F522">
            <v>14</v>
          </cell>
        </row>
        <row r="523">
          <cell r="C523">
            <v>32218790</v>
          </cell>
          <cell r="D523" t="str">
            <v>MARIA ISABEL PINALES</v>
          </cell>
          <cell r="E523" t="str">
            <v xml:space="preserve">CHAMPIONS </v>
          </cell>
          <cell r="F523">
            <v>14</v>
          </cell>
        </row>
        <row r="524">
          <cell r="C524">
            <v>32044002</v>
          </cell>
          <cell r="D524" t="str">
            <v>JOSE MANUEL BARRON JIMENEZ</v>
          </cell>
          <cell r="E524" t="str">
            <v xml:space="preserve">CHAMPIONS </v>
          </cell>
          <cell r="F524">
            <v>14</v>
          </cell>
        </row>
        <row r="525">
          <cell r="C525">
            <v>32197897</v>
          </cell>
          <cell r="D525" t="str">
            <v>JOSE LUIS SERNA SANTILLAN</v>
          </cell>
          <cell r="E525" t="str">
            <v xml:space="preserve">CHAMPIONS </v>
          </cell>
          <cell r="F525">
            <v>14</v>
          </cell>
        </row>
        <row r="526">
          <cell r="C526">
            <v>32132051</v>
          </cell>
          <cell r="D526" t="str">
            <v>HERALDO MAYEL LOPEZ RAMIREZ</v>
          </cell>
          <cell r="E526" t="str">
            <v xml:space="preserve">CHAMPIONS </v>
          </cell>
          <cell r="F526">
            <v>14</v>
          </cell>
        </row>
        <row r="527">
          <cell r="C527">
            <v>32143052</v>
          </cell>
          <cell r="D527" t="str">
            <v>GABRIEL MONREAL MARTINEZ</v>
          </cell>
          <cell r="E527" t="str">
            <v xml:space="preserve">CHAMPIONS </v>
          </cell>
          <cell r="F527">
            <v>14</v>
          </cell>
        </row>
        <row r="528">
          <cell r="C528">
            <v>32044543</v>
          </cell>
          <cell r="D528" t="str">
            <v>FILIBERTO REYES VILLAVICENCIO</v>
          </cell>
          <cell r="E528" t="str">
            <v xml:space="preserve">CHAMPIONS </v>
          </cell>
          <cell r="F528">
            <v>14</v>
          </cell>
        </row>
        <row r="529">
          <cell r="C529">
            <v>32143053</v>
          </cell>
          <cell r="D529" t="str">
            <v>EDGAR FABIAN HERRERA RAMIREZ</v>
          </cell>
          <cell r="E529" t="str">
            <v xml:space="preserve">CHAMPIONS </v>
          </cell>
          <cell r="F529">
            <v>14</v>
          </cell>
        </row>
        <row r="530">
          <cell r="C530">
            <v>32046016</v>
          </cell>
          <cell r="D530" t="str">
            <v>BENITO ABRAM MENDIOLA HINOJOSA</v>
          </cell>
          <cell r="E530" t="str">
            <v xml:space="preserve">CHAMPIONS </v>
          </cell>
          <cell r="F530">
            <v>14</v>
          </cell>
        </row>
        <row r="531">
          <cell r="C531">
            <v>32045507</v>
          </cell>
          <cell r="D531" t="str">
            <v>ANTONIO FELIX DELGADO</v>
          </cell>
          <cell r="E531" t="str">
            <v xml:space="preserve">CHAMPIONS </v>
          </cell>
          <cell r="F531">
            <v>14</v>
          </cell>
        </row>
        <row r="532">
          <cell r="C532">
            <v>32046553</v>
          </cell>
          <cell r="D532" t="str">
            <v>ABEL SILVA AGUILAR</v>
          </cell>
          <cell r="E532" t="str">
            <v xml:space="preserve">CHAMPIONS </v>
          </cell>
          <cell r="F532">
            <v>14</v>
          </cell>
        </row>
        <row r="533">
          <cell r="C533">
            <v>32197876</v>
          </cell>
          <cell r="D533" t="str">
            <v>EDWIN YAHIR MAURICIO</v>
          </cell>
          <cell r="E533" t="str">
            <v xml:space="preserve">CHAMPIONS </v>
          </cell>
          <cell r="F533">
            <v>14</v>
          </cell>
        </row>
        <row r="534">
          <cell r="C534">
            <v>32043877</v>
          </cell>
          <cell r="D534" t="str">
            <v>TORRES ARTEAGA JESUS</v>
          </cell>
          <cell r="E534" t="str">
            <v>SIN EQUIPO APOYO MH</v>
          </cell>
          <cell r="F534" t="str">
            <v>APOYO MH</v>
          </cell>
        </row>
        <row r="535">
          <cell r="C535">
            <v>32044567</v>
          </cell>
          <cell r="D535" t="str">
            <v>ZAPATA HERNANDEZ ALEJANDRO</v>
          </cell>
          <cell r="E535" t="str">
            <v>SIN EQUIPO APOYO MH</v>
          </cell>
          <cell r="F535" t="str">
            <v>APOYO MH</v>
          </cell>
        </row>
        <row r="536">
          <cell r="C536">
            <v>32044859</v>
          </cell>
          <cell r="D536" t="str">
            <v>DUARTE RODRIGUEZ JUAN MANUEL</v>
          </cell>
          <cell r="E536" t="str">
            <v>SIN EQUIPO APOYO MH</v>
          </cell>
          <cell r="F536" t="str">
            <v>APOYO MH</v>
          </cell>
        </row>
        <row r="537">
          <cell r="C537">
            <v>32046271</v>
          </cell>
          <cell r="D537" t="str">
            <v>LOPEZ GUZMAN RICARDO FABIAN</v>
          </cell>
          <cell r="E537" t="str">
            <v>SIN EQUIPO APOYO MH</v>
          </cell>
          <cell r="F537" t="str">
            <v>APOYO MH</v>
          </cell>
        </row>
        <row r="538">
          <cell r="C538">
            <v>32046544</v>
          </cell>
          <cell r="D538" t="str">
            <v>BENITEZ HERNANDEZ JUAN CARLOS</v>
          </cell>
          <cell r="E538" t="str">
            <v>SIN EQUIPO APOYO MH</v>
          </cell>
          <cell r="F538" t="str">
            <v>APOYO MH</v>
          </cell>
        </row>
        <row r="539">
          <cell r="C539">
            <v>32060740</v>
          </cell>
          <cell r="D539" t="str">
            <v>PACHECO MONTES JOSE DE JESUS</v>
          </cell>
          <cell r="E539" t="str">
            <v>SIN EQUIPO APOYO MH</v>
          </cell>
          <cell r="F539" t="str">
            <v>APOYO MH</v>
          </cell>
        </row>
        <row r="540">
          <cell r="C540">
            <v>32142786</v>
          </cell>
          <cell r="D540" t="str">
            <v>DELGADO LOPEZ HECTOR HUGO</v>
          </cell>
          <cell r="E540" t="str">
            <v>SIN EQUIPO APOYO MH</v>
          </cell>
          <cell r="F540" t="str">
            <v>APOYO MH</v>
          </cell>
        </row>
        <row r="541">
          <cell r="C541">
            <v>32142955</v>
          </cell>
          <cell r="D541" t="str">
            <v>OLVERA VAZQUEZ JUAN IGNACIO</v>
          </cell>
          <cell r="E541" t="str">
            <v>SIN EQUIPO APOYO MH</v>
          </cell>
          <cell r="F541" t="str">
            <v>APOYO MH</v>
          </cell>
        </row>
        <row r="542">
          <cell r="C542">
            <v>32143080</v>
          </cell>
          <cell r="D542" t="str">
            <v>FELIX GUARDADO CARLOS RUBEN</v>
          </cell>
          <cell r="E542" t="str">
            <v>SIN EQUIPO APOYO MH</v>
          </cell>
          <cell r="F542" t="str">
            <v>APOYO MH</v>
          </cell>
        </row>
        <row r="543">
          <cell r="C543">
            <v>32143632</v>
          </cell>
          <cell r="D543" t="str">
            <v>HERNANDEZ LOPEZ LUIS SAMUEL</v>
          </cell>
          <cell r="E543" t="str">
            <v>SIN EQUIPO APOYO MH</v>
          </cell>
          <cell r="F543" t="str">
            <v>APOYO MH</v>
          </cell>
        </row>
        <row r="544">
          <cell r="C544">
            <v>32145201</v>
          </cell>
          <cell r="D544" t="str">
            <v>RAMIREZ GARCIA FRANCISCO JAVIER</v>
          </cell>
          <cell r="E544" t="str">
            <v>SIN EQUIPO APOYO MH</v>
          </cell>
          <cell r="F544" t="str">
            <v>APOYO MH</v>
          </cell>
        </row>
        <row r="545">
          <cell r="C545">
            <v>32155915</v>
          </cell>
          <cell r="D545" t="str">
            <v>ENCISO CHUC OSCAR GERARDO</v>
          </cell>
          <cell r="E545" t="str">
            <v>SIN EQUIPO APOYO MH</v>
          </cell>
          <cell r="F545" t="str">
            <v>APOYO MH</v>
          </cell>
        </row>
        <row r="546">
          <cell r="C546">
            <v>32171447</v>
          </cell>
          <cell r="D546" t="str">
            <v>JOSE ALFONSO RAYGOZA COLLAZO</v>
          </cell>
          <cell r="E546" t="str">
            <v>SIN EQUIPO APOYO MH</v>
          </cell>
          <cell r="F546" t="str">
            <v>APOYO MH</v>
          </cell>
        </row>
        <row r="547">
          <cell r="C547">
            <v>32187992</v>
          </cell>
          <cell r="D547" t="str">
            <v>MANUEL TORRES NUÑEZ</v>
          </cell>
          <cell r="E547" t="str">
            <v>SIN EQUIPO APOYO MH</v>
          </cell>
          <cell r="F547" t="str">
            <v>APOYO MH</v>
          </cell>
        </row>
        <row r="548">
          <cell r="C548">
            <v>32188005</v>
          </cell>
          <cell r="D548" t="str">
            <v>JHOVANY QUIROZ SOLIS</v>
          </cell>
          <cell r="E548" t="str">
            <v>SIN EQUIPO APOYO MH</v>
          </cell>
          <cell r="F548" t="str">
            <v>APOYO MH</v>
          </cell>
        </row>
        <row r="549">
          <cell r="C549">
            <v>32188128</v>
          </cell>
          <cell r="D549" t="str">
            <v>ARMANDO LARA SOTELO</v>
          </cell>
          <cell r="E549" t="str">
            <v>SIN EQUIPO APOYO MH</v>
          </cell>
          <cell r="F549" t="str">
            <v>APOYO MH</v>
          </cell>
        </row>
        <row r="550">
          <cell r="C550">
            <v>32197913</v>
          </cell>
          <cell r="D550" t="str">
            <v>LUNA  SANDOVAL MIGUEL AGUSTIN</v>
          </cell>
          <cell r="E550" t="str">
            <v>SIN EQUIPO APOYO MH</v>
          </cell>
          <cell r="F550" t="str">
            <v>APOYO MH</v>
          </cell>
        </row>
        <row r="551">
          <cell r="C551">
            <v>32132587</v>
          </cell>
          <cell r="D551" t="str">
            <v>ORTIZ CONTRERAS JAVIER</v>
          </cell>
          <cell r="E551" t="str">
            <v>SIN EQUIPO APOYO MH</v>
          </cell>
          <cell r="F551" t="str">
            <v>APOYO MH</v>
          </cell>
        </row>
        <row r="552">
          <cell r="C552">
            <v>32229822</v>
          </cell>
          <cell r="D552" t="str">
            <v>AXEL GAEL GIANFRANCO BAÑUELOS OLIVA</v>
          </cell>
          <cell r="E552" t="str">
            <v>SIN EQUIPO APOYO MH</v>
          </cell>
          <cell r="F552" t="str">
            <v>APOYO MH</v>
          </cell>
        </row>
        <row r="553">
          <cell r="C553">
            <v>32046612</v>
          </cell>
          <cell r="D553" t="str">
            <v>MIRELES CAMPOS JOSE ARNULFO</v>
          </cell>
          <cell r="E553" t="str">
            <v>SIN EQUIPO CUARTO DE VALVULAS</v>
          </cell>
          <cell r="F553" t="str">
            <v>CUARTO DE VALVULAS</v>
          </cell>
        </row>
        <row r="554">
          <cell r="C554">
            <v>32197879</v>
          </cell>
          <cell r="D554" t="str">
            <v>COLLAZO ROMAN ERIK ANTONIO</v>
          </cell>
          <cell r="E554" t="str">
            <v>SIN EQUIPO CUARTO DE VALVULAS</v>
          </cell>
          <cell r="F554" t="str">
            <v>CUARTO DE VALVULAS</v>
          </cell>
        </row>
        <row r="555">
          <cell r="C555">
            <v>32145202</v>
          </cell>
          <cell r="D555" t="str">
            <v>ACOSTA MARTINEZ MARCO JULIO</v>
          </cell>
          <cell r="E555" t="str">
            <v>SIN EQUIPO SERVICIOS</v>
          </cell>
          <cell r="F555" t="str">
            <v>SERVICIOS</v>
          </cell>
        </row>
        <row r="556">
          <cell r="C556">
            <v>32145332</v>
          </cell>
          <cell r="D556" t="str">
            <v>SALAZAR DOMINGUEZ JUAN MANUEL</v>
          </cell>
          <cell r="E556" t="str">
            <v>SIN EQUIPO SERVICIOS</v>
          </cell>
          <cell r="F556" t="str">
            <v>SERVICIOS</v>
          </cell>
        </row>
        <row r="557">
          <cell r="C557">
            <v>32150525</v>
          </cell>
          <cell r="D557" t="str">
            <v>JARAMILLO MALDONADO EDUARDO</v>
          </cell>
          <cell r="E557" t="str">
            <v>SIN EQUIPO SERVICIOS</v>
          </cell>
          <cell r="F557" t="str">
            <v>SERVICIOS</v>
          </cell>
        </row>
        <row r="558">
          <cell r="C558">
            <v>32171446</v>
          </cell>
          <cell r="D558" t="str">
            <v>JUAN ALEJANDRO CASTRO RAMIREZ</v>
          </cell>
          <cell r="E558" t="str">
            <v>SIN EQUIPO SERVICIOS</v>
          </cell>
          <cell r="F558" t="str">
            <v>SERVICIOS</v>
          </cell>
        </row>
        <row r="559">
          <cell r="C559">
            <v>32177852</v>
          </cell>
          <cell r="D559" t="str">
            <v>DAGOBERTO SANCHEZ CALDERON</v>
          </cell>
          <cell r="E559" t="str">
            <v>SIN EQUIPO SERVICIOS</v>
          </cell>
          <cell r="F559" t="str">
            <v>SERVICIOS</v>
          </cell>
        </row>
        <row r="560">
          <cell r="C560">
            <v>32180919</v>
          </cell>
          <cell r="D560" t="str">
            <v>GARCIA MARTINEZ FABIAN</v>
          </cell>
          <cell r="E560" t="str">
            <v>SIN EQUIPO SERVICIOS</v>
          </cell>
          <cell r="F560" t="str">
            <v>SERVICIOS</v>
          </cell>
        </row>
        <row r="561">
          <cell r="C561">
            <v>32186045</v>
          </cell>
          <cell r="D561" t="str">
            <v>FERNANDO RAYGOZA ARTEAGA</v>
          </cell>
          <cell r="E561" t="str">
            <v>SIN EQUIPO SERVICIOS</v>
          </cell>
          <cell r="F561" t="str">
            <v>SERVICIOS</v>
          </cell>
        </row>
        <row r="562">
          <cell r="C562">
            <v>32044474</v>
          </cell>
          <cell r="D562" t="str">
            <v>SUSTAITA ORTIZ JESUS ALFREDO</v>
          </cell>
          <cell r="E562" t="str">
            <v>SIN EQUIPO SERVICIOS</v>
          </cell>
          <cell r="F562" t="str">
            <v>SERVICIOS</v>
          </cell>
        </row>
        <row r="563">
          <cell r="C563">
            <v>32044875</v>
          </cell>
          <cell r="D563" t="str">
            <v>MACIAS ALVARADO ALFREDO</v>
          </cell>
          <cell r="E563" t="str">
            <v>SIN EQUIPO SERVICIOS</v>
          </cell>
          <cell r="F563" t="str">
            <v>SERVICIOS</v>
          </cell>
        </row>
        <row r="564">
          <cell r="C564">
            <v>32044981</v>
          </cell>
          <cell r="D564" t="str">
            <v>JARA SALDIVAR JUAN</v>
          </cell>
          <cell r="E564" t="str">
            <v>SIN EQUIPO SERVICIOS</v>
          </cell>
          <cell r="F564" t="str">
            <v>SERVICIOS</v>
          </cell>
        </row>
        <row r="565">
          <cell r="C565">
            <v>32045540</v>
          </cell>
          <cell r="D565" t="str">
            <v>PEREZ PASILLAS SERGIO</v>
          </cell>
          <cell r="E565" t="str">
            <v>SIN EQUIPO SERVICIOS</v>
          </cell>
          <cell r="F565" t="str">
            <v>SERVICIOS</v>
          </cell>
        </row>
        <row r="566">
          <cell r="C566">
            <v>32046540</v>
          </cell>
          <cell r="D566" t="str">
            <v>ARMENTA CARRILLO JOSE LUIS</v>
          </cell>
          <cell r="E566" t="str">
            <v>SIN EQUIPO SERVICIOS</v>
          </cell>
          <cell r="F566" t="str">
            <v>SERVICIOS</v>
          </cell>
        </row>
        <row r="567">
          <cell r="C567">
            <v>32046560</v>
          </cell>
          <cell r="D567" t="str">
            <v>RODRIGUEZ SALAS ANGEL</v>
          </cell>
          <cell r="E567" t="str">
            <v>SIN EQUIPO SERVICIOS</v>
          </cell>
          <cell r="F567" t="str">
            <v>SERVICIOS</v>
          </cell>
        </row>
        <row r="568">
          <cell r="C568">
            <v>32046561</v>
          </cell>
          <cell r="D568" t="str">
            <v>VAZQUEZ SOSA JUAN CARLOS</v>
          </cell>
          <cell r="E568" t="str">
            <v>SIN EQUIPO SERVICIOS</v>
          </cell>
          <cell r="F568" t="str">
            <v>SERVICIOS</v>
          </cell>
        </row>
        <row r="569">
          <cell r="C569">
            <v>32046571</v>
          </cell>
          <cell r="D569" t="str">
            <v>DIAZ ZAPATA ROGELIO</v>
          </cell>
          <cell r="E569" t="str">
            <v>SIN EQUIPO SERVICIOS</v>
          </cell>
          <cell r="F569" t="str">
            <v>SERVICIOS</v>
          </cell>
        </row>
        <row r="570">
          <cell r="C570">
            <v>32096420</v>
          </cell>
          <cell r="D570" t="str">
            <v>PADILLA ORTIZ ABEL JONATHAN</v>
          </cell>
          <cell r="E570" t="str">
            <v>SIN EQUIPO SERVICIOS</v>
          </cell>
          <cell r="F570" t="str">
            <v>SERVICIOS</v>
          </cell>
        </row>
        <row r="571">
          <cell r="C571">
            <v>32131876</v>
          </cell>
          <cell r="D571" t="str">
            <v>MURILLO ORDAZ ALBERTO</v>
          </cell>
          <cell r="E571" t="str">
            <v>SIN EQUIPO SERVICIOS</v>
          </cell>
          <cell r="F571" t="str">
            <v>SERVICIOS</v>
          </cell>
        </row>
        <row r="572">
          <cell r="C572">
            <v>32142986</v>
          </cell>
          <cell r="D572" t="str">
            <v>LIZARDO PADILLA SALVADOR</v>
          </cell>
          <cell r="E572" t="str">
            <v>SIN EQUIPO SERVICIOS</v>
          </cell>
          <cell r="F572" t="str">
            <v>SERVICIOS</v>
          </cell>
        </row>
        <row r="573">
          <cell r="C573">
            <v>32143039</v>
          </cell>
          <cell r="D573" t="str">
            <v>FERNANDEZ CAZARES GONZALO NICOLAS</v>
          </cell>
          <cell r="E573" t="str">
            <v>SIN EQUIPO SERVICIOS</v>
          </cell>
          <cell r="F573" t="str">
            <v>SERVICIOS</v>
          </cell>
        </row>
        <row r="574">
          <cell r="C574">
            <v>32143668</v>
          </cell>
          <cell r="D574" t="str">
            <v>RAMIREZ RAMIREZ ANTONY JONATHAN</v>
          </cell>
          <cell r="E574" t="str">
            <v>SIN EQUIPO SERVICIOS</v>
          </cell>
          <cell r="F574" t="str">
            <v>SERVICIOS</v>
          </cell>
        </row>
        <row r="575">
          <cell r="C575">
            <v>32145346</v>
          </cell>
          <cell r="D575" t="str">
            <v>NU?EZ ESCOBEDO LUIS HUMBERTO</v>
          </cell>
          <cell r="E575" t="str">
            <v>SIN EQUIPO SERVICIOS</v>
          </cell>
          <cell r="F575" t="str">
            <v>SERVICIOS</v>
          </cell>
        </row>
        <row r="576">
          <cell r="C576">
            <v>32148614</v>
          </cell>
          <cell r="D576" t="str">
            <v>RUIZ MALDONADO LUIS ENRIQUE</v>
          </cell>
          <cell r="E576" t="str">
            <v>SIN EQUIPO SERVICIOS</v>
          </cell>
          <cell r="F576" t="str">
            <v>SERVICIOS</v>
          </cell>
        </row>
        <row r="577">
          <cell r="C577">
            <v>32155887</v>
          </cell>
          <cell r="D577" t="str">
            <v>HERNANDEZ ALATORRE ROGELIO</v>
          </cell>
          <cell r="E577" t="str">
            <v>SIN EQUIPO SERVICIOS</v>
          </cell>
          <cell r="F577" t="str">
            <v>SERVICIOS</v>
          </cell>
        </row>
        <row r="578">
          <cell r="C578">
            <v>32155911</v>
          </cell>
          <cell r="D578" t="str">
            <v>GALVAN ROMAN RICARDO</v>
          </cell>
          <cell r="E578" t="str">
            <v>SIN EQUIPO SERVICIOS</v>
          </cell>
          <cell r="F578" t="str">
            <v>SERVICIOS</v>
          </cell>
        </row>
        <row r="579">
          <cell r="C579">
            <v>32155914</v>
          </cell>
          <cell r="D579" t="str">
            <v>ESCOBEDO GONZALEZ LUIS ARMANDO</v>
          </cell>
          <cell r="E579" t="str">
            <v>SIN EQUIPO SERVICIOS</v>
          </cell>
          <cell r="F579" t="str">
            <v>SERVICIOS</v>
          </cell>
        </row>
        <row r="580">
          <cell r="C580">
            <v>32171443</v>
          </cell>
          <cell r="D580" t="str">
            <v>JUAN MANUEL COLLAZO ALATORRE</v>
          </cell>
          <cell r="E580" t="str">
            <v>SIN EQUIPO SERVICIOS</v>
          </cell>
          <cell r="F580" t="str">
            <v>SERVICIOS</v>
          </cell>
        </row>
        <row r="581">
          <cell r="C581">
            <v>32179885</v>
          </cell>
          <cell r="D581" t="str">
            <v>ALEJANDRO ESCOBEDO GONZALEZ</v>
          </cell>
          <cell r="E581" t="str">
            <v>SIN EQUIPO SERVICIOS</v>
          </cell>
          <cell r="F581" t="str">
            <v>SERVICIOS</v>
          </cell>
        </row>
        <row r="582">
          <cell r="C582">
            <v>32180800</v>
          </cell>
          <cell r="D582" t="str">
            <v>RAMIREZ PALACIOS RAMON</v>
          </cell>
          <cell r="E582" t="str">
            <v>SIN EQUIPO SERVICIOS</v>
          </cell>
          <cell r="F582" t="str">
            <v>SERVICIOS</v>
          </cell>
        </row>
        <row r="583">
          <cell r="C583">
            <v>32180915</v>
          </cell>
          <cell r="D583" t="str">
            <v>FERNANDEZ CAZARES RODRIGO AURELIO</v>
          </cell>
          <cell r="E583" t="str">
            <v>SIN EQUIPO SERVICIOS</v>
          </cell>
          <cell r="F583" t="str">
            <v>SERVICIOS</v>
          </cell>
        </row>
        <row r="584">
          <cell r="C584">
            <v>32197909</v>
          </cell>
          <cell r="D584" t="str">
            <v>MANUEL SANCHEZ PARRA</v>
          </cell>
          <cell r="E584" t="str">
            <v>SIN EQUIPO SERVICIOS</v>
          </cell>
          <cell r="F584" t="str">
            <v>SERVICIOS</v>
          </cell>
        </row>
        <row r="585">
          <cell r="C585">
            <v>32199339</v>
          </cell>
          <cell r="D585" t="str">
            <v>ESCOBEDO GONZALEZ MANUEL DE JESUS</v>
          </cell>
          <cell r="E585" t="str">
            <v>SIN EQUIPO SERVICIOS</v>
          </cell>
          <cell r="F585" t="str">
            <v>SERVICIOS</v>
          </cell>
        </row>
        <row r="586">
          <cell r="C586">
            <v>32217026</v>
          </cell>
          <cell r="D586" t="str">
            <v>JESUS ALEJANDRO CHACON OLIVARES</v>
          </cell>
          <cell r="E586" t="str">
            <v>SIN EQUIPO SERVICIOS</v>
          </cell>
          <cell r="F586" t="str">
            <v>SERVICIOS</v>
          </cell>
        </row>
        <row r="587">
          <cell r="C587">
            <v>32222975</v>
          </cell>
          <cell r="D587" t="str">
            <v xml:space="preserve">DAVID ALEJANDRO HERRERA LANDEROS </v>
          </cell>
          <cell r="E587" t="str">
            <v>SIN EQUIPO SERVICIOS</v>
          </cell>
          <cell r="F587" t="str">
            <v>SERVICIOS</v>
          </cell>
        </row>
        <row r="588">
          <cell r="C588">
            <v>32237824</v>
          </cell>
          <cell r="D588" t="str">
            <v>NOE HERNANDEZ DIAZ</v>
          </cell>
          <cell r="E588" t="str">
            <v>SIN EQUIPO SERVICIOS</v>
          </cell>
          <cell r="F588" t="str">
            <v>SERVICIOS</v>
          </cell>
        </row>
        <row r="589">
          <cell r="C589">
            <v>32145313</v>
          </cell>
          <cell r="D589" t="str">
            <v>DE LA CRUZ RAYGOZA LUIS ERNESTO</v>
          </cell>
          <cell r="E589" t="str">
            <v>SIN EQUIPO SERVICIOS</v>
          </cell>
          <cell r="F589" t="str">
            <v>SERVICIOS</v>
          </cell>
        </row>
        <row r="590">
          <cell r="C590">
            <v>32188129</v>
          </cell>
          <cell r="D590" t="str">
            <v>ESTEBAN GARZA CARDENAS</v>
          </cell>
          <cell r="E590" t="str">
            <v>SIN EQUIPO SERVICIOS</v>
          </cell>
          <cell r="F590" t="str">
            <v>SERVICIOS</v>
          </cell>
        </row>
        <row r="591">
          <cell r="C591">
            <v>32145203</v>
          </cell>
          <cell r="D591" t="str">
            <v>GALLEGOS HERNANDEZ JESUS MICHAEL</v>
          </cell>
          <cell r="E591" t="str">
            <v>SIN EQUIPO SERVICIOS</v>
          </cell>
          <cell r="F591" t="str">
            <v>SERVICIOS</v>
          </cell>
        </row>
        <row r="592">
          <cell r="C592">
            <v>32045434</v>
          </cell>
          <cell r="D592" t="str">
            <v>SANTOYO SOLIS SAUL</v>
          </cell>
          <cell r="E592" t="str">
            <v>SIN EQUIPO SERVICIOS</v>
          </cell>
          <cell r="F592" t="str">
            <v>SERVICIOS</v>
          </cell>
        </row>
        <row r="593">
          <cell r="C593">
            <v>32216493</v>
          </cell>
          <cell r="D593" t="str">
            <v xml:space="preserve">ERNESTO DEL VILLAR DE LOS SANTOS </v>
          </cell>
          <cell r="E593" t="str">
            <v>SIN EQUIPO "TÈCNICO DE BOMBAS"</v>
          </cell>
          <cell r="F593" t="str">
            <v>SERVICIOS</v>
          </cell>
        </row>
        <row r="594">
          <cell r="C594">
            <v>32044559</v>
          </cell>
          <cell r="D594" t="str">
            <v>ARELLANO RODRIGUEZ ARMANDO</v>
          </cell>
          <cell r="E594" t="str">
            <v>SIN EQUIPO TAPANCO</v>
          </cell>
          <cell r="F594" t="str">
            <v>TAPANCO</v>
          </cell>
        </row>
        <row r="595">
          <cell r="C595">
            <v>32044719</v>
          </cell>
          <cell r="D595" t="str">
            <v>RUIZ DAVILA JUAN ANTONIO</v>
          </cell>
          <cell r="E595" t="str">
            <v>SIN EQUIPO TAPANCO</v>
          </cell>
          <cell r="F595" t="str">
            <v>TAPANCO</v>
          </cell>
        </row>
        <row r="596">
          <cell r="C596">
            <v>32044734</v>
          </cell>
          <cell r="D596" t="str">
            <v>VALDEZ ESQUIVEL ARMANDO</v>
          </cell>
          <cell r="E596" t="str">
            <v>SIN EQUIPO TAPANCO</v>
          </cell>
          <cell r="F596" t="str">
            <v>TAPANCO</v>
          </cell>
        </row>
        <row r="597">
          <cell r="C597">
            <v>32044766</v>
          </cell>
          <cell r="D597" t="str">
            <v>GALLEGOS RAMIREZ ENRIQUE</v>
          </cell>
          <cell r="E597" t="str">
            <v>SIN EQUIPO TAPANCO</v>
          </cell>
          <cell r="F597" t="str">
            <v>TAPANCO</v>
          </cell>
        </row>
        <row r="598">
          <cell r="C598">
            <v>32044844</v>
          </cell>
          <cell r="D598" t="str">
            <v>SILVA LOPEZ JUAN MANUEL</v>
          </cell>
          <cell r="E598" t="str">
            <v>SIN EQUIPO TAPANCO</v>
          </cell>
          <cell r="F598" t="str">
            <v>TAPANCO</v>
          </cell>
        </row>
        <row r="599">
          <cell r="C599">
            <v>32044850</v>
          </cell>
          <cell r="D599" t="str">
            <v>SOSA GUERRA JUAN FRANCISCO</v>
          </cell>
          <cell r="E599" t="str">
            <v>SIN EQUIPO TAPANCO</v>
          </cell>
          <cell r="F599" t="str">
            <v>TAPANCO</v>
          </cell>
        </row>
        <row r="600">
          <cell r="C600">
            <v>32044945</v>
          </cell>
          <cell r="D600" t="str">
            <v>SANDOVAL GARCIA HUGO</v>
          </cell>
          <cell r="E600" t="str">
            <v>SIN EQUIPO TAPANCO</v>
          </cell>
          <cell r="F600" t="str">
            <v>TAPANCO</v>
          </cell>
        </row>
        <row r="601">
          <cell r="C601">
            <v>32044962</v>
          </cell>
          <cell r="D601" t="str">
            <v>ZAMORA FELIX HECTOR GERARDO</v>
          </cell>
          <cell r="E601" t="str">
            <v>SIN EQUIPO TAPANCO</v>
          </cell>
          <cell r="F601" t="str">
            <v>TAPANCO</v>
          </cell>
        </row>
        <row r="602">
          <cell r="C602">
            <v>32044963</v>
          </cell>
          <cell r="D602" t="str">
            <v>CASTILLO LOPEZ ELEAZAR</v>
          </cell>
          <cell r="E602" t="str">
            <v>SIN EQUIPO TAPANCO</v>
          </cell>
          <cell r="F602" t="str">
            <v>TAPANCO</v>
          </cell>
        </row>
        <row r="603">
          <cell r="C603">
            <v>32045158</v>
          </cell>
          <cell r="D603" t="str">
            <v>GONZALEZ CHAVEZ ARMANDO</v>
          </cell>
          <cell r="E603" t="str">
            <v>SIN EQUIPO TAPANCO</v>
          </cell>
          <cell r="F603" t="str">
            <v>TAPANCO</v>
          </cell>
        </row>
        <row r="604">
          <cell r="C604">
            <v>32045226</v>
          </cell>
          <cell r="D604" t="str">
            <v>RAMIREZ CORDERO ENRIQUE</v>
          </cell>
          <cell r="E604" t="str">
            <v>SIN EQUIPO TAPANCO</v>
          </cell>
          <cell r="F604" t="str">
            <v>TAPANCO</v>
          </cell>
        </row>
        <row r="605">
          <cell r="C605">
            <v>32045384</v>
          </cell>
          <cell r="D605" t="str">
            <v>RAMIREZ MONREAL BERNARDO</v>
          </cell>
          <cell r="E605" t="str">
            <v>SIN EQUIPO TAPANCO</v>
          </cell>
          <cell r="F605" t="str">
            <v>TAPANCO</v>
          </cell>
        </row>
        <row r="606">
          <cell r="C606">
            <v>32045394</v>
          </cell>
          <cell r="D606" t="str">
            <v>ORDAZ LOPEZ ALFREDO</v>
          </cell>
          <cell r="E606" t="str">
            <v>SIN EQUIPO TAPANCO</v>
          </cell>
          <cell r="F606" t="str">
            <v>TAPANCO</v>
          </cell>
        </row>
        <row r="607">
          <cell r="C607">
            <v>32045578</v>
          </cell>
          <cell r="D607" t="str">
            <v>SOLIS ARELLANO JUAN GABRIEL</v>
          </cell>
          <cell r="E607" t="str">
            <v>SIN EQUIPO TAPANCO</v>
          </cell>
          <cell r="F607" t="str">
            <v>TAPANCO</v>
          </cell>
        </row>
        <row r="608">
          <cell r="C608">
            <v>32045583</v>
          </cell>
          <cell r="D608" t="str">
            <v>HERNANDEZ GUARDADO DAVID</v>
          </cell>
          <cell r="E608" t="str">
            <v>SIN EQUIPO TAPANCO</v>
          </cell>
          <cell r="F608" t="str">
            <v>TAPANCO</v>
          </cell>
        </row>
        <row r="609">
          <cell r="C609">
            <v>32045595</v>
          </cell>
          <cell r="D609" t="str">
            <v>LEOS ORTIZ MANUEL DE JESUS</v>
          </cell>
          <cell r="E609" t="str">
            <v>SIN EQUIPO TAPANCO</v>
          </cell>
          <cell r="F609" t="str">
            <v>TAPANCO</v>
          </cell>
        </row>
        <row r="610">
          <cell r="C610">
            <v>32045637</v>
          </cell>
          <cell r="D610" t="str">
            <v>LOPEZ MORENO SALVADOR</v>
          </cell>
          <cell r="E610" t="str">
            <v>SIN EQUIPO TAPANCO</v>
          </cell>
          <cell r="F610" t="str">
            <v>TAPANCO</v>
          </cell>
        </row>
        <row r="611">
          <cell r="C611">
            <v>32045699</v>
          </cell>
          <cell r="D611" t="str">
            <v>ALVAREZ NUÑEZ JESUS</v>
          </cell>
          <cell r="E611" t="str">
            <v>SIN EQUIPO TAPANCO</v>
          </cell>
          <cell r="F611" t="str">
            <v>TAPANCO</v>
          </cell>
        </row>
        <row r="612">
          <cell r="C612">
            <v>32045938</v>
          </cell>
          <cell r="D612" t="str">
            <v>GUTIERREZ LEDEZMA FRANCISCO JAVIER</v>
          </cell>
          <cell r="E612" t="str">
            <v>SIN EQUIPO TAPANCO</v>
          </cell>
          <cell r="F612" t="str">
            <v>TAPANCO</v>
          </cell>
        </row>
        <row r="613">
          <cell r="C613">
            <v>32045946</v>
          </cell>
          <cell r="D613" t="str">
            <v>LARA MEDINA J JESUS</v>
          </cell>
          <cell r="E613" t="str">
            <v>SIN EQUIPO TAPANCO</v>
          </cell>
          <cell r="F613" t="str">
            <v>TAPANCO</v>
          </cell>
        </row>
        <row r="614">
          <cell r="C614">
            <v>32045960</v>
          </cell>
          <cell r="D614" t="str">
            <v>CABRAL GONZALEZ FAUSTINO</v>
          </cell>
          <cell r="E614" t="str">
            <v>SIN EQUIPO TAPANCO</v>
          </cell>
          <cell r="F614" t="str">
            <v>TAPANCO</v>
          </cell>
        </row>
        <row r="615">
          <cell r="C615">
            <v>32045991</v>
          </cell>
          <cell r="D615" t="str">
            <v>GARCIA DOMINGUEZ MANUEL</v>
          </cell>
          <cell r="E615" t="str">
            <v>SIN EQUIPO TAPANCO</v>
          </cell>
          <cell r="F615" t="str">
            <v>TAPANCO</v>
          </cell>
        </row>
        <row r="616">
          <cell r="C616">
            <v>32045998</v>
          </cell>
          <cell r="D616" t="str">
            <v>OVALLE VALADEZ LUIS DANIEL</v>
          </cell>
          <cell r="E616" t="str">
            <v>SIN EQUIPO TAPANCO</v>
          </cell>
          <cell r="F616" t="str">
            <v>TAPANCO</v>
          </cell>
        </row>
        <row r="617">
          <cell r="C617">
            <v>32046041</v>
          </cell>
          <cell r="D617" t="str">
            <v>RODRIGUEZ VALLE LUIS HUMBERTO</v>
          </cell>
          <cell r="E617" t="str">
            <v>SIN EQUIPO TAPANCO</v>
          </cell>
          <cell r="F617" t="str">
            <v>TAPANCO</v>
          </cell>
        </row>
        <row r="618">
          <cell r="C618">
            <v>32046055</v>
          </cell>
          <cell r="D618" t="str">
            <v>LOPEZ NERI RUBEN</v>
          </cell>
          <cell r="E618" t="str">
            <v>SIN EQUIPO TAPANCO</v>
          </cell>
          <cell r="F618" t="str">
            <v>TAPANCO</v>
          </cell>
        </row>
        <row r="619">
          <cell r="C619">
            <v>32046058</v>
          </cell>
          <cell r="D619" t="str">
            <v>ACOSTA GOMEZ JOSE ISAC</v>
          </cell>
          <cell r="E619" t="str">
            <v>SIN EQUIPO TAPANCO</v>
          </cell>
          <cell r="F619" t="str">
            <v>TAPANCO</v>
          </cell>
        </row>
        <row r="620">
          <cell r="C620">
            <v>32046083</v>
          </cell>
          <cell r="D620" t="str">
            <v>GUAJARDO IRACHETA ALVARO</v>
          </cell>
          <cell r="E620" t="str">
            <v>SIN EQUIPO TAPANCO</v>
          </cell>
          <cell r="F620" t="str">
            <v>TAPANCO</v>
          </cell>
        </row>
        <row r="621">
          <cell r="C621">
            <v>32046225</v>
          </cell>
          <cell r="D621" t="str">
            <v>CARRILLO HERNANDEZ URIEL</v>
          </cell>
          <cell r="E621" t="str">
            <v>SIN EQUIPO TAPANCO</v>
          </cell>
          <cell r="F621" t="str">
            <v>TAPANCO</v>
          </cell>
        </row>
        <row r="622">
          <cell r="C622">
            <v>32046237</v>
          </cell>
          <cell r="D622" t="str">
            <v>MARTINEZ TORRES LEOBARDO RAFAEL</v>
          </cell>
          <cell r="E622" t="str">
            <v>SIN EQUIPO TAPANCO</v>
          </cell>
          <cell r="F622" t="str">
            <v>TAPANCO</v>
          </cell>
        </row>
        <row r="623">
          <cell r="C623">
            <v>32046306</v>
          </cell>
          <cell r="D623" t="str">
            <v>MOTA GARCIA DANIEL</v>
          </cell>
          <cell r="E623" t="str">
            <v>SIN EQUIPO TAPANCO</v>
          </cell>
          <cell r="F623" t="str">
            <v>TAPANCO</v>
          </cell>
        </row>
        <row r="624">
          <cell r="C624">
            <v>32046315</v>
          </cell>
          <cell r="D624" t="str">
            <v>DEL RIO LOPEZ CHRISTIAN JESUS</v>
          </cell>
          <cell r="E624" t="str">
            <v>SIN EQUIPO TAPANCO</v>
          </cell>
          <cell r="F624" t="str">
            <v>TAPANCO</v>
          </cell>
        </row>
        <row r="625">
          <cell r="C625">
            <v>32046341</v>
          </cell>
          <cell r="D625" t="str">
            <v>MARTINEZ DAVILA MARCO ANTONIO</v>
          </cell>
          <cell r="E625" t="str">
            <v>SIN EQUIPO TAPANCO</v>
          </cell>
          <cell r="F625" t="str">
            <v>TAPANCO</v>
          </cell>
        </row>
        <row r="626">
          <cell r="C626">
            <v>32046389</v>
          </cell>
          <cell r="D626" t="str">
            <v>TREJO TORRES LUIS ALBERTO</v>
          </cell>
          <cell r="E626" t="str">
            <v>SIN EQUIPO TAPANCO</v>
          </cell>
          <cell r="F626" t="str">
            <v>TAPANCO</v>
          </cell>
        </row>
        <row r="627">
          <cell r="C627">
            <v>32046404</v>
          </cell>
          <cell r="D627" t="str">
            <v>TORRES GONZALEZ JOSE ANTONIO</v>
          </cell>
          <cell r="E627" t="str">
            <v>SIN EQUIPO TAPANCO</v>
          </cell>
          <cell r="F627" t="str">
            <v>TAPANCO</v>
          </cell>
        </row>
        <row r="628">
          <cell r="C628">
            <v>32046433</v>
          </cell>
          <cell r="D628" t="str">
            <v>SANCHEZ RODRIGUEZ AMADOR</v>
          </cell>
          <cell r="E628" t="str">
            <v>SIN EQUIPO TAPANCO</v>
          </cell>
          <cell r="F628" t="str">
            <v>TAPANCO</v>
          </cell>
        </row>
        <row r="629">
          <cell r="C629">
            <v>32046507</v>
          </cell>
          <cell r="D629" t="str">
            <v>TREJO NUÑEZ DANIEL ALBERTO</v>
          </cell>
          <cell r="E629" t="str">
            <v>SIN EQUIPO TAPANCO</v>
          </cell>
          <cell r="F629" t="str">
            <v>TAPANCO</v>
          </cell>
        </row>
        <row r="630">
          <cell r="C630">
            <v>32046510</v>
          </cell>
          <cell r="D630" t="str">
            <v>TORRES RAMOS VICTOR HUGO</v>
          </cell>
          <cell r="E630" t="str">
            <v>SIN EQUIPO TAPANCO</v>
          </cell>
          <cell r="F630" t="str">
            <v>TAPANCO</v>
          </cell>
        </row>
        <row r="631">
          <cell r="C631">
            <v>32046623</v>
          </cell>
          <cell r="D631" t="str">
            <v>VALADEZ RODRIGUEZ LUIS MIGUEL</v>
          </cell>
          <cell r="E631" t="str">
            <v>SIN EQUIPO TAPANCO</v>
          </cell>
          <cell r="F631" t="str">
            <v>TAPANCO</v>
          </cell>
        </row>
        <row r="632">
          <cell r="C632">
            <v>32046648</v>
          </cell>
          <cell r="D632" t="str">
            <v>AGUILAR CORREA LUIS SAMUEL</v>
          </cell>
          <cell r="E632" t="str">
            <v>SIN EQUIPO TAPANCO</v>
          </cell>
          <cell r="F632" t="str">
            <v>TAPANCO</v>
          </cell>
        </row>
        <row r="633">
          <cell r="C633">
            <v>32056015</v>
          </cell>
          <cell r="D633" t="str">
            <v>GARCIA MACIAS FRANCISCO JAVIER</v>
          </cell>
          <cell r="E633" t="str">
            <v>SIN EQUIPO TAPANCO</v>
          </cell>
          <cell r="F633" t="str">
            <v>TAPANCO</v>
          </cell>
        </row>
        <row r="634">
          <cell r="C634">
            <v>32056677</v>
          </cell>
          <cell r="D634" t="str">
            <v>JARA DOMINGUEZ JUAN</v>
          </cell>
          <cell r="E634" t="str">
            <v>SIN EQUIPO TAPANCO</v>
          </cell>
          <cell r="F634" t="str">
            <v>TAPANCO</v>
          </cell>
        </row>
        <row r="635">
          <cell r="C635">
            <v>32060200</v>
          </cell>
          <cell r="D635" t="str">
            <v>TORRES RAMIREZ VICTOR MANUEL</v>
          </cell>
          <cell r="E635" t="str">
            <v>SIN EQUIPO TAPANCO</v>
          </cell>
          <cell r="F635" t="str">
            <v>TAPANCO</v>
          </cell>
        </row>
        <row r="636">
          <cell r="C636">
            <v>32060931</v>
          </cell>
          <cell r="D636" t="str">
            <v>BELMONTES JOSE LUIS</v>
          </cell>
          <cell r="E636" t="str">
            <v>SIN EQUIPO TAPANCO</v>
          </cell>
          <cell r="F636" t="str">
            <v>TAPANCO</v>
          </cell>
        </row>
        <row r="637">
          <cell r="C637">
            <v>32060932</v>
          </cell>
          <cell r="D637" t="str">
            <v>ROBLES LAMAS GENARO</v>
          </cell>
          <cell r="E637" t="str">
            <v>SIN EQUIPO TAPANCO</v>
          </cell>
          <cell r="F637" t="str">
            <v>TAPANCO</v>
          </cell>
        </row>
        <row r="638">
          <cell r="C638">
            <v>32061090</v>
          </cell>
          <cell r="D638" t="str">
            <v>RAMOS ALBA EDGAR ANDRES</v>
          </cell>
          <cell r="E638" t="str">
            <v>SIN EQUIPO TAPANCO</v>
          </cell>
          <cell r="F638" t="str">
            <v>TAPANCO</v>
          </cell>
        </row>
        <row r="639">
          <cell r="C639">
            <v>32061091</v>
          </cell>
          <cell r="D639" t="str">
            <v>ROBLES JARAMILLO GONZALO</v>
          </cell>
          <cell r="E639" t="str">
            <v>SIN EQUIPO TAPANCO</v>
          </cell>
          <cell r="F639" t="str">
            <v>TAPANCO</v>
          </cell>
        </row>
        <row r="640">
          <cell r="C640">
            <v>32061463</v>
          </cell>
          <cell r="D640" t="str">
            <v>MUÑOZ PIZAÑA LUIS ANTONIO</v>
          </cell>
          <cell r="E640" t="str">
            <v>SIN EQUIPO TAPANCO</v>
          </cell>
          <cell r="F640" t="str">
            <v>TAPANCO</v>
          </cell>
        </row>
        <row r="641">
          <cell r="C641">
            <v>32096444</v>
          </cell>
          <cell r="D641" t="str">
            <v>LICERIO RODRIGUEZ CLAUDIO</v>
          </cell>
          <cell r="E641" t="str">
            <v>SIN EQUIPO TAPANCO</v>
          </cell>
          <cell r="F641" t="str">
            <v>TAPANCO</v>
          </cell>
        </row>
        <row r="642">
          <cell r="C642">
            <v>32096445</v>
          </cell>
          <cell r="D642" t="str">
            <v>ALVARADO TORRES ALEJANDRO</v>
          </cell>
          <cell r="E642" t="str">
            <v>SIN EQUIPO TAPANCO</v>
          </cell>
          <cell r="F642" t="str">
            <v>TAPANCO</v>
          </cell>
        </row>
        <row r="643">
          <cell r="C643">
            <v>32096560</v>
          </cell>
          <cell r="D643" t="str">
            <v>AMBRIZ RAMIREZ JOSE JAVIER</v>
          </cell>
          <cell r="E643" t="str">
            <v>SIN EQUIPO TAPANCO</v>
          </cell>
          <cell r="F643" t="str">
            <v>TAPANCO</v>
          </cell>
        </row>
        <row r="644">
          <cell r="C644">
            <v>32096566</v>
          </cell>
          <cell r="D644" t="str">
            <v>SILVA RAMOS ISAURO</v>
          </cell>
          <cell r="E644" t="str">
            <v>SIN EQUIPO TAPANCO</v>
          </cell>
          <cell r="F644" t="str">
            <v>TAPANCO</v>
          </cell>
        </row>
        <row r="645">
          <cell r="C645">
            <v>32142966</v>
          </cell>
          <cell r="D645" t="str">
            <v>HERNANDEZ JACQUEZ JESUS EMANUEL</v>
          </cell>
          <cell r="E645" t="str">
            <v>SIN EQUIPO TAPANCO</v>
          </cell>
          <cell r="F645" t="str">
            <v>TAPANCO</v>
          </cell>
        </row>
        <row r="646">
          <cell r="C646">
            <v>32143666</v>
          </cell>
          <cell r="D646" t="str">
            <v>RUVALCABA OROZCO ALEJANDRO</v>
          </cell>
          <cell r="E646" t="str">
            <v>SIN EQUIPO TAPANCO</v>
          </cell>
          <cell r="F646" t="str">
            <v>TAPANCO</v>
          </cell>
        </row>
        <row r="647">
          <cell r="C647">
            <v>32144322</v>
          </cell>
          <cell r="D647" t="str">
            <v>DUARTE RODRIGUEZ FRANCISCO JAVIER</v>
          </cell>
          <cell r="E647" t="str">
            <v>SIN EQUIPO TAPANCO</v>
          </cell>
          <cell r="F647" t="str">
            <v>TAPANCO</v>
          </cell>
        </row>
        <row r="648">
          <cell r="C648">
            <v>32145486</v>
          </cell>
          <cell r="D648" t="str">
            <v>REYES FIGUEROA FELIPE DE JESUS</v>
          </cell>
          <cell r="E648" t="str">
            <v>SIN EQUIPO TAPANCO</v>
          </cell>
          <cell r="F648" t="str">
            <v>TAPANCO</v>
          </cell>
        </row>
        <row r="649">
          <cell r="C649">
            <v>32151915</v>
          </cell>
          <cell r="D649" t="str">
            <v>VILLALOBOS AGUILAR JORGE LUIS</v>
          </cell>
          <cell r="E649" t="str">
            <v>SIN EQUIPO TAPANCO</v>
          </cell>
          <cell r="F649" t="str">
            <v>TAPANCO</v>
          </cell>
        </row>
        <row r="650">
          <cell r="C650">
            <v>32153663</v>
          </cell>
          <cell r="D650" t="str">
            <v>VILLALOBOS AGUILAR ALEJANDRO</v>
          </cell>
          <cell r="E650" t="str">
            <v>SIN EQUIPO TAPANCO</v>
          </cell>
          <cell r="F650" t="str">
            <v>TAPANCO</v>
          </cell>
        </row>
        <row r="651">
          <cell r="C651">
            <v>32153664</v>
          </cell>
          <cell r="D651" t="str">
            <v>GONZALEZ DE LIRA JAIRO</v>
          </cell>
          <cell r="E651" t="str">
            <v>SIN EQUIPO TAPANCO</v>
          </cell>
          <cell r="F651" t="str">
            <v>TAPANCO</v>
          </cell>
        </row>
        <row r="652">
          <cell r="C652">
            <v>32153666</v>
          </cell>
          <cell r="D652" t="str">
            <v>JUAREZ IBARRA JOSE MANUEL</v>
          </cell>
          <cell r="E652" t="str">
            <v>SIN EQUIPO TAPANCO</v>
          </cell>
          <cell r="F652" t="str">
            <v>TAPANCO</v>
          </cell>
        </row>
        <row r="653">
          <cell r="C653">
            <v>32153667</v>
          </cell>
          <cell r="D653" t="str">
            <v>PALACIOS GAMEZ JUAN CARLOS</v>
          </cell>
          <cell r="E653" t="str">
            <v>SIN EQUIPO TAPANCO</v>
          </cell>
          <cell r="F653" t="str">
            <v>TAPANCO</v>
          </cell>
        </row>
        <row r="654">
          <cell r="C654">
            <v>32153668</v>
          </cell>
          <cell r="D654" t="str">
            <v>ORDAZ RAMIREZ SEBASTIAN ALONSO</v>
          </cell>
          <cell r="E654" t="str">
            <v>SIN EQUIPO TAPANCO</v>
          </cell>
          <cell r="F654" t="str">
            <v>TAPANCO</v>
          </cell>
        </row>
        <row r="655">
          <cell r="C655">
            <v>32155890</v>
          </cell>
          <cell r="D655" t="str">
            <v>TORRES MALDONADO VICTOR HUGO</v>
          </cell>
          <cell r="E655" t="str">
            <v>SIN EQUIPO TAPANCO</v>
          </cell>
          <cell r="F655" t="str">
            <v>TAPANCO</v>
          </cell>
        </row>
        <row r="656">
          <cell r="C656">
            <v>32155894</v>
          </cell>
          <cell r="D656" t="str">
            <v>DOMINGUEZ GONZALEZ LEODEGARIO</v>
          </cell>
          <cell r="E656" t="str">
            <v>SIN EQUIPO TAPANCO</v>
          </cell>
          <cell r="F656" t="str">
            <v>TAPANCO</v>
          </cell>
        </row>
        <row r="657">
          <cell r="C657">
            <v>32155900</v>
          </cell>
          <cell r="D657" t="str">
            <v>ORDAZ JAIME JUAN ESTEBAN</v>
          </cell>
          <cell r="E657" t="str">
            <v>SIN EQUIPO TAPANCO</v>
          </cell>
          <cell r="F657" t="str">
            <v>TAPANCO</v>
          </cell>
        </row>
        <row r="658">
          <cell r="C658">
            <v>32155921</v>
          </cell>
          <cell r="D658" t="str">
            <v>ALVARADO TORRES JORGE IVAN</v>
          </cell>
          <cell r="E658" t="str">
            <v>SIN EQUIPO TAPANCO</v>
          </cell>
          <cell r="F658" t="str">
            <v>TAPANCO</v>
          </cell>
        </row>
        <row r="659">
          <cell r="C659">
            <v>32155927</v>
          </cell>
          <cell r="D659" t="str">
            <v>ROGERO OJEDA PEDRO DAVID</v>
          </cell>
          <cell r="E659" t="str">
            <v>SIN EQUIPO TAPANCO</v>
          </cell>
          <cell r="F659" t="str">
            <v>TAPANCO</v>
          </cell>
        </row>
        <row r="660">
          <cell r="C660">
            <v>32180796</v>
          </cell>
          <cell r="D660" t="str">
            <v>TORRES LOPEZ LEONARDO DANIEL</v>
          </cell>
          <cell r="E660" t="str">
            <v>SIN EQUIPO TAPANCO</v>
          </cell>
          <cell r="F660" t="str">
            <v>TAPANCO</v>
          </cell>
        </row>
        <row r="661">
          <cell r="C661">
            <v>32197858</v>
          </cell>
          <cell r="D661" t="str">
            <v>DIAZ ALVARADO ANTHONY</v>
          </cell>
          <cell r="E661" t="str">
            <v>SIN EQUIPO TAPANCO</v>
          </cell>
          <cell r="F661" t="str">
            <v>TAPANCO</v>
          </cell>
        </row>
        <row r="662">
          <cell r="C662">
            <v>32197862</v>
          </cell>
          <cell r="D662" t="str">
            <v>SANCHEZ  ESCOBEDO CARLOS EDUARDO</v>
          </cell>
          <cell r="E662" t="str">
            <v>SIN EQUIPO TAPANCO</v>
          </cell>
          <cell r="F662" t="str">
            <v>TAPANCO</v>
          </cell>
        </row>
        <row r="663">
          <cell r="C663">
            <v>32197866</v>
          </cell>
          <cell r="D663" t="str">
            <v>OLVERA SILVA CRISTO GABRIEL</v>
          </cell>
          <cell r="E663" t="str">
            <v>SIN EQUIPO TAPANCO</v>
          </cell>
          <cell r="F663" t="str">
            <v>TAPANCO</v>
          </cell>
        </row>
        <row r="664">
          <cell r="C664">
            <v>32197875</v>
          </cell>
          <cell r="D664" t="str">
            <v>MARTINEZ MARTINEZ EDUARDO TOMAS</v>
          </cell>
          <cell r="E664" t="str">
            <v>SIN EQUIPO TAPANCO</v>
          </cell>
          <cell r="F664" t="str">
            <v>TAPANCO</v>
          </cell>
        </row>
        <row r="665">
          <cell r="C665">
            <v>32197880</v>
          </cell>
          <cell r="D665" t="str">
            <v>ESTRADA MARTINEZ EVERARDO</v>
          </cell>
          <cell r="E665" t="str">
            <v>SIN EQUIPO TAPANCO</v>
          </cell>
          <cell r="F665" t="str">
            <v>TAPANCO</v>
          </cell>
        </row>
        <row r="666">
          <cell r="C666">
            <v>32197898</v>
          </cell>
          <cell r="D666" t="str">
            <v>CORDERO CARRLLO JOSE LUIS</v>
          </cell>
          <cell r="E666" t="str">
            <v>SIN EQUIPO TAPANCO</v>
          </cell>
          <cell r="F666" t="str">
            <v>TAPANCO</v>
          </cell>
        </row>
        <row r="667">
          <cell r="C667">
            <v>32197899</v>
          </cell>
          <cell r="D667" t="str">
            <v>NUÑEZ CARDONA JOSE MANUEL</v>
          </cell>
          <cell r="E667" t="str">
            <v>SIN EQUIPO TAPANCO</v>
          </cell>
          <cell r="F667" t="str">
            <v>TAPANCO</v>
          </cell>
        </row>
        <row r="668">
          <cell r="C668">
            <v>32197908</v>
          </cell>
          <cell r="D668" t="str">
            <v>GARCIA MONTAÑEZ LUIS DAVID</v>
          </cell>
          <cell r="E668" t="str">
            <v>SIN EQUIPO TAPANCO</v>
          </cell>
          <cell r="F668" t="str">
            <v>TAPANCO</v>
          </cell>
        </row>
        <row r="669">
          <cell r="C669">
            <v>32197912</v>
          </cell>
          <cell r="D669" t="str">
            <v>RODRIGUEZ  ORTIZ MARCO ANTONIO</v>
          </cell>
          <cell r="E669" t="str">
            <v>SIN EQUIPO TAPANCO</v>
          </cell>
          <cell r="F669" t="str">
            <v>TAPANCO</v>
          </cell>
        </row>
        <row r="670">
          <cell r="C670">
            <v>32197914</v>
          </cell>
          <cell r="D670" t="str">
            <v>ZAMARRIPA RODARTE MIGUEL ANGEL</v>
          </cell>
          <cell r="E670" t="str">
            <v>SIN EQUIPO TAPANCO</v>
          </cell>
          <cell r="F670" t="str">
            <v>TAPANCO</v>
          </cell>
        </row>
        <row r="671">
          <cell r="C671">
            <v>32197915</v>
          </cell>
          <cell r="D671" t="str">
            <v>ZAMARRIPA MARTINEZ NESTOR</v>
          </cell>
          <cell r="E671" t="str">
            <v>SIN EQUIPO TAPANCO</v>
          </cell>
          <cell r="F671" t="str">
            <v>TAPANCO</v>
          </cell>
        </row>
        <row r="672">
          <cell r="C672">
            <v>32197918</v>
          </cell>
          <cell r="D672" t="str">
            <v>RODRIGUEZ  LOPEZ RENE</v>
          </cell>
          <cell r="E672" t="str">
            <v>SIN EQUIPO TAPANCO</v>
          </cell>
          <cell r="F672" t="str">
            <v>TAPANCO</v>
          </cell>
        </row>
        <row r="673">
          <cell r="C673">
            <v>32197921</v>
          </cell>
          <cell r="D673" t="str">
            <v>CORONADO AVILA SERGIO</v>
          </cell>
          <cell r="E673" t="str">
            <v>SIN EQUIPO TAPANCO</v>
          </cell>
          <cell r="F673" t="str">
            <v>TAPANCO</v>
          </cell>
        </row>
        <row r="674">
          <cell r="C674">
            <v>32197889</v>
          </cell>
          <cell r="D674" t="str">
            <v>RUELAS MURILLO JORGE ALEJANDRO</v>
          </cell>
          <cell r="E674" t="str">
            <v>SIN EQUIPO TAPANCO</v>
          </cell>
          <cell r="F674" t="str">
            <v>TAPANCO</v>
          </cell>
        </row>
        <row r="675">
          <cell r="C675">
            <v>32198268</v>
          </cell>
          <cell r="D675" t="str">
            <v>ARMANDO VALDEZ MEDINA</v>
          </cell>
          <cell r="E675" t="str">
            <v>SIN EQUIPO TAPANCO</v>
          </cell>
          <cell r="F675" t="str">
            <v>TAPANCO</v>
          </cell>
        </row>
        <row r="676">
          <cell r="C676">
            <v>32198269</v>
          </cell>
          <cell r="D676" t="str">
            <v>AURORA MENDEZ RODARTE</v>
          </cell>
          <cell r="E676" t="str">
            <v>SIN EQUIPO TAPANCO</v>
          </cell>
          <cell r="F676" t="str">
            <v>TAPANCO</v>
          </cell>
        </row>
        <row r="677">
          <cell r="C677">
            <v>32198271</v>
          </cell>
          <cell r="D677" t="str">
            <v>CRISTIAN JARED CARMONA RODRIGUEZ</v>
          </cell>
          <cell r="E677" t="str">
            <v>SIN EQUIPO TAPANCO</v>
          </cell>
          <cell r="F677" t="str">
            <v>TAPANCO</v>
          </cell>
        </row>
        <row r="678">
          <cell r="C678">
            <v>32198282</v>
          </cell>
          <cell r="D678" t="str">
            <v>RUIZ RUIZ JESUS</v>
          </cell>
          <cell r="E678" t="str">
            <v>SIN EQUIPO TAPANCO</v>
          </cell>
          <cell r="F678" t="str">
            <v>TAPANCO</v>
          </cell>
        </row>
        <row r="679">
          <cell r="C679">
            <v>32198283</v>
          </cell>
          <cell r="D679" t="str">
            <v>JONATAN DE JESUS MONTOYA ALFARO</v>
          </cell>
          <cell r="E679" t="str">
            <v>SIN EQUIPO TAPANCO</v>
          </cell>
          <cell r="F679" t="str">
            <v>TAPANCO</v>
          </cell>
        </row>
        <row r="680">
          <cell r="C680">
            <v>32198286</v>
          </cell>
          <cell r="D680" t="str">
            <v>JOSE ALFONSO ESPARZA PARRA</v>
          </cell>
          <cell r="E680" t="str">
            <v>SIN EQUIPO TAPANCO</v>
          </cell>
          <cell r="F680" t="str">
            <v>TAPANCO</v>
          </cell>
        </row>
        <row r="681">
          <cell r="C681">
            <v>32198291</v>
          </cell>
          <cell r="D681" t="str">
            <v>LUIS DANIEL ZESATI ALVARADO</v>
          </cell>
          <cell r="E681" t="str">
            <v>SIN EQUIPO TAPANCO</v>
          </cell>
          <cell r="F681" t="str">
            <v>TAPANCO</v>
          </cell>
        </row>
        <row r="682">
          <cell r="C682">
            <v>32198305</v>
          </cell>
          <cell r="D682" t="str">
            <v>ISMAEL CHAVES CARRANZA</v>
          </cell>
          <cell r="E682" t="str">
            <v>SIN EQUIPO TAPANCO</v>
          </cell>
          <cell r="F682" t="str">
            <v>TAPANCO</v>
          </cell>
        </row>
        <row r="683">
          <cell r="C683">
            <v>32198307</v>
          </cell>
          <cell r="D683" t="str">
            <v>ROSALES RAMIREZ ROBERTO</v>
          </cell>
          <cell r="E683" t="str">
            <v>SIN EQUIPO TAPANCO</v>
          </cell>
          <cell r="F683" t="str">
            <v>TAPANCO</v>
          </cell>
        </row>
        <row r="684">
          <cell r="C684">
            <v>32199335</v>
          </cell>
          <cell r="D684" t="str">
            <v>TORRES GONZALEZ CARLOS IGNACIO</v>
          </cell>
          <cell r="E684" t="str">
            <v>SIN EQUIPO TAPANCO</v>
          </cell>
          <cell r="F684" t="str">
            <v>TAPANCO</v>
          </cell>
        </row>
        <row r="685">
          <cell r="C685">
            <v>32199337</v>
          </cell>
          <cell r="D685" t="str">
            <v>VALDEZ ROMERO IRVING ANTONIO</v>
          </cell>
          <cell r="E685" t="str">
            <v>SIN EQUIPO TAPANCO</v>
          </cell>
          <cell r="F685" t="str">
            <v>TAPANCO</v>
          </cell>
        </row>
        <row r="686">
          <cell r="C686">
            <v>32199341</v>
          </cell>
          <cell r="D686" t="str">
            <v>RINCON GUERRERO MARTIN ENRIQUE</v>
          </cell>
          <cell r="E686" t="str">
            <v>SIN EQUIPO TAPANCO</v>
          </cell>
          <cell r="F686" t="str">
            <v>TAPANCO</v>
          </cell>
        </row>
        <row r="687">
          <cell r="C687">
            <v>32199771</v>
          </cell>
          <cell r="D687" t="str">
            <v>RAMIREZ IBARRA ALVARO</v>
          </cell>
          <cell r="E687" t="str">
            <v>SIN EQUIPO TAPANCO</v>
          </cell>
          <cell r="F687" t="str">
            <v>TAPANCO</v>
          </cell>
        </row>
        <row r="688">
          <cell r="C688">
            <v>32199773</v>
          </cell>
          <cell r="D688" t="str">
            <v>SANCHEZ ARIAS CARLOS DAMIAN</v>
          </cell>
          <cell r="E688" t="str">
            <v>SIN EQUIPO TAPANCO</v>
          </cell>
          <cell r="F688" t="str">
            <v>TAPANCO</v>
          </cell>
        </row>
        <row r="689">
          <cell r="C689">
            <v>32199779</v>
          </cell>
          <cell r="D689" t="str">
            <v>FLORES HERNANDEZ GABRIEL</v>
          </cell>
          <cell r="E689" t="str">
            <v>SIN EQUIPO TAPANCO</v>
          </cell>
          <cell r="F689" t="str">
            <v>TAPANCO</v>
          </cell>
        </row>
        <row r="690">
          <cell r="C690">
            <v>32199781</v>
          </cell>
          <cell r="D690" t="str">
            <v>PIEDRAS ROSALES IVAN FELIPE</v>
          </cell>
          <cell r="E690" t="str">
            <v>SIN EQUIPO TAPANCO</v>
          </cell>
          <cell r="F690" t="str">
            <v>TAPANCO</v>
          </cell>
        </row>
        <row r="691">
          <cell r="C691">
            <v>32199782</v>
          </cell>
          <cell r="D691" t="str">
            <v>GUTIERREZ RODARTE JOEL</v>
          </cell>
          <cell r="E691" t="str">
            <v>SIN EQUIPO TAPANCO</v>
          </cell>
          <cell r="F691" t="str">
            <v>TAPANCO</v>
          </cell>
        </row>
        <row r="692">
          <cell r="C692">
            <v>32200206</v>
          </cell>
          <cell r="D692" t="str">
            <v>SALAZAR GUTIERREZ CRISTIAN ADAN</v>
          </cell>
          <cell r="E692" t="str">
            <v>SIN EQUIPO TAPANCO</v>
          </cell>
          <cell r="F692" t="str">
            <v>TAPANCO</v>
          </cell>
        </row>
        <row r="693">
          <cell r="C693">
            <v>32200207</v>
          </cell>
          <cell r="D693" t="str">
            <v>FERNANDEZ TREJO CRUZ ANDRES</v>
          </cell>
          <cell r="E693" t="str">
            <v>SIN EQUIPO TAPANCO</v>
          </cell>
          <cell r="F693" t="str">
            <v>TAPANCO</v>
          </cell>
        </row>
        <row r="694">
          <cell r="C694">
            <v>32200211</v>
          </cell>
          <cell r="D694" t="str">
            <v>PINALES MEJIA FRANCISCO ALFREDO</v>
          </cell>
          <cell r="E694" t="str">
            <v>SIN EQUIPO TAPANCO</v>
          </cell>
          <cell r="F694" t="str">
            <v>TAPANCO</v>
          </cell>
        </row>
        <row r="695">
          <cell r="C695">
            <v>32200212</v>
          </cell>
          <cell r="D695" t="str">
            <v>LUCIO DOMINGUEZ IVAN DARIO</v>
          </cell>
          <cell r="E695" t="str">
            <v>SIN EQUIPO TAPANCO</v>
          </cell>
          <cell r="F695" t="str">
            <v>TAPANCO</v>
          </cell>
        </row>
        <row r="696">
          <cell r="C696">
            <v>32200223</v>
          </cell>
          <cell r="D696" t="str">
            <v>MARQUEZ LEDEZMA JUAN CARLOS</v>
          </cell>
          <cell r="E696" t="str">
            <v>SIN EQUIPO TAPANCO</v>
          </cell>
          <cell r="F696" t="str">
            <v>TAPANCO</v>
          </cell>
        </row>
        <row r="697">
          <cell r="C697">
            <v>32200225</v>
          </cell>
          <cell r="D697" t="str">
            <v>DEL RIO MARTINEZ NOE ALEXANDER</v>
          </cell>
          <cell r="E697" t="str">
            <v>SIN EQUIPO TAPANCO</v>
          </cell>
          <cell r="F697" t="str">
            <v>TAPANCO</v>
          </cell>
        </row>
        <row r="698">
          <cell r="C698">
            <v>32200226</v>
          </cell>
          <cell r="D698" t="str">
            <v>DEL REAL LOPEZ VICTOR MANUEL</v>
          </cell>
          <cell r="E698" t="str">
            <v>SIN EQUIPO TAPANCO</v>
          </cell>
          <cell r="F698" t="str">
            <v>TAPANCO</v>
          </cell>
        </row>
        <row r="699">
          <cell r="C699">
            <v>32200230</v>
          </cell>
          <cell r="D699" t="str">
            <v>JARAMILLO LOPEZ JORGE CARLOS</v>
          </cell>
          <cell r="E699" t="str">
            <v>SIN EQUIPO TAPANCO</v>
          </cell>
          <cell r="F699" t="str">
            <v>TAPANCO</v>
          </cell>
        </row>
        <row r="700">
          <cell r="C700">
            <v>32201700</v>
          </cell>
          <cell r="D700" t="str">
            <v>TORRES RODRIGUEZ MATEO</v>
          </cell>
          <cell r="E700" t="str">
            <v>SIN EQUIPO TAPANCO</v>
          </cell>
          <cell r="F700" t="str">
            <v>TAPANCO</v>
          </cell>
        </row>
        <row r="701">
          <cell r="C701">
            <v>32201701</v>
          </cell>
          <cell r="D701" t="str">
            <v>GOMEZ MONTOYA JESUS PEDRO</v>
          </cell>
          <cell r="E701" t="str">
            <v>SIN EQUIPO TAPANCO</v>
          </cell>
          <cell r="F701" t="str">
            <v>TAPANCO</v>
          </cell>
        </row>
        <row r="702">
          <cell r="C702">
            <v>32201702</v>
          </cell>
          <cell r="D702" t="str">
            <v>DIAZ MAURICIO JAIME</v>
          </cell>
          <cell r="E702" t="str">
            <v>SIN EQUIPO TAPANCO</v>
          </cell>
          <cell r="F702" t="str">
            <v>TAPANCO</v>
          </cell>
        </row>
        <row r="703">
          <cell r="C703">
            <v>32201704</v>
          </cell>
          <cell r="D703" t="str">
            <v>PINEDO RODARTE CARLOS MANUEL</v>
          </cell>
          <cell r="E703" t="str">
            <v>SIN EQUIPO TAPANCO</v>
          </cell>
          <cell r="F703" t="str">
            <v>TAPANCO</v>
          </cell>
        </row>
        <row r="704">
          <cell r="C704">
            <v>32201705</v>
          </cell>
          <cell r="D704" t="str">
            <v>PEREZ SOLIS FELIX JUAN JOSE</v>
          </cell>
          <cell r="E704" t="str">
            <v>SIN EQUIPO TAPANCO</v>
          </cell>
          <cell r="F704" t="str">
            <v>TAPANCO</v>
          </cell>
        </row>
        <row r="705">
          <cell r="C705">
            <v>32202300</v>
          </cell>
          <cell r="D705" t="str">
            <v>RUIZ RUIZ SAMUEL</v>
          </cell>
          <cell r="E705" t="str">
            <v>SIN EQUIPO TAPANCO</v>
          </cell>
          <cell r="F705" t="str">
            <v>TAPANCO</v>
          </cell>
        </row>
        <row r="706">
          <cell r="C706">
            <v>32202301</v>
          </cell>
          <cell r="D706" t="str">
            <v>RANGEL GUAJARDO GERARDO</v>
          </cell>
          <cell r="E706" t="str">
            <v>SIN EQUIPO TAPANCO</v>
          </cell>
          <cell r="F706" t="str">
            <v>TAPANCO</v>
          </cell>
        </row>
        <row r="707">
          <cell r="C707">
            <v>32202303</v>
          </cell>
          <cell r="D707" t="str">
            <v>REYES ORTIZ FABIOLA</v>
          </cell>
          <cell r="E707" t="str">
            <v>SIN EQUIPO TAPANCO</v>
          </cell>
          <cell r="F707" t="str">
            <v>TAPANCO</v>
          </cell>
        </row>
        <row r="708">
          <cell r="C708">
            <v>32202304</v>
          </cell>
          <cell r="D708" t="str">
            <v>MARTINEZ VILLARREAL JESUS ALBERTO</v>
          </cell>
          <cell r="E708" t="str">
            <v>SIN EQUIPO TAPANCO</v>
          </cell>
          <cell r="F708" t="str">
            <v>TAPANCO</v>
          </cell>
        </row>
        <row r="709">
          <cell r="C709">
            <v>32202307</v>
          </cell>
          <cell r="D709" t="str">
            <v>HERNANDEZ PALACIOS VICTOR MANUEL</v>
          </cell>
          <cell r="E709" t="str">
            <v>SIN EQUIPO TAPANCO</v>
          </cell>
          <cell r="F709" t="str">
            <v>TAPANCO</v>
          </cell>
        </row>
        <row r="710">
          <cell r="C710">
            <v>32202309</v>
          </cell>
          <cell r="D710" t="str">
            <v xml:space="preserve">PEREZ VALADEZ ARTURO DE JESUS </v>
          </cell>
          <cell r="E710" t="str">
            <v>SIN EQUIPO TAPANCO</v>
          </cell>
          <cell r="F710" t="str">
            <v>TAPANCO</v>
          </cell>
        </row>
        <row r="711">
          <cell r="C711">
            <v>32207892</v>
          </cell>
          <cell r="D711" t="str">
            <v>MARTÍNEZ RODRÍGUEZ DIEGO</v>
          </cell>
          <cell r="E711" t="str">
            <v>SIN EQUIPO TAPANCO</v>
          </cell>
          <cell r="F711" t="str">
            <v>TAPANCO</v>
          </cell>
        </row>
        <row r="712">
          <cell r="C712">
            <v>32207895</v>
          </cell>
          <cell r="D712" t="str">
            <v>AVIÑA HERNÁNDEZ HECTOR ULISES</v>
          </cell>
          <cell r="E712" t="str">
            <v>SIN EQUIPO TAPANCO</v>
          </cell>
          <cell r="F712" t="str">
            <v>TAPANCO</v>
          </cell>
        </row>
        <row r="713">
          <cell r="C713">
            <v>32208329</v>
          </cell>
          <cell r="D713" t="str">
            <v xml:space="preserve">NIETO VAZQUEZ ELIUD JOEL </v>
          </cell>
          <cell r="E713" t="str">
            <v>SIN EQUIPO TAPANCO</v>
          </cell>
          <cell r="F713" t="str">
            <v>TAPANCO</v>
          </cell>
        </row>
        <row r="714">
          <cell r="C714">
            <v>32208340</v>
          </cell>
          <cell r="D714" t="str">
            <v>RANGEL REYES VICTOR HUGO</v>
          </cell>
          <cell r="E714" t="str">
            <v>SIN EQUIPO TAPANCO</v>
          </cell>
          <cell r="F714" t="str">
            <v>TAPANCO</v>
          </cell>
        </row>
        <row r="715">
          <cell r="C715">
            <v>32208341</v>
          </cell>
          <cell r="D715" t="str">
            <v>NIETO DEL RIO BRAYAN JESUS</v>
          </cell>
          <cell r="E715" t="str">
            <v>SIN EQUIPO TAPANCO</v>
          </cell>
          <cell r="F715" t="str">
            <v>TAPANCO</v>
          </cell>
        </row>
        <row r="716">
          <cell r="C716">
            <v>32208902</v>
          </cell>
          <cell r="D716" t="str">
            <v>INES AYALA GALAVIZ</v>
          </cell>
          <cell r="E716" t="str">
            <v>SIN EQUIPO TAPANCO</v>
          </cell>
          <cell r="F716" t="str">
            <v>TAPANCO</v>
          </cell>
        </row>
        <row r="717">
          <cell r="C717">
            <v>32209675</v>
          </cell>
          <cell r="D717" t="str">
            <v xml:space="preserve">LIZANDRO CARRANZA CONTRERAS </v>
          </cell>
          <cell r="E717" t="str">
            <v>SIN EQUIPO TAPANCO</v>
          </cell>
          <cell r="F717" t="str">
            <v>TAPANCO</v>
          </cell>
        </row>
        <row r="718">
          <cell r="C718">
            <v>32209678</v>
          </cell>
          <cell r="D718" t="str">
            <v xml:space="preserve">ORLANDO RODRIGUEZ RAMIREZ </v>
          </cell>
          <cell r="E718" t="str">
            <v>SIN EQUIPO TAPANCO</v>
          </cell>
          <cell r="F718" t="str">
            <v>TAPANCO</v>
          </cell>
        </row>
        <row r="719">
          <cell r="C719">
            <v>32209687</v>
          </cell>
          <cell r="D719" t="str">
            <v xml:space="preserve">ALEJANDRO HERNANDEZ CASTAÑEDA </v>
          </cell>
          <cell r="E719" t="str">
            <v>SIN EQUIPO TAPANCO</v>
          </cell>
          <cell r="F719" t="str">
            <v>TAPANCO</v>
          </cell>
        </row>
        <row r="720">
          <cell r="C720">
            <v>32210299</v>
          </cell>
          <cell r="D720" t="str">
            <v xml:space="preserve">JUAN MANUEL RAMIREZ RIVERA </v>
          </cell>
          <cell r="E720" t="str">
            <v>SIN EQUIPO TAPANCO</v>
          </cell>
          <cell r="F720" t="str">
            <v>TAPANCO</v>
          </cell>
        </row>
        <row r="721">
          <cell r="C721">
            <v>32210300</v>
          </cell>
          <cell r="D721" t="str">
            <v xml:space="preserve">HIGINIO LARA HERNANDEZ </v>
          </cell>
          <cell r="E721" t="str">
            <v>SIN EQUIPO TAPANCO</v>
          </cell>
          <cell r="F721" t="str">
            <v>TAPANCO</v>
          </cell>
        </row>
        <row r="722">
          <cell r="C722">
            <v>32210303</v>
          </cell>
          <cell r="D722" t="str">
            <v xml:space="preserve">MIGUEL DELGADILLO GAYTAN </v>
          </cell>
          <cell r="E722" t="str">
            <v>SIN EQUIPO TAPANCO</v>
          </cell>
          <cell r="F722" t="str">
            <v>TAPANCO</v>
          </cell>
        </row>
        <row r="723">
          <cell r="C723">
            <v>32210305</v>
          </cell>
          <cell r="D723" t="str">
            <v xml:space="preserve">JUAN ANTONIO RIOS RAMIREZ </v>
          </cell>
          <cell r="E723" t="str">
            <v>SIN EQUIPO TAPANCO</v>
          </cell>
          <cell r="F723" t="str">
            <v>TAPANCO</v>
          </cell>
        </row>
        <row r="724">
          <cell r="C724">
            <v>32210314</v>
          </cell>
          <cell r="D724" t="str">
            <v xml:space="preserve">JUANA RODRIGUEZ UBALDO </v>
          </cell>
          <cell r="E724" t="str">
            <v>SIN EQUIPO TAPANCO</v>
          </cell>
          <cell r="F724" t="str">
            <v>TAPANCO</v>
          </cell>
        </row>
        <row r="725">
          <cell r="C725">
            <v>32210317</v>
          </cell>
          <cell r="D725" t="str">
            <v>MARCOS SALVADOR RAMIREZ CRUZ</v>
          </cell>
          <cell r="E725" t="str">
            <v>SIN EQUIPO TAPANCO</v>
          </cell>
          <cell r="F725" t="str">
            <v>TAPANCO</v>
          </cell>
        </row>
        <row r="726">
          <cell r="C726">
            <v>32210590</v>
          </cell>
          <cell r="D726" t="str">
            <v>SERGIO JESUS BALANDRAN SANTOYO</v>
          </cell>
          <cell r="E726" t="str">
            <v>SIN EQUIPO TAPANCO</v>
          </cell>
          <cell r="F726" t="str">
            <v>TAPANCO</v>
          </cell>
        </row>
        <row r="727">
          <cell r="C727">
            <v>32212453</v>
          </cell>
          <cell r="D727" t="str">
            <v>GUADALUPE RAMIREZ ZAMARRIPA</v>
          </cell>
          <cell r="E727" t="str">
            <v>SIN EQUIPO TAPANCO</v>
          </cell>
          <cell r="F727" t="str">
            <v>TAPANCO</v>
          </cell>
        </row>
        <row r="728">
          <cell r="C728">
            <v>32212456</v>
          </cell>
          <cell r="D728" t="str">
            <v>JORGE LUIS GUTIERREZ TORRES</v>
          </cell>
          <cell r="E728" t="str">
            <v>SIN EQUIPO TAPANCO</v>
          </cell>
          <cell r="F728" t="str">
            <v>TAPANCO</v>
          </cell>
        </row>
        <row r="729">
          <cell r="C729">
            <v>32212661</v>
          </cell>
          <cell r="D729" t="str">
            <v>JOSE CRUZ CABRERA GARCIA</v>
          </cell>
          <cell r="E729" t="str">
            <v>SIN EQUIPO TAPANCO</v>
          </cell>
          <cell r="F729" t="str">
            <v>TAPANCO</v>
          </cell>
        </row>
        <row r="730">
          <cell r="C730">
            <v>32213392</v>
          </cell>
          <cell r="D730" t="str">
            <v>MARTIN DE JESUS ORTIZ CASTILLO</v>
          </cell>
          <cell r="E730" t="str">
            <v>SIN EQUIPO TAPANCO</v>
          </cell>
          <cell r="F730" t="str">
            <v>TAPANCO</v>
          </cell>
        </row>
        <row r="731">
          <cell r="C731">
            <v>32213394</v>
          </cell>
          <cell r="D731" t="str">
            <v>RAYMUNDO RAMIREZ GARCIA</v>
          </cell>
          <cell r="E731" t="str">
            <v>SIN EQUIPO TAPANCO</v>
          </cell>
          <cell r="F731" t="str">
            <v>TAPANCO</v>
          </cell>
        </row>
        <row r="732">
          <cell r="C732">
            <v>32213399</v>
          </cell>
          <cell r="D732" t="str">
            <v>CESAR IVAN SALDIVAR MACIAS</v>
          </cell>
          <cell r="E732" t="str">
            <v>SIN EQUIPO TAPANCO</v>
          </cell>
          <cell r="F732" t="str">
            <v>TAPANCO</v>
          </cell>
        </row>
        <row r="733">
          <cell r="C733">
            <v>32216495</v>
          </cell>
          <cell r="D733" t="str">
            <v>PERLA BRISEIDY JUAREZ GARCIA</v>
          </cell>
          <cell r="E733" t="str">
            <v>SIN EQUIPO TAPANCO</v>
          </cell>
          <cell r="F733" t="str">
            <v>TAPANCO</v>
          </cell>
        </row>
        <row r="734">
          <cell r="C734">
            <v>32216498</v>
          </cell>
          <cell r="D734" t="str">
            <v>DAVID ALEJANDRO SALAZAR PRADO</v>
          </cell>
          <cell r="E734" t="str">
            <v>SIN EQUIPO TAPANCO</v>
          </cell>
          <cell r="F734" t="str">
            <v>TAPANCO</v>
          </cell>
        </row>
        <row r="735">
          <cell r="C735">
            <v>32218263</v>
          </cell>
          <cell r="D735" t="str">
            <v xml:space="preserve">MARIA ESTELA CHIHUAHUA RUIZ </v>
          </cell>
          <cell r="E735" t="str">
            <v>SIN EQUIPO TAPANCO</v>
          </cell>
          <cell r="F735" t="str">
            <v>TAPANCO</v>
          </cell>
        </row>
        <row r="736">
          <cell r="C736">
            <v>32218265</v>
          </cell>
          <cell r="D736" t="str">
            <v>MARIA SOLEDAD SOTELO CORREA</v>
          </cell>
          <cell r="E736" t="str">
            <v>SIN EQUIPO TAPANCO</v>
          </cell>
          <cell r="F736" t="str">
            <v>TAPANCO</v>
          </cell>
        </row>
        <row r="737">
          <cell r="C737">
            <v>32218267</v>
          </cell>
          <cell r="D737" t="str">
            <v>MONICA RUIZ MEZA</v>
          </cell>
          <cell r="E737" t="str">
            <v>SIN EQUIPO TAPANCO</v>
          </cell>
          <cell r="F737" t="str">
            <v>TAPANCO</v>
          </cell>
        </row>
        <row r="738">
          <cell r="C738">
            <v>32218245</v>
          </cell>
          <cell r="D738" t="str">
            <v xml:space="preserve">ADRIANA RAMOS JUAREZ </v>
          </cell>
          <cell r="E738" t="str">
            <v>SIN EQUIPO TAPANCO</v>
          </cell>
          <cell r="F738" t="str">
            <v>TAPANCO</v>
          </cell>
        </row>
        <row r="739">
          <cell r="C739">
            <v>32218274</v>
          </cell>
          <cell r="D739" t="str">
            <v xml:space="preserve">MARIA ISABEL ROMERO GUZMAN </v>
          </cell>
          <cell r="E739" t="str">
            <v>SIN EQUIPO TAPANCO</v>
          </cell>
          <cell r="F739" t="str">
            <v>TAPANCO</v>
          </cell>
        </row>
        <row r="740">
          <cell r="C740">
            <v>32219753</v>
          </cell>
          <cell r="D740" t="str">
            <v xml:space="preserve">MAYRA CECILIA GARCIA MARTINEZ </v>
          </cell>
          <cell r="E740" t="str">
            <v>SIN EQUIPO TAPANCO</v>
          </cell>
          <cell r="F740" t="str">
            <v>TAPANCO</v>
          </cell>
        </row>
        <row r="741">
          <cell r="C741">
            <v>32219766</v>
          </cell>
          <cell r="D741" t="str">
            <v xml:space="preserve">JORGE HUMBERTO QUINTERO ROMAN </v>
          </cell>
          <cell r="E741" t="str">
            <v>SIN EQUIPO TAPANCO</v>
          </cell>
          <cell r="F741" t="str">
            <v>TAPANCO</v>
          </cell>
        </row>
        <row r="742">
          <cell r="C742">
            <v>32222839</v>
          </cell>
          <cell r="D742" t="str">
            <v xml:space="preserve">JORGE OCTAVIO LICERIO DE LA CRUZ </v>
          </cell>
          <cell r="E742" t="str">
            <v>SIN EQUIPO TAPANCO</v>
          </cell>
          <cell r="F742" t="str">
            <v>TAPANCO</v>
          </cell>
        </row>
        <row r="743">
          <cell r="C743">
            <v>32222841</v>
          </cell>
          <cell r="D743" t="str">
            <v xml:space="preserve">JOSE FRANCISCO GALVAN CASTEÑON </v>
          </cell>
          <cell r="E743" t="str">
            <v>SIN EQUIPO TAPANCO</v>
          </cell>
          <cell r="F743" t="str">
            <v>TAPANCO</v>
          </cell>
        </row>
        <row r="744">
          <cell r="C744">
            <v>32222974</v>
          </cell>
          <cell r="D744" t="str">
            <v xml:space="preserve">FRANCISCO MANUEL MIRAMONTES DEL REAL </v>
          </cell>
          <cell r="E744" t="str">
            <v>SIN EQUIPO TAPANCO</v>
          </cell>
          <cell r="F744" t="str">
            <v>TAPANCO</v>
          </cell>
        </row>
        <row r="745">
          <cell r="C745">
            <v>32223215</v>
          </cell>
          <cell r="D745" t="str">
            <v xml:space="preserve">JOSE GUADALUPE CALVILLO SALDIVAR </v>
          </cell>
          <cell r="E745" t="str">
            <v>SIN EQUIPO TAPANCO</v>
          </cell>
          <cell r="F745" t="str">
            <v>TAPANCO</v>
          </cell>
        </row>
        <row r="746">
          <cell r="C746">
            <v>32223206</v>
          </cell>
          <cell r="D746" t="str">
            <v>JORGE LOPEZ ORTIZ</v>
          </cell>
          <cell r="E746" t="str">
            <v>SIN EQUIPO TAPANCO</v>
          </cell>
          <cell r="F746" t="str">
            <v>TAPANCO</v>
          </cell>
        </row>
        <row r="747">
          <cell r="C747">
            <v>32223233</v>
          </cell>
          <cell r="D747" t="str">
            <v xml:space="preserve">EUSEVIO MARTINEZ CASAS </v>
          </cell>
          <cell r="E747" t="str">
            <v>SIN EQUIPO TAPANCO</v>
          </cell>
          <cell r="F747" t="str">
            <v>TAPANCO</v>
          </cell>
        </row>
        <row r="748">
          <cell r="C748">
            <v>32223318</v>
          </cell>
          <cell r="D748" t="str">
            <v xml:space="preserve">IVAN NIETO ROBLES </v>
          </cell>
          <cell r="E748" t="str">
            <v>SIN EQUIPO TAPANCO</v>
          </cell>
          <cell r="F748" t="str">
            <v>TAPANCO</v>
          </cell>
        </row>
        <row r="749">
          <cell r="C749">
            <v>32223334</v>
          </cell>
          <cell r="D749" t="str">
            <v>MARCOS EDUARDO REYES DOMINGUEZ</v>
          </cell>
          <cell r="E749" t="str">
            <v>SIN EQUIPO TAPANCO</v>
          </cell>
          <cell r="F749" t="str">
            <v>TAPANCO</v>
          </cell>
        </row>
        <row r="750">
          <cell r="C750">
            <v>32223320</v>
          </cell>
          <cell r="D750" t="str">
            <v>JESUS MANUEL HERNANDEZ RAMIREZ</v>
          </cell>
          <cell r="E750" t="str">
            <v>SIN EQUIPO TAPANCO</v>
          </cell>
          <cell r="F750" t="str">
            <v>TAPANCO</v>
          </cell>
        </row>
        <row r="751">
          <cell r="C751">
            <v>32223414</v>
          </cell>
          <cell r="D751" t="str">
            <v>MANUEL DE JESUS RODRIGUEZ ORTIZ</v>
          </cell>
          <cell r="E751" t="str">
            <v>SIN EQUIPO TAPANCO</v>
          </cell>
          <cell r="F751" t="str">
            <v>TAPANCO</v>
          </cell>
        </row>
        <row r="752">
          <cell r="C752">
            <v>32223415</v>
          </cell>
          <cell r="D752" t="str">
            <v>PASCUAL ALBERTO VALLE SIMENTAL</v>
          </cell>
          <cell r="E752" t="str">
            <v>SIN EQUIPO TAPANCO</v>
          </cell>
          <cell r="F752" t="str">
            <v>TAPANCO</v>
          </cell>
        </row>
        <row r="753">
          <cell r="C753">
            <v>32223588</v>
          </cell>
          <cell r="D753" t="str">
            <v>CESAR ALEJANDRO ESPINO RODRIGUEZ</v>
          </cell>
          <cell r="E753" t="str">
            <v>SIN EQUIPO TAPANCO</v>
          </cell>
          <cell r="F753" t="str">
            <v>TAPANCO</v>
          </cell>
        </row>
        <row r="754">
          <cell r="C754">
            <v>32223586</v>
          </cell>
          <cell r="D754" t="str">
            <v>CESAR RAMIREZ VILLAGRANA</v>
          </cell>
          <cell r="E754" t="str">
            <v>SIN EQUIPO TAPANCO</v>
          </cell>
          <cell r="F754" t="str">
            <v>TAPANCO</v>
          </cell>
        </row>
        <row r="755">
          <cell r="C755">
            <v>32223583</v>
          </cell>
          <cell r="D755" t="str">
            <v>MARIO ALEXANDRO LOPEZ CRUZ</v>
          </cell>
          <cell r="E755" t="str">
            <v>SIN EQUIPO TAPANCO</v>
          </cell>
          <cell r="F755" t="str">
            <v>TAPANCO</v>
          </cell>
        </row>
        <row r="756">
          <cell r="C756">
            <v>32223582</v>
          </cell>
          <cell r="D756" t="str">
            <v>ROBERTO TORRES DEL RIO</v>
          </cell>
          <cell r="E756" t="str">
            <v>SIN EQUIPO TAPANCO</v>
          </cell>
          <cell r="F756" t="str">
            <v>TAPANCO</v>
          </cell>
        </row>
        <row r="757">
          <cell r="C757">
            <v>32223580</v>
          </cell>
          <cell r="D757" t="str">
            <v>RUBEN VALENZUELA GASPAR</v>
          </cell>
          <cell r="E757" t="str">
            <v>SIN EQUIPO TAPANCO</v>
          </cell>
          <cell r="F757" t="str">
            <v>TAPANCO</v>
          </cell>
        </row>
        <row r="758">
          <cell r="C758">
            <v>32223531</v>
          </cell>
          <cell r="D758" t="str">
            <v xml:space="preserve">JAVIER RIVAS MURGIA </v>
          </cell>
          <cell r="E758" t="str">
            <v>SIN EQUIPO TAPANCO</v>
          </cell>
          <cell r="F758" t="str">
            <v>TAPANCO</v>
          </cell>
        </row>
        <row r="759">
          <cell r="C759">
            <v>32220357</v>
          </cell>
          <cell r="D759" t="str">
            <v>SERGIO LÓPEZ TORRES</v>
          </cell>
          <cell r="E759" t="str">
            <v>SIN EQUIPO TAPANCO</v>
          </cell>
          <cell r="F759" t="str">
            <v>TAPANCO</v>
          </cell>
        </row>
        <row r="760">
          <cell r="C760">
            <v>32224037</v>
          </cell>
          <cell r="D760" t="str">
            <v>ADOLFO EDUARDO LÓPEZ DEL RIO</v>
          </cell>
          <cell r="E760" t="str">
            <v>SIN EQUIPO TAPANCO</v>
          </cell>
          <cell r="F760" t="str">
            <v>TAPANCO</v>
          </cell>
        </row>
        <row r="761">
          <cell r="C761">
            <v>32224185</v>
          </cell>
          <cell r="D761" t="str">
            <v>DIEGO DE JESUS REYES ZANDATE</v>
          </cell>
          <cell r="E761" t="str">
            <v>SIN EQUIPO TAPANCO</v>
          </cell>
          <cell r="F761" t="str">
            <v>TAPANCO</v>
          </cell>
        </row>
        <row r="762">
          <cell r="C762">
            <v>32224709</v>
          </cell>
          <cell r="D762" t="str">
            <v xml:space="preserve">FRANCISCO JAVIER GUTIERREZ ALVARADO </v>
          </cell>
          <cell r="E762" t="str">
            <v>SIN EQUIPO TAPANCO</v>
          </cell>
          <cell r="F762" t="str">
            <v>TAPANCO</v>
          </cell>
        </row>
        <row r="763">
          <cell r="C763">
            <v>32224677</v>
          </cell>
          <cell r="D763" t="str">
            <v>SANTOS LIMAS SANDOVAL</v>
          </cell>
          <cell r="E763" t="str">
            <v>SIN EQUIPO TAPANCO</v>
          </cell>
          <cell r="F763" t="str">
            <v>TAPANCO</v>
          </cell>
        </row>
        <row r="764">
          <cell r="C764">
            <v>32224710</v>
          </cell>
          <cell r="D764" t="str">
            <v xml:space="preserve">FRANCISCO JOSE TORRES CRUZ </v>
          </cell>
          <cell r="E764" t="str">
            <v>SIN EQUIPO TAPANCO</v>
          </cell>
          <cell r="F764" t="str">
            <v>TAPANCO</v>
          </cell>
        </row>
        <row r="765">
          <cell r="C765">
            <v>32224708</v>
          </cell>
          <cell r="D765" t="str">
            <v>FELIPE ADRIAN TOVANCHE TORRES</v>
          </cell>
          <cell r="E765" t="str">
            <v>SIN EQUIPO TAPANCO</v>
          </cell>
          <cell r="F765" t="str">
            <v>TAPANCO</v>
          </cell>
        </row>
        <row r="766">
          <cell r="C766">
            <v>32224714</v>
          </cell>
          <cell r="D766" t="str">
            <v>JOSE ARMANDO LICERIO RODRIGUEZ</v>
          </cell>
          <cell r="E766" t="str">
            <v>SIN EQUIPO TAPANCO</v>
          </cell>
          <cell r="F766" t="str">
            <v>TAPANCO</v>
          </cell>
        </row>
        <row r="767">
          <cell r="C767">
            <v>32224711</v>
          </cell>
          <cell r="D767" t="str">
            <v xml:space="preserve">JAIME ORTEGA DAVILA </v>
          </cell>
          <cell r="E767" t="str">
            <v>SIN EQUIPO TAPANCO</v>
          </cell>
          <cell r="F767" t="str">
            <v>TAPANCO</v>
          </cell>
        </row>
        <row r="768">
          <cell r="C768">
            <v>32228051</v>
          </cell>
          <cell r="D768" t="str">
            <v>CRISTIAN ALEJANDRO NIETO REVILLA</v>
          </cell>
          <cell r="E768" t="str">
            <v>SIN EQUIPO TAPANCO</v>
          </cell>
          <cell r="F768" t="str">
            <v>TAPANCO</v>
          </cell>
        </row>
        <row r="769">
          <cell r="C769">
            <v>32228064</v>
          </cell>
          <cell r="D769" t="str">
            <v>GUSTAVO ADOLFO RIOS VARELA</v>
          </cell>
          <cell r="E769" t="str">
            <v>SIN EQUIPO TAPANCO</v>
          </cell>
          <cell r="F769" t="str">
            <v>TAPANCO</v>
          </cell>
        </row>
        <row r="770">
          <cell r="C770">
            <v>32228055</v>
          </cell>
          <cell r="D770" t="str">
            <v xml:space="preserve">MIGUEL ANGEL PEREZ FLORES </v>
          </cell>
          <cell r="E770" t="str">
            <v>SIN EQUIPO TAPANCO</v>
          </cell>
          <cell r="F770" t="str">
            <v>TAPANCO</v>
          </cell>
        </row>
        <row r="771">
          <cell r="C771">
            <v>32228549</v>
          </cell>
          <cell r="D771" t="str">
            <v>JOSE CRUZ RIOS TOBANCHE</v>
          </cell>
          <cell r="E771" t="str">
            <v>SIN EQUIPO TAPANCO</v>
          </cell>
          <cell r="F771" t="str">
            <v>TAPANCO</v>
          </cell>
        </row>
        <row r="772">
          <cell r="C772">
            <v>32228552</v>
          </cell>
          <cell r="D772" t="str">
            <v>JUAN CARLOS DEL ANGEL GALLEGOS CERVANTES</v>
          </cell>
          <cell r="E772" t="str">
            <v>SIN EQUIPO TAPANCO</v>
          </cell>
          <cell r="F772" t="str">
            <v>TAPANCO</v>
          </cell>
        </row>
        <row r="773">
          <cell r="C773">
            <v>32229385</v>
          </cell>
          <cell r="D773" t="str">
            <v>EDER JOSE RIVERA RAMIREZ</v>
          </cell>
          <cell r="E773" t="str">
            <v>SIN EQUIPO TAPANCO</v>
          </cell>
          <cell r="F773" t="str">
            <v>TAPANCO</v>
          </cell>
        </row>
        <row r="774">
          <cell r="C774">
            <v>32229745</v>
          </cell>
          <cell r="D774" t="str">
            <v>CARMEN ESTRELLA LOERA CORREA</v>
          </cell>
          <cell r="E774" t="str">
            <v>SIN EQUIPO TAPANCO</v>
          </cell>
          <cell r="F774" t="str">
            <v>TAPANCO</v>
          </cell>
        </row>
        <row r="775">
          <cell r="C775">
            <v>32229784</v>
          </cell>
          <cell r="D775" t="str">
            <v>FILIBERTO PRADO RAMIREZ</v>
          </cell>
          <cell r="E775" t="str">
            <v>SIN EQUIPO TAPANCO</v>
          </cell>
          <cell r="F775" t="str">
            <v>TAPANCO</v>
          </cell>
        </row>
        <row r="776">
          <cell r="C776">
            <v>32229788</v>
          </cell>
          <cell r="D776" t="str">
            <v>JESUS MANUEL MENDEZ DE LA CRUZ</v>
          </cell>
          <cell r="E776" t="str">
            <v>SIN EQUIPO TAPANCO</v>
          </cell>
          <cell r="F776" t="str">
            <v>TAPANCO</v>
          </cell>
        </row>
        <row r="777">
          <cell r="C777">
            <v>32229778</v>
          </cell>
          <cell r="D777" t="str">
            <v>JOSE ALFREDO CARAZA CASTAÑEDA</v>
          </cell>
          <cell r="E777" t="str">
            <v>SIN EQUIPO TAPANCO</v>
          </cell>
          <cell r="F777" t="str">
            <v>TAPANCO</v>
          </cell>
        </row>
        <row r="778">
          <cell r="C778">
            <v>32230126</v>
          </cell>
          <cell r="D778" t="str">
            <v>JOSE JOSE ARAIZA ORTIZ</v>
          </cell>
          <cell r="E778" t="str">
            <v>SIN EQUIPO TAPANCO</v>
          </cell>
          <cell r="F778" t="str">
            <v>TAPANCO</v>
          </cell>
        </row>
        <row r="779">
          <cell r="C779">
            <v>32230124</v>
          </cell>
          <cell r="D779" t="str">
            <v>JOSE GERARDO ALFARO TORRES</v>
          </cell>
          <cell r="E779" t="str">
            <v>SIN EQUIPO TAPANCO</v>
          </cell>
          <cell r="F779" t="str">
            <v>TAPANCO</v>
          </cell>
        </row>
        <row r="780">
          <cell r="C780">
            <v>32230273</v>
          </cell>
          <cell r="D780" t="str">
            <v>JULIO RODRIGUEZ DIAZ</v>
          </cell>
          <cell r="E780" t="str">
            <v>SIN EQUIPO TAPANCO</v>
          </cell>
          <cell r="F780" t="str">
            <v>TAPANCO</v>
          </cell>
        </row>
        <row r="781">
          <cell r="C781">
            <v>32231363</v>
          </cell>
          <cell r="D781" t="str">
            <v>ARTURO CANALES SALAZAR</v>
          </cell>
          <cell r="E781" t="str">
            <v>SIN EQUIPO TAPANCO</v>
          </cell>
          <cell r="F781" t="str">
            <v>TAPANCO</v>
          </cell>
        </row>
        <row r="782">
          <cell r="C782">
            <v>32231361</v>
          </cell>
          <cell r="D782" t="str">
            <v>DENNIA ANTONIA ALFARO JARAMILLO</v>
          </cell>
          <cell r="E782" t="str">
            <v>SIN EQUIPO TAPANCO</v>
          </cell>
          <cell r="F782" t="str">
            <v>TAPANCO</v>
          </cell>
        </row>
        <row r="783">
          <cell r="C783">
            <v>32231375</v>
          </cell>
          <cell r="D783" t="str">
            <v>ERICA RUBI RODRIGUEZ PEREZ</v>
          </cell>
          <cell r="E783" t="str">
            <v>SIN EQUIPO TAPANCO</v>
          </cell>
          <cell r="F783" t="str">
            <v>TAPANCO</v>
          </cell>
        </row>
        <row r="784">
          <cell r="C784">
            <v>32231380</v>
          </cell>
          <cell r="D784" t="str">
            <v>JESUS ADRIAN JUAREZ IBARRA</v>
          </cell>
          <cell r="E784" t="str">
            <v>SIN EQUIPO TAPANCO</v>
          </cell>
          <cell r="F784" t="str">
            <v>TAPANCO</v>
          </cell>
        </row>
        <row r="785">
          <cell r="C785">
            <v>32231517</v>
          </cell>
          <cell r="D785" t="str">
            <v>CARLOS ALFONSO DE LA CRUZ TORRES</v>
          </cell>
          <cell r="E785" t="str">
            <v>SIN EQUIPO TAPANCO</v>
          </cell>
          <cell r="F785" t="str">
            <v>TAPANCO</v>
          </cell>
        </row>
        <row r="786">
          <cell r="C786">
            <v>32233430</v>
          </cell>
          <cell r="D786" t="str">
            <v>DANIEL ABISAI LOPEZ HERNANDEZ</v>
          </cell>
          <cell r="E786" t="str">
            <v>SIN EQUIPO TAPANCO</v>
          </cell>
          <cell r="F786" t="str">
            <v>TAPANCO</v>
          </cell>
        </row>
        <row r="787">
          <cell r="C787">
            <v>32233447</v>
          </cell>
          <cell r="D787" t="str">
            <v>EDUARDO DELGADO CASTILLO</v>
          </cell>
          <cell r="E787" t="str">
            <v>SIN EQUIPO TAPANCO</v>
          </cell>
          <cell r="F787" t="str">
            <v>TAPANCO</v>
          </cell>
        </row>
        <row r="788">
          <cell r="C788">
            <v>32233449</v>
          </cell>
          <cell r="D788" t="str">
            <v>PAUL EMILIANO IBARRA ALFARO</v>
          </cell>
          <cell r="E788" t="str">
            <v>SIN EQUIPO TAPANCO</v>
          </cell>
          <cell r="F788" t="str">
            <v>TAPANCO</v>
          </cell>
        </row>
        <row r="789">
          <cell r="C789">
            <v>32233521</v>
          </cell>
          <cell r="D789" t="str">
            <v>LUIS FERNANDO RODRIGUEZ SILVA</v>
          </cell>
          <cell r="E789" t="str">
            <v>SIN EQUIPO TAPANCO</v>
          </cell>
          <cell r="F789" t="str">
            <v>TAPANCO</v>
          </cell>
        </row>
        <row r="790">
          <cell r="C790">
            <v>32236720</v>
          </cell>
          <cell r="D790" t="str">
            <v>ANAHÍ URIBE BADILLO</v>
          </cell>
          <cell r="E790" t="str">
            <v>SIN EQUIPO TAPANCO</v>
          </cell>
          <cell r="F790" t="str">
            <v>TAPANCO</v>
          </cell>
        </row>
        <row r="791">
          <cell r="C791">
            <v>32236803</v>
          </cell>
          <cell r="D791" t="str">
            <v>CESAR ISIDRO LICERIO RODRIGUEZ</v>
          </cell>
          <cell r="E791" t="str">
            <v>SIN EQUIPO TAPANCO</v>
          </cell>
          <cell r="F791" t="str">
            <v>TAPANCO</v>
          </cell>
        </row>
        <row r="792">
          <cell r="C792">
            <v>32236808</v>
          </cell>
          <cell r="D792" t="str">
            <v>LUIS ENRIQUE GALLEGOS OLIVARES</v>
          </cell>
          <cell r="E792" t="str">
            <v>SIN EQUIPO TAPANCO</v>
          </cell>
          <cell r="F792" t="str">
            <v>TAPANCO</v>
          </cell>
        </row>
        <row r="793">
          <cell r="C793">
            <v>32236805</v>
          </cell>
          <cell r="D793" t="str">
            <v>DIEGO ALEJANDRO VAZQUEZ CASTILLO</v>
          </cell>
          <cell r="E793" t="str">
            <v>SIN EQUIPO TAPANCO</v>
          </cell>
          <cell r="F793" t="str">
            <v>TAPANCO</v>
          </cell>
        </row>
        <row r="794">
          <cell r="C794">
            <v>32236712</v>
          </cell>
          <cell r="D794" t="str">
            <v xml:space="preserve">LUIS MANUEL LOPEZ CASTILLO </v>
          </cell>
          <cell r="E794" t="str">
            <v>SIN EQUIPO TAPANCO</v>
          </cell>
          <cell r="F794" t="str">
            <v>TAPANCO</v>
          </cell>
        </row>
        <row r="795">
          <cell r="C795">
            <v>32236713</v>
          </cell>
          <cell r="D795" t="str">
            <v>OSCAR IVAN VAZQUEZ CASTILLO</v>
          </cell>
          <cell r="E795" t="str">
            <v>SIN EQUIPO TAPANCO</v>
          </cell>
          <cell r="F795" t="str">
            <v>TAPANCO</v>
          </cell>
        </row>
        <row r="796">
          <cell r="C796">
            <v>32236706</v>
          </cell>
          <cell r="D796" t="str">
            <v xml:space="preserve">ALEJANDRO DEL REAL RIVAS </v>
          </cell>
          <cell r="E796" t="str">
            <v>SIN EQUIPO TAPANCO</v>
          </cell>
          <cell r="F796" t="str">
            <v>TAPANCO</v>
          </cell>
        </row>
        <row r="797">
          <cell r="C797">
            <v>32236806</v>
          </cell>
          <cell r="D797" t="str">
            <v>JOVANI ROBLES DOMÍNGUEZ</v>
          </cell>
          <cell r="E797" t="str">
            <v>SIN EQUIPO TAPANCO</v>
          </cell>
          <cell r="F797" t="str">
            <v>TAPANCO</v>
          </cell>
        </row>
        <row r="798">
          <cell r="C798">
            <v>32236696</v>
          </cell>
          <cell r="D798" t="str">
            <v>FERNANDO RAMIREZ RAMIREZ</v>
          </cell>
          <cell r="E798" t="str">
            <v>SIN EQUIPO TAPANCO</v>
          </cell>
          <cell r="F798" t="str">
            <v>TAPANCO</v>
          </cell>
        </row>
        <row r="799">
          <cell r="C799">
            <v>32237803</v>
          </cell>
          <cell r="D799" t="str">
            <v>BRAULIO FERNANDO AGUILAR MARTINEZ</v>
          </cell>
          <cell r="E799" t="str">
            <v>SIN EQUIPO TAPANCO</v>
          </cell>
          <cell r="F799" t="str">
            <v>TAPANCO</v>
          </cell>
        </row>
        <row r="800">
          <cell r="C800">
            <v>32237821</v>
          </cell>
          <cell r="D800" t="str">
            <v>ANTONIO MACIAS REYES</v>
          </cell>
          <cell r="E800" t="str">
            <v>SIN EQUIPO TAPANCO</v>
          </cell>
          <cell r="F800" t="str">
            <v>TAPANCO</v>
          </cell>
        </row>
        <row r="801">
          <cell r="C801">
            <v>32237939</v>
          </cell>
          <cell r="D801" t="str">
            <v>MARCOS ROBLES ORTIZ</v>
          </cell>
          <cell r="E801" t="str">
            <v>SIN EQUIPO TAPANCO</v>
          </cell>
          <cell r="F801" t="str">
            <v>TAPANCO</v>
          </cell>
        </row>
        <row r="802">
          <cell r="C802">
            <v>32239327</v>
          </cell>
          <cell r="D802" t="str">
            <v>ERICK TORRES CASTAÑEDA</v>
          </cell>
          <cell r="E802" t="str">
            <v>SIN EQUIPO TAPANCO</v>
          </cell>
          <cell r="F802" t="str">
            <v>TAPANCO</v>
          </cell>
        </row>
        <row r="803">
          <cell r="C803">
            <v>32239334</v>
          </cell>
          <cell r="D803" t="str">
            <v>ERIK HERNANDEZ GAMEZ</v>
          </cell>
          <cell r="E803" t="str">
            <v>SIN EQUIPO TAPANCO</v>
          </cell>
          <cell r="F803" t="str">
            <v>TAPANCO</v>
          </cell>
        </row>
        <row r="804">
          <cell r="C804">
            <v>32239326</v>
          </cell>
          <cell r="D804" t="str">
            <v>VICTOR HUGO DEL RIO NUÑEZ</v>
          </cell>
          <cell r="E804" t="str">
            <v>SIN EQUIPO TAPANCO</v>
          </cell>
          <cell r="F804" t="str">
            <v>TAPANCO</v>
          </cell>
        </row>
        <row r="805">
          <cell r="C805">
            <v>32239844</v>
          </cell>
          <cell r="D805" t="str">
            <v>ANGEL EDUARDO JUAREZ IBARRA</v>
          </cell>
          <cell r="E805" t="str">
            <v>SIN EQUIPO TAPANCO</v>
          </cell>
          <cell r="F805" t="str">
            <v>TAPANCO</v>
          </cell>
        </row>
        <row r="806">
          <cell r="C806">
            <v>32044575</v>
          </cell>
          <cell r="D806" t="str">
            <v>ROMERO DOMINGUEZ MARCELO</v>
          </cell>
          <cell r="E806" t="str">
            <v>SIN EQUIPO SINDICATO</v>
          </cell>
          <cell r="F806" t="str">
            <v>SINDICATO</v>
          </cell>
        </row>
        <row r="807">
          <cell r="C807">
            <v>32045929</v>
          </cell>
          <cell r="D807" t="str">
            <v>LARA QUIÑONES MARCO ANTONIO</v>
          </cell>
          <cell r="E807" t="str">
            <v>SIN EQUIPO SINDICATO</v>
          </cell>
          <cell r="F807" t="str">
            <v>SINDICATO</v>
          </cell>
        </row>
        <row r="808">
          <cell r="C808">
            <v>32046342</v>
          </cell>
          <cell r="D808" t="str">
            <v>RAMIREZ AVIÑA JUAN ENRIQUE</v>
          </cell>
          <cell r="E808" t="str">
            <v>SIN EQUIPO SINDICATO</v>
          </cell>
          <cell r="F808" t="str">
            <v>SINDICATO</v>
          </cell>
        </row>
        <row r="809">
          <cell r="C809">
            <v>32066971</v>
          </cell>
          <cell r="D809" t="str">
            <v>RUELAS SALAZAR RAMIRO ERNESTO</v>
          </cell>
          <cell r="E809" t="str">
            <v>SIN EQUIPO SINDICATO</v>
          </cell>
          <cell r="F809" t="str">
            <v>SINDICATO</v>
          </cell>
        </row>
        <row r="810">
          <cell r="C810">
            <v>32067166</v>
          </cell>
          <cell r="D810" t="str">
            <v>VAZQUEZ MONTES URIEL</v>
          </cell>
          <cell r="E810" t="str">
            <v>SIN EQUIPO SINDICATO</v>
          </cell>
          <cell r="F810" t="str">
            <v>SINDICATO</v>
          </cell>
        </row>
      </sheetData>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Lizeth Maciel Cortes" id="{8B40B345-F5FA-46E1-968D-6F0630E1F67C}" userId="S::32208833@gmodelo.com.mx::50b0b2c2-fe55-4687-819d-834a364f363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33.312592129631" createdVersion="8" refreshedVersion="8" minRefreshableVersion="3" recordCount="1075" xr:uid="{107A2722-1282-4023-86D9-A4F0C186EA43}">
  <cacheSource type="worksheet">
    <worksheetSource name="Table5"/>
  </cacheSource>
  <cacheFields count="10">
    <cacheField name="DPTO" numFmtId="0">
      <sharedItems count="12">
        <s v="ENV  MTTO"/>
        <s v="ENVASADO"/>
        <s v="MEDIO AMBIENTE"/>
        <s v="SYE"/>
        <s v="LOGÍSTICA"/>
        <s v="BLOQUE FRÍO"/>
        <s v="MANTENIMIENTO"/>
        <s v="COCIMIENTOS"/>
        <s v="CALIDAD"/>
        <s v="ENVASADO MANTENIMIENTO" u="1"/>
        <s v="AMBIENTAL" u="1"/>
        <s v="MANTTO GENERAL" u="1"/>
      </sharedItems>
    </cacheField>
    <cacheField name="ÁREA" numFmtId="0">
      <sharedItems containsBlank="1" containsMixedTypes="1" containsNumber="1" containsInteger="1" minValue="1" maxValue="14"/>
    </cacheField>
    <cacheField name="NOMBRE DEL EQUIPO" numFmtId="0">
      <sharedItems count="150">
        <s v="AUTOKIT"/>
        <s v="COLMILLOS BLANCOS"/>
        <s v="LOS RORRITOS"/>
        <s v="BEST"/>
        <s v="LOS PUMAS"/>
        <s v="DEAMONIACOS"/>
        <s v="LOS MAS CHINGONES DE SYE"/>
        <s v="TURBINEROS CCZ"/>
        <s v="CARBONICOS"/>
        <s v="Muñecos"/>
        <s v="Indestructibles"/>
        <s v="DJ MEZCLADORES"/>
        <s v="DINAMICOS"/>
        <s v="ENGRANES"/>
        <s v="ESLABONES"/>
        <s v="LOS ANDAMOS CON TODO"/>
        <s v="LOS CATADORES"/>
        <s v="EXPERIENCIA AL 100"/>
        <s v="LOS CHAMPIONS"/>
        <s v="LAS AGUILAS "/>
        <s v="ESPECIALISTAS"/>
        <s v="CARAJOS"/>
        <s v="LOS MIXTECOS"/>
        <s v="GERENTES DE HIERRO"/>
        <s v="LOS BRAVOS DEL FRIO"/>
        <s v="INMORTALES"/>
        <s v="CORONA"/>
        <s v="RAYOS S.G."/>
        <s v="TAU EXPERT MAZ"/>
        <s v="THE GOLDEN BOY'S"/>
        <s v="LOS MAÑANEROS"/>
        <s v="LOS PICHONES"/>
        <s v="LOS CAZADORES DEL AMARGOR"/>
        <s v="Nortecarguistas"/>
        <s v="MAPACHES"/>
        <s v="CAPRICHOS"/>
        <s v="AGUILAS DE ATAQUE"/>
        <s v="LOS INTOCABLES"/>
        <s v="FAMILIAR 940"/>
        <s v="EXOTICOS"/>
        <s v="CHANGOS"/>
        <s v="EL PODER DEL SABER"/>
        <s v="EXTREM"/>
        <s v="LAS ESTRELLAS"/>
        <s v="LOS BRONCOS"/>
        <s v="LOS WAKANDIANOS"/>
        <s v="HULK"/>
        <s v="LOS NAHUALES"/>
        <s v="FALK"/>
        <s v="FLACOS"/>
        <s v="LOS PODEROSOS"/>
        <s v="LOS TOROS"/>
        <s v="LOS CHARROS"/>
        <s v="MASH-RAINBOW"/>
        <s v="LOS CHAMBINES DE FERMENTACIÓN"/>
        <s v="Tumbacarguistas del Norte"/>
        <s v="Finger Sagrado"/>
        <s v="Los Panchitos"/>
        <s v="Tiburones LOG"/>
        <s v="LA NASA"/>
        <s v="MACHINES"/>
        <s v="NEUMATICOS"/>
        <s v="LINCES"/>
        <s v="PREDICTIVOS ZACATECAS"/>
        <s v="CAZADORES"/>
        <s v="NITRO"/>
        <s v="Paisas"/>
        <s v="PISTONS"/>
        <s v="LOS TIGRES AMBIENTALES"/>
        <s v="LOS EMBAJADORES"/>
        <s v="BUD LIGHTYEAR"/>
        <s v="LOS MEJORES "/>
        <s v="CONEJOS"/>
        <s v="KAPASES"/>
        <s v="PITS"/>
        <s v="COYOTES"/>
        <s v="LA BANDA DEL ZORRO"/>
        <s v="LAS FALLAS FANTASMA"/>
        <s v="ESCUADRON MODELO"/>
        <s v="LOS OSOS DORMIDOS"/>
        <s v="POWER"/>
        <s v="LOS PITBULLS"/>
        <s v="LOS MILAGROSOS"/>
        <s v="BEER LOVERS"/>
        <s v="LOS ESENCIALES DEL FRIO"/>
        <s v="SPEED"/>
        <s v="TAPERLOOK"/>
        <s v="LOS FUERTES DEL FRIO"/>
        <s v="TIBURONES"/>
        <s v="LOS ESPECIALISTAS"/>
        <s v="Metálicos Indestructibles"/>
        <s v="COMPADRES"/>
        <s v="LAS MERAS VENAS "/>
        <s v="CUCHILLAS"/>
        <s v="LOS GOBERNAITORS"/>
        <s v="THE BONES"/>
        <s v="MOSTO-BOYS"/>
        <s v="Pelusas del PyR"/>
        <s v="CHAVOS AMBIENTALES"/>
        <s v="TOOL"/>
        <s v="Expoalternos"/>
        <s v="Tapalternos"/>
        <s v="MONTSE Y SUS FERMENTADORES"/>
        <s v="MUNICH"/>
        <s v="RENEGADOS"/>
        <s v="TRANSTORQUE"/>
        <s v="LOS WARRIORS"/>
        <s v="EL JARDÍN "/>
        <s v="REYES DE LA MEZCLA"/>
        <s v="LOS MAS CHINGONES"/>
        <s v="GUERREROS"/>
        <s v="ESCUADRÓN DE LA MUERTE"/>
        <s v="MAJIC"/>
        <s v="AGUILAS" u="1"/>
        <s v="CARBÓNICOS" u="1"/>
        <s v="CAZADORES DEL AMARGOR" u="1"/>
        <s v="EEPROM" u="1"/>
        <s v="EL JARDÍN" u="1"/>
        <s v="ESCUADRÓN MODELO" u="1"/>
        <s v="ESTRELLAS" u="1"/>
        <s v="LAS MERAS VENAS" u="1"/>
        <s v="LOS BEER LOVERS" u="1"/>
        <s v="LOS BRAVOS DE BLOQUE FRIO" u="1"/>
        <s v="LOS BUDLIGHTYEAR" u="1"/>
        <s v="LOS CANTAROS" u="1"/>
        <s v="LOS COMPADRES" u="1"/>
        <s v="LOS ESCENCIALES DEL FRÍO" u="1"/>
        <s v="LOS FUERTES DEL FRÍO" u="1"/>
        <s v="LOS GOVERNAITORS" u="1"/>
        <s v="LOS GUERREROS" u="1"/>
        <s v="LOS HULK" u="1"/>
        <s v="LOS INMORTALES" u="1"/>
        <s v="LOS LINCES" u="1"/>
        <s v="LOS MÁS CHINGONES" u="1"/>
        <s v="LOS MÁS CHINGONES DE SYE" u="1"/>
        <s v="LOS MEJORES" u="1"/>
        <s v="LOS PAISAS" u="1"/>
        <s v="MOSTO - BOYS" u="1"/>
        <s v="PANDILLA" u="1"/>
        <s v="PODER DEL SABER" u="1"/>
        <s v="PREDICTIVOS DE ZACATECAS" u="1"/>
        <s v="QUIMILAC" u="1"/>
        <s v="SERVODRIVERS" u="1"/>
        <s v="SOMOS CHINGONES" u="1"/>
        <s v="TESLA" u="1"/>
        <s v="THE GOLDEN BOYS" u="1"/>
        <s v="TIGRES AMBIENTALES" u="1"/>
        <s v="WARRIORS" u="1"/>
        <s v="ÁGUILAS DE ATAQUE" u="1"/>
        <s v="NO APLICA EA" u="1"/>
      </sharedItems>
    </cacheField>
    <cacheField name="SHARP LÍDER" numFmtId="0">
      <sharedItems containsMixedTypes="1" containsNumber="1" containsInteger="1" minValue="32043626" maxValue="32225725"/>
    </cacheField>
    <cacheField name="NOMBRE DEL LIDER" numFmtId="0">
      <sharedItems count="171">
        <s v="ALÁN MARTÍNEZ CHAIREZ"/>
        <s v=" MEJIA TRUJILLO JULIO EDUARDO"/>
        <s v="FERNANDO CANDELAS AGUILAR"/>
        <s v="ALEJANDRO SALCEDO BRAVO"/>
        <s v="ALFREDO LARA GUZMAN"/>
        <s v="JOSE LUIS FLORES DIAZ"/>
        <s v="CASANDRA SARAITH FIGUEROA MALDONADO"/>
        <s v="MARTIN EDUARDO CORONADO CORTES"/>
        <s v="EDUARDO MURILLO PEREZ "/>
        <s v="ARTURO MONCIVAIS "/>
        <s v="BRAYAN ALEJANDRO CARDONA"/>
        <s v="OSCAR EMMANUEL VELAZQUEZ"/>
        <s v="VICTOR HUGO ZAPATA DOMINGUEZ"/>
        <s v="GERARDO REYES CALDERA"/>
        <s v="ANTONIO ACUÑA OLVERA"/>
        <s v="ROBERTO DAMIAN GRANADOS"/>
        <s v="CESAR MENCHACA RODARTE"/>
        <s v="LUIS MIGUEL CARDONA"/>
        <s v="CESAR GALLEGOS RAMÍREZ"/>
        <s v="LUIS ALBERTO MONTAÑEZ ARELLANO"/>
        <s v="CUAUHTEMOC GARCIA ARREDONDO"/>
        <s v="DANIEL FLORES ROMERO"/>
        <s v="DAVID RODRIGUEZ RODRIGUEZ"/>
        <s v="DEENIS W. BLANCO DE LA TORRE"/>
        <s v="DOROTEO RUEDA ESTRADA"/>
        <s v="EDGAR IVAN GARCIA BARRIOS"/>
        <s v="EDGAR OSWALDO MARTINEZ HUITRADO"/>
        <s v="OSCAR MANUEL GONZALEZ BOTELLO"/>
        <s v="EDUARDO TRUJILLO ROJAS"/>
        <s v="EFRAIN ORTIZ CABRAL"/>
        <s v="EMILIO LOPEZ MALDONADO"/>
        <s v="EMILIO MARTINEZ ZAVALA"/>
        <s v="ESTEBAN GALAN GONZALEZ"/>
        <s v="Fátima Nedith Gomez Mireles"/>
        <s v="Fatima Rodriguez"/>
        <s v="FERNANDO VALDIVIA FLORES"/>
        <s v="FRANCISCO JAVIER IBARRA CASTRO"/>
        <s v="FRANCISCO JAVIER TORRES LECHUGA"/>
        <s v="FRANCISCO MIGUEL GARCIA ARELLANO"/>
        <s v="FREDY VAZQUEZ VAZQUEZ"/>
        <s v="NESTOR GUILLERMO PALMA"/>
        <s v="JOSE MANUEL JUAREZ BURCIAGA"/>
        <s v="GRIS OLIVARES FLORES"/>
        <s v="CARLOS EDUARDO ORNEDO ESQUEDA"/>
        <s v="GURROLA SAID ALEJANDRO "/>
        <s v="LUIS MANUEL GARCIA VICTORIO"/>
        <s v="MIGUEL ANGEL RIVERA MUÑOZ"/>
        <s v="HUGO ARECHIGA MUÑOZ"/>
        <s v="ILEANA SARAI LIMON ROJAS "/>
        <s v="MIGUEL ANGEL SANCHEZ FLORES"/>
        <s v="J JESUS ALVARADO TENORIO"/>
        <s v="LUIS OSCAR SEGURA CAMARGO"/>
        <s v="DANIEL ALEJANDRO GARCIA MARTINEZ"/>
        <s v="ERNESTO VARGAS "/>
        <s v="JOSE ALEJANDRO GARCIA "/>
        <s v="JOSÉ FRANCISCO TORRES LÓPEZ"/>
        <s v="JOSE GALLEGOS"/>
        <s v="JUAN ALBERTO JUAREZ GARCIA"/>
        <s v="JOSE PABLO CABRAL GUERRERO"/>
        <s v="RUBÉN DE JESÚS MURILLO OLVERA"/>
        <s v="JAIME DE LA ISLA"/>
        <s v="JUAN ARTURO VAZQUEZ DE LIRA"/>
        <s v="EMANUEL JUÁREZ HERNÁNDEZ"/>
        <s v="JUAN LUIS HERNANDEZ GARCIA"/>
        <s v="JUAN MANUEL CARMONA CAPILLA"/>
        <s v="CARLOS ARMANDO RODRÍGUEZ LÓPEZ "/>
        <s v="LAURA ORTEGA"/>
        <s v="MARCO ALEXIS EGUREN REYNA"/>
        <s v="MIGUEL OVALLE HERNANDEZ"/>
        <s v="LUIS ALBERTO LEDESMA GARCIA"/>
        <s v="JESUS EDUARDO BRICEÑO MONTELONGO"/>
        <s v="JUAN JOSE MEJIA MONTOYA"/>
        <s v="LUIS ANGEL PADRON MACIAS"/>
        <s v="LUIS FERNANDO ZAPATA CARDONA"/>
        <s v="LUIS MANUEL GARDUÑO "/>
        <s v="LUIS MANUEL RAMIREZ QUINTANAR"/>
        <s v="VICTOR MANUEL CARDENAS PEREZ"/>
        <s v="MANUEL ALBERTO ESPARZA"/>
        <s v="JESUS IBARRA RAYAS"/>
        <s v="MARCO ANTONIO HERNANDEZ CASAS"/>
        <s v="RAUL DAVID CORTES ALANIZ"/>
        <s v="MARIA DE JESUS MUÑOZ CASTILLO"/>
        <s v="MARCO ANTONIO VERGARA AMARO"/>
        <s v="JUAN RAMON GARCIA BOTELLO"/>
        <s v="OSCAR OSVALDO LUGO COLLAZO"/>
        <s v="SERGIO RIVERA DE SANTIAGO"/>
        <s v=" JOSUE FRANCISCO GUTIERREZ MORALES"/>
        <s v="MARIA DE LOS ANGELES REYES GARCIA"/>
        <s v="CRISTIAN RODOLFO ELICERIO RODRIGUEZ"/>
        <s v="CARLOS ROJERO ORTIZ"/>
        <s v="MARIO MURO LUJAN"/>
        <s v="NANCY ERENDIRA TEJEDOR SANTOS"/>
        <s v="NAYELI TOVAR "/>
        <s v="NOE CRUZ RAUDALES"/>
        <s v="IVAN ALEJANDRO ROJERO MALDONADO"/>
        <s v="GUILLERMO GERARDO GONZALEZ ULLOA"/>
        <s v="Oscar Ivan Ibarra Ortiz"/>
        <s v="OSCAR GUILLERMO MEJIA GARCIA"/>
        <s v="EDGAR RENE DIAZ SANCHEZ"/>
        <s v="PEDRO HERRERA MONCIVAIS"/>
        <s v="PEDRO JARAMILLO PÉREZ"/>
        <s v="RAÚL BAÑUELOS FLORES"/>
        <s v="JOSE LEANDRO MARTINEZ SANDOVAL"/>
        <s v="RICARDO ESPARZA DOMINGUEZ"/>
        <s v="RICARDO HERNANDEZ VAZQUEZ"/>
        <s v="ROBERTO CARLOS SANCHEZ DE SANTIAGO"/>
        <s v="JOSE GUADALUPE MUÑOZ"/>
        <s v="RODOLFO YOBANNI GARCIA"/>
        <s v="DIANA DE LA RIVA "/>
        <s v="LEÓN GERARDO RIVERA GUERRERO"/>
        <s v="TOPILTZIN TONATIUH I CURIEL CABRAL"/>
        <s v="SAGRARIO MONTSERRAT BERNAL GARCIA"/>
        <s v="HECTOR OMAR DOMINGUEZ  NUÑEZ"/>
        <s v="SALVADOR REYES SILVA"/>
        <s v="SAUL CHAVEZ SALAS"/>
        <s v="SERGIO DE HARO HERNANDEZ"/>
        <s v="VICENTE ALBERTO VALDIVIA MONTOYA"/>
        <s v="OSCAR RODRIGUEZ CODALLOS"/>
        <s v="SHERLYN GARCÍA PEREZ"/>
        <s v="VICTOR MANUEL MURO GALLEGOS"/>
        <s v="VICTOR MANUEL MURO GALLEGOS "/>
        <s v="WILBER ALONSO ORDAZ"/>
        <s v="WUALTER MICHELLE ROBLES "/>
        <s v="Berenice Macias " u="1"/>
        <s v="SERGIO PRIETO MURILLO" u="1"/>
        <s v="EDUARDO MURILLO PÉREZ" u="1"/>
        <s v="GABRIEL AVILA GUTIERREZ" u="1"/>
        <s v="ROBERTO CARLOS SANCHEZ DE SANTIAGO " u="1"/>
        <s v="ALVARO JOVANI MACIAS HERRERA" u="1"/>
        <s v="RAMIRO LUNA HERNANDEZ " u="1"/>
        <s v="JUAN SALAZAR BANDA" u="1"/>
        <s v="SERGIO RIVERA DE SANTIAGO " u="1"/>
        <s v="JOSE ANTONIO ALBA RAMIREZ" u="1"/>
        <s v="WILBER ALONSO ORDAZ VALTIERRA" u="1"/>
        <s v="MANUEL ALBERTO ESPARZA CASTRO" u="1"/>
        <s v="GRISELDA OLIVARES FLORES " u="1"/>
        <s v="CUAHUTEMOC GARCIA AREDONDO" u="1"/>
        <s v="RODOLFO YOBANNI GARCIA VALLE" u="1"/>
        <s v="EDGAR OSWALDO MARTINEZ HUIRTADO" u="1"/>
        <s v="EDUARDO ARELLANO PINEDO" u="1"/>
        <s v="ALBERTO HERNANDEZ VEGA" u="1"/>
        <s v="LUIS ANGEL PADRON MACIAS " u="1"/>
        <s v=" RODRIGUEZ RODRIGUEZ DAVID" u="1"/>
        <s v="HECTOR JAVIER DIAZ SALAS" u="1"/>
        <s v=" GURROLA SAID ALEJANDRO " u="1"/>
        <s v="MANUEL JESUS MENDOZA PERALTA" u="1"/>
        <s v=" HERNANDEZ CASAS MARCO ANTONIO" u="1"/>
        <s v="JESÚS EMMANUEL TRUJILLO CAPUCHINO" u="1"/>
        <s v="JUAN CARLOS CEBALLOS LONGORIA " u="1"/>
        <s v="GABRIEL JONATHAN MARTINEZ FAJARDO" u="1"/>
        <s v="JULIO EDUARDO MEJÍA" u="1"/>
        <s v="SAID GURROLA" u="1"/>
        <s v="JESUS ALVARADO" u="1"/>
        <s v="NAYELI JAZMIN TOVAR" u="1"/>
        <s v="JUAN CARLOS HUERTA REYNOSA" u="1"/>
        <s v="BERENICE MACIAS ALONSO" u="1"/>
        <s v="JAIME DE LA ISLA VALADEZ" u="1"/>
        <s v="MANUEL GARDUÑO" u="1"/>
        <s v="FRANCISCO EDUARDO GARCIA HERRERA" u="1"/>
        <s v="JORGE ANTONIO LERMA ESTRADA" u="1"/>
        <s v="J JESUS MARTÍNEZ RODRÍGUEZ" u="1"/>
        <s v="ALFREDO ZAPATA" u="1"/>
        <s v="JOSUE FRANCISCO GUTIERREZ MORALES" u="1"/>
        <s v="PEDRO JARAMILLO PEREZ" u="1"/>
        <s v="LUIS ALBERTO LEDESMA GARCÍA" u="1"/>
        <s v="CASANDRA FIGUEROA MALDONADO" u="1"/>
        <s v="Faride Lyzette Bugdud Guerrero" u="1"/>
        <s v="Fidel López Vicencio" u="1"/>
        <s v="VICTOR HUGO SANCHEZ BELMONTES" u="1"/>
        <s v="HECTOR OMAR DOMINGUEZ NUÑEZ" u="1"/>
        <s v="Felipe Gerardo Marrufo Herrera" u="1"/>
      </sharedItems>
    </cacheField>
    <cacheField name="SHARP" numFmtId="0">
      <sharedItems containsSemiMixedTypes="0" containsString="0" containsNumber="1" containsInteger="1" minValue="32043632" maxValue="32224379"/>
    </cacheField>
    <cacheField name="INTEGRANTES" numFmtId="0">
      <sharedItems/>
    </cacheField>
    <cacheField name="RECUENTO OP" numFmtId="0">
      <sharedItems containsSemiMixedTypes="0" containsString="0" containsNumber="1" containsInteger="1" minValue="3" maxValue="20"/>
    </cacheField>
    <cacheField name="EA" numFmtId="0">
      <sharedItems/>
    </cacheField>
    <cacheField name="Pilar del Champion" numFmtId="0">
      <sharedItems/>
    </cacheField>
  </cacheFields>
  <extLst>
    <ext xmlns:x14="http://schemas.microsoft.com/office/spreadsheetml/2009/9/main" uri="{725AE2AE-9491-48be-B2B4-4EB974FC3084}">
      <x14:pivotCacheDefinition pivotCacheId="231727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5">
  <r>
    <x v="0"/>
    <s v="ENV 1"/>
    <x v="0"/>
    <n v="32045873"/>
    <x v="0"/>
    <n v="32061784"/>
    <s v="JOSÉ GUADALUPE MARTÍNEZ GONZÁLEZ"/>
    <n v="9"/>
    <s v="AUTOKIT"/>
    <s v="APOYO GESTION"/>
  </r>
  <r>
    <x v="0"/>
    <s v="ENV 1"/>
    <x v="0"/>
    <n v="32045873"/>
    <x v="0"/>
    <n v="32045130"/>
    <s v="GILBERTO GÓMEZ OLVERA"/>
    <n v="9"/>
    <s v="AUTOKIT"/>
    <s v="GESTION"/>
  </r>
  <r>
    <x v="0"/>
    <s v="ENV 1"/>
    <x v="0"/>
    <n v="32045873"/>
    <x v="0"/>
    <n v="32045845"/>
    <s v="RUBÉN GONZÁLEZ GUTIÉRREZ"/>
    <n v="9"/>
    <s v="AUTOKIT"/>
    <s v="SEGURIDAD"/>
  </r>
  <r>
    <x v="1"/>
    <n v="13"/>
    <x v="1"/>
    <n v="32143096"/>
    <x v="1"/>
    <n v="32044025"/>
    <s v="RUVALCABA CASTRO MIGUEL"/>
    <n v="14"/>
    <s v="COLMILLOS BLANCOS"/>
    <s v="CHAMPION SEGURIDAD"/>
  </r>
  <r>
    <x v="1"/>
    <n v="13"/>
    <x v="1"/>
    <n v="32143096"/>
    <x v="1"/>
    <n v="32044243"/>
    <s v="RAMIREZ IBARRA ALFREDO"/>
    <n v="14"/>
    <s v="COLMILLOS BLANCOS"/>
    <s v="APOYO GESTION"/>
  </r>
  <r>
    <x v="1"/>
    <n v="13"/>
    <x v="1"/>
    <n v="32143096"/>
    <x v="1"/>
    <n v="32044487"/>
    <s v="GONZALEZ AVILA SAUL"/>
    <n v="14"/>
    <s v="COLMILLOS BLANCOS"/>
    <s v="APOYO CALIDAD"/>
  </r>
  <r>
    <x v="1"/>
    <n v="13"/>
    <x v="1"/>
    <n v="32143096"/>
    <x v="1"/>
    <n v="32186050"/>
    <s v="EDUARDO SALAZAR MALDONADO"/>
    <n v="14"/>
    <s v="COLMILLOS BLANCOS"/>
    <s v="CHAMPION AMBIENTAL"/>
  </r>
  <r>
    <x v="1"/>
    <n v="13"/>
    <x v="1"/>
    <n v="32143096"/>
    <x v="1"/>
    <n v="32044993"/>
    <s v="HERRERA CARDONA OCTAVIO"/>
    <n v="14"/>
    <s v="COLMILLOS BLANCOS"/>
    <s v="CHAMPION GENTE"/>
  </r>
  <r>
    <x v="1"/>
    <n v="13"/>
    <x v="1"/>
    <n v="32143096"/>
    <x v="1"/>
    <n v="32045601"/>
    <s v="CERVANTES URIBE JORGE HECTOR"/>
    <n v="14"/>
    <s v="COLMILLOS BLANCOS"/>
    <s v="CHAMPION MANTENIMIENTO"/>
  </r>
  <r>
    <x v="1"/>
    <n v="13"/>
    <x v="1"/>
    <n v="32143096"/>
    <x v="1"/>
    <n v="32197873"/>
    <s v="EDUARDO MEDINA "/>
    <n v="14"/>
    <s v="COLMILLOS BLANCOS"/>
    <s v="APOYO SEGURIDAD"/>
  </r>
  <r>
    <x v="1"/>
    <n v="13"/>
    <x v="1"/>
    <n v="32143096"/>
    <x v="1"/>
    <n v="32045962"/>
    <s v="GUARDADO LEYVA BULMARO"/>
    <n v="14"/>
    <s v="COLMILLOS BLANCOS"/>
    <s v="CHAMPION GESTIÓN"/>
  </r>
  <r>
    <x v="1"/>
    <n v="13"/>
    <x v="1"/>
    <n v="32143096"/>
    <x v="1"/>
    <n v="32132604"/>
    <s v="GONZALEZ RAMIREZ TOMAS"/>
    <n v="14"/>
    <s v="COLMILLOS BLANCOS"/>
    <s v="CHAMPION CALIDAD"/>
  </r>
  <r>
    <x v="1"/>
    <n v="13"/>
    <x v="1"/>
    <n v="32143096"/>
    <x v="1"/>
    <n v="32067154"/>
    <s v="HERNANDEZ ALVARADO EDUARDO"/>
    <n v="14"/>
    <s v="COLMILLOS BLANCOS"/>
    <s v="APOYO AMBIENTAL"/>
  </r>
  <r>
    <x v="1"/>
    <n v="13"/>
    <x v="1"/>
    <n v="32143096"/>
    <x v="1"/>
    <n v="32111144"/>
    <s v="RAMIREZ PARRA LUIS ROBERTO"/>
    <n v="14"/>
    <s v="COLMILLOS BLANCOS"/>
    <s v="GESTION"/>
  </r>
  <r>
    <x v="1"/>
    <n v="13"/>
    <x v="1"/>
    <n v="32143096"/>
    <x v="1"/>
    <n v="32132047"/>
    <s v="CESAR ISAI SAUCEDO LOPEZ"/>
    <n v="14"/>
    <s v="COLMILLOS BLANCOS"/>
    <s v="APOYO MANTENIMIENTO"/>
  </r>
  <r>
    <x v="1"/>
    <n v="13"/>
    <x v="1"/>
    <n v="32143096"/>
    <x v="1"/>
    <n v="32045798"/>
    <s v="JOEL ALVAREZ MARTINEZ "/>
    <n v="14"/>
    <s v="COLMILLOS BLANCOS"/>
    <s v="APOYO SEGURIDAD"/>
  </r>
  <r>
    <x v="1"/>
    <n v="13"/>
    <x v="1"/>
    <n v="32143096"/>
    <x v="1"/>
    <n v="32044722"/>
    <s v="VELAZQUEZ CAZAREZ JAYME"/>
    <n v="14"/>
    <s v="COLMILLOS BLANCOS"/>
    <s v="APOYO GENTE "/>
  </r>
  <r>
    <x v="1"/>
    <n v="14"/>
    <x v="2"/>
    <n v="32143096"/>
    <x v="1"/>
    <n v="32046372"/>
    <s v="LICERIO MALDONADO ERASMO"/>
    <n v="11"/>
    <s v="LOS RORRITOS"/>
    <s v="CHAMPIONS SEGURIDAD"/>
  </r>
  <r>
    <x v="1"/>
    <n v="14"/>
    <x v="2"/>
    <n v="32143096"/>
    <x v="1"/>
    <n v="32044903"/>
    <s v="ADRIAN PALACIOS VILLELA"/>
    <n v="11"/>
    <s v="LOS RORRITOS"/>
    <s v="CHAMPION GENTE"/>
  </r>
  <r>
    <x v="1"/>
    <n v="14"/>
    <x v="2"/>
    <n v="32143096"/>
    <x v="1"/>
    <n v="32044998"/>
    <s v="OROZCO ARELLANO ARMANDO"/>
    <n v="11"/>
    <s v="LOS RORRITOS"/>
    <s v="CHAMPION MANTENIMIENTO"/>
  </r>
  <r>
    <x v="1"/>
    <n v="14"/>
    <x v="2"/>
    <n v="32143096"/>
    <x v="1"/>
    <n v="32046340"/>
    <s v="ADRIAN RUIZ MARTINEZ"/>
    <n v="11"/>
    <s v="LOS RORRITOS"/>
    <s v="APOYO A CALIDAD"/>
  </r>
  <r>
    <x v="1"/>
    <n v="14"/>
    <x v="2"/>
    <n v="32143096"/>
    <x v="1"/>
    <n v="32148856"/>
    <s v="JORGE LUIS DOMINGUEZ ARIAS"/>
    <n v="11"/>
    <s v="LOS RORRITOS"/>
    <s v="CHAMPION CALIDAD"/>
  </r>
  <r>
    <x v="1"/>
    <n v="14"/>
    <x v="2"/>
    <n v="32143096"/>
    <x v="1"/>
    <n v="32044466"/>
    <s v="SATARAIN MARTINEZ JUAN MANUEL"/>
    <n v="11"/>
    <s v="LOS RORRITOS"/>
    <s v="APOYO SEGURIDAD"/>
  </r>
  <r>
    <x v="1"/>
    <n v="14"/>
    <x v="2"/>
    <n v="32143096"/>
    <x v="1"/>
    <n v="32044462"/>
    <s v="JUAN MANUEL RODRIGUEZ SANTILLAN"/>
    <n v="11"/>
    <s v="LOS RORRITOS"/>
    <s v="APOYO AMBIENTAL"/>
  </r>
  <r>
    <x v="1"/>
    <n v="14"/>
    <x v="2"/>
    <n v="32143096"/>
    <x v="1"/>
    <n v="32045791"/>
    <s v="EUGENIO DEVORA RAMIREZ"/>
    <n v="11"/>
    <s v="LOS RORRITOS"/>
    <s v="APOYO GENTE"/>
  </r>
  <r>
    <x v="1"/>
    <n v="14"/>
    <x v="2"/>
    <n v="32143096"/>
    <x v="1"/>
    <n v="32046176"/>
    <s v="RUIZ MACIAS EDUARDO"/>
    <n v="11"/>
    <s v="LOS RORRITOS"/>
    <s v="APOYO MANTENIMIENTO"/>
  </r>
  <r>
    <x v="0"/>
    <s v="ENV 1"/>
    <x v="0"/>
    <n v="32045873"/>
    <x v="0"/>
    <n v="32045921"/>
    <s v="ROBERTO SÁNCHEZ PASILLAS"/>
    <n v="9"/>
    <s v="AUTOKIT"/>
    <s v="CALIDAD"/>
  </r>
  <r>
    <x v="0"/>
    <s v="ENV 1"/>
    <x v="0"/>
    <n v="32045873"/>
    <x v="0"/>
    <n v="32045259"/>
    <s v="LEOPOLDO GARCÍA MÉNDEZ"/>
    <n v="9"/>
    <s v="AUTOKIT"/>
    <s v="MEDIO AMBIENTE"/>
  </r>
  <r>
    <x v="0"/>
    <s v="ENV 1"/>
    <x v="0"/>
    <n v="32045873"/>
    <x v="0"/>
    <n v="32045091"/>
    <s v="JUAN MANUEL RAMÍREZ ACOSTA"/>
    <n v="9"/>
    <s v="AUTOKIT"/>
    <s v="MANTENIMIENTO"/>
  </r>
  <r>
    <x v="0"/>
    <s v="ENV 1"/>
    <x v="0"/>
    <n v="32045873"/>
    <x v="0"/>
    <n v="32044256"/>
    <s v="ALBERTO VÁZQUEZ SÁNCHEZ"/>
    <n v="9"/>
    <s v="AUTOKIT"/>
    <s v="APOYO SEGURIDAD"/>
  </r>
  <r>
    <x v="0"/>
    <s v="ENV 1"/>
    <x v="0"/>
    <n v="32045873"/>
    <x v="0"/>
    <n v="32045380"/>
    <s v="DAVID JACOBO REYES"/>
    <n v="9"/>
    <s v="AUTOKIT"/>
    <s v="GENTE"/>
  </r>
  <r>
    <x v="0"/>
    <s v="ENV 1"/>
    <x v="0"/>
    <n v="32045873"/>
    <x v="0"/>
    <n v="32044904"/>
    <s v="José Humberto Ortíz de la Cruz"/>
    <n v="9"/>
    <s v="AUTOKIT"/>
    <s v="APOYO MEDIO AMBIENTE"/>
  </r>
  <r>
    <x v="0"/>
    <s v="ENV 1"/>
    <x v="3"/>
    <n v="32044161"/>
    <x v="2"/>
    <n v="32138750"/>
    <s v="JUAN LANDEROS VELAZQUEZ"/>
    <n v="6"/>
    <s v="BEST"/>
    <s v="GESTION"/>
  </r>
  <r>
    <x v="0"/>
    <s v="ENV 1"/>
    <x v="3"/>
    <n v="32044161"/>
    <x v="2"/>
    <n v="32138740"/>
    <s v="CRUZ HORACIO CASTILLO M."/>
    <n v="6"/>
    <s v="BEST"/>
    <s v="MEDIO AMBIENTE"/>
  </r>
  <r>
    <x v="0"/>
    <s v="ENV 1"/>
    <x v="3"/>
    <n v="32044161"/>
    <x v="2"/>
    <n v="32045971"/>
    <s v="ERASMO JUÁREZ CORONADO"/>
    <n v="6"/>
    <s v="BEST"/>
    <s v="CALIDAD"/>
  </r>
  <r>
    <x v="2"/>
    <s v="TRATOS DE AGUA"/>
    <x v="4"/>
    <n v="32151317"/>
    <x v="3"/>
    <n v="32045025"/>
    <s v="HÉCTOR MARTÍN GARCIA RODRIGUEZ"/>
    <n v="4"/>
    <s v="LOS PUMAS"/>
    <s v="CHAMPION AMBIENTAL "/>
  </r>
  <r>
    <x v="2"/>
    <s v="TRATOS DE AGUA"/>
    <x v="4"/>
    <n v="32151317"/>
    <x v="3"/>
    <n v="32045056"/>
    <s v="JOSE MANUEL RODRIGUEZ RODRIGUEZ"/>
    <n v="4"/>
    <s v="LOS PUMAS"/>
    <s v="CHAMPION DE CALIDAD"/>
  </r>
  <r>
    <x v="2"/>
    <s v="TRATOS DE AGUA"/>
    <x v="4"/>
    <n v="32151317"/>
    <x v="3"/>
    <n v="32044335"/>
    <s v="JOSE SANCHEZ SEGOVIA"/>
    <n v="4"/>
    <s v="LOS PUMAS"/>
    <s v="CHAMPION MANTENIMIENTO"/>
  </r>
  <r>
    <x v="2"/>
    <s v="TRATOS DE AGUA"/>
    <x v="4"/>
    <n v="32151317"/>
    <x v="3"/>
    <n v="32144783"/>
    <s v="OSBALDO PALMAS BASURTO"/>
    <n v="4"/>
    <s v="LOS PUMAS"/>
    <s v="CHAMPION SEGURIDAD"/>
  </r>
  <r>
    <x v="3"/>
    <s v="AIRE Y REFRIGERACIÓN "/>
    <x v="5"/>
    <n v="32201729"/>
    <x v="4"/>
    <n v="32043855"/>
    <s v="FLORENCIO CATAÑO AGUILERA"/>
    <n v="7"/>
    <s v="CARBONICOS"/>
    <s v="CHAMPION AMBIENTAL"/>
  </r>
  <r>
    <x v="3"/>
    <s v="AIRE Y REFRIGERACIÓN "/>
    <x v="5"/>
    <n v="32201729"/>
    <x v="4"/>
    <n v="32043847"/>
    <s v="JUAN PABLO GARCIA GAMBOA"/>
    <n v="7"/>
    <s v="CARBONICOS"/>
    <s v="CHAMPION GENTE"/>
  </r>
  <r>
    <x v="3"/>
    <s v="AIRE Y REFRIGERACIÓN "/>
    <x v="5"/>
    <n v="32201729"/>
    <x v="4"/>
    <n v="32045424"/>
    <s v="MARIO MORENO ARIZMENDES"/>
    <n v="7"/>
    <s v="CARBONICOS"/>
    <s v="CHAMPION LOGISTICA"/>
  </r>
  <r>
    <x v="3"/>
    <s v="CALDERAS"/>
    <x v="6"/>
    <n v="32149492"/>
    <x v="5"/>
    <n v="32044410"/>
    <s v="JOSE RAMON HUITRON"/>
    <n v="7"/>
    <s v="CARBONICOS"/>
    <s v="CAMPION CALIDAD"/>
  </r>
  <r>
    <x v="3"/>
    <s v="CALDERAS"/>
    <x v="6"/>
    <n v="32149492"/>
    <x v="5"/>
    <n v="32043974"/>
    <s v="VICTOR MANUEL DURAN RUIZ"/>
    <n v="7"/>
    <s v="CARBONICOS"/>
    <s v="CHAMPION SEGURIDAD"/>
  </r>
  <r>
    <x v="3"/>
    <s v="TURBINAS"/>
    <x v="7"/>
    <n v="32217652"/>
    <x v="6"/>
    <n v="32045543"/>
    <s v="FIDEL ISMAEL AVILA DAVILA"/>
    <n v="7"/>
    <s v="CARBONICOS"/>
    <s v="CHAMPION GESTION"/>
  </r>
  <r>
    <x v="3"/>
    <s v="TURBINAS"/>
    <x v="7"/>
    <n v="32069642"/>
    <x v="7"/>
    <n v="32045558"/>
    <s v="OCTAVIO DANIEL DELGADO ESQUIVEL"/>
    <n v="7"/>
    <s v="CARBONICOS"/>
    <s v="CHAMPION MANTENIMIENTO"/>
  </r>
  <r>
    <x v="3"/>
    <s v="CO2"/>
    <x v="8"/>
    <n v="32043797"/>
    <x v="8"/>
    <n v="32224379"/>
    <s v="LUIS FELIPE HERNANDEZ ARANDA"/>
    <n v="8"/>
    <s v="DEAMONIACOS "/>
    <s v="CHAMPION MANTENIMIENTO"/>
  </r>
  <r>
    <x v="3"/>
    <s v="AIRE Y REFRIGERACIÓN "/>
    <x v="5"/>
    <n v="32201729"/>
    <x v="4"/>
    <n v="32043914"/>
    <s v="JUAN MALDONADO DE SANTIAGO"/>
    <n v="8"/>
    <s v="DEAMONIACOS "/>
    <s v="CHAMPION AMBIENTAL"/>
  </r>
  <r>
    <x v="4"/>
    <s v="NACIONAL "/>
    <x v="9"/>
    <n v="32198469"/>
    <x v="9"/>
    <n v="32044894"/>
    <s v="ISAIAS JARAMILLO MUÑIZ"/>
    <n v="9"/>
    <s v="Muñecos"/>
    <s v="MANTENIMIENTO"/>
  </r>
  <r>
    <x v="4"/>
    <s v="NACIONAL "/>
    <x v="9"/>
    <n v="32198469"/>
    <x v="9"/>
    <n v="32045398"/>
    <s v="RODOLFO ZAPATA SERNA"/>
    <n v="9"/>
    <s v="Muñecos"/>
    <s v="LOGÍSTICA"/>
  </r>
  <r>
    <x v="4"/>
    <s v="NACIONAL "/>
    <x v="9"/>
    <n v="32198469"/>
    <x v="9"/>
    <n v="32046166"/>
    <s v="FRANCISCO JAVIER OROZCO MALDONADO"/>
    <n v="9"/>
    <s v="Muñecos"/>
    <s v="PEOPLE"/>
  </r>
  <r>
    <x v="4"/>
    <s v="NACIONAL "/>
    <x v="9"/>
    <n v="32198469"/>
    <x v="9"/>
    <n v="32046425"/>
    <s v=" JOSE LUIS SANCHEZ VELAZQUEZ"/>
    <n v="9"/>
    <s v="Muñecos"/>
    <s v="MANTENIMIENTO"/>
  </r>
  <r>
    <x v="4"/>
    <s v="NACIONAL "/>
    <x v="9"/>
    <n v="32198469"/>
    <x v="9"/>
    <n v="32046448"/>
    <s v="SANTIAGO CASAS GAMEZ"/>
    <n v="9"/>
    <s v="Muñecos"/>
    <s v="MEDIO AMBIENTE"/>
  </r>
  <r>
    <x v="4"/>
    <s v="NACIONAL "/>
    <x v="9"/>
    <n v="32198469"/>
    <x v="9"/>
    <n v="32057720"/>
    <s v=" JUAN CARLOS HERRERA CORDOVA"/>
    <n v="9"/>
    <s v="Muñecos"/>
    <s v="CALIDAD"/>
  </r>
  <r>
    <x v="4"/>
    <s v="NACIONAL "/>
    <x v="9"/>
    <n v="32198469"/>
    <x v="9"/>
    <n v="32136856"/>
    <s v="EDGAR EDUARDO ARELLANO MARTINEZ"/>
    <n v="9"/>
    <s v="Muñecos"/>
    <s v="SEGURIDAD"/>
  </r>
  <r>
    <x v="4"/>
    <s v="NACIONAL "/>
    <x v="9"/>
    <n v="32198469"/>
    <x v="9"/>
    <n v="32178736"/>
    <s v="RUBEN BERMUDEZ ALAMILLO"/>
    <n v="9"/>
    <s v="Muñecos"/>
    <s v="GESTIÓN"/>
  </r>
  <r>
    <x v="4"/>
    <s v="LINEAS"/>
    <x v="10"/>
    <n v="32199317"/>
    <x v="10"/>
    <n v="32043830"/>
    <s v="JOSE GUADALUPE RAMOS MARTINEZ"/>
    <n v="17"/>
    <s v="Indestructibles"/>
    <s v="CHAMPION GESTIÓN"/>
  </r>
  <r>
    <x v="4"/>
    <s v="LINEAS"/>
    <x v="10"/>
    <n v="32199317"/>
    <x v="10"/>
    <n v="32044062"/>
    <s v=" JOSE ANTONIO LOPEZ LUNA"/>
    <n v="17"/>
    <s v="Indestructibles"/>
    <s v="Champion de Mantenimiento"/>
  </r>
  <r>
    <x v="4"/>
    <s v="LINEAS"/>
    <x v="10"/>
    <n v="32199317"/>
    <x v="10"/>
    <n v="32044255"/>
    <s v="GERARDO VASQUEZ LEDESMA"/>
    <n v="17"/>
    <s v="Indestructibles"/>
    <s v="Champion de Seguridad"/>
  </r>
  <r>
    <x v="4"/>
    <s v="LINEAS"/>
    <x v="10"/>
    <n v="32199317"/>
    <x v="10"/>
    <n v="32044337"/>
    <s v="JUAN MANUEL ORTIZ ORTIZ"/>
    <n v="17"/>
    <s v="Indestructibles"/>
    <s v="Champion de People"/>
  </r>
  <r>
    <x v="4"/>
    <s v="LINEAS"/>
    <x v="10"/>
    <n v="32199317"/>
    <x v="10"/>
    <n v="32044368"/>
    <s v=" LUIS ALBERTO MACIAS TREJO"/>
    <n v="17"/>
    <s v="Indestructibles"/>
    <s v="Champion de logística"/>
  </r>
  <r>
    <x v="4"/>
    <s v="LINEAS"/>
    <x v="10"/>
    <n v="32199317"/>
    <x v="10"/>
    <n v="32045439"/>
    <s v="SAUL MARQUEZ MURILLO"/>
    <n v="17"/>
    <s v="Indestructibles"/>
    <s v="Champion de Medio Ambiente"/>
  </r>
  <r>
    <x v="4"/>
    <s v="LINEAS"/>
    <x v="10"/>
    <n v="32199317"/>
    <x v="10"/>
    <n v="32045631"/>
    <s v=" ROBERTO VELASQUEZ ALONSO"/>
    <n v="17"/>
    <s v="Indestructibles"/>
    <s v="Champion Calidad"/>
  </r>
  <r>
    <x v="4"/>
    <s v="LINEAS"/>
    <x v="10"/>
    <n v="32199317"/>
    <x v="10"/>
    <n v="32046085"/>
    <s v=" MARIO ALBERTO ORTIZ TREJO"/>
    <n v="17"/>
    <s v="Indestructibles"/>
    <s v="Champion Gestión"/>
  </r>
  <r>
    <x v="4"/>
    <s v="LINEAS"/>
    <x v="10"/>
    <n v="32199317"/>
    <x v="10"/>
    <n v="32046185"/>
    <s v="CARLOS GUARDADO LEYVA"/>
    <n v="17"/>
    <s v="Indestructibles"/>
    <s v="Champion de Mantenimiento"/>
  </r>
  <r>
    <x v="4"/>
    <s v="LINEAS"/>
    <x v="10"/>
    <n v="32199317"/>
    <x v="10"/>
    <n v="32046212"/>
    <s v="JOSE LUIS HERNANDEZ CHAVEZ"/>
    <n v="17"/>
    <s v="Indestructibles"/>
    <s v="Champion de Seguridad"/>
  </r>
  <r>
    <x v="4"/>
    <s v="LINEAS"/>
    <x v="10"/>
    <n v="32199317"/>
    <x v="10"/>
    <n v="32055892"/>
    <s v=" JHONAN DOMINGUEZ SALAZAR"/>
    <n v="17"/>
    <s v="Indestructibles"/>
    <s v="Champion de People"/>
  </r>
  <r>
    <x v="4"/>
    <s v="LINEAS"/>
    <x v="10"/>
    <n v="32199317"/>
    <x v="10"/>
    <n v="32058883"/>
    <s v="DANIEL SANTOS TREJO"/>
    <n v="17"/>
    <s v="Indestructibles"/>
    <s v="Champion de logística"/>
  </r>
  <r>
    <x v="4"/>
    <s v="LINEAS"/>
    <x v="10"/>
    <n v="32199317"/>
    <x v="10"/>
    <n v="32064295"/>
    <s v=" ALEJANDRO MELENDRES AVIÑA"/>
    <n v="17"/>
    <s v="Indestructibles"/>
    <s v="Champion de Medio Ambiente"/>
  </r>
  <r>
    <x v="4"/>
    <s v="LINEAS"/>
    <x v="10"/>
    <n v="32199317"/>
    <x v="10"/>
    <n v="32064295"/>
    <s v="ALDO RODRIGUEZ PACHECO"/>
    <n v="17"/>
    <s v="Indestructibles"/>
    <s v="Champion Calidad"/>
  </r>
  <r>
    <x v="4"/>
    <s v="LINEAS"/>
    <x v="10"/>
    <n v="32199317"/>
    <x v="10"/>
    <n v="32197843"/>
    <s v="GARCIA ROMERO FROYLAN"/>
    <n v="17"/>
    <s v="Indestructibles"/>
    <s v="Champion de People"/>
  </r>
  <r>
    <x v="4"/>
    <s v="LINEAS"/>
    <x v="10"/>
    <n v="32199317"/>
    <x v="10"/>
    <n v="32197851"/>
    <s v="FELIX RAMIREZ SALVADOR"/>
    <n v="17"/>
    <s v="Indestructibles"/>
    <s v="Champion de People"/>
  </r>
  <r>
    <x v="0"/>
    <s v="ENV 1"/>
    <x v="3"/>
    <n v="32146124"/>
    <x v="11"/>
    <n v="32146675"/>
    <s v="VICTOR ANTONIO SOSA CARLOS "/>
    <n v="6"/>
    <s v="BEST"/>
    <s v="GENTE"/>
  </r>
  <r>
    <x v="0"/>
    <s v="ENV 1"/>
    <x v="3"/>
    <n v="32146124"/>
    <x v="11"/>
    <n v="32044548"/>
    <s v="JORGE MARTÍNEZ ZAPATA"/>
    <n v="6"/>
    <s v="BEST"/>
    <s v="SEGURIDAD"/>
  </r>
  <r>
    <x v="0"/>
    <s v="ENV 1"/>
    <x v="3"/>
    <n v="32146124"/>
    <x v="11"/>
    <n v="32044763"/>
    <s v="MANOLO CARDONA RODRÍGUEZ"/>
    <n v="6"/>
    <s v="BEST"/>
    <s v="MANTENIMIENTO"/>
  </r>
  <r>
    <x v="5"/>
    <s v="BLENDER"/>
    <x v="11"/>
    <n v="32143106"/>
    <x v="12"/>
    <n v="32176720"/>
    <s v="JOSE REFUGIO LOPEZ MARTINEZ"/>
    <n v="3"/>
    <s v="DJ MEZCLADORES"/>
    <s v="MANTENIMIENTO"/>
  </r>
  <r>
    <x v="5"/>
    <s v="BLENDER"/>
    <x v="11"/>
    <n v="32143106"/>
    <x v="12"/>
    <n v="32197975"/>
    <s v="LUIS RICARDO VALDES SANCHEZ"/>
    <n v="3"/>
    <s v="DJ MEZCLADORES"/>
    <s v="CALIDAD"/>
  </r>
  <r>
    <x v="5"/>
    <s v="BLENDER"/>
    <x v="11"/>
    <n v="32143106"/>
    <x v="12"/>
    <n v="32175115"/>
    <s v="NESTOR MONTOYA DUEÑAS"/>
    <n v="3"/>
    <s v="DJ MEZCLADORES"/>
    <s v="GESTIÓN"/>
  </r>
  <r>
    <x v="0"/>
    <s v="ENV 2"/>
    <x v="12"/>
    <n v="32044913"/>
    <x v="13"/>
    <n v="32044308"/>
    <s v="Miguel Perez Garcia"/>
    <n v="8"/>
    <s v="DINAMICOS"/>
    <s v="MEDIO AMBIENTE"/>
  </r>
  <r>
    <x v="0"/>
    <s v="ENV 2"/>
    <x v="12"/>
    <n v="32044913"/>
    <x v="13"/>
    <n v="32146008"/>
    <s v="Genaro Castañon Garces"/>
    <n v="8"/>
    <s v="DINAMICOS"/>
    <s v="GESTION"/>
  </r>
  <r>
    <x v="3"/>
    <s v="AIRE Y REFRIGERACIÓN "/>
    <x v="5"/>
    <n v="32069642"/>
    <x v="7"/>
    <n v="32045559"/>
    <s v="JUAN PABLO REYES LOPEZ"/>
    <n v="8"/>
    <s v="DEAMONIACOS "/>
    <s v="CHAMPION SEGURIDAD "/>
  </r>
  <r>
    <x v="3"/>
    <s v="CALDERAS"/>
    <x v="6"/>
    <n v="32043626"/>
    <x v="14"/>
    <n v="32044317"/>
    <s v="MARTIN G. RINCON CERVANTES"/>
    <n v="8"/>
    <s v="DEAMONIACOS "/>
    <s v="CHAMPION GENTE"/>
  </r>
  <r>
    <x v="3"/>
    <s v="CALDERAS"/>
    <x v="6"/>
    <n v="32043626"/>
    <x v="14"/>
    <n v="32044817"/>
    <s v="JOSE DE JESUS RODRIGUEZ"/>
    <n v="8"/>
    <s v="DEAMONIACOS "/>
    <s v="CHAMPION GESTION"/>
  </r>
  <r>
    <x v="3"/>
    <s v="CALDERAS"/>
    <x v="6"/>
    <n v="32043626"/>
    <x v="14"/>
    <n v="32072210"/>
    <s v="VICTOR HUGO VELAZQUEZ"/>
    <n v="8"/>
    <s v="DEAMONIACOS "/>
    <s v="CHAMPION GESTION"/>
  </r>
  <r>
    <x v="3"/>
    <s v="TURBINAS"/>
    <x v="7"/>
    <n v="32217652"/>
    <x v="6"/>
    <n v="32043736"/>
    <s v="CARLOZ JABIER MAGDALENO SEDILLO"/>
    <n v="8"/>
    <s v="DEAMONIACOS "/>
    <s v="CHAMPION LOGISTICA"/>
  </r>
  <r>
    <x v="0"/>
    <s v="ENV 2"/>
    <x v="12"/>
    <n v="32044913"/>
    <x v="13"/>
    <n v="32046095"/>
    <s v="Aldo nahun Hernandez"/>
    <n v="8"/>
    <s v="DINAMICOS"/>
    <s v="SEGURIDAD"/>
  </r>
  <r>
    <x v="0"/>
    <s v="ENV 2"/>
    <x v="12"/>
    <n v="32044913"/>
    <x v="13"/>
    <n v="32045210"/>
    <s v="Juan Francisco Reyes Rivera"/>
    <n v="8"/>
    <s v="DINAMICOS"/>
    <s v="MANTENIMIENTO"/>
  </r>
  <r>
    <x v="0"/>
    <s v="ENV 2"/>
    <x v="12"/>
    <n v="32044913"/>
    <x v="13"/>
    <n v="32149494"/>
    <s v="Cesar Gamez Alvarez"/>
    <n v="8"/>
    <s v="DINAMICOS"/>
    <s v="GENTE"/>
  </r>
  <r>
    <x v="0"/>
    <s v="ENV 2"/>
    <x v="12"/>
    <n v="32044440"/>
    <x v="15"/>
    <n v="32043831"/>
    <s v="NOEL ORDAZ HERNANDEZ"/>
    <n v="8"/>
    <s v="DINAMICOS"/>
    <s v="CALIDAD"/>
  </r>
  <r>
    <x v="0"/>
    <s v="ENV 2"/>
    <x v="12"/>
    <n v="32044440"/>
    <x v="15"/>
    <n v="32045926"/>
    <s v="FRANCISCO VALLES ROMERO"/>
    <n v="8"/>
    <s v="DINAMICOS"/>
    <s v="APOYO SEGURIDAD"/>
  </r>
  <r>
    <x v="0"/>
    <s v="ENV 2"/>
    <x v="12"/>
    <n v="32044440"/>
    <x v="15"/>
    <n v="32044693"/>
    <s v="DOMINGO C MARTINEZ ALDABA"/>
    <n v="8"/>
    <s v="DINAMICOS"/>
    <s v="APOYO GESTION"/>
  </r>
  <r>
    <x v="0"/>
    <s v="ENV 3"/>
    <x v="13"/>
    <n v="32044061"/>
    <x v="16"/>
    <n v="32043950"/>
    <s v="Jesús Macias Barrios"/>
    <n v="7"/>
    <s v="ENGRANES"/>
    <s v="MEDIO AMBIENTE "/>
  </r>
  <r>
    <x v="0"/>
    <s v="ENV 3"/>
    <x v="13"/>
    <n v="32044061"/>
    <x v="16"/>
    <n v="32044988"/>
    <s v="Emmanuel De Jesus Nabor Caldera"/>
    <n v="7"/>
    <s v="ENGRANES"/>
    <s v="SEGURIDAD"/>
  </r>
  <r>
    <x v="0"/>
    <s v="ENV 3"/>
    <x v="13"/>
    <n v="32044061"/>
    <x v="16"/>
    <n v="32044814"/>
    <s v="Martín Ramírez Garza"/>
    <n v="7"/>
    <s v="ENGRANES"/>
    <s v="GESTION"/>
  </r>
  <r>
    <x v="0"/>
    <s v="ENV 3"/>
    <x v="13"/>
    <n v="32044061"/>
    <x v="16"/>
    <n v="32044072"/>
    <s v="Mike Varela Rodríguez"/>
    <n v="7"/>
    <s v="ENGRANES"/>
    <s v="MANTENIMIENTO "/>
  </r>
  <r>
    <x v="0"/>
    <s v="ENV 3"/>
    <x v="13"/>
    <n v="32044061"/>
    <x v="16"/>
    <n v="32061266"/>
    <s v="Eduardo Martínez De Santiago"/>
    <n v="7"/>
    <s v="ENGRANES"/>
    <s v="CALIDAD"/>
  </r>
  <r>
    <x v="0"/>
    <s v="ENV 3"/>
    <x v="13"/>
    <n v="32145029"/>
    <x v="17"/>
    <n v="32146281"/>
    <s v="JESUS ESTUPIÑÁN SOLIS"/>
    <n v="7"/>
    <s v="ENGRANES"/>
    <s v="GENTE"/>
  </r>
  <r>
    <x v="0"/>
    <s v="ENV 3"/>
    <x v="13"/>
    <n v="32145029"/>
    <x v="17"/>
    <n v="32045476"/>
    <s v="HUGO ERNESTO SOTO "/>
    <n v="7"/>
    <s v="ENGRANES"/>
    <s v="APOYO SEGURIDAD"/>
  </r>
  <r>
    <x v="0"/>
    <s v="ENV 3"/>
    <x v="14"/>
    <n v="32145055"/>
    <x v="18"/>
    <n v="32044181"/>
    <s v="Juan Sonora Ultreras"/>
    <n v="4"/>
    <s v="ESLABONES"/>
    <s v="GENTE"/>
  </r>
  <r>
    <x v="5"/>
    <s v="Filtros-Gobierno"/>
    <x v="15"/>
    <n v="32146684"/>
    <x v="19"/>
    <n v="32157221"/>
    <s v="JESUS MENCHACA DEL VILLAR"/>
    <n v="5"/>
    <s v="LOS ANDAMOS CON TODO"/>
    <s v="GENTE"/>
  </r>
  <r>
    <x v="5"/>
    <s v="Filtros-Gobierno"/>
    <x v="15"/>
    <n v="32146684"/>
    <x v="19"/>
    <n v="32188009"/>
    <s v="ALDO ERNESTO SILVA VARELA"/>
    <n v="5"/>
    <s v="LOS ANDAMOS CON TODO"/>
    <s v="CALIDAD"/>
  </r>
  <r>
    <x v="1"/>
    <n v="6"/>
    <x v="16"/>
    <n v="32045047"/>
    <x v="20"/>
    <n v="32044320"/>
    <s v="GUILLERO HERNANDEZ GUITIERREZ"/>
    <n v="14"/>
    <s v="LOS CATADORES"/>
    <s v="CHAMPION GESTION"/>
  </r>
  <r>
    <x v="1"/>
    <n v="6"/>
    <x v="16"/>
    <n v="32045047"/>
    <x v="20"/>
    <n v="32101568"/>
    <s v="JOSE GUADALUPE PADILLA CARRILLO"/>
    <n v="14"/>
    <s v="LOS CATADORES"/>
    <s v="APOYO GESTION"/>
  </r>
  <r>
    <x v="1"/>
    <n v="6"/>
    <x v="16"/>
    <n v="32045047"/>
    <x v="20"/>
    <n v="32188125"/>
    <s v="RODRIGO HINOJOZA MOLINA"/>
    <n v="14"/>
    <s v="LOS CATADORES"/>
    <s v="APOYO MANTENIMIENTO"/>
  </r>
  <r>
    <x v="1"/>
    <n v="6"/>
    <x v="16"/>
    <n v="32045047"/>
    <x v="20"/>
    <n v="32148626"/>
    <s v="JUAN DARI MONTOYA TORRES"/>
    <n v="14"/>
    <s v="LOS CATADORES"/>
    <s v="APOYO CALIDAD"/>
  </r>
  <r>
    <x v="1"/>
    <n v="6"/>
    <x v="16"/>
    <n v="32045047"/>
    <x v="20"/>
    <n v="32143042"/>
    <s v="MARCELO GONZALES GUTIERREZ"/>
    <n v="14"/>
    <s v="LOS CATADORES"/>
    <s v="APOYO LOGISTICA"/>
  </r>
  <r>
    <x v="1"/>
    <n v="6"/>
    <x v="16"/>
    <n v="32045047"/>
    <x v="20"/>
    <n v="32142945"/>
    <s v="JOSE GUADALUPUE ALVARADO LOPEZ"/>
    <n v="14"/>
    <s v="LOS CATADORES"/>
    <s v="CHAMPION AMBIENTAL"/>
  </r>
  <r>
    <x v="1"/>
    <n v="6"/>
    <x v="16"/>
    <n v="32045047"/>
    <x v="20"/>
    <n v="32131838"/>
    <s v="VICTOR HUGO GARZA CARDENAS"/>
    <n v="14"/>
    <s v="LOS CATADORES"/>
    <s v="CHAMPION MANTENIMIENTO"/>
  </r>
  <r>
    <x v="1"/>
    <n v="6"/>
    <x v="16"/>
    <n v="32045047"/>
    <x v="20"/>
    <n v="32070296"/>
    <s v="JOSE GUADALUPE GOYTIA PARDO"/>
    <n v="14"/>
    <s v="LOS CATADORES"/>
    <s v="CHAMPIONS LOGISTICA"/>
  </r>
  <r>
    <x v="1"/>
    <n v="6"/>
    <x v="16"/>
    <n v="32045047"/>
    <x v="20"/>
    <n v="32186164"/>
    <s v="JOHAN NOE ORTIZ REVELES"/>
    <n v="14"/>
    <s v="LOS CATADORES"/>
    <s v="CHAMPIONS ENGAMENT"/>
  </r>
  <r>
    <x v="1"/>
    <n v="6"/>
    <x v="16"/>
    <n v="32045047"/>
    <x v="20"/>
    <n v="32143660"/>
    <s v="JESUS VAZQUEZ BERUMEN"/>
    <n v="14"/>
    <s v="LOS CATADORES"/>
    <s v="APOYO GESTION"/>
  </r>
  <r>
    <x v="1"/>
    <n v="6"/>
    <x v="16"/>
    <n v="32045047"/>
    <x v="20"/>
    <n v="32132230"/>
    <s v="EDUARDO GARCIA ALVARADO"/>
    <n v="14"/>
    <s v="LOS CATADORES"/>
    <s v="CHAMPION DE CALIDAD"/>
  </r>
  <r>
    <x v="1"/>
    <n v="6"/>
    <x v="16"/>
    <n v="32045047"/>
    <x v="20"/>
    <n v="32139711"/>
    <s v="CARLOS ALBERTO NIETO ROBLES"/>
    <n v="14"/>
    <s v="LOS CATADORES"/>
    <s v="APOYO DE SEGURIDAD"/>
  </r>
  <r>
    <x v="1"/>
    <n v="6"/>
    <x v="16"/>
    <n v="32045047"/>
    <x v="20"/>
    <n v="32045310"/>
    <s v="RICARDO ALVARADO MORALES"/>
    <n v="14"/>
    <s v="LOS CATADORES"/>
    <s v="APOYO DE CALIDAD"/>
  </r>
  <r>
    <x v="1"/>
    <n v="7"/>
    <x v="17"/>
    <n v="32045047"/>
    <x v="20"/>
    <n v="32043866"/>
    <s v="GARZA NORIEGA ESTEBAN"/>
    <n v="14"/>
    <s v="EXPERIENCIA AL 100"/>
    <s v="CHAMPION AMBIENTAL"/>
  </r>
  <r>
    <x v="1"/>
    <n v="7"/>
    <x v="17"/>
    <n v="32045047"/>
    <x v="20"/>
    <n v="32044281"/>
    <s v="MONTES VALTIERRA HECTOR DANIEL"/>
    <n v="14"/>
    <s v="EXPERIENCIA AL 100"/>
    <s v="APOYO DE SEGURIDAD"/>
  </r>
  <r>
    <x v="1"/>
    <n v="7"/>
    <x v="17"/>
    <n v="32045047"/>
    <x v="20"/>
    <n v="32046481"/>
    <s v="ZANDATE SOTELO JOSE PABLO"/>
    <n v="14"/>
    <s v="EXPERIENCIA AL 100"/>
    <s v="CHAMPION LOGISTICA"/>
  </r>
  <r>
    <x v="1"/>
    <n v="7"/>
    <x v="17"/>
    <n v="32045047"/>
    <x v="20"/>
    <n v="32148624"/>
    <s v="GONZALEZ JARA SAMUEL"/>
    <n v="14"/>
    <s v="EXPERIENCIA AL 100"/>
    <s v="CHAMPION MANTENIMINETO"/>
  </r>
  <r>
    <x v="1"/>
    <n v="7"/>
    <x v="17"/>
    <n v="32045047"/>
    <x v="20"/>
    <n v="32043894"/>
    <s v="GONZALEZ DE LA ROSA JUAN FRANCISCO"/>
    <n v="14"/>
    <s v="EXPERIENCIA AL 100"/>
    <s v="CHAMPION GESTION"/>
  </r>
  <r>
    <x v="1"/>
    <n v="7"/>
    <x v="17"/>
    <n v="32045047"/>
    <x v="20"/>
    <n v="32148627"/>
    <s v="VAZQUEZ OLGUIN LUIS GILBERTO"/>
    <n v="14"/>
    <s v="EXPERIENCIA AL 100"/>
    <s v="CHAMPION SEGURIDAD"/>
  </r>
  <r>
    <x v="1"/>
    <n v="7"/>
    <x v="17"/>
    <n v="32045047"/>
    <x v="20"/>
    <n v="32045740"/>
    <s v="GERARDO VALLE HERNANDEZ"/>
    <n v="14"/>
    <s v="EXPERIENCIA AL 100"/>
    <s v="APOYO GESTION"/>
  </r>
  <r>
    <x v="1"/>
    <n v="7"/>
    <x v="17"/>
    <n v="32045047"/>
    <x v="20"/>
    <n v="32044901"/>
    <s v="PALOMINO GONZALEZ JOB"/>
    <n v="14"/>
    <s v="EXPERIENCIA AL 100"/>
    <s v="APOYO GESTION"/>
  </r>
  <r>
    <x v="1"/>
    <n v="7"/>
    <x v="17"/>
    <n v="32045047"/>
    <x v="20"/>
    <n v="32046346"/>
    <s v="ESCOBEDO SILVA DANIEL"/>
    <n v="14"/>
    <s v="EXPERIENCIA AL 100"/>
    <s v="CHAMPION ENGAGEMENT"/>
  </r>
  <r>
    <x v="1"/>
    <n v="7"/>
    <x v="17"/>
    <n v="32045047"/>
    <x v="20"/>
    <n v="32044618"/>
    <s v="CAMPOS LUNA ARMANDO"/>
    <n v="14"/>
    <s v="EXPERIENCIA AL 100"/>
    <s v="APOYO ENGAGEMENT"/>
  </r>
  <r>
    <x v="1"/>
    <n v="7"/>
    <x v="17"/>
    <n v="32045047"/>
    <x v="20"/>
    <n v="32142977"/>
    <s v="RODRIGUEZ DIAZ VICTOR HUGO"/>
    <n v="14"/>
    <s v="EXPERIENCIA AL 100"/>
    <s v="APOYO AMBIENTAL"/>
  </r>
  <r>
    <x v="1"/>
    <n v="7"/>
    <x v="17"/>
    <n v="32045047"/>
    <x v="20"/>
    <n v="32044285"/>
    <s v="DOMINGUEZ CARRILLO ANDRES"/>
    <n v="14"/>
    <s v="EXPERIENCIA AL 100"/>
    <s v="APOYO CALIDAD"/>
  </r>
  <r>
    <x v="5"/>
    <s v="Filtros-Gobierno"/>
    <x v="15"/>
    <n v="32146684"/>
    <x v="19"/>
    <n v="32045128"/>
    <s v="JESUS CALDERON ALFARO"/>
    <n v="5"/>
    <s v="LOS ANDAMOS CON TODO"/>
    <s v="SEGURIDAD"/>
  </r>
  <r>
    <x v="5"/>
    <s v="Filtros-Gobierno"/>
    <x v="15"/>
    <n v="32146684"/>
    <x v="19"/>
    <n v="32045134"/>
    <s v="PEDRO MALDONADO MARQUEZ"/>
    <n v="5"/>
    <s v="LOS ANDAMOS CON TODO"/>
    <s v="MANTENIMIENTO"/>
  </r>
  <r>
    <x v="5"/>
    <s v="Filtros-Gobierno"/>
    <x v="15"/>
    <n v="32146684"/>
    <x v="19"/>
    <n v="32149605"/>
    <s v="JUAN MANUEL RODARTE MARTINEZ"/>
    <n v="5"/>
    <s v="LOS ANDAMOS CON TODO"/>
    <s v="AMBIENTAL"/>
  </r>
  <r>
    <x v="1"/>
    <s v="MIXTO 13-14"/>
    <x v="18"/>
    <n v="32146685"/>
    <x v="21"/>
    <n v="32044002"/>
    <s v="BARRON JIMENEZ JOSE MANUEL"/>
    <n v="14"/>
    <s v="LOS CHAMPIONS"/>
    <s v="Champion Gestión"/>
  </r>
  <r>
    <x v="1"/>
    <s v="MIXTO 13-14"/>
    <x v="18"/>
    <n v="32146685"/>
    <x v="21"/>
    <n v="32044543"/>
    <s v="REYES VILLAVICENCIO FILIBERTO"/>
    <n v="14"/>
    <s v="LOS CHAMPIONS"/>
    <s v="Champion Gente"/>
  </r>
  <r>
    <x v="1"/>
    <s v="MIXTO 13-14"/>
    <x v="18"/>
    <n v="32146685"/>
    <x v="21"/>
    <n v="32045507"/>
    <s v="FELIX DELGADO ANTONIO"/>
    <n v="14"/>
    <s v="LOS CHAMPIONS"/>
    <s v="Champion Mantenimiento"/>
  </r>
  <r>
    <x v="1"/>
    <s v="MIXTO 13-14"/>
    <x v="18"/>
    <n v="32146685"/>
    <x v="21"/>
    <n v="32045806"/>
    <s v="CORTEZ VILLARREAL MIGUEL ANGEL"/>
    <n v="14"/>
    <s v="LOS CHAMPIONS"/>
    <s v="Champion Seguridad"/>
  </r>
  <r>
    <x v="1"/>
    <s v="MIXTO 13-14"/>
    <x v="18"/>
    <n v="32146685"/>
    <x v="21"/>
    <n v="32046016"/>
    <s v="MENDIOLA HINOJOSA BENITO ABRAM"/>
    <n v="14"/>
    <s v="LOS CHAMPIONS"/>
    <s v="Champion Logística"/>
  </r>
  <r>
    <x v="1"/>
    <s v="MIXTO 13-14"/>
    <x v="18"/>
    <n v="32146685"/>
    <x v="21"/>
    <n v="32046553"/>
    <s v="SILVA AGUILAR ABEL"/>
    <n v="14"/>
    <s v="LOS CHAMPIONS"/>
    <s v="Apoyo a Seguridad"/>
  </r>
  <r>
    <x v="1"/>
    <s v="MIXTO 13-14"/>
    <x v="18"/>
    <n v="32146685"/>
    <x v="21"/>
    <n v="32064299"/>
    <s v="CARRILLO MACIAS ROSENDO RAFAEL"/>
    <n v="14"/>
    <s v="LOS CHAMPIONS"/>
    <s v="Champion Ambiental"/>
  </r>
  <r>
    <x v="1"/>
    <s v="MIXTO 13-14"/>
    <x v="18"/>
    <n v="32146685"/>
    <x v="21"/>
    <n v="32132051"/>
    <s v="LOPEZ RAMIREZ HERALDO MAYEL"/>
    <n v="14"/>
    <s v="LOS CHAMPIONS"/>
    <s v="Apoyo a Calidad"/>
  </r>
  <r>
    <x v="1"/>
    <s v="MIXTO 13-14"/>
    <x v="18"/>
    <n v="32146685"/>
    <x v="21"/>
    <n v="32132587"/>
    <s v="ORTIZ CONTRERAS JAVIER"/>
    <n v="14"/>
    <s v="LOS CHAMPIONS"/>
    <s v="Champion Calidad"/>
  </r>
  <r>
    <x v="1"/>
    <s v="MIXTO 13-14"/>
    <x v="18"/>
    <n v="32146685"/>
    <x v="21"/>
    <n v="32143052"/>
    <s v="MONREAL MARTINEZ GABRIEL"/>
    <n v="14"/>
    <s v="LOS CHAMPIONS"/>
    <s v="Apoyo Gente"/>
  </r>
  <r>
    <x v="1"/>
    <s v="MIXTO 13-14"/>
    <x v="18"/>
    <n v="32146685"/>
    <x v="21"/>
    <n v="32143053"/>
    <s v="HERRERA RAMIREZ EDGAR FABIAN"/>
    <n v="14"/>
    <s v="LOS CHAMPIONS"/>
    <s v="Apoyo a Mantenimiento "/>
  </r>
  <r>
    <x v="1"/>
    <s v="MIXTO 13-14"/>
    <x v="18"/>
    <n v="32146685"/>
    <x v="21"/>
    <n v="32197897"/>
    <s v="SERNA SANTILLAN JOSE LUIS"/>
    <n v="14"/>
    <s v="LOS CHAMPIONS"/>
    <s v="Apoyo a Gestion"/>
  </r>
  <r>
    <x v="1"/>
    <s v="MIXTO 1-2"/>
    <x v="19"/>
    <n v="32168008"/>
    <x v="22"/>
    <n v="32044535"/>
    <s v="Filiberto Soriano Cuellar"/>
    <n v="7"/>
    <s v="LAS AGUILAS "/>
    <s v="Champion Gestión"/>
  </r>
  <r>
    <x v="1"/>
    <s v="MIXTO 1-2"/>
    <x v="19"/>
    <n v="32168008"/>
    <x v="22"/>
    <n v="32060912"/>
    <s v="Mario Ambriz Marquez "/>
    <n v="7"/>
    <s v="LAS AGUILAS "/>
    <s v="Champion Mantenimiento"/>
  </r>
  <r>
    <x v="1"/>
    <s v="MIXTO 1-2"/>
    <x v="19"/>
    <n v="32168008"/>
    <x v="22"/>
    <n v="32067355"/>
    <s v="Hector Lenin Reyes Hernandez"/>
    <n v="7"/>
    <s v="LAS AGUILAS "/>
    <s v="Champion Calidad"/>
  </r>
  <r>
    <x v="1"/>
    <s v="MIXTO 1-2"/>
    <x v="19"/>
    <n v="32168008"/>
    <x v="22"/>
    <n v="32136711"/>
    <s v="Miguel Angel Ramirez Varela "/>
    <n v="7"/>
    <s v="LAS AGUILAS "/>
    <s v="Champion Ambiental"/>
  </r>
  <r>
    <x v="1"/>
    <s v="MIXTO 1-2"/>
    <x v="19"/>
    <n v="32168008"/>
    <x v="22"/>
    <n v="32061471"/>
    <s v="Oscar Sustaita Martinez"/>
    <n v="7"/>
    <s v="LAS AGUILAS "/>
    <s v="Champion Gente"/>
  </r>
  <r>
    <x v="1"/>
    <s v="MIXTO 1-2"/>
    <x v="19"/>
    <n v="32168008"/>
    <x v="22"/>
    <n v="32197846"/>
    <s v="JUAN SEBASTIAN ROMAN TREJO"/>
    <n v="7"/>
    <s v="LAS AGUILAS "/>
    <s v="Apoyo Champion Ambiental"/>
  </r>
  <r>
    <x v="1"/>
    <s v="MIXTO 1-2"/>
    <x v="19"/>
    <n v="32168008"/>
    <x v="22"/>
    <n v="32197891"/>
    <s v="Jorge Luis Vazquez Perez"/>
    <n v="7"/>
    <s v="LAS AGUILAS "/>
    <s v="Champion Seguridad"/>
  </r>
  <r>
    <x v="0"/>
    <s v="ENV 3"/>
    <x v="14"/>
    <n v="32145055"/>
    <x v="18"/>
    <n v="32146673"/>
    <s v="Juan De Dios Diaz Torres"/>
    <n v="4"/>
    <s v="ESLABONES"/>
    <s v="GESTION"/>
  </r>
  <r>
    <x v="0"/>
    <s v="ENV 3"/>
    <x v="14"/>
    <n v="32145055"/>
    <x v="18"/>
    <n v="32045788"/>
    <s v="Miguel Aguilar Alba"/>
    <n v="4"/>
    <s v="ESLABONES"/>
    <s v="MANTENIMIENTO"/>
  </r>
  <r>
    <x v="0"/>
    <s v="ENV 3"/>
    <x v="14"/>
    <n v="32145055"/>
    <x v="18"/>
    <n v="32043999"/>
    <s v="Nicolas Márquez Contreras "/>
    <n v="4"/>
    <s v="ESLABONES"/>
    <s v="SEGURIDAD"/>
  </r>
  <r>
    <x v="0"/>
    <s v="ENV 2"/>
    <x v="20"/>
    <n v="32172669"/>
    <x v="23"/>
    <n v="32045730"/>
    <s v="Guillermo Ismael Vasquez Flores"/>
    <n v="12"/>
    <s v="ESPECIALISTAS"/>
    <s v="GENTE"/>
  </r>
  <r>
    <x v="0"/>
    <s v="ENV 2"/>
    <x v="20"/>
    <n v="32172669"/>
    <x v="23"/>
    <n v="32044408"/>
    <s v="Eduardo Garay Castro"/>
    <n v="12"/>
    <s v="ESPECIALISTAS"/>
    <s v="MEDIO AMBIENTE"/>
  </r>
  <r>
    <x v="0"/>
    <s v="ENV 2"/>
    <x v="20"/>
    <n v="32172669"/>
    <x v="23"/>
    <n v="32044529"/>
    <s v="David Ortega Ríos"/>
    <n v="12"/>
    <s v="ESPECIALISTAS"/>
    <s v="SEGURIDAD"/>
  </r>
  <r>
    <x v="0"/>
    <s v="ENV 2"/>
    <x v="20"/>
    <n v="32172669"/>
    <x v="23"/>
    <n v="32072179"/>
    <s v="Víctor Manuel Reyes Figueroa "/>
    <n v="12"/>
    <s v="ESPECIALISTAS"/>
    <s v="MANTENIMIENTO"/>
  </r>
  <r>
    <x v="0"/>
    <s v="ENV 2"/>
    <x v="20"/>
    <n v="32172669"/>
    <x v="23"/>
    <n v="32043918"/>
    <s v="Hermilo Vega Mejia "/>
    <n v="12"/>
    <s v="ESPECIALISTAS"/>
    <s v="APOYO GESTION"/>
  </r>
  <r>
    <x v="0"/>
    <s v="ENV 2"/>
    <x v="20"/>
    <n v="32172669"/>
    <x v="23"/>
    <n v="32044605"/>
    <s v="Federico Castillo Acuña"/>
    <n v="12"/>
    <s v="ESPECIALISTAS"/>
    <s v="GESTION"/>
  </r>
  <r>
    <x v="1"/>
    <n v="9"/>
    <x v="21"/>
    <n v="32045977"/>
    <x v="24"/>
    <n v="32044964"/>
    <s v="MIGUEL GARAY MARTINEZ"/>
    <n v="16"/>
    <s v="CARAJOS"/>
    <s v="APOYO DE GESTIÓN."/>
  </r>
  <r>
    <x v="1"/>
    <n v="9"/>
    <x v="21"/>
    <n v="32045977"/>
    <x v="24"/>
    <n v="32045775"/>
    <s v="FILIBERTO HERNANDEZ TORRES"/>
    <n v="16"/>
    <s v="CARAJOS"/>
    <s v="CHAMPION MANTENIMIENTO."/>
  </r>
  <r>
    <x v="1"/>
    <n v="9"/>
    <x v="21"/>
    <n v="32045977"/>
    <x v="24"/>
    <n v="32046642"/>
    <s v="J CRUZ MARTINEZ DE LA TORRE"/>
    <n v="16"/>
    <s v="CARAJOS"/>
    <s v="APOYO DE SEGURIDAD"/>
  </r>
  <r>
    <x v="1"/>
    <n v="9"/>
    <x v="21"/>
    <n v="32045977"/>
    <x v="24"/>
    <n v="32061461"/>
    <s v="JULIO CESAR MURILLO RODRIGUEZ"/>
    <n v="16"/>
    <s v="CARAJOS"/>
    <s v="CHAMPION DE GESTIÓN"/>
  </r>
  <r>
    <x v="1"/>
    <n v="9"/>
    <x v="21"/>
    <n v="32045977"/>
    <x v="24"/>
    <n v="32143306"/>
    <s v="JOSE EFRAIN HERNANDEZ TORRES"/>
    <n v="16"/>
    <s v="CARAJOS"/>
    <s v="APOYO DE GENTE"/>
  </r>
  <r>
    <x v="1"/>
    <n v="9"/>
    <x v="21"/>
    <n v="32045977"/>
    <x v="24"/>
    <n v="32150523"/>
    <s v="MAXIMILIANO VAZQUEZ CARRILLO"/>
    <n v="16"/>
    <s v="CARAJOS"/>
    <s v="APOYO DE AMBIENTAL"/>
  </r>
  <r>
    <x v="1"/>
    <n v="9"/>
    <x v="21"/>
    <n v="32045977"/>
    <x v="24"/>
    <n v="32046535"/>
    <s v="MARTIN RODRIGUEZ"/>
    <n v="14"/>
    <s v="CARAJOS"/>
    <s v="CHAMPION DE AMBIENTAL "/>
  </r>
  <r>
    <x v="1"/>
    <n v="9"/>
    <x v="21"/>
    <n v="32045977"/>
    <x v="24"/>
    <n v="32045013"/>
    <s v="LUIS DAVID RAMIREZ RAMOS"/>
    <n v="14"/>
    <s v="CARAJOS"/>
    <s v="APOYO DE AMBIENTAL"/>
  </r>
  <r>
    <x v="1"/>
    <n v="9"/>
    <x v="21"/>
    <n v="32045977"/>
    <x v="24"/>
    <n v="32202287"/>
    <s v="ALEJANDRO CASTAÑON AGUILAR"/>
    <n v="14"/>
    <s v="CARAJOS"/>
    <s v="CHAMPION DE SEGURIDAD "/>
  </r>
  <r>
    <x v="1"/>
    <n v="9"/>
    <x v="21"/>
    <n v="32045977"/>
    <x v="24"/>
    <n v="32066829"/>
    <s v="MARTIN FELIPE ELISERIO LOERA"/>
    <n v="14"/>
    <s v="CARAJOS"/>
    <s v="APOYO DE SEGURIDAD"/>
  </r>
  <r>
    <x v="1"/>
    <n v="9"/>
    <x v="21"/>
    <n v="32045977"/>
    <x v="24"/>
    <n v="32044101"/>
    <s v="GUILLERMO RAUDALES"/>
    <n v="14"/>
    <s v="CARAJOS"/>
    <s v="CHAMPION DE MANTENIMIENTO"/>
  </r>
  <r>
    <x v="1"/>
    <n v="9"/>
    <x v="21"/>
    <n v="32045977"/>
    <x v="24"/>
    <n v="32044601"/>
    <s v="JOSE DE JESUS ORTIZ VILLEGAS"/>
    <n v="14"/>
    <s v="CARAJOS"/>
    <s v="APOYO DE MANTENIMIENTO"/>
  </r>
  <r>
    <x v="1"/>
    <n v="9"/>
    <x v="21"/>
    <n v="32045977"/>
    <x v="24"/>
    <n v="32143308"/>
    <s v="LEDEZMA REYES ADOLFO"/>
    <n v="14"/>
    <s v="CARAJOS"/>
    <s v="CHAMPION DE GENTE"/>
  </r>
  <r>
    <x v="1"/>
    <n v="9"/>
    <x v="21"/>
    <n v="32045977"/>
    <x v="24"/>
    <n v="32143605"/>
    <s v="ALEXIS GONZALO GODINA MARTINEZ"/>
    <n v="14"/>
    <s v="CARAJOS"/>
    <s v="APOYO DE GENTE"/>
  </r>
  <r>
    <x v="1"/>
    <n v="9"/>
    <x v="21"/>
    <n v="32045977"/>
    <x v="24"/>
    <n v="32046500"/>
    <s v="RIOS DAVILA OSCAR OVED"/>
    <n v="14"/>
    <s v="CARAJOS"/>
    <s v="CHAMPION DE GESTIÓN"/>
  </r>
  <r>
    <x v="1"/>
    <n v="9"/>
    <x v="21"/>
    <n v="32045977"/>
    <x v="24"/>
    <n v="32136494"/>
    <s v="JORGE ARTURO GARCIA CHAVEZ"/>
    <n v="14"/>
    <s v="CARAJOS"/>
    <s v="APOYO CALIDAD"/>
  </r>
  <r>
    <x v="1"/>
    <n v="9"/>
    <x v="21"/>
    <n v="32045977"/>
    <x v="24"/>
    <n v="32044746"/>
    <s v="JOSE ALFREDO PARRA VILLAGRANA"/>
    <n v="14"/>
    <s v="CARAJOS"/>
    <s v="CHAMPION CALIDAD "/>
  </r>
  <r>
    <x v="1"/>
    <n v="9"/>
    <x v="21"/>
    <n v="32045977"/>
    <x v="24"/>
    <n v="32197857"/>
    <s v="ALVARO SANCHEZ TREJO"/>
    <n v="14"/>
    <s v="CARAJOS"/>
    <s v="APOYO GESTIÓN"/>
  </r>
  <r>
    <x v="1"/>
    <n v="9"/>
    <x v="21"/>
    <n v="32045977"/>
    <x v="24"/>
    <n v="32045436"/>
    <s v="MANUEL HERNANDEZ GUARDADO"/>
    <n v="14"/>
    <s v="CARAJOS"/>
    <s v="CHAMPION DE LOGISTICA"/>
  </r>
  <r>
    <x v="1"/>
    <s v="MIXTO 3-4"/>
    <x v="22"/>
    <n v="32141851"/>
    <x v="25"/>
    <n v="32044454"/>
    <s v="RAMON TREJO CORREA"/>
    <n v="16"/>
    <s v="LOS MIXTECOS"/>
    <s v="CHAMPION DE AMBIENTAL"/>
  </r>
  <r>
    <x v="1"/>
    <s v="MIXTO 3-4"/>
    <x v="22"/>
    <n v="32141851"/>
    <x v="25"/>
    <n v="32044871"/>
    <s v="RODRIGUEZ GARCIA ABRAHAM"/>
    <n v="14"/>
    <s v="LOS MIXTECOS"/>
    <s v="Champion Logística"/>
  </r>
  <r>
    <x v="1"/>
    <s v="MIXTO 3-4"/>
    <x v="22"/>
    <n v="32141851"/>
    <x v="25"/>
    <n v="32045621"/>
    <s v="RIVERA TORRES CELESTINO"/>
    <n v="14"/>
    <s v="LOS MIXTECOS"/>
    <s v="Apoyo Ambiental "/>
  </r>
  <r>
    <x v="1"/>
    <s v="MIXTO 3-4"/>
    <x v="22"/>
    <n v="32141851"/>
    <x v="25"/>
    <n v="32046209"/>
    <s v="TORRES DE ALBA LUIS"/>
    <n v="14"/>
    <s v="LOS MIXTECOS"/>
    <s v="Champion Gente"/>
  </r>
  <r>
    <x v="1"/>
    <s v="MIXTO 3-4"/>
    <x v="22"/>
    <n v="32141851"/>
    <x v="25"/>
    <n v="32060942"/>
    <s v="CAMACHO OLIVA GILBERTO ANTONIO"/>
    <n v="14"/>
    <s v="LOS MIXTECOS"/>
    <s v="Champion Mantenimiento"/>
  </r>
  <r>
    <x v="1"/>
    <s v="MIXTO 3-4"/>
    <x v="22"/>
    <n v="32141851"/>
    <x v="25"/>
    <n v="32044553"/>
    <s v="TREJO LOPEZ ALBERTO"/>
    <n v="14"/>
    <s v="LOS MIXTECOS"/>
    <s v="Champion Seguridad"/>
  </r>
  <r>
    <x v="1"/>
    <s v="MIXTO 3-4"/>
    <x v="22"/>
    <n v="32141851"/>
    <x v="25"/>
    <n v="32045535"/>
    <s v="CASTILLO DUARTE FREDI ENRIQUE"/>
    <n v="14"/>
    <s v="LOS MIXTECOS"/>
    <s v="Champion Gestión"/>
  </r>
  <r>
    <x v="1"/>
    <s v="MIXTO 3-4"/>
    <x v="22"/>
    <n v="32141851"/>
    <x v="25"/>
    <n v="32132174"/>
    <s v="ELICERIO PARRA ARMANDO"/>
    <n v="14"/>
    <s v="LOS MIXTECOS"/>
    <s v="Champion Ambiental"/>
  </r>
  <r>
    <x v="1"/>
    <s v="MIXTO 3-4"/>
    <x v="22"/>
    <n v="32141851"/>
    <x v="25"/>
    <n v="32132603"/>
    <s v="NUÑEZ VALDEZ SAUL"/>
    <n v="14"/>
    <s v="LOS MIXTECOS"/>
    <s v="Apoyo a Calidad"/>
  </r>
  <r>
    <x v="1"/>
    <s v="MIXTO 3-4"/>
    <x v="22"/>
    <n v="32141851"/>
    <x v="25"/>
    <n v="32148616"/>
    <s v="FRANCO PEREIDA FLAVIO"/>
    <n v="14"/>
    <s v="LOS MIXTECOS"/>
    <s v="Champion Calidad"/>
  </r>
  <r>
    <x v="1"/>
    <s v="MIXTO 3-4"/>
    <x v="22"/>
    <n v="32141851"/>
    <x v="25"/>
    <n v="32149603"/>
    <s v="MEDELLIN MIRELES MARCO ANTONIO"/>
    <n v="14"/>
    <s v="LOS MIXTECOS"/>
    <s v="Apoyo Gente"/>
  </r>
  <r>
    <x v="1"/>
    <s v="MIXTO 3-4"/>
    <x v="22"/>
    <n v="32141851"/>
    <x v="25"/>
    <n v="32199797"/>
    <s v="RAUL SANTOS HERNANDEZ"/>
    <n v="14"/>
    <s v="LOS MIXTECOS"/>
    <s v="Apoyo a Seguridad"/>
  </r>
  <r>
    <x v="1"/>
    <s v="MIXTO 3-4"/>
    <x v="22"/>
    <n v="32141851"/>
    <x v="25"/>
    <n v="32198294"/>
    <s v="MARCO ANTONIO VASQUEZ URIBE "/>
    <n v="14"/>
    <s v="LOS MIXTECOS"/>
    <s v="APOYO GESTION"/>
  </r>
  <r>
    <x v="1"/>
    <s v="MIXTO 3-4"/>
    <x v="22"/>
    <n v="32141851"/>
    <x v="25"/>
    <n v="32149609"/>
    <s v="IRACHETA JARAMILLO LUIS ANGEL"/>
    <n v="14"/>
    <s v="LOS MIXTECOS"/>
    <s v="Apoyo a Mantenimiento "/>
  </r>
  <r>
    <x v="1"/>
    <s v="MIXTO 3-4"/>
    <x v="22"/>
    <n v="32141851"/>
    <x v="25"/>
    <n v="32107323"/>
    <s v="JOSE MANUEL GONZALEZ BUGARIN"/>
    <n v="14"/>
    <s v="LOS MIXTECOS"/>
    <s v="APOYO CALIDAD "/>
  </r>
  <r>
    <x v="2"/>
    <s v="TRATOS DE AGUA"/>
    <x v="23"/>
    <n v="32045105"/>
    <x v="26"/>
    <n v="32144782"/>
    <s v="ADRIAN GUADALUPE VAZQUEZ DAVILA"/>
    <n v="6"/>
    <s v="GERENTES DE HIERRO"/>
    <s v="CHAMPION AMBIENTAL "/>
  </r>
  <r>
    <x v="2"/>
    <s v="TRATOS DE AGUA"/>
    <x v="23"/>
    <n v="32045105"/>
    <x v="26"/>
    <n v="32043716"/>
    <s v="ALFREDO HERNANDEZ LOPEZ"/>
    <n v="6"/>
    <s v="GERENTES DE HIERRO"/>
    <s v="CHAMPION GESTION"/>
  </r>
  <r>
    <x v="2"/>
    <s v="TRATOS DE AGUA"/>
    <x v="23"/>
    <n v="32045105"/>
    <x v="26"/>
    <n v="32044248"/>
    <s v="FRANCISCO JAVIER PEREZ CATAÑO"/>
    <n v="6"/>
    <s v="GERENTES DE HIERRO"/>
    <s v="CHAMPION CALIDAD"/>
  </r>
  <r>
    <x v="2"/>
    <s v="TRATOS DE AGUA"/>
    <x v="23"/>
    <n v="32045105"/>
    <x v="26"/>
    <n v="32045391"/>
    <s v="HUGO SANCHEZ CHAVEZ"/>
    <n v="6"/>
    <s v="GERENTES DE HIERRO"/>
    <s v="CHAMPION SEGURIDAD"/>
  </r>
  <r>
    <x v="2"/>
    <s v="TRATOS DE AGUA"/>
    <x v="23"/>
    <n v="32045105"/>
    <x v="26"/>
    <n v="32150508"/>
    <s v="JORGE RODRIGUEZ ARIAS"/>
    <n v="6"/>
    <s v="GERENTES DE HIERRO"/>
    <s v="CHAMPION MANTENIMIENTO"/>
  </r>
  <r>
    <x v="2"/>
    <s v="TRATOS DE AGUA"/>
    <x v="23"/>
    <n v="32045105"/>
    <x v="26"/>
    <n v="32045071"/>
    <s v="JAVIER RENE FLORES AGUILAR"/>
    <n v="6"/>
    <s v="LOS PUMAS"/>
    <s v="CHAMPION GENTE"/>
  </r>
  <r>
    <x v="5"/>
    <s v="Mixto"/>
    <x v="24"/>
    <n v="32146683"/>
    <x v="27"/>
    <n v="32188008"/>
    <s v="ANTONIO SALAZAR MENDEZ"/>
    <n v="7"/>
    <s v="LOS BRAVOS DEL FRIO"/>
    <s v="GENTE"/>
  </r>
  <r>
    <x v="5"/>
    <s v="Mixto"/>
    <x v="24"/>
    <n v="32146683"/>
    <x v="27"/>
    <n v="32197833"/>
    <s v="JORGE LUIS RODRIGUEZ BERMUDEZ"/>
    <n v="7"/>
    <s v="LOS BRAVOS DEL FRIO"/>
    <s v="CALIDAD"/>
  </r>
  <r>
    <x v="3"/>
    <s v="TURBINAS"/>
    <x v="7"/>
    <n v="32069642"/>
    <x v="7"/>
    <n v="32155923"/>
    <s v="EDGAR GENARO CAPETILLO MAYORGA"/>
    <n v="8"/>
    <s v="DEAMONIACOS "/>
    <s v="CHAMPION CALIDAD"/>
  </r>
  <r>
    <x v="3"/>
    <s v="CO2"/>
    <x v="8"/>
    <n v="32043797"/>
    <x v="8"/>
    <n v="32044791"/>
    <s v="FRANCISCO JAVIER AVILA GAMBOA "/>
    <n v="7"/>
    <s v="LOS MAS CHINGONES"/>
    <s v="CHAMPION SEGURIDAD"/>
  </r>
  <r>
    <x v="3"/>
    <s v="CO2"/>
    <x v="8"/>
    <n v="32043797"/>
    <x v="8"/>
    <n v="32044492"/>
    <s v="JOSE PICAZO PRADO"/>
    <n v="7"/>
    <s v="LOS MAS CHINGONES"/>
    <s v="CHAMPION MANTENIMIENTO"/>
  </r>
  <r>
    <x v="3"/>
    <s v="AIRE Y REFRIGERACIÓN "/>
    <x v="5"/>
    <n v="32069642"/>
    <x v="7"/>
    <n v="32158904"/>
    <s v="PAULO CESAR MACIAS "/>
    <n v="7"/>
    <s v="LOS MAS CHINGONES"/>
    <s v="CHAMPION MANTENIMIENTO  "/>
  </r>
  <r>
    <x v="3"/>
    <s v="CALDERAS"/>
    <x v="6"/>
    <n v="32043626"/>
    <x v="14"/>
    <n v="32044344"/>
    <s v="JUAN CARLOS SOLIS"/>
    <n v="7"/>
    <s v="LOS MAS CHINGONES"/>
    <s v="CHAMPION MANTENIMIENTO"/>
  </r>
  <r>
    <x v="1"/>
    <n v="4"/>
    <x v="25"/>
    <n v="32147380"/>
    <x v="28"/>
    <n v="32044201"/>
    <s v="MUÑOZ MARTINEZ J GUADALUPE"/>
    <n v="14"/>
    <s v="INMORTALES"/>
    <s v="CHAMPION DE GENTE "/>
  </r>
  <r>
    <x v="1"/>
    <n v="4"/>
    <x v="25"/>
    <n v="32147380"/>
    <x v="28"/>
    <n v="32045768"/>
    <s v="AGUILERA GONZALEZ PABLO"/>
    <n v="14"/>
    <s v="INMORTALES"/>
    <s v="APOYO DE CHAMPION GENTE "/>
  </r>
  <r>
    <x v="1"/>
    <n v="4"/>
    <x v="25"/>
    <n v="32147380"/>
    <x v="28"/>
    <n v="32046511"/>
    <s v="MENDEZ AVILA JUAN LUIS"/>
    <n v="14"/>
    <s v="INMORTALES"/>
    <s v="APOYO CHAMPION DE GESTION "/>
  </r>
  <r>
    <x v="1"/>
    <n v="4"/>
    <x v="25"/>
    <n v="32147380"/>
    <x v="28"/>
    <n v="32044946"/>
    <s v="TORRES BAEZ MIGUEL"/>
    <n v="14"/>
    <s v="INMORTALES"/>
    <s v="CHAMPION GESTION "/>
  </r>
  <r>
    <x v="1"/>
    <n v="4"/>
    <x v="25"/>
    <n v="32147380"/>
    <x v="28"/>
    <n v="32044986"/>
    <s v="FLORES MIRANDA JUAN CARLOS"/>
    <n v="14"/>
    <s v="INMORTALES"/>
    <s v="CHAMPION SEGURIDAD"/>
  </r>
  <r>
    <x v="1"/>
    <n v="4"/>
    <x v="25"/>
    <n v="32147380"/>
    <x v="28"/>
    <n v="32045629"/>
    <s v="LOPEZ ORTIZ JUAN PEDRO"/>
    <n v="14"/>
    <s v="INMORTALES"/>
    <s v="APOYO DE CHAMPION SEGURIDAD "/>
  </r>
  <r>
    <x v="1"/>
    <n v="4"/>
    <x v="25"/>
    <n v="32147380"/>
    <x v="28"/>
    <n v="32045137"/>
    <s v="CARRILLO ARELLANO GERARDO"/>
    <n v="14"/>
    <s v="INMORTALES"/>
    <s v="CHAMPION CALIDAD "/>
  </r>
  <r>
    <x v="1"/>
    <n v="4"/>
    <x v="25"/>
    <n v="32147380"/>
    <x v="28"/>
    <n v="32045754"/>
    <s v="HERNANDEZ VALDEZ MANUEL"/>
    <n v="14"/>
    <s v="INMORTALES"/>
    <s v="APOYO DE CHAMPION CALIDAD"/>
  </r>
  <r>
    <x v="1"/>
    <n v="4"/>
    <x v="25"/>
    <n v="32147380"/>
    <x v="28"/>
    <n v="32044554"/>
    <s v="RECENDEZ TAPIA RIGOBERTO"/>
    <n v="14"/>
    <s v="INMORTALES"/>
    <s v="CHAMPION AMBIENTAL"/>
  </r>
  <r>
    <x v="1"/>
    <n v="4"/>
    <x v="25"/>
    <n v="32147380"/>
    <x v="28"/>
    <n v="32046135"/>
    <s v="RAMIREZ RODRIGUEZ MANUEL"/>
    <n v="14"/>
    <s v="INMORTALES"/>
    <s v="APOYO DE CHAMPION AMBIENTAL "/>
  </r>
  <r>
    <x v="1"/>
    <n v="4"/>
    <x v="25"/>
    <n v="32147380"/>
    <x v="28"/>
    <n v="32063475"/>
    <s v="BIACHE AVILA J JESUS"/>
    <n v="14"/>
    <s v="INMORTALES"/>
    <s v="CHAMPION MANTENIMIENTO "/>
  </r>
  <r>
    <x v="1"/>
    <n v="4"/>
    <x v="25"/>
    <n v="32147380"/>
    <x v="28"/>
    <n v="32046468"/>
    <s v="ALVARADO DAVILA JOSE MANUEL"/>
    <n v="14"/>
    <s v="INMORTALES"/>
    <s v="APOYO DE CHAMPION MANTENIMIENTO "/>
  </r>
  <r>
    <x v="1"/>
    <n v="4"/>
    <x v="25"/>
    <n v="32147380"/>
    <x v="28"/>
    <n v="32046165"/>
    <s v="ALVARADO MORALES VENANCIO"/>
    <n v="14"/>
    <s v="INMORTALES"/>
    <s v="CHAMPION DE LOGISTICA"/>
  </r>
  <r>
    <x v="1"/>
    <n v="4"/>
    <x v="25"/>
    <n v="32147380"/>
    <x v="28"/>
    <n v="32045731"/>
    <s v="RODARTE MALDONADO ALEJANDRO"/>
    <n v="14"/>
    <s v="INMORTALES"/>
    <s v="APOYO DE CHAMPION DE LOGISTICA "/>
  </r>
  <r>
    <x v="1"/>
    <n v="4"/>
    <x v="25"/>
    <n v="32147380"/>
    <x v="28"/>
    <n v="32045202"/>
    <s v="JOSE ANTONIO CASTILLO CARDONA"/>
    <n v="15"/>
    <s v="INMORTALES"/>
    <s v="APOYO DE SEGURIDAD"/>
  </r>
  <r>
    <x v="1"/>
    <n v="4"/>
    <x v="25"/>
    <n v="32147380"/>
    <x v="28"/>
    <n v="32096559"/>
    <s v="LEOBARDO GARCIA REZA"/>
    <n v="15"/>
    <s v="INMORTALES"/>
    <s v="CHAMPION DE LOGISTICA"/>
  </r>
  <r>
    <x v="1"/>
    <n v="4"/>
    <x v="25"/>
    <n v="32147380"/>
    <x v="28"/>
    <n v="32045593"/>
    <s v="JUAN CARLOS DE LA CRUZ DE LA CRUZ"/>
    <n v="15"/>
    <s v="INMORTALES"/>
    <s v="APOYO DE MANTENIMIENTO"/>
  </r>
  <r>
    <x v="1"/>
    <n v="5"/>
    <x v="26"/>
    <n v="32147380"/>
    <x v="28"/>
    <n v="32044019"/>
    <s v="JOSE REYES HERNANDEZ CUEVAS"/>
    <n v="16"/>
    <s v="CORONA"/>
    <s v="CHAMPION DE GENTE"/>
  </r>
  <r>
    <x v="1"/>
    <n v="5"/>
    <x v="26"/>
    <n v="32147380"/>
    <x v="28"/>
    <n v="32139713"/>
    <s v="REYES DELGADILLO LUIS GERARDO"/>
    <n v="14"/>
    <s v="CORONA"/>
    <s v="CHAMPION DE GENTE "/>
  </r>
  <r>
    <x v="1"/>
    <n v="5"/>
    <x v="26"/>
    <n v="32147380"/>
    <x v="28"/>
    <n v="32044741"/>
    <s v="GAYTAN CERVANTES JOSE LUIS"/>
    <n v="14"/>
    <s v="CORONA"/>
    <s v="APOYO DE CHAMPION GENTE "/>
  </r>
  <r>
    <x v="1"/>
    <n v="5"/>
    <x v="26"/>
    <n v="32147380"/>
    <x v="28"/>
    <n v="32067182"/>
    <s v="CERVANTES REYES OMAR FELIPE"/>
    <n v="14"/>
    <s v="CORONA"/>
    <s v="APOYO  DE GESTION "/>
  </r>
  <r>
    <x v="1"/>
    <n v="5"/>
    <x v="26"/>
    <n v="32147380"/>
    <x v="28"/>
    <n v="32045011"/>
    <s v="MONTENEGRO CUELLAR SERGIO ANTONIO"/>
    <n v="14"/>
    <s v="CORONA"/>
    <s v="CHAMPION DE GESTION "/>
  </r>
  <r>
    <x v="1"/>
    <n v="5"/>
    <x v="26"/>
    <n v="32147380"/>
    <x v="28"/>
    <n v="32045693"/>
    <s v="GARCIA GODINEZ UBALDO VALERIANO"/>
    <n v="14"/>
    <s v="CORONA"/>
    <s v="CHAMPION SEGURIDAD"/>
  </r>
  <r>
    <x v="1"/>
    <n v="5"/>
    <x v="26"/>
    <n v="32147380"/>
    <x v="28"/>
    <n v="32044721"/>
    <s v="CASTRO SOLIS FRANCISCO"/>
    <n v="14"/>
    <s v="CORONA"/>
    <s v="APOYO DE CHAMPION SEGURIDAD "/>
  </r>
  <r>
    <x v="1"/>
    <n v="5"/>
    <x v="26"/>
    <n v="32147380"/>
    <x v="28"/>
    <n v="32197876"/>
    <s v="EDWIN YAIR MAURICIO BERNAL "/>
    <n v="14"/>
    <s v="CORONA"/>
    <s v="APOYO DE CALIDAD "/>
  </r>
  <r>
    <x v="1"/>
    <n v="5"/>
    <x v="26"/>
    <n v="32147380"/>
    <x v="28"/>
    <n v="32197870"/>
    <s v="DAVID ALEJANDRO VILLASEÑOR RUELAS "/>
    <n v="14"/>
    <s v="CORONA"/>
    <s v="CHAMPION CALIDAD "/>
  </r>
  <r>
    <x v="1"/>
    <n v="5"/>
    <x v="26"/>
    <n v="32147380"/>
    <x v="28"/>
    <n v="32046547"/>
    <s v="CASTAÑEDA CASTRO MANUEL DE JESUS"/>
    <n v="14"/>
    <s v="CORONA"/>
    <s v="CHAMPION AMBIENTAL"/>
  </r>
  <r>
    <x v="1"/>
    <n v="5"/>
    <x v="26"/>
    <n v="32147380"/>
    <x v="28"/>
    <n v="32044733"/>
    <s v="BELMONTES MARTINEZ DAVID"/>
    <n v="14"/>
    <s v="CORONA"/>
    <s v="APOYO DE CHAMPION AMBIENTAL "/>
  </r>
  <r>
    <x v="1"/>
    <n v="5"/>
    <x v="26"/>
    <n v="32147380"/>
    <x v="28"/>
    <n v="32143289"/>
    <s v="GARZA CARDENAS ROLANDO"/>
    <n v="14"/>
    <s v="CORONA"/>
    <s v="CHAMPION MANTENIMIENTO "/>
  </r>
  <r>
    <x v="1"/>
    <n v="5"/>
    <x v="26"/>
    <n v="32147380"/>
    <x v="28"/>
    <n v="32149610"/>
    <s v="MONTOYA CANDELAS MIGUEL ANGEL"/>
    <n v="14"/>
    <s v="CORONA"/>
    <s v="APOYO DE CHAMPION MANTENIMIENTO "/>
  </r>
  <r>
    <x v="1"/>
    <n v="5"/>
    <x v="26"/>
    <n v="32147380"/>
    <x v="28"/>
    <n v="32067364"/>
    <s v="MACIAS RUIZ JORGE LUIS"/>
    <n v="14"/>
    <s v="CORONA"/>
    <s v="CHAMPION DE LOGISTICA"/>
  </r>
  <r>
    <x v="1"/>
    <n v="5"/>
    <x v="26"/>
    <n v="32147380"/>
    <x v="28"/>
    <n v="32143307"/>
    <s v="GUERRERO HERRERA JORGE LUIS"/>
    <n v="14"/>
    <s v="CORONA"/>
    <s v="APOYO DE CHAMPION DE LOGISTICA "/>
  </r>
  <r>
    <x v="6"/>
    <m/>
    <x v="27"/>
    <n v="32043787"/>
    <x v="29"/>
    <n v="32045514"/>
    <s v="ERNESTO FERNANDEZ ROMERO"/>
    <n v="5"/>
    <s v="RAYOS S.G."/>
    <s v="AMBIENTAL"/>
  </r>
  <r>
    <x v="6"/>
    <m/>
    <x v="27"/>
    <n v="32043787"/>
    <x v="29"/>
    <n v="32043632"/>
    <s v="JUAN MANUEL DE SANTIAGO ROSALES"/>
    <n v="5"/>
    <s v="RAYOS S.G."/>
    <s v="AMBIENTAL"/>
  </r>
  <r>
    <x v="6"/>
    <m/>
    <x v="27"/>
    <n v="32043787"/>
    <x v="29"/>
    <n v="32043734"/>
    <s v="LEONARDO MUÑOZ VEGA"/>
    <n v="5"/>
    <s v="RAYOS S.G."/>
    <s v="SEGURIDAD"/>
  </r>
  <r>
    <x v="6"/>
    <m/>
    <x v="27"/>
    <n v="32043787"/>
    <x v="29"/>
    <n v="32044566"/>
    <s v="LUIS MARTINEZ TORIBIO"/>
    <n v="5"/>
    <s v="RAYOS S.G."/>
    <s v="GESTION"/>
  </r>
  <r>
    <x v="6"/>
    <m/>
    <x v="27"/>
    <n v="32043787"/>
    <x v="29"/>
    <n v="32197868"/>
    <s v="DANIEL SILVA RAMIREZ"/>
    <n v="5"/>
    <s v="RAYOS S.G."/>
    <s v="GENTE"/>
  </r>
  <r>
    <x v="5"/>
    <s v="Mixto"/>
    <x v="24"/>
    <n v="32146683"/>
    <x v="27"/>
    <n v="32197835"/>
    <s v="MARIO ALBERTO REYES HERNANDEZ"/>
    <n v="7"/>
    <s v="LOS BRAVOS DEL FRIO"/>
    <s v="MANTENIMIENTO"/>
  </r>
  <r>
    <x v="5"/>
    <s v="Mixto"/>
    <x v="24"/>
    <n v="32146683"/>
    <x v="27"/>
    <n v="32188117"/>
    <s v="MIGUEL ANGEL NAVARRO ESCOBEDO"/>
    <n v="7"/>
    <s v="LOS BRAVOS DEL FRIO"/>
    <s v="GESTIÓN"/>
  </r>
  <r>
    <x v="5"/>
    <s v="Mixto"/>
    <x v="24"/>
    <n v="32146683"/>
    <x v="27"/>
    <n v="32209921"/>
    <s v="Oscar Eduardo Valdez Muñoz"/>
    <n v="7"/>
    <s v="LOS BRAVOS DEL FRIO"/>
    <s v="AMBIENTAL"/>
  </r>
  <r>
    <x v="6"/>
    <m/>
    <x v="28"/>
    <n v="32045492"/>
    <x v="30"/>
    <n v="32044309"/>
    <s v="ARMANDO RODRIGUEZ MARTINEZ"/>
    <n v="13"/>
    <s v="TAU EXPERT MAZ"/>
    <s v="SEGURIDAD"/>
  </r>
  <r>
    <x v="6"/>
    <m/>
    <x v="28"/>
    <n v="32045492"/>
    <x v="30"/>
    <n v="32045857"/>
    <s v="FELIPE DE JESUS MEDINA MARTINEZ"/>
    <n v="13"/>
    <s v="TAU EXPERT MAZ"/>
    <s v="CALIDAD"/>
  </r>
  <r>
    <x v="6"/>
    <m/>
    <x v="28"/>
    <n v="32045492"/>
    <x v="30"/>
    <n v="32132187"/>
    <s v="JUAN ALONSO MALDONADO RODRIGUEZ"/>
    <n v="13"/>
    <s v="TAU EXPERT MAZ"/>
    <s v="CALIDAD"/>
  </r>
  <r>
    <x v="6"/>
    <m/>
    <x v="28"/>
    <n v="32045492"/>
    <x v="30"/>
    <n v="32045442"/>
    <s v="PABLO LUNA MARTINEZ"/>
    <n v="13"/>
    <s v="TAU EXPERT MAZ"/>
    <s v="GENTE"/>
  </r>
  <r>
    <x v="1"/>
    <s v="MIXTO 11-12"/>
    <x v="29"/>
    <n v="32096563"/>
    <x v="31"/>
    <n v="32067361"/>
    <s v="LORENZO CRUZ RODRIGUEZ"/>
    <n v="14"/>
    <s v="THE GOLDEN BOY'S"/>
    <s v="CHAMPION DE GESTION"/>
  </r>
  <r>
    <x v="1"/>
    <s v="MIXTO 11-12"/>
    <x v="29"/>
    <n v="32096563"/>
    <x v="31"/>
    <n v="32044841"/>
    <s v="HECTOR GONZALEZ MACIEL"/>
    <n v="14"/>
    <s v="THE GOLDEN BOY'S"/>
    <s v="APOYO DE GESTION"/>
  </r>
  <r>
    <x v="1"/>
    <s v="MIXTO 11-12"/>
    <x v="29"/>
    <n v="32096563"/>
    <x v="31"/>
    <n v="32045850"/>
    <s v="ARELLANO CONTRERAS JOSE PABLO"/>
    <n v="14"/>
    <s v="THE GOLDEN BOY'S"/>
    <s v="CHAMPION SEGURIDAD "/>
  </r>
  <r>
    <x v="1"/>
    <s v="MIXTO 11-12"/>
    <x v="29"/>
    <n v="32096563"/>
    <x v="31"/>
    <n v="32131834"/>
    <s v="ARMANDO GONZALEZ SANCHEZ"/>
    <n v="14"/>
    <s v="THE GOLDEN BOY'S"/>
    <s v="APOYO SEGURIDAD "/>
  </r>
  <r>
    <x v="1"/>
    <s v="MIXTO 11-12"/>
    <x v="29"/>
    <n v="32096563"/>
    <x v="31"/>
    <n v="32143627"/>
    <s v="GONZALEZ ROBLES JOSE MANUEL"/>
    <n v="14"/>
    <s v="THE GOLDEN BOY'S"/>
    <s v="CHAMPION MANTENIMIENTO"/>
  </r>
  <r>
    <x v="1"/>
    <s v="MIXTO 11-12"/>
    <x v="29"/>
    <n v="32096563"/>
    <x v="31"/>
    <n v="32142771"/>
    <s v="CRUZ LUNA BERNARDINO"/>
    <n v="14"/>
    <s v="THE GOLDEN BOY'S"/>
    <s v="CHAMPION  CALIDAD"/>
  </r>
  <r>
    <x v="1"/>
    <s v="MIXTO 11-12"/>
    <x v="29"/>
    <n v="32096563"/>
    <x v="31"/>
    <n v="32132594"/>
    <s v="GONZALEZ BARRERA OSCAR EDUARDO"/>
    <n v="14"/>
    <s v="THE GOLDEN BOY'S"/>
    <s v="APOYO CALIDAD"/>
  </r>
  <r>
    <x v="1"/>
    <s v="MIXTO 11-12"/>
    <x v="29"/>
    <n v="32096563"/>
    <x v="31"/>
    <n v="32107143"/>
    <s v="RAMIREZ HERNANDEZ JOSE MANUEL"/>
    <n v="14"/>
    <s v="THE GOLDEN BOY'S"/>
    <s v="CHAMPION GENTE"/>
  </r>
  <r>
    <x v="1"/>
    <s v="MIXTO 11-12"/>
    <x v="29"/>
    <n v="32096563"/>
    <x v="31"/>
    <n v="32178729"/>
    <s v="MANUEL ALEJANDRO HUERTA NUÑEZ"/>
    <n v="14"/>
    <s v="THE GOLDEN BOY'S"/>
    <s v="APOYO GENTE"/>
  </r>
  <r>
    <x v="1"/>
    <s v="MIXTO 11-12"/>
    <x v="29"/>
    <n v="32096563"/>
    <x v="31"/>
    <n v="32046145"/>
    <s v="FERNANDEZ MEDRANO FIDEL"/>
    <n v="14"/>
    <s v="THE GOLDEN BOY'S"/>
    <s v="CHAMPION AMBIENTAL"/>
  </r>
  <r>
    <x v="1"/>
    <s v="MIXTO 11-12"/>
    <x v="29"/>
    <n v="32096563"/>
    <x v="31"/>
    <n v="32188121"/>
    <s v="JUAN ALAMILLO MONTES"/>
    <n v="14"/>
    <s v="THE GOLDEN BOY'S"/>
    <s v="APOYO DE GESTION"/>
  </r>
  <r>
    <x v="1"/>
    <s v="MIXTO 11-12"/>
    <x v="29"/>
    <n v="32096563"/>
    <x v="31"/>
    <n v="32046218"/>
    <s v="GONZALEZ MEZA ADELAIDO"/>
    <n v="14"/>
    <s v="THE GOLDEN BOY'S"/>
    <s v="APOYO AMBIENTAL"/>
  </r>
  <r>
    <x v="1"/>
    <s v="MIXTO 11-12"/>
    <x v="29"/>
    <n v="32096563"/>
    <x v="31"/>
    <n v="32061469"/>
    <s v="LICERIO MONTOYA GUILLERMO"/>
    <n v="14"/>
    <s v="THE GOLDEN BOY'S"/>
    <s v="CHAMPION  LOGISTICA"/>
  </r>
  <r>
    <x v="1"/>
    <s v="MIXTO 11-12"/>
    <x v="29"/>
    <n v="32096563"/>
    <x v="31"/>
    <n v="32045954"/>
    <s v="LUIS FERNANDO HERNANDEZ HERNANDEZ"/>
    <n v="14"/>
    <s v="THE GOLDEN BOY'S"/>
    <s v="APOYO LOGISTICA"/>
  </r>
  <r>
    <x v="1"/>
    <s v="MIXTO 9-10"/>
    <x v="30"/>
    <n v="32096563"/>
    <x v="31"/>
    <n v="32046029"/>
    <s v="JUAN RODRIGUEZ LOPEZ"/>
    <n v="13"/>
    <s v="LOS MAÑANEROS"/>
    <s v="CHAMPION DE GESTION"/>
  </r>
  <r>
    <x v="1"/>
    <s v="MIXTO 9-10"/>
    <x v="30"/>
    <n v="32096563"/>
    <x v="31"/>
    <n v="32186046"/>
    <s v="SANCHEZ DE LA TORRE JOJANNSE"/>
    <n v="13"/>
    <s v="LOS MAÑANEROS"/>
    <s v="APOYO DE GESTION"/>
  </r>
  <r>
    <x v="1"/>
    <s v="MIXTO 9-10"/>
    <x v="30"/>
    <n v="32096563"/>
    <x v="31"/>
    <n v="32131812"/>
    <s v="DIEGO ZAVALA MARTINEZ"/>
    <n v="13"/>
    <s v="LOS MAÑANEROS"/>
    <s v="CHAMPION SEGURIDAD "/>
  </r>
  <r>
    <x v="1"/>
    <s v="MIXTO 9-10"/>
    <x v="30"/>
    <n v="32096563"/>
    <x v="31"/>
    <n v="32046591"/>
    <s v="FELIX DELGADO ARTURO"/>
    <n v="13"/>
    <s v="LOS MAÑANEROS"/>
    <s v="APOYO SEGURIDAD "/>
  </r>
  <r>
    <x v="1"/>
    <s v="MIXTO 9-10"/>
    <x v="30"/>
    <n v="32096563"/>
    <x v="31"/>
    <n v="32046503"/>
    <s v="ARMANDO LOPEZ ALMANZA"/>
    <n v="13"/>
    <s v="LOS MAÑANEROS"/>
    <s v="CHAMPION MANTENIMIENTO"/>
  </r>
  <r>
    <x v="1"/>
    <s v="MIXTO 9-10"/>
    <x v="30"/>
    <n v="32096563"/>
    <x v="31"/>
    <n v="32132599"/>
    <s v="JAVIER ORTIZ DE LA CRUZ "/>
    <n v="13"/>
    <s v="LOS MAÑANEROS"/>
    <s v="CHAMPION  CALIDAD"/>
  </r>
  <r>
    <x v="1"/>
    <s v="MIXTO 9-10"/>
    <x v="30"/>
    <n v="32096563"/>
    <x v="31"/>
    <n v="32046387"/>
    <s v="RODOLFO VILLELA MARTINEZ"/>
    <n v="13"/>
    <s v="LOS MAÑANEROS"/>
    <s v="APOYO CALIDAD"/>
  </r>
  <r>
    <x v="1"/>
    <s v="MIXTO 9-10"/>
    <x v="30"/>
    <n v="32096563"/>
    <x v="31"/>
    <n v="32046310"/>
    <s v="RICARDO SEGURA ESCOBEDO"/>
    <n v="13"/>
    <s v="LOS MAÑANEROS"/>
    <s v="CHAMPION GENTE"/>
  </r>
  <r>
    <x v="1"/>
    <s v="MIXTO 9-10"/>
    <x v="30"/>
    <n v="32096563"/>
    <x v="31"/>
    <n v="32046154"/>
    <s v="LUIS FERNANDEZ MACIAS"/>
    <n v="13"/>
    <s v="LOS MAÑANEROS"/>
    <s v="APOYO GENTE"/>
  </r>
  <r>
    <x v="1"/>
    <s v="MIXTO 9-10"/>
    <x v="30"/>
    <n v="32096563"/>
    <x v="31"/>
    <n v="32046348"/>
    <s v="JORGE LUIS AGUILAR JARA"/>
    <n v="13"/>
    <s v="LOS MAÑANEROS"/>
    <s v="CHAMPION AMBIENTAL"/>
  </r>
  <r>
    <x v="1"/>
    <s v="MIXTO 9-10"/>
    <x v="30"/>
    <n v="32096563"/>
    <x v="31"/>
    <n v="32188010"/>
    <s v="LUIS ERNESTO MORALES TOVAR"/>
    <n v="13"/>
    <s v="LOS MAÑANEROS"/>
    <s v="APOYO AMBIENTAL"/>
  </r>
  <r>
    <x v="1"/>
    <s v="MIXTO 9-10"/>
    <x v="30"/>
    <n v="32096563"/>
    <x v="31"/>
    <n v="32149071"/>
    <s v="JORGE LUIS SALAZAR HINOJOSA"/>
    <n v="13"/>
    <s v="LOS MAÑANEROS"/>
    <s v="CHAMPION  LOGISTICA"/>
  </r>
  <r>
    <x v="1"/>
    <s v="MIXTO 9-10"/>
    <x v="30"/>
    <n v="32096563"/>
    <x v="31"/>
    <n v="32045984"/>
    <s v="HERNANDEZ ROSALES SIMON"/>
    <n v="13"/>
    <s v="LOS MAÑANEROS"/>
    <s v="APOYO LOGISTICA"/>
  </r>
  <r>
    <x v="6"/>
    <m/>
    <x v="31"/>
    <n v="32068609"/>
    <x v="32"/>
    <n v="32045880"/>
    <s v="ALDO FLORES DIAZ DE LEON"/>
    <n v="8"/>
    <s v="LOS PICHONES"/>
    <s v="AMBIENTAL"/>
  </r>
  <r>
    <x v="6"/>
    <m/>
    <x v="31"/>
    <n v="32068609"/>
    <x v="32"/>
    <n v="32044303"/>
    <s v="GUILLERMO SAUCEDO MARTINEZ"/>
    <n v="8"/>
    <s v="LOS PICHONES"/>
    <s v="CALIDAD"/>
  </r>
  <r>
    <x v="6"/>
    <m/>
    <x v="31"/>
    <n v="32068609"/>
    <x v="32"/>
    <n v="32044888"/>
    <s v="HECTOR DANIEL ESPINOZA LOPEZ"/>
    <n v="8"/>
    <s v="LOS PICHONES"/>
    <s v="SEGURIDAD"/>
  </r>
  <r>
    <x v="6"/>
    <m/>
    <x v="31"/>
    <n v="32068609"/>
    <x v="32"/>
    <n v="32045864"/>
    <s v="JORGE LUIS ROBLES MEDINA"/>
    <n v="8"/>
    <s v="LOS PICHONES"/>
    <s v="AMBIENTAL"/>
  </r>
  <r>
    <x v="6"/>
    <m/>
    <x v="31"/>
    <n v="32043640"/>
    <x v="32"/>
    <n v="32044204"/>
    <s v="JOSE EDGAR ALEJANDRO HERNANDEZ RODRIGUEZ"/>
    <n v="8"/>
    <s v="LOS PICHONES"/>
    <s v="GESTION"/>
  </r>
  <r>
    <x v="6"/>
    <m/>
    <x v="31"/>
    <n v="32043640"/>
    <x v="32"/>
    <n v="32043851"/>
    <s v="JOSE LUIS SANCHEZ GONZALEZ"/>
    <n v="8"/>
    <s v="LOS PICHONES"/>
    <s v="LOGISTICA"/>
  </r>
  <r>
    <x v="6"/>
    <m/>
    <x v="31"/>
    <n v="32043640"/>
    <x v="32"/>
    <n v="32044433"/>
    <s v="MANUEL SILVA SAUCEDO"/>
    <n v="8"/>
    <s v="LOS PICHONES"/>
    <s v="GENTE"/>
  </r>
  <r>
    <x v="6"/>
    <m/>
    <x v="31"/>
    <n v="32043640"/>
    <x v="32"/>
    <n v="32044273"/>
    <s v="ROBERTO RAMIREZ MARQUEZ"/>
    <n v="8"/>
    <s v="LOS PICHONES"/>
    <s v="MANTENIMIENTO"/>
  </r>
  <r>
    <x v="7"/>
    <m/>
    <x v="32"/>
    <n v="32174889"/>
    <x v="33"/>
    <n v="32043796"/>
    <s v="JUAN RAMON JIMENEZ DELGADO"/>
    <n v="7"/>
    <s v="LOS CAZADORES DEL AMARGOR"/>
    <s v="MANTENIMIENTO"/>
  </r>
  <r>
    <x v="7"/>
    <m/>
    <x v="32"/>
    <n v="32174889"/>
    <x v="33"/>
    <n v="32044838"/>
    <s v="J MARIO TRUJILLO MEZA"/>
    <n v="7"/>
    <s v="LOS CAZADORES DEL AMARGOR"/>
    <s v="AMBIENTAL"/>
  </r>
  <r>
    <x v="7"/>
    <m/>
    <x v="32"/>
    <n v="32174889"/>
    <x v="33"/>
    <n v="32197423"/>
    <s v="URIEL ESCOBEDO MURO"/>
    <n v="7"/>
    <s v="LOS CAZADORES DEL AMARGOR"/>
    <s v="GESTION"/>
  </r>
  <r>
    <x v="7"/>
    <m/>
    <x v="32"/>
    <n v="32174889"/>
    <x v="33"/>
    <n v="32150658"/>
    <s v="JESUS MANUEL MONTOYA MAURICIO"/>
    <n v="7"/>
    <s v="LOS CAZADORES DEL AMARGOR"/>
    <s v="SEGURIDAD"/>
  </r>
  <r>
    <x v="7"/>
    <m/>
    <x v="32"/>
    <n v="32174889"/>
    <x v="33"/>
    <n v="32173445"/>
    <s v="JOSE LUIS CAZARES PINALES"/>
    <n v="7"/>
    <s v="LOS CAZADORES DEL AMARGOR"/>
    <s v="CALIDAD"/>
  </r>
  <r>
    <x v="5"/>
    <s v="Mixto"/>
    <x v="24"/>
    <n v="32146683"/>
    <x v="27"/>
    <n v="32149238"/>
    <s v="OSWALDO DELGADILLO GONZALEZ"/>
    <n v="7"/>
    <s v="LOS BRAVOS DEL FRIO"/>
    <s v="LOGISTICA"/>
  </r>
  <r>
    <x v="7"/>
    <m/>
    <x v="32"/>
    <n v="32174889"/>
    <x v="33"/>
    <n v="32213336"/>
    <s v="JOSE LUIS DIAZ CASAS"/>
    <n v="7"/>
    <s v="LOS CAZADORES DEL AMARGOR"/>
    <s v="LOGISTICA"/>
  </r>
  <r>
    <x v="4"/>
    <s v="NACIONAL "/>
    <x v="33"/>
    <n v="32217868"/>
    <x v="34"/>
    <n v="32044576"/>
    <s v="JOSE ALFREDO GONZALEZ BENITEZ"/>
    <n v="14"/>
    <s v="Nortecarguistas"/>
    <s v="MEDIO AMBIENTE"/>
  </r>
  <r>
    <x v="4"/>
    <s v="NACIONAL "/>
    <x v="33"/>
    <n v="32217868"/>
    <x v="34"/>
    <n v="32045005"/>
    <s v="ANTONIO RAMIREZ PALACIOS"/>
    <n v="14"/>
    <s v="Nortecarguistas"/>
    <s v="GESTIÓN"/>
  </r>
  <r>
    <x v="4"/>
    <s v="NACIONAL "/>
    <x v="33"/>
    <n v="32217868"/>
    <x v="34"/>
    <n v="32045671"/>
    <s v="REYNALDO RAMIREZ GUAJARDO"/>
    <n v="14"/>
    <s v="Nortecarguistas"/>
    <s v="LOGÍSTICA"/>
  </r>
  <r>
    <x v="4"/>
    <s v="NACIONAL "/>
    <x v="33"/>
    <n v="32217868"/>
    <x v="34"/>
    <n v="32046191"/>
    <s v=" LORENZO RODRIGUEZ ARANDA"/>
    <n v="14"/>
    <s v="Nortecarguistas"/>
    <s v="PEOPLE"/>
  </r>
  <r>
    <x v="4"/>
    <s v="NACIONAL "/>
    <x v="33"/>
    <n v="32217868"/>
    <x v="34"/>
    <n v="32046444"/>
    <s v=" LUIS FERNANDO DOMINGUEZ RAMIREZ"/>
    <n v="14"/>
    <s v="Nortecarguistas"/>
    <s v="MANTENIMIENTO"/>
  </r>
  <r>
    <x v="4"/>
    <s v="NACIONAL "/>
    <x v="33"/>
    <n v="32217868"/>
    <x v="34"/>
    <n v="32064019"/>
    <s v="MANUEL DE JESUS URIBE GARCIA"/>
    <n v="14"/>
    <s v="Nortecarguistas"/>
    <s v="PEOPLE"/>
  </r>
  <r>
    <x v="4"/>
    <s v="NACIONAL "/>
    <x v="33"/>
    <n v="32217868"/>
    <x v="34"/>
    <n v="32178732"/>
    <s v=" ARTURO DAVILA LOPEZ"/>
    <n v="14"/>
    <s v="Nortecarguistas"/>
    <s v="SEGURIDAD"/>
  </r>
  <r>
    <x v="4"/>
    <s v="NACIONAL "/>
    <x v="33"/>
    <n v="32217868"/>
    <x v="34"/>
    <n v="32178738"/>
    <s v="DIEGO FERNANDO DAVILA LOPEZ"/>
    <n v="14"/>
    <s v="Nortecarguistas"/>
    <s v="SEGURIDAD"/>
  </r>
  <r>
    <x v="4"/>
    <s v="NACIONAL "/>
    <x v="33"/>
    <n v="32217868"/>
    <x v="34"/>
    <n v="32187874"/>
    <s v="JUAN DANIEL RODRIGUEZ SALAZAR"/>
    <n v="14"/>
    <s v="Nortecarguistas"/>
    <s v="GESTIÓN"/>
  </r>
  <r>
    <x v="4"/>
    <s v="NACIONAL "/>
    <x v="33"/>
    <n v="32217868"/>
    <x v="34"/>
    <n v="32187877"/>
    <s v=" LEONARDO DANIEL VILLAGRANA DOMINGUEZ"/>
    <n v="14"/>
    <s v="Nortecarguistas"/>
    <s v="CALIDAD"/>
  </r>
  <r>
    <x v="0"/>
    <s v="ENV 2"/>
    <x v="20"/>
    <n v="32172669"/>
    <x v="23"/>
    <n v="32045843"/>
    <s v="Raúl Aguilar De León"/>
    <n v="12"/>
    <s v="ESPECIALISTAS"/>
    <s v="APOYO MANTENIMIENTO"/>
  </r>
  <r>
    <x v="0"/>
    <s v="ENV 2"/>
    <x v="20"/>
    <n v="32172669"/>
    <x v="23"/>
    <n v="32072205"/>
    <s v="Ochoa Avalos Leobardo"/>
    <n v="12"/>
    <s v="ESPECIALISTAS"/>
    <s v="APOYO SEGURIDAD"/>
  </r>
  <r>
    <x v="0"/>
    <s v="ENV 2"/>
    <x v="20"/>
    <n v="32172669"/>
    <x v="23"/>
    <n v="32149265"/>
    <s v="Jesus Abraham Perez Bueno "/>
    <n v="12"/>
    <s v="ESPECIALISTAS"/>
    <s v="CALIDAD"/>
  </r>
  <r>
    <x v="1"/>
    <n v="1"/>
    <x v="34"/>
    <n v="32146001"/>
    <x v="35"/>
    <n v="32046520"/>
    <s v="VILLARREAL TORRES JOSE ALBERTO"/>
    <n v="6"/>
    <s v="MAPACHES"/>
    <s v="Champion Ambiental"/>
  </r>
  <r>
    <x v="1"/>
    <n v="1"/>
    <x v="34"/>
    <n v="32146001"/>
    <x v="35"/>
    <n v="32046582"/>
    <s v="FEMAT RAMIREZ LUIS DANIEL"/>
    <n v="6"/>
    <s v="MAPACHES"/>
    <s v="Champion Gestión"/>
  </r>
  <r>
    <x v="1"/>
    <n v="1"/>
    <x v="34"/>
    <n v="32146001"/>
    <x v="35"/>
    <n v="32044863"/>
    <s v="MANUEL CERVANTES MAGDALENO"/>
    <n v="6"/>
    <s v="MAPACHES"/>
    <s v="Champion Calidad"/>
  </r>
  <r>
    <x v="1"/>
    <n v="1"/>
    <x v="34"/>
    <n v="32146001"/>
    <x v="35"/>
    <n v="32045229"/>
    <s v="DIAZ MORENO RAMIRO"/>
    <n v="6"/>
    <s v="MAPACHES"/>
    <s v="Champion GENTE"/>
  </r>
  <r>
    <x v="1"/>
    <n v="1"/>
    <x v="34"/>
    <n v="32146001"/>
    <x v="35"/>
    <n v="32151053"/>
    <s v="JULIO ADRIAN MONTOYA CANDELAS"/>
    <n v="6"/>
    <s v="MAPACHES"/>
    <s v="Champion Seguridad"/>
  </r>
  <r>
    <x v="1"/>
    <n v="1"/>
    <x v="34"/>
    <n v="32146001"/>
    <x v="35"/>
    <n v="32132064"/>
    <s v="DAVID ISMAEL TORRES"/>
    <n v="6"/>
    <s v="MAPACHES"/>
    <s v="Champion Mantenimiento"/>
  </r>
  <r>
    <x v="1"/>
    <n v="2"/>
    <x v="35"/>
    <n v="32146001"/>
    <x v="35"/>
    <n v="32046293"/>
    <s v="CARRILLO ESCAREÑO IGNACIO"/>
    <n v="6"/>
    <s v="CAPRICHOS"/>
    <s v="Champion Ambiental"/>
  </r>
  <r>
    <x v="1"/>
    <n v="2"/>
    <x v="35"/>
    <n v="32146001"/>
    <x v="35"/>
    <n v="32046313"/>
    <s v="JACOBO ARTEAGA JAIME NOEL"/>
    <n v="6"/>
    <s v="CAPRICHOS"/>
    <s v="Champion Gestión"/>
  </r>
  <r>
    <x v="1"/>
    <n v="2"/>
    <x v="35"/>
    <n v="32146001"/>
    <x v="35"/>
    <n v="32060923"/>
    <s v="CHAVEZ RUELAS HILARIO"/>
    <n v="6"/>
    <s v="CAPRICHOS"/>
    <s v="Champion Mantenimiento"/>
  </r>
  <r>
    <x v="1"/>
    <n v="2"/>
    <x v="35"/>
    <n v="32146001"/>
    <x v="35"/>
    <n v="32044001"/>
    <s v="PACHECO SANTACRUZ URIEL"/>
    <n v="6"/>
    <s v="CAPRICHOS"/>
    <s v="Champion Calidad"/>
  </r>
  <r>
    <x v="1"/>
    <n v="2"/>
    <x v="35"/>
    <n v="32146001"/>
    <x v="35"/>
    <n v="32198288"/>
    <s v="JOSE MARIA CASTILLO CORONA"/>
    <n v="6"/>
    <s v="CAPRICHOS"/>
    <s v="Champion Gente"/>
  </r>
  <r>
    <x v="1"/>
    <n v="2"/>
    <x v="35"/>
    <n v="32146001"/>
    <x v="35"/>
    <n v="32046028"/>
    <s v="GARCIA GONZALEZ MANUEL"/>
    <n v="6"/>
    <s v="CAPRICHOS"/>
    <s v="Champion Seguridad"/>
  </r>
  <r>
    <x v="6"/>
    <m/>
    <x v="36"/>
    <n v="32043852"/>
    <x v="36"/>
    <n v="32045787"/>
    <s v="DAVID ALBERTO CASAS ESQUIVEL"/>
    <n v="7"/>
    <s v="AGUILAS DE ATAQUE"/>
    <s v="SEGURIDAD"/>
  </r>
  <r>
    <x v="6"/>
    <m/>
    <x v="36"/>
    <n v="32043852"/>
    <x v="36"/>
    <n v="32043740"/>
    <s v="JOSE LUIS JARA ALVARADO"/>
    <n v="7"/>
    <s v="AGUILAS DE ATAQUE"/>
    <s v="GESTION"/>
  </r>
  <r>
    <x v="6"/>
    <m/>
    <x v="36"/>
    <n v="32043852"/>
    <x v="36"/>
    <n v="32043636"/>
    <s v="JOSE CRUZ TAPIA ORTIZ"/>
    <n v="7"/>
    <s v="AGUILAS DE ATAQUE"/>
    <s v="AMBIENTAL"/>
  </r>
  <r>
    <x v="6"/>
    <m/>
    <x v="36"/>
    <n v="32043852"/>
    <x v="36"/>
    <n v="32043806"/>
    <s v="DAVID ESPARZA BORJON"/>
    <n v="7"/>
    <s v="AGUILAS DE ATAQUE"/>
    <s v="CALIDAD"/>
  </r>
  <r>
    <x v="6"/>
    <m/>
    <x v="36"/>
    <n v="32043852"/>
    <x v="36"/>
    <n v="32045126"/>
    <s v="JOSE BONIEK NAVA MOLINA"/>
    <n v="7"/>
    <s v="AGUILAS DE ATAQUE"/>
    <s v="MANTENIMIENTO"/>
  </r>
  <r>
    <x v="6"/>
    <m/>
    <x v="36"/>
    <n v="32043852"/>
    <x v="36"/>
    <n v="32044318"/>
    <s v="SILVESTRE SANCHEZ MARTINEZ"/>
    <n v="7"/>
    <s v="AGUILAS DE ATAQUE"/>
    <s v="GENTE"/>
  </r>
  <r>
    <x v="6"/>
    <m/>
    <x v="36"/>
    <n v="32043852"/>
    <x v="36"/>
    <n v="32045104"/>
    <s v="VICTOR HUGO DE LA ROSA GARCIA"/>
    <n v="7"/>
    <s v="AGUILAS DE ATAQUE"/>
    <s v="AMBIENTAL"/>
  </r>
  <r>
    <x v="1"/>
    <n v="6"/>
    <x v="37"/>
    <n v="32096431"/>
    <x v="37"/>
    <n v="32044622"/>
    <s v="ALVARO ALVARADO PACHECO"/>
    <n v="16"/>
    <s v="LOS INTOCABLES"/>
    <s v="CHAMPION GESTION"/>
  </r>
  <r>
    <x v="1"/>
    <n v="6"/>
    <x v="37"/>
    <n v="32096431"/>
    <x v="37"/>
    <n v="32058093"/>
    <s v="JOSE DE JESUS LLAMAS CASTILLO"/>
    <n v="16"/>
    <s v="LOS INTOCABLES"/>
    <s v="APOYO GESTION"/>
  </r>
  <r>
    <x v="1"/>
    <n v="6"/>
    <x v="37"/>
    <n v="32096431"/>
    <x v="37"/>
    <n v="32043943"/>
    <s v="JOSE ANTONIO VELAZQUEZ GRACIA"/>
    <n v="16"/>
    <s v="LOS INTOCABLES"/>
    <s v="APOYO MANTENIMIENTO"/>
  </r>
  <r>
    <x v="1"/>
    <n v="6"/>
    <x v="37"/>
    <n v="32096431"/>
    <x v="37"/>
    <n v="32067156"/>
    <s v="JUAN CARLOS ROJAS PADILLA"/>
    <n v="16"/>
    <s v="LOS INTOCABLES"/>
    <s v="CHAMPION DE SEGURIDAD"/>
  </r>
  <r>
    <x v="1"/>
    <n v="6"/>
    <x v="37"/>
    <n v="32096431"/>
    <x v="37"/>
    <n v="32067180"/>
    <s v="SIGY ALFREDO LOPEZ LOPEZ"/>
    <n v="16"/>
    <s v="LOS INTOCABLES"/>
    <s v="APOYO GENTE"/>
  </r>
  <r>
    <x v="1"/>
    <n v="6"/>
    <x v="37"/>
    <n v="32096431"/>
    <x v="37"/>
    <n v="32044745"/>
    <s v="GUSTAVO VALENCIA AVALOS"/>
    <n v="16"/>
    <s v="LOS INTOCABLES"/>
    <s v="CHAMPION CALIDAD"/>
  </r>
  <r>
    <x v="1"/>
    <n v="6"/>
    <x v="37"/>
    <n v="32096431"/>
    <x v="37"/>
    <n v="32045623"/>
    <s v="MIGUEL OCHA MARTEL"/>
    <n v="16"/>
    <s v="LOS INTOCABLES"/>
    <s v="APOYO LOGISTICA"/>
  </r>
  <r>
    <x v="1"/>
    <n v="6"/>
    <x v="37"/>
    <n v="32096431"/>
    <x v="37"/>
    <n v="32155905"/>
    <s v="RICARDO LUNA RODRIGUEZ"/>
    <n v="16"/>
    <s v="LOS INTOCABLES"/>
    <s v="CHAMPION AMBIENTAL"/>
  </r>
  <r>
    <x v="1"/>
    <n v="6"/>
    <x v="37"/>
    <n v="32096431"/>
    <x v="37"/>
    <n v="32044710"/>
    <s v="OSCAR ANTONIO FELIX DELGADO"/>
    <n v="16"/>
    <s v="LOS INTOCABLES"/>
    <s v="CHAMPION MANTENIMIENTO"/>
  </r>
  <r>
    <x v="1"/>
    <n v="6"/>
    <x v="37"/>
    <n v="32096431"/>
    <x v="37"/>
    <n v="32044703"/>
    <s v="RAYMUNDO VAZQUEZ SANDOVAL"/>
    <n v="16"/>
    <s v="LOS INTOCABLES"/>
    <s v="CHAMPIONS LOGISTICA"/>
  </r>
  <r>
    <x v="1"/>
    <n v="6"/>
    <x v="37"/>
    <n v="32096431"/>
    <x v="37"/>
    <n v="32132588"/>
    <s v="LUIS IVAN VALDEZ AGUILAR"/>
    <n v="16"/>
    <s v="LOS INTOCABLES"/>
    <s v="CHAMPIONS GENTE"/>
  </r>
  <r>
    <x v="1"/>
    <n v="6"/>
    <x v="37"/>
    <n v="32096431"/>
    <x v="37"/>
    <n v="32044354"/>
    <s v="SEFERINO MACIAS MENDOZA"/>
    <n v="16"/>
    <s v="LOS INTOCABLES"/>
    <s v="APOYO GESTION"/>
  </r>
  <r>
    <x v="1"/>
    <n v="6"/>
    <x v="37"/>
    <n v="32096431"/>
    <x v="37"/>
    <n v="32171445"/>
    <s v="ALAN VILLELA GALLEGOS"/>
    <n v="16"/>
    <s v="LOS INTOCABLES"/>
    <s v="APOYO DE CALIDAD"/>
  </r>
  <r>
    <x v="1"/>
    <n v="6"/>
    <x v="37"/>
    <n v="32096431"/>
    <x v="37"/>
    <n v="32056899"/>
    <s v="JOSE MANUEL RIVERA ZAMORA"/>
    <n v="16"/>
    <s v="LOS INTOCABLES"/>
    <s v="APOYO AMBIENTAL"/>
  </r>
  <r>
    <x v="1"/>
    <n v="6"/>
    <x v="37"/>
    <n v="32096431"/>
    <x v="37"/>
    <n v="32045551"/>
    <s v="MIGUEL ANGEL DAVILA CHIHUAHUA"/>
    <n v="16"/>
    <s v="LOS INTOCABLES"/>
    <s v="APOYO DE SEGURIDAD"/>
  </r>
  <r>
    <x v="1"/>
    <n v="6"/>
    <x v="37"/>
    <n v="32096431"/>
    <x v="37"/>
    <n v="32044444"/>
    <s v="BENJAMIN LOPEZ ESPINOZA"/>
    <n v="16"/>
    <s v="LOS INTOCABLES"/>
    <s v="APOYO DE CALIDAD"/>
  </r>
  <r>
    <x v="1"/>
    <n v="7"/>
    <x v="38"/>
    <n v="32096431"/>
    <x v="37"/>
    <n v="32067174"/>
    <s v="DELGADO LEYVA RICARDO ARTURO"/>
    <n v="15"/>
    <s v="FAMILIAR 940"/>
    <s v="CHAMPION LOGISTICA"/>
  </r>
  <r>
    <x v="1"/>
    <n v="7"/>
    <x v="38"/>
    <n v="32096431"/>
    <x v="37"/>
    <n v="32044167"/>
    <s v="GRANO LOPEZ BERNARDO"/>
    <n v="15"/>
    <s v="FAMILIAR 940"/>
    <s v="APOYO GESTION"/>
  </r>
  <r>
    <x v="1"/>
    <n v="7"/>
    <x v="38"/>
    <n v="32096431"/>
    <x v="37"/>
    <n v="32145330"/>
    <s v="TISCAREÑO SANCHEZ ANDRES"/>
    <n v="15"/>
    <s v="FAMILIAR 940"/>
    <s v="APOYO MANTENIMIENTO"/>
  </r>
  <r>
    <x v="1"/>
    <n v="7"/>
    <x v="38"/>
    <n v="32096431"/>
    <x v="37"/>
    <n v="32046478"/>
    <s v="PALACIOS CASTRO DAVID"/>
    <n v="15"/>
    <s v="FAMILIAR 940"/>
    <s v="CHAMPION DE SEGURIDAD"/>
  </r>
  <r>
    <x v="1"/>
    <n v="7"/>
    <x v="38"/>
    <n v="32096431"/>
    <x v="37"/>
    <n v="32067183"/>
    <s v="HERNANDEZ ELICERIO SERGIO"/>
    <n v="15"/>
    <s v="FAMILIAR 940"/>
    <s v="APOYO ENGAGEMENT"/>
  </r>
  <r>
    <x v="1"/>
    <n v="7"/>
    <x v="38"/>
    <n v="32096431"/>
    <x v="37"/>
    <n v="32143691"/>
    <s v="RODARTE ALVARADO JOSE CARLOS"/>
    <n v="15"/>
    <s v="FAMILIAR 940"/>
    <s v="APOYO CALIDAD"/>
  </r>
  <r>
    <x v="1"/>
    <n v="7"/>
    <x v="38"/>
    <n v="32096431"/>
    <x v="37"/>
    <n v="32043978"/>
    <s v="PEREZ SAUCEDO CESAR"/>
    <n v="15"/>
    <s v="FAMILIAR 940"/>
    <s v="CHAMPION GESTION"/>
  </r>
  <r>
    <x v="1"/>
    <n v="7"/>
    <x v="38"/>
    <n v="32096431"/>
    <x v="37"/>
    <n v="32132056"/>
    <s v="SAUCEDO LOPEZ JUAN MANUEL"/>
    <n v="15"/>
    <s v="FAMILIAR 940"/>
    <s v="CHAMPION AMBIENTAL"/>
  </r>
  <r>
    <x v="1"/>
    <n v="7"/>
    <x v="38"/>
    <n v="32096431"/>
    <x v="37"/>
    <n v="32043889"/>
    <s v="RODRIGUEZ LOPEZ VICENTE"/>
    <n v="15"/>
    <s v="FAMILIAR 940"/>
    <s v="CHAMPION MANTENIMIENTO"/>
  </r>
  <r>
    <x v="1"/>
    <n v="7"/>
    <x v="38"/>
    <n v="32096431"/>
    <x v="37"/>
    <n v="32187989"/>
    <s v="VICTOR ALFONSO PALACIOS LOPEZ"/>
    <n v="15"/>
    <s v="FAMILIAR 940"/>
    <s v="CHAMPIONS LOGISTICA"/>
  </r>
  <r>
    <x v="1"/>
    <n v="7"/>
    <x v="38"/>
    <n v="32096431"/>
    <x v="37"/>
    <n v="32044169"/>
    <s v="PARRA DELGADO ROBERTO"/>
    <n v="15"/>
    <s v="FAMILIAR 940"/>
    <s v="CHAMPIONS ENGAMENT"/>
  </r>
  <r>
    <x v="1"/>
    <n v="7"/>
    <x v="38"/>
    <n v="32096431"/>
    <x v="37"/>
    <n v="32072429"/>
    <s v="GOYTIA CORDOVA JORGE"/>
    <n v="15"/>
    <s v="FAMILIAR 940"/>
    <s v="APOYO GESTION"/>
  </r>
  <r>
    <x v="1"/>
    <n v="7"/>
    <x v="38"/>
    <n v="32096431"/>
    <x v="37"/>
    <n v="32046401"/>
    <s v="CASAS GAMEZ JULIO CESAR"/>
    <n v="15"/>
    <s v="FAMILIAR 940"/>
    <s v="CHAMPION DE CALIDAD"/>
  </r>
  <r>
    <x v="1"/>
    <n v="7"/>
    <x v="38"/>
    <n v="32096431"/>
    <x v="37"/>
    <n v="32044074"/>
    <s v="CAZARES CASAS GUMARO"/>
    <n v="15"/>
    <s v="FAMILIAR 940"/>
    <s v="APOYO AMBIENTAL"/>
  </r>
  <r>
    <x v="1"/>
    <n v="7"/>
    <x v="38"/>
    <n v="32096431"/>
    <x v="37"/>
    <n v="32046414"/>
    <s v="ARELLANO CONTRERAS MAURICIO"/>
    <n v="15"/>
    <s v="FAMILIAR 940"/>
    <s v="APOYO DE SEGURIDAD"/>
  </r>
  <r>
    <x v="1"/>
    <n v="1"/>
    <x v="39"/>
    <n v="32148109"/>
    <x v="38"/>
    <n v="32046388"/>
    <s v="ROMAN SANCHEZ ARMANDO"/>
    <n v="6"/>
    <s v="EXOTICOS"/>
    <s v="Champion Ambiental"/>
  </r>
  <r>
    <x v="1"/>
    <n v="1"/>
    <x v="39"/>
    <n v="32148109"/>
    <x v="38"/>
    <n v="32107322"/>
    <s v="SALAZAR GAMEZ GABRIEL"/>
    <n v="6"/>
    <s v="EXOTICOS"/>
    <s v="Champion Gestión"/>
  </r>
  <r>
    <x v="1"/>
    <n v="1"/>
    <x v="39"/>
    <n v="32148109"/>
    <x v="38"/>
    <n v="32145468"/>
    <s v="HUERTA SOTO GUSTAVO ANGEL"/>
    <n v="6"/>
    <s v="EXOTICOS"/>
    <s v="Champion Calidad"/>
  </r>
  <r>
    <x v="1"/>
    <n v="1"/>
    <x v="39"/>
    <n v="32148109"/>
    <x v="38"/>
    <n v="32046339"/>
    <s v="PUENTE DEL RIO ALEJANDRO"/>
    <n v="6"/>
    <s v="EXOTICOS"/>
    <s v="Champion Seguridad"/>
  </r>
  <r>
    <x v="1"/>
    <n v="1"/>
    <x v="39"/>
    <n v="32148109"/>
    <x v="38"/>
    <n v="32046651"/>
    <s v="JOSE ALFREDO PINEDO GARAY"/>
    <n v="6"/>
    <s v="EXOTICOS"/>
    <s v="Champion Gente"/>
  </r>
  <r>
    <x v="1"/>
    <n v="1"/>
    <x v="39"/>
    <n v="32148109"/>
    <x v="38"/>
    <n v="32131837"/>
    <s v="MURILLO PINEDO IGNACIO"/>
    <n v="6"/>
    <s v="EXOTICOS"/>
    <s v="Champion Mantenimiento"/>
  </r>
  <r>
    <x v="1"/>
    <n v="2"/>
    <x v="40"/>
    <n v="32148109"/>
    <x v="38"/>
    <n v="32044113"/>
    <s v="J. JESÚS REYES CAMPOS"/>
    <n v="6"/>
    <s v="CHANGOS"/>
    <s v="Champion Ambiental"/>
  </r>
  <r>
    <x v="1"/>
    <n v="2"/>
    <x v="40"/>
    <n v="32148109"/>
    <x v="38"/>
    <n v="32044654"/>
    <s v="RAUL PEREZ DE SANTIAGO"/>
    <n v="6"/>
    <s v="CHANGOS"/>
    <s v="Champion Gestión"/>
  </r>
  <r>
    <x v="1"/>
    <n v="2"/>
    <x v="40"/>
    <n v="32148109"/>
    <x v="38"/>
    <n v="32044609"/>
    <s v="ISMAEL SANCHEZ RODRIGUEZ"/>
    <n v="6"/>
    <s v="CHANGOS"/>
    <s v="Champion Calidad"/>
  </r>
  <r>
    <x v="1"/>
    <n v="2"/>
    <x v="40"/>
    <n v="32148109"/>
    <x v="38"/>
    <n v="32188131"/>
    <s v="ADRIAN MORENO MARTINEZ"/>
    <n v="6"/>
    <s v="CHANGOS"/>
    <s v="Champion Gente"/>
  </r>
  <r>
    <x v="1"/>
    <n v="2"/>
    <x v="40"/>
    <n v="32148109"/>
    <x v="38"/>
    <n v="32045763"/>
    <s v="LUIS GOMEZ RAMOS"/>
    <n v="6"/>
    <s v="CHANGOS"/>
    <s v="Champion Mantenimiento"/>
  </r>
  <r>
    <x v="1"/>
    <n v="2"/>
    <x v="40"/>
    <n v="32148109"/>
    <x v="38"/>
    <n v="32188134"/>
    <s v="OCTAVIO DE JESUS DOMINGUEZ GONZALEZ"/>
    <n v="6"/>
    <s v="CHANGOS"/>
    <s v="Champion Seguridad"/>
  </r>
  <r>
    <x v="6"/>
    <m/>
    <x v="41"/>
    <n v="32172003"/>
    <x v="39"/>
    <n v="32043856"/>
    <s v="EDUARDO ESQUIBEL RODRIGUEZ"/>
    <n v="12"/>
    <s v="EL PODER DEL SABER"/>
    <s v="MANTENIMIENTO"/>
  </r>
  <r>
    <x v="6"/>
    <m/>
    <x v="41"/>
    <n v="32172003"/>
    <x v="39"/>
    <n v="32044171"/>
    <s v="ROBERTO CARLOS GONZALEZ GALLEGOS"/>
    <n v="12"/>
    <s v="EL PODER DEL SABER"/>
    <s v="AMBIENTAL"/>
  </r>
  <r>
    <x v="6"/>
    <m/>
    <x v="41"/>
    <n v="32172003"/>
    <x v="39"/>
    <n v="32222294"/>
    <s v="OSCAR EDUARDO CARRANZA MORAN"/>
    <n v="12"/>
    <s v="EL PODER DEL SABER"/>
    <s v="CALIDAD"/>
  </r>
  <r>
    <x v="6"/>
    <m/>
    <x v="41"/>
    <n v="32172003"/>
    <x v="39"/>
    <n v="32043967"/>
    <s v="GERARDO RINCON ORTEGA"/>
    <n v="12"/>
    <s v="EL PODER DEL SABER"/>
    <s v="MANTENIMIENTO"/>
  </r>
  <r>
    <x v="6"/>
    <m/>
    <x v="41"/>
    <n v="32172003"/>
    <x v="39"/>
    <n v="32043836"/>
    <s v="EMIGDIO PEREA DELGADO"/>
    <n v="12"/>
    <s v="EL PODER DEL SABER"/>
    <s v="GENTE"/>
  </r>
  <r>
    <x v="6"/>
    <m/>
    <x v="41"/>
    <n v="32172003"/>
    <x v="39"/>
    <n v="32043745"/>
    <s v="FRANCISCO JAVIER CHAVEZ GARCIA"/>
    <n v="12"/>
    <s v="EL PODER DEL SABER"/>
    <s v="CALIDAD"/>
  </r>
  <r>
    <x v="6"/>
    <m/>
    <x v="41"/>
    <n v="32172003"/>
    <x v="39"/>
    <n v="32043915"/>
    <s v="GENARO AVILA RAMOS"/>
    <n v="12"/>
    <s v="EL PODER DEL SABER"/>
    <s v="GENTE"/>
  </r>
  <r>
    <x v="6"/>
    <m/>
    <x v="41"/>
    <n v="32172003"/>
    <x v="39"/>
    <n v="32046099"/>
    <s v="HECTOR HUGO JUAREZ RIOS"/>
    <n v="12"/>
    <s v="EL PODER DEL SABER"/>
    <s v="SEGURIDAD"/>
  </r>
  <r>
    <x v="6"/>
    <m/>
    <x v="41"/>
    <n v="32172003"/>
    <x v="39"/>
    <n v="32136495"/>
    <s v="MIGUEL AGUSTIN ESPARZA VANEGAS"/>
    <n v="12"/>
    <s v="EL PODER DEL SABER"/>
    <s v="GESTION"/>
  </r>
  <r>
    <x v="6"/>
    <m/>
    <x v="41"/>
    <n v="32172003"/>
    <x v="39"/>
    <n v="32132176"/>
    <s v="MOISES MIRELES NAVARRO"/>
    <n v="12"/>
    <s v="EL PODER DEL SABER"/>
    <s v="SEGURIDAD"/>
  </r>
  <r>
    <x v="6"/>
    <m/>
    <x v="41"/>
    <n v="32172003"/>
    <x v="39"/>
    <n v="32173437"/>
    <s v="OSCAR DANIEL DOMINGUEZ"/>
    <n v="12"/>
    <s v="EL PODER DEL SABER"/>
    <s v="AMBIENTAL"/>
  </r>
  <r>
    <x v="0"/>
    <s v="ENV 2"/>
    <x v="20"/>
    <n v="32149484"/>
    <x v="40"/>
    <n v="32146622"/>
    <s v="JOSE GUADALUPE HERRERA GARCIA"/>
    <n v="12"/>
    <s v="ESPECIALISTAS"/>
    <s v="APOYO MEDIO AMBIENTE"/>
  </r>
  <r>
    <x v="0"/>
    <s v="ENV 2"/>
    <x v="20"/>
    <n v="32149484"/>
    <x v="40"/>
    <n v="32146010"/>
    <s v="JUAN PEDRO ALBINO CALDERÓN"/>
    <n v="12"/>
    <s v="ESPECIALISTAS"/>
    <s v="APOYO CALIDAD"/>
  </r>
  <r>
    <x v="0"/>
    <s v="ENV 2"/>
    <x v="20"/>
    <n v="32149484"/>
    <x v="40"/>
    <n v="32043744"/>
    <s v="HÉCTOR JAVIER MEDINA RIVERA"/>
    <n v="12"/>
    <s v="ESPECIALISTAS"/>
    <s v="APOYO GENTE"/>
  </r>
  <r>
    <x v="0"/>
    <s v="ENV 1"/>
    <x v="42"/>
    <n v="32151314"/>
    <x v="41"/>
    <n v="32044398"/>
    <s v="FREDDY GPE. GÁMEZ MALDONADO"/>
    <n v="4"/>
    <s v="EXTREM"/>
    <s v="GENTE"/>
  </r>
  <r>
    <x v="0"/>
    <s v="ENV 1"/>
    <x v="42"/>
    <n v="32151314"/>
    <x v="41"/>
    <n v="32044531"/>
    <s v="JORGE CHÁVEZ SERRANO"/>
    <n v="4"/>
    <s v="EXTREM"/>
    <s v="SEGURIDAD"/>
  </r>
  <r>
    <x v="2"/>
    <s v="LEVADURA"/>
    <x v="43"/>
    <n v="32198463"/>
    <x v="42"/>
    <n v="32045070"/>
    <s v="CELSO RODRIGUEZ LOPEZ"/>
    <n v="7"/>
    <s v="LAS ESTRELLAS"/>
    <s v="CHAMPION DE CALIDAD"/>
  </r>
  <r>
    <x v="2"/>
    <s v="LEVADURA"/>
    <x v="43"/>
    <n v="32198463"/>
    <x v="42"/>
    <n v="32046466"/>
    <s v="CESAR CARRILLO RODRIGUEZ"/>
    <n v="7"/>
    <s v="LAS ESTRELLAS"/>
    <s v="CHAMPION GENTE"/>
  </r>
  <r>
    <x v="2"/>
    <s v="LEVADURA"/>
    <x v="43"/>
    <n v="32198463"/>
    <x v="42"/>
    <n v="32044445"/>
    <s v="FERNANDO ALVARADO REYES"/>
    <n v="7"/>
    <s v="LAS ESTRELLAS"/>
    <s v="CHAMPION LOGISTICA"/>
  </r>
  <r>
    <x v="2"/>
    <s v="LEVADURA"/>
    <x v="43"/>
    <n v="32198463"/>
    <x v="42"/>
    <n v="32045931"/>
    <s v="JAVIER ZAMARRIPA LOPEZ"/>
    <n v="7"/>
    <s v="LAS ESTRELLAS"/>
    <s v="CHAMPION AMBIENTAL "/>
  </r>
  <r>
    <x v="2"/>
    <s v="LEVADURA"/>
    <x v="43"/>
    <n v="32198463"/>
    <x v="42"/>
    <n v="32045120"/>
    <s v="JOAQUIN RODRIGUEZ ESQUIVEL"/>
    <n v="7"/>
    <s v="LAS ESTRELLAS"/>
    <s v="CHAMPION MANTENIMIENTO"/>
  </r>
  <r>
    <x v="2"/>
    <s v="LEVADURA"/>
    <x v="43"/>
    <n v="32198463"/>
    <x v="42"/>
    <n v="32044773"/>
    <s v="MARTIN CABRERA DE SANTIAGO"/>
    <n v="7"/>
    <s v="LAS ESTRELLAS"/>
    <s v="CHAMPION GESTION"/>
  </r>
  <r>
    <x v="2"/>
    <s v="LEVADURA"/>
    <x v="43"/>
    <n v="32198463"/>
    <x v="42"/>
    <n v="32045610"/>
    <s v="OMAR GONZALEZ CAMPOS"/>
    <n v="7"/>
    <s v="LAS ESTRELLAS"/>
    <s v="CHAMPION SEGURIDAD"/>
  </r>
  <r>
    <x v="5"/>
    <s v="Filtros-Gobierno"/>
    <x v="44"/>
    <n v="32154187"/>
    <x v="43"/>
    <n v="32222222"/>
    <s v="EFREN GONZALEZ CONTRERAS"/>
    <n v="7"/>
    <s v="LOS BRONCOS"/>
    <s v="GENTE"/>
  </r>
  <r>
    <x v="5"/>
    <s v="Filtros-Gobierno"/>
    <x v="44"/>
    <n v="32154187"/>
    <x v="43"/>
    <n v="32045076"/>
    <s v="ERON GUARDADO ROBLES"/>
    <n v="7"/>
    <s v="LOS BRONCOS"/>
    <s v="AMBIENTAL"/>
  </r>
  <r>
    <x v="1"/>
    <n v="13"/>
    <x v="45"/>
    <n v="32046695"/>
    <x v="44"/>
    <n v="32045021"/>
    <s v="ESPITIA PINEDO RAUL"/>
    <n v="14"/>
    <s v="LOS WAKANDIANOS"/>
    <s v="CHAMPION DE GESTION"/>
  </r>
  <r>
    <x v="1"/>
    <n v="13"/>
    <x v="45"/>
    <n v="32046695"/>
    <x v="44"/>
    <n v="32045059"/>
    <s v="ELICERIO RODRIGUEZ OSCAR"/>
    <n v="14"/>
    <s v="LOS WAKANDIANOS"/>
    <s v="APOYO AMBIENTAL"/>
  </r>
  <r>
    <x v="1"/>
    <n v="13"/>
    <x v="45"/>
    <n v="32046695"/>
    <x v="44"/>
    <n v="32045060"/>
    <s v="ELICERIO RODRIGUEZ JOSE MANUEL"/>
    <n v="14"/>
    <s v="LOS WAKANDIANOS"/>
    <s v="APOYO  GENTE"/>
  </r>
  <r>
    <x v="1"/>
    <n v="13"/>
    <x v="45"/>
    <n v="32046695"/>
    <x v="44"/>
    <n v="32045364"/>
    <s v="ESCOBEDO RAMIREZ AGUSTIN"/>
    <n v="14"/>
    <s v="LOS WAKANDIANOS"/>
    <s v="APOYO CHAMPION GESTION"/>
  </r>
  <r>
    <x v="1"/>
    <n v="13"/>
    <x v="45"/>
    <n v="32046695"/>
    <x v="44"/>
    <n v="32045585"/>
    <s v="NUÑEZ MUÑOZ GUSTAVO"/>
    <n v="14"/>
    <s v="LOS WAKANDIANOS"/>
    <s v="APOYO DE SEGURIDAD"/>
  </r>
  <r>
    <x v="1"/>
    <n v="13"/>
    <x v="45"/>
    <n v="32046695"/>
    <x v="44"/>
    <n v="32046006"/>
    <s v="RAMIREZ ESTRADA ALBERTO"/>
    <n v="14"/>
    <s v="LOS WAKANDIANOS"/>
    <s v="CHAMPION SEGURIDAD"/>
  </r>
  <r>
    <x v="1"/>
    <n v="13"/>
    <x v="45"/>
    <n v="32046695"/>
    <x v="44"/>
    <n v="32046316"/>
    <s v="DE LA ROSA MEDINA JOSE DE JESUS"/>
    <n v="14"/>
    <s v="LOS WAKANDIANOS"/>
    <s v="APOYO CALIDAD"/>
  </r>
  <r>
    <x v="1"/>
    <n v="13"/>
    <x v="45"/>
    <n v="32046695"/>
    <x v="44"/>
    <n v="32061304"/>
    <s v="CARRILLO MONTALVO DELFINO"/>
    <n v="14"/>
    <s v="LOS WAKANDIANOS"/>
    <s v="CHAMPION  LOGISTICA"/>
  </r>
  <r>
    <x v="1"/>
    <n v="13"/>
    <x v="45"/>
    <n v="32046695"/>
    <x v="44"/>
    <n v="32108864"/>
    <s v="LUJAN CRUZ JOSE IGNACIO"/>
    <n v="14"/>
    <s v="LOS WAKANDIANOS"/>
    <s v="APOYO LOGISTICA"/>
  </r>
  <r>
    <x v="1"/>
    <n v="13"/>
    <x v="45"/>
    <n v="32046695"/>
    <x v="44"/>
    <n v="32142988"/>
    <s v="GODINA MARTINEZ SERGIO IVAN"/>
    <n v="14"/>
    <s v="LOS WAKANDIANOS"/>
    <s v="CHAMPION AMBIENTAL"/>
  </r>
  <r>
    <x v="1"/>
    <n v="13"/>
    <x v="45"/>
    <n v="32046695"/>
    <x v="44"/>
    <n v="32148864"/>
    <s v="SILVA DELGADO DANIEL"/>
    <n v="14"/>
    <s v="LOS WAKANDIANOS"/>
    <s v="CHAMPION GENTE"/>
  </r>
  <r>
    <x v="1"/>
    <n v="13"/>
    <x v="45"/>
    <n v="32046695"/>
    <x v="44"/>
    <n v="32149074"/>
    <s v="BRETADO CASTRO OSBALDO DE JESUS"/>
    <n v="14"/>
    <s v="LOS WAKANDIANOS"/>
    <s v="CHAMPION CALIDAD"/>
  </r>
  <r>
    <x v="1"/>
    <n v="13"/>
    <x v="45"/>
    <n v="32046695"/>
    <x v="44"/>
    <n v="32153534"/>
    <s v="ORTIZ MIRANDA MIGUEL ANGEL"/>
    <n v="14"/>
    <s v="LOS WAKANDIANOS"/>
    <s v="APOYO MANTENIMIENTO"/>
  </r>
  <r>
    <x v="1"/>
    <n v="14"/>
    <x v="46"/>
    <n v="32046695"/>
    <x v="44"/>
    <n v="32044729"/>
    <s v="REYES DOMINGUEZ JOSE DE JESUS"/>
    <n v="12"/>
    <s v="HULK"/>
    <s v="CHAMPION MANTENIMIENTO"/>
  </r>
  <r>
    <x v="1"/>
    <n v="14"/>
    <x v="46"/>
    <n v="32046695"/>
    <x v="44"/>
    <n v="32044731"/>
    <s v="RAMIREZ HERNANDEZ ANGEL"/>
    <n v="12"/>
    <s v="HULK"/>
    <s v="APOYO DE GESTION"/>
  </r>
  <r>
    <x v="1"/>
    <n v="14"/>
    <x v="46"/>
    <n v="32046695"/>
    <x v="44"/>
    <n v="32044865"/>
    <s v="GONZALEZ SALDIVAR JUAN MANUEL"/>
    <n v="12"/>
    <s v="HULK"/>
    <s v="APOYO AMBIENTAL"/>
  </r>
  <r>
    <x v="1"/>
    <n v="14"/>
    <x v="46"/>
    <n v="32046695"/>
    <x v="44"/>
    <n v="32044915"/>
    <s v="SOSA LOPEZ JORGE"/>
    <n v="12"/>
    <s v="HULK"/>
    <s v="CHAMPION  LOGISTICA"/>
  </r>
  <r>
    <x v="1"/>
    <n v="14"/>
    <x v="46"/>
    <n v="32046695"/>
    <x v="44"/>
    <n v="32045206"/>
    <s v="LOPEZ RODRIGUEZ MARCELO"/>
    <n v="12"/>
    <s v="HULK"/>
    <s v="CHAMPION GESTION"/>
  </r>
  <r>
    <x v="1"/>
    <n v="14"/>
    <x v="46"/>
    <n v="32046695"/>
    <x v="44"/>
    <n v="32045237"/>
    <s v="MORENO LEOS ROGELIO"/>
    <n v="12"/>
    <s v="HULK"/>
    <s v="APOYO DE SEGURIDAD"/>
  </r>
  <r>
    <x v="1"/>
    <n v="14"/>
    <x v="46"/>
    <n v="32046695"/>
    <x v="44"/>
    <n v="32046080"/>
    <s v="GONZALEZ GARCIA LORENZO"/>
    <n v="12"/>
    <s v="HULK"/>
    <s v="CHAMPION SEGURIDAD"/>
  </r>
  <r>
    <x v="1"/>
    <n v="14"/>
    <x v="46"/>
    <n v="32046695"/>
    <x v="44"/>
    <n v="32046217"/>
    <s v="ORDAZ MOLINA RAUL"/>
    <n v="12"/>
    <s v="HULK"/>
    <s v="APOYO CALIDAD"/>
  </r>
  <r>
    <x v="1"/>
    <n v="14"/>
    <x v="46"/>
    <n v="32046695"/>
    <x v="44"/>
    <n v="32132046"/>
    <s v="MARTINEZ PI?A FERNANDO"/>
    <n v="12"/>
    <s v="HULK"/>
    <s v="APOYO  GENTE"/>
  </r>
  <r>
    <x v="1"/>
    <n v="14"/>
    <x v="46"/>
    <n v="32046695"/>
    <x v="44"/>
    <n v="32132234"/>
    <s v="ESPARZA GARCIA FERNANDO"/>
    <n v="12"/>
    <s v="HULK"/>
    <s v="CHAMPION AMBIENTAL"/>
  </r>
  <r>
    <x v="1"/>
    <n v="14"/>
    <x v="46"/>
    <n v="32046695"/>
    <x v="44"/>
    <n v="32202290"/>
    <s v="ELICERIO ADAME HILARIO"/>
    <n v="12"/>
    <s v="HULK"/>
    <s v="CHAMPION CALIDAD"/>
  </r>
  <r>
    <x v="5"/>
    <s v="Filtros-Gobierno"/>
    <x v="44"/>
    <n v="32154187"/>
    <x v="43"/>
    <n v="32149607"/>
    <s v="JORGE ALBERTO ORTIZ HERNANDEZ"/>
    <n v="7"/>
    <s v="LOS BRONCOS"/>
    <s v="SEGURIDAD"/>
  </r>
  <r>
    <x v="7"/>
    <m/>
    <x v="47"/>
    <n v="32145498"/>
    <x v="45"/>
    <n v="32199772"/>
    <s v="ARTURO RODARTE PERALES"/>
    <n v="12"/>
    <s v="LOS NAHUALES"/>
    <s v="MANTENIMIENTO"/>
  </r>
  <r>
    <x v="5"/>
    <s v="Filtros-Gobierno"/>
    <x v="44"/>
    <n v="32045174"/>
    <x v="46"/>
    <n v="32173446"/>
    <s v="JOSE EDUARDO ALVARADO CEBALLOS"/>
    <n v="7"/>
    <s v="LOS BRONCOS"/>
    <s v="CALIDAD"/>
  </r>
  <r>
    <x v="7"/>
    <m/>
    <x v="47"/>
    <n v="32145498"/>
    <x v="45"/>
    <n v="32173435"/>
    <s v="HECTOR ALEJANDRO CRISTERNA CRUZ"/>
    <n v="12"/>
    <s v="LOS NAHUALES"/>
    <s v="CALIDAD"/>
  </r>
  <r>
    <x v="7"/>
    <m/>
    <x v="47"/>
    <n v="32145498"/>
    <x v="45"/>
    <n v="32092747"/>
    <s v="JOSE GABRIEL RODRIGUEZ CERVANTES"/>
    <n v="12"/>
    <s v="LOS NAHUALES"/>
    <s v="GESTION"/>
  </r>
  <r>
    <x v="7"/>
    <m/>
    <x v="47"/>
    <n v="32145498"/>
    <x v="45"/>
    <n v="32149490"/>
    <s v="JUAN ANTONIO RIVERA NAJAR"/>
    <n v="12"/>
    <s v="LOS NAHUALES"/>
    <s v="AMBIENTAL"/>
  </r>
  <r>
    <x v="7"/>
    <m/>
    <x v="47"/>
    <n v="32145498"/>
    <x v="45"/>
    <n v="32045495"/>
    <s v="LUIS MANUEL GARCIA VICTORIO"/>
    <n v="12"/>
    <s v="LOS NAHUALES"/>
    <s v="MANTENIMIENTO"/>
  </r>
  <r>
    <x v="7"/>
    <m/>
    <x v="47"/>
    <n v="32145498"/>
    <x v="45"/>
    <n v="32173442"/>
    <s v="MARIO DAVID CASTAÑEDA VAZQUEZ"/>
    <n v="12"/>
    <s v="LOS NAHUALES"/>
    <s v="AMBIENTAL"/>
  </r>
  <r>
    <x v="7"/>
    <m/>
    <x v="47"/>
    <n v="32145498"/>
    <x v="45"/>
    <n v="32044316"/>
    <s v="SERGIO TRUJILLO GUARDADO"/>
    <n v="12"/>
    <s v="LOS NAHUALES"/>
    <s v="SEGURIDAD"/>
  </r>
  <r>
    <x v="7"/>
    <m/>
    <x v="47"/>
    <n v="32145498"/>
    <x v="45"/>
    <n v="32043900"/>
    <s v="VICTOR MANUEL HURTADO ORTIZ"/>
    <n v="12"/>
    <s v="LOS NAHUALES"/>
    <s v="GESTION"/>
  </r>
  <r>
    <x v="0"/>
    <s v="ENV 1"/>
    <x v="42"/>
    <n v="32151314"/>
    <x v="41"/>
    <n v="32044635"/>
    <s v="J. JESÚS LÓPEZ REYES"/>
    <n v="4"/>
    <s v="EXTREM"/>
    <s v="MANTENIMIENTO"/>
  </r>
  <r>
    <x v="0"/>
    <s v="ENV 1"/>
    <x v="42"/>
    <n v="32151314"/>
    <x v="41"/>
    <n v="32044617"/>
    <s v="CARLOS MORAN CERVANTES"/>
    <n v="4"/>
    <s v="EXTREM"/>
    <s v="GESTION"/>
  </r>
  <r>
    <x v="0"/>
    <s v="ENV 2"/>
    <x v="48"/>
    <n v="32045290"/>
    <x v="47"/>
    <n v="32061267"/>
    <s v="GILBERTO  PUENTE MORENO"/>
    <n v="11"/>
    <s v="FALK"/>
    <s v="APOYO MEDIO AMBIENTE"/>
  </r>
  <r>
    <x v="1"/>
    <n v="10"/>
    <x v="49"/>
    <n v="32224365"/>
    <x v="48"/>
    <n v="32058105"/>
    <s v="IBARRA CARRILLO JOSE ANGEL"/>
    <n v="10"/>
    <s v="FLACOS"/>
    <s v="CHAMPION DE GESTION"/>
  </r>
  <r>
    <x v="1"/>
    <n v="10"/>
    <x v="49"/>
    <n v="32224365"/>
    <x v="48"/>
    <n v="32044881"/>
    <s v="MARTINEZ LOPEZ ROQUE"/>
    <n v="10"/>
    <s v="FLACOS"/>
    <s v="APOYO DE GESTION"/>
  </r>
  <r>
    <x v="1"/>
    <n v="10"/>
    <x v="49"/>
    <n v="32224365"/>
    <x v="48"/>
    <n v="32149078"/>
    <s v="CID GAMEZ GUILLERMO"/>
    <n v="10"/>
    <s v="FLACOS"/>
    <s v="CHAMPION SEGURIDAD "/>
  </r>
  <r>
    <x v="1"/>
    <n v="10"/>
    <x v="49"/>
    <n v="32224365"/>
    <x v="48"/>
    <n v="32144347"/>
    <s v="CRUZ LUNA VALENTIN"/>
    <n v="10"/>
    <s v="FLACOS"/>
    <s v="APOYO SEGURIDAD "/>
  </r>
  <r>
    <x v="1"/>
    <n v="10"/>
    <x v="49"/>
    <n v="32224365"/>
    <x v="48"/>
    <n v="32046256"/>
    <s v="CAMPOS GUERRERO JESUS GUADALUPE"/>
    <n v="10"/>
    <s v="FLACOS"/>
    <s v="CHAMPION MANTENIMIENTO"/>
  </r>
  <r>
    <x v="1"/>
    <n v="10"/>
    <x v="49"/>
    <n v="32224365"/>
    <x v="48"/>
    <n v="32044475"/>
    <s v="SALAS SALAS JOSE CARLOS"/>
    <n v="10"/>
    <s v="FLACOS"/>
    <s v="CHAMPION  CALIDAD"/>
  </r>
  <r>
    <x v="1"/>
    <n v="10"/>
    <x v="49"/>
    <n v="32224365"/>
    <x v="48"/>
    <n v="32059341"/>
    <s v="MEDINA ORTIZ JESUS SALVADOR"/>
    <n v="10"/>
    <s v="FLACOS"/>
    <s v="CHAMPION GENTE"/>
  </r>
  <r>
    <x v="1"/>
    <n v="10"/>
    <x v="49"/>
    <n v="32224365"/>
    <x v="48"/>
    <n v="32046338"/>
    <s v="LUMBRERAS ALFEREZ PEDRO"/>
    <n v="10"/>
    <s v="FLACOS"/>
    <s v="APOYO GENTE"/>
  </r>
  <r>
    <x v="1"/>
    <n v="10"/>
    <x v="49"/>
    <n v="32224365"/>
    <x v="48"/>
    <n v="32143043"/>
    <s v="DE LIRA MATA ALDO ALEJANDRO"/>
    <n v="10"/>
    <s v="FLACOS"/>
    <s v="CHAMPION AMBIENTAL"/>
  </r>
  <r>
    <x v="1"/>
    <n v="10"/>
    <x v="49"/>
    <n v="32224365"/>
    <x v="48"/>
    <n v="32132224"/>
    <s v="PEREZ MARTINEZ IVANHOE"/>
    <n v="10"/>
    <s v="FLACOS"/>
    <s v="CHAMPION  LOGISTICA"/>
  </r>
  <r>
    <x v="1"/>
    <n v="10"/>
    <x v="50"/>
    <n v="32224365"/>
    <x v="48"/>
    <n v="32142776"/>
    <s v="RODRIGUEZ MACIAS MARTIN"/>
    <n v="10"/>
    <s v="LOS PODEROSOS"/>
    <s v="CHAMPION DE GESTION"/>
  </r>
  <r>
    <x v="1"/>
    <n v="10"/>
    <x v="50"/>
    <n v="32224365"/>
    <x v="48"/>
    <n v="32149252"/>
    <s v="JARAMILLO LOPEZ JUAN FERNANDO"/>
    <n v="10"/>
    <s v="LOS PODEROSOS"/>
    <s v="APOYO DE GESTION"/>
  </r>
  <r>
    <x v="1"/>
    <n v="10"/>
    <x v="50"/>
    <n v="32224365"/>
    <x v="48"/>
    <n v="32142784"/>
    <s v="RODRIGUEZ ARANDA MANUEL"/>
    <n v="10"/>
    <s v="LOS PODEROSOS"/>
    <s v="CHAMPION SEGURIDAD "/>
  </r>
  <r>
    <x v="1"/>
    <n v="10"/>
    <x v="50"/>
    <n v="32224365"/>
    <x v="48"/>
    <n v="32044026"/>
    <s v="RODRIGUEZ RODRIGUEZ ARON"/>
    <n v="10"/>
    <s v="LOS PODEROSOS"/>
    <s v="CHAMPION MANTENIMIENTO"/>
  </r>
  <r>
    <x v="1"/>
    <n v="10"/>
    <x v="50"/>
    <n v="32224365"/>
    <x v="48"/>
    <n v="32142990"/>
    <s v="SOLIS MARTINEZ RUBEN"/>
    <n v="10"/>
    <s v="LOS PODEROSOS"/>
    <s v="CHAMPION  CALIDAD"/>
  </r>
  <r>
    <x v="1"/>
    <n v="10"/>
    <x v="50"/>
    <n v="32224365"/>
    <x v="48"/>
    <n v="32046635"/>
    <s v="GONZALEZ VALDEZ HECTOR OMERO"/>
    <n v="10"/>
    <s v="LOS PODEROSOS"/>
    <s v="CHAMPION GENTE"/>
  </r>
  <r>
    <x v="1"/>
    <n v="10"/>
    <x v="50"/>
    <n v="32224365"/>
    <x v="48"/>
    <n v="32044280"/>
    <s v="MENDEZ RODARTE JUAN FRANCISCO"/>
    <n v="10"/>
    <s v="LOS PODEROSOS"/>
    <s v="APOYO GENTE"/>
  </r>
  <r>
    <x v="1"/>
    <n v="10"/>
    <x v="50"/>
    <n v="32224365"/>
    <x v="48"/>
    <n v="32045447"/>
    <s v="SALAS SUSTAITA MANUEL"/>
    <n v="10"/>
    <s v="LOS PODEROSOS"/>
    <s v="CHAMPION AMBIENTAL"/>
  </r>
  <r>
    <x v="1"/>
    <n v="10"/>
    <x v="50"/>
    <n v="32224365"/>
    <x v="48"/>
    <n v="32046327"/>
    <s v="CASTILLO HERRERA JUAN ANTONIO"/>
    <n v="10"/>
    <s v="LOS PODEROSOS"/>
    <s v="CHAMPION  LOGISTICA"/>
  </r>
  <r>
    <x v="1"/>
    <n v="10"/>
    <x v="51"/>
    <n v="32224365"/>
    <x v="48"/>
    <n v="32046509"/>
    <s v="TREJO MELENDEZ OCTAVIO"/>
    <n v="9"/>
    <s v="LOS TOROS"/>
    <s v="CHAMPION DE GESTION"/>
  </r>
  <r>
    <x v="1"/>
    <n v="10"/>
    <x v="51"/>
    <n v="32224365"/>
    <x v="48"/>
    <n v="32132170"/>
    <s v="LOERA MORENO SERGIO"/>
    <n v="9"/>
    <s v="LOS TOROS"/>
    <s v="APOYO DE GESTION"/>
  </r>
  <r>
    <x v="1"/>
    <n v="10"/>
    <x v="51"/>
    <n v="32224365"/>
    <x v="48"/>
    <n v="32132009"/>
    <s v="GARZA GARCIA JORGE"/>
    <n v="9"/>
    <s v="LOS TOROS"/>
    <s v="CHAMPION SEGURIDAD "/>
  </r>
  <r>
    <x v="1"/>
    <n v="10"/>
    <x v="51"/>
    <n v="32224365"/>
    <x v="48"/>
    <n v="32044861"/>
    <s v="MONTOYA DUARTE ISMAEL"/>
    <n v="9"/>
    <s v="LOS TOROS"/>
    <s v="APOYO SEGURIDAD "/>
  </r>
  <r>
    <x v="1"/>
    <n v="10"/>
    <x v="51"/>
    <n v="32224365"/>
    <x v="48"/>
    <n v="32043993"/>
    <s v="GARCIA ESPARZA FRANCISCO JAVIER"/>
    <n v="9"/>
    <s v="LOS TOROS"/>
    <s v="CHAMPION MANTENIMIENTO"/>
  </r>
  <r>
    <x v="1"/>
    <n v="10"/>
    <x v="51"/>
    <n v="32224365"/>
    <x v="48"/>
    <n v="32045995"/>
    <s v="HERNANDEZ CABRERA JAVIER"/>
    <n v="9"/>
    <s v="LOS TOROS"/>
    <s v="CHAMPION  CALIDAD"/>
  </r>
  <r>
    <x v="1"/>
    <n v="10"/>
    <x v="51"/>
    <n v="32224365"/>
    <x v="48"/>
    <n v="32043930"/>
    <s v="TRONCOSO ANDRADE MANUEL"/>
    <n v="9"/>
    <s v="LOS TOROS"/>
    <s v="CHAMPION GENTE"/>
  </r>
  <r>
    <x v="1"/>
    <n v="10"/>
    <x v="51"/>
    <n v="32224365"/>
    <x v="48"/>
    <n v="32046126"/>
    <s v="ORTIZ CHAVEZ REYNALDO"/>
    <n v="9"/>
    <s v="LOS TOROS"/>
    <s v="APOYO GENTE"/>
  </r>
  <r>
    <x v="1"/>
    <n v="10"/>
    <x v="51"/>
    <n v="32224365"/>
    <x v="48"/>
    <n v="32058108"/>
    <s v="DEL VILLAR MURO PEDRO"/>
    <n v="9"/>
    <s v="LOS TOROS"/>
    <s v="CHAMPION AMBIENTAL"/>
  </r>
  <r>
    <x v="1"/>
    <n v="12"/>
    <x v="52"/>
    <n v="32224365"/>
    <x v="48"/>
    <n v="32044561"/>
    <s v="GERARDO MENDEZ SANDOVAL"/>
    <n v="13"/>
    <s v="LOS CHARROS"/>
    <s v="CHAMPION DE GESTION"/>
  </r>
  <r>
    <x v="1"/>
    <n v="12"/>
    <x v="52"/>
    <n v="32224365"/>
    <x v="48"/>
    <n v="32046355"/>
    <s v="HERIBERTO MARTINEZ MARTINEZ"/>
    <n v="13"/>
    <s v="LOS CHARROS"/>
    <s v="APOYO GESTION"/>
  </r>
  <r>
    <x v="1"/>
    <n v="12"/>
    <x v="52"/>
    <n v="32224365"/>
    <x v="48"/>
    <n v="32140576"/>
    <s v="ROQUE ALEJANDRO DE LUNA DELGADO"/>
    <n v="13"/>
    <s v="LOS CHARROS"/>
    <s v="CHAMPION SEGURIDAD "/>
  </r>
  <r>
    <x v="1"/>
    <n v="12"/>
    <x v="52"/>
    <n v="32224365"/>
    <x v="48"/>
    <n v="32150657"/>
    <s v="CARDONA VELAZQUEZ MARTIN"/>
    <n v="13"/>
    <s v="LOS CHARROS"/>
    <s v="APOYO SEGURIDAD "/>
  </r>
  <r>
    <x v="1"/>
    <n v="12"/>
    <x v="52"/>
    <n v="32224365"/>
    <x v="48"/>
    <n v="32143625"/>
    <s v="CESAR NIETO TORRES"/>
    <n v="13"/>
    <s v="LOS CHARROS"/>
    <s v="CHAMPION MANTENIMIENTO"/>
  </r>
  <r>
    <x v="1"/>
    <n v="12"/>
    <x v="52"/>
    <n v="32224365"/>
    <x v="48"/>
    <n v="32143665"/>
    <s v="MANUEL VAZQUEZ AGUILAR"/>
    <n v="13"/>
    <s v="LOS CHARROS"/>
    <s v="CHAMPION  CALIDAD"/>
  </r>
  <r>
    <x v="1"/>
    <n v="12"/>
    <x v="52"/>
    <n v="32224365"/>
    <x v="48"/>
    <n v="32044156"/>
    <s v="JAVIER LUNA LOPEZ"/>
    <n v="13"/>
    <s v="LOS CHARROS"/>
    <s v="APOYO CALIDAD"/>
  </r>
  <r>
    <x v="1"/>
    <n v="12"/>
    <x v="52"/>
    <n v="32224365"/>
    <x v="48"/>
    <n v="32046671"/>
    <s v="MANUEL DE JESÚS TORRES VELÁZQUEZ"/>
    <n v="13"/>
    <s v="LOS CHARROS"/>
    <s v="CHAMPION GENTE"/>
  </r>
  <r>
    <x v="1"/>
    <n v="12"/>
    <x v="52"/>
    <n v="32224365"/>
    <x v="48"/>
    <n v="32044370"/>
    <s v="JACOBO ARELLANO MONCADA"/>
    <n v="13"/>
    <s v="LOS CHARROS"/>
    <s v="CHAMPION AMBIENTAL"/>
  </r>
  <r>
    <x v="1"/>
    <n v="12"/>
    <x v="52"/>
    <n v="32224365"/>
    <x v="48"/>
    <n v="32044075"/>
    <s v="HIGINIO GONZALEZ ORTIZ"/>
    <n v="13"/>
    <s v="LOS CHARROS"/>
    <s v="APOYO AMBIENTAL"/>
  </r>
  <r>
    <x v="1"/>
    <n v="12"/>
    <x v="52"/>
    <n v="32224365"/>
    <x v="48"/>
    <n v="32046569"/>
    <s v="ANDRES PERALES MACIAS"/>
    <n v="13"/>
    <s v="LOS CHARROS"/>
    <s v="CHAMPION  LOGISTICA"/>
  </r>
  <r>
    <x v="1"/>
    <n v="12"/>
    <x v="52"/>
    <n v="32224365"/>
    <x v="48"/>
    <n v="32046159"/>
    <s v="GONZALO ORTIZ MAURICIO"/>
    <n v="13"/>
    <s v="LOS CHARROS"/>
    <s v="APOYO LOGISTICA"/>
  </r>
  <r>
    <x v="5"/>
    <s v="Filtros-Gobierno"/>
    <x v="44"/>
    <n v="32045174"/>
    <x v="46"/>
    <n v="32209922"/>
    <s v="Jose Guadalupe Valle Acuña"/>
    <n v="7"/>
    <s v="LOS BRONCOS"/>
    <s v="MANTENIMIENTO"/>
  </r>
  <r>
    <x v="5"/>
    <s v="Filtros-Gobierno"/>
    <x v="44"/>
    <n v="32044246"/>
    <x v="49"/>
    <n v="32043886"/>
    <s v="RAFAEL CHAVEZ REVELES"/>
    <n v="7"/>
    <s v="LOS BRONCOS"/>
    <s v="GESTIÓN "/>
  </r>
  <r>
    <x v="7"/>
    <m/>
    <x v="53"/>
    <n v="32045014"/>
    <x v="50"/>
    <n v="32202297"/>
    <s v="OMAR ALBERTO ROBLES SOSA"/>
    <n v="9"/>
    <s v="MASH-RAINBOW"/>
    <s v="CALIDAD"/>
  </r>
  <r>
    <x v="7"/>
    <m/>
    <x v="53"/>
    <n v="32045014"/>
    <x v="50"/>
    <n v="32044839"/>
    <s v="JAIME LOPEZ CHAVEZ"/>
    <n v="9"/>
    <s v="MASH-RAINBOW"/>
    <s v="LOGISTICA"/>
  </r>
  <r>
    <x v="7"/>
    <m/>
    <x v="53"/>
    <n v="32045014"/>
    <x v="50"/>
    <n v="32045409"/>
    <s v="ALBERTO NUÑEZ VELEZ"/>
    <n v="9"/>
    <s v="MASH-RAINBOW"/>
    <s v="SEGURIDAD"/>
  </r>
  <r>
    <x v="5"/>
    <s v="Filtros-Gobierno"/>
    <x v="44"/>
    <n v="32044246"/>
    <x v="49"/>
    <n v="32222224"/>
    <s v="RICARDO ESTEBAN JARAMILLO  ROBLES"/>
    <n v="7"/>
    <s v="LOS BRONCOS"/>
    <s v="LOGISTICA"/>
  </r>
  <r>
    <x v="7"/>
    <m/>
    <x v="53"/>
    <n v="32045014"/>
    <x v="50"/>
    <n v="32045004"/>
    <s v="J JESUS RIVERA MEDINA"/>
    <n v="9"/>
    <s v="MASH-RAINBOW"/>
    <s v="AMBIENTAL"/>
  </r>
  <r>
    <x v="7"/>
    <m/>
    <x v="53"/>
    <n v="32045014"/>
    <x v="50"/>
    <n v="32045510"/>
    <s v="J MANUEL RAYGOZA JUAREZ"/>
    <n v="9"/>
    <s v="MASH-RAINBOW"/>
    <s v="CALIDAD"/>
  </r>
  <r>
    <x v="7"/>
    <m/>
    <x v="53"/>
    <n v="32045014"/>
    <x v="50"/>
    <n v="32197427"/>
    <s v="EDGAR ZAMARRON ACOSTA"/>
    <n v="9"/>
    <s v="MASH-RAINBOW"/>
    <s v="GESTION"/>
  </r>
  <r>
    <x v="7"/>
    <m/>
    <x v="53"/>
    <n v="32045014"/>
    <x v="50"/>
    <n v="32137247"/>
    <s v="EDUARDO VALLE ARIAS"/>
    <n v="9"/>
    <s v="MASH-RAINBOW"/>
    <s v="CALIDAD"/>
  </r>
  <r>
    <x v="7"/>
    <m/>
    <x v="53"/>
    <n v="32045014"/>
    <x v="50"/>
    <n v="32209189"/>
    <s v="EDGAR EMANUEL JUAREZ ALBA"/>
    <n v="9"/>
    <s v="MASH-RAINBOW"/>
    <s v="MANTENIMIENTO"/>
  </r>
  <r>
    <x v="0"/>
    <s v="ENV 2"/>
    <x v="48"/>
    <n v="32045290"/>
    <x v="47"/>
    <n v="32045049"/>
    <s v="J JESUS VENEGAS ALMANZA"/>
    <n v="11"/>
    <s v="FALK"/>
    <s v="APOYO GENTE"/>
  </r>
  <r>
    <x v="0"/>
    <s v="ENV 2"/>
    <x v="48"/>
    <n v="32045290"/>
    <x v="47"/>
    <n v="32045869"/>
    <s v="NOÉ MEZA MARTÍNEZ"/>
    <n v="11"/>
    <s v="FALK"/>
    <s v="APOYO CALIDAD"/>
  </r>
  <r>
    <x v="0"/>
    <s v="ENV 2"/>
    <x v="48"/>
    <n v="32172813"/>
    <x v="51"/>
    <n v="32045277"/>
    <s v="Jose Gpe. Alvarado Delgado"/>
    <n v="11"/>
    <s v="FALK"/>
    <s v="MEDIO AMBIENTE"/>
  </r>
  <r>
    <x v="0"/>
    <s v="ENV 2"/>
    <x v="48"/>
    <n v="32172813"/>
    <x v="51"/>
    <n v="32044048"/>
    <s v="Gabriel Rodríguez Sánchez"/>
    <n v="11"/>
    <s v="FALK"/>
    <s v="GESTION"/>
  </r>
  <r>
    <x v="0"/>
    <s v="ENV 2"/>
    <x v="48"/>
    <n v="32172813"/>
    <x v="51"/>
    <n v="32045129"/>
    <s v="Moisés Hernández López"/>
    <n v="11"/>
    <s v="FALK"/>
    <s v="APOYO SEGURIDAD"/>
  </r>
  <r>
    <x v="5"/>
    <s v="Fermentación"/>
    <x v="54"/>
    <n v="32151916"/>
    <x v="52"/>
    <n v="32143661"/>
    <s v="SAMUEL MONTES JUAREZ"/>
    <n v="6"/>
    <s v="LOS CHAMBINES DE FERMENTACIÓN"/>
    <s v="SEGURIDAD"/>
  </r>
  <r>
    <x v="0"/>
    <s v="ENV 2"/>
    <x v="48"/>
    <n v="32172813"/>
    <x v="51"/>
    <n v="32045080"/>
    <s v="Luis Miguel Castillo Garcia"/>
    <n v="11"/>
    <s v="FALK"/>
    <s v="SEGURIDAD"/>
  </r>
  <r>
    <x v="0"/>
    <s v="ENV 2"/>
    <x v="48"/>
    <n v="32172813"/>
    <x v="51"/>
    <n v="32064463"/>
    <s v="Luis Alberto Dominguez Avila"/>
    <n v="11"/>
    <s v="FALK"/>
    <s v="GENTE"/>
  </r>
  <r>
    <x v="0"/>
    <s v="ENV 2"/>
    <x v="48"/>
    <n v="32172813"/>
    <x v="51"/>
    <n v="32043976"/>
    <s v="Juan Mauricio Calvillo Montalvo"/>
    <n v="11"/>
    <s v="FALK"/>
    <s v="MANTENIMIENTO"/>
  </r>
  <r>
    <x v="4"/>
    <s v="LINEAS"/>
    <x v="55"/>
    <n v="32155712"/>
    <x v="53"/>
    <n v="32043972"/>
    <s v=" J JESUS LOPEZ ARELLANO"/>
    <n v="20"/>
    <s v="Tumbacarguistas del Norte"/>
    <s v="Champion de logística"/>
  </r>
  <r>
    <x v="4"/>
    <s v="LINEAS"/>
    <x v="55"/>
    <n v="32155712"/>
    <x v="53"/>
    <n v="32044151"/>
    <s v="JOSE CARLOS ARROYO"/>
    <n v="20"/>
    <s v="Tumbacarguistas del Norte"/>
    <s v="Champion Calidad"/>
  </r>
  <r>
    <x v="4"/>
    <s v="LINEAS"/>
    <x v="55"/>
    <n v="32155712"/>
    <x v="53"/>
    <n v="32044480"/>
    <s v=" RAYMUNDO RAMIREZ HEREDIA"/>
    <n v="20"/>
    <s v="Tumbacarguistas del Norte"/>
    <s v="Champion de Seguridad"/>
  </r>
  <r>
    <x v="4"/>
    <s v="LINEAS"/>
    <x v="55"/>
    <n v="32155712"/>
    <x v="53"/>
    <n v="32044712"/>
    <s v="JOSE LUIS AGUILAR LOPEZ"/>
    <n v="20"/>
    <s v="Tumbacarguistas del Norte"/>
    <s v="Champion Gestión"/>
  </r>
  <r>
    <x v="4"/>
    <s v="LINEAS"/>
    <x v="55"/>
    <n v="32155712"/>
    <x v="53"/>
    <n v="32045437"/>
    <s v="BONIFACIO ALVARADO AYALA"/>
    <n v="20"/>
    <s v="Tumbacarguistas del Norte"/>
    <s v="Champion de Mantenimiento"/>
  </r>
  <r>
    <x v="4"/>
    <s v="LINEAS"/>
    <x v="55"/>
    <n v="32155712"/>
    <x v="53"/>
    <n v="32045488"/>
    <s v=" MARCO ANTONIO GARCIA GARCIA"/>
    <n v="20"/>
    <s v="Tumbacarguistas del Norte"/>
    <s v="Champion de Medio Ambiente"/>
  </r>
  <r>
    <x v="4"/>
    <s v="LINEAS"/>
    <x v="55"/>
    <n v="32155712"/>
    <x v="53"/>
    <n v="32045597"/>
    <s v="ROQUE SOTO DE LA CRUZ"/>
    <n v="20"/>
    <s v="Tumbacarguistas del Norte"/>
    <s v="Champion de People"/>
  </r>
  <r>
    <x v="4"/>
    <s v="LINEAS"/>
    <x v="55"/>
    <n v="32155712"/>
    <x v="53"/>
    <n v="32046249"/>
    <s v=" FERNANDO DANIEL HERNANDEZ SANCHEZ"/>
    <n v="20"/>
    <s v="Tumbacarguistas del Norte"/>
    <s v="Champion de logística"/>
  </r>
  <r>
    <x v="4"/>
    <s v="LINEAS"/>
    <x v="55"/>
    <n v="32155712"/>
    <x v="53"/>
    <n v="32046463"/>
    <s v="DAVID CASTRO MORENO"/>
    <n v="20"/>
    <s v="Tumbacarguistas del Norte"/>
    <s v="Champion Calidad"/>
  </r>
  <r>
    <x v="4"/>
    <s v="LINEAS"/>
    <x v="55"/>
    <n v="32155712"/>
    <x v="53"/>
    <n v="32046614"/>
    <s v="MANUEL REVELES NAVA"/>
    <n v="20"/>
    <s v="Tumbacarguistas del Norte"/>
    <s v="Champion de Seguridad"/>
  </r>
  <r>
    <x v="4"/>
    <s v="LINEAS"/>
    <x v="55"/>
    <n v="32155712"/>
    <x v="53"/>
    <n v="32063775"/>
    <s v=" DANY LOPEZ ROBLES"/>
    <n v="20"/>
    <s v="Tumbacarguistas del Norte"/>
    <s v="Champion Gestión"/>
  </r>
  <r>
    <x v="4"/>
    <s v="LINEAS"/>
    <x v="55"/>
    <n v="32155712"/>
    <x v="53"/>
    <n v="32070294"/>
    <s v="MANUEL DE JESUS DE AVILA CARLOS"/>
    <n v="20"/>
    <s v="Tumbacarguistas del Norte"/>
    <s v="Champion de Mantenimiento"/>
  </r>
  <r>
    <x v="4"/>
    <s v="LINEAS"/>
    <x v="55"/>
    <n v="32155712"/>
    <x v="53"/>
    <n v="32145199"/>
    <s v="LUIS ENRIQUE CONTRERAS SAENZ"/>
    <n v="20"/>
    <s v="Tumbacarguistas del Norte"/>
    <s v="Champion de Medio Ambiente"/>
  </r>
  <r>
    <x v="4"/>
    <s v="LINEAS"/>
    <x v="55"/>
    <n v="32155712"/>
    <x v="53"/>
    <n v="32180197"/>
    <s v="MARCO ANTONIO RODRIGUEZ MACIAS"/>
    <n v="20"/>
    <s v="Tumbacarguistas del Norte"/>
    <s v="Champion de People"/>
  </r>
  <r>
    <x v="4"/>
    <s v="LINEAS"/>
    <x v="55"/>
    <n v="32155712"/>
    <x v="53"/>
    <n v="32187986"/>
    <s v="JUAN MANUEL LUNA FERNANDEZ"/>
    <n v="20"/>
    <s v="Tumbacarguistas del Norte"/>
    <s v="Champion de logística"/>
  </r>
  <r>
    <x v="4"/>
    <s v="LINEAS"/>
    <x v="55"/>
    <n v="32155712"/>
    <x v="53"/>
    <n v="32197842"/>
    <s v="VELOZ ESPARZA DANIEL ALEXANDER"/>
    <n v="20"/>
    <s v="Tumbacarguistas del Norte"/>
    <s v="Champion Calidad"/>
  </r>
  <r>
    <x v="4"/>
    <s v="LINEAS"/>
    <x v="55"/>
    <n v="32155712"/>
    <x v="53"/>
    <n v="32198261"/>
    <s v="GARCIA CASTRO JOSE"/>
    <n v="20"/>
    <s v="Tumbacarguistas del Norte"/>
    <s v="Champion de Seguridad"/>
  </r>
  <r>
    <x v="4"/>
    <s v="ALMACEN ALTERNO "/>
    <x v="56"/>
    <n v="32173125"/>
    <x v="54"/>
    <n v="32198260"/>
    <s v="CALDERA SALCEDO JOSE DE JESUS"/>
    <n v="5"/>
    <s v="Finger Sagrado"/>
    <s v="PEOPLE"/>
  </r>
  <r>
    <x v="4"/>
    <s v="ALMACEN ALTERNO "/>
    <x v="56"/>
    <n v="32173125"/>
    <x v="54"/>
    <n v="32198244"/>
    <s v="RAMÍREZ LÓPEZ JOSE LUIS"/>
    <n v="5"/>
    <s v="Finger Sagrado"/>
    <s v="CALIDAD"/>
  </r>
  <r>
    <x v="4"/>
    <s v="ALMACEN ALTERNO "/>
    <x v="56"/>
    <n v="32173125"/>
    <x v="54"/>
    <n v="32198252"/>
    <s v="GONZÁLEZ MÁRQUEZ MARIO ARMANDO"/>
    <n v="5"/>
    <s v="Finger Sagrado"/>
    <s v="MANTENIMIENTO"/>
  </r>
  <r>
    <x v="4"/>
    <s v="ALMACEN ALTERNO "/>
    <x v="56"/>
    <n v="32173125"/>
    <x v="54"/>
    <n v="32197852"/>
    <s v="CONTRERAS VÁZQUEZ ULISES"/>
    <n v="5"/>
    <s v="Finger Sagrado"/>
    <s v="SEGURIDAD"/>
  </r>
  <r>
    <x v="7"/>
    <m/>
    <x v="57"/>
    <n v="32045378"/>
    <x v="55"/>
    <n v="32044892"/>
    <s v="LEOBARDO VARELA NIETO"/>
    <n v="8"/>
    <s v="Los Panchitos"/>
    <s v="LOGISTICA"/>
  </r>
  <r>
    <x v="5"/>
    <s v="Fermentación"/>
    <x v="54"/>
    <n v="32151916"/>
    <x v="52"/>
    <n v="32196366"/>
    <s v="VICTOR HUGO ASCENCIO LEYVA"/>
    <n v="6"/>
    <s v="LOS CHAMBINES DE FERMENTACIÓN"/>
    <s v="CALIDAD"/>
  </r>
  <r>
    <x v="7"/>
    <m/>
    <x v="57"/>
    <n v="32045378"/>
    <x v="55"/>
    <n v="32045438"/>
    <s v="HUGO ALBERTO CARDONA ESPINOZA"/>
    <n v="8"/>
    <s v="Los Panchitos"/>
    <s v="MANTENIMIENTO"/>
  </r>
  <r>
    <x v="7"/>
    <m/>
    <x v="57"/>
    <n v="32045378"/>
    <x v="55"/>
    <n v="32044783"/>
    <s v="SANTIAGO HERRERA AMADOR"/>
    <n v="8"/>
    <s v="Los Panchitos"/>
    <s v="LOGISTICA"/>
  </r>
  <r>
    <x v="7"/>
    <m/>
    <x v="57"/>
    <n v="32045378"/>
    <x v="55"/>
    <n v="32046259"/>
    <s v="JOSE CARLOS CARDONA LOERA"/>
    <n v="8"/>
    <s v="Los Panchitos"/>
    <s v="CALIDAD"/>
  </r>
  <r>
    <x v="7"/>
    <m/>
    <x v="57"/>
    <n v="32045378"/>
    <x v="55"/>
    <n v="32045572"/>
    <s v="J GUADALUPE GUZMAN MUÑOZ"/>
    <n v="8"/>
    <s v="Los Panchitos"/>
    <s v="SEGURIDAD"/>
  </r>
  <r>
    <x v="7"/>
    <m/>
    <x v="57"/>
    <n v="32045378"/>
    <x v="55"/>
    <n v="32209454"/>
    <s v="JOSE LUIS MALDINADO"/>
    <n v="8"/>
    <s v="Los Panchitos"/>
    <s v="AMBIENTAL"/>
  </r>
  <r>
    <x v="7"/>
    <m/>
    <x v="57"/>
    <n v="32045378"/>
    <x v="55"/>
    <n v="32204264"/>
    <s v="ADRIAN HERNANDEZ DE AVILA"/>
    <n v="8"/>
    <s v="Los Panchitos"/>
    <s v="GESTION"/>
  </r>
  <r>
    <x v="4"/>
    <s v="ALMACEN ALTERNO "/>
    <x v="58"/>
    <n v="32044160"/>
    <x v="56"/>
    <n v="32044057"/>
    <s v=" ARMANDO PINALES SANCHEZ"/>
    <n v="9"/>
    <s v="Tiburones"/>
    <s v="SEGURIDAD"/>
  </r>
  <r>
    <x v="4"/>
    <s v="ALMACEN ALTERNO "/>
    <x v="58"/>
    <n v="32044160"/>
    <x v="56"/>
    <n v="32057886"/>
    <s v="JORGE LUIS SAUCEDO DIAZ"/>
    <n v="9"/>
    <s v="Tiburones"/>
    <s v="MANTENIMIENTO"/>
  </r>
  <r>
    <x v="4"/>
    <s v="ALMACEN ALTERNO "/>
    <x v="58"/>
    <n v="32044160"/>
    <x v="56"/>
    <n v="32142973"/>
    <s v="ARNULFO SALAZAR GONZALEZ"/>
    <n v="9"/>
    <s v="Tiburones"/>
    <s v="SEGURIDAD"/>
  </r>
  <r>
    <x v="4"/>
    <s v="ALMACEN ALTERNO "/>
    <x v="58"/>
    <n v="32044160"/>
    <x v="56"/>
    <n v="32180188"/>
    <s v=" FRANCISCO RAMON MACIAS MARQUEZ"/>
    <n v="9"/>
    <s v="Tiburones"/>
    <s v="LOGÍSTICA"/>
  </r>
  <r>
    <x v="4"/>
    <s v="ALMACEN ALTERNO "/>
    <x v="58"/>
    <n v="32044160"/>
    <x v="56"/>
    <n v="32180190"/>
    <s v="DANIEL VILLAGRANA TORRES"/>
    <n v="9"/>
    <s v="Tiburones"/>
    <s v="MEDIO AMBIENTE"/>
  </r>
  <r>
    <x v="4"/>
    <s v="ALMACEN ALTERNO "/>
    <x v="58"/>
    <n v="32044160"/>
    <x v="56"/>
    <n v="32180383"/>
    <s v="JOAQUIN ACUÑA GUERRERO"/>
    <n v="9"/>
    <s v="Tiburones"/>
    <s v="CALIDAD"/>
  </r>
  <r>
    <x v="4"/>
    <s v="ALMACEN ALTERNO "/>
    <x v="58"/>
    <n v="32044160"/>
    <x v="56"/>
    <n v="32044160"/>
    <s v="ALVAREZ CASTAÑEDA SERGIO ALONSO"/>
    <n v="9"/>
    <s v="Tiburones"/>
    <s v="GESTIÓN"/>
  </r>
  <r>
    <x v="4"/>
    <s v="ALMACEN ALTERNO "/>
    <x v="58"/>
    <n v="32044160"/>
    <x v="56"/>
    <n v="32198244"/>
    <s v="RAMIREZ LOPEZ JOSE LUIS"/>
    <n v="9"/>
    <s v="Tiburones"/>
    <s v="PEOPLE"/>
  </r>
  <r>
    <x v="0"/>
    <s v="ENV 2"/>
    <x v="48"/>
    <n v="32172813"/>
    <x v="51"/>
    <n v="32044339"/>
    <s v="Santana Carmona Aguilar"/>
    <n v="11"/>
    <s v="FALK"/>
    <s v="APOYO GESTION"/>
  </r>
  <r>
    <x v="0"/>
    <s v="ENV 2"/>
    <x v="48"/>
    <n v="32172813"/>
    <x v="51"/>
    <n v="32045421"/>
    <s v="Felipe Valdez Valdez"/>
    <n v="11"/>
    <s v="FALK"/>
    <s v="APOYO MANTENIMIENTO"/>
  </r>
  <r>
    <x v="0"/>
    <s v="PCM"/>
    <x v="59"/>
    <n v="32045338"/>
    <x v="57"/>
    <n v="32044248"/>
    <s v="JOSE HUMBERTO VELAZQUEZ BELTRÁN"/>
    <n v="14"/>
    <s v="LA NASA"/>
    <s v="APOYO CALIDAD"/>
  </r>
  <r>
    <x v="5"/>
    <s v="Fermentación"/>
    <x v="54"/>
    <n v="32151916"/>
    <x v="52"/>
    <n v="32144776"/>
    <s v="WILMAR YOEL GONZALEZ LARA"/>
    <n v="6"/>
    <s v="LOS CHAMBINES DE FERMENTACIÓN"/>
    <s v="GENTE"/>
  </r>
  <r>
    <x v="3"/>
    <s v="CALDERAS"/>
    <x v="6"/>
    <n v="32149492"/>
    <x v="5"/>
    <n v="32043646"/>
    <s v="ROGELIO REYES BENITEZ"/>
    <n v="7"/>
    <s v="LOS MAS CHINGONES"/>
    <s v="CHAMPION LOGISTICA"/>
  </r>
  <r>
    <x v="3"/>
    <s v="TURBINAS"/>
    <x v="7"/>
    <n v="32217652"/>
    <x v="6"/>
    <n v="32043979"/>
    <s v="EDUARDO MARTINEZ RIESTRA"/>
    <n v="7"/>
    <s v="LOS MAS CHINGONES"/>
    <s v="CHAMPION GESTION"/>
  </r>
  <r>
    <x v="3"/>
    <s v="TURBINAS"/>
    <x v="7"/>
    <n v="32217652"/>
    <x v="6"/>
    <n v="32043771"/>
    <s v="JOEL DE SANTIAGO ALEMAN"/>
    <n v="7"/>
    <s v="LOS MAS CHINGONES"/>
    <s v="CHAMPION LOGISTICA"/>
  </r>
  <r>
    <x v="3"/>
    <s v="CO2"/>
    <x v="8"/>
    <n v="32043797"/>
    <x v="8"/>
    <n v="32043916"/>
    <s v="ALFREDO CARRILLO CASILLAS"/>
    <n v="7"/>
    <s v="TURBINEROS CCZ"/>
    <s v="CHAMPION LOGISTICA"/>
  </r>
  <r>
    <x v="3"/>
    <s v="CO2"/>
    <x v="8"/>
    <n v="32043797"/>
    <x v="8"/>
    <n v="32043908"/>
    <s v="ALFREDO GUERRERO GARCIA"/>
    <n v="7"/>
    <s v="TURBINEROS CCZ"/>
    <s v="CHAMPION AMBINETAL"/>
  </r>
  <r>
    <x v="0"/>
    <s v="PCM"/>
    <x v="59"/>
    <n v="32045338"/>
    <x v="57"/>
    <n v="32044491"/>
    <s v="GERARDO DÁVILA ESQUIVEL"/>
    <n v="14"/>
    <s v="LA NASA"/>
    <s v="APOYO SEGURIDAD"/>
  </r>
  <r>
    <x v="0"/>
    <s v="PCM"/>
    <x v="59"/>
    <n v="32045338"/>
    <x v="57"/>
    <n v="32044685"/>
    <s v="JUAN VEYNA ESQUIVEL"/>
    <n v="14"/>
    <s v="LA NASA"/>
    <s v="APOYO GESTION"/>
  </r>
  <r>
    <x v="0"/>
    <s v="PCM"/>
    <x v="59"/>
    <n v="32045338"/>
    <x v="57"/>
    <n v="32045217"/>
    <s v="HILARIO GARCIA GARCIA"/>
    <n v="14"/>
    <s v="LA NASA"/>
    <s v="APOYO MEDIO AMBIENTE"/>
  </r>
  <r>
    <x v="0"/>
    <s v="PCM"/>
    <x v="59"/>
    <n v="32045338"/>
    <x v="57"/>
    <n v="32146676"/>
    <s v="JUAN DE JESUS CARRILLO VEGA "/>
    <n v="14"/>
    <s v="LA NASA"/>
    <s v="GESTION"/>
  </r>
  <r>
    <x v="0"/>
    <s v="PCM"/>
    <x v="59"/>
    <n v="32045338"/>
    <x v="57"/>
    <n v="32045883"/>
    <s v="LUIS OMAR ROMERO CERRILLO"/>
    <n v="14"/>
    <s v="LA NASA"/>
    <s v="GENTE"/>
  </r>
  <r>
    <x v="0"/>
    <s v="PCM"/>
    <x v="59"/>
    <n v="32045338"/>
    <x v="57"/>
    <n v="32044063"/>
    <s v="ANTONIO MARTINEZ ROBLEDO"/>
    <n v="14"/>
    <s v="LA NASA"/>
    <s v="APOYO GENTE"/>
  </r>
  <r>
    <x v="0"/>
    <s v="PCM"/>
    <x v="59"/>
    <n v="32045338"/>
    <x v="57"/>
    <n v="32044925"/>
    <s v="GUSTAVO HURTADO ESPARZA"/>
    <n v="14"/>
    <s v="LA NASA"/>
    <s v="APOYO MANTENIMIENTO"/>
  </r>
  <r>
    <x v="0"/>
    <s v="PCM"/>
    <x v="59"/>
    <n v="32045338"/>
    <x v="57"/>
    <n v="32046050"/>
    <s v="OSCAR GALLARDO IBARRA"/>
    <n v="14"/>
    <s v="LA NASA"/>
    <s v="CALIDAD"/>
  </r>
  <r>
    <x v="0"/>
    <s v="PCM"/>
    <x v="59"/>
    <n v="32045338"/>
    <x v="57"/>
    <n v="32046677"/>
    <s v="FRANCISCO JAVIER NUÑEZ SALINAS"/>
    <n v="14"/>
    <s v="LA NASA"/>
    <s v="APOYO SEGURIDAD"/>
  </r>
  <r>
    <x v="0"/>
    <s v="PCM"/>
    <x v="59"/>
    <n v="32045338"/>
    <x v="57"/>
    <n v="32146283"/>
    <s v="GENARO ISAAC ROBLES HURTADO"/>
    <n v="14"/>
    <s v="LA NASA"/>
    <s v="MEDIO AMBIENTE"/>
  </r>
  <r>
    <x v="0"/>
    <s v="PCM"/>
    <x v="59"/>
    <n v="32045338"/>
    <x v="57"/>
    <n v="32045842"/>
    <s v="JUAN ESPINOZA CABRERA"/>
    <n v="14"/>
    <s v="LA NASA"/>
    <s v="MANTENIMIENTO"/>
  </r>
  <r>
    <x v="0"/>
    <s v="PCM"/>
    <x v="59"/>
    <n v="32045338"/>
    <x v="57"/>
    <n v="32043986"/>
    <s v="FELIPE DE JESUS SILVA HURTADO"/>
    <n v="14"/>
    <s v="LA NASA"/>
    <s v="APOYO MEDIO AMBIENTE"/>
  </r>
  <r>
    <x v="0"/>
    <s v="PCM"/>
    <x v="59"/>
    <n v="32045338"/>
    <x v="57"/>
    <n v="32044677"/>
    <s v="JORGE TREJO RAMIREZ"/>
    <n v="14"/>
    <s v="LA NASA"/>
    <s v="SEGURIDAD"/>
  </r>
  <r>
    <x v="0"/>
    <s v="ENV 3"/>
    <x v="60"/>
    <n v="32145111"/>
    <x v="58"/>
    <n v="32072230"/>
    <s v="HUGO CESAR VELASCO RUIZ"/>
    <n v="7"/>
    <s v="MACHINES"/>
    <s v="MEDIO AMBIENTE"/>
  </r>
  <r>
    <x v="0"/>
    <s v="ENV 3"/>
    <x v="60"/>
    <n v="32145111"/>
    <x v="58"/>
    <n v="32044401"/>
    <s v="JOSÉ GPE GURROLA CARRILLO"/>
    <n v="7"/>
    <s v="MACHINES"/>
    <s v="CALIDAD"/>
  </r>
  <r>
    <x v="0"/>
    <s v="ENV 3"/>
    <x v="60"/>
    <n v="32145111"/>
    <x v="58"/>
    <n v="32137944"/>
    <s v="VICTOR H CASTELLANOS Z"/>
    <n v="7"/>
    <s v="MACHINES"/>
    <s v="CALIDAD"/>
  </r>
  <r>
    <x v="0"/>
    <s v="ENV 3"/>
    <x v="60"/>
    <n v="32151318"/>
    <x v="59"/>
    <n v="32045518"/>
    <s v="Ricardo Gutiérrez Pacheco "/>
    <n v="7"/>
    <s v="MACHINES"/>
    <s v="SEGURIDAD"/>
  </r>
  <r>
    <x v="0"/>
    <s v="ENV 3"/>
    <x v="60"/>
    <n v="32151318"/>
    <x v="59"/>
    <n v="32045905"/>
    <s v="Martin Mireles Navarro"/>
    <n v="7"/>
    <s v="MACHINES"/>
    <s v="GESTION"/>
  </r>
  <r>
    <x v="0"/>
    <s v="ENV 3"/>
    <x v="60"/>
    <n v="32151318"/>
    <x v="59"/>
    <n v="32146000"/>
    <s v="Francisco Javier Rodriguez Bautista"/>
    <n v="7"/>
    <s v="MACHINES"/>
    <s v="MANTENIMIENTO"/>
  </r>
  <r>
    <x v="0"/>
    <s v="ENV 3"/>
    <x v="60"/>
    <n v="32151318"/>
    <x v="59"/>
    <n v="32044297"/>
    <s v="Pedro Galindo Oliva"/>
    <n v="7"/>
    <s v="MACHINES"/>
    <s v="GENTE"/>
  </r>
  <r>
    <x v="0"/>
    <s v="C &amp; A"/>
    <x v="61"/>
    <n v="32045081"/>
    <x v="60"/>
    <n v="32045048"/>
    <s v="JOSE REFUGIO GONZALEZ "/>
    <n v="5"/>
    <s v="NEUMATICOS"/>
    <s v="GENTE"/>
  </r>
  <r>
    <x v="1"/>
    <n v="3"/>
    <x v="62"/>
    <n v="32149965"/>
    <x v="61"/>
    <n v="32043938"/>
    <s v="RODOLFO SALAZAR DE LA TORRE"/>
    <n v="9"/>
    <s v="LINCES"/>
    <s v="CHAMPION GESTIÓN"/>
  </r>
  <r>
    <x v="1"/>
    <n v="3"/>
    <x v="62"/>
    <n v="32149965"/>
    <x v="61"/>
    <n v="32198302"/>
    <s v="MARLA GUADALUPE LIRA BAÑUELO"/>
    <n v="9"/>
    <s v="LINCES"/>
    <s v="CHAMPION CALIDAD"/>
  </r>
  <r>
    <x v="1"/>
    <n v="3"/>
    <x v="62"/>
    <n v="32149965"/>
    <x v="61"/>
    <n v="32198296"/>
    <s v="MARIA DE JESUS RIVAS LANDEROS "/>
    <n v="9"/>
    <s v="LINCES"/>
    <s v="CHAMPION LOGISTICA"/>
  </r>
  <r>
    <x v="1"/>
    <n v="3"/>
    <x v="62"/>
    <n v="32149965"/>
    <x v="61"/>
    <n v="32045054"/>
    <s v="ISIDORO RAMIREZ TORRES"/>
    <n v="9"/>
    <s v="LINCES"/>
    <s v="CHAMPION GENTE"/>
  </r>
  <r>
    <x v="1"/>
    <n v="3"/>
    <x v="62"/>
    <n v="32149965"/>
    <x v="61"/>
    <n v="32044283"/>
    <s v="JUAN CARLOS ROJAS LOPEZ"/>
    <n v="9"/>
    <s v="LINCES"/>
    <s v="CHAMPION AMBIENTAL"/>
  </r>
  <r>
    <x v="1"/>
    <n v="3"/>
    <x v="62"/>
    <n v="32149965"/>
    <x v="61"/>
    <n v="32044951"/>
    <s v="DAVID JIMENEZ MARTINEZ"/>
    <n v="9"/>
    <s v="LINCES"/>
    <s v="CHAMPION MANTENIMIENTO"/>
  </r>
  <r>
    <x v="1"/>
    <n v="3"/>
    <x v="62"/>
    <n v="32149965"/>
    <x v="61"/>
    <n v="32198290"/>
    <s v="LIDIA SELENE RIVAS LANDEROS "/>
    <n v="9"/>
    <s v="LINCES"/>
    <s v="CHAMPION SEGURIDAD"/>
  </r>
  <r>
    <x v="1"/>
    <n v="3"/>
    <x v="62"/>
    <n v="32149965"/>
    <x v="61"/>
    <n v="32058348"/>
    <s v="ANDRES DOMNGUEZ JIMENEZ"/>
    <n v="9"/>
    <s v="LINCES"/>
    <s v="APOYO GESTION"/>
  </r>
  <r>
    <x v="1"/>
    <n v="3"/>
    <x v="62"/>
    <n v="32149965"/>
    <x v="61"/>
    <n v="32150512"/>
    <s v="ESTEBAN REYES IBARRA"/>
    <n v="9"/>
    <s v="LINCES"/>
    <s v="APOYO SEGURIDAD"/>
  </r>
  <r>
    <x v="5"/>
    <s v="Fermentación"/>
    <x v="54"/>
    <n v="32222350"/>
    <x v="62"/>
    <n v="32044776"/>
    <s v="BENITO VALLE VELAZQUEZ"/>
    <n v="6"/>
    <s v="LOS CHAMBINES DE FERMENTACIÓN"/>
    <s v="GESTIÓN"/>
  </r>
  <r>
    <x v="6"/>
    <m/>
    <x v="63"/>
    <n v="32045909"/>
    <x v="63"/>
    <n v="32043813"/>
    <s v="TOMAS MENDEZ GAYTAN"/>
    <n v="7"/>
    <s v="PREDICTIVOS ZACATECAS"/>
    <s v="GESTION"/>
  </r>
  <r>
    <x v="6"/>
    <m/>
    <x v="63"/>
    <n v="32045909"/>
    <x v="63"/>
    <n v="32044591"/>
    <s v="RAMIRO ORTIZ VAZQUEZ"/>
    <n v="7"/>
    <s v="PREDICTIVOS ZACATECAS"/>
    <s v="AMBIENTAL"/>
  </r>
  <r>
    <x v="6"/>
    <m/>
    <x v="63"/>
    <n v="32045909"/>
    <x v="63"/>
    <n v="32044323"/>
    <s v="JOSE DE JESUS ALMANZA CASTRO"/>
    <n v="7"/>
    <s v="PREDICTIVOS ZACATECAS"/>
    <s v="CALIDAD"/>
  </r>
  <r>
    <x v="6"/>
    <m/>
    <x v="63"/>
    <n v="32045909"/>
    <x v="63"/>
    <n v="32044678"/>
    <s v="JOSE MANUEL CARRERA TORRES"/>
    <n v="7"/>
    <s v="PREDICTIVOS ZACATECAS"/>
    <s v="CALIDAD"/>
  </r>
  <r>
    <x v="6"/>
    <m/>
    <x v="63"/>
    <n v="32045909"/>
    <x v="63"/>
    <n v="32044985"/>
    <s v="CARLOS ULTRERAS CALDERA"/>
    <n v="7"/>
    <s v="PREDICTIVOS ZACATECAS"/>
    <s v="GESTION"/>
  </r>
  <r>
    <x v="6"/>
    <m/>
    <x v="63"/>
    <n v="32045909"/>
    <x v="63"/>
    <n v="32044422"/>
    <s v="HUMBERTO TORRES MARQUEZ"/>
    <n v="7"/>
    <s v="PREDICTIVOS ZACATECAS"/>
    <s v="SEGURIDAD"/>
  </r>
  <r>
    <x v="6"/>
    <m/>
    <x v="63"/>
    <n v="32045909"/>
    <x v="63"/>
    <n v="32045837"/>
    <s v="ROMAN MEDRANO GUERRERO"/>
    <n v="7"/>
    <s v="PREDICTIVOS ZACATECAS"/>
    <s v="SEGURIDAD"/>
  </r>
  <r>
    <x v="8"/>
    <s v="ACA"/>
    <x v="64"/>
    <n v="32043720"/>
    <x v="64"/>
    <n v="32044547"/>
    <s v="ISABEL ALFONSO TAPIA MEDELLÍN "/>
    <n v="15"/>
    <s v="CAZADORES"/>
    <s v="APOYO CHAMPION DE LOGISTICA"/>
  </r>
  <r>
    <x v="8"/>
    <s v="ACA"/>
    <x v="64"/>
    <n v="32043720"/>
    <x v="64"/>
    <n v="32055155"/>
    <s v="ALFREDO NIETO REVILLA "/>
    <n v="15"/>
    <s v="CAZADORES"/>
    <s v="APOYO CHAMPION DE AMBIENTAL"/>
  </r>
  <r>
    <x v="8"/>
    <s v="ACA"/>
    <x v="64"/>
    <n v="32043720"/>
    <x v="64"/>
    <n v="32045475"/>
    <s v="ENRIQUE DELGADO BELMONTE"/>
    <n v="15"/>
    <s v="CAZADORES"/>
    <s v="APOYO CHAMPION DE CALIDAD"/>
  </r>
  <r>
    <x v="8"/>
    <s v="ACA"/>
    <x v="64"/>
    <n v="32043720"/>
    <x v="64"/>
    <n v="32111147"/>
    <s v="FRAY MARTÍN RODRÍGUEZ DELGADILLO"/>
    <n v="15"/>
    <s v="CAZADORES"/>
    <s v="APOYO CHAMPION DE SEGURIDAD"/>
  </r>
  <r>
    <x v="8"/>
    <s v="ACA"/>
    <x v="64"/>
    <n v="32043720"/>
    <x v="64"/>
    <n v="32143046"/>
    <s v="JOSÉ DE JESÚS ZAVALA CALDERON "/>
    <n v="15"/>
    <s v="CAZADORES"/>
    <s v="GESTIÓN "/>
  </r>
  <r>
    <x v="8"/>
    <s v="ACA"/>
    <x v="64"/>
    <n v="32043720"/>
    <x v="64"/>
    <n v="32096526"/>
    <s v="FRANCISCO ZAVALA DOMINGUEZ"/>
    <n v="15"/>
    <s v="CAZADORES"/>
    <s v="AMBIENTAL "/>
  </r>
  <r>
    <x v="8"/>
    <s v="ACA"/>
    <x v="64"/>
    <n v="32043720"/>
    <x v="64"/>
    <n v="32046418"/>
    <s v="ANTONIO MARTÍNEZ GUERRERO "/>
    <n v="15"/>
    <s v="CAZADORES"/>
    <s v="LOGÍSTICA Y SEGURIDAD"/>
  </r>
  <r>
    <x v="8"/>
    <s v="ACA"/>
    <x v="64"/>
    <n v="32043720"/>
    <x v="64"/>
    <n v="32046065"/>
    <s v="SALVADOR REYES DELGADO "/>
    <n v="15"/>
    <s v="CAZADORES"/>
    <s v="CALIDAD"/>
  </r>
  <r>
    <x v="8"/>
    <s v="ACA"/>
    <x v="64"/>
    <n v="32043720"/>
    <x v="64"/>
    <n v="32061082"/>
    <s v="GERARDO NIETO NIETO "/>
    <n v="15"/>
    <s v="CAZADORES"/>
    <s v="APOYO CHAMPION DE PEOPLE"/>
  </r>
  <r>
    <x v="8"/>
    <s v="ACA"/>
    <x v="64"/>
    <n v="32043720"/>
    <x v="64"/>
    <n v="32044975"/>
    <s v="GUILLERMO REYES MENDEZ"/>
    <n v="15"/>
    <s v="CAZADORES"/>
    <s v="APOYO CHAMPION DE MANTENIMIENTO"/>
  </r>
  <r>
    <x v="8"/>
    <s v="ACA"/>
    <x v="64"/>
    <n v="32043720"/>
    <x v="64"/>
    <n v="32057722"/>
    <s v="JAVIER SANCHEZ VAZQUEZ "/>
    <n v="15"/>
    <s v="CAZADORES"/>
    <s v="APOYO CHAMPION DE PEOPLE"/>
  </r>
  <r>
    <x v="8"/>
    <s v="ACA"/>
    <x v="64"/>
    <n v="32043720"/>
    <x v="64"/>
    <n v="32046549"/>
    <s v="LEOBARDO CARRILLO FIGUEROA "/>
    <n v="15"/>
    <s v="CAZADORES"/>
    <s v="APOYO CHAMPION DE AMBIENTAL"/>
  </r>
  <r>
    <x v="8"/>
    <s v="ACA"/>
    <x v="64"/>
    <n v="32043720"/>
    <x v="64"/>
    <n v="32057596"/>
    <s v="LEONEL RAMIREZ DOMINGUEZ "/>
    <n v="15"/>
    <s v="CAZADORES"/>
    <s v="PEOPLE"/>
  </r>
  <r>
    <x v="8"/>
    <s v="ACA"/>
    <x v="64"/>
    <n v="32043720"/>
    <x v="64"/>
    <n v="32153661"/>
    <s v="MANUEL DE JESUS ZAPATA ORTIZ"/>
    <n v="15"/>
    <s v="CAZADORES"/>
    <s v="APOYO CHAMPION DE GESTIÓN"/>
  </r>
  <r>
    <x v="8"/>
    <s v="ACA"/>
    <x v="64"/>
    <n v="32043720"/>
    <x v="64"/>
    <n v="32044511"/>
    <s v="JAIME PÉREZ MORALES"/>
    <n v="15"/>
    <s v="CAZADORES"/>
    <s v="MANTENIMIENTO"/>
  </r>
  <r>
    <x v="0"/>
    <s v="C &amp; A"/>
    <x v="61"/>
    <n v="32045081"/>
    <x v="60"/>
    <n v="32043837"/>
    <s v="CARLOS ROBERTO FALCON"/>
    <n v="5"/>
    <s v="NEUMATICOS"/>
    <s v="MANTENIMIENTO"/>
  </r>
  <r>
    <x v="0"/>
    <s v="C &amp; A"/>
    <x v="61"/>
    <n v="32045081"/>
    <x v="60"/>
    <n v="32064462"/>
    <s v="DAVID SIFUENTES MONTAÑEZ"/>
    <n v="5"/>
    <s v="NEUMATICOS"/>
    <s v="GESTION"/>
  </r>
  <r>
    <x v="0"/>
    <s v="C &amp; A"/>
    <x v="61"/>
    <n v="32045081"/>
    <x v="60"/>
    <n v="32044306"/>
    <s v="FRANCISCO GOYTIA GAUCIN"/>
    <n v="5"/>
    <s v="NEUMATICOS"/>
    <s v="SEGURIDAD"/>
  </r>
  <r>
    <x v="0"/>
    <s v="C &amp; A"/>
    <x v="61"/>
    <n v="32045081"/>
    <x v="60"/>
    <n v="32043846"/>
    <s v="SALVADOR LOPEZ ARENA"/>
    <n v="5"/>
    <s v="NEUMATICOS"/>
    <s v="MEDIO AMBIENTE"/>
  </r>
  <r>
    <x v="0"/>
    <s v="ENV 1"/>
    <x v="65"/>
    <n v="32055317"/>
    <x v="65"/>
    <n v="32044526"/>
    <s v="JOSÉ ALBERTO GARCÍA REZA"/>
    <n v="6"/>
    <s v="NITRO"/>
    <s v="GESTION"/>
  </r>
  <r>
    <x v="4"/>
    <s v="LINEAS"/>
    <x v="55"/>
    <n v="32155712"/>
    <x v="53"/>
    <n v="32213362"/>
    <s v="GALLEGOS MENDEZ HOMERO"/>
    <n v="20"/>
    <s v="Tumbacarguistas del Norte"/>
    <s v="Champion Gestión"/>
  </r>
  <r>
    <x v="4"/>
    <s v="LINEAS"/>
    <x v="55"/>
    <n v="32155712"/>
    <x v="53"/>
    <n v="32198248"/>
    <s v="GONZALEZ SILVA LUIS ENRIQUE"/>
    <n v="20"/>
    <s v="Tumbacarguistas del Norte"/>
    <s v="Champion de Mantenimiento"/>
  </r>
  <r>
    <x v="4"/>
    <s v="LINEAS"/>
    <x v="66"/>
    <n v="32178853"/>
    <x v="66"/>
    <n v="32043912"/>
    <s v=" GUSTAVO LEYVA ZAVALA"/>
    <n v="20"/>
    <s v="Paisas"/>
    <s v="LOGÍSTICA"/>
  </r>
  <r>
    <x v="4"/>
    <s v="LINEAS"/>
    <x v="66"/>
    <n v="32178853"/>
    <x v="66"/>
    <n v="32043937"/>
    <s v="GILBERTO MENDEZ RODARTE"/>
    <n v="20"/>
    <s v="Paisas"/>
    <s v="CALIDAD"/>
  </r>
  <r>
    <x v="4"/>
    <s v="LINEAS"/>
    <x v="66"/>
    <n v="32178853"/>
    <x v="66"/>
    <n v="32044690"/>
    <s v=" FIDEL DE JESUS TORRES ALVARADO"/>
    <n v="20"/>
    <s v="Paisas"/>
    <s v="MANTENIMIENTO"/>
  </r>
  <r>
    <x v="4"/>
    <s v="LINEAS"/>
    <x v="66"/>
    <n v="32178853"/>
    <x v="66"/>
    <n v="32044691"/>
    <s v=" JUAN MANUEL VALENZUELA SALAZAR"/>
    <n v="20"/>
    <s v="Paisas"/>
    <s v="SEGURIDAD"/>
  </r>
  <r>
    <x v="4"/>
    <s v="LINEAS"/>
    <x v="66"/>
    <n v="32178853"/>
    <x v="66"/>
    <n v="32044785"/>
    <s v=" CESAR MEDINA MIRAMONTES"/>
    <n v="20"/>
    <s v="Paisas"/>
    <s v="PEOPLE"/>
  </r>
  <r>
    <x v="4"/>
    <s v="LINEAS"/>
    <x v="66"/>
    <n v="32178853"/>
    <x v="66"/>
    <n v="32045661"/>
    <s v="ORLANDO ROMAN MAURICIO"/>
    <n v="20"/>
    <s v="Paisas"/>
    <s v="GESTIÓN"/>
  </r>
  <r>
    <x v="4"/>
    <s v="LINEAS"/>
    <x v="66"/>
    <n v="32178853"/>
    <x v="66"/>
    <n v="32046040"/>
    <s v=" JOSE MANUEL DOMINGUEZ RAMIREZ"/>
    <n v="20"/>
    <s v="Paisas"/>
    <s v="LOGÍSTICA"/>
  </r>
  <r>
    <x v="4"/>
    <s v="LINEAS"/>
    <x v="66"/>
    <n v="32178853"/>
    <x v="66"/>
    <n v="32046470"/>
    <s v="REYES RODRIGUEZ SALAZAR"/>
    <n v="20"/>
    <s v="Paisas"/>
    <s v="PEOPLE"/>
  </r>
  <r>
    <x v="4"/>
    <s v="LINEAS"/>
    <x v="66"/>
    <n v="32178853"/>
    <x v="66"/>
    <n v="32046576"/>
    <s v="ELOY VELAZQUEZ RAMIREZ "/>
    <n v="20"/>
    <s v="Paisas"/>
    <s v="MANTENIMIENTO"/>
  </r>
  <r>
    <x v="4"/>
    <s v="LINEAS"/>
    <x v="66"/>
    <n v="32178853"/>
    <x v="66"/>
    <n v="32055315"/>
    <s v="RAUL ORTIZ CAMARILLO"/>
    <n v="20"/>
    <s v="Paisas"/>
    <s v="MEDIO AMBIENTE"/>
  </r>
  <r>
    <x v="4"/>
    <s v="LINEAS"/>
    <x v="66"/>
    <n v="32178853"/>
    <x v="66"/>
    <n v="32056674"/>
    <s v=" ELIAS GURROLA LOPEZ"/>
    <n v="20"/>
    <s v="Paisas"/>
    <s v="CALIDAD"/>
  </r>
  <r>
    <x v="4"/>
    <s v="LINEAS"/>
    <x v="66"/>
    <n v="32178853"/>
    <x v="66"/>
    <n v="32056896"/>
    <s v="LUIS ANTONIO VAQUERA MARTINEZ"/>
    <n v="20"/>
    <s v="Paisas"/>
    <s v="SEGURIDAD"/>
  </r>
  <r>
    <x v="4"/>
    <s v="LINEAS"/>
    <x v="66"/>
    <n v="32178853"/>
    <x v="66"/>
    <n v="32060913"/>
    <s v=" RAMIRO SOSA JUAREZ"/>
    <n v="20"/>
    <s v="Paisas"/>
    <s v="PEOPLE"/>
  </r>
  <r>
    <x v="4"/>
    <s v="LINEAS"/>
    <x v="66"/>
    <n v="32178853"/>
    <x v="66"/>
    <n v="32096550"/>
    <s v="YEFRY RUELAS SANCHEZ"/>
    <n v="20"/>
    <s v="Paisas"/>
    <s v="GESTIÓN"/>
  </r>
  <r>
    <x v="4"/>
    <s v="LINEAS"/>
    <x v="66"/>
    <n v="32178853"/>
    <x v="66"/>
    <n v="32136857"/>
    <s v="ERIC TORRES TORRES"/>
    <n v="20"/>
    <s v="Paisas"/>
    <s v="GESTIÓN"/>
  </r>
  <r>
    <x v="4"/>
    <s v="LINEAS"/>
    <x v="66"/>
    <n v="32178853"/>
    <x v="66"/>
    <n v="32136861"/>
    <s v="HECTOR DAVID ELICERIO RODRIGUEZ"/>
    <n v="20"/>
    <s v="Paisas"/>
    <s v="SEGURIDAD"/>
  </r>
  <r>
    <x v="4"/>
    <s v="LINEAS"/>
    <x v="66"/>
    <n v="32178853"/>
    <x v="66"/>
    <n v="32178730"/>
    <s v=" MARCO ANTONIO ARANDA NAVA"/>
    <n v="20"/>
    <s v="Paisas"/>
    <s v="MEDIO AMBIENTE"/>
  </r>
  <r>
    <x v="0"/>
    <s v="ENV 1"/>
    <x v="65"/>
    <n v="32055317"/>
    <x v="65"/>
    <n v="32044441"/>
    <s v="PEDRO DOMÍNGUEZ CARRILLO"/>
    <n v="6"/>
    <s v="NITRO"/>
    <s v="SEGURIDAD"/>
  </r>
  <r>
    <x v="0"/>
    <s v="ENV 1"/>
    <x v="65"/>
    <n v="32055317"/>
    <x v="65"/>
    <n v="32149469"/>
    <s v="ANDRES ALMEIDA ESPINOZA"/>
    <n v="6"/>
    <s v="NITRO"/>
    <s v="MANTENIMIENTO"/>
  </r>
  <r>
    <x v="0"/>
    <s v="ENV 1"/>
    <x v="65"/>
    <n v="32172323"/>
    <x v="67"/>
    <n v="32044223"/>
    <s v="JESUS DIAZ CARRILLO"/>
    <n v="6"/>
    <s v="NITRO"/>
    <s v="MEDIO AMBIENTE"/>
  </r>
  <r>
    <x v="0"/>
    <s v="ENV 1"/>
    <x v="65"/>
    <n v="32172323"/>
    <x v="67"/>
    <n v="32044825"/>
    <s v="JOSÉ MANUEL MUÑOZ CORTES"/>
    <n v="6"/>
    <s v="NITRO"/>
    <s v="GENTE"/>
  </r>
  <r>
    <x v="0"/>
    <s v="ENV 1"/>
    <x v="65"/>
    <n v="32172323"/>
    <x v="67"/>
    <n v="32044065"/>
    <s v="JOSÉ ALFREDO FRANCO ORTEGA"/>
    <n v="6"/>
    <s v="NITRO"/>
    <s v="CALIDAD"/>
  </r>
  <r>
    <x v="0"/>
    <s v="ENV 2"/>
    <x v="67"/>
    <n v="32149977"/>
    <x v="68"/>
    <n v="32043723"/>
    <s v="Luis Roldan Barraza"/>
    <n v="7"/>
    <s v="PISTONS"/>
    <s v="MEDIO AMBIENTE"/>
  </r>
  <r>
    <x v="0"/>
    <s v="ENV 2"/>
    <x v="67"/>
    <n v="32149977"/>
    <x v="68"/>
    <n v="32043647"/>
    <s v="Martin Tovar Salazar"/>
    <n v="7"/>
    <s v="PISTONS"/>
    <s v="GESTION"/>
  </r>
  <r>
    <x v="6"/>
    <m/>
    <x v="68"/>
    <n v="32045053"/>
    <x v="69"/>
    <n v="32044261"/>
    <s v="ARCADIO OVALLE MENDOZA"/>
    <n v="12"/>
    <s v="LOS TIGRES AMBIENTALES"/>
    <s v="CALIDAD"/>
  </r>
  <r>
    <x v="6"/>
    <m/>
    <x v="68"/>
    <n v="32045053"/>
    <x v="69"/>
    <n v="32044432"/>
    <s v="FACUNDO MORENO LOPEZ"/>
    <n v="12"/>
    <s v="LOS TIGRES AMBIENTALES"/>
    <s v="AMBIENTAL"/>
  </r>
  <r>
    <x v="6"/>
    <m/>
    <x v="68"/>
    <n v="32045053"/>
    <x v="69"/>
    <n v="32149491"/>
    <s v="ISAI FLORES ORTIZ"/>
    <n v="12"/>
    <s v="LOS TIGRES AMBIENTALES"/>
    <s v="SEGURIDAD"/>
  </r>
  <r>
    <x v="6"/>
    <m/>
    <x v="68"/>
    <n v="32045053"/>
    <x v="69"/>
    <n v="32094845"/>
    <s v="HUMBERTO GALLEGOS RAMIREZ"/>
    <n v="12"/>
    <s v="LOS TIGRES AMBIENTALES"/>
    <s v="MANTENIMIENTO"/>
  </r>
  <r>
    <x v="6"/>
    <m/>
    <x v="68"/>
    <n v="32045053"/>
    <x v="69"/>
    <n v="32045705"/>
    <s v="JUAN PEDRO MURO CHAVEZ"/>
    <n v="12"/>
    <s v="LOS TIGRES AMBIENTALES"/>
    <s v="GENTE"/>
  </r>
  <r>
    <x v="6"/>
    <m/>
    <x v="68"/>
    <n v="32045053"/>
    <x v="69"/>
    <n v="32045497"/>
    <s v="JOSE EDUARDO LARA DURON"/>
    <n v="12"/>
    <s v="LOS TIGRES AMBIENTALES"/>
    <s v="GENTE"/>
  </r>
  <r>
    <x v="6"/>
    <m/>
    <x v="68"/>
    <n v="32045053"/>
    <x v="69"/>
    <n v="32045786"/>
    <s v="JOSE EMILIO ESCATEL DEL PILAR"/>
    <n v="12"/>
    <s v="LOS TIGRES AMBIENTALES"/>
    <s v="MANTENIMIENTO"/>
  </r>
  <r>
    <x v="6"/>
    <m/>
    <x v="68"/>
    <n v="32045053"/>
    <x v="69"/>
    <n v="32043737"/>
    <s v="JUAN CARLOS MACIAS AGUAYO"/>
    <n v="12"/>
    <s v="LOS TIGRES AMBIENTALES"/>
    <s v="GESTION"/>
  </r>
  <r>
    <x v="6"/>
    <m/>
    <x v="68"/>
    <n v="32045053"/>
    <x v="69"/>
    <n v="32043751"/>
    <s v="MAURO ALBERTO CORDOVA HERRERA"/>
    <n v="12"/>
    <s v="LOS TIGRES AMBIENTALES"/>
    <s v="GESTION"/>
  </r>
  <r>
    <x v="6"/>
    <m/>
    <x v="68"/>
    <n v="32045053"/>
    <x v="69"/>
    <n v="32045336"/>
    <s v="NICOLAS RENE CEBALLOS PINEDO"/>
    <n v="12"/>
    <s v="LOS TIGRES AMBIENTALES"/>
    <s v="AMBIENTAL"/>
  </r>
  <r>
    <x v="6"/>
    <m/>
    <x v="68"/>
    <n v="32045053"/>
    <x v="69"/>
    <n v="32043834"/>
    <s v="SAUL GUERRERO GARCIA"/>
    <n v="12"/>
    <s v="LOS TIGRES AMBIENTALES"/>
    <s v="SEGURIDAD"/>
  </r>
  <r>
    <x v="6"/>
    <m/>
    <x v="68"/>
    <n v="32045053"/>
    <x v="69"/>
    <n v="32044599"/>
    <s v="VICTOR MANUEL SOSA DE LA TORRE"/>
    <n v="12"/>
    <s v="LOS TIGRES AMBIENTALES"/>
    <s v="CALIDAD"/>
  </r>
  <r>
    <x v="5"/>
    <s v="Fermentación"/>
    <x v="54"/>
    <n v="32222350"/>
    <x v="62"/>
    <n v="32045357"/>
    <s v="GUSTAVO MELENCIANO MARTINEZ"/>
    <n v="6"/>
    <s v="LOS CHAMBINES DE FERMENTACIÓN"/>
    <s v="LOGISTICA"/>
  </r>
  <r>
    <x v="5"/>
    <s v="Fermentación"/>
    <x v="54"/>
    <n v="32222350"/>
    <x v="62"/>
    <n v="32144778"/>
    <s v="JUAN FRANCISCO GARCIA CARRILLO"/>
    <n v="6"/>
    <s v="LOS CHAMBINES DE FERMENTACIÓN"/>
    <s v="AMBIENTAL"/>
  </r>
  <r>
    <x v="7"/>
    <m/>
    <x v="32"/>
    <n v="32174889"/>
    <x v="33"/>
    <n v="32148922"/>
    <s v="JUAN ANTONIO VALDEZ LICERIO"/>
    <n v="7"/>
    <s v="LOS CAZADORES DEL AMARGOR"/>
    <s v="GENTE"/>
  </r>
  <r>
    <x v="5"/>
    <s v="Filtros-Gobierno"/>
    <x v="69"/>
    <n v="32044235"/>
    <x v="70"/>
    <n v="32045410"/>
    <s v="RODOLFO CABRERA CASTRO"/>
    <n v="5"/>
    <s v="LOS EMBAJADORES"/>
    <s v="GENTE"/>
  </r>
  <r>
    <x v="5"/>
    <s v="Filtros-Gobierno"/>
    <x v="69"/>
    <n v="32052981"/>
    <x v="71"/>
    <n v="32045556"/>
    <s v="VICTOR MANUEL REYES VALLE"/>
    <n v="5"/>
    <s v="LOS EMBAJADORES"/>
    <s v="AMBIENTAL"/>
  </r>
  <r>
    <x v="1"/>
    <n v="3"/>
    <x v="70"/>
    <n v="32203898"/>
    <x v="72"/>
    <n v="32045487"/>
    <s v="LUIS PAULO SANDOVAL CORTES"/>
    <n v="9"/>
    <s v="BUD LIGHTYEAR"/>
    <s v="CHAMPION CALIDAD"/>
  </r>
  <r>
    <x v="1"/>
    <n v="3"/>
    <x v="70"/>
    <n v="32203898"/>
    <x v="72"/>
    <n v="32044673"/>
    <s v="JORGE MONTENEGRO CUELLAR"/>
    <n v="9"/>
    <s v="BUD LIGHTYEAR"/>
    <s v="CHAMPION GESTION"/>
  </r>
  <r>
    <x v="1"/>
    <n v="3"/>
    <x v="70"/>
    <n v="32203898"/>
    <x v="72"/>
    <n v="32198295"/>
    <s v="MARGARITA TORRES RUIZ"/>
    <n v="9"/>
    <s v="BUD LIGHTYEAR"/>
    <s v="APOYO GESTION"/>
  </r>
  <r>
    <x v="1"/>
    <n v="3"/>
    <x v="70"/>
    <n v="32203898"/>
    <x v="72"/>
    <n v="32045727"/>
    <s v="JOSE OROZCO MALDONADO"/>
    <n v="9"/>
    <s v="BUD LIGHTYEAR"/>
    <s v="CHAMPION GENTE"/>
  </r>
  <r>
    <x v="1"/>
    <n v="3"/>
    <x v="70"/>
    <n v="32203898"/>
    <x v="72"/>
    <n v="32202296"/>
    <s v="SAUL DE JESUS ORTIZ CASTILLO"/>
    <n v="9"/>
    <s v="BUD LIGHTYEAR"/>
    <s v="CHAMPION MANTENIMIENTO"/>
  </r>
  <r>
    <x v="1"/>
    <n v="3"/>
    <x v="70"/>
    <n v="32203898"/>
    <x v="72"/>
    <n v="32066826"/>
    <s v="ANTONIO OLIVARES DUEÑAS"/>
    <n v="9"/>
    <s v="BUD LIGHTYEAR"/>
    <s v="CHAMPION AMBIENTAL"/>
  </r>
  <r>
    <x v="1"/>
    <n v="3"/>
    <x v="70"/>
    <n v="32203898"/>
    <x v="72"/>
    <n v="32145313"/>
    <s v="LUIS ERNESTO DE LA CRUZ RAYGOZA"/>
    <n v="9"/>
    <s v="BUD LIGHTYEAR"/>
    <s v="APOYO AMBIENTAL"/>
  </r>
  <r>
    <x v="1"/>
    <n v="3"/>
    <x v="70"/>
    <n v="32203898"/>
    <x v="72"/>
    <n v="32132577"/>
    <s v="GERARDO IGNACIO ANGUIANO RAYGOZA"/>
    <n v="9"/>
    <s v="BUD LIGHTYEAR"/>
    <s v="CHAMPION LOGISTICA"/>
  </r>
  <r>
    <x v="1"/>
    <n v="3"/>
    <x v="70"/>
    <n v="32203898"/>
    <x v="72"/>
    <n v="32198280"/>
    <s v="GUADALUPE VALADEZ DE LA CRUZ"/>
    <n v="9"/>
    <s v="BUD LIGHTYEAR"/>
    <s v="CHAMPION SEGURIDAD"/>
  </r>
  <r>
    <x v="5"/>
    <s v="Filtros-Gobierno"/>
    <x v="69"/>
    <n v="32146003"/>
    <x v="73"/>
    <n v="32043849"/>
    <s v="PEDRO ANTONIO URIBE ARANDA"/>
    <n v="5"/>
    <s v="LOS EMBAJADORES"/>
    <s v="CALIDAD"/>
  </r>
  <r>
    <x v="5"/>
    <s v="Filtros-Gobierno"/>
    <x v="69"/>
    <n v="32146003"/>
    <x v="73"/>
    <n v="32142953"/>
    <s v="GERMAN RUEDAS SANCHEZ"/>
    <n v="5"/>
    <s v="LOS EMBAJADORES"/>
    <s v="LOGISTICA"/>
  </r>
  <r>
    <x v="1"/>
    <n v="9"/>
    <x v="71"/>
    <n v="32045820"/>
    <x v="74"/>
    <n v="32067168"/>
    <s v="RIVAS PEREYRA RODOLFO"/>
    <n v="13"/>
    <s v="LOS MEJORES "/>
    <s v="CHAMPION DE AMBIENTAL "/>
  </r>
  <r>
    <x v="1"/>
    <n v="9"/>
    <x v="71"/>
    <n v="32045820"/>
    <x v="74"/>
    <n v="32044919"/>
    <s v="RODRIGUEZ GARCIA ERASMO"/>
    <n v="13"/>
    <s v="LOS MEJORES "/>
    <s v="APOYO DE AMBIENTAL"/>
  </r>
  <r>
    <x v="1"/>
    <n v="9"/>
    <x v="71"/>
    <n v="32045820"/>
    <x v="74"/>
    <n v="32046584"/>
    <s v="GARCIA CORTEZ JUAN MARTIN"/>
    <n v="13"/>
    <s v="LOS MEJORES "/>
    <s v="CHAMPION DE SEGURIDAD "/>
  </r>
  <r>
    <x v="1"/>
    <n v="9"/>
    <x v="71"/>
    <n v="32045820"/>
    <x v="74"/>
    <n v="32044869"/>
    <s v="ESCOBEDO CARDONA ARTURO"/>
    <n v="13"/>
    <s v="LOS MEJORES "/>
    <s v="APOYO DE SEGURIDAD"/>
  </r>
  <r>
    <x v="1"/>
    <n v="9"/>
    <x v="71"/>
    <n v="32045820"/>
    <x v="74"/>
    <n v="32046585"/>
    <s v="RODRIGUEZ GALVAN JULIAN"/>
    <n v="13"/>
    <s v="LOS MEJORES "/>
    <s v="CHAMPION DE GESTIÓN"/>
  </r>
  <r>
    <x v="1"/>
    <n v="9"/>
    <x v="71"/>
    <n v="32045820"/>
    <x v="74"/>
    <n v="32202288"/>
    <s v="SALAZAR GONZALEZ GUSTAVO"/>
    <n v="13"/>
    <s v="LOS MEJORES "/>
    <s v="APOYO DE MANTENIMIENTO"/>
  </r>
  <r>
    <x v="1"/>
    <n v="9"/>
    <x v="71"/>
    <n v="32045820"/>
    <x v="74"/>
    <n v="32061474"/>
    <s v="ALVARADO DE LA CRUZ ENRIQUE"/>
    <n v="13"/>
    <s v="LOS MEJORES "/>
    <s v="CHAMPION DE GENTE"/>
  </r>
  <r>
    <x v="1"/>
    <n v="9"/>
    <x v="71"/>
    <n v="32045820"/>
    <x v="74"/>
    <n v="32044009"/>
    <s v="CARDONA CARDONA JOAQUIN"/>
    <n v="13"/>
    <s v="LOS MEJORES "/>
    <s v="APOYO DE GENTE"/>
  </r>
  <r>
    <x v="1"/>
    <n v="9"/>
    <x v="71"/>
    <n v="32045820"/>
    <x v="74"/>
    <n v="32148854"/>
    <s v="VALLE HERNANDEZ DANIEL"/>
    <n v="13"/>
    <s v="LOS MEJORES "/>
    <s v="CHAMPION CALIDAD "/>
  </r>
  <r>
    <x v="1"/>
    <n v="9"/>
    <x v="71"/>
    <n v="32045820"/>
    <x v="74"/>
    <n v="32043983"/>
    <s v="RUIZ GONZALEZ JULIO"/>
    <n v="13"/>
    <s v="LOS MEJORES "/>
    <s v="APOYO CALIDAD"/>
  </r>
  <r>
    <x v="1"/>
    <n v="9"/>
    <x v="71"/>
    <n v="32045820"/>
    <x v="74"/>
    <n v="32046602"/>
    <s v="J DE JESUS RIVAS MEDINA"/>
    <n v="13"/>
    <s v="LOS MEJORES "/>
    <s v="CHAMPION DE MANTENIMIENTO"/>
  </r>
  <r>
    <x v="1"/>
    <n v="9"/>
    <x v="71"/>
    <n v="32045820"/>
    <x v="74"/>
    <n v="32067739"/>
    <s v="LORENZO MACIAS COLLAZO "/>
    <n v="13"/>
    <s v="LOS MEJORES "/>
    <s v="CHAMPION DE LOGISTICA"/>
  </r>
  <r>
    <x v="1"/>
    <n v="9"/>
    <x v="71"/>
    <n v="32045820"/>
    <x v="74"/>
    <n v="32044265"/>
    <s v="FRANCISCO JAVIER MEDINA BRIONES"/>
    <n v="15"/>
    <s v="LOS MEJORES "/>
    <s v="APOYO DE GESTIÓN"/>
  </r>
  <r>
    <x v="1"/>
    <n v="9"/>
    <x v="71"/>
    <n v="32045820"/>
    <x v="74"/>
    <n v="32046220"/>
    <s v="LUIS MANUEL MARTINEZ FLORES"/>
    <n v="15"/>
    <s v="LOS MEJORES "/>
    <s v="APOYO DE AMBIENTAL"/>
  </r>
  <r>
    <x v="1"/>
    <n v="9"/>
    <x v="71"/>
    <n v="32045820"/>
    <x v="74"/>
    <n v="32045393"/>
    <s v="MANUEL VEGA MORALES"/>
    <n v="15"/>
    <s v="LOS MEJORES "/>
    <s v="CHAMPION DE GENTE"/>
  </r>
  <r>
    <x v="1"/>
    <n v="9"/>
    <x v="71"/>
    <n v="32045820"/>
    <x v="74"/>
    <n v="32044117"/>
    <s v="RAMIRO ESPARZA ORTIZ"/>
    <n v="15"/>
    <s v="LOS MEJORES "/>
    <s v="CHAMPION DE MANTENIMIENTO"/>
  </r>
  <r>
    <x v="1"/>
    <n v="9"/>
    <x v="71"/>
    <n v="32045820"/>
    <x v="74"/>
    <n v="32046156"/>
    <s v="JOSE ANGEL IBARRA SUSTAITA"/>
    <n v="15"/>
    <s v="LOS MEJORES "/>
    <s v="APOYO DE LOGISTICA"/>
  </r>
  <r>
    <x v="1"/>
    <n v="9"/>
    <x v="71"/>
    <n v="32045820"/>
    <x v="74"/>
    <n v="32068002"/>
    <s v="JESUS SOLIS REYES"/>
    <n v="15"/>
    <s v="LOS MEJORES "/>
    <s v="CHAMPION DE SEGURIDAD."/>
  </r>
  <r>
    <x v="1"/>
    <n v="9"/>
    <x v="71"/>
    <n v="32045820"/>
    <x v="74"/>
    <n v="32044772"/>
    <s v="JESUS DE SANTIAGO GALLEGOS"/>
    <n v="15"/>
    <s v="LOS MEJORES "/>
    <s v="APOYO DE LOGISTICA"/>
  </r>
  <r>
    <x v="1"/>
    <n v="1"/>
    <x v="72"/>
    <n v="32046689"/>
    <x v="75"/>
    <n v="32046354"/>
    <s v="MANRIQUEZ AGUILAR JAVIER"/>
    <n v="6"/>
    <s v="CONEJOS"/>
    <s v="Champion Gestión"/>
  </r>
  <r>
    <x v="1"/>
    <n v="1"/>
    <x v="72"/>
    <n v="32046689"/>
    <x v="75"/>
    <n v="32046175"/>
    <s v="MURO TOVAR CRUZ"/>
    <n v="6"/>
    <s v="CONEJOS"/>
    <s v="Champion Mantenimiento"/>
  </r>
  <r>
    <x v="1"/>
    <n v="1"/>
    <x v="72"/>
    <n v="32046689"/>
    <x v="75"/>
    <n v="32067736"/>
    <s v="REYES CARDONA JOSE RICARDO"/>
    <n v="6"/>
    <s v="CONEJOS"/>
    <s v="Champion Calidad"/>
  </r>
  <r>
    <x v="1"/>
    <n v="1"/>
    <x v="72"/>
    <n v="32046689"/>
    <x v="75"/>
    <n v="32057054"/>
    <s v="ESPARZA MARTINEZ JOSE ALFREDO"/>
    <n v="6"/>
    <s v="CONEJOS"/>
    <s v="Champion Ambiental"/>
  </r>
  <r>
    <x v="1"/>
    <n v="1"/>
    <x v="72"/>
    <n v="32046689"/>
    <x v="75"/>
    <n v="32046253"/>
    <s v="ARMENDARIZ RAUDALES MARIO ANTONIO"/>
    <n v="6"/>
    <s v="CONEJOS"/>
    <s v="Champion Gente"/>
  </r>
  <r>
    <x v="1"/>
    <n v="1"/>
    <x v="72"/>
    <n v="32046689"/>
    <x v="75"/>
    <n v="32136855"/>
    <s v="LUIS CARLOS VAZQUEZ CASTAÑEDA"/>
    <n v="6"/>
    <s v="CONEJOS"/>
    <s v="Champion Seguridad"/>
  </r>
  <r>
    <x v="1"/>
    <n v="2"/>
    <x v="73"/>
    <n v="32046689"/>
    <x v="75"/>
    <n v="32044448"/>
    <s v="MACIAS BARRIOS JULIO CESAR"/>
    <n v="6"/>
    <s v="KAPASES"/>
    <s v="Champion Gestión"/>
  </r>
  <r>
    <x v="1"/>
    <n v="2"/>
    <x v="73"/>
    <n v="32046689"/>
    <x v="75"/>
    <n v="32199334"/>
    <s v="CARLOS ALBERTO ALVAREZ MARTINEZ"/>
    <n v="6"/>
    <s v="KAPASES"/>
    <s v="Champion Calidad"/>
  </r>
  <r>
    <x v="1"/>
    <n v="2"/>
    <x v="73"/>
    <n v="32046689"/>
    <x v="75"/>
    <n v="32046406"/>
    <s v="VARELA JARAMILLO JESUS"/>
    <n v="6"/>
    <s v="KAPASES"/>
    <s v="Champion Gente"/>
  </r>
  <r>
    <x v="1"/>
    <n v="2"/>
    <x v="73"/>
    <n v="32046689"/>
    <x v="75"/>
    <n v="32131821"/>
    <s v="ORTIZ MARTINEZ IVAN"/>
    <n v="6"/>
    <s v="KAPASES"/>
    <s v="Champion Seguridad"/>
  </r>
  <r>
    <x v="1"/>
    <n v="2"/>
    <x v="73"/>
    <n v="32046689"/>
    <x v="75"/>
    <n v="32155897"/>
    <s v="HELDER ALEJANDRO GAMEZ RODRIGUEZ "/>
    <n v="6"/>
    <s v="KAPASES"/>
    <s v="CHAMPION MEDIO AMBIENTE"/>
  </r>
  <r>
    <x v="1"/>
    <n v="2"/>
    <x v="73"/>
    <n v="32046689"/>
    <x v="75"/>
    <n v="32198267"/>
    <s v="ALEJANDRO CARDENAS MACIAS"/>
    <n v="6"/>
    <s v="KAPASES"/>
    <s v="CHAMPION MANTENIMIENTO"/>
  </r>
  <r>
    <x v="0"/>
    <s v="ENV 2"/>
    <x v="67"/>
    <n v="32149977"/>
    <x v="68"/>
    <n v="32045015"/>
    <s v="Martín Medina Hurtado"/>
    <n v="7"/>
    <s v="PISTONS"/>
    <s v="SEGURIDAD"/>
  </r>
  <r>
    <x v="0"/>
    <s v="ENV 2"/>
    <x v="67"/>
    <n v="32149977"/>
    <x v="68"/>
    <n v="32044396"/>
    <s v="Heriberto Dominguez Silva"/>
    <n v="7"/>
    <s v="PISTONS"/>
    <s v="MANTENIMIENTO"/>
  </r>
  <r>
    <x v="0"/>
    <s v="ENV 2"/>
    <x v="67"/>
    <n v="32149977"/>
    <x v="68"/>
    <n v="32045901"/>
    <s v="Jose Roberto Arteaga Lopez"/>
    <n v="7"/>
    <s v="PISTONS"/>
    <s v="GENTE"/>
  </r>
  <r>
    <x v="0"/>
    <s v="ENV 2"/>
    <x v="67"/>
    <n v="32043665"/>
    <x v="76"/>
    <n v="32044984"/>
    <s v="ADRIÁN VALLE SANTACRUZ"/>
    <n v="7"/>
    <s v="PISTONS"/>
    <s v="APOYO GESTION"/>
  </r>
  <r>
    <x v="0"/>
    <s v="ENV 2"/>
    <x v="67"/>
    <n v="32043665"/>
    <x v="76"/>
    <n v="32045045"/>
    <s v="ALEJANDRO CASTRO MONCADA"/>
    <n v="7"/>
    <s v="PISTONS"/>
    <s v="APOYO SEGURIDAD"/>
  </r>
  <r>
    <x v="0"/>
    <s v="ENV 3"/>
    <x v="74"/>
    <n v="32145055"/>
    <x v="18"/>
    <n v="32064464"/>
    <s v="Jose Omar Esquivel Escareño"/>
    <n v="5"/>
    <s v="PITS"/>
    <s v="GENTE"/>
  </r>
  <r>
    <x v="0"/>
    <s v="ENV 3"/>
    <x v="74"/>
    <n v="32145055"/>
    <x v="18"/>
    <n v="32067987"/>
    <s v="Jose Antonio Montañez Ceballos"/>
    <n v="5"/>
    <s v="PITS"/>
    <s v="GESTION"/>
  </r>
  <r>
    <x v="0"/>
    <s v="ENV 3"/>
    <x v="74"/>
    <n v="32145055"/>
    <x v="18"/>
    <n v="32045337"/>
    <s v="Jose Eduardo Villa Lopez"/>
    <n v="5"/>
    <s v="PITS"/>
    <s v="SEGURIDAD"/>
  </r>
  <r>
    <x v="0"/>
    <s v="ENV 3"/>
    <x v="74"/>
    <n v="32145055"/>
    <x v="18"/>
    <n v="32043790"/>
    <s v="Roberto Lozano Hernández"/>
    <n v="5"/>
    <s v="PITS"/>
    <s v="MANTENIMIENTO"/>
  </r>
  <r>
    <x v="0"/>
    <s v="ENV 3"/>
    <x v="74"/>
    <n v="32145055"/>
    <x v="18"/>
    <n v="32044976"/>
    <s v="Margarito Garcia Adame"/>
    <n v="5"/>
    <s v="PITS"/>
    <s v="CALIDAD"/>
  </r>
  <r>
    <x v="1"/>
    <n v="11"/>
    <x v="75"/>
    <n v="32141851"/>
    <x v="77"/>
    <n v="32045052"/>
    <s v="JOSE FRANCISCO RODRIGUEZ RODRIGUEZ"/>
    <n v="11"/>
    <s v="COYOTES"/>
    <s v="CHAMPION DE GESTION"/>
  </r>
  <r>
    <x v="1"/>
    <n v="11"/>
    <x v="75"/>
    <n v="32141851"/>
    <x v="77"/>
    <n v="32046009"/>
    <s v="ORTIZ RAMOS JAVIER"/>
    <n v="11"/>
    <s v="COYOTES"/>
    <s v="APOYO DE GESTION"/>
  </r>
  <r>
    <x v="1"/>
    <n v="11"/>
    <x v="75"/>
    <n v="32141851"/>
    <x v="77"/>
    <n v="32132226"/>
    <s v="JESUS OMAR NAVARRO MUÑOZ"/>
    <n v="11"/>
    <s v="COYOTES"/>
    <s v="CHAMPION SEGURIDAD "/>
  </r>
  <r>
    <x v="1"/>
    <n v="11"/>
    <x v="75"/>
    <n v="32141851"/>
    <x v="77"/>
    <n v="32044172"/>
    <s v="SOSA RODRIGUEZ JOSE MANUEL"/>
    <n v="11"/>
    <s v="COYOTES"/>
    <s v="APOYO SEGURIDAD "/>
  </r>
  <r>
    <x v="1"/>
    <n v="11"/>
    <x v="75"/>
    <n v="32141851"/>
    <x v="77"/>
    <n v="32046022"/>
    <s v="BUGARIN CARDENAS JOSE LUIS"/>
    <n v="11"/>
    <s v="COYOTES"/>
    <s v="CHAMPION MANTENIMIENTO"/>
  </r>
  <r>
    <x v="1"/>
    <n v="11"/>
    <x v="75"/>
    <n v="32141851"/>
    <x v="77"/>
    <n v="32138048"/>
    <s v="JOAN SUSTAITA TREJO"/>
    <n v="11"/>
    <s v="COYOTES"/>
    <s v="CHAMPION  CALIDAD"/>
  </r>
  <r>
    <x v="1"/>
    <n v="11"/>
    <x v="75"/>
    <n v="32141851"/>
    <x v="77"/>
    <n v="32046379"/>
    <s v="ACEVEDO ARIAS RODOLFO"/>
    <n v="11"/>
    <s v="COYOTES"/>
    <s v="CHAMPION GENTE"/>
  </r>
  <r>
    <x v="1"/>
    <n v="11"/>
    <x v="75"/>
    <n v="32141851"/>
    <x v="77"/>
    <n v="32045219"/>
    <s v="MEDINA SAUCEDO ALBERTO"/>
    <n v="11"/>
    <s v="COYOTES"/>
    <s v="APOYO GENTE"/>
  </r>
  <r>
    <x v="1"/>
    <n v="11"/>
    <x v="75"/>
    <n v="32141851"/>
    <x v="77"/>
    <n v="32044809"/>
    <s v="SANCHEZ GARCIA JAIME"/>
    <n v="11"/>
    <s v="COYOTES"/>
    <s v="CHAMPION AMBIENTAL"/>
  </r>
  <r>
    <x v="1"/>
    <n v="11"/>
    <x v="75"/>
    <n v="32141851"/>
    <x v="77"/>
    <n v="32043874"/>
    <s v="DOMINGUEZ DELGADO JOSE ALFREDO"/>
    <n v="11"/>
    <s v="COYOTES"/>
    <s v="APOYO AMBIENTAL"/>
  </r>
  <r>
    <x v="1"/>
    <n v="11"/>
    <x v="75"/>
    <n v="32141851"/>
    <x v="77"/>
    <n v="32148858"/>
    <s v="RAMIREZ HERNANDEZ LUIS ENRIQUE"/>
    <n v="11"/>
    <s v="COYOTES"/>
    <s v="CHAMPION  LOGISTICA"/>
  </r>
  <r>
    <x v="1"/>
    <n v="11"/>
    <x v="76"/>
    <n v="32141851"/>
    <x v="77"/>
    <n v="32044641"/>
    <s v="FRANCISCO JAVIER MEDINA HERNANDEZ"/>
    <n v="12"/>
    <s v="LA BANDA DEL ZORRO"/>
    <s v="CHAMPION DE GESTION"/>
  </r>
  <r>
    <x v="1"/>
    <n v="11"/>
    <x v="76"/>
    <n v="32141851"/>
    <x v="77"/>
    <n v="32044476"/>
    <s v="MARTIN RUELAS MENDEZ"/>
    <n v="12"/>
    <s v="LA BANDA DEL ZORRO"/>
    <s v="APOYO GESTION"/>
  </r>
  <r>
    <x v="1"/>
    <n v="11"/>
    <x v="76"/>
    <n v="32141851"/>
    <x v="77"/>
    <n v="32132236"/>
    <s v="JESUS FELICIANO MAURICIO QUIÑONES"/>
    <n v="12"/>
    <s v="LA BANDA DEL ZORRO"/>
    <s v="CHAMPION SEGURIDAD "/>
  </r>
  <r>
    <x v="1"/>
    <n v="11"/>
    <x v="76"/>
    <n v="32141851"/>
    <x v="77"/>
    <n v="32143041"/>
    <s v="JOSE ISABEL RODRIGUEZ DE LA CRUZ"/>
    <n v="12"/>
    <s v="LA BANDA DEL ZORRO"/>
    <s v="APOYO SEGURIDAD "/>
  </r>
  <r>
    <x v="1"/>
    <n v="11"/>
    <x v="76"/>
    <n v="32141851"/>
    <x v="77"/>
    <n v="32132181"/>
    <s v="FRED JOHAN NIETO VAZQUEZ"/>
    <n v="12"/>
    <s v="LA BANDA DEL ZORRO"/>
    <s v="CHAMPION MANTENIMIENTO"/>
  </r>
  <r>
    <x v="1"/>
    <n v="11"/>
    <x v="76"/>
    <n v="32141851"/>
    <x v="77"/>
    <n v="32044522"/>
    <s v="JAVIER BAÑUELOS RODRIGUEZ"/>
    <n v="12"/>
    <s v="LA BANDA DEL ZORRO"/>
    <s v="CHAMPION  CALIDAD"/>
  </r>
  <r>
    <x v="1"/>
    <n v="11"/>
    <x v="76"/>
    <n v="32141851"/>
    <x v="77"/>
    <n v="32132049"/>
    <s v="VICTOR HUGO MAURICIO DAVILA"/>
    <n v="12"/>
    <s v="LA BANDA DEL ZORRO"/>
    <s v="CHAMPION GENTE"/>
  </r>
  <r>
    <x v="1"/>
    <n v="11"/>
    <x v="76"/>
    <n v="32141851"/>
    <x v="77"/>
    <n v="32132018"/>
    <s v="JOSE DANIEL LICERIO GAYTAN"/>
    <n v="12"/>
    <s v="LA BANDA DEL ZORRO"/>
    <s v="APOYO GENTE"/>
  </r>
  <r>
    <x v="1"/>
    <n v="11"/>
    <x v="76"/>
    <n v="32141851"/>
    <x v="77"/>
    <n v="32045434"/>
    <s v="SAUL SANTOYO SOLIS"/>
    <n v="12"/>
    <s v="LA BANDA DEL ZORRO"/>
    <s v="CHAMPION AMBIENTAL"/>
  </r>
  <r>
    <x v="1"/>
    <n v="11"/>
    <x v="76"/>
    <n v="32141851"/>
    <x v="77"/>
    <n v="32044656"/>
    <s v="ADOLFO GASPAR VALDEZ"/>
    <n v="12"/>
    <s v="LA BANDA DEL ZORRO"/>
    <s v="APOYO AMBIENTAL"/>
  </r>
  <r>
    <x v="1"/>
    <n v="11"/>
    <x v="76"/>
    <n v="32141851"/>
    <x v="77"/>
    <n v="32057057"/>
    <s v="ALEJANDRO QUIROZ HERNANDEZ"/>
    <n v="12"/>
    <s v="LA BANDA DEL ZORRO"/>
    <s v="CHAMPION  LOGISTICA"/>
  </r>
  <r>
    <x v="1"/>
    <n v="11"/>
    <x v="76"/>
    <n v="32141851"/>
    <x v="77"/>
    <n v="32044836"/>
    <s v="JUAN MANUEL VAZQUEZ CUEVAS"/>
    <n v="12"/>
    <s v="LA BANDA DEL ZORRO"/>
    <s v="APOYO LOGISTICA"/>
  </r>
  <r>
    <x v="1"/>
    <n v="11"/>
    <x v="77"/>
    <n v="32141851"/>
    <x v="77"/>
    <n v="32067346"/>
    <s v="JORGE ALVARADO FLORES"/>
    <n v="7"/>
    <s v="LAS FALLAS FANTASMA"/>
    <s v="CHAMPION DE GESTION"/>
  </r>
  <r>
    <x v="1"/>
    <n v="11"/>
    <x v="77"/>
    <n v="32141851"/>
    <x v="77"/>
    <n v="32044973"/>
    <s v="JUAN LUIS ROSALES IBARRA"/>
    <n v="7"/>
    <s v="LAS FALLAS FANTASMA"/>
    <s v="APOYO GESTION"/>
  </r>
  <r>
    <x v="1"/>
    <n v="11"/>
    <x v="77"/>
    <n v="32141851"/>
    <x v="77"/>
    <n v="32045145"/>
    <s v="ANGEL ALBERTO PERALES GARAY"/>
    <n v="7"/>
    <s v="LAS FALLAS FANTASMA"/>
    <s v="CHAMPION SEGURIDAD "/>
  </r>
  <r>
    <x v="1"/>
    <n v="11"/>
    <x v="77"/>
    <n v="32141851"/>
    <x v="77"/>
    <n v="32045611"/>
    <s v="JOSE DIAZ LOPEZ"/>
    <n v="7"/>
    <s v="LAS FALLAS FANTASMA"/>
    <s v="APOYO SEGURIDAD"/>
  </r>
  <r>
    <x v="1"/>
    <n v="11"/>
    <x v="77"/>
    <n v="32141851"/>
    <x v="77"/>
    <n v="32155922"/>
    <s v="RIVAS SANCHEZ ROLANDO  "/>
    <n v="7"/>
    <s v="LAS FALLAS FANTASMA"/>
    <s v="CHAMPION MANTENIMIENTO"/>
  </r>
  <r>
    <x v="1"/>
    <n v="11"/>
    <x v="77"/>
    <n v="32141851"/>
    <x v="77"/>
    <n v="32045813"/>
    <s v="JOSE DE JESUS MARQUEZ DOMINGUEZ"/>
    <n v="7"/>
    <s v="LAS FALLAS FANTASMA"/>
    <s v="CHAMPION GENTE"/>
  </r>
  <r>
    <x v="1"/>
    <n v="11"/>
    <x v="77"/>
    <n v="32141851"/>
    <x v="77"/>
    <n v="32044327"/>
    <s v="JOSE LUIS LOPEZ ZAMARRIPA"/>
    <n v="7"/>
    <s v="LAS FALLAS FANTASMA"/>
    <s v="CHAMPION  LOGISTICA"/>
  </r>
  <r>
    <x v="1"/>
    <n v="12"/>
    <x v="78"/>
    <n v="32156051"/>
    <x v="77"/>
    <n v="32045643"/>
    <s v="EFRAIN DELGADO HERNANDEZ"/>
    <n v="10"/>
    <s v="ESCUADRON MODELO"/>
    <s v="CHAMPION DE GESTION"/>
  </r>
  <r>
    <x v="1"/>
    <n v="12"/>
    <x v="78"/>
    <n v="32156051"/>
    <x v="77"/>
    <n v="32045392"/>
    <s v="TERESO DE JESUS GONZALEZ MONREAL"/>
    <n v="10"/>
    <s v="ESCUADRON MODELO"/>
    <s v="APOYO GESTION"/>
  </r>
  <r>
    <x v="1"/>
    <n v="12"/>
    <x v="78"/>
    <n v="32156051"/>
    <x v="77"/>
    <n v="32108994"/>
    <s v="JUAN CARLOS GONZALEZ SANCHEZ"/>
    <n v="10"/>
    <s v="ESCUADRON MODELO"/>
    <s v="CHAMPION SEGURIDAD "/>
  </r>
  <r>
    <x v="1"/>
    <n v="12"/>
    <x v="78"/>
    <n v="32156051"/>
    <x v="77"/>
    <n v="32043890"/>
    <s v="GABRIEL HERNANDEZ MEDINA"/>
    <n v="10"/>
    <s v="ESCUADRON MODELO"/>
    <s v="APOYO SEGURIDAD "/>
  </r>
  <r>
    <x v="1"/>
    <n v="12"/>
    <x v="78"/>
    <n v="32156051"/>
    <x v="77"/>
    <n v="32132048"/>
    <s v="MARQUEZ ARELLANO ISRAEL"/>
    <n v="10"/>
    <s v="ESCUADRON MODELO"/>
    <s v="CHAMPION MANTENIMIENTO"/>
  </r>
  <r>
    <x v="1"/>
    <n v="12"/>
    <x v="78"/>
    <n v="32156051"/>
    <x v="77"/>
    <n v="32057876"/>
    <s v="CONRADO FLORES ROBLEDO"/>
    <n v="10"/>
    <s v="ESCUADRON MODELO"/>
    <s v="CHAMPION GENTE"/>
  </r>
  <r>
    <x v="1"/>
    <n v="12"/>
    <x v="78"/>
    <n v="32156051"/>
    <x v="77"/>
    <n v="32046089"/>
    <s v="JUAN JOSE LOPEZ MUÑOZ"/>
    <n v="10"/>
    <s v="ESCUADRON MODELO"/>
    <s v="APOYO GENTE"/>
  </r>
  <r>
    <x v="1"/>
    <n v="12"/>
    <x v="78"/>
    <n v="32156051"/>
    <x v="77"/>
    <n v="32046515"/>
    <s v="ROBERTO ROBLES MARQUEZ"/>
    <n v="10"/>
    <s v="ESCUADRON MODELO"/>
    <s v="CHAMPION AMBIENTAL"/>
  </r>
  <r>
    <x v="1"/>
    <n v="12"/>
    <x v="78"/>
    <n v="32156051"/>
    <x v="77"/>
    <n v="32045179"/>
    <s v="FRANCISCO FIGUEROA ZAPATA"/>
    <n v="10"/>
    <s v="ESCUADRON MODELO"/>
    <s v="APOYO AMBIENTAL"/>
  </r>
  <r>
    <x v="1"/>
    <n v="12"/>
    <x v="78"/>
    <n v="32156051"/>
    <x v="77"/>
    <n v="32044228"/>
    <s v="RUPERTO LOPEZ ZAMARRIPA"/>
    <n v="10"/>
    <s v="ESCUADRON MODELO"/>
    <s v="CHAMPION  LOGISTICA"/>
  </r>
  <r>
    <x v="1"/>
    <n v="12"/>
    <x v="79"/>
    <n v="32156051"/>
    <x v="77"/>
    <n v="32044644"/>
    <s v="JOSE MANUEL GARCIA HERNANDEZ"/>
    <n v="11"/>
    <s v="LOS OSOS DORMIDOS"/>
    <s v="CHAMPION DE GESTION"/>
  </r>
  <r>
    <x v="1"/>
    <n v="12"/>
    <x v="79"/>
    <n v="32156051"/>
    <x v="77"/>
    <n v="32132186"/>
    <s v="DAVID VILLEGAS PEREZ"/>
    <n v="11"/>
    <s v="LOS OSOS DORMIDOS"/>
    <s v="CHAMPION SEGURIDAD "/>
  </r>
  <r>
    <x v="1"/>
    <n v="12"/>
    <x v="79"/>
    <n v="32156051"/>
    <x v="77"/>
    <n v="32045140"/>
    <s v="RAFAEL TORRES GUTIERREZ "/>
    <n v="11"/>
    <s v="LOS OSOS DORMIDOS"/>
    <s v="APOYO SEGURIDAD "/>
  </r>
  <r>
    <x v="1"/>
    <n v="12"/>
    <x v="79"/>
    <n v="32156051"/>
    <x v="77"/>
    <n v="32106989"/>
    <s v="HUGO ALFREDO ALVARADO SILVA"/>
    <n v="11"/>
    <s v="LOS OSOS DORMIDOS"/>
    <s v="CHAMPION MANTENIMIENTO"/>
  </r>
  <r>
    <x v="1"/>
    <n v="12"/>
    <x v="79"/>
    <n v="32156051"/>
    <x v="77"/>
    <n v="32132193"/>
    <s v="ANGEL ISIDRO VILLARREAL ESPARZA"/>
    <n v="11"/>
    <s v="LOS OSOS DORMIDOS"/>
    <s v="CHAMPION  CALIDAD"/>
  </r>
  <r>
    <x v="1"/>
    <n v="12"/>
    <x v="79"/>
    <n v="32156051"/>
    <x v="77"/>
    <n v="32044852"/>
    <s v="JOSE ANGEL VARELA JARAMILLO"/>
    <n v="11"/>
    <s v="LOS OSOS DORMIDOS"/>
    <s v="CHAMPION GENTE"/>
  </r>
  <r>
    <x v="1"/>
    <n v="12"/>
    <x v="79"/>
    <n v="32156051"/>
    <x v="77"/>
    <n v="32043920"/>
    <s v="JUAN RODRIGUEZ CASTORENA"/>
    <n v="11"/>
    <s v="LOS OSOS DORMIDOS"/>
    <s v="APOYO GENTE"/>
  </r>
  <r>
    <x v="1"/>
    <n v="12"/>
    <x v="79"/>
    <n v="32156051"/>
    <x v="77"/>
    <n v="32044051"/>
    <s v="DANIEL ESPARZA FERNANDEZ"/>
    <n v="11"/>
    <s v="LOS OSOS DORMIDOS"/>
    <s v="CHAMPION AMBIENTAL"/>
  </r>
  <r>
    <x v="1"/>
    <n v="12"/>
    <x v="79"/>
    <n v="32156051"/>
    <x v="77"/>
    <n v="32044164"/>
    <s v="JOSE MANUEL TORRES JAIME"/>
    <n v="11"/>
    <s v="LOS OSOS DORMIDOS"/>
    <s v="CHAMPION  LOGISTICA"/>
  </r>
  <r>
    <x v="1"/>
    <n v="12"/>
    <x v="79"/>
    <n v="32156051"/>
    <x v="77"/>
    <n v="32046657"/>
    <s v="JUAN ROGELIO FIGUEROA TREJO"/>
    <n v="11"/>
    <s v="LOS OSOS DORMIDOS"/>
    <s v="APOYO LOGISTICA"/>
  </r>
  <r>
    <x v="0"/>
    <s v="ENV 1"/>
    <x v="80"/>
    <n v="32045082"/>
    <x v="78"/>
    <n v="32137942"/>
    <s v="EMMANUEL PINEDO BÁEZ"/>
    <n v="8"/>
    <s v="POWER"/>
    <s v="APOYO GESTION"/>
  </r>
  <r>
    <x v="0"/>
    <s v="ENV 1"/>
    <x v="80"/>
    <n v="32045082"/>
    <x v="78"/>
    <n v="32044212"/>
    <s v="FRANCISCO JAVIER GARCIA SALINAS"/>
    <n v="8"/>
    <s v="POWER"/>
    <s v="APOYO SEGURIDAD"/>
  </r>
  <r>
    <x v="0"/>
    <s v="ENV 1"/>
    <x v="80"/>
    <n v="32045082"/>
    <x v="78"/>
    <n v="32044078"/>
    <s v="ERNESTO GODINA LOPEZ"/>
    <n v="8"/>
    <s v="POWER"/>
    <s v="APOYO MANTENIMIENTO"/>
  </r>
  <r>
    <x v="1"/>
    <n v="13"/>
    <x v="81"/>
    <n v="32060808"/>
    <x v="79"/>
    <n v="32043911"/>
    <s v="MARTINEZ HERNANDEZ JOSE SANTOS"/>
    <n v="13"/>
    <s v="LOS PITBULLS"/>
    <s v="GESTION"/>
  </r>
  <r>
    <x v="1"/>
    <n v="13"/>
    <x v="81"/>
    <n v="32060808"/>
    <x v="79"/>
    <n v="32043942"/>
    <s v="LUNA JUAREZ ROLANDO"/>
    <n v="13"/>
    <s v="LOS PITBULLS"/>
    <s v="CALIDAD"/>
  </r>
  <r>
    <x v="1"/>
    <n v="13"/>
    <x v="81"/>
    <n v="32060808"/>
    <x v="79"/>
    <n v="32044067"/>
    <s v="DOMINGUEZ DE SANTIAGO RAFAEL"/>
    <n v="13"/>
    <s v="LOS PITBULLS"/>
    <s v="AMBIENTAL"/>
  </r>
  <r>
    <x v="1"/>
    <n v="13"/>
    <x v="81"/>
    <n v="32060808"/>
    <x v="79"/>
    <n v="32044682"/>
    <s v="TALAVERA OTERO CUAUHTEMOC"/>
    <n v="13"/>
    <s v="LOS PITBULLS"/>
    <s v="AMBIENTAL"/>
  </r>
  <r>
    <x v="1"/>
    <n v="13"/>
    <x v="81"/>
    <n v="32060808"/>
    <x v="79"/>
    <n v="32045180"/>
    <s v="MARQUEZ DOMINGUEZ RAMON"/>
    <n v="13"/>
    <s v="LOS PITBULLS"/>
    <s v="MANTENIMIENTO"/>
  </r>
  <r>
    <x v="1"/>
    <n v="13"/>
    <x v="81"/>
    <n v="32060808"/>
    <x v="79"/>
    <n v="32045538"/>
    <s v="CASTRO MORENO EMILIO"/>
    <n v="13"/>
    <s v="LOS PITBULLS"/>
    <s v="SEGURIDAD"/>
  </r>
  <r>
    <x v="1"/>
    <n v="13"/>
    <x v="81"/>
    <n v="32060808"/>
    <x v="79"/>
    <n v="32046268"/>
    <s v="PALACIOS ESCOBEDO VICTOR HUGO"/>
    <n v="13"/>
    <s v="LOS PITBULLS"/>
    <s v="GESTION"/>
  </r>
  <r>
    <x v="1"/>
    <n v="13"/>
    <x v="81"/>
    <n v="32060808"/>
    <x v="79"/>
    <n v="32136709"/>
    <s v="LARA SOSA ADAN"/>
    <n v="13"/>
    <s v="LOS PITBULLS"/>
    <s v="SEGURIDAD"/>
  </r>
  <r>
    <x v="1"/>
    <n v="13"/>
    <x v="81"/>
    <n v="32060808"/>
    <x v="79"/>
    <n v="32138052"/>
    <s v="RAMIREZ MONTOYA JUAN DAVID"/>
    <n v="13"/>
    <s v="LOS PITBULLS"/>
    <s v="CALIDAD"/>
  </r>
  <r>
    <x v="1"/>
    <n v="13"/>
    <x v="81"/>
    <n v="32060808"/>
    <x v="79"/>
    <n v="32140577"/>
    <s v="MARTINEZ LIZARDO JOSE ANGEL"/>
    <n v="13"/>
    <s v="LOS PITBULLS"/>
    <s v="GENTE"/>
  </r>
  <r>
    <x v="1"/>
    <n v="13"/>
    <x v="81"/>
    <n v="32060808"/>
    <x v="79"/>
    <n v="32142975"/>
    <s v="ROBLES NIETO EVERARDO"/>
    <n v="13"/>
    <s v="LOS PITBULLS"/>
    <s v="MANTENIMIENTO"/>
  </r>
  <r>
    <x v="1"/>
    <n v="13"/>
    <x v="81"/>
    <n v="32060808"/>
    <x v="79"/>
    <n v="32142965"/>
    <s v="ANDRADE SANTILLAN ALEJANDRO"/>
    <n v="13"/>
    <s v="LOS PITBULLS"/>
    <s v="MANTENIMIENTO"/>
  </r>
  <r>
    <x v="1"/>
    <n v="13"/>
    <x v="81"/>
    <n v="32060808"/>
    <x v="79"/>
    <n v="32202289"/>
    <s v="LARA REYES EMILIANO"/>
    <n v="13"/>
    <s v="LOS PITBULLS"/>
    <s v="GESTION"/>
  </r>
  <r>
    <x v="1"/>
    <n v="14"/>
    <x v="82"/>
    <n v="32060808"/>
    <x v="79"/>
    <n v="32046352"/>
    <s v="RAMIRO LOPEZ VALDES"/>
    <n v="12"/>
    <s v="LOS MILAGROSOS"/>
    <s v="Champion Ambiental"/>
  </r>
  <r>
    <x v="1"/>
    <n v="14"/>
    <x v="82"/>
    <n v="32060808"/>
    <x v="79"/>
    <n v="32102190"/>
    <s v="LUIS JAVIER QUINTERO REYES"/>
    <n v="12"/>
    <s v="LOS MILAGROSOS"/>
    <s v="Champion Mantenimiento"/>
  </r>
  <r>
    <x v="1"/>
    <n v="14"/>
    <x v="82"/>
    <n v="32060808"/>
    <x v="79"/>
    <n v="32131879"/>
    <s v="CESAR SALINAS MARTINEZ"/>
    <n v="12"/>
    <s v="LOS MILAGROSOS"/>
    <s v="Champion seguridad"/>
  </r>
  <r>
    <x v="1"/>
    <n v="14"/>
    <x v="82"/>
    <n v="32060808"/>
    <x v="79"/>
    <n v="32136509"/>
    <s v="CARRILLO HERNANDEZ HUGO ADRIAN"/>
    <n v="12"/>
    <s v="LOS MILAGROSOS"/>
    <s v="Champion Calidad"/>
  </r>
  <r>
    <x v="1"/>
    <n v="14"/>
    <x v="82"/>
    <n v="32060808"/>
    <x v="79"/>
    <n v="32045523"/>
    <s v="JESUS ORTEGA GARAY"/>
    <n v="12"/>
    <s v="LOS MILAGROSOS"/>
    <s v="Champion Gestión"/>
  </r>
  <r>
    <x v="1"/>
    <n v="14"/>
    <x v="82"/>
    <n v="32060808"/>
    <x v="79"/>
    <n v="32148861"/>
    <s v="MARCO ANTONIO DIAZ ARROYO"/>
    <n v="12"/>
    <s v="LOS MILAGROSOS"/>
    <s v="Champion Gente"/>
  </r>
  <r>
    <x v="1"/>
    <n v="14"/>
    <x v="82"/>
    <n v="32060808"/>
    <x v="79"/>
    <n v="32187990"/>
    <s v="JORGE HERNANDEZ JAQUES"/>
    <n v="12"/>
    <s v="LOS MILAGROSOS"/>
    <s v="Champion Gestión"/>
  </r>
  <r>
    <x v="1"/>
    <n v="14"/>
    <x v="82"/>
    <n v="32060808"/>
    <x v="79"/>
    <n v="32044961"/>
    <s v="JOSE MANUEL CAMPOS AVILA "/>
    <n v="12"/>
    <s v="LOS MILAGROSOS"/>
    <s v="Champion Mantenimiento"/>
  </r>
  <r>
    <x v="1"/>
    <n v="14"/>
    <x v="82"/>
    <n v="32060808"/>
    <x v="79"/>
    <n v="32107030"/>
    <s v="TREJO BA#UELOS ALFONSO        "/>
    <n v="12"/>
    <s v="LOS MILAGROSOS"/>
    <s v="Champion seguridad"/>
  </r>
  <r>
    <x v="1"/>
    <n v="14"/>
    <x v="82"/>
    <n v="32060808"/>
    <x v="79"/>
    <n v="32046367"/>
    <s v="SERVANDO VALDEZ SOSA"/>
    <n v="12"/>
    <s v="LOS MILAGROSOS"/>
    <s v="Champion Logistica"/>
  </r>
  <r>
    <x v="1"/>
    <n v="14"/>
    <x v="82"/>
    <n v="32060808"/>
    <x v="79"/>
    <n v="32138049"/>
    <s v="JOSE MANUEL ORTIZ SUATITA"/>
    <n v="12"/>
    <s v="LOS MILAGROSOS"/>
    <s v="Champion calidad"/>
  </r>
  <r>
    <x v="7"/>
    <m/>
    <x v="47"/>
    <n v="32145498"/>
    <x v="45"/>
    <n v="32045469"/>
    <s v="ANDRES SARABIA RODARTE"/>
    <n v="12"/>
    <s v="LOS NAHUALES"/>
    <s v="GENTE"/>
  </r>
  <r>
    <x v="5"/>
    <s v="Filtros-Gobierno"/>
    <x v="69"/>
    <n v="32044049"/>
    <x v="80"/>
    <n v="32213349"/>
    <s v="Pedro Luis Rodriguez Gamez"/>
    <n v="5"/>
    <s v="LOS EMBAJADORES"/>
    <s v="MANTENIMIENTO"/>
  </r>
  <r>
    <x v="1"/>
    <n v="3"/>
    <x v="83"/>
    <n v="32174381"/>
    <x v="81"/>
    <n v="32045522"/>
    <s v="MARCELO DEL REAL MARQUEZ"/>
    <n v="9"/>
    <s v="BEER LOVERS"/>
    <s v="CHAMPION MANTENIMIENTO"/>
  </r>
  <r>
    <x v="1"/>
    <n v="3"/>
    <x v="83"/>
    <n v="32174381"/>
    <x v="81"/>
    <n v="32132584"/>
    <s v="LUIS ALBERTO LEYVA ESCARCIA"/>
    <n v="9"/>
    <s v="BEER LOVERS"/>
    <s v="CHAMPION CALIDAD"/>
  </r>
  <r>
    <x v="1"/>
    <n v="3"/>
    <x v="83"/>
    <n v="32174381"/>
    <x v="81"/>
    <n v="32065049"/>
    <s v="JUAN ANTINIO SAUCEDO VALENZUELA"/>
    <n v="9"/>
    <s v="BEER LOVERS"/>
    <s v="CHAMPION GESTION"/>
  </r>
  <r>
    <x v="1"/>
    <n v="3"/>
    <x v="83"/>
    <n v="32174381"/>
    <x v="81"/>
    <n v="32046634"/>
    <s v="SAMUEL DEL RIO CASTILLO"/>
    <n v="9"/>
    <s v="BEER LOVERS"/>
    <s v="CHAMPION GENTE"/>
  </r>
  <r>
    <x v="1"/>
    <n v="3"/>
    <x v="83"/>
    <n v="32174381"/>
    <x v="81"/>
    <n v="32044830"/>
    <s v="MANUEL DOMINGUEZ RODRIGUEZ"/>
    <n v="9"/>
    <s v="BEER LOVERS"/>
    <s v="APOYO GENTE"/>
  </r>
  <r>
    <x v="1"/>
    <n v="3"/>
    <x v="83"/>
    <n v="32174381"/>
    <x v="81"/>
    <n v="32198303"/>
    <s v="NORMA RUTH REGIS DUEÑAS"/>
    <n v="9"/>
    <s v="BEER LOVERS"/>
    <s v="CHAMPION AMBIENTAL"/>
  </r>
  <r>
    <x v="1"/>
    <n v="3"/>
    <x v="83"/>
    <n v="32174381"/>
    <x v="81"/>
    <n v="32046025"/>
    <s v="HUMBERTO LOPEZ VAZQUEZ"/>
    <n v="9"/>
    <s v="BEER LOVERS"/>
    <s v="CHAMPION LOGISTICA"/>
  </r>
  <r>
    <x v="1"/>
    <n v="3"/>
    <x v="83"/>
    <n v="32174381"/>
    <x v="81"/>
    <n v="32197860"/>
    <s v="LEYVA MARTINEZ BRAYAN"/>
    <n v="9"/>
    <s v="BEER LOVERS"/>
    <s v="APOYO GESTION"/>
  </r>
  <r>
    <x v="1"/>
    <n v="3"/>
    <x v="83"/>
    <n v="32174381"/>
    <x v="81"/>
    <n v="32143282"/>
    <s v="JOSE IGNACIO ELICERIO ORTIZ"/>
    <n v="9"/>
    <s v="BEER LOVERS"/>
    <s v="CHAMPION SEGURIDAD"/>
  </r>
  <r>
    <x v="5"/>
    <s v="Filtros-Gobierno"/>
    <x v="84"/>
    <n v="32045160"/>
    <x v="82"/>
    <n v="32045396"/>
    <s v="JUAN GABRIEL HERNANDEZ GUARDADO"/>
    <n v="4"/>
    <s v="LOS ESENCIALES DEL FRIO"/>
    <s v="GENTE"/>
  </r>
  <r>
    <x v="5"/>
    <s v="Filtros-Gobierno"/>
    <x v="84"/>
    <n v="32045160"/>
    <x v="82"/>
    <n v="32201713"/>
    <s v="RODOLFO ESPARZA GONZALEZ"/>
    <n v="4"/>
    <s v="LOS ESENCIALES DEL FRIO"/>
    <s v="CALIDAD"/>
  </r>
  <r>
    <x v="0"/>
    <s v="ENV 1"/>
    <x v="80"/>
    <n v="32172000"/>
    <x v="83"/>
    <n v="32044803"/>
    <s v="CARLOS ELÍAS GARCÍA BRIONES"/>
    <n v="8"/>
    <s v="POWER"/>
    <s v="GESTION"/>
  </r>
  <r>
    <x v="0"/>
    <s v="ENV 1"/>
    <x v="80"/>
    <n v="32172000"/>
    <x v="83"/>
    <n v="32043975"/>
    <s v="EDUARDO QUIROZ PÉREZ"/>
    <n v="8"/>
    <s v="POWER"/>
    <s v="SEGURIDAD"/>
  </r>
  <r>
    <x v="0"/>
    <s v="ENV 1"/>
    <x v="80"/>
    <n v="32172000"/>
    <x v="83"/>
    <n v="32043982"/>
    <s v="JORGE ACOSTA RODRÍGUEZ"/>
    <n v="8"/>
    <s v="POWER"/>
    <s v="GENTE"/>
  </r>
  <r>
    <x v="0"/>
    <s v="ENV 1"/>
    <x v="80"/>
    <n v="32172000"/>
    <x v="83"/>
    <n v="32045706"/>
    <s v="MANUEL DE JESÚS PACHECO MEDINA"/>
    <n v="8"/>
    <s v="POWER"/>
    <s v="MANTENIMIENTO"/>
  </r>
  <r>
    <x v="0"/>
    <s v="ENV 1"/>
    <x v="80"/>
    <n v="32172000"/>
    <x v="83"/>
    <n v="32045496"/>
    <s v="EDGAR EMMANUEL ESPINOZA AGUILAR "/>
    <n v="8"/>
    <s v="POWER"/>
    <s v="CALIDAD"/>
  </r>
  <r>
    <x v="0"/>
    <s v="ENV 1"/>
    <x v="85"/>
    <n v="32149973"/>
    <x v="84"/>
    <n v="32045757"/>
    <s v="OSCAR MANUEL FLORES MARTÍNEZ"/>
    <n v="7"/>
    <s v="SPEED"/>
    <s v="GESTION"/>
  </r>
  <r>
    <x v="0"/>
    <s v="ENV 1"/>
    <x v="85"/>
    <n v="32149973"/>
    <x v="84"/>
    <n v="32044330"/>
    <s v="ARMANDO ALMARAZ URQUIZO"/>
    <n v="7"/>
    <s v="SPEED"/>
    <s v="SEGURIDAD"/>
  </r>
  <r>
    <x v="0"/>
    <s v="ENV 1"/>
    <x v="85"/>
    <n v="32149973"/>
    <x v="84"/>
    <n v="32044189"/>
    <s v="JESÚS HERNÁNDEZ VÁZQUEZ"/>
    <n v="7"/>
    <s v="SPEED"/>
    <s v="GENTE"/>
  </r>
  <r>
    <x v="0"/>
    <s v="ENV 1"/>
    <x v="85"/>
    <n v="32149973"/>
    <x v="84"/>
    <n v="32149475"/>
    <s v="GUILLERMO SANTOS CASIO"/>
    <n v="7"/>
    <s v="SPEED"/>
    <s v="MANTENIMIENTO"/>
  </r>
  <r>
    <x v="0"/>
    <s v="ENV 1"/>
    <x v="85"/>
    <n v="32072222"/>
    <x v="85"/>
    <n v="32137941"/>
    <s v="MANUEL DE JESUS DIAZ CHÁVEZ"/>
    <n v="7"/>
    <s v="SPEED"/>
    <s v="MEDIO AMBIENTE"/>
  </r>
  <r>
    <x v="0"/>
    <s v="ENV 1"/>
    <x v="85"/>
    <n v="32072222"/>
    <x v="85"/>
    <n v="32045870"/>
    <s v="JUAN ROBERTO ALMANZA GTZ"/>
    <n v="7"/>
    <s v="SPEED"/>
    <s v="CALIDAD"/>
  </r>
  <r>
    <x v="0"/>
    <s v="ENV 1"/>
    <x v="85"/>
    <n v="32072222"/>
    <x v="85"/>
    <n v="32044412"/>
    <s v="EDUARDO RIVERA ESCOBEDO"/>
    <n v="7"/>
    <s v="SPEED"/>
    <s v="APOYO SEGURIDAD"/>
  </r>
  <r>
    <x v="0"/>
    <s v="ENV 3"/>
    <x v="86"/>
    <n v="32149972"/>
    <x v="86"/>
    <n v="32044247"/>
    <s v="Adrián De Santiago Alemán"/>
    <n v="5"/>
    <s v="TAPERLOOK"/>
    <s v="SEGURIDAD"/>
  </r>
  <r>
    <x v="0"/>
    <s v="ENV 3"/>
    <x v="86"/>
    <n v="32149972"/>
    <x v="86"/>
    <n v="32044570"/>
    <s v="Oscar Del Río Acuña"/>
    <n v="5"/>
    <s v="TAPERLOOK"/>
    <s v="GESTION"/>
  </r>
  <r>
    <x v="0"/>
    <s v="ENV 3"/>
    <x v="86"/>
    <n v="32149972"/>
    <x v="86"/>
    <n v="32044650"/>
    <s v="Diego Noe González González"/>
    <n v="5"/>
    <s v="TAPERLOOK"/>
    <s v="MANTENIMIENTO"/>
  </r>
  <r>
    <x v="3"/>
    <s v="AIRE Y REFRIGERACIÓN "/>
    <x v="5"/>
    <n v="32201729"/>
    <x v="4"/>
    <n v="32043741"/>
    <s v="PEDRO BELMONTES ESPARZA "/>
    <n v="7"/>
    <s v="TURBINEROS CCZ"/>
    <s v="CHAMPION MANTENIMIENTO"/>
  </r>
  <r>
    <x v="3"/>
    <s v="CALDERAS"/>
    <x v="6"/>
    <n v="32149492"/>
    <x v="5"/>
    <n v="32045871"/>
    <s v="JORGE GAMEZ DOMINGUEZ"/>
    <n v="7"/>
    <s v="TURBINEROS CCZ"/>
    <s v="CHAMPION GENTE"/>
  </r>
  <r>
    <x v="3"/>
    <s v="CALDERAS"/>
    <x v="6"/>
    <n v="32149492"/>
    <x v="5"/>
    <n v="32043860"/>
    <s v="JUAN GABRIEL VEYNA ESQUIVEL"/>
    <n v="7"/>
    <s v="TURBINEROS CCZ"/>
    <s v="CHAMPION SEGURIDAD"/>
  </r>
  <r>
    <x v="3"/>
    <s v="TURBINAS"/>
    <x v="7"/>
    <n v="32217652"/>
    <x v="6"/>
    <n v="32043799"/>
    <s v="LAZARO ALCALA DE LIRA"/>
    <n v="7"/>
    <s v="TURBINEROS CCZ"/>
    <s v="CHAMPION CALIDAD"/>
  </r>
  <r>
    <x v="3"/>
    <s v="TURBINAS"/>
    <x v="7"/>
    <n v="32069642"/>
    <x v="7"/>
    <n v="32145467"/>
    <s v="VICTOR MEJIA HERNANDEZ"/>
    <n v="7"/>
    <s v="TURBINEROS CCZ"/>
    <s v="CHAMPION GESTION"/>
  </r>
  <r>
    <x v="5"/>
    <s v="Filtros-Gobierno"/>
    <x v="84"/>
    <s v="_x0009_32174382"/>
    <x v="87"/>
    <n v="32043902"/>
    <s v="ARTURO SAUCEDO CABRERA"/>
    <n v="4"/>
    <s v="LOS ESENCIALES DEL FRIO"/>
    <s v="SEGURIDAD"/>
  </r>
  <r>
    <x v="5"/>
    <s v="Filtros-Gobierno"/>
    <x v="84"/>
    <s v="_x0009_32174382"/>
    <x v="87"/>
    <n v="32201712"/>
    <s v="JUAN CARLOS MORALES ORTIZ"/>
    <n v="4"/>
    <s v="LOS ESENCIALES DEL FRIO"/>
    <s v="MANTENIMIENTO"/>
  </r>
  <r>
    <x v="5"/>
    <s v="Fermentación"/>
    <x v="87"/>
    <n v="32188118"/>
    <x v="88"/>
    <n v="32213345"/>
    <s v="MANUEL DE JESUS FALCON ARROYO"/>
    <n v="8"/>
    <s v="LOS FUERTES DEL FRIO"/>
    <s v="LOGISTICA"/>
  </r>
  <r>
    <x v="5"/>
    <s v="Fermentación"/>
    <x v="87"/>
    <n v="32188118"/>
    <x v="88"/>
    <n v="32044771"/>
    <s v="RAFAEL MARTINEZ MARES"/>
    <n v="8"/>
    <s v="LOS FUERTES DEL FRIO"/>
    <s v="GESTIÓN "/>
  </r>
  <r>
    <x v="0"/>
    <s v="ENV 3"/>
    <x v="86"/>
    <n v="32044383"/>
    <x v="89"/>
    <n v="32146289"/>
    <s v="ÁNGEL LIRA RAMOS"/>
    <n v="5"/>
    <s v="TAPERLOOK"/>
    <s v="GENTE"/>
  </r>
  <r>
    <x v="0"/>
    <s v="ENV 3"/>
    <x v="86"/>
    <n v="32044383"/>
    <x v="89"/>
    <n v="32044381"/>
    <s v="J CARMELO VELAZQUEZ CASTRO"/>
    <n v="5"/>
    <s v="TAPERLOOK"/>
    <s v="CALIDAD"/>
  </r>
  <r>
    <x v="0"/>
    <s v="PCM"/>
    <x v="88"/>
    <n v="32045092"/>
    <x v="90"/>
    <n v="32046064"/>
    <s v="CÉSAR GUILLERMO MARTINEZ AGUILAR"/>
    <n v="15"/>
    <s v="TIBURONES"/>
    <s v="GENTE"/>
  </r>
  <r>
    <x v="0"/>
    <s v="PCM"/>
    <x v="88"/>
    <n v="32045092"/>
    <x v="90"/>
    <n v="32045360"/>
    <s v="JORGE ALEJANDRO MARTINEZ REYES"/>
    <n v="15"/>
    <s v="TIBURONES"/>
    <s v="APOYO CALIDAD"/>
  </r>
  <r>
    <x v="0"/>
    <s v="PCM"/>
    <x v="88"/>
    <n v="32045092"/>
    <x v="90"/>
    <n v="32044250"/>
    <s v="LUIS MANUEL ESPARZA CASTRO"/>
    <n v="15"/>
    <s v="TIBURONES"/>
    <s v="MEDIO AMBIENTE"/>
  </r>
  <r>
    <x v="2"/>
    <s v="TRATOS DE AGUA"/>
    <x v="89"/>
    <n v="32208522"/>
    <x v="91"/>
    <n v="32181713"/>
    <s v="MARIO ERIK SALAS LOPEZ"/>
    <n v="4"/>
    <s v="LOS ESPECIALISTAS"/>
    <s v="CHAMPION AMBIENTAL"/>
  </r>
  <r>
    <x v="2"/>
    <s v="TRATOS DE AGUA"/>
    <x v="89"/>
    <n v="32208522"/>
    <x v="91"/>
    <n v="32046003"/>
    <s v="JUAN PABLO ROMERO MARTINEZ"/>
    <n v="4"/>
    <s v="LOS ESPECIALISTAS"/>
    <s v="CHAMPION MANTENIMIENTO"/>
  </r>
  <r>
    <x v="2"/>
    <s v="TRATOS DE AGUA"/>
    <x v="89"/>
    <n v="32208522"/>
    <x v="91"/>
    <n v="32043868"/>
    <s v="MANUEL PALACIOS PEREZ"/>
    <n v="4"/>
    <s v="LOS ESPECIALISTAS"/>
    <s v="CHAMPION CALIDAD"/>
  </r>
  <r>
    <x v="2"/>
    <s v="TRATOS DE AGUA"/>
    <x v="89"/>
    <n v="32208522"/>
    <x v="91"/>
    <n v="32043794"/>
    <s v="RAUL LANDEROS RUIZ"/>
    <n v="4"/>
    <s v="LOS ESPECIALISTAS"/>
    <s v="CHAMPION SEGURIDAD"/>
  </r>
  <r>
    <x v="4"/>
    <s v="NACIONAL "/>
    <x v="90"/>
    <n v="32217529"/>
    <x v="92"/>
    <n v="32044587"/>
    <s v="JOSE MANUEL TORRES ARELLANO"/>
    <n v="10"/>
    <s v="Metálicos Indestructibles"/>
    <s v="GESTIÓN"/>
  </r>
  <r>
    <x v="4"/>
    <s v="NACIONAL "/>
    <x v="90"/>
    <n v="32217529"/>
    <x v="92"/>
    <n v="32045010"/>
    <s v=" RICARDO PIÑA MURILLO"/>
    <n v="10"/>
    <s v="Metálicos Indestructibles"/>
    <s v="MEDIO AMBIENTE"/>
  </r>
  <r>
    <x v="4"/>
    <s v="NACIONAL "/>
    <x v="90"/>
    <n v="32217529"/>
    <x v="92"/>
    <n v="32046276"/>
    <s v="BRAULIO LOPEZ HERNANDEZ"/>
    <n v="10"/>
    <s v="Metálicos Indestructibles"/>
    <s v="SEGURIDAD"/>
  </r>
  <r>
    <x v="4"/>
    <s v="NACIONAL "/>
    <x v="90"/>
    <n v="32217529"/>
    <x v="92"/>
    <n v="32046393"/>
    <s v=" JOSE MANUEL SANCHEZ GARCIA"/>
    <n v="10"/>
    <s v="Metálicos Indestructibles"/>
    <s v="CALIDAD"/>
  </r>
  <r>
    <x v="4"/>
    <s v="NACIONAL "/>
    <x v="90"/>
    <n v="32217529"/>
    <x v="92"/>
    <n v="32057882"/>
    <s v="ARMANDO SANTILLAN ANDRADE"/>
    <n v="10"/>
    <s v="Metálicos Indestructibles"/>
    <s v="LOGÍSTICA"/>
  </r>
  <r>
    <x v="4"/>
    <s v="NACIONAL "/>
    <x v="90"/>
    <n v="32217529"/>
    <x v="92"/>
    <n v="32061297"/>
    <s v=" CRUZ DIMAS DE SANTIAGO"/>
    <n v="10"/>
    <s v="Metálicos Indestructibles"/>
    <s v="MANTENIMIENTO"/>
  </r>
  <r>
    <x v="4"/>
    <s v="NACIONAL "/>
    <x v="90"/>
    <n v="32217529"/>
    <x v="92"/>
    <n v="32178734"/>
    <s v=" ALFREDO ORTIZ SANTACRUZ"/>
    <n v="10"/>
    <s v="Metálicos Indestructibles"/>
    <s v="PEOPLE"/>
  </r>
  <r>
    <x v="4"/>
    <s v="NACIONAL "/>
    <x v="90"/>
    <n v="32217530"/>
    <x v="92"/>
    <n v="32044359"/>
    <s v="J JESUS VALLE URIBE"/>
    <n v="10"/>
    <s v="Metálicos Indestructibles"/>
    <s v="PEOPLE"/>
  </r>
  <r>
    <x v="4"/>
    <s v="NACIONAL "/>
    <x v="90"/>
    <n v="32217529"/>
    <x v="92"/>
    <n v="32217092"/>
    <s v="RAYGOZA CABELLO GABRIEL"/>
    <n v="10"/>
    <s v="Metálicos Indestructibles"/>
    <s v="MEDIO AMBIENTE"/>
  </r>
  <r>
    <x v="0"/>
    <s v="PCM"/>
    <x v="88"/>
    <n v="32045092"/>
    <x v="90"/>
    <n v="32043788"/>
    <s v="UBALDO CABRAL MUÑOZ"/>
    <n v="15"/>
    <s v="TIBURONES"/>
    <s v="APOYO MEDIO AMBIENTE"/>
  </r>
  <r>
    <x v="0"/>
    <s v="PCM"/>
    <x v="88"/>
    <n v="32045092"/>
    <x v="90"/>
    <n v="32044596"/>
    <s v="ERASMO ALDAVA MARTINEZ"/>
    <n v="15"/>
    <s v="TIBURONES"/>
    <s v="APOYO SEGURIDAD"/>
  </r>
  <r>
    <x v="0"/>
    <s v="PCM"/>
    <x v="88"/>
    <n v="32045092"/>
    <x v="90"/>
    <n v="32045215"/>
    <s v="BALTAZAR MUÑOZ GARCIA"/>
    <n v="15"/>
    <s v="TIBURONES"/>
    <s v="SEGURIDAD"/>
  </r>
  <r>
    <x v="1"/>
    <n v="4"/>
    <x v="91"/>
    <n v="32148105"/>
    <x v="93"/>
    <n v="32057512"/>
    <s v="LEONEL CAZAREZ HERNANDEZ"/>
    <n v="15"/>
    <s v="COMPADRES"/>
    <s v="CHAMPION LOGISTICA"/>
  </r>
  <r>
    <x v="1"/>
    <n v="4"/>
    <x v="91"/>
    <n v="32148105"/>
    <x v="93"/>
    <n v="32197883"/>
    <s v="HERMINIO ALEJANDRO PINEDO ORTÍZ"/>
    <n v="15"/>
    <s v="COMPADRES"/>
    <s v="APOYO CHAMPION AMBIENTAL"/>
  </r>
  <r>
    <x v="1"/>
    <n v="4"/>
    <x v="91"/>
    <n v="32148105"/>
    <x v="93"/>
    <n v="32096443"/>
    <s v="MIGUEL ÁNGEL VILLAVICENCIO VALENZUELA"/>
    <n v="15"/>
    <s v="COMPADRES"/>
    <s v="CHAMPION AMBIENTAL"/>
  </r>
  <r>
    <x v="1"/>
    <n v="4"/>
    <x v="91"/>
    <n v="32148105"/>
    <x v="93"/>
    <n v="32046440"/>
    <s v="VÍCTOR MANUEL DE ÁVILA GARCÍA"/>
    <n v="15"/>
    <s v="COMPADRES"/>
    <s v="CHAMPION AMBIENTAL"/>
  </r>
  <r>
    <x v="1"/>
    <n v="4"/>
    <x v="91"/>
    <n v="32148105"/>
    <x v="93"/>
    <n v="32045356"/>
    <s v="ELEAZAR VALDEZ GARCÍA "/>
    <n v="15"/>
    <s v="COMPADRES"/>
    <s v="APOYO CHAMPION GESTION"/>
  </r>
  <r>
    <x v="1"/>
    <n v="4"/>
    <x v="91"/>
    <n v="32148105"/>
    <x v="93"/>
    <n v="32143050"/>
    <s v="PEDRO RAMÍREZ DOMÍNGUEZ"/>
    <n v="15"/>
    <s v="COMPADRES"/>
    <s v="CHAMPION GESTION"/>
  </r>
  <r>
    <x v="1"/>
    <n v="4"/>
    <x v="91"/>
    <n v="32148105"/>
    <x v="93"/>
    <n v="32199342"/>
    <s v="NOÉ ÁNIBAL CASTRO MALDONADO"/>
    <n v="15"/>
    <s v="COMPADRES"/>
    <s v="APOYO CHAMPION DE MANTENIMIENTO"/>
  </r>
  <r>
    <x v="1"/>
    <n v="4"/>
    <x v="91"/>
    <n v="32148105"/>
    <x v="93"/>
    <n v="32149066"/>
    <s v="JOSÉ LEONEL CAMPOS MEDELLIN"/>
    <n v="15"/>
    <s v="COMPADRES"/>
    <s v="CHAMPION MANTENIMIENTO"/>
  </r>
  <r>
    <x v="1"/>
    <n v="4"/>
    <x v="91"/>
    <n v="32148105"/>
    <x v="93"/>
    <n v="32188129"/>
    <s v="ESTEBAN GARZA CÁRDENAS "/>
    <n v="15"/>
    <s v="COMPADRES"/>
    <s v="CHAMPION CALIDAD"/>
  </r>
  <r>
    <x v="1"/>
    <n v="4"/>
    <x v="91"/>
    <n v="32148105"/>
    <x v="93"/>
    <n v="32046142"/>
    <s v="PARGA NUÑEZ MANUEL"/>
    <n v="15"/>
    <s v="COMPADRES"/>
    <s v="APOYO DE GENTE "/>
  </r>
  <r>
    <x v="1"/>
    <n v="4"/>
    <x v="91"/>
    <n v="32148105"/>
    <x v="93"/>
    <n v="32044578"/>
    <s v="JOSÉ DE JESÚS MEDINA DELGADO"/>
    <n v="15"/>
    <s v="COMPADRES"/>
    <s v="APOYO CHAMPION DE CALDIAD"/>
  </r>
  <r>
    <x v="1"/>
    <n v="4"/>
    <x v="91"/>
    <n v="32148105"/>
    <x v="93"/>
    <n v="32045654"/>
    <s v="JESÚS MANUEL GALLEGOS PICAZO"/>
    <n v="15"/>
    <s v="COMPADRES"/>
    <s v="CHAMPION GENTE "/>
  </r>
  <r>
    <x v="1"/>
    <n v="4"/>
    <x v="91"/>
    <n v="32148105"/>
    <x v="93"/>
    <n v="32044737"/>
    <s v="MANUEL SALAZAR PALACIOS"/>
    <n v="15"/>
    <s v="COMPADRES"/>
    <s v="CHAMPION GENTE "/>
  </r>
  <r>
    <x v="1"/>
    <n v="4"/>
    <x v="91"/>
    <n v="32148105"/>
    <x v="93"/>
    <n v="32071020"/>
    <s v="ENRIQUE ESCOBEDO HERNANDEZ"/>
    <n v="15"/>
    <s v="COMPADRES"/>
    <s v="CHAMPION SEGURIDAD"/>
  </r>
  <r>
    <x v="1"/>
    <n v="4"/>
    <x v="91"/>
    <n v="32148105"/>
    <x v="93"/>
    <n v="32046030"/>
    <s v="IVAN VILLA RIVERA"/>
    <n v="15"/>
    <s v="COMPADRES"/>
    <s v="CHAMPION DE AMBIENTAL"/>
  </r>
  <r>
    <x v="1"/>
    <n v="4"/>
    <x v="91"/>
    <n v="32148105"/>
    <x v="93"/>
    <n v="32046469"/>
    <s v="DAVID ESCALERA REYES"/>
    <n v="15"/>
    <s v="COMPADRES"/>
    <s v="APOYO DE GESTION"/>
  </r>
  <r>
    <x v="1"/>
    <n v="4"/>
    <x v="91"/>
    <n v="32148105"/>
    <x v="93"/>
    <n v="32071028"/>
    <s v="OMAR RAMIREZ RODRIGUEZ"/>
    <n v="14"/>
    <s v="COMPADRES"/>
    <s v="CHAMPION MANTENIMIENTO"/>
  </r>
  <r>
    <x v="1"/>
    <n v="4"/>
    <x v="91"/>
    <n v="32148105"/>
    <x v="93"/>
    <n v="32142779"/>
    <s v="GUILLERMO DELGADO RAMIREZ"/>
    <n v="14"/>
    <s v="COMPADRES"/>
    <s v="CHAMPION DE GENTE "/>
  </r>
  <r>
    <x v="1"/>
    <n v="4"/>
    <x v="91"/>
    <n v="32148105"/>
    <x v="93"/>
    <n v="32096528"/>
    <s v="LUIS EDUARDO DOMINGUEZ VARELA"/>
    <n v="14"/>
    <s v="COMPADRES"/>
    <s v="APOYO SEGURIDAD"/>
  </r>
  <r>
    <x v="1"/>
    <n v="5"/>
    <x v="92"/>
    <n v="32148105"/>
    <x v="93"/>
    <n v="32044086"/>
    <s v="ALANIZ PEREYRA ANGEL"/>
    <n v="12"/>
    <s v="LAS MERAS VENAS "/>
    <s v="CHAMPION DE GENTE "/>
  </r>
  <r>
    <x v="1"/>
    <n v="5"/>
    <x v="92"/>
    <n v="32148105"/>
    <x v="93"/>
    <n v="32132022"/>
    <s v="RODRIGUEZ LOPEZ NEFTALI"/>
    <n v="12"/>
    <s v="LAS MERAS VENAS "/>
    <s v="APOYO DE CHAMPION GENTE "/>
  </r>
  <r>
    <x v="1"/>
    <n v="5"/>
    <x v="92"/>
    <n v="32148105"/>
    <x v="93"/>
    <n v="32150519"/>
    <s v="DELGADO SANCHEZ SANTOS ALBERTO"/>
    <n v="12"/>
    <s v="LAS MERAS VENAS "/>
    <s v="APOYO CHAMPION DE GESTION "/>
  </r>
  <r>
    <x v="1"/>
    <n v="5"/>
    <x v="92"/>
    <n v="32148105"/>
    <x v="93"/>
    <n v="32044307"/>
    <s v="BURGOS RAMIREZ FRANCISCO"/>
    <n v="12"/>
    <s v="LAS MERAS VENAS "/>
    <s v="CHAMPION GESTION "/>
  </r>
  <r>
    <x v="1"/>
    <n v="5"/>
    <x v="92"/>
    <n v="32148105"/>
    <x v="93"/>
    <n v="32145464"/>
    <s v="PEDRO HERNANDEZ LICERIO"/>
    <n v="12"/>
    <s v="LAS MERAS VENAS "/>
    <s v="APOYO DE CHAMPION SEGURIDAD "/>
  </r>
  <r>
    <x v="1"/>
    <n v="5"/>
    <x v="92"/>
    <n v="32148105"/>
    <x v="93"/>
    <n v="32046143"/>
    <s v="ROSALES RAMIREZ JORGE JOEL"/>
    <n v="12"/>
    <s v="LAS MERAS VENAS "/>
    <s v="CHAMPION CALIDAD "/>
  </r>
  <r>
    <x v="1"/>
    <n v="5"/>
    <x v="92"/>
    <n v="32148105"/>
    <x v="93"/>
    <n v="32045652"/>
    <s v="ESPINOZA SANCHEZ NOEL"/>
    <n v="12"/>
    <s v="LAS MERAS VENAS "/>
    <s v="CHAMPION AMBIENTAL"/>
  </r>
  <r>
    <x v="1"/>
    <n v="5"/>
    <x v="92"/>
    <n v="32148105"/>
    <x v="93"/>
    <n v="32198273"/>
    <s v="EDUARDO MANUEL PRADO AMARO"/>
    <n v="12"/>
    <s v="LAS MERAS VENAS "/>
    <s v="APOYO DE CHAMPION AMBIENTAL "/>
  </r>
  <r>
    <x v="1"/>
    <n v="5"/>
    <x v="92"/>
    <n v="32148105"/>
    <x v="93"/>
    <n v="32139709"/>
    <s v="TORRES CORTEZ JOSE MANUEL"/>
    <n v="12"/>
    <s v="LAS MERAS VENAS "/>
    <s v="CHAMPION MANTENIMIENTO "/>
  </r>
  <r>
    <x v="1"/>
    <n v="5"/>
    <x v="92"/>
    <n v="32148105"/>
    <x v="93"/>
    <n v="32045397"/>
    <s v="CORDOVA ACOSTA MARTIN"/>
    <n v="12"/>
    <s v="LAS MERAS VENAS "/>
    <s v="CHAMPION DE LOGISTICA"/>
  </r>
  <r>
    <x v="1"/>
    <n v="5"/>
    <x v="92"/>
    <n v="32148105"/>
    <x v="93"/>
    <n v="32067738"/>
    <s v="GABRIEL CARDONA"/>
    <n v="12"/>
    <s v="LAS MERAS VENAS "/>
    <s v="APOYO DE CHAMPION DE LOGISTICA "/>
  </r>
  <r>
    <x v="1"/>
    <n v="5"/>
    <x v="92"/>
    <n v="32148105"/>
    <x v="93"/>
    <n v="32142777"/>
    <s v="ARTURO RODRIGUEZ"/>
    <n v="15"/>
    <s v="LAS MERAS VENAS "/>
    <s v="APOYO DE CALIDAD"/>
  </r>
  <r>
    <x v="1"/>
    <n v="5"/>
    <x v="92"/>
    <n v="32148105"/>
    <x v="93"/>
    <n v="32046178"/>
    <s v="SALVADOR BAÑUELOS RODRIGUEZ"/>
    <n v="14"/>
    <s v="LAS MERAS VENAS "/>
    <s v="APOYO LOGISTICA "/>
  </r>
  <r>
    <x v="1"/>
    <n v="5"/>
    <x v="92"/>
    <n v="32148105"/>
    <x v="93"/>
    <n v="32142781"/>
    <s v="JUAN ANTONIO TORRES ESCOBEDO"/>
    <n v="14"/>
    <s v="LAS MERAS VENAS "/>
    <s v="APOYO EN GENTE "/>
  </r>
  <r>
    <x v="0"/>
    <s v="PCM"/>
    <x v="88"/>
    <n v="32045092"/>
    <x v="90"/>
    <n v="32146288"/>
    <s v="FELIPE DE JESUS LUJAN LOPEZ"/>
    <n v="15"/>
    <s v="TIBURONES"/>
    <s v="APOYO GENTE"/>
  </r>
  <r>
    <x v="0"/>
    <s v="PCM"/>
    <x v="88"/>
    <n v="32045092"/>
    <x v="90"/>
    <n v="32149476"/>
    <s v="SAMUEL RUIZ SANCHEZ"/>
    <n v="15"/>
    <s v="TIBURONES"/>
    <s v="GESTION"/>
  </r>
  <r>
    <x v="0"/>
    <s v="PCM"/>
    <x v="88"/>
    <n v="32045092"/>
    <x v="90"/>
    <n v="32044292"/>
    <s v="BRAULIO SABINO SALCEDO ARELLANO"/>
    <n v="15"/>
    <s v="TIBURONES"/>
    <s v="APOYO GESTION"/>
  </r>
  <r>
    <x v="5"/>
    <s v="Fermentación"/>
    <x v="87"/>
    <n v="32146677"/>
    <x v="94"/>
    <n v="32044036"/>
    <s v="VICTOR SOTO LIZARDO"/>
    <n v="8"/>
    <s v="LOS FUERTES DEL FRIO"/>
    <s v="Gente"/>
  </r>
  <r>
    <x v="5"/>
    <s v="Fermentación"/>
    <x v="87"/>
    <n v="32188513"/>
    <x v="95"/>
    <n v="32044513"/>
    <s v="HUMBERTO RODARTE MARTINEZ"/>
    <n v="8"/>
    <s v="LOS FUERTES DEL FRIO"/>
    <s v="SEGURIDAD"/>
  </r>
  <r>
    <x v="7"/>
    <m/>
    <x v="93"/>
    <n v="32132054"/>
    <x v="96"/>
    <n v="32044502"/>
    <s v="ABEL GUILLERMO MAZATAN PAREDES"/>
    <n v="5"/>
    <s v="CUCHILLAS"/>
    <s v="LOGISTICA"/>
  </r>
  <r>
    <x v="7"/>
    <m/>
    <x v="47"/>
    <n v="32145498"/>
    <x v="45"/>
    <n v="32145333"/>
    <s v="FLAVIO CESAR DIAZ MALDONADO"/>
    <n v="12"/>
    <s v="LOS NAHUALES"/>
    <s v="GENTE"/>
  </r>
  <r>
    <x v="7"/>
    <m/>
    <x v="93"/>
    <n v="32132054"/>
    <x v="96"/>
    <n v="32102191"/>
    <s v="MARIO ALBERTO ZAMARRIPA LLANAS"/>
    <n v="5"/>
    <s v="CUCHILLAS"/>
    <s v="MANTENIMIENTO"/>
  </r>
  <r>
    <x v="7"/>
    <m/>
    <x v="93"/>
    <n v="32132054"/>
    <x v="96"/>
    <n v="32222227"/>
    <s v="CARLOS RIVERA REYES"/>
    <n v="5"/>
    <s v="CUCHILLAS"/>
    <s v="SEGURIDAD"/>
  </r>
  <r>
    <x v="7"/>
    <m/>
    <x v="93"/>
    <n v="32132054"/>
    <x v="96"/>
    <n v="32222225"/>
    <s v="MANUEL DE JESUS DEL REAL ESQUIVEL"/>
    <n v="5"/>
    <s v="CUCHILLAS"/>
    <s v="CALIDAD"/>
  </r>
  <r>
    <x v="7"/>
    <m/>
    <x v="53"/>
    <n v="32045014"/>
    <x v="50"/>
    <n v="32044037"/>
    <s v="MANUEL DE JESUS CHAVEZ GARCIA"/>
    <n v="9"/>
    <s v="MASH-RAINBOW"/>
    <s v="GENTE"/>
  </r>
  <r>
    <x v="5"/>
    <s v="Fermentación"/>
    <x v="87"/>
    <n v="32188513"/>
    <x v="95"/>
    <n v="32043880"/>
    <s v="JAIME CID VEYNA"/>
    <n v="8"/>
    <s v="LOS FUERTES DEL FRIO"/>
    <s v="AMBIENTAL"/>
  </r>
  <r>
    <x v="5"/>
    <s v="Fermentación"/>
    <x v="87"/>
    <n v="32146677"/>
    <x v="94"/>
    <n v="32044447"/>
    <s v="ROGELIO MARTINEZ ALVARADO"/>
    <n v="8"/>
    <s v="LOS FUERTES DEL FRIO"/>
    <s v="Logistica"/>
  </r>
  <r>
    <x v="5"/>
    <s v="Fermentación"/>
    <x v="87"/>
    <n v="32052750"/>
    <x v="97"/>
    <n v="32044514"/>
    <s v="LUIS MANUEL DOMINGUEZ GARCIA"/>
    <n v="8"/>
    <s v="LOS FUERTES DEL FRIO"/>
    <s v="MANTENIMIENTO"/>
  </r>
  <r>
    <x v="5"/>
    <s v="Fermentación"/>
    <x v="87"/>
    <n v="32052750"/>
    <x v="97"/>
    <n v="32044415"/>
    <s v="ARTURO CANALES LOPEZ"/>
    <n v="8"/>
    <s v="LOS FUERTES DEL FRIO"/>
    <s v="CALIDAD"/>
  </r>
  <r>
    <x v="5"/>
    <s v="Filtros-Gobierno"/>
    <x v="94"/>
    <n v="32154634"/>
    <x v="98"/>
    <n v="32043891"/>
    <s v="ARMANDO RAYZOLA ROLDAN"/>
    <n v="5"/>
    <s v="LOS GOBERNAITORS"/>
    <s v="AMBIENTAL"/>
  </r>
  <r>
    <x v="0"/>
    <s v="PCM"/>
    <x v="88"/>
    <n v="32045092"/>
    <x v="90"/>
    <n v="32043828"/>
    <s v="JESUS ORTIZ SANCHEZ"/>
    <n v="15"/>
    <s v="TIBURONES"/>
    <s v="APOYO MANTENIMIENTO"/>
  </r>
  <r>
    <x v="0"/>
    <s v="PCM"/>
    <x v="88"/>
    <n v="32045092"/>
    <x v="90"/>
    <n v="32044190"/>
    <s v="JORGE ENRIQUE PACHECO LOZANO "/>
    <n v="15"/>
    <s v="TIBURONES"/>
    <s v="MANTENIMIENTO"/>
  </r>
  <r>
    <x v="0"/>
    <s v="PCM"/>
    <x v="88"/>
    <n v="32045092"/>
    <x v="90"/>
    <n v="32043833"/>
    <s v="SALVADOR CASTAÑEDA DEVORA "/>
    <n v="15"/>
    <s v="TIBURONES"/>
    <s v="APOYO SEGURIDAD"/>
  </r>
  <r>
    <x v="0"/>
    <s v="PCM"/>
    <x v="88"/>
    <n v="32045092"/>
    <x v="90"/>
    <n v="32045537"/>
    <s v="HECTOR LUNA RENTERÍA"/>
    <n v="15"/>
    <s v="TIBURONES"/>
    <s v="CALIDAD"/>
  </r>
  <r>
    <x v="5"/>
    <s v="Filtros-Gobierno"/>
    <x v="94"/>
    <n v="32154634"/>
    <x v="98"/>
    <n v="32213354"/>
    <s v="Diego Ortiz Quiroz"/>
    <n v="5"/>
    <s v="LOS GOBERNAITORS"/>
    <s v="LOGISTICA"/>
  </r>
  <r>
    <x v="6"/>
    <m/>
    <x v="28"/>
    <n v="32045302"/>
    <x v="99"/>
    <n v="32044517"/>
    <s v="ALVARO RAMIREZ MUÑOZ"/>
    <n v="13"/>
    <s v="TAU EXPERT MAZ"/>
    <s v="CALIDAD"/>
  </r>
  <r>
    <x v="6"/>
    <m/>
    <x v="28"/>
    <n v="32045302"/>
    <x v="99"/>
    <n v="32045490"/>
    <s v="LUIS FERNANDO DE LIRA MARTINEZ"/>
    <n v="13"/>
    <s v="TAU EXPERT MAZ"/>
    <s v="AMBIENTAL"/>
  </r>
  <r>
    <x v="6"/>
    <m/>
    <x v="28"/>
    <n v="32045302"/>
    <x v="99"/>
    <n v="32044266"/>
    <s v="RICARDO HERNANDEZ TORRES"/>
    <n v="13"/>
    <s v="TAU EXPERT MAZ"/>
    <s v="GESTION"/>
  </r>
  <r>
    <x v="6"/>
    <m/>
    <x v="28"/>
    <n v="32045302"/>
    <x v="99"/>
    <n v="32045544"/>
    <s v="ROGELIO ROLANDO RUIZ FELIX"/>
    <n v="13"/>
    <s v="TAU EXPERT MAZ"/>
    <s v="GENTE"/>
  </r>
  <r>
    <x v="8"/>
    <s v="ACA"/>
    <x v="95"/>
    <n v="32156639"/>
    <x v="100"/>
    <n v="32044927"/>
    <s v="JESÚS MEJÍA UREÑO"/>
    <n v="5"/>
    <s v="THE BONES"/>
    <s v="CALIDAD"/>
  </r>
  <r>
    <x v="8"/>
    <s v="ACA"/>
    <x v="95"/>
    <n v="32156639"/>
    <x v="100"/>
    <n v="32054061"/>
    <s v="DAVID ESCOBEDO SÁNCHEZ"/>
    <n v="5"/>
    <s v="THE BONES"/>
    <s v="GESTIÓN "/>
  </r>
  <r>
    <x v="8"/>
    <s v="ACA"/>
    <x v="95"/>
    <n v="32156639"/>
    <x v="100"/>
    <n v="32044377"/>
    <s v="JOSÉ LUIS JUÁREZ DELGADO "/>
    <n v="5"/>
    <s v="THE BONES"/>
    <s v="AMBIENTAL Y PEOPLE"/>
  </r>
  <r>
    <x v="8"/>
    <s v="ACA"/>
    <x v="95"/>
    <n v="32156639"/>
    <x v="100"/>
    <n v="32044484"/>
    <s v="ARMANDO LECHUGA RAMOS "/>
    <n v="5"/>
    <s v="THE BONES"/>
    <s v="MANTENIMIENTO"/>
  </r>
  <r>
    <x v="8"/>
    <s v="ACA"/>
    <x v="95"/>
    <n v="32156639"/>
    <x v="100"/>
    <n v="32045500"/>
    <s v="JOSÉ ANTONIO MARTÍNEZ ALCALÁ"/>
    <n v="5"/>
    <s v="THE BONES"/>
    <s v="SEGURIDAD"/>
  </r>
  <r>
    <x v="7"/>
    <m/>
    <x v="96"/>
    <n v="32044983"/>
    <x v="101"/>
    <n v="32177483"/>
    <s v="ALDO ADRIAN SIFUENTES VELOZ"/>
    <n v="5"/>
    <s v="MOSTO-BOYS"/>
    <s v="MANTENIMIENTO"/>
  </r>
  <r>
    <x v="7"/>
    <m/>
    <x v="96"/>
    <n v="32044983"/>
    <x v="101"/>
    <n v="32132055"/>
    <s v="JOSE AMADOR RODRIGUEZ JUAREZ"/>
    <n v="5"/>
    <s v="MOSTO-BOYS"/>
    <s v="CALIDAD"/>
  </r>
  <r>
    <x v="7"/>
    <m/>
    <x v="57"/>
    <n v="32045378"/>
    <x v="55"/>
    <n v="32044845"/>
    <s v="GERARDO VARELA JARAMILLO"/>
    <n v="8"/>
    <s v="Los Panchitos"/>
    <s v="GENTE"/>
  </r>
  <r>
    <x v="7"/>
    <m/>
    <x v="96"/>
    <n v="32044983"/>
    <x v="101"/>
    <n v="32148846"/>
    <s v="RIGOBERTO MOTA CORTES"/>
    <n v="5"/>
    <s v="MOSTO-BOYS"/>
    <s v="SEGURIDAD"/>
  </r>
  <r>
    <x v="7"/>
    <m/>
    <x v="96"/>
    <n v="32044983"/>
    <x v="101"/>
    <n v="32188007"/>
    <s v="JOSE MANUEL VARELA ROSALES"/>
    <n v="5"/>
    <s v="MOSTO-BOYS"/>
    <s v="AMBIENTAL"/>
  </r>
  <r>
    <x v="5"/>
    <s v="Filtros-Gobierno"/>
    <x v="94"/>
    <n v="32045116"/>
    <x v="102"/>
    <n v="32111307"/>
    <s v="FRANCISCO JAVIER VARELA RODRIGUEZ"/>
    <n v="5"/>
    <s v="LOS GOBERNAITORS"/>
    <s v="SEGURIDAD"/>
  </r>
  <r>
    <x v="5"/>
    <s v="Filtros-Gobierno"/>
    <x v="94"/>
    <n v="32045139"/>
    <x v="103"/>
    <n v="32222223"/>
    <s v="HECTOR MANUEL DE LA ROSA AGUERO"/>
    <n v="5"/>
    <s v="LOS GOBERNAITORS"/>
    <s v="LOGISTICA"/>
  </r>
  <r>
    <x v="4"/>
    <s v="PYR"/>
    <x v="97"/>
    <n v="32045834"/>
    <x v="104"/>
    <n v="32044013"/>
    <s v=" JORGE ARMANDO MEDELLIN PARRA"/>
    <n v="7"/>
    <s v="Pelusas del PyR"/>
    <s v="CALIDAD"/>
  </r>
  <r>
    <x v="4"/>
    <s v="PYR"/>
    <x v="97"/>
    <n v="32045834"/>
    <x v="104"/>
    <n v="32044024"/>
    <s v=" JUAN CARLOS GARCIA VEGA"/>
    <n v="7"/>
    <s v="Pelusas del PyR"/>
    <s v="MANTENIMIENTO"/>
  </r>
  <r>
    <x v="4"/>
    <s v="PYR"/>
    <x v="97"/>
    <n v="32045834"/>
    <x v="104"/>
    <n v="32044254"/>
    <s v="ROGELIO AVILA PEREZ"/>
    <n v="7"/>
    <s v="Pelusas del PyR"/>
    <s v="MEDIO AMBIENTE"/>
  </r>
  <r>
    <x v="4"/>
    <s v="PYR"/>
    <x v="97"/>
    <n v="32045834"/>
    <x v="104"/>
    <n v="32044362"/>
    <s v="CRISTOBAL HERNANDEZ PEREZ"/>
    <n v="7"/>
    <s v="Pelusas del PyR"/>
    <s v="SEGURIDAD"/>
  </r>
  <r>
    <x v="4"/>
    <s v="PYR"/>
    <x v="97"/>
    <n v="32045834"/>
    <x v="104"/>
    <n v="32045689"/>
    <s v="EDGAR MONTOYA ORTIZ"/>
    <n v="7"/>
    <s v="Pelusas del PyR"/>
    <s v="LOGÍSTICA"/>
  </r>
  <r>
    <x v="4"/>
    <s v="PYR"/>
    <x v="97"/>
    <n v="32045834"/>
    <x v="104"/>
    <n v="32045834"/>
    <s v="RICARDO HERNANDEZ VAZQUEZ"/>
    <n v="7"/>
    <s v="Pelusas del PyR"/>
    <s v="GESTIÓN"/>
  </r>
  <r>
    <x v="4"/>
    <s v="PYR"/>
    <x v="97"/>
    <n v="32045834"/>
    <x v="104"/>
    <n v="32057497"/>
    <s v=" ERNESTO GONZALEZ GUERRERO"/>
    <n v="7"/>
    <s v="Pelusas del PyR"/>
    <s v="PEOPLE"/>
  </r>
  <r>
    <x v="2"/>
    <s v="TRATOS DE AGUA"/>
    <x v="98"/>
    <n v="32151311"/>
    <x v="105"/>
    <n v="32045143"/>
    <s v="ARMANDO GONZALEZ SOSA"/>
    <n v="4"/>
    <s v="CHAVOS AMBIENTALES"/>
    <s v="CHAMPION MANTENIMIENTO"/>
  </r>
  <r>
    <x v="2"/>
    <s v="TRATOS DE AGUA"/>
    <x v="98"/>
    <n v="32151311"/>
    <x v="105"/>
    <n v="32045388"/>
    <s v="LUIS MANUEL GOMEZ CASTRUITA"/>
    <n v="4"/>
    <s v="CHAVOS AMBIENTALES"/>
    <s v="CHAMPION CALIDAD"/>
  </r>
  <r>
    <x v="2"/>
    <s v="TRATOS DE AGUA"/>
    <x v="98"/>
    <n v="32151311"/>
    <x v="105"/>
    <n v="32043758"/>
    <s v="MARCO ANTONIO HERNANDEZ CHAVEZ"/>
    <n v="4"/>
    <s v="CHAVOS AMBIENTALES"/>
    <s v="CHAMPION AMBIENTAL"/>
  </r>
  <r>
    <x v="2"/>
    <s v="TRATOS DE AGUA"/>
    <x v="98"/>
    <n v="32151311"/>
    <x v="105"/>
    <n v="32045383"/>
    <s v="JUAN JOSE LOPEZ RODRIGUEZ"/>
    <n v="4"/>
    <s v="CHAVOS AMBIENTALES"/>
    <s v="CHAMPION SEGURIDAD"/>
  </r>
  <r>
    <x v="0"/>
    <s v="PCM"/>
    <x v="88"/>
    <n v="32045092"/>
    <x v="90"/>
    <n v="32146674"/>
    <s v="JESUS MANUEL RODRIGUEZ DÁVILA "/>
    <n v="15"/>
    <s v="TIBURONES"/>
    <s v="APOYO GESTION"/>
  </r>
  <r>
    <x v="0"/>
    <s v="PCM"/>
    <x v="88"/>
    <n v="32045092"/>
    <x v="90"/>
    <n v="32044064"/>
    <s v="J JESUS OROZCO IBARRA"/>
    <n v="15"/>
    <s v="TIBURONES"/>
    <s v="APOYO MEDIO AMBIENTE"/>
  </r>
  <r>
    <x v="0"/>
    <s v="ENV 3"/>
    <x v="99"/>
    <n v="32146011"/>
    <x v="106"/>
    <n v="32044054"/>
    <s v="JORGE LOPEZ GARCIA"/>
    <n v="10"/>
    <s v="TOOL"/>
    <s v="APOYO MANTENIMIENTO"/>
  </r>
  <r>
    <x v="4"/>
    <s v="EXPORTACION /ALTERNO "/>
    <x v="100"/>
    <n v="32182878"/>
    <x v="107"/>
    <n v="32043715"/>
    <s v="FRANCISCO JAVIER ESCOBAR PALACIOS"/>
    <n v="11"/>
    <s v="Expoalternos"/>
    <s v="LOGÍSTICA"/>
  </r>
  <r>
    <x v="4"/>
    <s v="ALTERNO/TAPANCO"/>
    <x v="101"/>
    <n v="32225725"/>
    <x v="108"/>
    <n v="32044358"/>
    <s v=" EFREN NARVAEZ LOPEZ"/>
    <n v="8"/>
    <s v="Tapalternos"/>
    <s v="MEDIO AMBIENTE"/>
  </r>
  <r>
    <x v="4"/>
    <s v="EXPORTACION /ALTERNO "/>
    <x v="33"/>
    <n v="32217868"/>
    <x v="34"/>
    <n v="32045088"/>
    <s v=" ROBERTO ZAVALA CASAS"/>
    <n v="14"/>
    <s v="Nortecarguistas"/>
    <s v="SEGURIDAD"/>
  </r>
  <r>
    <x v="4"/>
    <s v="EXPORTACION /ALTERNO "/>
    <x v="33"/>
    <n v="32217868"/>
    <x v="34"/>
    <n v="32045252"/>
    <s v=" RAFAEL RIVERA HERNANDEZ"/>
    <n v="14"/>
    <s v="Nortecarguistas"/>
    <s v="SEGURIDAD"/>
  </r>
  <r>
    <x v="4"/>
    <s v="ALTERNO/TAPANCO"/>
    <x v="101"/>
    <n v="32225725"/>
    <x v="108"/>
    <n v="32045325"/>
    <s v="FELIPE TORRES RÁMIREZ"/>
    <n v="8"/>
    <s v="Tapalternos"/>
    <s v="MEDIO AMBIENTE"/>
  </r>
  <r>
    <x v="4"/>
    <s v="EXPORTACION /ALTERNO "/>
    <x v="33"/>
    <n v="32217868"/>
    <x v="34"/>
    <n v="32046180"/>
    <s v=" JAVIER AGUILAR VAZQUEZ"/>
    <n v="14"/>
    <s v="Nortecarguistas"/>
    <s v="CALIDAD"/>
  </r>
  <r>
    <x v="4"/>
    <s v="ALTERNO/TAPANCO"/>
    <x v="101"/>
    <n v="32225725"/>
    <x v="108"/>
    <n v="32046184"/>
    <s v=" ABRAHAM BELMONTES MAURICIO"/>
    <n v="8"/>
    <s v="Tapalternos"/>
    <s v="PEOPLE"/>
  </r>
  <r>
    <x v="4"/>
    <s v="ALTERNO/TAPANCO"/>
    <x v="101"/>
    <n v="32225725"/>
    <x v="108"/>
    <n v="32046598"/>
    <s v=" GONZALO HERRERA RUELAS"/>
    <n v="8"/>
    <s v="Tapalternos"/>
    <s v="GESTIÓN"/>
  </r>
  <r>
    <x v="4"/>
    <s v="ALTERNO/TAPANCO"/>
    <x v="101"/>
    <n v="32225725"/>
    <x v="108"/>
    <n v="32180199"/>
    <s v="MANUEL PINEDO ALVARADO"/>
    <n v="8"/>
    <s v="Tapalternos"/>
    <s v="PEOPLE"/>
  </r>
  <r>
    <x v="4"/>
    <s v="EXPORTACION /ALTERNO "/>
    <x v="33"/>
    <n v="32217868"/>
    <x v="34"/>
    <n v="32180379"/>
    <s v=" JUAN MANUEL PALACIOS HERNANDEZ"/>
    <n v="14"/>
    <s v="Nortecarguistas"/>
    <s v="MANTENIMIENTO"/>
  </r>
  <r>
    <x v="0"/>
    <s v="ENV 3"/>
    <x v="99"/>
    <n v="32146011"/>
    <x v="106"/>
    <n v="32138750"/>
    <s v="JUAN CARLOS SANCHEZ MTZ"/>
    <n v="10"/>
    <s v="TOOL"/>
    <s v="APOYO GESTION"/>
  </r>
  <r>
    <x v="0"/>
    <s v="ENV 3"/>
    <x v="99"/>
    <n v="32146011"/>
    <x v="106"/>
    <n v="32043826"/>
    <s v="GABRIEL MORENO TRONCOSO"/>
    <n v="10"/>
    <s v="TOOL"/>
    <s v="APOYO MEDIO AMBIENTE"/>
  </r>
  <r>
    <x v="0"/>
    <s v="ENV 3"/>
    <x v="99"/>
    <n v="32145438"/>
    <x v="109"/>
    <n v="32045823"/>
    <s v="Carlos Sifuentes Romero"/>
    <n v="10"/>
    <s v="TOOL"/>
    <s v="MANTENIMIENTO"/>
  </r>
  <r>
    <x v="0"/>
    <s v="ENV 3"/>
    <x v="99"/>
    <n v="32145438"/>
    <x v="109"/>
    <n v="32044386"/>
    <s v="Miguel Ángel Dávila Pinales"/>
    <n v="10"/>
    <s v="TOOL"/>
    <s v="GESTION"/>
  </r>
  <r>
    <x v="5"/>
    <s v="Filtros-Gobierno"/>
    <x v="94"/>
    <n v="32046063"/>
    <x v="110"/>
    <n v="32045574"/>
    <s v="PEDRO PALOS JARA"/>
    <n v="5"/>
    <s v="LOS GOBERNAITORS"/>
    <s v="CALIDAD"/>
  </r>
  <r>
    <x v="5"/>
    <s v="Fermentación"/>
    <x v="102"/>
    <n v="32188512"/>
    <x v="111"/>
    <n v="32045149"/>
    <s v="ENRIQUE MEDINA GARCIA"/>
    <n v="6"/>
    <s v="MONTSE Y SUS FERMENTADORES"/>
    <s v="CALIDAD"/>
  </r>
  <r>
    <x v="5"/>
    <s v="Fermentación"/>
    <x v="102"/>
    <n v="32188512"/>
    <x v="111"/>
    <n v="32044751"/>
    <s v="JUAN MANUEL HUERTA DE LA"/>
    <n v="6"/>
    <s v="MONTSE Y SUS FERMENTADORES"/>
    <s v="AMBIENTAL"/>
  </r>
  <r>
    <x v="5"/>
    <s v="Fermentación"/>
    <x v="102"/>
    <n v="32188512"/>
    <x v="111"/>
    <n v="32197834"/>
    <s v="Luis Adolfo Maldonado Dominguez"/>
    <n v="6"/>
    <s v="MONTSE Y SUS FERMENTADORES"/>
    <s v="CALIDAD"/>
  </r>
  <r>
    <x v="5"/>
    <s v="Fermentación"/>
    <x v="102"/>
    <n v="32188512"/>
    <x v="111"/>
    <n v="32044760"/>
    <s v="MAURICIO ARELLANO TREJO"/>
    <n v="6"/>
    <s v="MONTSE Y SUS FERMENTADORES"/>
    <s v="SEGURIDAD"/>
  </r>
  <r>
    <x v="5"/>
    <s v="Fermentación"/>
    <x v="102"/>
    <n v="32188512"/>
    <x v="111"/>
    <n v="32144777"/>
    <s v="OSCAR CAMPOS GUERRERO"/>
    <n v="6"/>
    <s v="MONTSE Y SUS FERMENTADORES"/>
    <s v="MANTENIMIENTO"/>
  </r>
  <r>
    <x v="5"/>
    <s v="Fermentación"/>
    <x v="102"/>
    <n v="32188512"/>
    <x v="111"/>
    <n v="32132025"/>
    <s v="SERGIO MIGUEL PARRA VAZQUEZ"/>
    <n v="6"/>
    <s v="MONTSE Y SUS FERMENTADORES"/>
    <s v="GESTIÓN "/>
  </r>
  <r>
    <x v="5"/>
    <m/>
    <x v="103"/>
    <n v="32044762"/>
    <x v="112"/>
    <n v="32199794"/>
    <s v="LUIS OTONIEL PACHECO AVILA"/>
    <n v="12"/>
    <s v="MUNICH"/>
    <s v="GENTE"/>
  </r>
  <r>
    <x v="7"/>
    <m/>
    <x v="93"/>
    <n v="32132054"/>
    <x v="96"/>
    <n v="32202298"/>
    <s v="EDUARDO ANTONIO GAETA RODARTE"/>
    <n v="5"/>
    <s v="CUCHILLAS"/>
    <s v="GENTE"/>
  </r>
  <r>
    <x v="7"/>
    <m/>
    <x v="96"/>
    <n v="32044983"/>
    <x v="101"/>
    <n v="32132194"/>
    <s v="HECTOR HUGO VALDEZ PIÑA"/>
    <n v="5"/>
    <s v="MOSTO-BOYS"/>
    <s v="GENTE"/>
  </r>
  <r>
    <x v="5"/>
    <m/>
    <x v="103"/>
    <n v="32044762"/>
    <x v="112"/>
    <n v="32146005"/>
    <s v="RAMON COLLAZO CAMARILLO"/>
    <n v="12"/>
    <s v="MUNICH"/>
    <s v="GENTE"/>
  </r>
  <r>
    <x v="5"/>
    <m/>
    <x v="103"/>
    <n v="32044762"/>
    <x v="112"/>
    <n v="32173447"/>
    <s v="ALEJANDRO DE JESUS ROBLES GUZMAN"/>
    <n v="12"/>
    <s v="MUNICH"/>
    <s v="AMBIENTAL"/>
  </r>
  <r>
    <x v="5"/>
    <m/>
    <x v="103"/>
    <n v="32044762"/>
    <x v="112"/>
    <n v="32043804"/>
    <s v="ALEJANDRO LOPEZ RODRIGUEZ"/>
    <n v="12"/>
    <s v="MUNICH"/>
    <s v="AMBIENTAL"/>
  </r>
  <r>
    <x v="5"/>
    <m/>
    <x v="103"/>
    <n v="32044762"/>
    <x v="112"/>
    <n v="32045106"/>
    <s v="ARTURO VELAZQUEZ BELTRAN"/>
    <n v="12"/>
    <s v="MUNICH"/>
    <s v="GESTION"/>
  </r>
  <r>
    <x v="5"/>
    <m/>
    <x v="103"/>
    <n v="32044762"/>
    <x v="112"/>
    <n v="32044909"/>
    <s v="HERIBERTO LIMON BORREGO"/>
    <n v="12"/>
    <s v="MUNICH"/>
    <s v="SEGURIDAD"/>
  </r>
  <r>
    <x v="5"/>
    <m/>
    <x v="103"/>
    <n v="32044762"/>
    <x v="112"/>
    <n v="32176714"/>
    <s v="JOSE EUSEBIO IBARRA MARTINEZ"/>
    <n v="12"/>
    <s v="MUNICH"/>
    <s v="CALIDAD"/>
  </r>
  <r>
    <x v="5"/>
    <m/>
    <x v="103"/>
    <n v="32044762"/>
    <x v="112"/>
    <n v="32044789"/>
    <s v="JUAN ISIDRO CAMPOS SOLIS"/>
    <n v="12"/>
    <s v="MUNICH"/>
    <s v="MANTENIMIENTO"/>
  </r>
  <r>
    <x v="5"/>
    <m/>
    <x v="103"/>
    <n v="32044762"/>
    <x v="112"/>
    <n v="32045769"/>
    <s v="JUAN LOPEZ JUAREZ"/>
    <n v="12"/>
    <s v="MUNICH"/>
    <s v="MANTENIMIENTO"/>
  </r>
  <r>
    <x v="5"/>
    <m/>
    <x v="103"/>
    <n v="32044762"/>
    <x v="112"/>
    <n v="32045043"/>
    <s v="LUIS ANTONIO RAMIREZ ACOSTA"/>
    <n v="12"/>
    <s v="MUNICH"/>
    <s v="GESTION"/>
  </r>
  <r>
    <x v="6"/>
    <m/>
    <x v="28"/>
    <n v="32045881"/>
    <x v="113"/>
    <n v="32044798"/>
    <s v="ARMANDO ROMERO BENITEZ"/>
    <n v="13"/>
    <s v="TAU EXPERT MAZ"/>
    <s v="AMBIENTAL"/>
  </r>
  <r>
    <x v="6"/>
    <m/>
    <x v="28"/>
    <n v="32045881"/>
    <x v="113"/>
    <n v="32045419"/>
    <s v="CESAR MUÑIZ PASILLAS"/>
    <n v="13"/>
    <s v="TAU EXPERT MAZ"/>
    <s v="SEGURIDAD"/>
  </r>
  <r>
    <x v="6"/>
    <m/>
    <x v="28"/>
    <n v="32045881"/>
    <x v="113"/>
    <n v="32045491"/>
    <s v="JOSE ALBERTO ORTIZ GARZA"/>
    <n v="13"/>
    <s v="TAU EXPERT MAZ"/>
    <s v="SEGURIDAD"/>
  </r>
  <r>
    <x v="6"/>
    <m/>
    <x v="28"/>
    <n v="32045881"/>
    <x v="113"/>
    <n v="32045441"/>
    <s v="JUAN LOPEZ CARDONA"/>
    <n v="13"/>
    <s v="TAU EXPERT MAZ"/>
    <s v="AMBIENTAL"/>
  </r>
  <r>
    <x v="6"/>
    <m/>
    <x v="28"/>
    <n v="32045881"/>
    <x v="113"/>
    <n v="32045840"/>
    <s v="JULIO CESAR GARCIA JUAREZ"/>
    <n v="13"/>
    <s v="TAU EXPERT MAZ"/>
    <s v="GESTION"/>
  </r>
  <r>
    <x v="1"/>
    <n v="9"/>
    <x v="104"/>
    <n v="32148202"/>
    <x v="114"/>
    <n v="32046198"/>
    <s v="RODRIGUEZ CABRERA JORGE ADAN"/>
    <n v="19"/>
    <s v="RENEGADOS"/>
    <s v="APOYO DE SEGURIDAD"/>
  </r>
  <r>
    <x v="1"/>
    <n v="9"/>
    <x v="104"/>
    <n v="32148202"/>
    <x v="114"/>
    <n v="32045959"/>
    <s v="MAURO CARDONA CASTILLO"/>
    <n v="14"/>
    <s v="RENEGADOS"/>
    <s v="CHAMPION DE MANTENIMIENTO "/>
  </r>
  <r>
    <x v="1"/>
    <n v="9"/>
    <x v="104"/>
    <n v="32148202"/>
    <x v="114"/>
    <n v="32046073"/>
    <s v="SERGIO CARDONA CASTILLO"/>
    <n v="14"/>
    <s v="RENEGADOS"/>
    <s v="APOYO MANTENIMIENTO "/>
  </r>
  <r>
    <x v="1"/>
    <n v="9"/>
    <x v="104"/>
    <n v="32148202"/>
    <x v="114"/>
    <n v="32046230"/>
    <s v="SERGIO CORDERO IBARRA"/>
    <n v="14"/>
    <s v="RENEGADOS"/>
    <s v="CHAMPION DE GESTIÓN "/>
  </r>
  <r>
    <x v="1"/>
    <n v="9"/>
    <x v="104"/>
    <n v="32148202"/>
    <x v="114"/>
    <n v="32153095"/>
    <s v="DANIEL ORTIZ LOERA"/>
    <n v="14"/>
    <s v="RENEGADOS"/>
    <s v="APOYO DE CALIDAD "/>
  </r>
  <r>
    <x v="1"/>
    <n v="9"/>
    <x v="104"/>
    <n v="32148202"/>
    <x v="114"/>
    <n v="32046415"/>
    <s v="JOSE ANTONIO LEDEZMA LUJAN "/>
    <n v="14"/>
    <s v="RENEGADOS"/>
    <s v="CHAMPION DE SEGURIDAD "/>
  </r>
  <r>
    <x v="1"/>
    <n v="9"/>
    <x v="104"/>
    <n v="32148202"/>
    <x v="114"/>
    <n v="32046386"/>
    <s v="JOSE ROBERTO VALLE ORTIZ"/>
    <n v="14"/>
    <s v="RENEGADOS"/>
    <s v="APOYO DE SEGURIDAD "/>
  </r>
  <r>
    <x v="1"/>
    <n v="9"/>
    <x v="104"/>
    <n v="32148202"/>
    <x v="114"/>
    <n v="32149877"/>
    <s v="ARMANDO SEGOVIA RODRIGUEZ"/>
    <n v="14"/>
    <s v="RENEGADOS"/>
    <s v="CHAMPION DE GENTE "/>
  </r>
  <r>
    <x v="1"/>
    <n v="9"/>
    <x v="104"/>
    <n v="32148202"/>
    <x v="114"/>
    <n v="32046558"/>
    <s v="JERONIMO CASAS DIAZ"/>
    <n v="14"/>
    <s v="RENEGADOS"/>
    <s v="APOYO GENTE"/>
  </r>
  <r>
    <x v="1"/>
    <n v="9"/>
    <x v="104"/>
    <n v="32148202"/>
    <x v="114"/>
    <n v="32060919"/>
    <s v="ANTONIO DE JESUS MARTINEZ LUJAN"/>
    <n v="14"/>
    <s v="RENEGADOS"/>
    <s v="CHAMPION DE LOGÍSTICA "/>
  </r>
  <r>
    <x v="1"/>
    <n v="9"/>
    <x v="104"/>
    <n v="32148202"/>
    <x v="114"/>
    <n v="32149860"/>
    <s v="JOSE DE JESUS MEDELLIN CARRILLO"/>
    <n v="14"/>
    <s v="RENEGADOS"/>
    <s v="APOYO DE LOGISTICA "/>
  </r>
  <r>
    <x v="1"/>
    <n v="9"/>
    <x v="104"/>
    <n v="32148202"/>
    <x v="114"/>
    <n v="32145203"/>
    <s v="JESUS MICHAEL GALLEGOS HERNANDEZ"/>
    <n v="14"/>
    <s v="RENEGADOS"/>
    <s v="CHAMPION AMBIENTAL "/>
  </r>
  <r>
    <x v="1"/>
    <n v="9"/>
    <x v="104"/>
    <n v="32148202"/>
    <x v="114"/>
    <n v="32180198"/>
    <s v="JOSE LUIS SALDIVAR SANTOS"/>
    <n v="14"/>
    <s v="RENEGADOS"/>
    <s v="APOYO DE AMBIENTAL "/>
  </r>
  <r>
    <x v="1"/>
    <n v="9"/>
    <x v="104"/>
    <n v="32148202"/>
    <x v="114"/>
    <n v="32202295"/>
    <s v="RAFAEL TORRES GUZMAN"/>
    <n v="14"/>
    <s v="RENEGADOS"/>
    <s v="CHAMPION DE CALIDAD "/>
  </r>
  <r>
    <x v="1"/>
    <n v="9"/>
    <x v="104"/>
    <n v="32148202"/>
    <x v="114"/>
    <n v="32148632"/>
    <s v="GILBERTO MENDEZ PALACIOS "/>
    <n v="14"/>
    <s v="RENEGADOS"/>
    <s v="APOYO DE GESTIÓN "/>
  </r>
  <r>
    <x v="1"/>
    <n v="9"/>
    <x v="104"/>
    <n v="32148202"/>
    <x v="114"/>
    <n v="32045118"/>
    <s v="RAFAEL HERNANDEZ MORENO"/>
    <n v="14"/>
    <s v="RENEGADOS"/>
    <s v="APOYO AMBIENTAL"/>
  </r>
  <r>
    <x v="1"/>
    <n v="9"/>
    <x v="104"/>
    <n v="32148202"/>
    <x v="114"/>
    <n v="32044464"/>
    <s v="RAUL RODRIGO BUGARIN LOPEZ"/>
    <n v="14"/>
    <s v="RENEGADOS"/>
    <s v="CHAMPION DE CALIDAD "/>
  </r>
  <r>
    <x v="1"/>
    <n v="9"/>
    <x v="104"/>
    <n v="32148202"/>
    <x v="114"/>
    <n v="32061941"/>
    <s v="JUAN LUIS PULIDO TREJO"/>
    <n v="14"/>
    <s v="RENEGADOS"/>
    <s v="APOYO DE GESTION "/>
  </r>
  <r>
    <x v="1"/>
    <n v="9"/>
    <x v="104"/>
    <n v="32148202"/>
    <x v="114"/>
    <n v="32045040"/>
    <s v="J. ROSARIO DE LA ISLA MARQUEZ"/>
    <n v="14"/>
    <s v="RENEGADOS"/>
    <s v="CHAMPION DE SEGURIDAD "/>
  </r>
  <r>
    <x v="1"/>
    <n v="9"/>
    <x v="104"/>
    <n v="32148202"/>
    <x v="114"/>
    <n v="32046201"/>
    <s v="ERNESTO PADILLA VARELA"/>
    <n v="14"/>
    <s v="RENEGADOS"/>
    <s v="CHAMPION LOGISTICA "/>
  </r>
  <r>
    <x v="1"/>
    <n v="9"/>
    <x v="104"/>
    <n v="32148202"/>
    <x v="114"/>
    <n v="32132058"/>
    <s v="AURELIANO ORTIZ DELGADO"/>
    <n v="14"/>
    <s v="RENEGADOS"/>
    <s v="APOYO MANTENIMIENTO "/>
  </r>
  <r>
    <x v="1"/>
    <n v="9"/>
    <x v="104"/>
    <n v="32148202"/>
    <x v="114"/>
    <n v="32046394"/>
    <s v="BALDOMERO DOMINGUEZ SOLIS"/>
    <n v="14"/>
    <s v="RENEGADOS"/>
    <s v="APOYO MTTO."/>
  </r>
  <r>
    <x v="0"/>
    <s v="ENV 3"/>
    <x v="99"/>
    <n v="32145438"/>
    <x v="109"/>
    <n v="32072163"/>
    <s v="Homero Zapata Ortiz"/>
    <n v="10"/>
    <s v="TOOL"/>
    <s v="SEGURIDAD"/>
  </r>
  <r>
    <x v="0"/>
    <s v="ENV 3"/>
    <x v="99"/>
    <n v="32145438"/>
    <x v="109"/>
    <n v="32044217"/>
    <s v="Cesar Ricardo Acuña de la Trinidad"/>
    <n v="10"/>
    <s v="TOOL"/>
    <s v="APOYO GESTION"/>
  </r>
  <r>
    <x v="0"/>
    <s v="ENV 3"/>
    <x v="99"/>
    <n v="32145438"/>
    <x v="109"/>
    <n v="32045161"/>
    <s v="José De Jesús Gallegos Zavala"/>
    <n v="10"/>
    <s v="TOOL"/>
    <s v="GENTE"/>
  </r>
  <r>
    <x v="0"/>
    <s v="ENV 3"/>
    <x v="99"/>
    <n v="32145438"/>
    <x v="109"/>
    <n v="32044357"/>
    <s v="Carlos Eduardo Martinez García"/>
    <n v="10"/>
    <s v="TOOL"/>
    <s v="MEDIO AMBIENTE"/>
  </r>
  <r>
    <x v="0"/>
    <s v="ENV 3"/>
    <x v="99"/>
    <n v="32145438"/>
    <x v="109"/>
    <n v="32043985"/>
    <s v="Jorge Alberto Rico Navarro"/>
    <n v="10"/>
    <s v="TOOL"/>
    <s v="CALIDAD"/>
  </r>
  <r>
    <x v="0"/>
    <s v="ENV 2"/>
    <x v="105"/>
    <n v="32146125"/>
    <x v="115"/>
    <n v="32043792"/>
    <s v="Jayme Santacruz Díaz"/>
    <n v="5"/>
    <s v="TRANSTORQUE"/>
    <s v="GESTION"/>
  </r>
  <r>
    <x v="0"/>
    <s v="ENV 2"/>
    <x v="105"/>
    <n v="32146125"/>
    <x v="115"/>
    <n v="32043984"/>
    <s v="Jorge Landa Benítez"/>
    <n v="5"/>
    <s v="TRANSTORQUE"/>
    <s v="SEGURIDAD"/>
  </r>
  <r>
    <x v="0"/>
    <s v="ENV 2"/>
    <x v="105"/>
    <n v="32146125"/>
    <x v="115"/>
    <n v="32072178"/>
    <s v="Raul Acosta Martinez "/>
    <n v="5"/>
    <s v="TRANSTORQUE"/>
    <s v="MEDIO AMBIENTE"/>
  </r>
  <r>
    <x v="5"/>
    <m/>
    <x v="103"/>
    <n v="32044762"/>
    <x v="112"/>
    <n v="32044478"/>
    <s v="SERGIO ENRIQUE RODRIGUEZ ESPARZA"/>
    <n v="12"/>
    <s v="MUNICH"/>
    <s v="SEGURIDAD"/>
  </r>
  <r>
    <x v="5"/>
    <m/>
    <x v="103"/>
    <n v="32044762"/>
    <x v="112"/>
    <n v="32045952"/>
    <s v="VICTOR MENDOZA MARTINEZ"/>
    <n v="12"/>
    <s v="MUNICH"/>
    <s v="CALIDAD"/>
  </r>
  <r>
    <x v="5"/>
    <m/>
    <x v="103"/>
    <n v="32044762"/>
    <x v="112"/>
    <n v="32219006"/>
    <s v="PABLO CESAR OROZCO DELGADO"/>
    <n v="12"/>
    <s v="MUNICH"/>
    <s v="SEGURIDAD"/>
  </r>
  <r>
    <x v="1"/>
    <n v="6"/>
    <x v="106"/>
    <n v="32147381"/>
    <x v="116"/>
    <n v="32143273"/>
    <s v="SERGIO ARMANDO ROMAN TREJO"/>
    <n v="15"/>
    <s v="LOS WARRIORS"/>
    <s v="CHAMPION GESTION"/>
  </r>
  <r>
    <x v="1"/>
    <n v="6"/>
    <x v="106"/>
    <n v="32147381"/>
    <x v="116"/>
    <n v="32171437"/>
    <s v="LENY NIETO NIETO"/>
    <n v="15"/>
    <s v="LOS WARRIORS"/>
    <s v="APOYO GESTION"/>
  </r>
  <r>
    <x v="1"/>
    <n v="6"/>
    <x v="106"/>
    <n v="32147381"/>
    <x v="116"/>
    <n v="32044705"/>
    <s v="SALVADOR ALVAREZ DE LA TORRE"/>
    <n v="15"/>
    <s v="LOS WARRIORS"/>
    <s v="APOYO MANTENIMIENTO"/>
  </r>
  <r>
    <x v="1"/>
    <n v="6"/>
    <x v="106"/>
    <n v="32147381"/>
    <x v="116"/>
    <n v="32045074"/>
    <s v="JUAN ANTONIO GUERRA GUEVARA"/>
    <n v="15"/>
    <s v="LOS WARRIORS"/>
    <s v="CHAMPION DE SEGURIDAD"/>
  </r>
  <r>
    <x v="1"/>
    <n v="6"/>
    <x v="106"/>
    <n v="32147381"/>
    <x v="116"/>
    <n v="32067362"/>
    <s v="OSCAR IVAN CARRILLO MUÑOZ"/>
    <n v="15"/>
    <s v="LOS WARRIORS"/>
    <s v="APOYO GENTE"/>
  </r>
  <r>
    <x v="1"/>
    <n v="6"/>
    <x v="106"/>
    <n v="32147381"/>
    <x v="116"/>
    <n v="32143044"/>
    <s v="OLIVERIO RAMIREZ DOMINGUEZ"/>
    <n v="15"/>
    <s v="LOS WARRIORS"/>
    <s v="APOYO CALIDAD"/>
  </r>
  <r>
    <x v="1"/>
    <n v="6"/>
    <x v="106"/>
    <n v="32147381"/>
    <x v="116"/>
    <n v="32046441"/>
    <s v="CARLOS ESCALANTE RODRIGUEZ"/>
    <n v="15"/>
    <s v="LOS WARRIORS"/>
    <s v="APOYO LOGISTICA"/>
  </r>
  <r>
    <x v="1"/>
    <n v="6"/>
    <x v="106"/>
    <n v="32147381"/>
    <x v="116"/>
    <n v="32154115"/>
    <s v="JOSE LUIS JUAREZ TORRES"/>
    <n v="15"/>
    <s v="LOS WARRIORS"/>
    <s v="CHAMPION AMBIENTAL"/>
  </r>
  <r>
    <x v="1"/>
    <n v="6"/>
    <x v="106"/>
    <n v="32147381"/>
    <x v="116"/>
    <n v="32046234"/>
    <s v="MARCOS ROBLES AGUIRRE"/>
    <n v="15"/>
    <s v="LOS WARRIORS"/>
    <s v="CHAMPION MANTENIMIENTO"/>
  </r>
  <r>
    <x v="1"/>
    <n v="6"/>
    <x v="106"/>
    <n v="32147381"/>
    <x v="116"/>
    <n v="32046011"/>
    <s v="EDUARDO VALLE GUERRERO"/>
    <n v="15"/>
    <s v="LOS WARRIORS"/>
    <s v="CHAMPIONS LOGISTICA"/>
  </r>
  <r>
    <x v="1"/>
    <n v="6"/>
    <x v="106"/>
    <n v="32147381"/>
    <x v="116"/>
    <n v="32110718"/>
    <s v="DANIEL PEREZ BANDA"/>
    <n v="15"/>
    <s v="LOS WARRIORS"/>
    <s v="CHAMPION DE CALIDAD"/>
  </r>
  <r>
    <x v="1"/>
    <n v="6"/>
    <x v="106"/>
    <n v="32147381"/>
    <x v="116"/>
    <n v="32171438"/>
    <s v="ROBERTO LEYVA ROBLES"/>
    <n v="15"/>
    <s v="LOS WARRIORS"/>
    <s v="APOYO AMBIENTAL"/>
  </r>
  <r>
    <x v="1"/>
    <n v="6"/>
    <x v="106"/>
    <n v="32147381"/>
    <x v="116"/>
    <n v="32044100"/>
    <s v="ALVARO SALAS GUITIERREZ"/>
    <n v="15"/>
    <s v="LOS WARRIORS"/>
    <s v="APOYO DE SEGURIDAD"/>
  </r>
  <r>
    <x v="1"/>
    <n v="6"/>
    <x v="106"/>
    <n v="32147381"/>
    <x v="116"/>
    <n v="32202291"/>
    <s v="MARTINEZ MUÑOZ MIGUEL ANGEL"/>
    <n v="15"/>
    <s v="LOS WARRIORS"/>
    <s v="APOYO GENTE"/>
  </r>
  <r>
    <x v="1"/>
    <n v="6"/>
    <x v="106"/>
    <n v="32147381"/>
    <x v="116"/>
    <n v="32045584"/>
    <s v="HOMERO MARTINEZ VAZQUEZ"/>
    <n v="15"/>
    <s v="LOS WARRIORS"/>
    <s v="APOYO DE CALIDAD"/>
  </r>
  <r>
    <x v="1"/>
    <n v="7"/>
    <x v="107"/>
    <n v="32147381"/>
    <x v="116"/>
    <n v="32143045"/>
    <s v="DIAZ NIETO JUAN MANUEL"/>
    <n v="15"/>
    <s v="EL JARDÍN "/>
    <s v="CHAMPION CALIDAD"/>
  </r>
  <r>
    <x v="1"/>
    <n v="7"/>
    <x v="107"/>
    <n v="32147381"/>
    <x v="116"/>
    <n v="32045614"/>
    <s v="SANCHEZ CASTAÑEDA ARMANDO"/>
    <n v="15"/>
    <s v="EL JARDÍN "/>
    <s v="CHAMPION AMBIENTAL"/>
  </r>
  <r>
    <x v="1"/>
    <n v="7"/>
    <x v="107"/>
    <n v="32147381"/>
    <x v="116"/>
    <n v="32043910"/>
    <s v="ZAMARRIPA MARIN ALBERTO"/>
    <n v="15"/>
    <s v="EL JARDÍN "/>
    <s v="APOYO DE SEGURIDAD"/>
  </r>
  <r>
    <x v="1"/>
    <n v="7"/>
    <x v="107"/>
    <n v="32147381"/>
    <x v="116"/>
    <n v="32044451"/>
    <s v="NAJAR RAMIREZ ROY"/>
    <n v="15"/>
    <s v="EL JARDÍN "/>
    <s v="APOYO LOGISTICA"/>
  </r>
  <r>
    <x v="1"/>
    <n v="7"/>
    <x v="107"/>
    <n v="32147381"/>
    <x v="116"/>
    <n v="32149065"/>
    <s v="ESCARCIA TREJO JOSE ANTONIO"/>
    <n v="15"/>
    <s v="EL JARDÍN "/>
    <s v="CHAMPION LOGISTICA"/>
  </r>
  <r>
    <x v="1"/>
    <n v="7"/>
    <x v="107"/>
    <n v="32147381"/>
    <x v="116"/>
    <n v="32044014"/>
    <s v="ACOSTA HUERTA ADRIAN"/>
    <n v="15"/>
    <s v="EL JARDÍN "/>
    <s v="CHAMPION GESTIÓN"/>
  </r>
  <r>
    <x v="1"/>
    <n v="7"/>
    <x v="107"/>
    <n v="32147381"/>
    <x v="116"/>
    <n v="32155903"/>
    <s v="MORALES MARTINEZ OTOHNIEL"/>
    <n v="15"/>
    <s v="EL JARDÍN "/>
    <s v="CHAMPION DE SEGURIDAD"/>
  </r>
  <r>
    <x v="1"/>
    <n v="7"/>
    <x v="107"/>
    <n v="32147381"/>
    <x v="116"/>
    <n v="32197919"/>
    <s v="RUBEN MURILLO GARCIA"/>
    <n v="15"/>
    <s v="EL JARDÍN "/>
    <s v="APOYO AMBIENTAL"/>
  </r>
  <r>
    <x v="1"/>
    <n v="7"/>
    <x v="107"/>
    <n v="32147381"/>
    <x v="116"/>
    <n v="32197887"/>
    <s v="JESUS MANUEL DUEÑAS GARCIA "/>
    <n v="15"/>
    <s v="EL JARDÍN "/>
    <s v="CHAMPION GESTION"/>
  </r>
  <r>
    <x v="1"/>
    <n v="7"/>
    <x v="107"/>
    <n v="32147381"/>
    <x v="116"/>
    <n v="32143283"/>
    <s v="ORTIZ PINEDO CARLOS DAVID"/>
    <n v="15"/>
    <s v="EL JARDÍN "/>
    <s v="CHAMPION MANTENIMINETO"/>
  </r>
  <r>
    <x v="1"/>
    <n v="7"/>
    <x v="107"/>
    <n v="32147381"/>
    <x v="116"/>
    <n v="32044326"/>
    <s v="MURILLO LUNA MANUEL"/>
    <n v="15"/>
    <s v="EL JARDÍN "/>
    <s v="APOYO GESTION"/>
  </r>
  <r>
    <x v="1"/>
    <n v="7"/>
    <x v="107"/>
    <n v="32147381"/>
    <x v="116"/>
    <n v="32045785"/>
    <s v="ALVAREZ RODRIGUEZ JUAN CARLOS"/>
    <n v="15"/>
    <s v="EL JARDÍN "/>
    <s v="CHAMPION GENTE"/>
  </r>
  <r>
    <x v="1"/>
    <n v="7"/>
    <x v="107"/>
    <n v="32147381"/>
    <x v="116"/>
    <n v="32043822"/>
    <s v="FLORES MURILLO OSCAR"/>
    <n v="15"/>
    <s v="EL JARDÍN "/>
    <s v="APOYO GENTE"/>
  </r>
  <r>
    <x v="1"/>
    <n v="7"/>
    <x v="107"/>
    <n v="32147381"/>
    <x v="116"/>
    <n v="32155886"/>
    <s v="ALVARADO BARRON ISAAC FERNANDO"/>
    <n v="15"/>
    <s v="EL JARDÍN "/>
    <s v="APOYO MANTENIMIENTO"/>
  </r>
  <r>
    <x v="1"/>
    <n v="7"/>
    <x v="107"/>
    <n v="32147381"/>
    <x v="116"/>
    <n v="32177944"/>
    <s v="LUIS ROBERTO TORRES MURILLO"/>
    <n v="15"/>
    <s v="EL JARDÍN "/>
    <s v="APOYO AMBIENTAL"/>
  </r>
  <r>
    <x v="5"/>
    <s v="BLENDER"/>
    <x v="108"/>
    <n v="32196674"/>
    <x v="117"/>
    <n v="32183480"/>
    <s v="LUIS ARMANDO REYES DEL REAL"/>
    <n v="3"/>
    <s v="REYES DE LA MEZCLA"/>
    <s v="CALIDAD"/>
  </r>
  <r>
    <x v="5"/>
    <s v="BLENDER"/>
    <x v="108"/>
    <n v="32224001"/>
    <x v="118"/>
    <n v="32181712"/>
    <s v="CARLOS ADRIAN ROBLES MONTENEGRO"/>
    <n v="3"/>
    <s v="REYES DE LA MEZCLA"/>
    <s v="SEGURIDAD"/>
  </r>
  <r>
    <x v="5"/>
    <s v="BLENDER"/>
    <x v="108"/>
    <n v="32224001"/>
    <x v="118"/>
    <n v="32149237"/>
    <s v="HELMER DEL REAL PEREZ"/>
    <n v="3"/>
    <s v="REYES DE LA MEZCLA"/>
    <s v="LOGISTICA"/>
  </r>
  <r>
    <x v="0"/>
    <s v="ENV 2"/>
    <x v="105"/>
    <n v="32146125"/>
    <x v="115"/>
    <n v="32044593"/>
    <s v="Juan Carlos López Cervantes"/>
    <n v="5"/>
    <s v="TRANSTORQUE"/>
    <s v="GENTE"/>
  </r>
  <r>
    <x v="0"/>
    <s v="ENV 2"/>
    <x v="105"/>
    <n v="32146125"/>
    <x v="115"/>
    <n v="32044718"/>
    <s v="JOSÉ ALFREDO DÁVILA MOTA"/>
    <n v="5"/>
    <s v="TRANSTORQUE"/>
    <s v="APOYO MEDIO AMBIENTE"/>
  </r>
  <r>
    <x v="1"/>
    <n v="5"/>
    <x v="109"/>
    <n v="32046005"/>
    <x v="119"/>
    <n v="32046615"/>
    <s v="AGUILAR PARGA MANUEL DE JESUS"/>
    <n v="13"/>
    <s v="LOS MAS CHINGONES"/>
    <s v="APOYO CHAMPION DE GESTION "/>
  </r>
  <r>
    <x v="1"/>
    <n v="5"/>
    <x v="109"/>
    <n v="32046005"/>
    <x v="119"/>
    <n v="32045170"/>
    <s v="VILLELA TORRES MIGUEL ANGEL"/>
    <n v="13"/>
    <s v="LOS MAS CHINGONES"/>
    <s v="CHAMPION GESTION "/>
  </r>
  <r>
    <x v="1"/>
    <n v="5"/>
    <x v="109"/>
    <n v="32046005"/>
    <x v="119"/>
    <n v="32045656"/>
    <s v="LOPEZ LOPEZ MIGUEL ANGEL"/>
    <n v="13"/>
    <s v="LOS MAS CHINGONES"/>
    <s v="CHAMPION SEGURIDAD"/>
  </r>
  <r>
    <x v="1"/>
    <n v="5"/>
    <x v="109"/>
    <n v="32046005"/>
    <x v="119"/>
    <n v="32045599"/>
    <s v="ROMAN MAURICIO OSCAR"/>
    <n v="13"/>
    <s v="LOS MAS CHINGONES"/>
    <s v="CHAMPION CALIDAD "/>
  </r>
  <r>
    <x v="1"/>
    <n v="5"/>
    <x v="109"/>
    <n v="32046005"/>
    <x v="119"/>
    <n v="32149072"/>
    <s v="ARELLANO ORDAZ MIGUEL ANGEL"/>
    <n v="13"/>
    <s v="LOS MAS CHINGONES"/>
    <s v="APOYO DE CHAMPION CALIDAD"/>
  </r>
  <r>
    <x v="1"/>
    <n v="5"/>
    <x v="109"/>
    <n v="32046005"/>
    <x v="119"/>
    <n v="32046477"/>
    <s v="MALDONADO LOPEZ JORGE"/>
    <n v="13"/>
    <s v="LOS MAS CHINGONES"/>
    <s v="CHAMPION AMBIENTAL"/>
  </r>
  <r>
    <x v="1"/>
    <n v="5"/>
    <x v="109"/>
    <n v="32046005"/>
    <x v="119"/>
    <n v="32132188"/>
    <s v="PEREZ BARRIOS CARLOS"/>
    <n v="13"/>
    <s v="LOS MAS CHINGONES"/>
    <s v="APOYO DE CHAMPION AMBIENTAL "/>
  </r>
  <r>
    <x v="1"/>
    <n v="5"/>
    <x v="109"/>
    <n v="32046005"/>
    <x v="119"/>
    <n v="32142764"/>
    <s v="DEL RIO FIGUEROA VICTOR HUGO"/>
    <n v="13"/>
    <s v="LOS MAS CHINGONES"/>
    <s v="CHAMPION MANTENIMIENTO "/>
  </r>
  <r>
    <x v="1"/>
    <n v="5"/>
    <x v="109"/>
    <n v="32046005"/>
    <x v="119"/>
    <n v="32143263"/>
    <s v="LEDEZMA RAMIREZ MAURICIO ALEJANDRO"/>
    <n v="13"/>
    <s v="LOS MAS CHINGONES"/>
    <s v="APOYO DE CHAMPION MANTENIMIENTO "/>
  </r>
  <r>
    <x v="1"/>
    <n v="5"/>
    <x v="109"/>
    <n v="32046005"/>
    <x v="119"/>
    <n v="32045395"/>
    <s v="VIRAMONTES MARTINEZ REYES"/>
    <n v="13"/>
    <s v="LOS MAS CHINGONES"/>
    <s v="CHAMPION DE LOGISTICA"/>
  </r>
  <r>
    <x v="1"/>
    <n v="5"/>
    <x v="109"/>
    <n v="32046005"/>
    <x v="119"/>
    <n v="32045207"/>
    <s v="RODRIGUEZ FLORES FERNANDO"/>
    <n v="13"/>
    <s v="LOS MAS CHINGONES"/>
    <s v="APOYO CALIDAD"/>
  </r>
  <r>
    <x v="1"/>
    <n v="5"/>
    <x v="109"/>
    <n v="32046005"/>
    <x v="119"/>
    <n v="32044226"/>
    <s v="ALFREDO BURCIAGA ROJAS"/>
    <n v="15"/>
    <s v="LOS MAS CHINGONES"/>
    <s v="CHAMPION DE GESTION"/>
  </r>
  <r>
    <x v="1"/>
    <n v="5"/>
    <x v="109"/>
    <n v="32046005"/>
    <x v="119"/>
    <n v="32046149"/>
    <s v="JORGE HERNANDEZ CASTILLO"/>
    <n v="14"/>
    <s v="LOS MAS CHINGONES"/>
    <s v="APOYO  EN SEGURIDAD "/>
  </r>
  <r>
    <x v="1"/>
    <n v="4"/>
    <x v="110"/>
    <n v="32046005"/>
    <x v="120"/>
    <n v="32044647"/>
    <s v="VICTOR ENRIQUE PIÑA FLORES"/>
    <n v="16"/>
    <s v="GUERREROS"/>
    <s v="CHAMPION DE SEGURIDAD "/>
  </r>
  <r>
    <x v="1"/>
    <n v="4"/>
    <x v="110"/>
    <n v="32046005"/>
    <x v="120"/>
    <n v="32045344"/>
    <s v="JUAN MANUEL GUARDADO CASTRO"/>
    <n v="16"/>
    <s v="GUERREROS"/>
    <s v="CHAMPION DE CALIDAD."/>
  </r>
  <r>
    <x v="1"/>
    <n v="4"/>
    <x v="110"/>
    <n v="32046005"/>
    <x v="120"/>
    <n v="32060917"/>
    <s v="SAMUEL LUMBRERAS ALFERES"/>
    <n v="16"/>
    <s v="GUERREROS"/>
    <s v="APOYO DE MANTENIMIENTO"/>
  </r>
  <r>
    <x v="1"/>
    <n v="4"/>
    <x v="110"/>
    <n v="32046005"/>
    <x v="120"/>
    <n v="32044615"/>
    <s v="MOYSES GAYTAN GURROLA"/>
    <n v="16"/>
    <s v="GUERREROS"/>
    <s v="APOYO AMBIENTAL"/>
  </r>
  <r>
    <x v="1"/>
    <n v="4"/>
    <x v="110"/>
    <n v="32046005"/>
    <x v="120"/>
    <n v="32180918"/>
    <s v="GILBERTO HERNANDEZ FLORES"/>
    <n v="16"/>
    <s v="GUERREROS"/>
    <s v="APOYO SEGURIDAD"/>
  </r>
  <r>
    <x v="1"/>
    <n v="4"/>
    <x v="110"/>
    <n v="32046005"/>
    <x v="120"/>
    <n v="32180204"/>
    <s v="JUAN MANUEL CASTILLO HERNANDEZ"/>
    <n v="16"/>
    <s v="GUERREROS"/>
    <s v="APOYO DE LOGISTICA"/>
  </r>
  <r>
    <x v="1"/>
    <n v="4"/>
    <x v="110"/>
    <n v="32046005"/>
    <x v="120"/>
    <n v="32143658"/>
    <s v="GARCIA ALVARADO DANIEL"/>
    <n v="13"/>
    <s v="GUERREROS"/>
    <s v="APOYO DE CHAMPION GENTE "/>
  </r>
  <r>
    <x v="1"/>
    <n v="4"/>
    <x v="110"/>
    <n v="32046005"/>
    <x v="120"/>
    <n v="32045613"/>
    <s v="MARTINEZ CASTAÑON JOSE PABLO"/>
    <n v="13"/>
    <s v="GUERREROS"/>
    <s v="APOYO CHAMPION DE GESTION "/>
  </r>
  <r>
    <x v="1"/>
    <n v="4"/>
    <x v="110"/>
    <n v="32046005"/>
    <x v="120"/>
    <n v="32143290"/>
    <s v="CARDENAS MACIAS BASILIO"/>
    <n v="13"/>
    <s v="GUERREROS"/>
    <s v="CHAMPION GESTION "/>
  </r>
  <r>
    <x v="1"/>
    <n v="4"/>
    <x v="110"/>
    <n v="32046005"/>
    <x v="120"/>
    <n v="32046155"/>
    <s v="GALVAN MORALES FRANCISCO JAVIER"/>
    <n v="13"/>
    <s v="GUERREROS"/>
    <s v="CHAMPION SEGURIDAD"/>
  </r>
  <r>
    <x v="1"/>
    <n v="4"/>
    <x v="110"/>
    <n v="32046005"/>
    <x v="120"/>
    <n v="32046353"/>
    <s v="LOPEZ VALDES JOSE"/>
    <n v="13"/>
    <s v="GUERREROS"/>
    <s v="APOYO DE CHAMPION SEGURIDAD "/>
  </r>
  <r>
    <x v="1"/>
    <n v="4"/>
    <x v="110"/>
    <n v="32046005"/>
    <x v="120"/>
    <n v="32067003"/>
    <s v="MARTINEZ ALMARAZ RODOLFO"/>
    <n v="13"/>
    <s v="GUERREROS"/>
    <s v="CHAMPION CALIDAD "/>
  </r>
  <r>
    <x v="1"/>
    <n v="4"/>
    <x v="110"/>
    <n v="32046005"/>
    <x v="120"/>
    <n v="32132045"/>
    <s v="JARAMILLO VEGA MARIO DE JESUS"/>
    <n v="13"/>
    <s v="GUERREROS"/>
    <s v="APOYO DE CHAMPION CALIDAD"/>
  </r>
  <r>
    <x v="1"/>
    <n v="4"/>
    <x v="110"/>
    <n v="32046005"/>
    <x v="120"/>
    <n v="32045807"/>
    <s v="GUTIERREZ AHUMADA JUAN LUIS"/>
    <n v="13"/>
    <s v="GUERREROS"/>
    <s v="CHAMPION AMBIENTAL"/>
  </r>
  <r>
    <x v="1"/>
    <n v="4"/>
    <x v="110"/>
    <n v="32046005"/>
    <x v="120"/>
    <n v="32143281"/>
    <s v="CID GALICIA RICARDO"/>
    <n v="13"/>
    <s v="GUERREROS"/>
    <s v="APOYO DE CHAMPION AMBIENTAL "/>
  </r>
  <r>
    <x v="1"/>
    <n v="4"/>
    <x v="110"/>
    <n v="32046005"/>
    <x v="120"/>
    <n v="32143287"/>
    <s v="DEL RIO FIGUEROA SERGIO"/>
    <n v="13"/>
    <s v="GUERREROS"/>
    <s v="CHAMPION MANTENIMIENTO "/>
  </r>
  <r>
    <x v="1"/>
    <n v="4"/>
    <x v="110"/>
    <n v="32046005"/>
    <x v="120"/>
    <n v="32132237"/>
    <s v="LEYVA ESCARCIA JOSE PATRICIO"/>
    <n v="13"/>
    <s v="GUERREROS"/>
    <s v="APOYO DE CHAMPION MANTENIMIENTO "/>
  </r>
  <r>
    <x v="1"/>
    <n v="4"/>
    <x v="110"/>
    <n v="32046005"/>
    <x v="120"/>
    <n v="32044684"/>
    <s v="ROMAN ROSALES RAMIRO"/>
    <n v="13"/>
    <s v="GUERREROS"/>
    <s v="CHAMPION DE LOGISTICA"/>
  </r>
  <r>
    <x v="1"/>
    <n v="4"/>
    <x v="110"/>
    <n v="32046005"/>
    <x v="120"/>
    <n v="32148612"/>
    <s v="RUBEN NAJERA FIGUEROA"/>
    <n v="13"/>
    <s v="GUERREROS"/>
    <s v="APOYO DE LOGISTICA"/>
  </r>
  <r>
    <x v="1"/>
    <s v="MIXTO 6-9"/>
    <x v="111"/>
    <n v="32148860"/>
    <x v="121"/>
    <n v="32136718"/>
    <s v="SALAZAR CAMARILLO MIGUEL ANGEL"/>
    <n v="19"/>
    <s v="ESCUADRÓN DE LA MUERTE"/>
    <s v="CHAMPION DE SEGURIDAD "/>
  </r>
  <r>
    <x v="1"/>
    <s v="MIXTO 6-9"/>
    <x v="111"/>
    <n v="32148860"/>
    <x v="121"/>
    <n v="32045625"/>
    <s v="NIETO SERRANO RAMON"/>
    <n v="19"/>
    <s v="ESCUADRÓN DE LA MUERTE"/>
    <s v="APOYO DE SEGURIDAD "/>
  </r>
  <r>
    <x v="1"/>
    <s v="MIXTO 6-9"/>
    <x v="111"/>
    <n v="32148860"/>
    <x v="121"/>
    <n v="32171442"/>
    <s v="RICARDO AGUILAR LOPEZ"/>
    <n v="19"/>
    <s v="ESCUADRÓN DE LA MUERTE"/>
    <s v="CHAMPION DE GESTION"/>
  </r>
  <r>
    <x v="1"/>
    <s v="MIXTO 6-9"/>
    <x v="111"/>
    <n v="32148860"/>
    <x v="121"/>
    <n v="32197853"/>
    <s v="CARRILLO  ESPINOZA  AARON"/>
    <n v="19"/>
    <s v="ESCUADRÓN DE LA MUERTE"/>
    <s v="APOYO DE GESTION"/>
  </r>
  <r>
    <x v="1"/>
    <s v="MIXTO 6-9"/>
    <x v="111"/>
    <n v="32148860"/>
    <x v="121"/>
    <n v="32197863"/>
    <s v="RODRIGUEZ  BANDA CESAR"/>
    <n v="19"/>
    <s v="ESCUADRÓN DE LA MUERTE"/>
    <s v="APOYO DE GESTION"/>
  </r>
  <r>
    <x v="1"/>
    <s v="MIXTO 6-9"/>
    <x v="111"/>
    <n v="32148860"/>
    <x v="121"/>
    <n v="32148867"/>
    <s v="ZAVALA MURILLO JOSE ALDAIR"/>
    <n v="19"/>
    <s v="ESCUADRÓN DE LA MUERTE"/>
    <s v="CHAMPION DE CALIDAD"/>
  </r>
  <r>
    <x v="1"/>
    <s v="MIXTO 6-9"/>
    <x v="111"/>
    <n v="32148860"/>
    <x v="121"/>
    <n v="32197892"/>
    <s v="MACIEL  CASTILLO JORE LUIS"/>
    <n v="19"/>
    <s v="ESCUADRÓN DE LA MUERTE"/>
    <s v="APOYO DE CALIDAD"/>
  </r>
  <r>
    <x v="1"/>
    <s v="MIXTO 6-9"/>
    <x v="111"/>
    <n v="32148860"/>
    <x v="121"/>
    <n v="32198298"/>
    <s v="MARIA DEL REFUGIO"/>
    <n v="19"/>
    <s v="ESCUADRÓN DE LA MUERTE"/>
    <s v="CHAMPION DE GENTE"/>
  </r>
  <r>
    <x v="1"/>
    <s v="MIXTO 6-9"/>
    <x v="111"/>
    <n v="32148860"/>
    <x v="121"/>
    <n v="32132180"/>
    <s v="ESCOBEDO VELAZQUEZ ANDRES"/>
    <n v="19"/>
    <s v="ESCUADRÓN DE LA MUERTE"/>
    <s v="APOYO DE GENTE"/>
  </r>
  <r>
    <x v="1"/>
    <s v="MIXTO 6-9"/>
    <x v="111"/>
    <n v="32148860"/>
    <x v="121"/>
    <n v="32045186"/>
    <s v="GARZA ELICERIO J GUADALUPE"/>
    <n v="19"/>
    <s v="ESCUADRÓN DE LA MUERTE"/>
    <s v="CHAMPION DE MANTENIMIENTO"/>
  </r>
  <r>
    <x v="1"/>
    <s v="MIXTO 6-9"/>
    <x v="111"/>
    <n v="32148860"/>
    <x v="121"/>
    <n v="32153098"/>
    <s v="VAZQUEZ MORENO RAUL"/>
    <n v="19"/>
    <s v="ESCUADRÓN DE LA MUERTE"/>
    <s v="APOYO DE MTTO"/>
  </r>
  <r>
    <x v="1"/>
    <s v="MIXTO 6-9"/>
    <x v="111"/>
    <n v="32148860"/>
    <x v="121"/>
    <n v="32045964"/>
    <s v="NIETO JARAMILLO FRANCISCO JAVIER"/>
    <n v="19"/>
    <s v="ESCUADRÓN DE LA MUERTE"/>
    <s v="APOYO LOGISTICA"/>
  </r>
  <r>
    <x v="1"/>
    <s v="MIXTO 6-9"/>
    <x v="111"/>
    <n v="32148860"/>
    <x v="121"/>
    <n v="32046494"/>
    <s v="CRUZ PEREZ ANTONIO"/>
    <n v="19"/>
    <s v="ESCUADRÓN DE LA MUERTE"/>
    <s v="CHAMPION AMBIENTAL"/>
  </r>
  <r>
    <x v="1"/>
    <s v="MIXTO 6-9"/>
    <x v="111"/>
    <n v="32148860"/>
    <x v="121"/>
    <n v="32046048"/>
    <s v="LOPEZ SOSA EUGENIO"/>
    <n v="19"/>
    <s v="ESCUADRÓN DE LA MUERTE"/>
    <s v="APOYO AMBIENTAL"/>
  </r>
  <r>
    <x v="1"/>
    <s v="MIXTO 6-9"/>
    <x v="111"/>
    <n v="32148860"/>
    <x v="121"/>
    <n v="32197855"/>
    <s v="ORTIZ RODRIGUEZ ALEJANDRO"/>
    <n v="19"/>
    <s v="ESCUADRÓN DE LA MUERTE"/>
    <s v="APOYO AMBIENTAL"/>
  </r>
  <r>
    <x v="1"/>
    <s v="MIXTO 5-7"/>
    <x v="112"/>
    <n v="32044366"/>
    <x v="122"/>
    <n v="32149861"/>
    <s v="JARA CRUZ LUIS FERNANDO"/>
    <n v="12"/>
    <s v="MAJIC"/>
    <s v="APOYO CHAMPION GESTION"/>
  </r>
  <r>
    <x v="1"/>
    <s v="MIXTO 5-7"/>
    <x v="112"/>
    <n v="32044366"/>
    <x v="122"/>
    <n v="32044082"/>
    <s v="RAMIREZ MARTINEZ ROSENDO"/>
    <n v="12"/>
    <s v="MAJIC"/>
    <s v="CHAMPION GESTION"/>
  </r>
  <r>
    <x v="1"/>
    <s v="MIXTO 5-7"/>
    <x v="112"/>
    <n v="32044366"/>
    <x v="122"/>
    <n v="32139710"/>
    <s v="RUIZ AGUI?AGA CARLOS OSVALDO"/>
    <n v="12"/>
    <s v="MAJIC"/>
    <s v="CHAMPION DE GENTE "/>
  </r>
  <r>
    <x v="1"/>
    <s v="MIXTO 5-7"/>
    <x v="112"/>
    <n v="32044366"/>
    <x v="122"/>
    <n v="32044094"/>
    <s v="GONZALEZ DE SANTIAGO RODRIGO"/>
    <n v="12"/>
    <s v="MAJIC"/>
    <s v="APOYO MANTENIMIENTO"/>
  </r>
  <r>
    <x v="1"/>
    <s v="MIXTO 5-7"/>
    <x v="112"/>
    <n v="32044366"/>
    <x v="122"/>
    <n v="32132238"/>
    <s v="VAZQUEZ RAMOS ISMAEL"/>
    <n v="12"/>
    <s v="MAJIC"/>
    <s v="CHAMPION DE SEGURIDAD"/>
  </r>
  <r>
    <x v="1"/>
    <s v="MIXTO 5-7"/>
    <x v="112"/>
    <n v="32044366"/>
    <x v="122"/>
    <n v="32044873"/>
    <s v="RIVAS REYES ADRIAN"/>
    <n v="12"/>
    <s v="MAJIC"/>
    <s v="APOYO GENTE"/>
  </r>
  <r>
    <x v="1"/>
    <s v="MIXTO 5-7"/>
    <x v="112"/>
    <n v="32044366"/>
    <x v="122"/>
    <n v="32046248"/>
    <s v="RIOS MUÑOZ JOSE"/>
    <n v="12"/>
    <s v="MAJIC"/>
    <s v="CHAMPION LOGISTICA"/>
  </r>
  <r>
    <x v="1"/>
    <s v="MIXTO 5-7"/>
    <x v="112"/>
    <n v="32044366"/>
    <x v="122"/>
    <n v="32046391"/>
    <s v="DELGADO ARTEAGA JORGE"/>
    <n v="12"/>
    <s v="MAJIC"/>
    <s v="CHAMPION AMBIENTAL"/>
  </r>
  <r>
    <x v="1"/>
    <s v="MIXTO 5-7"/>
    <x v="112"/>
    <n v="32044366"/>
    <x v="122"/>
    <n v="32046570"/>
    <s v="SOSA GARCIA SERGIO"/>
    <n v="12"/>
    <s v="MAJIC"/>
    <s v="CHAMPION MANTENIMIENTO"/>
  </r>
  <r>
    <x v="1"/>
    <s v="MIXTO 5-7"/>
    <x v="112"/>
    <n v="32044366"/>
    <x v="122"/>
    <n v="32132050"/>
    <s v="PEREZ DELGADO ROLANDO"/>
    <n v="12"/>
    <s v="MAJIC"/>
    <s v="CHAMPIONS GENTE"/>
  </r>
  <r>
    <x v="1"/>
    <s v="MIXTO 5-7"/>
    <x v="112"/>
    <n v="32044366"/>
    <x v="122"/>
    <n v="32149250"/>
    <s v="MONREAL ROBLES FABIAN"/>
    <n v="12"/>
    <s v="MAJIC"/>
    <s v="CHAMPION DE CALIDAD"/>
  </r>
  <r>
    <x v="1"/>
    <s v="MIXTO 5-7"/>
    <x v="112"/>
    <n v="32044366"/>
    <x v="122"/>
    <n v="32197895"/>
    <s v="JOSE EDUARDO GONZALES LARA"/>
    <n v="12"/>
    <s v="MAJIC"/>
    <s v="APOYO DE SEGURIDAD"/>
  </r>
  <r>
    <x v="4"/>
    <s v="LINEAS"/>
    <x v="66"/>
    <n v="32178853"/>
    <x v="66"/>
    <n v="32187879"/>
    <s v="BALTAZAR ROBLES NIETO "/>
    <n v="20"/>
    <s v="Paisas"/>
    <s v="PEOPLE"/>
  </r>
  <r>
    <x v="4"/>
    <s v="LINEAS"/>
    <x v="66"/>
    <n v="32178853"/>
    <x v="66"/>
    <n v="32044139"/>
    <s v="MANUEL DE JESUS DUARTE RODRIGUEZ"/>
    <n v="20"/>
    <s v="Paisas"/>
    <s v="PEOPLE"/>
  </r>
  <r>
    <x v="4"/>
    <s v="ALTERNO/TAPANCO"/>
    <x v="101"/>
    <n v="32225725"/>
    <x v="108"/>
    <n v="32216902"/>
    <s v="ROSAURO FALCON BALANDRAN"/>
    <n v="8"/>
    <s v="Tapalternos"/>
    <s v="SEGURIDAD"/>
  </r>
  <r>
    <x v="4"/>
    <s v="ALTERNO/TAPANCO"/>
    <x v="101"/>
    <n v="32225725"/>
    <x v="108"/>
    <n v="32045068"/>
    <s v="CRUZ ANTONIO RAMIREZ GARCIA"/>
    <n v="8"/>
    <s v="Tapalternos"/>
    <s v="CALIDAD"/>
  </r>
  <r>
    <x v="4"/>
    <s v="ALTERNO/TAPANCO"/>
    <x v="101"/>
    <n v="32225725"/>
    <x v="108"/>
    <n v="32046004"/>
    <s v="ALFREDO CRUZ "/>
    <n v="8"/>
    <s v="Tapalternos"/>
    <s v="PEOP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29DB9-EEAE-41BB-BDCA-A87B1FC8DC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0">
    <pivotField axis="axisPage" showAll="0">
      <items count="13">
        <item m="1" x="10"/>
        <item h="1" x="5"/>
        <item h="1" x="8"/>
        <item h="1" x="7"/>
        <item h="1" x="1"/>
        <item m="1" x="9"/>
        <item x="4"/>
        <item m="1" x="11"/>
        <item h="1" x="3"/>
        <item h="1" x="0"/>
        <item h="1" x="2"/>
        <item h="1" x="6"/>
        <item t="default"/>
      </items>
    </pivotField>
    <pivotField showAll="0"/>
    <pivotField axis="axisRow" showAll="0">
      <items count="151">
        <item m="1" x="113"/>
        <item m="1" x="148"/>
        <item x="0"/>
        <item x="3"/>
        <item x="35"/>
        <item x="21"/>
        <item m="1" x="114"/>
        <item x="64"/>
        <item m="1" x="115"/>
        <item x="40"/>
        <item x="98"/>
        <item x="1"/>
        <item x="72"/>
        <item x="26"/>
        <item x="75"/>
        <item x="93"/>
        <item x="5"/>
        <item x="12"/>
        <item x="11"/>
        <item m="1" x="116"/>
        <item m="1" x="117"/>
        <item x="13"/>
        <item x="111"/>
        <item m="1" x="118"/>
        <item x="14"/>
        <item x="20"/>
        <item m="1" x="119"/>
        <item x="39"/>
        <item x="17"/>
        <item x="100"/>
        <item x="42"/>
        <item x="48"/>
        <item x="38"/>
        <item x="49"/>
        <item x="23"/>
        <item x="73"/>
        <item x="76"/>
        <item x="59"/>
        <item x="77"/>
        <item m="1" x="120"/>
        <item x="15"/>
        <item m="1" x="121"/>
        <item m="1" x="122"/>
        <item x="44"/>
        <item m="1" x="123"/>
        <item m="1" x="124"/>
        <item x="16"/>
        <item x="54"/>
        <item x="18"/>
        <item x="52"/>
        <item m="1" x="125"/>
        <item x="69"/>
        <item m="1" x="126"/>
        <item x="89"/>
        <item m="1" x="127"/>
        <item m="1" x="128"/>
        <item m="1" x="129"/>
        <item m="1" x="130"/>
        <item m="1" x="131"/>
        <item x="37"/>
        <item m="1" x="132"/>
        <item x="30"/>
        <item m="1" x="133"/>
        <item m="1" x="134"/>
        <item m="1" x="135"/>
        <item x="82"/>
        <item x="22"/>
        <item x="47"/>
        <item x="79"/>
        <item m="1" x="136"/>
        <item x="57"/>
        <item x="31"/>
        <item x="81"/>
        <item x="50"/>
        <item x="4"/>
        <item x="2"/>
        <item x="51"/>
        <item x="45"/>
        <item x="60"/>
        <item x="112"/>
        <item x="34"/>
        <item x="53"/>
        <item x="90"/>
        <item x="102"/>
        <item m="1" x="137"/>
        <item x="103"/>
        <item x="9"/>
        <item x="61"/>
        <item x="65"/>
        <item m="1" x="149"/>
        <item m="1" x="138"/>
        <item x="97"/>
        <item x="67"/>
        <item x="74"/>
        <item m="1" x="139"/>
        <item x="80"/>
        <item m="1" x="140"/>
        <item m="1" x="141"/>
        <item x="104"/>
        <item x="108"/>
        <item m="1" x="142"/>
        <item m="1" x="143"/>
        <item x="85"/>
        <item x="86"/>
        <item x="28"/>
        <item m="1" x="144"/>
        <item x="95"/>
        <item m="1" x="145"/>
        <item x="88"/>
        <item m="1" x="146"/>
        <item x="99"/>
        <item x="105"/>
        <item x="7"/>
        <item m="1" x="147"/>
        <item x="8"/>
        <item x="10"/>
        <item x="6"/>
        <item x="19"/>
        <item x="24"/>
        <item x="25"/>
        <item x="27"/>
        <item x="29"/>
        <item x="32"/>
        <item x="33"/>
        <item x="36"/>
        <item x="41"/>
        <item x="43"/>
        <item x="46"/>
        <item x="55"/>
        <item x="56"/>
        <item x="58"/>
        <item x="62"/>
        <item x="63"/>
        <item x="66"/>
        <item x="68"/>
        <item x="70"/>
        <item x="71"/>
        <item x="78"/>
        <item x="83"/>
        <item x="84"/>
        <item x="87"/>
        <item x="91"/>
        <item x="92"/>
        <item x="94"/>
        <item x="96"/>
        <item x="106"/>
        <item x="107"/>
        <item x="109"/>
        <item x="110"/>
        <item x="101"/>
        <item t="default"/>
      </items>
    </pivotField>
    <pivotField showAll="0"/>
    <pivotField axis="axisRow" showAll="0">
      <items count="172">
        <item m="1" x="144"/>
        <item m="1" x="146"/>
        <item x="1"/>
        <item m="1" x="142"/>
        <item x="0"/>
        <item m="1" x="140"/>
        <item x="3"/>
        <item x="4"/>
        <item m="1" x="161"/>
        <item m="1" x="128"/>
        <item m="1" x="155"/>
        <item x="65"/>
        <item m="1" x="165"/>
        <item x="18"/>
        <item x="16"/>
        <item m="1" x="136"/>
        <item x="52"/>
        <item x="23"/>
        <item x="24"/>
        <item x="25"/>
        <item m="1" x="138"/>
        <item x="98"/>
        <item m="1" x="139"/>
        <item m="1" x="125"/>
        <item x="28"/>
        <item x="31"/>
        <item x="32"/>
        <item m="1" x="166"/>
        <item x="33"/>
        <item m="1" x="170"/>
        <item x="35"/>
        <item m="1" x="167"/>
        <item m="1" x="158"/>
        <item x="36"/>
        <item x="37"/>
        <item x="38"/>
        <item x="39"/>
        <item m="1" x="126"/>
        <item m="1" x="149"/>
        <item x="13"/>
        <item m="1" x="135"/>
        <item x="95"/>
        <item m="1" x="143"/>
        <item m="1" x="169"/>
        <item m="1" x="160"/>
        <item m="1" x="156"/>
        <item m="1" x="152"/>
        <item m="1" x="147"/>
        <item m="1" x="159"/>
        <item m="1" x="132"/>
        <item x="55"/>
        <item x="41"/>
        <item x="58"/>
        <item m="1" x="162"/>
        <item x="57"/>
        <item x="61"/>
        <item m="1" x="148"/>
        <item m="1" x="154"/>
        <item x="64"/>
        <item x="83"/>
        <item m="1" x="130"/>
        <item m="1" x="150"/>
        <item x="109"/>
        <item m="1" x="164"/>
        <item x="19"/>
        <item m="1" x="141"/>
        <item x="73"/>
        <item x="75"/>
        <item x="51"/>
        <item m="1" x="134"/>
        <item m="1" x="157"/>
        <item m="1" x="145"/>
        <item x="87"/>
        <item x="90"/>
        <item x="68"/>
        <item m="1" x="153"/>
        <item x="93"/>
        <item x="84"/>
        <item x="117"/>
        <item m="1" x="163"/>
        <item m="1" x="129"/>
        <item x="101"/>
        <item m="1" x="127"/>
        <item x="15"/>
        <item m="1" x="137"/>
        <item x="59"/>
        <item x="111"/>
        <item m="1" x="151"/>
        <item x="113"/>
        <item x="114"/>
        <item x="115"/>
        <item m="1" x="124"/>
        <item m="1" x="131"/>
        <item x="116"/>
        <item m="1" x="168"/>
        <item x="12"/>
        <item x="119"/>
        <item m="1" x="133"/>
        <item x="2"/>
        <item x="8"/>
        <item m="1" x="123"/>
        <item x="10"/>
        <item x="11"/>
        <item x="7"/>
        <item x="14"/>
        <item x="17"/>
        <item x="20"/>
        <item x="21"/>
        <item x="22"/>
        <item x="26"/>
        <item x="27"/>
        <item x="5"/>
        <item x="29"/>
        <item x="30"/>
        <item x="34"/>
        <item x="40"/>
        <item n="ISAI FLORES ORTIZ" x="42"/>
        <item x="43"/>
        <item x="44"/>
        <item x="45"/>
        <item x="46"/>
        <item x="47"/>
        <item x="48"/>
        <item x="49"/>
        <item x="50"/>
        <item x="53"/>
        <item x="54"/>
        <item x="56"/>
        <item x="6"/>
        <item x="60"/>
        <item x="62"/>
        <item x="63"/>
        <item x="66"/>
        <item x="67"/>
        <item x="69"/>
        <item x="70"/>
        <item x="71"/>
        <item x="72"/>
        <item x="74"/>
        <item x="76"/>
        <item x="77"/>
        <item x="78"/>
        <item x="79"/>
        <item x="80"/>
        <item x="81"/>
        <item x="82"/>
        <item x="85"/>
        <item x="86"/>
        <item x="88"/>
        <item x="89"/>
        <item x="91"/>
        <item x="92"/>
        <item x="94"/>
        <item x="96"/>
        <item x="97"/>
        <item x="99"/>
        <item x="100"/>
        <item x="102"/>
        <item x="103"/>
        <item x="104"/>
        <item x="105"/>
        <item x="106"/>
        <item x="107"/>
        <item x="110"/>
        <item x="112"/>
        <item x="118"/>
        <item x="120"/>
        <item x="121"/>
        <item x="122"/>
        <item x="9"/>
        <item x="108"/>
        <item t="default"/>
      </items>
    </pivotField>
    <pivotField dataField="1" showAll="0"/>
    <pivotField showAll="0"/>
    <pivotField showAll="0"/>
    <pivotField showAll="0"/>
    <pivotField showAll="0"/>
  </pivotFields>
  <rowFields count="2">
    <field x="2"/>
    <field x="4"/>
  </rowFields>
  <rowItems count="11">
    <i>
      <x v="10"/>
    </i>
    <i r="1">
      <x v="160"/>
    </i>
    <i>
      <x v="34"/>
    </i>
    <i r="1">
      <x v="109"/>
    </i>
    <i>
      <x v="53"/>
    </i>
    <i r="1">
      <x v="150"/>
    </i>
    <i>
      <x v="74"/>
    </i>
    <i r="1">
      <x v="6"/>
    </i>
    <i>
      <x v="126"/>
    </i>
    <i r="1">
      <x v="116"/>
    </i>
    <i t="grand">
      <x/>
    </i>
  </rowItems>
  <colItems count="1">
    <i/>
  </colItems>
  <pageFields count="1">
    <pageField fld="0" item="10" hier="-1"/>
  </pageFields>
  <dataFields count="1">
    <dataField name="Count of SHARP" fld="5"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3" connectionId="1" xr16:uid="{CA02ACAE-E1C9-4D54-A4BB-AEBB1C9A75D7}" autoFormatId="16" applyNumberFormats="0" applyBorderFormats="0" applyFontFormats="0" applyPatternFormats="0" applyAlignmentFormats="0" applyWidthHeightFormats="0">
  <queryTableRefresh nextId="6" unboundColumnsRight="1">
    <queryTableFields count="5">
      <queryTableField id="1" name="DPTO" tableColumnId="1"/>
      <queryTableField id="2" name="NOMBRE DEL EQUIPO" tableColumnId="2"/>
      <queryTableField id="3" name="Nombre" tableColumnId="3"/>
      <queryTableField id="4" name="Clasificación"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connectionId="3" xr16:uid="{822B10EA-819E-42C5-9038-FAE1088B0CE6}" autoFormatId="16" applyNumberFormats="0" applyBorderFormats="0" applyFontFormats="0" applyPatternFormats="0" applyAlignmentFormats="0" applyWidthHeightFormats="0">
  <queryTableRefresh nextId="5">
    <queryTableFields count="4">
      <queryTableField id="1" name="DPTO" tableColumnId="1"/>
      <queryTableField id="2" name="NOMBRE DEL EQUIPO" tableColumnId="2"/>
      <queryTableField id="3" name="Nombre" tableColumnId="3"/>
      <queryTableField id="4" name="Clasificació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2" xr16:uid="{FDBB050E-E266-4EB2-921B-D56577F4F45B}" autoFormatId="16" applyNumberFormats="0" applyBorderFormats="0" applyFontFormats="0" applyPatternFormats="0" applyAlignmentFormats="0" applyWidthHeightFormats="0">
  <queryTableRefresh nextId="5">
    <queryTableFields count="4">
      <queryTableField id="1" name="DPTO" tableColumnId="1"/>
      <queryTableField id="2" name="NOMBRE DEL EQUIPO" tableColumnId="2"/>
      <queryTableField id="3" name="Nombre" tableColumnId="3"/>
      <queryTableField id="4" name="Clasificació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PTO" xr10:uid="{60EE3541-E4FE-4627-909A-6DDD65008F1D}" sourceName="DPTO">
  <pivotTables>
    <pivotTable tabId="4" name="PivotTable1"/>
  </pivotTables>
  <data>
    <tabular pivotCacheId="231727791">
      <items count="12">
        <i x="5"/>
        <i x="8"/>
        <i x="7"/>
        <i x="0"/>
        <i x="1"/>
        <i x="4"/>
        <i x="6"/>
        <i x="2" s="1"/>
        <i x="3"/>
        <i x="10" nd="1"/>
        <i x="9"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PTO" xr10:uid="{278C31BE-9702-49B7-9C11-454B27F0101E}" cache="Slicer_DPTO" caption="DPTO"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E6F455-350F-40DB-988A-FE0322A188B0}" name="Table5" displayName="Table5" ref="B6:N1086" totalsRowShown="0" headerRowDxfId="47" dataDxfId="46" tableBorderDxfId="45">
  <autoFilter ref="B6:N1086" xr:uid="{1DE6F455-350F-40DB-988A-FE0322A188B0}"/>
  <tableColumns count="13">
    <tableColumn id="1" xr3:uid="{4FF2879D-CC6B-458F-984F-58A6851C0091}" name="DPTO" dataDxfId="44"/>
    <tableColumn id="2" xr3:uid="{240FF3E1-370C-4A27-8D11-0BB9307A1665}" name="ÁREA" dataDxfId="43"/>
    <tableColumn id="3" xr3:uid="{6C900C2F-DDB8-4D36-835F-29A7D45A2642}" name="NOMBRE DEL EQUIPO" dataDxfId="42" dataCellStyle="Normal 2"/>
    <tableColumn id="4" xr3:uid="{595B0AA2-238E-4C3B-AE53-9AFDB4BF445D}" name="SHARP LÍDER" dataDxfId="41" dataCellStyle="Normal 2"/>
    <tableColumn id="9" xr3:uid="{50DAB350-D981-4D92-857D-2B6809A1D829}" name="NOMBRE DEL LIDER" dataDxfId="40" dataCellStyle="Normal 2"/>
    <tableColumn id="13" xr3:uid="{C6595E4D-A23D-4097-AE7D-A25E0DEB87E9}" name="QR Safety lider" dataDxfId="39"/>
    <tableColumn id="6" xr3:uid="{6FA20F49-092D-4CBC-A4CD-602097031CC7}" name="SHARP" dataDxfId="38"/>
    <tableColumn id="11" xr3:uid="{CC1660F1-DA64-45E3-A8C9-61995C50CCFA}" name="LINEA" dataDxfId="37">
      <calculatedColumnFormula>Table5[[#This Row],[ÁREA]]</calculatedColumnFormula>
    </tableColumn>
    <tableColumn id="12" xr3:uid="{883AC776-6E46-4088-8442-314AB7E14FDB}" name="INTEGRANTES" dataDxfId="36"/>
    <tableColumn id="10" xr3:uid="{1C35D14B-089B-422D-80D9-6FC63B5A4B3A}" name="QR Safety" dataDxfId="35"/>
    <tableColumn id="8" xr3:uid="{36ACBBD6-79B4-4EE0-BFA5-9E986C82139B}" name="RECUENTO OP" dataDxfId="34" dataCellStyle="Normal 2"/>
    <tableColumn id="5" xr3:uid="{A84CA3FD-DFC7-4362-B13B-42CA98EBA09D}" name="EA" dataDxfId="33"/>
    <tableColumn id="7" xr3:uid="{1FE3AAC3-DDE8-4758-A844-F122685BAB01}" name="Pilar del Champion" dataDxfId="32" dataCellStyle="Normal 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BDBF265-A6ED-4C45-BF3A-1A97A7813A76}" name="Anexar1" displayName="Anexar1" ref="A1:E1216" tableType="queryTable" totalsRowShown="0" headerRowDxfId="31">
  <autoFilter ref="A1:E1216" xr:uid="{BBDBF265-A6ED-4C45-BF3A-1A97A7813A76}"/>
  <tableColumns count="5">
    <tableColumn id="1" xr3:uid="{47F864E4-39C0-4573-A278-EE377C10EDB9}" uniqueName="1" name="DPTO" queryTableFieldId="1" dataDxfId="30"/>
    <tableColumn id="2" xr3:uid="{F61A5580-F90D-4C6E-A413-27CBE46985F8}" uniqueName="2" name="NOMBRE DEL EQUIPO" queryTableFieldId="2" dataDxfId="29"/>
    <tableColumn id="3" xr3:uid="{F4146E46-B0BF-4E8D-880E-5AE4687FDAD3}" uniqueName="3" name="Nombre" queryTableFieldId="3" dataDxfId="28"/>
    <tableColumn id="4" xr3:uid="{55A6CFF9-E586-4957-96CD-057649FD1316}" uniqueName="4" name="Clasificación" queryTableFieldId="4"/>
    <tableColumn id="5" xr3:uid="{F6041AC9-12BE-4E5E-8ABC-6790D01B903F}" uniqueName="5" name="SHARP ID" queryTableFieldId="5" dataDxfId="27">
      <calculatedColumnFormula>IFERROR(
   IF(D2="Líder",
      INDEX(ZACATECAS!E:E, MATCH(C2, ZACATECAS!F:F, 0)),
      INDEX(ZACATECAS!H:H, MATCH(C2, ZACATECAS!J:J, 0))
   ),
"")</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A335C9-DEC9-4513-A863-80571E69DCE4}" name="Table3" displayName="Table3" ref="C2:E116" totalsRowShown="0" headerRowDxfId="26" dataDxfId="25" tableBorderDxfId="24">
  <autoFilter ref="C2:E116" xr:uid="{4DA335C9-DEC9-4513-A863-80571E69DCE4}"/>
  <tableColumns count="3">
    <tableColumn id="1" xr3:uid="{31527043-F6F4-4B1A-8C98-CCCF19D2D41E}" name="NOMBRE DEL EQUIPO" dataDxfId="23" dataCellStyle="Normal 2"/>
    <tableColumn id="2" xr3:uid="{0C6D2A95-C3AF-49D8-A522-722ECF09D920}" name="SHARP LÍDER" dataDxfId="22" dataCellStyle="Normal 2"/>
    <tableColumn id="3" xr3:uid="{18434133-8202-4661-87B5-800D2DE17F74}" name="NOMBRE DEL LIDER" dataDxfId="21" dataCellStyle="Normal 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B1E5C9-F97E-4A1D-B512-509D86C16180}" name="Lideres" displayName="Lideres" ref="A1:D126" tableType="queryTable" totalsRowShown="0">
  <autoFilter ref="A1:D126" xr:uid="{48B1E5C9-F97E-4A1D-B512-509D86C16180}"/>
  <tableColumns count="4">
    <tableColumn id="1" xr3:uid="{21131E4A-893D-4829-9335-CDF9D24BC1E9}" uniqueName="1" name="DPTO" queryTableFieldId="1" dataDxfId="20"/>
    <tableColumn id="2" xr3:uid="{6D8C49FC-710A-4BE6-9B13-0144A9CF325B}" uniqueName="2" name="NOMBRE DEL EQUIPO" queryTableFieldId="2" dataDxfId="19"/>
    <tableColumn id="3" xr3:uid="{5C363881-AA74-4783-98AB-92564C882438}" uniqueName="3" name="Nombre" queryTableFieldId="3" dataDxfId="18"/>
    <tableColumn id="4" xr3:uid="{9FA9E475-4C20-4E5F-BDB8-2B14010A3102}" uniqueName="4" name="Clasificación"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C522F9-4D0A-448A-A99D-B42A15358907}" name="Integrantes" displayName="Integrantes" ref="A1:D1091" tableType="queryTable" totalsRowShown="0">
  <autoFilter ref="A1:D1091" xr:uid="{E4C522F9-4D0A-448A-A99D-B42A15358907}"/>
  <tableColumns count="4">
    <tableColumn id="1" xr3:uid="{E2DC6110-8DDE-4068-BD49-9198B3881C56}" uniqueName="1" name="DPTO" queryTableFieldId="1" dataDxfId="17"/>
    <tableColumn id="2" xr3:uid="{85DEC362-DA15-425D-8B36-13BEB8D2B677}" uniqueName="2" name="NOMBRE DEL EQUIPO" queryTableFieldId="2" dataDxfId="16"/>
    <tableColumn id="3" xr3:uid="{018E418B-EF5B-4C1A-B700-56B0DB198DD3}" uniqueName="3" name="Nombre" queryTableFieldId="3" dataDxfId="15"/>
    <tableColumn id="4" xr3:uid="{CCAF96CD-248A-4674-9E7A-548CD6008B6E}" uniqueName="4" name="Clasificación"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7F03E5-32AF-4C54-ADCE-0998E1AF4288}" name="Table54" displayName="Table54" ref="B5:M1095" totalsRowShown="0" headerRowDxfId="14" dataDxfId="13" tableBorderDxfId="12">
  <autoFilter ref="B5:M1095" xr:uid="{1DE6F455-350F-40DB-988A-FE0322A188B0}"/>
  <sortState xmlns:xlrd2="http://schemas.microsoft.com/office/spreadsheetml/2017/richdata2" ref="B6:M1095">
    <sortCondition ref="D5:D1095"/>
  </sortState>
  <tableColumns count="12">
    <tableColumn id="1" xr3:uid="{EEBAA015-B365-4586-8EA2-F7A928CD0478}" name="DPTO" dataDxfId="11"/>
    <tableColumn id="2" xr3:uid="{51E72393-AC07-4B29-A427-DD7C52975458}" name="ÁREA" dataDxfId="10"/>
    <tableColumn id="3" xr3:uid="{73605345-AF33-4F69-AA7A-FF43A7DC5882}" name="NOMBRE DEL EQUIPO" dataDxfId="9" dataCellStyle="Normal 2"/>
    <tableColumn id="4" xr3:uid="{9DAAD1BD-4A56-4413-BBAE-3799E1B4B333}" name="SHARP LÍDER" dataDxfId="8" dataCellStyle="Normal 2"/>
    <tableColumn id="9" xr3:uid="{B2620D63-BAA3-4F29-8C92-42C7200C3038}" name="NOMBRE DEL LIDER" dataDxfId="7" dataCellStyle="Normal 2"/>
    <tableColumn id="13" xr3:uid="{552028FE-E968-4B71-B973-4C15290DB820}" name="QR Safety lider" dataDxfId="6"/>
    <tableColumn id="6" xr3:uid="{42151914-8DE5-4992-857E-EADF37E0F6AD}" name="SHARP" dataDxfId="5"/>
    <tableColumn id="12" xr3:uid="{7BC369E1-9ACD-44AB-8138-B1722F1960E9}" name="INTEGRANTES" dataDxfId="4"/>
    <tableColumn id="10" xr3:uid="{722D5F2A-AA76-4244-B414-5165F368218D}" name="QR Safety" dataDxfId="3"/>
    <tableColumn id="8" xr3:uid="{1266E3D8-E9AD-4292-BF06-8676CE27A284}" name="RECUENTO OP" dataDxfId="2" dataCellStyle="Normal 2"/>
    <tableColumn id="5" xr3:uid="{1B004198-03B5-437A-8B04-A8C14B4A3BE1}" name="EA" dataDxfId="1"/>
    <tableColumn id="7" xr3:uid="{A0B6731D-E5D7-4742-BEFC-5E1277885A5D}" name="Pilar del Champion" dataDxfId="0" dataCellStyle="Normal 2"/>
  </tableColumns>
  <tableStyleInfo name="TableStyleLight8"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733" dT="2024-11-26T17:33:59.60" personId="{8B40B345-F5FA-46E1-968D-6F0630E1F67C}" id="{BFFB70DC-80E2-40D7-BB3D-8FF0F8FC3375}">
    <text>Incapacidad</text>
  </threadedComment>
</ThreadedComment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yworkday.com/abinbev/learning/m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DE1A-A55F-46F3-A913-5F126380F7F3}">
  <dimension ref="A1:B14"/>
  <sheetViews>
    <sheetView workbookViewId="0">
      <selection activeCell="C14" sqref="C14"/>
    </sheetView>
  </sheetViews>
  <sheetFormatPr baseColWidth="10" defaultColWidth="9.109375" defaultRowHeight="14.4" x14ac:dyDescent="0.3"/>
  <cols>
    <col min="1" max="1" width="42" bestFit="1" customWidth="1"/>
    <col min="2" max="2" width="19" bestFit="1" customWidth="1"/>
  </cols>
  <sheetData>
    <row r="1" spans="1:2" x14ac:dyDescent="0.3">
      <c r="A1" s="3" t="s">
        <v>0</v>
      </c>
      <c r="B1" t="s">
        <v>1</v>
      </c>
    </row>
    <row r="3" spans="1:2" x14ac:dyDescent="0.3">
      <c r="A3" s="3" t="s">
        <v>2</v>
      </c>
      <c r="B3" t="s">
        <v>3</v>
      </c>
    </row>
    <row r="4" spans="1:2" x14ac:dyDescent="0.3">
      <c r="A4" s="4" t="s">
        <v>4</v>
      </c>
      <c r="B4">
        <v>4</v>
      </c>
    </row>
    <row r="5" spans="1:2" x14ac:dyDescent="0.3">
      <c r="A5" s="5" t="s">
        <v>5</v>
      </c>
      <c r="B5">
        <v>4</v>
      </c>
    </row>
    <row r="6" spans="1:2" x14ac:dyDescent="0.3">
      <c r="A6" s="4" t="s">
        <v>6</v>
      </c>
      <c r="B6">
        <v>6</v>
      </c>
    </row>
    <row r="7" spans="1:2" x14ac:dyDescent="0.3">
      <c r="A7" s="5" t="s">
        <v>7</v>
      </c>
      <c r="B7">
        <v>6</v>
      </c>
    </row>
    <row r="8" spans="1:2" x14ac:dyDescent="0.3">
      <c r="A8" s="4" t="s">
        <v>8</v>
      </c>
      <c r="B8">
        <v>4</v>
      </c>
    </row>
    <row r="9" spans="1:2" x14ac:dyDescent="0.3">
      <c r="A9" s="5" t="s">
        <v>9</v>
      </c>
      <c r="B9">
        <v>4</v>
      </c>
    </row>
    <row r="10" spans="1:2" x14ac:dyDescent="0.3">
      <c r="A10" s="4" t="s">
        <v>10</v>
      </c>
      <c r="B10">
        <v>4</v>
      </c>
    </row>
    <row r="11" spans="1:2" x14ac:dyDescent="0.3">
      <c r="A11" s="5" t="s">
        <v>11</v>
      </c>
      <c r="B11">
        <v>4</v>
      </c>
    </row>
    <row r="12" spans="1:2" x14ac:dyDescent="0.3">
      <c r="A12" s="4" t="s">
        <v>12</v>
      </c>
      <c r="B12">
        <v>7</v>
      </c>
    </row>
    <row r="13" spans="1:2" x14ac:dyDescent="0.3">
      <c r="A13" s="5" t="s">
        <v>13</v>
      </c>
      <c r="B13">
        <v>7</v>
      </c>
    </row>
    <row r="14" spans="1:2" x14ac:dyDescent="0.3">
      <c r="A14" s="4" t="s">
        <v>14</v>
      </c>
      <c r="B14">
        <v>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9E25-73F9-475B-9E24-853A0B792C19}">
  <sheetPr>
    <pageSetUpPr fitToPage="1"/>
  </sheetPr>
  <dimension ref="A1:XES1086"/>
  <sheetViews>
    <sheetView showGridLines="0" zoomScale="91" zoomScaleNormal="91" workbookViewId="0">
      <selection activeCell="D6" sqref="D6"/>
    </sheetView>
  </sheetViews>
  <sheetFormatPr baseColWidth="10" defaultColWidth="9.109375" defaultRowHeight="15.9" customHeight="1" x14ac:dyDescent="0.3"/>
  <cols>
    <col min="1" max="1" width="1.88671875" style="319" customWidth="1"/>
    <col min="2" max="2" width="21" style="319" bestFit="1" customWidth="1"/>
    <col min="3" max="3" width="31.5546875" style="319" bestFit="1" customWidth="1"/>
    <col min="4" max="4" width="44.44140625" style="319" bestFit="1" customWidth="1"/>
    <col min="5" max="5" width="28" style="319" bestFit="1" customWidth="1"/>
    <col min="6" max="6" width="53.33203125" style="319" bestFit="1" customWidth="1"/>
    <col min="7" max="7" width="29.6640625" style="325" bestFit="1" customWidth="1"/>
    <col min="8" max="8" width="19.109375" style="319" bestFit="1" customWidth="1"/>
    <col min="9" max="9" width="30.88671875" style="319" bestFit="1" customWidth="1"/>
    <col min="10" max="10" width="62" style="319" bestFit="1" customWidth="1"/>
    <col min="11" max="11" width="23" style="319" bestFit="1" customWidth="1"/>
    <col min="12" max="12" width="29.44140625" style="319" bestFit="1" customWidth="1"/>
    <col min="13" max="13" width="44.44140625" style="319" bestFit="1" customWidth="1"/>
    <col min="14" max="14" width="48.33203125" style="319" bestFit="1" customWidth="1"/>
    <col min="15" max="16384" width="9.109375" style="319"/>
  </cols>
  <sheetData>
    <row r="1" spans="1:16373" s="218" customFormat="1" ht="14.25" customHeight="1" x14ac:dyDescent="0.3">
      <c r="A1" s="216"/>
      <c r="B1" s="217"/>
      <c r="G1" s="219"/>
      <c r="K1" s="220"/>
      <c r="O1" s="560" t="s">
        <v>15</v>
      </c>
      <c r="P1" s="560"/>
      <c r="Q1" s="560"/>
      <c r="R1" s="560"/>
      <c r="S1" s="560"/>
      <c r="T1" s="560"/>
      <c r="U1" s="560"/>
      <c r="V1" s="560" t="s">
        <v>15</v>
      </c>
      <c r="W1" s="560"/>
      <c r="X1" s="560"/>
      <c r="Y1" s="560"/>
      <c r="Z1" s="560"/>
      <c r="AA1" s="560"/>
      <c r="AB1" s="560"/>
      <c r="AC1" s="560"/>
      <c r="AD1" s="560" t="s">
        <v>15</v>
      </c>
      <c r="AE1" s="560"/>
      <c r="AF1" s="560"/>
      <c r="AG1" s="560"/>
      <c r="AH1" s="560"/>
      <c r="AI1" s="560"/>
      <c r="AJ1" s="560"/>
      <c r="AK1" s="560"/>
      <c r="AL1" s="560" t="s">
        <v>15</v>
      </c>
      <c r="AM1" s="560"/>
      <c r="AN1" s="560"/>
      <c r="AO1" s="560"/>
      <c r="AP1" s="560"/>
      <c r="AQ1" s="560"/>
      <c r="AR1" s="560"/>
      <c r="AS1" s="560"/>
      <c r="AT1" s="560" t="s">
        <v>15</v>
      </c>
      <c r="AU1" s="560"/>
      <c r="AV1" s="560"/>
      <c r="AW1" s="560"/>
      <c r="AX1" s="560"/>
      <c r="AY1" s="560"/>
      <c r="AZ1" s="560"/>
      <c r="BA1" s="560"/>
      <c r="BB1" s="560" t="s">
        <v>15</v>
      </c>
      <c r="BC1" s="560"/>
      <c r="BD1" s="560"/>
      <c r="BE1" s="560"/>
      <c r="BF1" s="560"/>
      <c r="BG1" s="560"/>
      <c r="BH1" s="560"/>
      <c r="BI1" s="560"/>
      <c r="BJ1" s="560" t="s">
        <v>15</v>
      </c>
      <c r="BK1" s="560"/>
      <c r="BL1" s="560"/>
      <c r="BM1" s="560"/>
      <c r="BN1" s="560"/>
      <c r="BO1" s="560"/>
      <c r="BP1" s="560"/>
      <c r="BQ1" s="560"/>
      <c r="BR1" s="560" t="s">
        <v>15</v>
      </c>
      <c r="BS1" s="560"/>
      <c r="BT1" s="560"/>
      <c r="BU1" s="560"/>
      <c r="BV1" s="560"/>
      <c r="BW1" s="560"/>
      <c r="BX1" s="560"/>
      <c r="BY1" s="560"/>
      <c r="BZ1" s="560" t="s">
        <v>15</v>
      </c>
      <c r="CA1" s="560"/>
      <c r="CB1" s="560"/>
      <c r="CC1" s="560"/>
      <c r="CD1" s="560"/>
      <c r="CE1" s="560"/>
      <c r="CF1" s="560"/>
      <c r="CG1" s="560"/>
      <c r="CH1" s="560" t="s">
        <v>15</v>
      </c>
      <c r="CI1" s="560"/>
      <c r="CJ1" s="560"/>
      <c r="CK1" s="560"/>
      <c r="CL1" s="560"/>
      <c r="CM1" s="560"/>
      <c r="CN1" s="560"/>
      <c r="CO1" s="560"/>
      <c r="CP1" s="560" t="s">
        <v>15</v>
      </c>
      <c r="CQ1" s="560"/>
      <c r="CR1" s="560"/>
      <c r="CS1" s="560"/>
      <c r="CT1" s="560"/>
      <c r="CU1" s="560"/>
      <c r="CV1" s="560"/>
      <c r="CW1" s="560"/>
      <c r="CX1" s="560" t="s">
        <v>15</v>
      </c>
      <c r="CY1" s="560"/>
      <c r="CZ1" s="560"/>
      <c r="DA1" s="560"/>
      <c r="DB1" s="560"/>
      <c r="DC1" s="560"/>
      <c r="DD1" s="560"/>
      <c r="DE1" s="560"/>
      <c r="DF1" s="560" t="s">
        <v>15</v>
      </c>
      <c r="DG1" s="560"/>
      <c r="DH1" s="560"/>
      <c r="DI1" s="560"/>
      <c r="DJ1" s="560"/>
      <c r="DK1" s="560"/>
      <c r="DL1" s="560"/>
      <c r="DM1" s="560"/>
      <c r="DN1" s="560" t="s">
        <v>15</v>
      </c>
      <c r="DO1" s="560"/>
      <c r="DP1" s="560"/>
      <c r="DQ1" s="560"/>
      <c r="DR1" s="560"/>
      <c r="DS1" s="560"/>
      <c r="DT1" s="560"/>
      <c r="DU1" s="560"/>
      <c r="DV1" s="560" t="s">
        <v>15</v>
      </c>
      <c r="DW1" s="560"/>
      <c r="DX1" s="560"/>
      <c r="DY1" s="560"/>
      <c r="DZ1" s="560"/>
      <c r="EA1" s="560"/>
      <c r="EB1" s="560"/>
      <c r="EC1" s="560"/>
      <c r="ED1" s="560" t="s">
        <v>15</v>
      </c>
      <c r="EE1" s="560"/>
      <c r="EF1" s="560"/>
      <c r="EG1" s="560"/>
      <c r="EH1" s="560"/>
      <c r="EI1" s="560"/>
      <c r="EJ1" s="560"/>
      <c r="EK1" s="560"/>
      <c r="EL1" s="560" t="s">
        <v>15</v>
      </c>
      <c r="EM1" s="560"/>
      <c r="EN1" s="560"/>
      <c r="EO1" s="560"/>
      <c r="EP1" s="560"/>
      <c r="EQ1" s="560"/>
      <c r="ER1" s="560"/>
      <c r="ES1" s="560"/>
      <c r="ET1" s="560" t="s">
        <v>15</v>
      </c>
      <c r="EU1" s="560"/>
      <c r="EV1" s="560"/>
      <c r="EW1" s="560"/>
      <c r="EX1" s="560"/>
      <c r="EY1" s="560"/>
      <c r="EZ1" s="560"/>
      <c r="FA1" s="560"/>
      <c r="FB1" s="560" t="s">
        <v>15</v>
      </c>
      <c r="FC1" s="560"/>
      <c r="FD1" s="560"/>
      <c r="FE1" s="560"/>
      <c r="FF1" s="560"/>
      <c r="FG1" s="560"/>
      <c r="FH1" s="560"/>
      <c r="FI1" s="560"/>
      <c r="FJ1" s="560" t="s">
        <v>15</v>
      </c>
      <c r="FK1" s="560"/>
      <c r="FL1" s="560"/>
      <c r="FM1" s="560"/>
      <c r="FN1" s="560"/>
      <c r="FO1" s="560"/>
      <c r="FP1" s="560"/>
      <c r="FQ1" s="560"/>
      <c r="FR1" s="560" t="s">
        <v>15</v>
      </c>
      <c r="FS1" s="560"/>
      <c r="FT1" s="560"/>
      <c r="FU1" s="560"/>
      <c r="FV1" s="560"/>
      <c r="FW1" s="560"/>
      <c r="FX1" s="560"/>
      <c r="FY1" s="560"/>
      <c r="FZ1" s="560" t="s">
        <v>15</v>
      </c>
      <c r="GA1" s="560"/>
      <c r="GB1" s="560"/>
      <c r="GC1" s="560"/>
      <c r="GD1" s="560"/>
      <c r="GE1" s="560"/>
      <c r="GF1" s="560"/>
      <c r="GG1" s="560"/>
      <c r="GH1" s="560" t="s">
        <v>15</v>
      </c>
      <c r="GI1" s="560"/>
      <c r="GJ1" s="560"/>
      <c r="GK1" s="560"/>
      <c r="GL1" s="560"/>
      <c r="GM1" s="560"/>
      <c r="GN1" s="560"/>
      <c r="GO1" s="560"/>
      <c r="GP1" s="560" t="s">
        <v>15</v>
      </c>
      <c r="GQ1" s="560"/>
      <c r="GR1" s="560"/>
      <c r="GS1" s="560"/>
      <c r="GT1" s="560"/>
      <c r="GU1" s="560"/>
      <c r="GV1" s="560"/>
      <c r="GW1" s="560"/>
      <c r="GX1" s="560" t="s">
        <v>15</v>
      </c>
      <c r="GY1" s="560"/>
      <c r="GZ1" s="560"/>
      <c r="HA1" s="560"/>
      <c r="HB1" s="560"/>
      <c r="HC1" s="560"/>
      <c r="HD1" s="560"/>
      <c r="HE1" s="560"/>
      <c r="HF1" s="560" t="s">
        <v>15</v>
      </c>
      <c r="HG1" s="560"/>
      <c r="HH1" s="560"/>
      <c r="HI1" s="560"/>
      <c r="HJ1" s="560"/>
      <c r="HK1" s="560"/>
      <c r="HL1" s="560"/>
      <c r="HM1" s="560"/>
      <c r="HN1" s="560" t="s">
        <v>15</v>
      </c>
      <c r="HO1" s="560"/>
      <c r="HP1" s="560"/>
      <c r="HQ1" s="560"/>
      <c r="HR1" s="560"/>
      <c r="HS1" s="560"/>
      <c r="HT1" s="560"/>
      <c r="HU1" s="560"/>
      <c r="HV1" s="560" t="s">
        <v>15</v>
      </c>
      <c r="HW1" s="560"/>
      <c r="HX1" s="560"/>
      <c r="HY1" s="560"/>
      <c r="HZ1" s="560"/>
      <c r="IA1" s="560"/>
      <c r="IB1" s="560"/>
      <c r="IC1" s="560"/>
      <c r="ID1" s="560" t="s">
        <v>15</v>
      </c>
      <c r="IE1" s="560"/>
      <c r="IF1" s="560"/>
      <c r="IG1" s="560"/>
      <c r="IH1" s="560"/>
      <c r="II1" s="560"/>
      <c r="IJ1" s="560"/>
      <c r="IK1" s="560"/>
      <c r="IL1" s="560" t="s">
        <v>15</v>
      </c>
      <c r="IM1" s="560"/>
      <c r="IN1" s="560"/>
      <c r="IO1" s="560"/>
      <c r="IP1" s="560"/>
      <c r="IQ1" s="560"/>
      <c r="IR1" s="560"/>
      <c r="IS1" s="560"/>
      <c r="IT1" s="560" t="s">
        <v>15</v>
      </c>
      <c r="IU1" s="560"/>
      <c r="IV1" s="560"/>
      <c r="IW1" s="560"/>
      <c r="IX1" s="560"/>
      <c r="IY1" s="560"/>
      <c r="IZ1" s="560"/>
      <c r="JA1" s="560"/>
      <c r="JB1" s="560" t="s">
        <v>15</v>
      </c>
      <c r="JC1" s="560"/>
      <c r="JD1" s="560"/>
      <c r="JE1" s="560"/>
      <c r="JF1" s="560"/>
      <c r="JG1" s="560"/>
      <c r="JH1" s="560"/>
      <c r="JI1" s="560"/>
      <c r="JJ1" s="560" t="s">
        <v>15</v>
      </c>
      <c r="JK1" s="560"/>
      <c r="JL1" s="560"/>
      <c r="JM1" s="560"/>
      <c r="JN1" s="560"/>
      <c r="JO1" s="560"/>
      <c r="JP1" s="560"/>
      <c r="JQ1" s="560"/>
      <c r="JR1" s="560" t="s">
        <v>15</v>
      </c>
      <c r="JS1" s="560"/>
      <c r="JT1" s="560"/>
      <c r="JU1" s="560"/>
      <c r="JV1" s="560"/>
      <c r="JW1" s="560"/>
      <c r="JX1" s="560"/>
      <c r="JY1" s="560"/>
      <c r="JZ1" s="560" t="s">
        <v>15</v>
      </c>
      <c r="KA1" s="560"/>
      <c r="KB1" s="560"/>
      <c r="KC1" s="560"/>
      <c r="KD1" s="560"/>
      <c r="KE1" s="560"/>
      <c r="KF1" s="560"/>
      <c r="KG1" s="560"/>
      <c r="KH1" s="560" t="s">
        <v>15</v>
      </c>
      <c r="KI1" s="560"/>
      <c r="KJ1" s="560"/>
      <c r="KK1" s="560"/>
      <c r="KL1" s="560"/>
      <c r="KM1" s="560"/>
      <c r="KN1" s="560"/>
      <c r="KO1" s="560"/>
      <c r="KP1" s="560" t="s">
        <v>15</v>
      </c>
      <c r="KQ1" s="560"/>
      <c r="KR1" s="560"/>
      <c r="KS1" s="560"/>
      <c r="KT1" s="560"/>
      <c r="KU1" s="560"/>
      <c r="KV1" s="560"/>
      <c r="KW1" s="560"/>
      <c r="KX1" s="560" t="s">
        <v>15</v>
      </c>
      <c r="KY1" s="560"/>
      <c r="KZ1" s="560"/>
      <c r="LA1" s="560"/>
      <c r="LB1" s="560"/>
      <c r="LC1" s="560"/>
      <c r="LD1" s="560"/>
      <c r="LE1" s="560"/>
      <c r="LF1" s="560" t="s">
        <v>15</v>
      </c>
      <c r="LG1" s="560"/>
      <c r="LH1" s="560"/>
      <c r="LI1" s="560"/>
      <c r="LJ1" s="560"/>
      <c r="LK1" s="560"/>
      <c r="LL1" s="560"/>
      <c r="LM1" s="560"/>
      <c r="LN1" s="560" t="s">
        <v>15</v>
      </c>
      <c r="LO1" s="560"/>
      <c r="LP1" s="560"/>
      <c r="LQ1" s="560"/>
      <c r="LR1" s="560"/>
      <c r="LS1" s="560"/>
      <c r="LT1" s="560"/>
      <c r="LU1" s="560"/>
      <c r="LV1" s="560" t="s">
        <v>15</v>
      </c>
      <c r="LW1" s="560"/>
      <c r="LX1" s="560"/>
      <c r="LY1" s="560"/>
      <c r="LZ1" s="560"/>
      <c r="MA1" s="560"/>
      <c r="MB1" s="560"/>
      <c r="MC1" s="560"/>
      <c r="MD1" s="560" t="s">
        <v>15</v>
      </c>
      <c r="ME1" s="560"/>
      <c r="MF1" s="560"/>
      <c r="MG1" s="560"/>
      <c r="MH1" s="560"/>
      <c r="MI1" s="560"/>
      <c r="MJ1" s="560"/>
      <c r="MK1" s="560"/>
      <c r="ML1" s="560" t="s">
        <v>15</v>
      </c>
      <c r="MM1" s="560"/>
      <c r="MN1" s="560"/>
      <c r="MO1" s="560"/>
      <c r="MP1" s="560"/>
      <c r="MQ1" s="560"/>
      <c r="MR1" s="560"/>
      <c r="MS1" s="560"/>
      <c r="MT1" s="560" t="s">
        <v>15</v>
      </c>
      <c r="MU1" s="560"/>
      <c r="MV1" s="560"/>
      <c r="MW1" s="560"/>
      <c r="MX1" s="560"/>
      <c r="MY1" s="560"/>
      <c r="MZ1" s="560"/>
      <c r="NA1" s="560"/>
      <c r="NB1" s="560" t="s">
        <v>15</v>
      </c>
      <c r="NC1" s="560"/>
      <c r="ND1" s="560"/>
      <c r="NE1" s="560"/>
      <c r="NF1" s="560"/>
      <c r="NG1" s="560"/>
      <c r="NH1" s="560"/>
      <c r="NI1" s="560"/>
      <c r="NJ1" s="560" t="s">
        <v>15</v>
      </c>
      <c r="NK1" s="560"/>
      <c r="NL1" s="560"/>
      <c r="NM1" s="560"/>
      <c r="NN1" s="560"/>
      <c r="NO1" s="560"/>
      <c r="NP1" s="560"/>
      <c r="NQ1" s="560"/>
      <c r="NR1" s="560" t="s">
        <v>15</v>
      </c>
      <c r="NS1" s="560"/>
      <c r="NT1" s="560"/>
      <c r="NU1" s="560"/>
      <c r="NV1" s="560"/>
      <c r="NW1" s="560"/>
      <c r="NX1" s="560"/>
      <c r="NY1" s="560"/>
      <c r="NZ1" s="560" t="s">
        <v>15</v>
      </c>
      <c r="OA1" s="560"/>
      <c r="OB1" s="560"/>
      <c r="OC1" s="560"/>
      <c r="OD1" s="560"/>
      <c r="OE1" s="560"/>
      <c r="OF1" s="560"/>
      <c r="OG1" s="560"/>
      <c r="OH1" s="560" t="s">
        <v>15</v>
      </c>
      <c r="OI1" s="560"/>
      <c r="OJ1" s="560"/>
      <c r="OK1" s="560"/>
      <c r="OL1" s="560"/>
      <c r="OM1" s="560"/>
      <c r="ON1" s="560"/>
      <c r="OO1" s="560"/>
      <c r="OP1" s="560" t="s">
        <v>15</v>
      </c>
      <c r="OQ1" s="560"/>
      <c r="OR1" s="560"/>
      <c r="OS1" s="560"/>
      <c r="OT1" s="560"/>
      <c r="OU1" s="560"/>
      <c r="OV1" s="560"/>
      <c r="OW1" s="560"/>
      <c r="OX1" s="560" t="s">
        <v>15</v>
      </c>
      <c r="OY1" s="560"/>
      <c r="OZ1" s="560"/>
      <c r="PA1" s="560"/>
      <c r="PB1" s="560"/>
      <c r="PC1" s="560"/>
      <c r="PD1" s="560"/>
      <c r="PE1" s="560"/>
      <c r="PF1" s="560" t="s">
        <v>15</v>
      </c>
      <c r="PG1" s="560"/>
      <c r="PH1" s="560"/>
      <c r="PI1" s="560"/>
      <c r="PJ1" s="560"/>
      <c r="PK1" s="560"/>
      <c r="PL1" s="560"/>
      <c r="PM1" s="560"/>
      <c r="PN1" s="560" t="s">
        <v>15</v>
      </c>
      <c r="PO1" s="560"/>
      <c r="PP1" s="560"/>
      <c r="PQ1" s="560"/>
      <c r="PR1" s="560"/>
      <c r="PS1" s="560"/>
      <c r="PT1" s="560"/>
      <c r="PU1" s="560"/>
      <c r="PV1" s="560" t="s">
        <v>15</v>
      </c>
      <c r="PW1" s="560"/>
      <c r="PX1" s="560"/>
      <c r="PY1" s="560"/>
      <c r="PZ1" s="560"/>
      <c r="QA1" s="560"/>
      <c r="QB1" s="560"/>
      <c r="QC1" s="560"/>
      <c r="QD1" s="560" t="s">
        <v>15</v>
      </c>
      <c r="QE1" s="560"/>
      <c r="QF1" s="560"/>
      <c r="QG1" s="560"/>
      <c r="QH1" s="560"/>
      <c r="QI1" s="560"/>
      <c r="QJ1" s="560"/>
      <c r="QK1" s="560"/>
      <c r="QL1" s="560" t="s">
        <v>15</v>
      </c>
      <c r="QM1" s="560"/>
      <c r="QN1" s="560"/>
      <c r="QO1" s="560"/>
      <c r="QP1" s="560"/>
      <c r="QQ1" s="560"/>
      <c r="QR1" s="560"/>
      <c r="QS1" s="560"/>
      <c r="QT1" s="560" t="s">
        <v>15</v>
      </c>
      <c r="QU1" s="560"/>
      <c r="QV1" s="560"/>
      <c r="QW1" s="560"/>
      <c r="QX1" s="560"/>
      <c r="QY1" s="560"/>
      <c r="QZ1" s="560"/>
      <c r="RA1" s="560"/>
      <c r="RB1" s="560" t="s">
        <v>15</v>
      </c>
      <c r="RC1" s="560"/>
      <c r="RD1" s="560"/>
      <c r="RE1" s="560"/>
      <c r="RF1" s="560"/>
      <c r="RG1" s="560"/>
      <c r="RH1" s="560"/>
      <c r="RI1" s="560"/>
      <c r="RJ1" s="560" t="s">
        <v>15</v>
      </c>
      <c r="RK1" s="560"/>
      <c r="RL1" s="560"/>
      <c r="RM1" s="560"/>
      <c r="RN1" s="560"/>
      <c r="RO1" s="560"/>
      <c r="RP1" s="560"/>
      <c r="RQ1" s="560"/>
      <c r="RR1" s="560" t="s">
        <v>15</v>
      </c>
      <c r="RS1" s="560"/>
      <c r="RT1" s="560"/>
      <c r="RU1" s="560"/>
      <c r="RV1" s="560"/>
      <c r="RW1" s="560"/>
      <c r="RX1" s="560"/>
      <c r="RY1" s="560"/>
      <c r="RZ1" s="560" t="s">
        <v>15</v>
      </c>
      <c r="SA1" s="560"/>
      <c r="SB1" s="560"/>
      <c r="SC1" s="560"/>
      <c r="SD1" s="560"/>
      <c r="SE1" s="560"/>
      <c r="SF1" s="560"/>
      <c r="SG1" s="560"/>
      <c r="SH1" s="560" t="s">
        <v>15</v>
      </c>
      <c r="SI1" s="560"/>
      <c r="SJ1" s="560"/>
      <c r="SK1" s="560"/>
      <c r="SL1" s="560"/>
      <c r="SM1" s="560"/>
      <c r="SN1" s="560"/>
      <c r="SO1" s="560"/>
      <c r="SP1" s="560" t="s">
        <v>15</v>
      </c>
      <c r="SQ1" s="560"/>
      <c r="SR1" s="560"/>
      <c r="SS1" s="560"/>
      <c r="ST1" s="560"/>
      <c r="SU1" s="560"/>
      <c r="SV1" s="560"/>
      <c r="SW1" s="560"/>
      <c r="SX1" s="560" t="s">
        <v>15</v>
      </c>
      <c r="SY1" s="560"/>
      <c r="SZ1" s="560"/>
      <c r="TA1" s="560"/>
      <c r="TB1" s="560"/>
      <c r="TC1" s="560"/>
      <c r="TD1" s="560"/>
      <c r="TE1" s="560"/>
      <c r="TF1" s="560" t="s">
        <v>15</v>
      </c>
      <c r="TG1" s="560"/>
      <c r="TH1" s="560"/>
      <c r="TI1" s="560"/>
      <c r="TJ1" s="560"/>
      <c r="TK1" s="560"/>
      <c r="TL1" s="560"/>
      <c r="TM1" s="560"/>
      <c r="TN1" s="560" t="s">
        <v>15</v>
      </c>
      <c r="TO1" s="560"/>
      <c r="TP1" s="560"/>
      <c r="TQ1" s="560"/>
      <c r="TR1" s="560"/>
      <c r="TS1" s="560"/>
      <c r="TT1" s="560"/>
      <c r="TU1" s="560"/>
      <c r="TV1" s="560" t="s">
        <v>15</v>
      </c>
      <c r="TW1" s="560"/>
      <c r="TX1" s="560"/>
      <c r="TY1" s="560"/>
      <c r="TZ1" s="560"/>
      <c r="UA1" s="560"/>
      <c r="UB1" s="560"/>
      <c r="UC1" s="560"/>
      <c r="UD1" s="560" t="s">
        <v>15</v>
      </c>
      <c r="UE1" s="560"/>
      <c r="UF1" s="560"/>
      <c r="UG1" s="560"/>
      <c r="UH1" s="560"/>
      <c r="UI1" s="560"/>
      <c r="UJ1" s="560"/>
      <c r="UK1" s="560"/>
      <c r="UL1" s="560" t="s">
        <v>15</v>
      </c>
      <c r="UM1" s="560"/>
      <c r="UN1" s="560"/>
      <c r="UO1" s="560"/>
      <c r="UP1" s="560"/>
      <c r="UQ1" s="560"/>
      <c r="UR1" s="560"/>
      <c r="US1" s="560"/>
      <c r="UT1" s="560" t="s">
        <v>15</v>
      </c>
      <c r="UU1" s="560"/>
      <c r="UV1" s="560"/>
      <c r="UW1" s="560"/>
      <c r="UX1" s="560"/>
      <c r="UY1" s="560"/>
      <c r="UZ1" s="560"/>
      <c r="VA1" s="560"/>
      <c r="VB1" s="560" t="s">
        <v>15</v>
      </c>
      <c r="VC1" s="560"/>
      <c r="VD1" s="560"/>
      <c r="VE1" s="560"/>
      <c r="VF1" s="560"/>
      <c r="VG1" s="560"/>
      <c r="VH1" s="560"/>
      <c r="VI1" s="560"/>
      <c r="VJ1" s="560" t="s">
        <v>15</v>
      </c>
      <c r="VK1" s="560"/>
      <c r="VL1" s="560"/>
      <c r="VM1" s="560"/>
      <c r="VN1" s="560"/>
      <c r="VO1" s="560"/>
      <c r="VP1" s="560"/>
      <c r="VQ1" s="560"/>
      <c r="VR1" s="560" t="s">
        <v>15</v>
      </c>
      <c r="VS1" s="560"/>
      <c r="VT1" s="560"/>
      <c r="VU1" s="560"/>
      <c r="VV1" s="560"/>
      <c r="VW1" s="560"/>
      <c r="VX1" s="560"/>
      <c r="VY1" s="560"/>
      <c r="VZ1" s="560" t="s">
        <v>15</v>
      </c>
      <c r="WA1" s="560"/>
      <c r="WB1" s="560"/>
      <c r="WC1" s="560"/>
      <c r="WD1" s="560"/>
      <c r="WE1" s="560"/>
      <c r="WF1" s="560"/>
      <c r="WG1" s="560"/>
      <c r="WH1" s="560" t="s">
        <v>15</v>
      </c>
      <c r="WI1" s="560"/>
      <c r="WJ1" s="560"/>
      <c r="WK1" s="560"/>
      <c r="WL1" s="560"/>
      <c r="WM1" s="560"/>
      <c r="WN1" s="560"/>
      <c r="WO1" s="560"/>
      <c r="WP1" s="560" t="s">
        <v>15</v>
      </c>
      <c r="WQ1" s="560"/>
      <c r="WR1" s="560"/>
      <c r="WS1" s="560"/>
      <c r="WT1" s="560"/>
      <c r="WU1" s="560"/>
      <c r="WV1" s="560"/>
      <c r="WW1" s="560"/>
      <c r="WX1" s="560" t="s">
        <v>15</v>
      </c>
      <c r="WY1" s="560"/>
      <c r="WZ1" s="560"/>
      <c r="XA1" s="560"/>
      <c r="XB1" s="560"/>
      <c r="XC1" s="560"/>
      <c r="XD1" s="560"/>
      <c r="XE1" s="560"/>
      <c r="XF1" s="560" t="s">
        <v>15</v>
      </c>
      <c r="XG1" s="560"/>
      <c r="XH1" s="560"/>
      <c r="XI1" s="560"/>
      <c r="XJ1" s="560"/>
      <c r="XK1" s="560"/>
      <c r="XL1" s="560"/>
      <c r="XM1" s="560"/>
      <c r="XN1" s="560" t="s">
        <v>15</v>
      </c>
      <c r="XO1" s="560"/>
      <c r="XP1" s="560"/>
      <c r="XQ1" s="560"/>
      <c r="XR1" s="560"/>
      <c r="XS1" s="560"/>
      <c r="XT1" s="560"/>
      <c r="XU1" s="560"/>
      <c r="XV1" s="560" t="s">
        <v>15</v>
      </c>
      <c r="XW1" s="560"/>
      <c r="XX1" s="560"/>
      <c r="XY1" s="560"/>
      <c r="XZ1" s="560"/>
      <c r="YA1" s="560"/>
      <c r="YB1" s="560"/>
      <c r="YC1" s="560"/>
      <c r="YD1" s="560" t="s">
        <v>15</v>
      </c>
      <c r="YE1" s="560"/>
      <c r="YF1" s="560"/>
      <c r="YG1" s="560"/>
      <c r="YH1" s="560"/>
      <c r="YI1" s="560"/>
      <c r="YJ1" s="560"/>
      <c r="YK1" s="560"/>
      <c r="YL1" s="560" t="s">
        <v>15</v>
      </c>
      <c r="YM1" s="560"/>
      <c r="YN1" s="560"/>
      <c r="YO1" s="560"/>
      <c r="YP1" s="560"/>
      <c r="YQ1" s="560"/>
      <c r="YR1" s="560"/>
      <c r="YS1" s="560"/>
      <c r="YT1" s="560" t="s">
        <v>15</v>
      </c>
      <c r="YU1" s="560"/>
      <c r="YV1" s="560"/>
      <c r="YW1" s="560"/>
      <c r="YX1" s="560"/>
      <c r="YY1" s="560"/>
      <c r="YZ1" s="560"/>
      <c r="ZA1" s="560"/>
      <c r="ZB1" s="560" t="s">
        <v>15</v>
      </c>
      <c r="ZC1" s="560"/>
      <c r="ZD1" s="560"/>
      <c r="ZE1" s="560"/>
      <c r="ZF1" s="560"/>
      <c r="ZG1" s="560"/>
      <c r="ZH1" s="560"/>
      <c r="ZI1" s="560"/>
      <c r="ZJ1" s="560" t="s">
        <v>15</v>
      </c>
      <c r="ZK1" s="560"/>
      <c r="ZL1" s="560"/>
      <c r="ZM1" s="560"/>
      <c r="ZN1" s="560"/>
      <c r="ZO1" s="560"/>
      <c r="ZP1" s="560"/>
      <c r="ZQ1" s="560"/>
      <c r="ZR1" s="560" t="s">
        <v>15</v>
      </c>
      <c r="ZS1" s="560"/>
      <c r="ZT1" s="560"/>
      <c r="ZU1" s="560"/>
      <c r="ZV1" s="560"/>
      <c r="ZW1" s="560"/>
      <c r="ZX1" s="560"/>
      <c r="ZY1" s="560"/>
      <c r="ZZ1" s="560" t="s">
        <v>15</v>
      </c>
      <c r="AAA1" s="560"/>
      <c r="AAB1" s="560"/>
      <c r="AAC1" s="560"/>
      <c r="AAD1" s="560"/>
      <c r="AAE1" s="560"/>
      <c r="AAF1" s="560"/>
      <c r="AAG1" s="560"/>
      <c r="AAH1" s="560" t="s">
        <v>15</v>
      </c>
      <c r="AAI1" s="560"/>
      <c r="AAJ1" s="560"/>
      <c r="AAK1" s="560"/>
      <c r="AAL1" s="560"/>
      <c r="AAM1" s="560"/>
      <c r="AAN1" s="560"/>
      <c r="AAO1" s="560"/>
      <c r="AAP1" s="560" t="s">
        <v>15</v>
      </c>
      <c r="AAQ1" s="560"/>
      <c r="AAR1" s="560"/>
      <c r="AAS1" s="560"/>
      <c r="AAT1" s="560"/>
      <c r="AAU1" s="560"/>
      <c r="AAV1" s="560"/>
      <c r="AAW1" s="560"/>
      <c r="AAX1" s="560" t="s">
        <v>15</v>
      </c>
      <c r="AAY1" s="560"/>
      <c r="AAZ1" s="560"/>
      <c r="ABA1" s="560"/>
      <c r="ABB1" s="560"/>
      <c r="ABC1" s="560"/>
      <c r="ABD1" s="560"/>
      <c r="ABE1" s="560"/>
      <c r="ABF1" s="560" t="s">
        <v>15</v>
      </c>
      <c r="ABG1" s="560"/>
      <c r="ABH1" s="560"/>
      <c r="ABI1" s="560"/>
      <c r="ABJ1" s="560"/>
      <c r="ABK1" s="560"/>
      <c r="ABL1" s="560"/>
      <c r="ABM1" s="560"/>
      <c r="ABN1" s="560" t="s">
        <v>15</v>
      </c>
      <c r="ABO1" s="560"/>
      <c r="ABP1" s="560"/>
      <c r="ABQ1" s="560"/>
      <c r="ABR1" s="560"/>
      <c r="ABS1" s="560"/>
      <c r="ABT1" s="560"/>
      <c r="ABU1" s="560"/>
      <c r="ABV1" s="560" t="s">
        <v>15</v>
      </c>
      <c r="ABW1" s="560"/>
      <c r="ABX1" s="560"/>
      <c r="ABY1" s="560"/>
      <c r="ABZ1" s="560"/>
      <c r="ACA1" s="560"/>
      <c r="ACB1" s="560"/>
      <c r="ACC1" s="560"/>
      <c r="ACD1" s="560" t="s">
        <v>15</v>
      </c>
      <c r="ACE1" s="560"/>
      <c r="ACF1" s="560"/>
      <c r="ACG1" s="560"/>
      <c r="ACH1" s="560"/>
      <c r="ACI1" s="560"/>
      <c r="ACJ1" s="560"/>
      <c r="ACK1" s="560"/>
      <c r="ACL1" s="560" t="s">
        <v>15</v>
      </c>
      <c r="ACM1" s="560"/>
      <c r="ACN1" s="560"/>
      <c r="ACO1" s="560"/>
      <c r="ACP1" s="560"/>
      <c r="ACQ1" s="560"/>
      <c r="ACR1" s="560"/>
      <c r="ACS1" s="560"/>
      <c r="ACT1" s="560" t="s">
        <v>15</v>
      </c>
      <c r="ACU1" s="560"/>
      <c r="ACV1" s="560"/>
      <c r="ACW1" s="560"/>
      <c r="ACX1" s="560"/>
      <c r="ACY1" s="560"/>
      <c r="ACZ1" s="560"/>
      <c r="ADA1" s="560"/>
      <c r="ADB1" s="560" t="s">
        <v>15</v>
      </c>
      <c r="ADC1" s="560"/>
      <c r="ADD1" s="560"/>
      <c r="ADE1" s="560"/>
      <c r="ADF1" s="560"/>
      <c r="ADG1" s="560"/>
      <c r="ADH1" s="560"/>
      <c r="ADI1" s="560"/>
      <c r="ADJ1" s="560" t="s">
        <v>15</v>
      </c>
      <c r="ADK1" s="560"/>
      <c r="ADL1" s="560"/>
      <c r="ADM1" s="560"/>
      <c r="ADN1" s="560"/>
      <c r="ADO1" s="560"/>
      <c r="ADP1" s="560"/>
      <c r="ADQ1" s="560"/>
      <c r="ADR1" s="560" t="s">
        <v>15</v>
      </c>
      <c r="ADS1" s="560"/>
      <c r="ADT1" s="560"/>
      <c r="ADU1" s="560"/>
      <c r="ADV1" s="560"/>
      <c r="ADW1" s="560"/>
      <c r="ADX1" s="560"/>
      <c r="ADY1" s="560"/>
      <c r="ADZ1" s="560" t="s">
        <v>15</v>
      </c>
      <c r="AEA1" s="560"/>
      <c r="AEB1" s="560"/>
      <c r="AEC1" s="560"/>
      <c r="AED1" s="560"/>
      <c r="AEE1" s="560"/>
      <c r="AEF1" s="560"/>
      <c r="AEG1" s="560"/>
      <c r="AEH1" s="560" t="s">
        <v>15</v>
      </c>
      <c r="AEI1" s="560"/>
      <c r="AEJ1" s="560"/>
      <c r="AEK1" s="560"/>
      <c r="AEL1" s="560"/>
      <c r="AEM1" s="560"/>
      <c r="AEN1" s="560"/>
      <c r="AEO1" s="560"/>
      <c r="AEP1" s="560" t="s">
        <v>15</v>
      </c>
      <c r="AEQ1" s="560"/>
      <c r="AER1" s="560"/>
      <c r="AES1" s="560"/>
      <c r="AET1" s="560"/>
      <c r="AEU1" s="560"/>
      <c r="AEV1" s="560"/>
      <c r="AEW1" s="560"/>
      <c r="AEX1" s="560" t="s">
        <v>15</v>
      </c>
      <c r="AEY1" s="560"/>
      <c r="AEZ1" s="560"/>
      <c r="AFA1" s="560"/>
      <c r="AFB1" s="560"/>
      <c r="AFC1" s="560"/>
      <c r="AFD1" s="560"/>
      <c r="AFE1" s="560"/>
      <c r="AFF1" s="560" t="s">
        <v>15</v>
      </c>
      <c r="AFG1" s="560"/>
      <c r="AFH1" s="560"/>
      <c r="AFI1" s="560"/>
      <c r="AFJ1" s="560"/>
      <c r="AFK1" s="560"/>
      <c r="AFL1" s="560"/>
      <c r="AFM1" s="560"/>
      <c r="AFN1" s="560" t="s">
        <v>15</v>
      </c>
      <c r="AFO1" s="560"/>
      <c r="AFP1" s="560"/>
      <c r="AFQ1" s="560"/>
      <c r="AFR1" s="560"/>
      <c r="AFS1" s="560"/>
      <c r="AFT1" s="560"/>
      <c r="AFU1" s="560"/>
      <c r="AFV1" s="560" t="s">
        <v>15</v>
      </c>
      <c r="AFW1" s="560"/>
      <c r="AFX1" s="560"/>
      <c r="AFY1" s="560"/>
      <c r="AFZ1" s="560"/>
      <c r="AGA1" s="560"/>
      <c r="AGB1" s="560"/>
      <c r="AGC1" s="560"/>
      <c r="AGD1" s="560" t="s">
        <v>15</v>
      </c>
      <c r="AGE1" s="560"/>
      <c r="AGF1" s="560"/>
      <c r="AGG1" s="560"/>
      <c r="AGH1" s="560"/>
      <c r="AGI1" s="560"/>
      <c r="AGJ1" s="560"/>
      <c r="AGK1" s="560"/>
      <c r="AGL1" s="560" t="s">
        <v>15</v>
      </c>
      <c r="AGM1" s="560"/>
      <c r="AGN1" s="560"/>
      <c r="AGO1" s="560"/>
      <c r="AGP1" s="560"/>
      <c r="AGQ1" s="560"/>
      <c r="AGR1" s="560"/>
      <c r="AGS1" s="560"/>
      <c r="AGT1" s="560" t="s">
        <v>15</v>
      </c>
      <c r="AGU1" s="560"/>
      <c r="AGV1" s="560"/>
      <c r="AGW1" s="560"/>
      <c r="AGX1" s="560"/>
      <c r="AGY1" s="560"/>
      <c r="AGZ1" s="560"/>
      <c r="AHA1" s="560"/>
      <c r="AHB1" s="560" t="s">
        <v>15</v>
      </c>
      <c r="AHC1" s="560"/>
      <c r="AHD1" s="560"/>
      <c r="AHE1" s="560"/>
      <c r="AHF1" s="560"/>
      <c r="AHG1" s="560"/>
      <c r="AHH1" s="560"/>
      <c r="AHI1" s="560"/>
      <c r="AHJ1" s="560" t="s">
        <v>15</v>
      </c>
      <c r="AHK1" s="560"/>
      <c r="AHL1" s="560"/>
      <c r="AHM1" s="560"/>
      <c r="AHN1" s="560"/>
      <c r="AHO1" s="560"/>
      <c r="AHP1" s="560"/>
      <c r="AHQ1" s="560"/>
      <c r="AHR1" s="560" t="s">
        <v>15</v>
      </c>
      <c r="AHS1" s="560"/>
      <c r="AHT1" s="560"/>
      <c r="AHU1" s="560"/>
      <c r="AHV1" s="560"/>
      <c r="AHW1" s="560"/>
      <c r="AHX1" s="560"/>
      <c r="AHY1" s="560"/>
      <c r="AHZ1" s="560" t="s">
        <v>15</v>
      </c>
      <c r="AIA1" s="560"/>
      <c r="AIB1" s="560"/>
      <c r="AIC1" s="560"/>
      <c r="AID1" s="560"/>
      <c r="AIE1" s="560"/>
      <c r="AIF1" s="560"/>
      <c r="AIG1" s="560"/>
      <c r="AIH1" s="560" t="s">
        <v>15</v>
      </c>
      <c r="AII1" s="560"/>
      <c r="AIJ1" s="560"/>
      <c r="AIK1" s="560"/>
      <c r="AIL1" s="560"/>
      <c r="AIM1" s="560"/>
      <c r="AIN1" s="560"/>
      <c r="AIO1" s="560"/>
      <c r="AIP1" s="560" t="s">
        <v>15</v>
      </c>
      <c r="AIQ1" s="560"/>
      <c r="AIR1" s="560"/>
      <c r="AIS1" s="560"/>
      <c r="AIT1" s="560"/>
      <c r="AIU1" s="560"/>
      <c r="AIV1" s="560"/>
      <c r="AIW1" s="560"/>
      <c r="AIX1" s="560" t="s">
        <v>15</v>
      </c>
      <c r="AIY1" s="560"/>
      <c r="AIZ1" s="560"/>
      <c r="AJA1" s="560"/>
      <c r="AJB1" s="560"/>
      <c r="AJC1" s="560"/>
      <c r="AJD1" s="560"/>
      <c r="AJE1" s="560"/>
      <c r="AJF1" s="560" t="s">
        <v>15</v>
      </c>
      <c r="AJG1" s="560"/>
      <c r="AJH1" s="560"/>
      <c r="AJI1" s="560"/>
      <c r="AJJ1" s="560"/>
      <c r="AJK1" s="560"/>
      <c r="AJL1" s="560"/>
      <c r="AJM1" s="560"/>
      <c r="AJN1" s="560" t="s">
        <v>15</v>
      </c>
      <c r="AJO1" s="560"/>
      <c r="AJP1" s="560"/>
      <c r="AJQ1" s="560"/>
      <c r="AJR1" s="560"/>
      <c r="AJS1" s="560"/>
      <c r="AJT1" s="560"/>
      <c r="AJU1" s="560"/>
      <c r="AJV1" s="560" t="s">
        <v>15</v>
      </c>
      <c r="AJW1" s="560"/>
      <c r="AJX1" s="560"/>
      <c r="AJY1" s="560"/>
      <c r="AJZ1" s="560"/>
      <c r="AKA1" s="560"/>
      <c r="AKB1" s="560"/>
      <c r="AKC1" s="560"/>
      <c r="AKD1" s="560" t="s">
        <v>15</v>
      </c>
      <c r="AKE1" s="560"/>
      <c r="AKF1" s="560"/>
      <c r="AKG1" s="560"/>
      <c r="AKH1" s="560"/>
      <c r="AKI1" s="560"/>
      <c r="AKJ1" s="560"/>
      <c r="AKK1" s="560"/>
      <c r="AKL1" s="560" t="s">
        <v>15</v>
      </c>
      <c r="AKM1" s="560"/>
      <c r="AKN1" s="560"/>
      <c r="AKO1" s="560"/>
      <c r="AKP1" s="560"/>
      <c r="AKQ1" s="560"/>
      <c r="AKR1" s="560"/>
      <c r="AKS1" s="560"/>
      <c r="AKT1" s="560" t="s">
        <v>15</v>
      </c>
      <c r="AKU1" s="560"/>
      <c r="AKV1" s="560"/>
      <c r="AKW1" s="560"/>
      <c r="AKX1" s="560"/>
      <c r="AKY1" s="560"/>
      <c r="AKZ1" s="560"/>
      <c r="ALA1" s="560"/>
      <c r="ALB1" s="560" t="s">
        <v>15</v>
      </c>
      <c r="ALC1" s="560"/>
      <c r="ALD1" s="560"/>
      <c r="ALE1" s="560"/>
      <c r="ALF1" s="560"/>
      <c r="ALG1" s="560"/>
      <c r="ALH1" s="560"/>
      <c r="ALI1" s="560"/>
      <c r="ALJ1" s="560" t="s">
        <v>15</v>
      </c>
      <c r="ALK1" s="560"/>
      <c r="ALL1" s="560"/>
      <c r="ALM1" s="560"/>
      <c r="ALN1" s="560"/>
      <c r="ALO1" s="560"/>
      <c r="ALP1" s="560"/>
      <c r="ALQ1" s="560"/>
      <c r="ALR1" s="560" t="s">
        <v>15</v>
      </c>
      <c r="ALS1" s="560"/>
      <c r="ALT1" s="560"/>
      <c r="ALU1" s="560"/>
      <c r="ALV1" s="560"/>
      <c r="ALW1" s="560"/>
      <c r="ALX1" s="560"/>
      <c r="ALY1" s="560"/>
      <c r="ALZ1" s="560" t="s">
        <v>15</v>
      </c>
      <c r="AMA1" s="560"/>
      <c r="AMB1" s="560"/>
      <c r="AMC1" s="560"/>
      <c r="AMD1" s="560"/>
      <c r="AME1" s="560"/>
      <c r="AMF1" s="560"/>
      <c r="AMG1" s="560"/>
      <c r="AMH1" s="560" t="s">
        <v>15</v>
      </c>
      <c r="AMI1" s="560"/>
      <c r="AMJ1" s="560"/>
      <c r="AMK1" s="560"/>
      <c r="AML1" s="560"/>
      <c r="AMM1" s="560"/>
      <c r="AMN1" s="560"/>
      <c r="AMO1" s="560"/>
      <c r="AMP1" s="560" t="s">
        <v>15</v>
      </c>
      <c r="AMQ1" s="560"/>
      <c r="AMR1" s="560"/>
      <c r="AMS1" s="560"/>
      <c r="AMT1" s="560"/>
      <c r="AMU1" s="560"/>
      <c r="AMV1" s="560"/>
      <c r="AMW1" s="560"/>
      <c r="AMX1" s="560" t="s">
        <v>15</v>
      </c>
      <c r="AMY1" s="560"/>
      <c r="AMZ1" s="560"/>
      <c r="ANA1" s="560"/>
      <c r="ANB1" s="560"/>
      <c r="ANC1" s="560"/>
      <c r="AND1" s="560"/>
      <c r="ANE1" s="560"/>
      <c r="ANF1" s="560" t="s">
        <v>15</v>
      </c>
      <c r="ANG1" s="560"/>
      <c r="ANH1" s="560"/>
      <c r="ANI1" s="560"/>
      <c r="ANJ1" s="560"/>
      <c r="ANK1" s="560"/>
      <c r="ANL1" s="560"/>
      <c r="ANM1" s="560"/>
      <c r="ANN1" s="560" t="s">
        <v>15</v>
      </c>
      <c r="ANO1" s="560"/>
      <c r="ANP1" s="560"/>
      <c r="ANQ1" s="560"/>
      <c r="ANR1" s="560"/>
      <c r="ANS1" s="560"/>
      <c r="ANT1" s="560"/>
      <c r="ANU1" s="560"/>
      <c r="ANV1" s="560" t="s">
        <v>15</v>
      </c>
      <c r="ANW1" s="560"/>
      <c r="ANX1" s="560"/>
      <c r="ANY1" s="560"/>
      <c r="ANZ1" s="560"/>
      <c r="AOA1" s="560"/>
      <c r="AOB1" s="560"/>
      <c r="AOC1" s="560"/>
      <c r="AOD1" s="560" t="s">
        <v>15</v>
      </c>
      <c r="AOE1" s="560"/>
      <c r="AOF1" s="560"/>
      <c r="AOG1" s="560"/>
      <c r="AOH1" s="560"/>
      <c r="AOI1" s="560"/>
      <c r="AOJ1" s="560"/>
      <c r="AOK1" s="560"/>
      <c r="AOL1" s="560" t="s">
        <v>15</v>
      </c>
      <c r="AOM1" s="560"/>
      <c r="AON1" s="560"/>
      <c r="AOO1" s="560"/>
      <c r="AOP1" s="560"/>
      <c r="AOQ1" s="560"/>
      <c r="AOR1" s="560"/>
      <c r="AOS1" s="560"/>
      <c r="AOT1" s="560" t="s">
        <v>15</v>
      </c>
      <c r="AOU1" s="560"/>
      <c r="AOV1" s="560"/>
      <c r="AOW1" s="560"/>
      <c r="AOX1" s="560"/>
      <c r="AOY1" s="560"/>
      <c r="AOZ1" s="560"/>
      <c r="APA1" s="560"/>
      <c r="APB1" s="560" t="s">
        <v>15</v>
      </c>
      <c r="APC1" s="560"/>
      <c r="APD1" s="560"/>
      <c r="APE1" s="560"/>
      <c r="APF1" s="560"/>
      <c r="APG1" s="560"/>
      <c r="APH1" s="560"/>
      <c r="API1" s="560"/>
      <c r="APJ1" s="560" t="s">
        <v>15</v>
      </c>
      <c r="APK1" s="560"/>
      <c r="APL1" s="560"/>
      <c r="APM1" s="560"/>
      <c r="APN1" s="560"/>
      <c r="APO1" s="560"/>
      <c r="APP1" s="560"/>
      <c r="APQ1" s="560"/>
      <c r="APR1" s="560" t="s">
        <v>15</v>
      </c>
      <c r="APS1" s="560"/>
      <c r="APT1" s="560"/>
      <c r="APU1" s="560"/>
      <c r="APV1" s="560"/>
      <c r="APW1" s="560"/>
      <c r="APX1" s="560"/>
      <c r="APY1" s="560"/>
      <c r="APZ1" s="560" t="s">
        <v>15</v>
      </c>
      <c r="AQA1" s="560"/>
      <c r="AQB1" s="560"/>
      <c r="AQC1" s="560"/>
      <c r="AQD1" s="560"/>
      <c r="AQE1" s="560"/>
      <c r="AQF1" s="560"/>
      <c r="AQG1" s="560"/>
      <c r="AQH1" s="560" t="s">
        <v>15</v>
      </c>
      <c r="AQI1" s="560"/>
      <c r="AQJ1" s="560"/>
      <c r="AQK1" s="560"/>
      <c r="AQL1" s="560"/>
      <c r="AQM1" s="560"/>
      <c r="AQN1" s="560"/>
      <c r="AQO1" s="560"/>
      <c r="AQP1" s="560" t="s">
        <v>15</v>
      </c>
      <c r="AQQ1" s="560"/>
      <c r="AQR1" s="560"/>
      <c r="AQS1" s="560"/>
      <c r="AQT1" s="560"/>
      <c r="AQU1" s="560"/>
      <c r="AQV1" s="560"/>
      <c r="AQW1" s="560"/>
      <c r="AQX1" s="560" t="s">
        <v>15</v>
      </c>
      <c r="AQY1" s="560"/>
      <c r="AQZ1" s="560"/>
      <c r="ARA1" s="560"/>
      <c r="ARB1" s="560"/>
      <c r="ARC1" s="560"/>
      <c r="ARD1" s="560"/>
      <c r="ARE1" s="560"/>
      <c r="ARF1" s="560" t="s">
        <v>15</v>
      </c>
      <c r="ARG1" s="560"/>
      <c r="ARH1" s="560"/>
      <c r="ARI1" s="560"/>
      <c r="ARJ1" s="560"/>
      <c r="ARK1" s="560"/>
      <c r="ARL1" s="560"/>
      <c r="ARM1" s="560"/>
      <c r="ARN1" s="560" t="s">
        <v>15</v>
      </c>
      <c r="ARO1" s="560"/>
      <c r="ARP1" s="560"/>
      <c r="ARQ1" s="560"/>
      <c r="ARR1" s="560"/>
      <c r="ARS1" s="560"/>
      <c r="ART1" s="560"/>
      <c r="ARU1" s="560"/>
      <c r="ARV1" s="560" t="s">
        <v>15</v>
      </c>
      <c r="ARW1" s="560"/>
      <c r="ARX1" s="560"/>
      <c r="ARY1" s="560"/>
      <c r="ARZ1" s="560"/>
      <c r="ASA1" s="560"/>
      <c r="ASB1" s="560"/>
      <c r="ASC1" s="560"/>
      <c r="ASD1" s="560" t="s">
        <v>15</v>
      </c>
      <c r="ASE1" s="560"/>
      <c r="ASF1" s="560"/>
      <c r="ASG1" s="560"/>
      <c r="ASH1" s="560"/>
      <c r="ASI1" s="560"/>
      <c r="ASJ1" s="560"/>
      <c r="ASK1" s="560"/>
      <c r="ASL1" s="560" t="s">
        <v>15</v>
      </c>
      <c r="ASM1" s="560"/>
      <c r="ASN1" s="560"/>
      <c r="ASO1" s="560"/>
      <c r="ASP1" s="560"/>
      <c r="ASQ1" s="560"/>
      <c r="ASR1" s="560"/>
      <c r="ASS1" s="560"/>
      <c r="AST1" s="560" t="s">
        <v>15</v>
      </c>
      <c r="ASU1" s="560"/>
      <c r="ASV1" s="560"/>
      <c r="ASW1" s="560"/>
      <c r="ASX1" s="560"/>
      <c r="ASY1" s="560"/>
      <c r="ASZ1" s="560"/>
      <c r="ATA1" s="560"/>
      <c r="ATB1" s="560" t="s">
        <v>15</v>
      </c>
      <c r="ATC1" s="560"/>
      <c r="ATD1" s="560"/>
      <c r="ATE1" s="560"/>
      <c r="ATF1" s="560"/>
      <c r="ATG1" s="560"/>
      <c r="ATH1" s="560"/>
      <c r="ATI1" s="560"/>
      <c r="ATJ1" s="560" t="s">
        <v>15</v>
      </c>
      <c r="ATK1" s="560"/>
      <c r="ATL1" s="560"/>
      <c r="ATM1" s="560"/>
      <c r="ATN1" s="560"/>
      <c r="ATO1" s="560"/>
      <c r="ATP1" s="560"/>
      <c r="ATQ1" s="560"/>
      <c r="ATR1" s="560" t="s">
        <v>15</v>
      </c>
      <c r="ATS1" s="560"/>
      <c r="ATT1" s="560"/>
      <c r="ATU1" s="560"/>
      <c r="ATV1" s="560"/>
      <c r="ATW1" s="560"/>
      <c r="ATX1" s="560"/>
      <c r="ATY1" s="560"/>
      <c r="ATZ1" s="560" t="s">
        <v>15</v>
      </c>
      <c r="AUA1" s="560"/>
      <c r="AUB1" s="560"/>
      <c r="AUC1" s="560"/>
      <c r="AUD1" s="560"/>
      <c r="AUE1" s="560"/>
      <c r="AUF1" s="560"/>
      <c r="AUG1" s="560"/>
      <c r="AUH1" s="560" t="s">
        <v>15</v>
      </c>
      <c r="AUI1" s="560"/>
      <c r="AUJ1" s="560"/>
      <c r="AUK1" s="560"/>
      <c r="AUL1" s="560"/>
      <c r="AUM1" s="560"/>
      <c r="AUN1" s="560"/>
      <c r="AUO1" s="560"/>
      <c r="AUP1" s="560" t="s">
        <v>15</v>
      </c>
      <c r="AUQ1" s="560"/>
      <c r="AUR1" s="560"/>
      <c r="AUS1" s="560"/>
      <c r="AUT1" s="560"/>
      <c r="AUU1" s="560"/>
      <c r="AUV1" s="560"/>
      <c r="AUW1" s="560"/>
      <c r="AUX1" s="560" t="s">
        <v>15</v>
      </c>
      <c r="AUY1" s="560"/>
      <c r="AUZ1" s="560"/>
      <c r="AVA1" s="560"/>
      <c r="AVB1" s="560"/>
      <c r="AVC1" s="560"/>
      <c r="AVD1" s="560"/>
      <c r="AVE1" s="560"/>
      <c r="AVF1" s="560" t="s">
        <v>15</v>
      </c>
      <c r="AVG1" s="560"/>
      <c r="AVH1" s="560"/>
      <c r="AVI1" s="560"/>
      <c r="AVJ1" s="560"/>
      <c r="AVK1" s="560"/>
      <c r="AVL1" s="560"/>
      <c r="AVM1" s="560"/>
      <c r="AVN1" s="560" t="s">
        <v>15</v>
      </c>
      <c r="AVO1" s="560"/>
      <c r="AVP1" s="560"/>
      <c r="AVQ1" s="560"/>
      <c r="AVR1" s="560"/>
      <c r="AVS1" s="560"/>
      <c r="AVT1" s="560"/>
      <c r="AVU1" s="560"/>
      <c r="AVV1" s="560" t="s">
        <v>15</v>
      </c>
      <c r="AVW1" s="560"/>
      <c r="AVX1" s="560"/>
      <c r="AVY1" s="560"/>
      <c r="AVZ1" s="560"/>
      <c r="AWA1" s="560"/>
      <c r="AWB1" s="560"/>
      <c r="AWC1" s="560"/>
      <c r="AWD1" s="560" t="s">
        <v>15</v>
      </c>
      <c r="AWE1" s="560"/>
      <c r="AWF1" s="560"/>
      <c r="AWG1" s="560"/>
      <c r="AWH1" s="560"/>
      <c r="AWI1" s="560"/>
      <c r="AWJ1" s="560"/>
      <c r="AWK1" s="560"/>
      <c r="AWL1" s="560" t="s">
        <v>15</v>
      </c>
      <c r="AWM1" s="560"/>
      <c r="AWN1" s="560"/>
      <c r="AWO1" s="560"/>
      <c r="AWP1" s="560"/>
      <c r="AWQ1" s="560"/>
      <c r="AWR1" s="560"/>
      <c r="AWS1" s="560"/>
      <c r="AWT1" s="560" t="s">
        <v>15</v>
      </c>
      <c r="AWU1" s="560"/>
      <c r="AWV1" s="560"/>
      <c r="AWW1" s="560"/>
      <c r="AWX1" s="560"/>
      <c r="AWY1" s="560"/>
      <c r="AWZ1" s="560"/>
      <c r="AXA1" s="560"/>
      <c r="AXB1" s="560" t="s">
        <v>15</v>
      </c>
      <c r="AXC1" s="560"/>
      <c r="AXD1" s="560"/>
      <c r="AXE1" s="560"/>
      <c r="AXF1" s="560"/>
      <c r="AXG1" s="560"/>
      <c r="AXH1" s="560"/>
      <c r="AXI1" s="560"/>
      <c r="AXJ1" s="560" t="s">
        <v>15</v>
      </c>
      <c r="AXK1" s="560"/>
      <c r="AXL1" s="560"/>
      <c r="AXM1" s="560"/>
      <c r="AXN1" s="560"/>
      <c r="AXO1" s="560"/>
      <c r="AXP1" s="560"/>
      <c r="AXQ1" s="560"/>
      <c r="AXR1" s="560" t="s">
        <v>15</v>
      </c>
      <c r="AXS1" s="560"/>
      <c r="AXT1" s="560"/>
      <c r="AXU1" s="560"/>
      <c r="AXV1" s="560"/>
      <c r="AXW1" s="560"/>
      <c r="AXX1" s="560"/>
      <c r="AXY1" s="560"/>
      <c r="AXZ1" s="560" t="s">
        <v>15</v>
      </c>
      <c r="AYA1" s="560"/>
      <c r="AYB1" s="560"/>
      <c r="AYC1" s="560"/>
      <c r="AYD1" s="560"/>
      <c r="AYE1" s="560"/>
      <c r="AYF1" s="560"/>
      <c r="AYG1" s="560"/>
      <c r="AYH1" s="560" t="s">
        <v>15</v>
      </c>
      <c r="AYI1" s="560"/>
      <c r="AYJ1" s="560"/>
      <c r="AYK1" s="560"/>
      <c r="AYL1" s="560"/>
      <c r="AYM1" s="560"/>
      <c r="AYN1" s="560"/>
      <c r="AYO1" s="560"/>
      <c r="AYP1" s="560" t="s">
        <v>15</v>
      </c>
      <c r="AYQ1" s="560"/>
      <c r="AYR1" s="560"/>
      <c r="AYS1" s="560"/>
      <c r="AYT1" s="560"/>
      <c r="AYU1" s="560"/>
      <c r="AYV1" s="560"/>
      <c r="AYW1" s="560"/>
      <c r="AYX1" s="560" t="s">
        <v>15</v>
      </c>
      <c r="AYY1" s="560"/>
      <c r="AYZ1" s="560"/>
      <c r="AZA1" s="560"/>
      <c r="AZB1" s="560"/>
      <c r="AZC1" s="560"/>
      <c r="AZD1" s="560"/>
      <c r="AZE1" s="560"/>
      <c r="AZF1" s="560" t="s">
        <v>15</v>
      </c>
      <c r="AZG1" s="560"/>
      <c r="AZH1" s="560"/>
      <c r="AZI1" s="560"/>
      <c r="AZJ1" s="560"/>
      <c r="AZK1" s="560"/>
      <c r="AZL1" s="560"/>
      <c r="AZM1" s="560"/>
      <c r="AZN1" s="560" t="s">
        <v>15</v>
      </c>
      <c r="AZO1" s="560"/>
      <c r="AZP1" s="560"/>
      <c r="AZQ1" s="560"/>
      <c r="AZR1" s="560"/>
      <c r="AZS1" s="560"/>
      <c r="AZT1" s="560"/>
      <c r="AZU1" s="560"/>
      <c r="AZV1" s="560" t="s">
        <v>15</v>
      </c>
      <c r="AZW1" s="560"/>
      <c r="AZX1" s="560"/>
      <c r="AZY1" s="560"/>
      <c r="AZZ1" s="560"/>
      <c r="BAA1" s="560"/>
      <c r="BAB1" s="560"/>
      <c r="BAC1" s="560"/>
      <c r="BAD1" s="560" t="s">
        <v>15</v>
      </c>
      <c r="BAE1" s="560"/>
      <c r="BAF1" s="560"/>
      <c r="BAG1" s="560"/>
      <c r="BAH1" s="560"/>
      <c r="BAI1" s="560"/>
      <c r="BAJ1" s="560"/>
      <c r="BAK1" s="560"/>
      <c r="BAL1" s="560" t="s">
        <v>15</v>
      </c>
      <c r="BAM1" s="560"/>
      <c r="BAN1" s="560"/>
      <c r="BAO1" s="560"/>
      <c r="BAP1" s="560"/>
      <c r="BAQ1" s="560"/>
      <c r="BAR1" s="560"/>
      <c r="BAS1" s="560"/>
      <c r="BAT1" s="560" t="s">
        <v>15</v>
      </c>
      <c r="BAU1" s="560"/>
      <c r="BAV1" s="560"/>
      <c r="BAW1" s="560"/>
      <c r="BAX1" s="560"/>
      <c r="BAY1" s="560"/>
      <c r="BAZ1" s="560"/>
      <c r="BBA1" s="560"/>
      <c r="BBB1" s="560" t="s">
        <v>15</v>
      </c>
      <c r="BBC1" s="560"/>
      <c r="BBD1" s="560"/>
      <c r="BBE1" s="560"/>
      <c r="BBF1" s="560"/>
      <c r="BBG1" s="560"/>
      <c r="BBH1" s="560"/>
      <c r="BBI1" s="560"/>
      <c r="BBJ1" s="560" t="s">
        <v>15</v>
      </c>
      <c r="BBK1" s="560"/>
      <c r="BBL1" s="560"/>
      <c r="BBM1" s="560"/>
      <c r="BBN1" s="560"/>
      <c r="BBO1" s="560"/>
      <c r="BBP1" s="560"/>
      <c r="BBQ1" s="560"/>
      <c r="BBR1" s="560" t="s">
        <v>15</v>
      </c>
      <c r="BBS1" s="560"/>
      <c r="BBT1" s="560"/>
      <c r="BBU1" s="560"/>
      <c r="BBV1" s="560"/>
      <c r="BBW1" s="560"/>
      <c r="BBX1" s="560"/>
      <c r="BBY1" s="560"/>
      <c r="BBZ1" s="560" t="s">
        <v>15</v>
      </c>
      <c r="BCA1" s="560"/>
      <c r="BCB1" s="560"/>
      <c r="BCC1" s="560"/>
      <c r="BCD1" s="560"/>
      <c r="BCE1" s="560"/>
      <c r="BCF1" s="560"/>
      <c r="BCG1" s="560"/>
      <c r="BCH1" s="560" t="s">
        <v>15</v>
      </c>
      <c r="BCI1" s="560"/>
      <c r="BCJ1" s="560"/>
      <c r="BCK1" s="560"/>
      <c r="BCL1" s="560"/>
      <c r="BCM1" s="560"/>
      <c r="BCN1" s="560"/>
      <c r="BCO1" s="560"/>
      <c r="BCP1" s="560" t="s">
        <v>15</v>
      </c>
      <c r="BCQ1" s="560"/>
      <c r="BCR1" s="560"/>
      <c r="BCS1" s="560"/>
      <c r="BCT1" s="560"/>
      <c r="BCU1" s="560"/>
      <c r="BCV1" s="560"/>
      <c r="BCW1" s="560"/>
      <c r="BCX1" s="560" t="s">
        <v>15</v>
      </c>
      <c r="BCY1" s="560"/>
      <c r="BCZ1" s="560"/>
      <c r="BDA1" s="560"/>
      <c r="BDB1" s="560"/>
      <c r="BDC1" s="560"/>
      <c r="BDD1" s="560"/>
      <c r="BDE1" s="560"/>
      <c r="BDF1" s="560" t="s">
        <v>15</v>
      </c>
      <c r="BDG1" s="560"/>
      <c r="BDH1" s="560"/>
      <c r="BDI1" s="560"/>
      <c r="BDJ1" s="560"/>
      <c r="BDK1" s="560"/>
      <c r="BDL1" s="560"/>
      <c r="BDM1" s="560"/>
      <c r="BDN1" s="560" t="s">
        <v>15</v>
      </c>
      <c r="BDO1" s="560"/>
      <c r="BDP1" s="560"/>
      <c r="BDQ1" s="560"/>
      <c r="BDR1" s="560"/>
      <c r="BDS1" s="560"/>
      <c r="BDT1" s="560"/>
      <c r="BDU1" s="560"/>
      <c r="BDV1" s="560" t="s">
        <v>15</v>
      </c>
      <c r="BDW1" s="560"/>
      <c r="BDX1" s="560"/>
      <c r="BDY1" s="560"/>
      <c r="BDZ1" s="560"/>
      <c r="BEA1" s="560"/>
      <c r="BEB1" s="560"/>
      <c r="BEC1" s="560"/>
      <c r="BED1" s="560" t="s">
        <v>15</v>
      </c>
      <c r="BEE1" s="560"/>
      <c r="BEF1" s="560"/>
      <c r="BEG1" s="560"/>
      <c r="BEH1" s="560"/>
      <c r="BEI1" s="560"/>
      <c r="BEJ1" s="560"/>
      <c r="BEK1" s="560"/>
      <c r="BEL1" s="560" t="s">
        <v>15</v>
      </c>
      <c r="BEM1" s="560"/>
      <c r="BEN1" s="560"/>
      <c r="BEO1" s="560"/>
      <c r="BEP1" s="560"/>
      <c r="BEQ1" s="560"/>
      <c r="BER1" s="560"/>
      <c r="BES1" s="560"/>
      <c r="BET1" s="560" t="s">
        <v>15</v>
      </c>
      <c r="BEU1" s="560"/>
      <c r="BEV1" s="560"/>
      <c r="BEW1" s="560"/>
      <c r="BEX1" s="560"/>
      <c r="BEY1" s="560"/>
      <c r="BEZ1" s="560"/>
      <c r="BFA1" s="560"/>
      <c r="BFB1" s="560" t="s">
        <v>15</v>
      </c>
      <c r="BFC1" s="560"/>
      <c r="BFD1" s="560"/>
      <c r="BFE1" s="560"/>
      <c r="BFF1" s="560"/>
      <c r="BFG1" s="560"/>
      <c r="BFH1" s="560"/>
      <c r="BFI1" s="560"/>
      <c r="BFJ1" s="560" t="s">
        <v>15</v>
      </c>
      <c r="BFK1" s="560"/>
      <c r="BFL1" s="560"/>
      <c r="BFM1" s="560"/>
      <c r="BFN1" s="560"/>
      <c r="BFO1" s="560"/>
      <c r="BFP1" s="560"/>
      <c r="BFQ1" s="560"/>
      <c r="BFR1" s="560" t="s">
        <v>15</v>
      </c>
      <c r="BFS1" s="560"/>
      <c r="BFT1" s="560"/>
      <c r="BFU1" s="560"/>
      <c r="BFV1" s="560"/>
      <c r="BFW1" s="560"/>
      <c r="BFX1" s="560"/>
      <c r="BFY1" s="560"/>
      <c r="BFZ1" s="560" t="s">
        <v>15</v>
      </c>
      <c r="BGA1" s="560"/>
      <c r="BGB1" s="560"/>
      <c r="BGC1" s="560"/>
      <c r="BGD1" s="560"/>
      <c r="BGE1" s="560"/>
      <c r="BGF1" s="560"/>
      <c r="BGG1" s="560"/>
      <c r="BGH1" s="560" t="s">
        <v>15</v>
      </c>
      <c r="BGI1" s="560"/>
      <c r="BGJ1" s="560"/>
      <c r="BGK1" s="560"/>
      <c r="BGL1" s="560"/>
      <c r="BGM1" s="560"/>
      <c r="BGN1" s="560"/>
      <c r="BGO1" s="560"/>
      <c r="BGP1" s="560" t="s">
        <v>15</v>
      </c>
      <c r="BGQ1" s="560"/>
      <c r="BGR1" s="560"/>
      <c r="BGS1" s="560"/>
      <c r="BGT1" s="560"/>
      <c r="BGU1" s="560"/>
      <c r="BGV1" s="560"/>
      <c r="BGW1" s="560"/>
      <c r="BGX1" s="560" t="s">
        <v>15</v>
      </c>
      <c r="BGY1" s="560"/>
      <c r="BGZ1" s="560"/>
      <c r="BHA1" s="560"/>
      <c r="BHB1" s="560"/>
      <c r="BHC1" s="560"/>
      <c r="BHD1" s="560"/>
      <c r="BHE1" s="560"/>
      <c r="BHF1" s="560" t="s">
        <v>15</v>
      </c>
      <c r="BHG1" s="560"/>
      <c r="BHH1" s="560"/>
      <c r="BHI1" s="560"/>
      <c r="BHJ1" s="560"/>
      <c r="BHK1" s="560"/>
      <c r="BHL1" s="560"/>
      <c r="BHM1" s="560"/>
      <c r="BHN1" s="560" t="s">
        <v>15</v>
      </c>
      <c r="BHO1" s="560"/>
      <c r="BHP1" s="560"/>
      <c r="BHQ1" s="560"/>
      <c r="BHR1" s="560"/>
      <c r="BHS1" s="560"/>
      <c r="BHT1" s="560"/>
      <c r="BHU1" s="560"/>
      <c r="BHV1" s="560" t="s">
        <v>15</v>
      </c>
      <c r="BHW1" s="560"/>
      <c r="BHX1" s="560"/>
      <c r="BHY1" s="560"/>
      <c r="BHZ1" s="560"/>
      <c r="BIA1" s="560"/>
      <c r="BIB1" s="560"/>
      <c r="BIC1" s="560"/>
      <c r="BID1" s="560" t="s">
        <v>15</v>
      </c>
      <c r="BIE1" s="560"/>
      <c r="BIF1" s="560"/>
      <c r="BIG1" s="560"/>
      <c r="BIH1" s="560"/>
      <c r="BII1" s="560"/>
      <c r="BIJ1" s="560"/>
      <c r="BIK1" s="560"/>
      <c r="BIL1" s="560" t="s">
        <v>15</v>
      </c>
      <c r="BIM1" s="560"/>
      <c r="BIN1" s="560"/>
      <c r="BIO1" s="560"/>
      <c r="BIP1" s="560"/>
      <c r="BIQ1" s="560"/>
      <c r="BIR1" s="560"/>
      <c r="BIS1" s="560"/>
      <c r="BIT1" s="560" t="s">
        <v>15</v>
      </c>
      <c r="BIU1" s="560"/>
      <c r="BIV1" s="560"/>
      <c r="BIW1" s="560"/>
      <c r="BIX1" s="560"/>
      <c r="BIY1" s="560"/>
      <c r="BIZ1" s="560"/>
      <c r="BJA1" s="560"/>
      <c r="BJB1" s="560" t="s">
        <v>15</v>
      </c>
      <c r="BJC1" s="560"/>
      <c r="BJD1" s="560"/>
      <c r="BJE1" s="560"/>
      <c r="BJF1" s="560"/>
      <c r="BJG1" s="560"/>
      <c r="BJH1" s="560"/>
      <c r="BJI1" s="560"/>
      <c r="BJJ1" s="560" t="s">
        <v>15</v>
      </c>
      <c r="BJK1" s="560"/>
      <c r="BJL1" s="560"/>
      <c r="BJM1" s="560"/>
      <c r="BJN1" s="560"/>
      <c r="BJO1" s="560"/>
      <c r="BJP1" s="560"/>
      <c r="BJQ1" s="560"/>
      <c r="BJR1" s="560" t="s">
        <v>15</v>
      </c>
      <c r="BJS1" s="560"/>
      <c r="BJT1" s="560"/>
      <c r="BJU1" s="560"/>
      <c r="BJV1" s="560"/>
      <c r="BJW1" s="560"/>
      <c r="BJX1" s="560"/>
      <c r="BJY1" s="560"/>
      <c r="BJZ1" s="560" t="s">
        <v>15</v>
      </c>
      <c r="BKA1" s="560"/>
      <c r="BKB1" s="560"/>
      <c r="BKC1" s="560"/>
      <c r="BKD1" s="560"/>
      <c r="BKE1" s="560"/>
      <c r="BKF1" s="560"/>
      <c r="BKG1" s="560"/>
      <c r="BKH1" s="560" t="s">
        <v>15</v>
      </c>
      <c r="BKI1" s="560"/>
      <c r="BKJ1" s="560"/>
      <c r="BKK1" s="560"/>
      <c r="BKL1" s="560"/>
      <c r="BKM1" s="560"/>
      <c r="BKN1" s="560"/>
      <c r="BKO1" s="560"/>
      <c r="BKP1" s="560" t="s">
        <v>15</v>
      </c>
      <c r="BKQ1" s="560"/>
      <c r="BKR1" s="560"/>
      <c r="BKS1" s="560"/>
      <c r="BKT1" s="560"/>
      <c r="BKU1" s="560"/>
      <c r="BKV1" s="560"/>
      <c r="BKW1" s="560"/>
      <c r="BKX1" s="560" t="s">
        <v>15</v>
      </c>
      <c r="BKY1" s="560"/>
      <c r="BKZ1" s="560"/>
      <c r="BLA1" s="560"/>
      <c r="BLB1" s="560"/>
      <c r="BLC1" s="560"/>
      <c r="BLD1" s="560"/>
      <c r="BLE1" s="560"/>
      <c r="BLF1" s="560" t="s">
        <v>15</v>
      </c>
      <c r="BLG1" s="560"/>
      <c r="BLH1" s="560"/>
      <c r="BLI1" s="560"/>
      <c r="BLJ1" s="560"/>
      <c r="BLK1" s="560"/>
      <c r="BLL1" s="560"/>
      <c r="BLM1" s="560"/>
      <c r="BLN1" s="560" t="s">
        <v>15</v>
      </c>
      <c r="BLO1" s="560"/>
      <c r="BLP1" s="560"/>
      <c r="BLQ1" s="560"/>
      <c r="BLR1" s="560"/>
      <c r="BLS1" s="560"/>
      <c r="BLT1" s="560"/>
      <c r="BLU1" s="560"/>
      <c r="BLV1" s="560" t="s">
        <v>15</v>
      </c>
      <c r="BLW1" s="560"/>
      <c r="BLX1" s="560"/>
      <c r="BLY1" s="560"/>
      <c r="BLZ1" s="560"/>
      <c r="BMA1" s="560"/>
      <c r="BMB1" s="560"/>
      <c r="BMC1" s="560"/>
      <c r="BMD1" s="560" t="s">
        <v>15</v>
      </c>
      <c r="BME1" s="560"/>
      <c r="BMF1" s="560"/>
      <c r="BMG1" s="560"/>
      <c r="BMH1" s="560"/>
      <c r="BMI1" s="560"/>
      <c r="BMJ1" s="560"/>
      <c r="BMK1" s="560"/>
      <c r="BML1" s="560" t="s">
        <v>15</v>
      </c>
      <c r="BMM1" s="560"/>
      <c r="BMN1" s="560"/>
      <c r="BMO1" s="560"/>
      <c r="BMP1" s="560"/>
      <c r="BMQ1" s="560"/>
      <c r="BMR1" s="560"/>
      <c r="BMS1" s="560"/>
      <c r="BMT1" s="560" t="s">
        <v>15</v>
      </c>
      <c r="BMU1" s="560"/>
      <c r="BMV1" s="560"/>
      <c r="BMW1" s="560"/>
      <c r="BMX1" s="560"/>
      <c r="BMY1" s="560"/>
      <c r="BMZ1" s="560"/>
      <c r="BNA1" s="560"/>
      <c r="BNB1" s="560" t="s">
        <v>15</v>
      </c>
      <c r="BNC1" s="560"/>
      <c r="BND1" s="560"/>
      <c r="BNE1" s="560"/>
      <c r="BNF1" s="560"/>
      <c r="BNG1" s="560"/>
      <c r="BNH1" s="560"/>
      <c r="BNI1" s="560"/>
      <c r="BNJ1" s="560" t="s">
        <v>15</v>
      </c>
      <c r="BNK1" s="560"/>
      <c r="BNL1" s="560"/>
      <c r="BNM1" s="560"/>
      <c r="BNN1" s="560"/>
      <c r="BNO1" s="560"/>
      <c r="BNP1" s="560"/>
      <c r="BNQ1" s="560"/>
      <c r="BNR1" s="560" t="s">
        <v>15</v>
      </c>
      <c r="BNS1" s="560"/>
      <c r="BNT1" s="560"/>
      <c r="BNU1" s="560"/>
      <c r="BNV1" s="560"/>
      <c r="BNW1" s="560"/>
      <c r="BNX1" s="560"/>
      <c r="BNY1" s="560"/>
      <c r="BNZ1" s="560" t="s">
        <v>15</v>
      </c>
      <c r="BOA1" s="560"/>
      <c r="BOB1" s="560"/>
      <c r="BOC1" s="560"/>
      <c r="BOD1" s="560"/>
      <c r="BOE1" s="560"/>
      <c r="BOF1" s="560"/>
      <c r="BOG1" s="560"/>
      <c r="BOH1" s="560" t="s">
        <v>15</v>
      </c>
      <c r="BOI1" s="560"/>
      <c r="BOJ1" s="560"/>
      <c r="BOK1" s="560"/>
      <c r="BOL1" s="560"/>
      <c r="BOM1" s="560"/>
      <c r="BON1" s="560"/>
      <c r="BOO1" s="560"/>
      <c r="BOP1" s="560" t="s">
        <v>15</v>
      </c>
      <c r="BOQ1" s="560"/>
      <c r="BOR1" s="560"/>
      <c r="BOS1" s="560"/>
      <c r="BOT1" s="560"/>
      <c r="BOU1" s="560"/>
      <c r="BOV1" s="560"/>
      <c r="BOW1" s="560"/>
      <c r="BOX1" s="560" t="s">
        <v>15</v>
      </c>
      <c r="BOY1" s="560"/>
      <c r="BOZ1" s="560"/>
      <c r="BPA1" s="560"/>
      <c r="BPB1" s="560"/>
      <c r="BPC1" s="560"/>
      <c r="BPD1" s="560"/>
      <c r="BPE1" s="560"/>
      <c r="BPF1" s="560" t="s">
        <v>15</v>
      </c>
      <c r="BPG1" s="560"/>
      <c r="BPH1" s="560"/>
      <c r="BPI1" s="560"/>
      <c r="BPJ1" s="560"/>
      <c r="BPK1" s="560"/>
      <c r="BPL1" s="560"/>
      <c r="BPM1" s="560"/>
      <c r="BPN1" s="560" t="s">
        <v>15</v>
      </c>
      <c r="BPO1" s="560"/>
      <c r="BPP1" s="560"/>
      <c r="BPQ1" s="560"/>
      <c r="BPR1" s="560"/>
      <c r="BPS1" s="560"/>
      <c r="BPT1" s="560"/>
      <c r="BPU1" s="560"/>
      <c r="BPV1" s="560" t="s">
        <v>15</v>
      </c>
      <c r="BPW1" s="560"/>
      <c r="BPX1" s="560"/>
      <c r="BPY1" s="560"/>
      <c r="BPZ1" s="560"/>
      <c r="BQA1" s="560"/>
      <c r="BQB1" s="560"/>
      <c r="BQC1" s="560"/>
      <c r="BQD1" s="560" t="s">
        <v>15</v>
      </c>
      <c r="BQE1" s="560"/>
      <c r="BQF1" s="560"/>
      <c r="BQG1" s="560"/>
      <c r="BQH1" s="560"/>
      <c r="BQI1" s="560"/>
      <c r="BQJ1" s="560"/>
      <c r="BQK1" s="560"/>
      <c r="BQL1" s="560" t="s">
        <v>15</v>
      </c>
      <c r="BQM1" s="560"/>
      <c r="BQN1" s="560"/>
      <c r="BQO1" s="560"/>
      <c r="BQP1" s="560"/>
      <c r="BQQ1" s="560"/>
      <c r="BQR1" s="560"/>
      <c r="BQS1" s="560"/>
      <c r="BQT1" s="560" t="s">
        <v>15</v>
      </c>
      <c r="BQU1" s="560"/>
      <c r="BQV1" s="560"/>
      <c r="BQW1" s="560"/>
      <c r="BQX1" s="560"/>
      <c r="BQY1" s="560"/>
      <c r="BQZ1" s="560"/>
      <c r="BRA1" s="560"/>
      <c r="BRB1" s="560" t="s">
        <v>15</v>
      </c>
      <c r="BRC1" s="560"/>
      <c r="BRD1" s="560"/>
      <c r="BRE1" s="560"/>
      <c r="BRF1" s="560"/>
      <c r="BRG1" s="560"/>
      <c r="BRH1" s="560"/>
      <c r="BRI1" s="560"/>
      <c r="BRJ1" s="560" t="s">
        <v>15</v>
      </c>
      <c r="BRK1" s="560"/>
      <c r="BRL1" s="560"/>
      <c r="BRM1" s="560"/>
      <c r="BRN1" s="560"/>
      <c r="BRO1" s="560"/>
      <c r="BRP1" s="560"/>
      <c r="BRQ1" s="560"/>
      <c r="BRR1" s="560" t="s">
        <v>15</v>
      </c>
      <c r="BRS1" s="560"/>
      <c r="BRT1" s="560"/>
      <c r="BRU1" s="560"/>
      <c r="BRV1" s="560"/>
      <c r="BRW1" s="560"/>
      <c r="BRX1" s="560"/>
      <c r="BRY1" s="560"/>
      <c r="BRZ1" s="560" t="s">
        <v>15</v>
      </c>
      <c r="BSA1" s="560"/>
      <c r="BSB1" s="560"/>
      <c r="BSC1" s="560"/>
      <c r="BSD1" s="560"/>
      <c r="BSE1" s="560"/>
      <c r="BSF1" s="560"/>
      <c r="BSG1" s="560"/>
      <c r="BSH1" s="560" t="s">
        <v>15</v>
      </c>
      <c r="BSI1" s="560"/>
      <c r="BSJ1" s="560"/>
      <c r="BSK1" s="560"/>
      <c r="BSL1" s="560"/>
      <c r="BSM1" s="560"/>
      <c r="BSN1" s="560"/>
      <c r="BSO1" s="560"/>
      <c r="BSP1" s="560" t="s">
        <v>15</v>
      </c>
      <c r="BSQ1" s="560"/>
      <c r="BSR1" s="560"/>
      <c r="BSS1" s="560"/>
      <c r="BST1" s="560"/>
      <c r="BSU1" s="560"/>
      <c r="BSV1" s="560"/>
      <c r="BSW1" s="560"/>
      <c r="BSX1" s="560" t="s">
        <v>15</v>
      </c>
      <c r="BSY1" s="560"/>
      <c r="BSZ1" s="560"/>
      <c r="BTA1" s="560"/>
      <c r="BTB1" s="560"/>
      <c r="BTC1" s="560"/>
      <c r="BTD1" s="560"/>
      <c r="BTE1" s="560"/>
      <c r="BTF1" s="560" t="s">
        <v>15</v>
      </c>
      <c r="BTG1" s="560"/>
      <c r="BTH1" s="560"/>
      <c r="BTI1" s="560"/>
      <c r="BTJ1" s="560"/>
      <c r="BTK1" s="560"/>
      <c r="BTL1" s="560"/>
      <c r="BTM1" s="560"/>
      <c r="BTN1" s="560" t="s">
        <v>15</v>
      </c>
      <c r="BTO1" s="560"/>
      <c r="BTP1" s="560"/>
      <c r="BTQ1" s="560"/>
      <c r="BTR1" s="560"/>
      <c r="BTS1" s="560"/>
      <c r="BTT1" s="560"/>
      <c r="BTU1" s="560"/>
      <c r="BTV1" s="560" t="s">
        <v>15</v>
      </c>
      <c r="BTW1" s="560"/>
      <c r="BTX1" s="560"/>
      <c r="BTY1" s="560"/>
      <c r="BTZ1" s="560"/>
      <c r="BUA1" s="560"/>
      <c r="BUB1" s="560"/>
      <c r="BUC1" s="560"/>
      <c r="BUD1" s="560" t="s">
        <v>15</v>
      </c>
      <c r="BUE1" s="560"/>
      <c r="BUF1" s="560"/>
      <c r="BUG1" s="560"/>
      <c r="BUH1" s="560"/>
      <c r="BUI1" s="560"/>
      <c r="BUJ1" s="560"/>
      <c r="BUK1" s="560"/>
      <c r="BUL1" s="560" t="s">
        <v>15</v>
      </c>
      <c r="BUM1" s="560"/>
      <c r="BUN1" s="560"/>
      <c r="BUO1" s="560"/>
      <c r="BUP1" s="560"/>
      <c r="BUQ1" s="560"/>
      <c r="BUR1" s="560"/>
      <c r="BUS1" s="560"/>
      <c r="BUT1" s="560" t="s">
        <v>15</v>
      </c>
      <c r="BUU1" s="560"/>
      <c r="BUV1" s="560"/>
      <c r="BUW1" s="560"/>
      <c r="BUX1" s="560"/>
      <c r="BUY1" s="560"/>
      <c r="BUZ1" s="560"/>
      <c r="BVA1" s="560"/>
      <c r="BVB1" s="560" t="s">
        <v>15</v>
      </c>
      <c r="BVC1" s="560"/>
      <c r="BVD1" s="560"/>
      <c r="BVE1" s="560"/>
      <c r="BVF1" s="560"/>
      <c r="BVG1" s="560"/>
      <c r="BVH1" s="560"/>
      <c r="BVI1" s="560"/>
      <c r="BVJ1" s="560" t="s">
        <v>15</v>
      </c>
      <c r="BVK1" s="560"/>
      <c r="BVL1" s="560"/>
      <c r="BVM1" s="560"/>
      <c r="BVN1" s="560"/>
      <c r="BVO1" s="560"/>
      <c r="BVP1" s="560"/>
      <c r="BVQ1" s="560"/>
      <c r="BVR1" s="560" t="s">
        <v>15</v>
      </c>
      <c r="BVS1" s="560"/>
      <c r="BVT1" s="560"/>
      <c r="BVU1" s="560"/>
      <c r="BVV1" s="560"/>
      <c r="BVW1" s="560"/>
      <c r="BVX1" s="560"/>
      <c r="BVY1" s="560"/>
      <c r="BVZ1" s="560" t="s">
        <v>15</v>
      </c>
      <c r="BWA1" s="560"/>
      <c r="BWB1" s="560"/>
      <c r="BWC1" s="560"/>
      <c r="BWD1" s="560"/>
      <c r="BWE1" s="560"/>
      <c r="BWF1" s="560"/>
      <c r="BWG1" s="560"/>
      <c r="BWH1" s="560" t="s">
        <v>15</v>
      </c>
      <c r="BWI1" s="560"/>
      <c r="BWJ1" s="560"/>
      <c r="BWK1" s="560"/>
      <c r="BWL1" s="560"/>
      <c r="BWM1" s="560"/>
      <c r="BWN1" s="560"/>
      <c r="BWO1" s="560"/>
      <c r="BWP1" s="560" t="s">
        <v>15</v>
      </c>
      <c r="BWQ1" s="560"/>
      <c r="BWR1" s="560"/>
      <c r="BWS1" s="560"/>
      <c r="BWT1" s="560"/>
      <c r="BWU1" s="560"/>
      <c r="BWV1" s="560"/>
      <c r="BWW1" s="560"/>
      <c r="BWX1" s="560" t="s">
        <v>15</v>
      </c>
      <c r="BWY1" s="560"/>
      <c r="BWZ1" s="560"/>
      <c r="BXA1" s="560"/>
      <c r="BXB1" s="560"/>
      <c r="BXC1" s="560"/>
      <c r="BXD1" s="560"/>
      <c r="BXE1" s="560"/>
      <c r="BXF1" s="560" t="s">
        <v>15</v>
      </c>
      <c r="BXG1" s="560"/>
      <c r="BXH1" s="560"/>
      <c r="BXI1" s="560"/>
      <c r="BXJ1" s="560"/>
      <c r="BXK1" s="560"/>
      <c r="BXL1" s="560"/>
      <c r="BXM1" s="560"/>
      <c r="BXN1" s="560" t="s">
        <v>15</v>
      </c>
      <c r="BXO1" s="560"/>
      <c r="BXP1" s="560"/>
      <c r="BXQ1" s="560"/>
      <c r="BXR1" s="560"/>
      <c r="BXS1" s="560"/>
      <c r="BXT1" s="560"/>
      <c r="BXU1" s="560"/>
      <c r="BXV1" s="560" t="s">
        <v>15</v>
      </c>
      <c r="BXW1" s="560"/>
      <c r="BXX1" s="560"/>
      <c r="BXY1" s="560"/>
      <c r="BXZ1" s="560"/>
      <c r="BYA1" s="560"/>
      <c r="BYB1" s="560"/>
      <c r="BYC1" s="560"/>
      <c r="BYD1" s="560" t="s">
        <v>15</v>
      </c>
      <c r="BYE1" s="560"/>
      <c r="BYF1" s="560"/>
      <c r="BYG1" s="560"/>
      <c r="BYH1" s="560"/>
      <c r="BYI1" s="560"/>
      <c r="BYJ1" s="560"/>
      <c r="BYK1" s="560"/>
      <c r="BYL1" s="560" t="s">
        <v>15</v>
      </c>
      <c r="BYM1" s="560"/>
      <c r="BYN1" s="560"/>
      <c r="BYO1" s="560"/>
      <c r="BYP1" s="560"/>
      <c r="BYQ1" s="560"/>
      <c r="BYR1" s="560"/>
      <c r="BYS1" s="560"/>
      <c r="BYT1" s="560" t="s">
        <v>15</v>
      </c>
      <c r="BYU1" s="560"/>
      <c r="BYV1" s="560"/>
      <c r="BYW1" s="560"/>
      <c r="BYX1" s="560"/>
      <c r="BYY1" s="560"/>
      <c r="BYZ1" s="560"/>
      <c r="BZA1" s="560"/>
      <c r="BZB1" s="560" t="s">
        <v>15</v>
      </c>
      <c r="BZC1" s="560"/>
      <c r="BZD1" s="560"/>
      <c r="BZE1" s="560"/>
      <c r="BZF1" s="560"/>
      <c r="BZG1" s="560"/>
      <c r="BZH1" s="560"/>
      <c r="BZI1" s="560"/>
      <c r="BZJ1" s="560" t="s">
        <v>15</v>
      </c>
      <c r="BZK1" s="560"/>
      <c r="BZL1" s="560"/>
      <c r="BZM1" s="560"/>
      <c r="BZN1" s="560"/>
      <c r="BZO1" s="560"/>
      <c r="BZP1" s="560"/>
      <c r="BZQ1" s="560"/>
      <c r="BZR1" s="560" t="s">
        <v>15</v>
      </c>
      <c r="BZS1" s="560"/>
      <c r="BZT1" s="560"/>
      <c r="BZU1" s="560"/>
      <c r="BZV1" s="560"/>
      <c r="BZW1" s="560"/>
      <c r="BZX1" s="560"/>
      <c r="BZY1" s="560"/>
      <c r="BZZ1" s="560" t="s">
        <v>15</v>
      </c>
      <c r="CAA1" s="560"/>
      <c r="CAB1" s="560"/>
      <c r="CAC1" s="560"/>
      <c r="CAD1" s="560"/>
      <c r="CAE1" s="560"/>
      <c r="CAF1" s="560"/>
      <c r="CAG1" s="560"/>
      <c r="CAH1" s="560" t="s">
        <v>15</v>
      </c>
      <c r="CAI1" s="560"/>
      <c r="CAJ1" s="560"/>
      <c r="CAK1" s="560"/>
      <c r="CAL1" s="560"/>
      <c r="CAM1" s="560"/>
      <c r="CAN1" s="560"/>
      <c r="CAO1" s="560"/>
      <c r="CAP1" s="560" t="s">
        <v>15</v>
      </c>
      <c r="CAQ1" s="560"/>
      <c r="CAR1" s="560"/>
      <c r="CAS1" s="560"/>
      <c r="CAT1" s="560"/>
      <c r="CAU1" s="560"/>
      <c r="CAV1" s="560"/>
      <c r="CAW1" s="560"/>
      <c r="CAX1" s="560" t="s">
        <v>15</v>
      </c>
      <c r="CAY1" s="560"/>
      <c r="CAZ1" s="560"/>
      <c r="CBA1" s="560"/>
      <c r="CBB1" s="560"/>
      <c r="CBC1" s="560"/>
      <c r="CBD1" s="560"/>
      <c r="CBE1" s="560"/>
      <c r="CBF1" s="560" t="s">
        <v>15</v>
      </c>
      <c r="CBG1" s="560"/>
      <c r="CBH1" s="560"/>
      <c r="CBI1" s="560"/>
      <c r="CBJ1" s="560"/>
      <c r="CBK1" s="560"/>
      <c r="CBL1" s="560"/>
      <c r="CBM1" s="560"/>
      <c r="CBN1" s="560" t="s">
        <v>15</v>
      </c>
      <c r="CBO1" s="560"/>
      <c r="CBP1" s="560"/>
      <c r="CBQ1" s="560"/>
      <c r="CBR1" s="560"/>
      <c r="CBS1" s="560"/>
      <c r="CBT1" s="560"/>
      <c r="CBU1" s="560"/>
      <c r="CBV1" s="560" t="s">
        <v>15</v>
      </c>
      <c r="CBW1" s="560"/>
      <c r="CBX1" s="560"/>
      <c r="CBY1" s="560"/>
      <c r="CBZ1" s="560"/>
      <c r="CCA1" s="560"/>
      <c r="CCB1" s="560"/>
      <c r="CCC1" s="560"/>
      <c r="CCD1" s="560" t="s">
        <v>15</v>
      </c>
      <c r="CCE1" s="560"/>
      <c r="CCF1" s="560"/>
      <c r="CCG1" s="560"/>
      <c r="CCH1" s="560"/>
      <c r="CCI1" s="560"/>
      <c r="CCJ1" s="560"/>
      <c r="CCK1" s="560"/>
      <c r="CCL1" s="560" t="s">
        <v>15</v>
      </c>
      <c r="CCM1" s="560"/>
      <c r="CCN1" s="560"/>
      <c r="CCO1" s="560"/>
      <c r="CCP1" s="560"/>
      <c r="CCQ1" s="560"/>
      <c r="CCR1" s="560"/>
      <c r="CCS1" s="560"/>
      <c r="CCT1" s="560" t="s">
        <v>15</v>
      </c>
      <c r="CCU1" s="560"/>
      <c r="CCV1" s="560"/>
      <c r="CCW1" s="560"/>
      <c r="CCX1" s="560"/>
      <c r="CCY1" s="560"/>
      <c r="CCZ1" s="560"/>
      <c r="CDA1" s="560"/>
      <c r="CDB1" s="560" t="s">
        <v>15</v>
      </c>
      <c r="CDC1" s="560"/>
      <c r="CDD1" s="560"/>
      <c r="CDE1" s="560"/>
      <c r="CDF1" s="560"/>
      <c r="CDG1" s="560"/>
      <c r="CDH1" s="560"/>
      <c r="CDI1" s="560"/>
      <c r="CDJ1" s="560" t="s">
        <v>15</v>
      </c>
      <c r="CDK1" s="560"/>
      <c r="CDL1" s="560"/>
      <c r="CDM1" s="560"/>
      <c r="CDN1" s="560"/>
      <c r="CDO1" s="560"/>
      <c r="CDP1" s="560"/>
      <c r="CDQ1" s="560"/>
      <c r="CDR1" s="560" t="s">
        <v>15</v>
      </c>
      <c r="CDS1" s="560"/>
      <c r="CDT1" s="560"/>
      <c r="CDU1" s="560"/>
      <c r="CDV1" s="560"/>
      <c r="CDW1" s="560"/>
      <c r="CDX1" s="560"/>
      <c r="CDY1" s="560"/>
      <c r="CDZ1" s="560" t="s">
        <v>15</v>
      </c>
      <c r="CEA1" s="560"/>
      <c r="CEB1" s="560"/>
      <c r="CEC1" s="560"/>
      <c r="CED1" s="560"/>
      <c r="CEE1" s="560"/>
      <c r="CEF1" s="560"/>
      <c r="CEG1" s="560"/>
      <c r="CEH1" s="560" t="s">
        <v>15</v>
      </c>
      <c r="CEI1" s="560"/>
      <c r="CEJ1" s="560"/>
      <c r="CEK1" s="560"/>
      <c r="CEL1" s="560"/>
      <c r="CEM1" s="560"/>
      <c r="CEN1" s="560"/>
      <c r="CEO1" s="560"/>
      <c r="CEP1" s="560" t="s">
        <v>15</v>
      </c>
      <c r="CEQ1" s="560"/>
      <c r="CER1" s="560"/>
      <c r="CES1" s="560"/>
      <c r="CET1" s="560"/>
      <c r="CEU1" s="560"/>
      <c r="CEV1" s="560"/>
      <c r="CEW1" s="560"/>
      <c r="CEX1" s="560" t="s">
        <v>15</v>
      </c>
      <c r="CEY1" s="560"/>
      <c r="CEZ1" s="560"/>
      <c r="CFA1" s="560"/>
      <c r="CFB1" s="560"/>
      <c r="CFC1" s="560"/>
      <c r="CFD1" s="560"/>
      <c r="CFE1" s="560"/>
      <c r="CFF1" s="560" t="s">
        <v>15</v>
      </c>
      <c r="CFG1" s="560"/>
      <c r="CFH1" s="560"/>
      <c r="CFI1" s="560"/>
      <c r="CFJ1" s="560"/>
      <c r="CFK1" s="560"/>
      <c r="CFL1" s="560"/>
      <c r="CFM1" s="560"/>
      <c r="CFN1" s="560" t="s">
        <v>15</v>
      </c>
      <c r="CFO1" s="560"/>
      <c r="CFP1" s="560"/>
      <c r="CFQ1" s="560"/>
      <c r="CFR1" s="560"/>
      <c r="CFS1" s="560"/>
      <c r="CFT1" s="560"/>
      <c r="CFU1" s="560"/>
      <c r="CFV1" s="560" t="s">
        <v>15</v>
      </c>
      <c r="CFW1" s="560"/>
      <c r="CFX1" s="560"/>
      <c r="CFY1" s="560"/>
      <c r="CFZ1" s="560"/>
      <c r="CGA1" s="560"/>
      <c r="CGB1" s="560"/>
      <c r="CGC1" s="560"/>
      <c r="CGD1" s="560" t="s">
        <v>15</v>
      </c>
      <c r="CGE1" s="560"/>
      <c r="CGF1" s="560"/>
      <c r="CGG1" s="560"/>
      <c r="CGH1" s="560"/>
      <c r="CGI1" s="560"/>
      <c r="CGJ1" s="560"/>
      <c r="CGK1" s="560"/>
      <c r="CGL1" s="560" t="s">
        <v>15</v>
      </c>
      <c r="CGM1" s="560"/>
      <c r="CGN1" s="560"/>
      <c r="CGO1" s="560"/>
      <c r="CGP1" s="560"/>
      <c r="CGQ1" s="560"/>
      <c r="CGR1" s="560"/>
      <c r="CGS1" s="560"/>
      <c r="CGT1" s="560" t="s">
        <v>15</v>
      </c>
      <c r="CGU1" s="560"/>
      <c r="CGV1" s="560"/>
      <c r="CGW1" s="560"/>
      <c r="CGX1" s="560"/>
      <c r="CGY1" s="560"/>
      <c r="CGZ1" s="560"/>
      <c r="CHA1" s="560"/>
      <c r="CHB1" s="560" t="s">
        <v>15</v>
      </c>
      <c r="CHC1" s="560"/>
      <c r="CHD1" s="560"/>
      <c r="CHE1" s="560"/>
      <c r="CHF1" s="560"/>
      <c r="CHG1" s="560"/>
      <c r="CHH1" s="560"/>
      <c r="CHI1" s="560"/>
      <c r="CHJ1" s="560" t="s">
        <v>15</v>
      </c>
      <c r="CHK1" s="560"/>
      <c r="CHL1" s="560"/>
      <c r="CHM1" s="560"/>
      <c r="CHN1" s="560"/>
      <c r="CHO1" s="560"/>
      <c r="CHP1" s="560"/>
      <c r="CHQ1" s="560"/>
      <c r="CHR1" s="560" t="s">
        <v>15</v>
      </c>
      <c r="CHS1" s="560"/>
      <c r="CHT1" s="560"/>
      <c r="CHU1" s="560"/>
      <c r="CHV1" s="560"/>
      <c r="CHW1" s="560"/>
      <c r="CHX1" s="560"/>
      <c r="CHY1" s="560"/>
      <c r="CHZ1" s="560" t="s">
        <v>15</v>
      </c>
      <c r="CIA1" s="560"/>
      <c r="CIB1" s="560"/>
      <c r="CIC1" s="560"/>
      <c r="CID1" s="560"/>
      <c r="CIE1" s="560"/>
      <c r="CIF1" s="560"/>
      <c r="CIG1" s="560"/>
      <c r="CIH1" s="560" t="s">
        <v>15</v>
      </c>
      <c r="CII1" s="560"/>
      <c r="CIJ1" s="560"/>
      <c r="CIK1" s="560"/>
      <c r="CIL1" s="560"/>
      <c r="CIM1" s="560"/>
      <c r="CIN1" s="560"/>
      <c r="CIO1" s="560"/>
      <c r="CIP1" s="560" t="s">
        <v>15</v>
      </c>
      <c r="CIQ1" s="560"/>
      <c r="CIR1" s="560"/>
      <c r="CIS1" s="560"/>
      <c r="CIT1" s="560"/>
      <c r="CIU1" s="560"/>
      <c r="CIV1" s="560"/>
      <c r="CIW1" s="560"/>
      <c r="CIX1" s="560" t="s">
        <v>15</v>
      </c>
      <c r="CIY1" s="560"/>
      <c r="CIZ1" s="560"/>
      <c r="CJA1" s="560"/>
      <c r="CJB1" s="560"/>
      <c r="CJC1" s="560"/>
      <c r="CJD1" s="560"/>
      <c r="CJE1" s="560"/>
      <c r="CJF1" s="560" t="s">
        <v>15</v>
      </c>
      <c r="CJG1" s="560"/>
      <c r="CJH1" s="560"/>
      <c r="CJI1" s="560"/>
      <c r="CJJ1" s="560"/>
      <c r="CJK1" s="560"/>
      <c r="CJL1" s="560"/>
      <c r="CJM1" s="560"/>
      <c r="CJN1" s="560" t="s">
        <v>15</v>
      </c>
      <c r="CJO1" s="560"/>
      <c r="CJP1" s="560"/>
      <c r="CJQ1" s="560"/>
      <c r="CJR1" s="560"/>
      <c r="CJS1" s="560"/>
      <c r="CJT1" s="560"/>
      <c r="CJU1" s="560"/>
      <c r="CJV1" s="560" t="s">
        <v>15</v>
      </c>
      <c r="CJW1" s="560"/>
      <c r="CJX1" s="560"/>
      <c r="CJY1" s="560"/>
      <c r="CJZ1" s="560"/>
      <c r="CKA1" s="560"/>
      <c r="CKB1" s="560"/>
      <c r="CKC1" s="560"/>
      <c r="CKD1" s="560" t="s">
        <v>15</v>
      </c>
      <c r="CKE1" s="560"/>
      <c r="CKF1" s="560"/>
      <c r="CKG1" s="560"/>
      <c r="CKH1" s="560"/>
      <c r="CKI1" s="560"/>
      <c r="CKJ1" s="560"/>
      <c r="CKK1" s="560"/>
      <c r="CKL1" s="560" t="s">
        <v>15</v>
      </c>
      <c r="CKM1" s="560"/>
      <c r="CKN1" s="560"/>
      <c r="CKO1" s="560"/>
      <c r="CKP1" s="560"/>
      <c r="CKQ1" s="560"/>
      <c r="CKR1" s="560"/>
      <c r="CKS1" s="560"/>
      <c r="CKT1" s="560" t="s">
        <v>15</v>
      </c>
      <c r="CKU1" s="560"/>
      <c r="CKV1" s="560"/>
      <c r="CKW1" s="560"/>
      <c r="CKX1" s="560"/>
      <c r="CKY1" s="560"/>
      <c r="CKZ1" s="560"/>
      <c r="CLA1" s="560"/>
      <c r="CLB1" s="560" t="s">
        <v>15</v>
      </c>
      <c r="CLC1" s="560"/>
      <c r="CLD1" s="560"/>
      <c r="CLE1" s="560"/>
      <c r="CLF1" s="560"/>
      <c r="CLG1" s="560"/>
      <c r="CLH1" s="560"/>
      <c r="CLI1" s="560"/>
      <c r="CLJ1" s="560" t="s">
        <v>15</v>
      </c>
      <c r="CLK1" s="560"/>
      <c r="CLL1" s="560"/>
      <c r="CLM1" s="560"/>
      <c r="CLN1" s="560"/>
      <c r="CLO1" s="560"/>
      <c r="CLP1" s="560"/>
      <c r="CLQ1" s="560"/>
      <c r="CLR1" s="560" t="s">
        <v>15</v>
      </c>
      <c r="CLS1" s="560"/>
      <c r="CLT1" s="560"/>
      <c r="CLU1" s="560"/>
      <c r="CLV1" s="560"/>
      <c r="CLW1" s="560"/>
      <c r="CLX1" s="560"/>
      <c r="CLY1" s="560"/>
      <c r="CLZ1" s="560" t="s">
        <v>15</v>
      </c>
      <c r="CMA1" s="560"/>
      <c r="CMB1" s="560"/>
      <c r="CMC1" s="560"/>
      <c r="CMD1" s="560"/>
      <c r="CME1" s="560"/>
      <c r="CMF1" s="560"/>
      <c r="CMG1" s="560"/>
      <c r="CMH1" s="560" t="s">
        <v>15</v>
      </c>
      <c r="CMI1" s="560"/>
      <c r="CMJ1" s="560"/>
      <c r="CMK1" s="560"/>
      <c r="CML1" s="560"/>
      <c r="CMM1" s="560"/>
      <c r="CMN1" s="560"/>
      <c r="CMO1" s="560"/>
      <c r="CMP1" s="560" t="s">
        <v>15</v>
      </c>
      <c r="CMQ1" s="560"/>
      <c r="CMR1" s="560"/>
      <c r="CMS1" s="560"/>
      <c r="CMT1" s="560"/>
      <c r="CMU1" s="560"/>
      <c r="CMV1" s="560"/>
      <c r="CMW1" s="560"/>
      <c r="CMX1" s="560" t="s">
        <v>15</v>
      </c>
      <c r="CMY1" s="560"/>
      <c r="CMZ1" s="560"/>
      <c r="CNA1" s="560"/>
      <c r="CNB1" s="560"/>
      <c r="CNC1" s="560"/>
      <c r="CND1" s="560"/>
      <c r="CNE1" s="560"/>
      <c r="CNF1" s="560" t="s">
        <v>15</v>
      </c>
      <c r="CNG1" s="560"/>
      <c r="CNH1" s="560"/>
      <c r="CNI1" s="560"/>
      <c r="CNJ1" s="560"/>
      <c r="CNK1" s="560"/>
      <c r="CNL1" s="560"/>
      <c r="CNM1" s="560"/>
      <c r="CNN1" s="560" t="s">
        <v>15</v>
      </c>
      <c r="CNO1" s="560"/>
      <c r="CNP1" s="560"/>
      <c r="CNQ1" s="560"/>
      <c r="CNR1" s="560"/>
      <c r="CNS1" s="560"/>
      <c r="CNT1" s="560"/>
      <c r="CNU1" s="560"/>
      <c r="CNV1" s="560" t="s">
        <v>15</v>
      </c>
      <c r="CNW1" s="560"/>
      <c r="CNX1" s="560"/>
      <c r="CNY1" s="560"/>
      <c r="CNZ1" s="560"/>
      <c r="COA1" s="560"/>
      <c r="COB1" s="560"/>
      <c r="COC1" s="560"/>
      <c r="COD1" s="560" t="s">
        <v>15</v>
      </c>
      <c r="COE1" s="560"/>
      <c r="COF1" s="560"/>
      <c r="COG1" s="560"/>
      <c r="COH1" s="560"/>
      <c r="COI1" s="560"/>
      <c r="COJ1" s="560"/>
      <c r="COK1" s="560"/>
      <c r="COL1" s="560" t="s">
        <v>15</v>
      </c>
      <c r="COM1" s="560"/>
      <c r="CON1" s="560"/>
      <c r="COO1" s="560"/>
      <c r="COP1" s="560"/>
      <c r="COQ1" s="560"/>
      <c r="COR1" s="560"/>
      <c r="COS1" s="560"/>
      <c r="COT1" s="560" t="s">
        <v>15</v>
      </c>
      <c r="COU1" s="560"/>
      <c r="COV1" s="560"/>
      <c r="COW1" s="560"/>
      <c r="COX1" s="560"/>
      <c r="COY1" s="560"/>
      <c r="COZ1" s="560"/>
      <c r="CPA1" s="560"/>
      <c r="CPB1" s="560" t="s">
        <v>15</v>
      </c>
      <c r="CPC1" s="560"/>
      <c r="CPD1" s="560"/>
      <c r="CPE1" s="560"/>
      <c r="CPF1" s="560"/>
      <c r="CPG1" s="560"/>
      <c r="CPH1" s="560"/>
      <c r="CPI1" s="560"/>
      <c r="CPJ1" s="560" t="s">
        <v>15</v>
      </c>
      <c r="CPK1" s="560"/>
      <c r="CPL1" s="560"/>
      <c r="CPM1" s="560"/>
      <c r="CPN1" s="560"/>
      <c r="CPO1" s="560"/>
      <c r="CPP1" s="560"/>
      <c r="CPQ1" s="560"/>
      <c r="CPR1" s="560" t="s">
        <v>15</v>
      </c>
      <c r="CPS1" s="560"/>
      <c r="CPT1" s="560"/>
      <c r="CPU1" s="560"/>
      <c r="CPV1" s="560"/>
      <c r="CPW1" s="560"/>
      <c r="CPX1" s="560"/>
      <c r="CPY1" s="560"/>
      <c r="CPZ1" s="560" t="s">
        <v>15</v>
      </c>
      <c r="CQA1" s="560"/>
      <c r="CQB1" s="560"/>
      <c r="CQC1" s="560"/>
      <c r="CQD1" s="560"/>
      <c r="CQE1" s="560"/>
      <c r="CQF1" s="560"/>
      <c r="CQG1" s="560"/>
      <c r="CQH1" s="560" t="s">
        <v>15</v>
      </c>
      <c r="CQI1" s="560"/>
      <c r="CQJ1" s="560"/>
      <c r="CQK1" s="560"/>
      <c r="CQL1" s="560"/>
      <c r="CQM1" s="560"/>
      <c r="CQN1" s="560"/>
      <c r="CQO1" s="560"/>
      <c r="CQP1" s="560" t="s">
        <v>15</v>
      </c>
      <c r="CQQ1" s="560"/>
      <c r="CQR1" s="560"/>
      <c r="CQS1" s="560"/>
      <c r="CQT1" s="560"/>
      <c r="CQU1" s="560"/>
      <c r="CQV1" s="560"/>
      <c r="CQW1" s="560"/>
      <c r="CQX1" s="560" t="s">
        <v>15</v>
      </c>
      <c r="CQY1" s="560"/>
      <c r="CQZ1" s="560"/>
      <c r="CRA1" s="560"/>
      <c r="CRB1" s="560"/>
      <c r="CRC1" s="560"/>
      <c r="CRD1" s="560"/>
      <c r="CRE1" s="560"/>
      <c r="CRF1" s="560" t="s">
        <v>15</v>
      </c>
      <c r="CRG1" s="560"/>
      <c r="CRH1" s="560"/>
      <c r="CRI1" s="560"/>
      <c r="CRJ1" s="560"/>
      <c r="CRK1" s="560"/>
      <c r="CRL1" s="560"/>
      <c r="CRM1" s="560"/>
      <c r="CRN1" s="560" t="s">
        <v>15</v>
      </c>
      <c r="CRO1" s="560"/>
      <c r="CRP1" s="560"/>
      <c r="CRQ1" s="560"/>
      <c r="CRR1" s="560"/>
      <c r="CRS1" s="560"/>
      <c r="CRT1" s="560"/>
      <c r="CRU1" s="560"/>
      <c r="CRV1" s="560" t="s">
        <v>15</v>
      </c>
      <c r="CRW1" s="560"/>
      <c r="CRX1" s="560"/>
      <c r="CRY1" s="560"/>
      <c r="CRZ1" s="560"/>
      <c r="CSA1" s="560"/>
      <c r="CSB1" s="560"/>
      <c r="CSC1" s="560"/>
      <c r="CSD1" s="560" t="s">
        <v>15</v>
      </c>
      <c r="CSE1" s="560"/>
      <c r="CSF1" s="560"/>
      <c r="CSG1" s="560"/>
      <c r="CSH1" s="560"/>
      <c r="CSI1" s="560"/>
      <c r="CSJ1" s="560"/>
      <c r="CSK1" s="560"/>
      <c r="CSL1" s="560" t="s">
        <v>15</v>
      </c>
      <c r="CSM1" s="560"/>
      <c r="CSN1" s="560"/>
      <c r="CSO1" s="560"/>
      <c r="CSP1" s="560"/>
      <c r="CSQ1" s="560"/>
      <c r="CSR1" s="560"/>
      <c r="CSS1" s="560"/>
      <c r="CST1" s="560" t="s">
        <v>15</v>
      </c>
      <c r="CSU1" s="560"/>
      <c r="CSV1" s="560"/>
      <c r="CSW1" s="560"/>
      <c r="CSX1" s="560"/>
      <c r="CSY1" s="560"/>
      <c r="CSZ1" s="560"/>
      <c r="CTA1" s="560"/>
      <c r="CTB1" s="560" t="s">
        <v>15</v>
      </c>
      <c r="CTC1" s="560"/>
      <c r="CTD1" s="560"/>
      <c r="CTE1" s="560"/>
      <c r="CTF1" s="560"/>
      <c r="CTG1" s="560"/>
      <c r="CTH1" s="560"/>
      <c r="CTI1" s="560"/>
      <c r="CTJ1" s="560" t="s">
        <v>15</v>
      </c>
      <c r="CTK1" s="560"/>
      <c r="CTL1" s="560"/>
      <c r="CTM1" s="560"/>
      <c r="CTN1" s="560"/>
      <c r="CTO1" s="560"/>
      <c r="CTP1" s="560"/>
      <c r="CTQ1" s="560"/>
      <c r="CTR1" s="560" t="s">
        <v>15</v>
      </c>
      <c r="CTS1" s="560"/>
      <c r="CTT1" s="560"/>
      <c r="CTU1" s="560"/>
      <c r="CTV1" s="560"/>
      <c r="CTW1" s="560"/>
      <c r="CTX1" s="560"/>
      <c r="CTY1" s="560"/>
      <c r="CTZ1" s="560" t="s">
        <v>15</v>
      </c>
      <c r="CUA1" s="560"/>
      <c r="CUB1" s="560"/>
      <c r="CUC1" s="560"/>
      <c r="CUD1" s="560"/>
      <c r="CUE1" s="560"/>
      <c r="CUF1" s="560"/>
      <c r="CUG1" s="560"/>
      <c r="CUH1" s="560" t="s">
        <v>15</v>
      </c>
      <c r="CUI1" s="560"/>
      <c r="CUJ1" s="560"/>
      <c r="CUK1" s="560"/>
      <c r="CUL1" s="560"/>
      <c r="CUM1" s="560"/>
      <c r="CUN1" s="560"/>
      <c r="CUO1" s="560"/>
      <c r="CUP1" s="560" t="s">
        <v>15</v>
      </c>
      <c r="CUQ1" s="560"/>
      <c r="CUR1" s="560"/>
      <c r="CUS1" s="560"/>
      <c r="CUT1" s="560"/>
      <c r="CUU1" s="560"/>
      <c r="CUV1" s="560"/>
      <c r="CUW1" s="560"/>
      <c r="CUX1" s="560" t="s">
        <v>15</v>
      </c>
      <c r="CUY1" s="560"/>
      <c r="CUZ1" s="560"/>
      <c r="CVA1" s="560"/>
      <c r="CVB1" s="560"/>
      <c r="CVC1" s="560"/>
      <c r="CVD1" s="560"/>
      <c r="CVE1" s="560"/>
      <c r="CVF1" s="560" t="s">
        <v>15</v>
      </c>
      <c r="CVG1" s="560"/>
      <c r="CVH1" s="560"/>
      <c r="CVI1" s="560"/>
      <c r="CVJ1" s="560"/>
      <c r="CVK1" s="560"/>
      <c r="CVL1" s="560"/>
      <c r="CVM1" s="560"/>
      <c r="CVN1" s="560" t="s">
        <v>15</v>
      </c>
      <c r="CVO1" s="560"/>
      <c r="CVP1" s="560"/>
      <c r="CVQ1" s="560"/>
      <c r="CVR1" s="560"/>
      <c r="CVS1" s="560"/>
      <c r="CVT1" s="560"/>
      <c r="CVU1" s="560"/>
      <c r="CVV1" s="560" t="s">
        <v>15</v>
      </c>
      <c r="CVW1" s="560"/>
      <c r="CVX1" s="560"/>
      <c r="CVY1" s="560"/>
      <c r="CVZ1" s="560"/>
      <c r="CWA1" s="560"/>
      <c r="CWB1" s="560"/>
      <c r="CWC1" s="560"/>
      <c r="CWD1" s="560" t="s">
        <v>15</v>
      </c>
      <c r="CWE1" s="560"/>
      <c r="CWF1" s="560"/>
      <c r="CWG1" s="560"/>
      <c r="CWH1" s="560"/>
      <c r="CWI1" s="560"/>
      <c r="CWJ1" s="560"/>
      <c r="CWK1" s="560"/>
      <c r="CWL1" s="560" t="s">
        <v>15</v>
      </c>
      <c r="CWM1" s="560"/>
      <c r="CWN1" s="560"/>
      <c r="CWO1" s="560"/>
      <c r="CWP1" s="560"/>
      <c r="CWQ1" s="560"/>
      <c r="CWR1" s="560"/>
      <c r="CWS1" s="560"/>
      <c r="CWT1" s="560" t="s">
        <v>15</v>
      </c>
      <c r="CWU1" s="560"/>
      <c r="CWV1" s="560"/>
      <c r="CWW1" s="560"/>
      <c r="CWX1" s="560"/>
      <c r="CWY1" s="560"/>
      <c r="CWZ1" s="560"/>
      <c r="CXA1" s="560"/>
      <c r="CXB1" s="560" t="s">
        <v>15</v>
      </c>
      <c r="CXC1" s="560"/>
      <c r="CXD1" s="560"/>
      <c r="CXE1" s="560"/>
      <c r="CXF1" s="560"/>
      <c r="CXG1" s="560"/>
      <c r="CXH1" s="560"/>
      <c r="CXI1" s="560"/>
      <c r="CXJ1" s="560" t="s">
        <v>15</v>
      </c>
      <c r="CXK1" s="560"/>
      <c r="CXL1" s="560"/>
      <c r="CXM1" s="560"/>
      <c r="CXN1" s="560"/>
      <c r="CXO1" s="560"/>
      <c r="CXP1" s="560"/>
      <c r="CXQ1" s="560"/>
      <c r="CXR1" s="560" t="s">
        <v>15</v>
      </c>
      <c r="CXS1" s="560"/>
      <c r="CXT1" s="560"/>
      <c r="CXU1" s="560"/>
      <c r="CXV1" s="560"/>
      <c r="CXW1" s="560"/>
      <c r="CXX1" s="560"/>
      <c r="CXY1" s="560"/>
      <c r="CXZ1" s="560" t="s">
        <v>15</v>
      </c>
      <c r="CYA1" s="560"/>
      <c r="CYB1" s="560"/>
      <c r="CYC1" s="560"/>
      <c r="CYD1" s="560"/>
      <c r="CYE1" s="560"/>
      <c r="CYF1" s="560"/>
      <c r="CYG1" s="560"/>
      <c r="CYH1" s="560" t="s">
        <v>15</v>
      </c>
      <c r="CYI1" s="560"/>
      <c r="CYJ1" s="560"/>
      <c r="CYK1" s="560"/>
      <c r="CYL1" s="560"/>
      <c r="CYM1" s="560"/>
      <c r="CYN1" s="560"/>
      <c r="CYO1" s="560"/>
      <c r="CYP1" s="560" t="s">
        <v>15</v>
      </c>
      <c r="CYQ1" s="560"/>
      <c r="CYR1" s="560"/>
      <c r="CYS1" s="560"/>
      <c r="CYT1" s="560"/>
      <c r="CYU1" s="560"/>
      <c r="CYV1" s="560"/>
      <c r="CYW1" s="560"/>
      <c r="CYX1" s="560" t="s">
        <v>15</v>
      </c>
      <c r="CYY1" s="560"/>
      <c r="CYZ1" s="560"/>
      <c r="CZA1" s="560"/>
      <c r="CZB1" s="560"/>
      <c r="CZC1" s="560"/>
      <c r="CZD1" s="560"/>
      <c r="CZE1" s="560"/>
      <c r="CZF1" s="560" t="s">
        <v>15</v>
      </c>
      <c r="CZG1" s="560"/>
      <c r="CZH1" s="560"/>
      <c r="CZI1" s="560"/>
      <c r="CZJ1" s="560"/>
      <c r="CZK1" s="560"/>
      <c r="CZL1" s="560"/>
      <c r="CZM1" s="560"/>
      <c r="CZN1" s="560" t="s">
        <v>15</v>
      </c>
      <c r="CZO1" s="560"/>
      <c r="CZP1" s="560"/>
      <c r="CZQ1" s="560"/>
      <c r="CZR1" s="560"/>
      <c r="CZS1" s="560"/>
      <c r="CZT1" s="560"/>
      <c r="CZU1" s="560"/>
      <c r="CZV1" s="560" t="s">
        <v>15</v>
      </c>
      <c r="CZW1" s="560"/>
      <c r="CZX1" s="560"/>
      <c r="CZY1" s="560"/>
      <c r="CZZ1" s="560"/>
      <c r="DAA1" s="560"/>
      <c r="DAB1" s="560"/>
      <c r="DAC1" s="560"/>
      <c r="DAD1" s="560" t="s">
        <v>15</v>
      </c>
      <c r="DAE1" s="560"/>
      <c r="DAF1" s="560"/>
      <c r="DAG1" s="560"/>
      <c r="DAH1" s="560"/>
      <c r="DAI1" s="560"/>
      <c r="DAJ1" s="560"/>
      <c r="DAK1" s="560"/>
      <c r="DAL1" s="560" t="s">
        <v>15</v>
      </c>
      <c r="DAM1" s="560"/>
      <c r="DAN1" s="560"/>
      <c r="DAO1" s="560"/>
      <c r="DAP1" s="560"/>
      <c r="DAQ1" s="560"/>
      <c r="DAR1" s="560"/>
      <c r="DAS1" s="560"/>
      <c r="DAT1" s="560" t="s">
        <v>15</v>
      </c>
      <c r="DAU1" s="560"/>
      <c r="DAV1" s="560"/>
      <c r="DAW1" s="560"/>
      <c r="DAX1" s="560"/>
      <c r="DAY1" s="560"/>
      <c r="DAZ1" s="560"/>
      <c r="DBA1" s="560"/>
      <c r="DBB1" s="560" t="s">
        <v>15</v>
      </c>
      <c r="DBC1" s="560"/>
      <c r="DBD1" s="560"/>
      <c r="DBE1" s="560"/>
      <c r="DBF1" s="560"/>
      <c r="DBG1" s="560"/>
      <c r="DBH1" s="560"/>
      <c r="DBI1" s="560"/>
      <c r="DBJ1" s="560" t="s">
        <v>15</v>
      </c>
      <c r="DBK1" s="560"/>
      <c r="DBL1" s="560"/>
      <c r="DBM1" s="560"/>
      <c r="DBN1" s="560"/>
      <c r="DBO1" s="560"/>
      <c r="DBP1" s="560"/>
      <c r="DBQ1" s="560"/>
      <c r="DBR1" s="560" t="s">
        <v>15</v>
      </c>
      <c r="DBS1" s="560"/>
      <c r="DBT1" s="560"/>
      <c r="DBU1" s="560"/>
      <c r="DBV1" s="560"/>
      <c r="DBW1" s="560"/>
      <c r="DBX1" s="560"/>
      <c r="DBY1" s="560"/>
      <c r="DBZ1" s="560" t="s">
        <v>15</v>
      </c>
      <c r="DCA1" s="560"/>
      <c r="DCB1" s="560"/>
      <c r="DCC1" s="560"/>
      <c r="DCD1" s="560"/>
      <c r="DCE1" s="560"/>
      <c r="DCF1" s="560"/>
      <c r="DCG1" s="560"/>
      <c r="DCH1" s="560" t="s">
        <v>15</v>
      </c>
      <c r="DCI1" s="560"/>
      <c r="DCJ1" s="560"/>
      <c r="DCK1" s="560"/>
      <c r="DCL1" s="560"/>
      <c r="DCM1" s="560"/>
      <c r="DCN1" s="560"/>
      <c r="DCO1" s="560"/>
      <c r="DCP1" s="560" t="s">
        <v>15</v>
      </c>
      <c r="DCQ1" s="560"/>
      <c r="DCR1" s="560"/>
      <c r="DCS1" s="560"/>
      <c r="DCT1" s="560"/>
      <c r="DCU1" s="560"/>
      <c r="DCV1" s="560"/>
      <c r="DCW1" s="560"/>
      <c r="DCX1" s="560" t="s">
        <v>15</v>
      </c>
      <c r="DCY1" s="560"/>
      <c r="DCZ1" s="560"/>
      <c r="DDA1" s="560"/>
      <c r="DDB1" s="560"/>
      <c r="DDC1" s="560"/>
      <c r="DDD1" s="560"/>
      <c r="DDE1" s="560"/>
      <c r="DDF1" s="560" t="s">
        <v>15</v>
      </c>
      <c r="DDG1" s="560"/>
      <c r="DDH1" s="560"/>
      <c r="DDI1" s="560"/>
      <c r="DDJ1" s="560"/>
      <c r="DDK1" s="560"/>
      <c r="DDL1" s="560"/>
      <c r="DDM1" s="560"/>
      <c r="DDN1" s="560" t="s">
        <v>15</v>
      </c>
      <c r="DDO1" s="560"/>
      <c r="DDP1" s="560"/>
      <c r="DDQ1" s="560"/>
      <c r="DDR1" s="560"/>
      <c r="DDS1" s="560"/>
      <c r="DDT1" s="560"/>
      <c r="DDU1" s="560"/>
      <c r="DDV1" s="560" t="s">
        <v>15</v>
      </c>
      <c r="DDW1" s="560"/>
      <c r="DDX1" s="560"/>
      <c r="DDY1" s="560"/>
      <c r="DDZ1" s="560"/>
      <c r="DEA1" s="560"/>
      <c r="DEB1" s="560"/>
      <c r="DEC1" s="560"/>
      <c r="DED1" s="560" t="s">
        <v>15</v>
      </c>
      <c r="DEE1" s="560"/>
      <c r="DEF1" s="560"/>
      <c r="DEG1" s="560"/>
      <c r="DEH1" s="560"/>
      <c r="DEI1" s="560"/>
      <c r="DEJ1" s="560"/>
      <c r="DEK1" s="560"/>
      <c r="DEL1" s="560" t="s">
        <v>15</v>
      </c>
      <c r="DEM1" s="560"/>
      <c r="DEN1" s="560"/>
      <c r="DEO1" s="560"/>
      <c r="DEP1" s="560"/>
      <c r="DEQ1" s="560"/>
      <c r="DER1" s="560"/>
      <c r="DES1" s="560"/>
      <c r="DET1" s="560" t="s">
        <v>15</v>
      </c>
      <c r="DEU1" s="560"/>
      <c r="DEV1" s="560"/>
      <c r="DEW1" s="560"/>
      <c r="DEX1" s="560"/>
      <c r="DEY1" s="560"/>
      <c r="DEZ1" s="560"/>
      <c r="DFA1" s="560"/>
      <c r="DFB1" s="560" t="s">
        <v>15</v>
      </c>
      <c r="DFC1" s="560"/>
      <c r="DFD1" s="560"/>
      <c r="DFE1" s="560"/>
      <c r="DFF1" s="560"/>
      <c r="DFG1" s="560"/>
      <c r="DFH1" s="560"/>
      <c r="DFI1" s="560"/>
      <c r="DFJ1" s="560" t="s">
        <v>15</v>
      </c>
      <c r="DFK1" s="560"/>
      <c r="DFL1" s="560"/>
      <c r="DFM1" s="560"/>
      <c r="DFN1" s="560"/>
      <c r="DFO1" s="560"/>
      <c r="DFP1" s="560"/>
      <c r="DFQ1" s="560"/>
      <c r="DFR1" s="560" t="s">
        <v>15</v>
      </c>
      <c r="DFS1" s="560"/>
      <c r="DFT1" s="560"/>
      <c r="DFU1" s="560"/>
      <c r="DFV1" s="560"/>
      <c r="DFW1" s="560"/>
      <c r="DFX1" s="560"/>
      <c r="DFY1" s="560"/>
      <c r="DFZ1" s="560" t="s">
        <v>15</v>
      </c>
      <c r="DGA1" s="560"/>
      <c r="DGB1" s="560"/>
      <c r="DGC1" s="560"/>
      <c r="DGD1" s="560"/>
      <c r="DGE1" s="560"/>
      <c r="DGF1" s="560"/>
      <c r="DGG1" s="560"/>
      <c r="DGH1" s="560" t="s">
        <v>15</v>
      </c>
      <c r="DGI1" s="560"/>
      <c r="DGJ1" s="560"/>
      <c r="DGK1" s="560"/>
      <c r="DGL1" s="560"/>
      <c r="DGM1" s="560"/>
      <c r="DGN1" s="560"/>
      <c r="DGO1" s="560"/>
      <c r="DGP1" s="560" t="s">
        <v>15</v>
      </c>
      <c r="DGQ1" s="560"/>
      <c r="DGR1" s="560"/>
      <c r="DGS1" s="560"/>
      <c r="DGT1" s="560"/>
      <c r="DGU1" s="560"/>
      <c r="DGV1" s="560"/>
      <c r="DGW1" s="560"/>
      <c r="DGX1" s="560" t="s">
        <v>15</v>
      </c>
      <c r="DGY1" s="560"/>
      <c r="DGZ1" s="560"/>
      <c r="DHA1" s="560"/>
      <c r="DHB1" s="560"/>
      <c r="DHC1" s="560"/>
      <c r="DHD1" s="560"/>
      <c r="DHE1" s="560"/>
      <c r="DHF1" s="560" t="s">
        <v>15</v>
      </c>
      <c r="DHG1" s="560"/>
      <c r="DHH1" s="560"/>
      <c r="DHI1" s="560"/>
      <c r="DHJ1" s="560"/>
      <c r="DHK1" s="560"/>
      <c r="DHL1" s="560"/>
      <c r="DHM1" s="560"/>
      <c r="DHN1" s="560" t="s">
        <v>15</v>
      </c>
      <c r="DHO1" s="560"/>
      <c r="DHP1" s="560"/>
      <c r="DHQ1" s="560"/>
      <c r="DHR1" s="560"/>
      <c r="DHS1" s="560"/>
      <c r="DHT1" s="560"/>
      <c r="DHU1" s="560"/>
      <c r="DHV1" s="560" t="s">
        <v>15</v>
      </c>
      <c r="DHW1" s="560"/>
      <c r="DHX1" s="560"/>
      <c r="DHY1" s="560"/>
      <c r="DHZ1" s="560"/>
      <c r="DIA1" s="560"/>
      <c r="DIB1" s="560"/>
      <c r="DIC1" s="560"/>
      <c r="DID1" s="560" t="s">
        <v>15</v>
      </c>
      <c r="DIE1" s="560"/>
      <c r="DIF1" s="560"/>
      <c r="DIG1" s="560"/>
      <c r="DIH1" s="560"/>
      <c r="DII1" s="560"/>
      <c r="DIJ1" s="560"/>
      <c r="DIK1" s="560"/>
      <c r="DIL1" s="560" t="s">
        <v>15</v>
      </c>
      <c r="DIM1" s="560"/>
      <c r="DIN1" s="560"/>
      <c r="DIO1" s="560"/>
      <c r="DIP1" s="560"/>
      <c r="DIQ1" s="560"/>
      <c r="DIR1" s="560"/>
      <c r="DIS1" s="560"/>
      <c r="DIT1" s="560" t="s">
        <v>15</v>
      </c>
      <c r="DIU1" s="560"/>
      <c r="DIV1" s="560"/>
      <c r="DIW1" s="560"/>
      <c r="DIX1" s="560"/>
      <c r="DIY1" s="560"/>
      <c r="DIZ1" s="560"/>
      <c r="DJA1" s="560"/>
      <c r="DJB1" s="560" t="s">
        <v>15</v>
      </c>
      <c r="DJC1" s="560"/>
      <c r="DJD1" s="560"/>
      <c r="DJE1" s="560"/>
      <c r="DJF1" s="560"/>
      <c r="DJG1" s="560"/>
      <c r="DJH1" s="560"/>
      <c r="DJI1" s="560"/>
      <c r="DJJ1" s="560" t="s">
        <v>15</v>
      </c>
      <c r="DJK1" s="560"/>
      <c r="DJL1" s="560"/>
      <c r="DJM1" s="560"/>
      <c r="DJN1" s="560"/>
      <c r="DJO1" s="560"/>
      <c r="DJP1" s="560"/>
      <c r="DJQ1" s="560"/>
      <c r="DJR1" s="560" t="s">
        <v>15</v>
      </c>
      <c r="DJS1" s="560"/>
      <c r="DJT1" s="560"/>
      <c r="DJU1" s="560"/>
      <c r="DJV1" s="560"/>
      <c r="DJW1" s="560"/>
      <c r="DJX1" s="560"/>
      <c r="DJY1" s="560"/>
      <c r="DJZ1" s="560" t="s">
        <v>15</v>
      </c>
      <c r="DKA1" s="560"/>
      <c r="DKB1" s="560"/>
      <c r="DKC1" s="560"/>
      <c r="DKD1" s="560"/>
      <c r="DKE1" s="560"/>
      <c r="DKF1" s="560"/>
      <c r="DKG1" s="560"/>
      <c r="DKH1" s="560" t="s">
        <v>15</v>
      </c>
      <c r="DKI1" s="560"/>
      <c r="DKJ1" s="560"/>
      <c r="DKK1" s="560"/>
      <c r="DKL1" s="560"/>
      <c r="DKM1" s="560"/>
      <c r="DKN1" s="560"/>
      <c r="DKO1" s="560"/>
      <c r="DKP1" s="560" t="s">
        <v>15</v>
      </c>
      <c r="DKQ1" s="560"/>
      <c r="DKR1" s="560"/>
      <c r="DKS1" s="560"/>
      <c r="DKT1" s="560"/>
      <c r="DKU1" s="560"/>
      <c r="DKV1" s="560"/>
      <c r="DKW1" s="560"/>
      <c r="DKX1" s="560" t="s">
        <v>15</v>
      </c>
      <c r="DKY1" s="560"/>
      <c r="DKZ1" s="560"/>
      <c r="DLA1" s="560"/>
      <c r="DLB1" s="560"/>
      <c r="DLC1" s="560"/>
      <c r="DLD1" s="560"/>
      <c r="DLE1" s="560"/>
      <c r="DLF1" s="560" t="s">
        <v>15</v>
      </c>
      <c r="DLG1" s="560"/>
      <c r="DLH1" s="560"/>
      <c r="DLI1" s="560"/>
      <c r="DLJ1" s="560"/>
      <c r="DLK1" s="560"/>
      <c r="DLL1" s="560"/>
      <c r="DLM1" s="560"/>
      <c r="DLN1" s="560" t="s">
        <v>15</v>
      </c>
      <c r="DLO1" s="560"/>
      <c r="DLP1" s="560"/>
      <c r="DLQ1" s="560"/>
      <c r="DLR1" s="560"/>
      <c r="DLS1" s="560"/>
      <c r="DLT1" s="560"/>
      <c r="DLU1" s="560"/>
      <c r="DLV1" s="560" t="s">
        <v>15</v>
      </c>
      <c r="DLW1" s="560"/>
      <c r="DLX1" s="560"/>
      <c r="DLY1" s="560"/>
      <c r="DLZ1" s="560"/>
      <c r="DMA1" s="560"/>
      <c r="DMB1" s="560"/>
      <c r="DMC1" s="560"/>
      <c r="DMD1" s="560" t="s">
        <v>15</v>
      </c>
      <c r="DME1" s="560"/>
      <c r="DMF1" s="560"/>
      <c r="DMG1" s="560"/>
      <c r="DMH1" s="560"/>
      <c r="DMI1" s="560"/>
      <c r="DMJ1" s="560"/>
      <c r="DMK1" s="560"/>
      <c r="DML1" s="560" t="s">
        <v>15</v>
      </c>
      <c r="DMM1" s="560"/>
      <c r="DMN1" s="560"/>
      <c r="DMO1" s="560"/>
      <c r="DMP1" s="560"/>
      <c r="DMQ1" s="560"/>
      <c r="DMR1" s="560"/>
      <c r="DMS1" s="560"/>
      <c r="DMT1" s="560" t="s">
        <v>15</v>
      </c>
      <c r="DMU1" s="560"/>
      <c r="DMV1" s="560"/>
      <c r="DMW1" s="560"/>
      <c r="DMX1" s="560"/>
      <c r="DMY1" s="560"/>
      <c r="DMZ1" s="560"/>
      <c r="DNA1" s="560"/>
      <c r="DNB1" s="560" t="s">
        <v>15</v>
      </c>
      <c r="DNC1" s="560"/>
      <c r="DND1" s="560"/>
      <c r="DNE1" s="560"/>
      <c r="DNF1" s="560"/>
      <c r="DNG1" s="560"/>
      <c r="DNH1" s="560"/>
      <c r="DNI1" s="560"/>
      <c r="DNJ1" s="560" t="s">
        <v>15</v>
      </c>
      <c r="DNK1" s="560"/>
      <c r="DNL1" s="560"/>
      <c r="DNM1" s="560"/>
      <c r="DNN1" s="560"/>
      <c r="DNO1" s="560"/>
      <c r="DNP1" s="560"/>
      <c r="DNQ1" s="560"/>
      <c r="DNR1" s="560" t="s">
        <v>15</v>
      </c>
      <c r="DNS1" s="560"/>
      <c r="DNT1" s="560"/>
      <c r="DNU1" s="560"/>
      <c r="DNV1" s="560"/>
      <c r="DNW1" s="560"/>
      <c r="DNX1" s="560"/>
      <c r="DNY1" s="560"/>
      <c r="DNZ1" s="560" t="s">
        <v>15</v>
      </c>
      <c r="DOA1" s="560"/>
      <c r="DOB1" s="560"/>
      <c r="DOC1" s="560"/>
      <c r="DOD1" s="560"/>
      <c r="DOE1" s="560"/>
      <c r="DOF1" s="560"/>
      <c r="DOG1" s="560"/>
      <c r="DOH1" s="560" t="s">
        <v>15</v>
      </c>
      <c r="DOI1" s="560"/>
      <c r="DOJ1" s="560"/>
      <c r="DOK1" s="560"/>
      <c r="DOL1" s="560"/>
      <c r="DOM1" s="560"/>
      <c r="DON1" s="560"/>
      <c r="DOO1" s="560"/>
      <c r="DOP1" s="560" t="s">
        <v>15</v>
      </c>
      <c r="DOQ1" s="560"/>
      <c r="DOR1" s="560"/>
      <c r="DOS1" s="560"/>
      <c r="DOT1" s="560"/>
      <c r="DOU1" s="560"/>
      <c r="DOV1" s="560"/>
      <c r="DOW1" s="560"/>
      <c r="DOX1" s="560" t="s">
        <v>15</v>
      </c>
      <c r="DOY1" s="560"/>
      <c r="DOZ1" s="560"/>
      <c r="DPA1" s="560"/>
      <c r="DPB1" s="560"/>
      <c r="DPC1" s="560"/>
      <c r="DPD1" s="560"/>
      <c r="DPE1" s="560"/>
      <c r="DPF1" s="560" t="s">
        <v>15</v>
      </c>
      <c r="DPG1" s="560"/>
      <c r="DPH1" s="560"/>
      <c r="DPI1" s="560"/>
      <c r="DPJ1" s="560"/>
      <c r="DPK1" s="560"/>
      <c r="DPL1" s="560"/>
      <c r="DPM1" s="560"/>
      <c r="DPN1" s="560" t="s">
        <v>15</v>
      </c>
      <c r="DPO1" s="560"/>
      <c r="DPP1" s="560"/>
      <c r="DPQ1" s="560"/>
      <c r="DPR1" s="560"/>
      <c r="DPS1" s="560"/>
      <c r="DPT1" s="560"/>
      <c r="DPU1" s="560"/>
      <c r="DPV1" s="560" t="s">
        <v>15</v>
      </c>
      <c r="DPW1" s="560"/>
      <c r="DPX1" s="560"/>
      <c r="DPY1" s="560"/>
      <c r="DPZ1" s="560"/>
      <c r="DQA1" s="560"/>
      <c r="DQB1" s="560"/>
      <c r="DQC1" s="560"/>
      <c r="DQD1" s="560" t="s">
        <v>15</v>
      </c>
      <c r="DQE1" s="560"/>
      <c r="DQF1" s="560"/>
      <c r="DQG1" s="560"/>
      <c r="DQH1" s="560"/>
      <c r="DQI1" s="560"/>
      <c r="DQJ1" s="560"/>
      <c r="DQK1" s="560"/>
      <c r="DQL1" s="560" t="s">
        <v>15</v>
      </c>
      <c r="DQM1" s="560"/>
      <c r="DQN1" s="560"/>
      <c r="DQO1" s="560"/>
      <c r="DQP1" s="560"/>
      <c r="DQQ1" s="560"/>
      <c r="DQR1" s="560"/>
      <c r="DQS1" s="560"/>
      <c r="DQT1" s="560" t="s">
        <v>15</v>
      </c>
      <c r="DQU1" s="560"/>
      <c r="DQV1" s="560"/>
      <c r="DQW1" s="560"/>
      <c r="DQX1" s="560"/>
      <c r="DQY1" s="560"/>
      <c r="DQZ1" s="560"/>
      <c r="DRA1" s="560"/>
      <c r="DRB1" s="560" t="s">
        <v>15</v>
      </c>
      <c r="DRC1" s="560"/>
      <c r="DRD1" s="560"/>
      <c r="DRE1" s="560"/>
      <c r="DRF1" s="560"/>
      <c r="DRG1" s="560"/>
      <c r="DRH1" s="560"/>
      <c r="DRI1" s="560"/>
      <c r="DRJ1" s="560" t="s">
        <v>15</v>
      </c>
      <c r="DRK1" s="560"/>
      <c r="DRL1" s="560"/>
      <c r="DRM1" s="560"/>
      <c r="DRN1" s="560"/>
      <c r="DRO1" s="560"/>
      <c r="DRP1" s="560"/>
      <c r="DRQ1" s="560"/>
      <c r="DRR1" s="560" t="s">
        <v>15</v>
      </c>
      <c r="DRS1" s="560"/>
      <c r="DRT1" s="560"/>
      <c r="DRU1" s="560"/>
      <c r="DRV1" s="560"/>
      <c r="DRW1" s="560"/>
      <c r="DRX1" s="560"/>
      <c r="DRY1" s="560"/>
      <c r="DRZ1" s="560" t="s">
        <v>15</v>
      </c>
      <c r="DSA1" s="560"/>
      <c r="DSB1" s="560"/>
      <c r="DSC1" s="560"/>
      <c r="DSD1" s="560"/>
      <c r="DSE1" s="560"/>
      <c r="DSF1" s="560"/>
      <c r="DSG1" s="560"/>
      <c r="DSH1" s="560" t="s">
        <v>15</v>
      </c>
      <c r="DSI1" s="560"/>
      <c r="DSJ1" s="560"/>
      <c r="DSK1" s="560"/>
      <c r="DSL1" s="560"/>
      <c r="DSM1" s="560"/>
      <c r="DSN1" s="560"/>
      <c r="DSO1" s="560"/>
      <c r="DSP1" s="560" t="s">
        <v>15</v>
      </c>
      <c r="DSQ1" s="560"/>
      <c r="DSR1" s="560"/>
      <c r="DSS1" s="560"/>
      <c r="DST1" s="560"/>
      <c r="DSU1" s="560"/>
      <c r="DSV1" s="560"/>
      <c r="DSW1" s="560"/>
      <c r="DSX1" s="560" t="s">
        <v>15</v>
      </c>
      <c r="DSY1" s="560"/>
      <c r="DSZ1" s="560"/>
      <c r="DTA1" s="560"/>
      <c r="DTB1" s="560"/>
      <c r="DTC1" s="560"/>
      <c r="DTD1" s="560"/>
      <c r="DTE1" s="560"/>
      <c r="DTF1" s="560" t="s">
        <v>15</v>
      </c>
      <c r="DTG1" s="560"/>
      <c r="DTH1" s="560"/>
      <c r="DTI1" s="560"/>
      <c r="DTJ1" s="560"/>
      <c r="DTK1" s="560"/>
      <c r="DTL1" s="560"/>
      <c r="DTM1" s="560"/>
      <c r="DTN1" s="560" t="s">
        <v>15</v>
      </c>
      <c r="DTO1" s="560"/>
      <c r="DTP1" s="560"/>
      <c r="DTQ1" s="560"/>
      <c r="DTR1" s="560"/>
      <c r="DTS1" s="560"/>
      <c r="DTT1" s="560"/>
      <c r="DTU1" s="560"/>
      <c r="DTV1" s="560" t="s">
        <v>15</v>
      </c>
      <c r="DTW1" s="560"/>
      <c r="DTX1" s="560"/>
      <c r="DTY1" s="560"/>
      <c r="DTZ1" s="560"/>
      <c r="DUA1" s="560"/>
      <c r="DUB1" s="560"/>
      <c r="DUC1" s="560"/>
      <c r="DUD1" s="560" t="s">
        <v>15</v>
      </c>
      <c r="DUE1" s="560"/>
      <c r="DUF1" s="560"/>
      <c r="DUG1" s="560"/>
      <c r="DUH1" s="560"/>
      <c r="DUI1" s="560"/>
      <c r="DUJ1" s="560"/>
      <c r="DUK1" s="560"/>
      <c r="DUL1" s="560" t="s">
        <v>15</v>
      </c>
      <c r="DUM1" s="560"/>
      <c r="DUN1" s="560"/>
      <c r="DUO1" s="560"/>
      <c r="DUP1" s="560"/>
      <c r="DUQ1" s="560"/>
      <c r="DUR1" s="560"/>
      <c r="DUS1" s="560"/>
      <c r="DUT1" s="560" t="s">
        <v>15</v>
      </c>
      <c r="DUU1" s="560"/>
      <c r="DUV1" s="560"/>
      <c r="DUW1" s="560"/>
      <c r="DUX1" s="560"/>
      <c r="DUY1" s="560"/>
      <c r="DUZ1" s="560"/>
      <c r="DVA1" s="560"/>
      <c r="DVB1" s="560" t="s">
        <v>15</v>
      </c>
      <c r="DVC1" s="560"/>
      <c r="DVD1" s="560"/>
      <c r="DVE1" s="560"/>
      <c r="DVF1" s="560"/>
      <c r="DVG1" s="560"/>
      <c r="DVH1" s="560"/>
      <c r="DVI1" s="560"/>
      <c r="DVJ1" s="560" t="s">
        <v>15</v>
      </c>
      <c r="DVK1" s="560"/>
      <c r="DVL1" s="560"/>
      <c r="DVM1" s="560"/>
      <c r="DVN1" s="560"/>
      <c r="DVO1" s="560"/>
      <c r="DVP1" s="560"/>
      <c r="DVQ1" s="560"/>
      <c r="DVR1" s="560" t="s">
        <v>15</v>
      </c>
      <c r="DVS1" s="560"/>
      <c r="DVT1" s="560"/>
      <c r="DVU1" s="560"/>
      <c r="DVV1" s="560"/>
      <c r="DVW1" s="560"/>
      <c r="DVX1" s="560"/>
      <c r="DVY1" s="560"/>
      <c r="DVZ1" s="560" t="s">
        <v>15</v>
      </c>
      <c r="DWA1" s="560"/>
      <c r="DWB1" s="560"/>
      <c r="DWC1" s="560"/>
      <c r="DWD1" s="560"/>
      <c r="DWE1" s="560"/>
      <c r="DWF1" s="560"/>
      <c r="DWG1" s="560"/>
      <c r="DWH1" s="560" t="s">
        <v>15</v>
      </c>
      <c r="DWI1" s="560"/>
      <c r="DWJ1" s="560"/>
      <c r="DWK1" s="560"/>
      <c r="DWL1" s="560"/>
      <c r="DWM1" s="560"/>
      <c r="DWN1" s="560"/>
      <c r="DWO1" s="560"/>
      <c r="DWP1" s="560" t="s">
        <v>15</v>
      </c>
      <c r="DWQ1" s="560"/>
      <c r="DWR1" s="560"/>
      <c r="DWS1" s="560"/>
      <c r="DWT1" s="560"/>
      <c r="DWU1" s="560"/>
      <c r="DWV1" s="560"/>
      <c r="DWW1" s="560"/>
      <c r="DWX1" s="560" t="s">
        <v>15</v>
      </c>
      <c r="DWY1" s="560"/>
      <c r="DWZ1" s="560"/>
      <c r="DXA1" s="560"/>
      <c r="DXB1" s="560"/>
      <c r="DXC1" s="560"/>
      <c r="DXD1" s="560"/>
      <c r="DXE1" s="560"/>
      <c r="DXF1" s="560" t="s">
        <v>15</v>
      </c>
      <c r="DXG1" s="560"/>
      <c r="DXH1" s="560"/>
      <c r="DXI1" s="560"/>
      <c r="DXJ1" s="560"/>
      <c r="DXK1" s="560"/>
      <c r="DXL1" s="560"/>
      <c r="DXM1" s="560"/>
      <c r="DXN1" s="560" t="s">
        <v>15</v>
      </c>
      <c r="DXO1" s="560"/>
      <c r="DXP1" s="560"/>
      <c r="DXQ1" s="560"/>
      <c r="DXR1" s="560"/>
      <c r="DXS1" s="560"/>
      <c r="DXT1" s="560"/>
      <c r="DXU1" s="560"/>
      <c r="DXV1" s="560" t="s">
        <v>15</v>
      </c>
      <c r="DXW1" s="560"/>
      <c r="DXX1" s="560"/>
      <c r="DXY1" s="560"/>
      <c r="DXZ1" s="560"/>
      <c r="DYA1" s="560"/>
      <c r="DYB1" s="560"/>
      <c r="DYC1" s="560"/>
      <c r="DYD1" s="560" t="s">
        <v>15</v>
      </c>
      <c r="DYE1" s="560"/>
      <c r="DYF1" s="560"/>
      <c r="DYG1" s="560"/>
      <c r="DYH1" s="560"/>
      <c r="DYI1" s="560"/>
      <c r="DYJ1" s="560"/>
      <c r="DYK1" s="560"/>
      <c r="DYL1" s="560" t="s">
        <v>15</v>
      </c>
      <c r="DYM1" s="560"/>
      <c r="DYN1" s="560"/>
      <c r="DYO1" s="560"/>
      <c r="DYP1" s="560"/>
      <c r="DYQ1" s="560"/>
      <c r="DYR1" s="560"/>
      <c r="DYS1" s="560"/>
      <c r="DYT1" s="560" t="s">
        <v>15</v>
      </c>
      <c r="DYU1" s="560"/>
      <c r="DYV1" s="560"/>
      <c r="DYW1" s="560"/>
      <c r="DYX1" s="560"/>
      <c r="DYY1" s="560"/>
      <c r="DYZ1" s="560"/>
      <c r="DZA1" s="560"/>
      <c r="DZB1" s="560" t="s">
        <v>15</v>
      </c>
      <c r="DZC1" s="560"/>
      <c r="DZD1" s="560"/>
      <c r="DZE1" s="560"/>
      <c r="DZF1" s="560"/>
      <c r="DZG1" s="560"/>
      <c r="DZH1" s="560"/>
      <c r="DZI1" s="560"/>
      <c r="DZJ1" s="560" t="s">
        <v>15</v>
      </c>
      <c r="DZK1" s="560"/>
      <c r="DZL1" s="560"/>
      <c r="DZM1" s="560"/>
      <c r="DZN1" s="560"/>
      <c r="DZO1" s="560"/>
      <c r="DZP1" s="560"/>
      <c r="DZQ1" s="560"/>
      <c r="DZR1" s="560" t="s">
        <v>15</v>
      </c>
      <c r="DZS1" s="560"/>
      <c r="DZT1" s="560"/>
      <c r="DZU1" s="560"/>
      <c r="DZV1" s="560"/>
      <c r="DZW1" s="560"/>
      <c r="DZX1" s="560"/>
      <c r="DZY1" s="560"/>
      <c r="DZZ1" s="560" t="s">
        <v>15</v>
      </c>
      <c r="EAA1" s="560"/>
      <c r="EAB1" s="560"/>
      <c r="EAC1" s="560"/>
      <c r="EAD1" s="560"/>
      <c r="EAE1" s="560"/>
      <c r="EAF1" s="560"/>
      <c r="EAG1" s="560"/>
      <c r="EAH1" s="560" t="s">
        <v>15</v>
      </c>
      <c r="EAI1" s="560"/>
      <c r="EAJ1" s="560"/>
      <c r="EAK1" s="560"/>
      <c r="EAL1" s="560"/>
      <c r="EAM1" s="560"/>
      <c r="EAN1" s="560"/>
      <c r="EAO1" s="560"/>
      <c r="EAP1" s="560" t="s">
        <v>15</v>
      </c>
      <c r="EAQ1" s="560"/>
      <c r="EAR1" s="560"/>
      <c r="EAS1" s="560"/>
      <c r="EAT1" s="560"/>
      <c r="EAU1" s="560"/>
      <c r="EAV1" s="560"/>
      <c r="EAW1" s="560"/>
      <c r="EAX1" s="560" t="s">
        <v>15</v>
      </c>
      <c r="EAY1" s="560"/>
      <c r="EAZ1" s="560"/>
      <c r="EBA1" s="560"/>
      <c r="EBB1" s="560"/>
      <c r="EBC1" s="560"/>
      <c r="EBD1" s="560"/>
      <c r="EBE1" s="560"/>
      <c r="EBF1" s="560" t="s">
        <v>15</v>
      </c>
      <c r="EBG1" s="560"/>
      <c r="EBH1" s="560"/>
      <c r="EBI1" s="560"/>
      <c r="EBJ1" s="560"/>
      <c r="EBK1" s="560"/>
      <c r="EBL1" s="560"/>
      <c r="EBM1" s="560"/>
      <c r="EBN1" s="560" t="s">
        <v>15</v>
      </c>
      <c r="EBO1" s="560"/>
      <c r="EBP1" s="560"/>
      <c r="EBQ1" s="560"/>
      <c r="EBR1" s="560"/>
      <c r="EBS1" s="560"/>
      <c r="EBT1" s="560"/>
      <c r="EBU1" s="560"/>
      <c r="EBV1" s="560" t="s">
        <v>15</v>
      </c>
      <c r="EBW1" s="560"/>
      <c r="EBX1" s="560"/>
      <c r="EBY1" s="560"/>
      <c r="EBZ1" s="560"/>
      <c r="ECA1" s="560"/>
      <c r="ECB1" s="560"/>
      <c r="ECC1" s="560"/>
      <c r="ECD1" s="560" t="s">
        <v>15</v>
      </c>
      <c r="ECE1" s="560"/>
      <c r="ECF1" s="560"/>
      <c r="ECG1" s="560"/>
      <c r="ECH1" s="560"/>
      <c r="ECI1" s="560"/>
      <c r="ECJ1" s="560"/>
      <c r="ECK1" s="560"/>
      <c r="ECL1" s="560" t="s">
        <v>15</v>
      </c>
      <c r="ECM1" s="560"/>
      <c r="ECN1" s="560"/>
      <c r="ECO1" s="560"/>
      <c r="ECP1" s="560"/>
      <c r="ECQ1" s="560"/>
      <c r="ECR1" s="560"/>
      <c r="ECS1" s="560"/>
      <c r="ECT1" s="560" t="s">
        <v>15</v>
      </c>
      <c r="ECU1" s="560"/>
      <c r="ECV1" s="560"/>
      <c r="ECW1" s="560"/>
      <c r="ECX1" s="560"/>
      <c r="ECY1" s="560"/>
      <c r="ECZ1" s="560"/>
      <c r="EDA1" s="560"/>
      <c r="EDB1" s="560" t="s">
        <v>15</v>
      </c>
      <c r="EDC1" s="560"/>
      <c r="EDD1" s="560"/>
      <c r="EDE1" s="560"/>
      <c r="EDF1" s="560"/>
      <c r="EDG1" s="560"/>
      <c r="EDH1" s="560"/>
      <c r="EDI1" s="560"/>
      <c r="EDJ1" s="560" t="s">
        <v>15</v>
      </c>
      <c r="EDK1" s="560"/>
      <c r="EDL1" s="560"/>
      <c r="EDM1" s="560"/>
      <c r="EDN1" s="560"/>
      <c r="EDO1" s="560"/>
      <c r="EDP1" s="560"/>
      <c r="EDQ1" s="560"/>
      <c r="EDR1" s="560" t="s">
        <v>15</v>
      </c>
      <c r="EDS1" s="560"/>
      <c r="EDT1" s="560"/>
      <c r="EDU1" s="560"/>
      <c r="EDV1" s="560"/>
      <c r="EDW1" s="560"/>
      <c r="EDX1" s="560"/>
      <c r="EDY1" s="560"/>
      <c r="EDZ1" s="560" t="s">
        <v>15</v>
      </c>
      <c r="EEA1" s="560"/>
      <c r="EEB1" s="560"/>
      <c r="EEC1" s="560"/>
      <c r="EED1" s="560"/>
      <c r="EEE1" s="560"/>
      <c r="EEF1" s="560"/>
      <c r="EEG1" s="560"/>
      <c r="EEH1" s="560" t="s">
        <v>15</v>
      </c>
      <c r="EEI1" s="560"/>
      <c r="EEJ1" s="560"/>
      <c r="EEK1" s="560"/>
      <c r="EEL1" s="560"/>
      <c r="EEM1" s="560"/>
      <c r="EEN1" s="560"/>
      <c r="EEO1" s="560"/>
      <c r="EEP1" s="560" t="s">
        <v>15</v>
      </c>
      <c r="EEQ1" s="560"/>
      <c r="EER1" s="560"/>
      <c r="EES1" s="560"/>
      <c r="EET1" s="560"/>
      <c r="EEU1" s="560"/>
      <c r="EEV1" s="560"/>
      <c r="EEW1" s="560"/>
      <c r="EEX1" s="560" t="s">
        <v>15</v>
      </c>
      <c r="EEY1" s="560"/>
      <c r="EEZ1" s="560"/>
      <c r="EFA1" s="560"/>
      <c r="EFB1" s="560"/>
      <c r="EFC1" s="560"/>
      <c r="EFD1" s="560"/>
      <c r="EFE1" s="560"/>
      <c r="EFF1" s="560" t="s">
        <v>15</v>
      </c>
      <c r="EFG1" s="560"/>
      <c r="EFH1" s="560"/>
      <c r="EFI1" s="560"/>
      <c r="EFJ1" s="560"/>
      <c r="EFK1" s="560"/>
      <c r="EFL1" s="560"/>
      <c r="EFM1" s="560"/>
      <c r="EFN1" s="560" t="s">
        <v>15</v>
      </c>
      <c r="EFO1" s="560"/>
      <c r="EFP1" s="560"/>
      <c r="EFQ1" s="560"/>
      <c r="EFR1" s="560"/>
      <c r="EFS1" s="560"/>
      <c r="EFT1" s="560"/>
      <c r="EFU1" s="560"/>
      <c r="EFV1" s="560" t="s">
        <v>15</v>
      </c>
      <c r="EFW1" s="560"/>
      <c r="EFX1" s="560"/>
      <c r="EFY1" s="560"/>
      <c r="EFZ1" s="560"/>
      <c r="EGA1" s="560"/>
      <c r="EGB1" s="560"/>
      <c r="EGC1" s="560"/>
      <c r="EGD1" s="560" t="s">
        <v>15</v>
      </c>
      <c r="EGE1" s="560"/>
      <c r="EGF1" s="560"/>
      <c r="EGG1" s="560"/>
      <c r="EGH1" s="560"/>
      <c r="EGI1" s="560"/>
      <c r="EGJ1" s="560"/>
      <c r="EGK1" s="560"/>
      <c r="EGL1" s="560" t="s">
        <v>15</v>
      </c>
      <c r="EGM1" s="560"/>
      <c r="EGN1" s="560"/>
      <c r="EGO1" s="560"/>
      <c r="EGP1" s="560"/>
      <c r="EGQ1" s="560"/>
      <c r="EGR1" s="560"/>
      <c r="EGS1" s="560"/>
      <c r="EGT1" s="560" t="s">
        <v>15</v>
      </c>
      <c r="EGU1" s="560"/>
      <c r="EGV1" s="560"/>
      <c r="EGW1" s="560"/>
      <c r="EGX1" s="560"/>
      <c r="EGY1" s="560"/>
      <c r="EGZ1" s="560"/>
      <c r="EHA1" s="560"/>
      <c r="EHB1" s="560" t="s">
        <v>15</v>
      </c>
      <c r="EHC1" s="560"/>
      <c r="EHD1" s="560"/>
      <c r="EHE1" s="560"/>
      <c r="EHF1" s="560"/>
      <c r="EHG1" s="560"/>
      <c r="EHH1" s="560"/>
      <c r="EHI1" s="560"/>
      <c r="EHJ1" s="560" t="s">
        <v>15</v>
      </c>
      <c r="EHK1" s="560"/>
      <c r="EHL1" s="560"/>
      <c r="EHM1" s="560"/>
      <c r="EHN1" s="560"/>
      <c r="EHO1" s="560"/>
      <c r="EHP1" s="560"/>
      <c r="EHQ1" s="560"/>
      <c r="EHR1" s="560" t="s">
        <v>15</v>
      </c>
      <c r="EHS1" s="560"/>
      <c r="EHT1" s="560"/>
      <c r="EHU1" s="560"/>
      <c r="EHV1" s="560"/>
      <c r="EHW1" s="560"/>
      <c r="EHX1" s="560"/>
      <c r="EHY1" s="560"/>
      <c r="EHZ1" s="560" t="s">
        <v>15</v>
      </c>
      <c r="EIA1" s="560"/>
      <c r="EIB1" s="560"/>
      <c r="EIC1" s="560"/>
      <c r="EID1" s="560"/>
      <c r="EIE1" s="560"/>
      <c r="EIF1" s="560"/>
      <c r="EIG1" s="560"/>
      <c r="EIH1" s="560" t="s">
        <v>15</v>
      </c>
      <c r="EII1" s="560"/>
      <c r="EIJ1" s="560"/>
      <c r="EIK1" s="560"/>
      <c r="EIL1" s="560"/>
      <c r="EIM1" s="560"/>
      <c r="EIN1" s="560"/>
      <c r="EIO1" s="560"/>
      <c r="EIP1" s="560" t="s">
        <v>15</v>
      </c>
      <c r="EIQ1" s="560"/>
      <c r="EIR1" s="560"/>
      <c r="EIS1" s="560"/>
      <c r="EIT1" s="560"/>
      <c r="EIU1" s="560"/>
      <c r="EIV1" s="560"/>
      <c r="EIW1" s="560"/>
      <c r="EIX1" s="560" t="s">
        <v>15</v>
      </c>
      <c r="EIY1" s="560"/>
      <c r="EIZ1" s="560"/>
      <c r="EJA1" s="560"/>
      <c r="EJB1" s="560"/>
      <c r="EJC1" s="560"/>
      <c r="EJD1" s="560"/>
      <c r="EJE1" s="560"/>
      <c r="EJF1" s="560" t="s">
        <v>15</v>
      </c>
      <c r="EJG1" s="560"/>
      <c r="EJH1" s="560"/>
      <c r="EJI1" s="560"/>
      <c r="EJJ1" s="560"/>
      <c r="EJK1" s="560"/>
      <c r="EJL1" s="560"/>
      <c r="EJM1" s="560"/>
      <c r="EJN1" s="560" t="s">
        <v>15</v>
      </c>
      <c r="EJO1" s="560"/>
      <c r="EJP1" s="560"/>
      <c r="EJQ1" s="560"/>
      <c r="EJR1" s="560"/>
      <c r="EJS1" s="560"/>
      <c r="EJT1" s="560"/>
      <c r="EJU1" s="560"/>
      <c r="EJV1" s="560" t="s">
        <v>15</v>
      </c>
      <c r="EJW1" s="560"/>
      <c r="EJX1" s="560"/>
      <c r="EJY1" s="560"/>
      <c r="EJZ1" s="560"/>
      <c r="EKA1" s="560"/>
      <c r="EKB1" s="560"/>
      <c r="EKC1" s="560"/>
      <c r="EKD1" s="560" t="s">
        <v>15</v>
      </c>
      <c r="EKE1" s="560"/>
      <c r="EKF1" s="560"/>
      <c r="EKG1" s="560"/>
      <c r="EKH1" s="560"/>
      <c r="EKI1" s="560"/>
      <c r="EKJ1" s="560"/>
      <c r="EKK1" s="560"/>
      <c r="EKL1" s="560" t="s">
        <v>15</v>
      </c>
      <c r="EKM1" s="560"/>
      <c r="EKN1" s="560"/>
      <c r="EKO1" s="560"/>
      <c r="EKP1" s="560"/>
      <c r="EKQ1" s="560"/>
      <c r="EKR1" s="560"/>
      <c r="EKS1" s="560"/>
      <c r="EKT1" s="560" t="s">
        <v>15</v>
      </c>
      <c r="EKU1" s="560"/>
      <c r="EKV1" s="560"/>
      <c r="EKW1" s="560"/>
      <c r="EKX1" s="560"/>
      <c r="EKY1" s="560"/>
      <c r="EKZ1" s="560"/>
      <c r="ELA1" s="560"/>
      <c r="ELB1" s="560" t="s">
        <v>15</v>
      </c>
      <c r="ELC1" s="560"/>
      <c r="ELD1" s="560"/>
      <c r="ELE1" s="560"/>
      <c r="ELF1" s="560"/>
      <c r="ELG1" s="560"/>
      <c r="ELH1" s="560"/>
      <c r="ELI1" s="560"/>
      <c r="ELJ1" s="560" t="s">
        <v>15</v>
      </c>
      <c r="ELK1" s="560"/>
      <c r="ELL1" s="560"/>
      <c r="ELM1" s="560"/>
      <c r="ELN1" s="560"/>
      <c r="ELO1" s="560"/>
      <c r="ELP1" s="560"/>
      <c r="ELQ1" s="560"/>
      <c r="ELR1" s="560" t="s">
        <v>15</v>
      </c>
      <c r="ELS1" s="560"/>
      <c r="ELT1" s="560"/>
      <c r="ELU1" s="560"/>
      <c r="ELV1" s="560"/>
      <c r="ELW1" s="560"/>
      <c r="ELX1" s="560"/>
      <c r="ELY1" s="560"/>
      <c r="ELZ1" s="560" t="s">
        <v>15</v>
      </c>
      <c r="EMA1" s="560"/>
      <c r="EMB1" s="560"/>
      <c r="EMC1" s="560"/>
      <c r="EMD1" s="560"/>
      <c r="EME1" s="560"/>
      <c r="EMF1" s="560"/>
      <c r="EMG1" s="560"/>
      <c r="EMH1" s="560" t="s">
        <v>15</v>
      </c>
      <c r="EMI1" s="560"/>
      <c r="EMJ1" s="560"/>
      <c r="EMK1" s="560"/>
      <c r="EML1" s="560"/>
      <c r="EMM1" s="560"/>
      <c r="EMN1" s="560"/>
      <c r="EMO1" s="560"/>
      <c r="EMP1" s="560" t="s">
        <v>15</v>
      </c>
      <c r="EMQ1" s="560"/>
      <c r="EMR1" s="560"/>
      <c r="EMS1" s="560"/>
      <c r="EMT1" s="560"/>
      <c r="EMU1" s="560"/>
      <c r="EMV1" s="560"/>
      <c r="EMW1" s="560"/>
      <c r="EMX1" s="560" t="s">
        <v>15</v>
      </c>
      <c r="EMY1" s="560"/>
      <c r="EMZ1" s="560"/>
      <c r="ENA1" s="560"/>
      <c r="ENB1" s="560"/>
      <c r="ENC1" s="560"/>
      <c r="END1" s="560"/>
      <c r="ENE1" s="560"/>
      <c r="ENF1" s="560" t="s">
        <v>15</v>
      </c>
      <c r="ENG1" s="560"/>
      <c r="ENH1" s="560"/>
      <c r="ENI1" s="560"/>
      <c r="ENJ1" s="560"/>
      <c r="ENK1" s="560"/>
      <c r="ENL1" s="560"/>
      <c r="ENM1" s="560"/>
      <c r="ENN1" s="560" t="s">
        <v>15</v>
      </c>
      <c r="ENO1" s="560"/>
      <c r="ENP1" s="560"/>
      <c r="ENQ1" s="560"/>
      <c r="ENR1" s="560"/>
      <c r="ENS1" s="560"/>
      <c r="ENT1" s="560"/>
      <c r="ENU1" s="560"/>
      <c r="ENV1" s="560" t="s">
        <v>15</v>
      </c>
      <c r="ENW1" s="560"/>
      <c r="ENX1" s="560"/>
      <c r="ENY1" s="560"/>
      <c r="ENZ1" s="560"/>
      <c r="EOA1" s="560"/>
      <c r="EOB1" s="560"/>
      <c r="EOC1" s="560"/>
      <c r="EOD1" s="560" t="s">
        <v>15</v>
      </c>
      <c r="EOE1" s="560"/>
      <c r="EOF1" s="560"/>
      <c r="EOG1" s="560"/>
      <c r="EOH1" s="560"/>
      <c r="EOI1" s="560"/>
      <c r="EOJ1" s="560"/>
      <c r="EOK1" s="560"/>
      <c r="EOL1" s="560" t="s">
        <v>15</v>
      </c>
      <c r="EOM1" s="560"/>
      <c r="EON1" s="560"/>
      <c r="EOO1" s="560"/>
      <c r="EOP1" s="560"/>
      <c r="EOQ1" s="560"/>
      <c r="EOR1" s="560"/>
      <c r="EOS1" s="560"/>
      <c r="EOT1" s="560" t="s">
        <v>15</v>
      </c>
      <c r="EOU1" s="560"/>
      <c r="EOV1" s="560"/>
      <c r="EOW1" s="560"/>
      <c r="EOX1" s="560"/>
      <c r="EOY1" s="560"/>
      <c r="EOZ1" s="560"/>
      <c r="EPA1" s="560"/>
      <c r="EPB1" s="560" t="s">
        <v>15</v>
      </c>
      <c r="EPC1" s="560"/>
      <c r="EPD1" s="560"/>
      <c r="EPE1" s="560"/>
      <c r="EPF1" s="560"/>
      <c r="EPG1" s="560"/>
      <c r="EPH1" s="560"/>
      <c r="EPI1" s="560"/>
      <c r="EPJ1" s="560" t="s">
        <v>15</v>
      </c>
      <c r="EPK1" s="560"/>
      <c r="EPL1" s="560"/>
      <c r="EPM1" s="560"/>
      <c r="EPN1" s="560"/>
      <c r="EPO1" s="560"/>
      <c r="EPP1" s="560"/>
      <c r="EPQ1" s="560"/>
      <c r="EPR1" s="560" t="s">
        <v>15</v>
      </c>
      <c r="EPS1" s="560"/>
      <c r="EPT1" s="560"/>
      <c r="EPU1" s="560"/>
      <c r="EPV1" s="560"/>
      <c r="EPW1" s="560"/>
      <c r="EPX1" s="560"/>
      <c r="EPY1" s="560"/>
      <c r="EPZ1" s="560" t="s">
        <v>15</v>
      </c>
      <c r="EQA1" s="560"/>
      <c r="EQB1" s="560"/>
      <c r="EQC1" s="560"/>
      <c r="EQD1" s="560"/>
      <c r="EQE1" s="560"/>
      <c r="EQF1" s="560"/>
      <c r="EQG1" s="560"/>
      <c r="EQH1" s="560" t="s">
        <v>15</v>
      </c>
      <c r="EQI1" s="560"/>
      <c r="EQJ1" s="560"/>
      <c r="EQK1" s="560"/>
      <c r="EQL1" s="560"/>
      <c r="EQM1" s="560"/>
      <c r="EQN1" s="560"/>
      <c r="EQO1" s="560"/>
      <c r="EQP1" s="560" t="s">
        <v>15</v>
      </c>
      <c r="EQQ1" s="560"/>
      <c r="EQR1" s="560"/>
      <c r="EQS1" s="560"/>
      <c r="EQT1" s="560"/>
      <c r="EQU1" s="560"/>
      <c r="EQV1" s="560"/>
      <c r="EQW1" s="560"/>
      <c r="EQX1" s="560" t="s">
        <v>15</v>
      </c>
      <c r="EQY1" s="560"/>
      <c r="EQZ1" s="560"/>
      <c r="ERA1" s="560"/>
      <c r="ERB1" s="560"/>
      <c r="ERC1" s="560"/>
      <c r="ERD1" s="560"/>
      <c r="ERE1" s="560"/>
      <c r="ERF1" s="560" t="s">
        <v>15</v>
      </c>
      <c r="ERG1" s="560"/>
      <c r="ERH1" s="560"/>
      <c r="ERI1" s="560"/>
      <c r="ERJ1" s="560"/>
      <c r="ERK1" s="560"/>
      <c r="ERL1" s="560"/>
      <c r="ERM1" s="560"/>
      <c r="ERN1" s="560" t="s">
        <v>15</v>
      </c>
      <c r="ERO1" s="560"/>
      <c r="ERP1" s="560"/>
      <c r="ERQ1" s="560"/>
      <c r="ERR1" s="560"/>
      <c r="ERS1" s="560"/>
      <c r="ERT1" s="560"/>
      <c r="ERU1" s="560"/>
      <c r="ERV1" s="560" t="s">
        <v>15</v>
      </c>
      <c r="ERW1" s="560"/>
      <c r="ERX1" s="560"/>
      <c r="ERY1" s="560"/>
      <c r="ERZ1" s="560"/>
      <c r="ESA1" s="560"/>
      <c r="ESB1" s="560"/>
      <c r="ESC1" s="560"/>
      <c r="ESD1" s="560" t="s">
        <v>15</v>
      </c>
      <c r="ESE1" s="560"/>
      <c r="ESF1" s="560"/>
      <c r="ESG1" s="560"/>
      <c r="ESH1" s="560"/>
      <c r="ESI1" s="560"/>
      <c r="ESJ1" s="560"/>
      <c r="ESK1" s="560"/>
      <c r="ESL1" s="560" t="s">
        <v>15</v>
      </c>
      <c r="ESM1" s="560"/>
      <c r="ESN1" s="560"/>
      <c r="ESO1" s="560"/>
      <c r="ESP1" s="560"/>
      <c r="ESQ1" s="560"/>
      <c r="ESR1" s="560"/>
      <c r="ESS1" s="560"/>
      <c r="EST1" s="560" t="s">
        <v>15</v>
      </c>
      <c r="ESU1" s="560"/>
      <c r="ESV1" s="560"/>
      <c r="ESW1" s="560"/>
      <c r="ESX1" s="560"/>
      <c r="ESY1" s="560"/>
      <c r="ESZ1" s="560"/>
      <c r="ETA1" s="560"/>
      <c r="ETB1" s="560" t="s">
        <v>15</v>
      </c>
      <c r="ETC1" s="560"/>
      <c r="ETD1" s="560"/>
      <c r="ETE1" s="560"/>
      <c r="ETF1" s="560"/>
      <c r="ETG1" s="560"/>
      <c r="ETH1" s="560"/>
      <c r="ETI1" s="560"/>
      <c r="ETJ1" s="560" t="s">
        <v>15</v>
      </c>
      <c r="ETK1" s="560"/>
      <c r="ETL1" s="560"/>
      <c r="ETM1" s="560"/>
      <c r="ETN1" s="560"/>
      <c r="ETO1" s="560"/>
      <c r="ETP1" s="560"/>
      <c r="ETQ1" s="560"/>
      <c r="ETR1" s="560" t="s">
        <v>15</v>
      </c>
      <c r="ETS1" s="560"/>
      <c r="ETT1" s="560"/>
      <c r="ETU1" s="560"/>
      <c r="ETV1" s="560"/>
      <c r="ETW1" s="560"/>
      <c r="ETX1" s="560"/>
      <c r="ETY1" s="560"/>
      <c r="ETZ1" s="560" t="s">
        <v>15</v>
      </c>
      <c r="EUA1" s="560"/>
      <c r="EUB1" s="560"/>
      <c r="EUC1" s="560"/>
      <c r="EUD1" s="560"/>
      <c r="EUE1" s="560"/>
      <c r="EUF1" s="560"/>
      <c r="EUG1" s="560"/>
      <c r="EUH1" s="560" t="s">
        <v>15</v>
      </c>
      <c r="EUI1" s="560"/>
      <c r="EUJ1" s="560"/>
      <c r="EUK1" s="560"/>
      <c r="EUL1" s="560"/>
      <c r="EUM1" s="560"/>
      <c r="EUN1" s="560"/>
      <c r="EUO1" s="560"/>
      <c r="EUP1" s="560" t="s">
        <v>15</v>
      </c>
      <c r="EUQ1" s="560"/>
      <c r="EUR1" s="560"/>
      <c r="EUS1" s="560"/>
      <c r="EUT1" s="560"/>
      <c r="EUU1" s="560"/>
      <c r="EUV1" s="560"/>
      <c r="EUW1" s="560"/>
      <c r="EUX1" s="560" t="s">
        <v>15</v>
      </c>
      <c r="EUY1" s="560"/>
      <c r="EUZ1" s="560"/>
      <c r="EVA1" s="560"/>
      <c r="EVB1" s="560"/>
      <c r="EVC1" s="560"/>
      <c r="EVD1" s="560"/>
      <c r="EVE1" s="560"/>
      <c r="EVF1" s="560" t="s">
        <v>15</v>
      </c>
      <c r="EVG1" s="560"/>
      <c r="EVH1" s="560"/>
      <c r="EVI1" s="560"/>
      <c r="EVJ1" s="560"/>
      <c r="EVK1" s="560"/>
      <c r="EVL1" s="560"/>
      <c r="EVM1" s="560"/>
      <c r="EVN1" s="560" t="s">
        <v>15</v>
      </c>
      <c r="EVO1" s="560"/>
      <c r="EVP1" s="560"/>
      <c r="EVQ1" s="560"/>
      <c r="EVR1" s="560"/>
      <c r="EVS1" s="560"/>
      <c r="EVT1" s="560"/>
      <c r="EVU1" s="560"/>
      <c r="EVV1" s="560" t="s">
        <v>15</v>
      </c>
      <c r="EVW1" s="560"/>
      <c r="EVX1" s="560"/>
      <c r="EVY1" s="560"/>
      <c r="EVZ1" s="560"/>
      <c r="EWA1" s="560"/>
      <c r="EWB1" s="560"/>
      <c r="EWC1" s="560"/>
      <c r="EWD1" s="560" t="s">
        <v>15</v>
      </c>
      <c r="EWE1" s="560"/>
      <c r="EWF1" s="560"/>
      <c r="EWG1" s="560"/>
      <c r="EWH1" s="560"/>
      <c r="EWI1" s="560"/>
      <c r="EWJ1" s="560"/>
      <c r="EWK1" s="560"/>
      <c r="EWL1" s="560" t="s">
        <v>15</v>
      </c>
      <c r="EWM1" s="560"/>
      <c r="EWN1" s="560"/>
      <c r="EWO1" s="560"/>
      <c r="EWP1" s="560"/>
      <c r="EWQ1" s="560"/>
      <c r="EWR1" s="560"/>
      <c r="EWS1" s="560"/>
      <c r="EWT1" s="560" t="s">
        <v>15</v>
      </c>
      <c r="EWU1" s="560"/>
      <c r="EWV1" s="560"/>
      <c r="EWW1" s="560"/>
      <c r="EWX1" s="560"/>
      <c r="EWY1" s="560"/>
      <c r="EWZ1" s="560"/>
      <c r="EXA1" s="560"/>
      <c r="EXB1" s="560" t="s">
        <v>15</v>
      </c>
      <c r="EXC1" s="560"/>
      <c r="EXD1" s="560"/>
      <c r="EXE1" s="560"/>
      <c r="EXF1" s="560"/>
      <c r="EXG1" s="560"/>
      <c r="EXH1" s="560"/>
      <c r="EXI1" s="560"/>
      <c r="EXJ1" s="560" t="s">
        <v>15</v>
      </c>
      <c r="EXK1" s="560"/>
      <c r="EXL1" s="560"/>
      <c r="EXM1" s="560"/>
      <c r="EXN1" s="560"/>
      <c r="EXO1" s="560"/>
      <c r="EXP1" s="560"/>
      <c r="EXQ1" s="560"/>
      <c r="EXR1" s="560" t="s">
        <v>15</v>
      </c>
      <c r="EXS1" s="560"/>
      <c r="EXT1" s="560"/>
      <c r="EXU1" s="560"/>
      <c r="EXV1" s="560"/>
      <c r="EXW1" s="560"/>
      <c r="EXX1" s="560"/>
      <c r="EXY1" s="560"/>
      <c r="EXZ1" s="560" t="s">
        <v>15</v>
      </c>
      <c r="EYA1" s="560"/>
      <c r="EYB1" s="560"/>
      <c r="EYC1" s="560"/>
      <c r="EYD1" s="560"/>
      <c r="EYE1" s="560"/>
      <c r="EYF1" s="560"/>
      <c r="EYG1" s="560"/>
      <c r="EYH1" s="560" t="s">
        <v>15</v>
      </c>
      <c r="EYI1" s="560"/>
      <c r="EYJ1" s="560"/>
      <c r="EYK1" s="560"/>
      <c r="EYL1" s="560"/>
      <c r="EYM1" s="560"/>
      <c r="EYN1" s="560"/>
      <c r="EYO1" s="560"/>
      <c r="EYP1" s="560" t="s">
        <v>15</v>
      </c>
      <c r="EYQ1" s="560"/>
      <c r="EYR1" s="560"/>
      <c r="EYS1" s="560"/>
      <c r="EYT1" s="560"/>
      <c r="EYU1" s="560"/>
      <c r="EYV1" s="560"/>
      <c r="EYW1" s="560"/>
      <c r="EYX1" s="560" t="s">
        <v>15</v>
      </c>
      <c r="EYY1" s="560"/>
      <c r="EYZ1" s="560"/>
      <c r="EZA1" s="560"/>
      <c r="EZB1" s="560"/>
      <c r="EZC1" s="560"/>
      <c r="EZD1" s="560"/>
      <c r="EZE1" s="560"/>
      <c r="EZF1" s="560" t="s">
        <v>15</v>
      </c>
      <c r="EZG1" s="560"/>
      <c r="EZH1" s="560"/>
      <c r="EZI1" s="560"/>
      <c r="EZJ1" s="560"/>
      <c r="EZK1" s="560"/>
      <c r="EZL1" s="560"/>
      <c r="EZM1" s="560"/>
      <c r="EZN1" s="560" t="s">
        <v>15</v>
      </c>
      <c r="EZO1" s="560"/>
      <c r="EZP1" s="560"/>
      <c r="EZQ1" s="560"/>
      <c r="EZR1" s="560"/>
      <c r="EZS1" s="560"/>
      <c r="EZT1" s="560"/>
      <c r="EZU1" s="560"/>
      <c r="EZV1" s="560" t="s">
        <v>15</v>
      </c>
      <c r="EZW1" s="560"/>
      <c r="EZX1" s="560"/>
      <c r="EZY1" s="560"/>
      <c r="EZZ1" s="560"/>
      <c r="FAA1" s="560"/>
      <c r="FAB1" s="560"/>
      <c r="FAC1" s="560"/>
      <c r="FAD1" s="560" t="s">
        <v>15</v>
      </c>
      <c r="FAE1" s="560"/>
      <c r="FAF1" s="560"/>
      <c r="FAG1" s="560"/>
      <c r="FAH1" s="560"/>
      <c r="FAI1" s="560"/>
      <c r="FAJ1" s="560"/>
      <c r="FAK1" s="560"/>
      <c r="FAL1" s="560" t="s">
        <v>15</v>
      </c>
      <c r="FAM1" s="560"/>
      <c r="FAN1" s="560"/>
      <c r="FAO1" s="560"/>
      <c r="FAP1" s="560"/>
      <c r="FAQ1" s="560"/>
      <c r="FAR1" s="560"/>
      <c r="FAS1" s="560"/>
      <c r="FAT1" s="560" t="s">
        <v>15</v>
      </c>
      <c r="FAU1" s="560"/>
      <c r="FAV1" s="560"/>
      <c r="FAW1" s="560"/>
      <c r="FAX1" s="560"/>
      <c r="FAY1" s="560"/>
      <c r="FAZ1" s="560"/>
      <c r="FBA1" s="560"/>
      <c r="FBB1" s="560" t="s">
        <v>15</v>
      </c>
      <c r="FBC1" s="560"/>
      <c r="FBD1" s="560"/>
      <c r="FBE1" s="560"/>
      <c r="FBF1" s="560"/>
      <c r="FBG1" s="560"/>
      <c r="FBH1" s="560"/>
      <c r="FBI1" s="560"/>
      <c r="FBJ1" s="560" t="s">
        <v>15</v>
      </c>
      <c r="FBK1" s="560"/>
      <c r="FBL1" s="560"/>
      <c r="FBM1" s="560"/>
      <c r="FBN1" s="560"/>
      <c r="FBO1" s="560"/>
      <c r="FBP1" s="560"/>
      <c r="FBQ1" s="560"/>
      <c r="FBR1" s="560" t="s">
        <v>15</v>
      </c>
      <c r="FBS1" s="560"/>
      <c r="FBT1" s="560"/>
      <c r="FBU1" s="560"/>
      <c r="FBV1" s="560"/>
      <c r="FBW1" s="560"/>
      <c r="FBX1" s="560"/>
      <c r="FBY1" s="560"/>
      <c r="FBZ1" s="560" t="s">
        <v>15</v>
      </c>
      <c r="FCA1" s="560"/>
      <c r="FCB1" s="560"/>
      <c r="FCC1" s="560"/>
      <c r="FCD1" s="560"/>
      <c r="FCE1" s="560"/>
      <c r="FCF1" s="560"/>
      <c r="FCG1" s="560"/>
      <c r="FCH1" s="560" t="s">
        <v>15</v>
      </c>
      <c r="FCI1" s="560"/>
      <c r="FCJ1" s="560"/>
      <c r="FCK1" s="560"/>
      <c r="FCL1" s="560"/>
      <c r="FCM1" s="560"/>
      <c r="FCN1" s="560"/>
      <c r="FCO1" s="560"/>
      <c r="FCP1" s="560" t="s">
        <v>15</v>
      </c>
      <c r="FCQ1" s="560"/>
      <c r="FCR1" s="560"/>
      <c r="FCS1" s="560"/>
      <c r="FCT1" s="560"/>
      <c r="FCU1" s="560"/>
      <c r="FCV1" s="560"/>
      <c r="FCW1" s="560"/>
      <c r="FCX1" s="560" t="s">
        <v>15</v>
      </c>
      <c r="FCY1" s="560"/>
      <c r="FCZ1" s="560"/>
      <c r="FDA1" s="560"/>
      <c r="FDB1" s="560"/>
      <c r="FDC1" s="560"/>
      <c r="FDD1" s="560"/>
      <c r="FDE1" s="560"/>
      <c r="FDF1" s="560" t="s">
        <v>15</v>
      </c>
      <c r="FDG1" s="560"/>
      <c r="FDH1" s="560"/>
      <c r="FDI1" s="560"/>
      <c r="FDJ1" s="560"/>
      <c r="FDK1" s="560"/>
      <c r="FDL1" s="560"/>
      <c r="FDM1" s="560"/>
      <c r="FDN1" s="560" t="s">
        <v>15</v>
      </c>
      <c r="FDO1" s="560"/>
      <c r="FDP1" s="560"/>
      <c r="FDQ1" s="560"/>
      <c r="FDR1" s="560"/>
      <c r="FDS1" s="560"/>
      <c r="FDT1" s="560"/>
      <c r="FDU1" s="560"/>
      <c r="FDV1" s="560" t="s">
        <v>15</v>
      </c>
      <c r="FDW1" s="560"/>
      <c r="FDX1" s="560"/>
      <c r="FDY1" s="560"/>
      <c r="FDZ1" s="560"/>
      <c r="FEA1" s="560"/>
      <c r="FEB1" s="560"/>
      <c r="FEC1" s="560"/>
      <c r="FED1" s="560" t="s">
        <v>15</v>
      </c>
      <c r="FEE1" s="560"/>
      <c r="FEF1" s="560"/>
      <c r="FEG1" s="560"/>
      <c r="FEH1" s="560"/>
      <c r="FEI1" s="560"/>
      <c r="FEJ1" s="560"/>
      <c r="FEK1" s="560"/>
      <c r="FEL1" s="560" t="s">
        <v>15</v>
      </c>
      <c r="FEM1" s="560"/>
      <c r="FEN1" s="560"/>
      <c r="FEO1" s="560"/>
      <c r="FEP1" s="560"/>
      <c r="FEQ1" s="560"/>
      <c r="FER1" s="560"/>
      <c r="FES1" s="560"/>
      <c r="FET1" s="560" t="s">
        <v>15</v>
      </c>
      <c r="FEU1" s="560"/>
      <c r="FEV1" s="560"/>
      <c r="FEW1" s="560"/>
      <c r="FEX1" s="560"/>
      <c r="FEY1" s="560"/>
      <c r="FEZ1" s="560"/>
      <c r="FFA1" s="560"/>
      <c r="FFB1" s="560" t="s">
        <v>15</v>
      </c>
      <c r="FFC1" s="560"/>
      <c r="FFD1" s="560"/>
      <c r="FFE1" s="560"/>
      <c r="FFF1" s="560"/>
      <c r="FFG1" s="560"/>
      <c r="FFH1" s="560"/>
      <c r="FFI1" s="560"/>
      <c r="FFJ1" s="560" t="s">
        <v>15</v>
      </c>
      <c r="FFK1" s="560"/>
      <c r="FFL1" s="560"/>
      <c r="FFM1" s="560"/>
      <c r="FFN1" s="560"/>
      <c r="FFO1" s="560"/>
      <c r="FFP1" s="560"/>
      <c r="FFQ1" s="560"/>
      <c r="FFR1" s="560" t="s">
        <v>15</v>
      </c>
      <c r="FFS1" s="560"/>
      <c r="FFT1" s="560"/>
      <c r="FFU1" s="560"/>
      <c r="FFV1" s="560"/>
      <c r="FFW1" s="560"/>
      <c r="FFX1" s="560"/>
      <c r="FFY1" s="560"/>
      <c r="FFZ1" s="560" t="s">
        <v>15</v>
      </c>
      <c r="FGA1" s="560"/>
      <c r="FGB1" s="560"/>
      <c r="FGC1" s="560"/>
      <c r="FGD1" s="560"/>
      <c r="FGE1" s="560"/>
      <c r="FGF1" s="560"/>
      <c r="FGG1" s="560"/>
      <c r="FGH1" s="560" t="s">
        <v>15</v>
      </c>
      <c r="FGI1" s="560"/>
      <c r="FGJ1" s="560"/>
      <c r="FGK1" s="560"/>
      <c r="FGL1" s="560"/>
      <c r="FGM1" s="560"/>
      <c r="FGN1" s="560"/>
      <c r="FGO1" s="560"/>
      <c r="FGP1" s="560" t="s">
        <v>15</v>
      </c>
      <c r="FGQ1" s="560"/>
      <c r="FGR1" s="560"/>
      <c r="FGS1" s="560"/>
      <c r="FGT1" s="560"/>
      <c r="FGU1" s="560"/>
      <c r="FGV1" s="560"/>
      <c r="FGW1" s="560"/>
      <c r="FGX1" s="560" t="s">
        <v>15</v>
      </c>
      <c r="FGY1" s="560"/>
      <c r="FGZ1" s="560"/>
      <c r="FHA1" s="560"/>
      <c r="FHB1" s="560"/>
      <c r="FHC1" s="560"/>
      <c r="FHD1" s="560"/>
      <c r="FHE1" s="560"/>
      <c r="FHF1" s="560" t="s">
        <v>15</v>
      </c>
      <c r="FHG1" s="560"/>
      <c r="FHH1" s="560"/>
      <c r="FHI1" s="560"/>
      <c r="FHJ1" s="560"/>
      <c r="FHK1" s="560"/>
      <c r="FHL1" s="560"/>
      <c r="FHM1" s="560"/>
      <c r="FHN1" s="560" t="s">
        <v>15</v>
      </c>
      <c r="FHO1" s="560"/>
      <c r="FHP1" s="560"/>
      <c r="FHQ1" s="560"/>
      <c r="FHR1" s="560"/>
      <c r="FHS1" s="560"/>
      <c r="FHT1" s="560"/>
      <c r="FHU1" s="560"/>
      <c r="FHV1" s="560" t="s">
        <v>15</v>
      </c>
      <c r="FHW1" s="560"/>
      <c r="FHX1" s="560"/>
      <c r="FHY1" s="560"/>
      <c r="FHZ1" s="560"/>
      <c r="FIA1" s="560"/>
      <c r="FIB1" s="560"/>
      <c r="FIC1" s="560"/>
      <c r="FID1" s="560" t="s">
        <v>15</v>
      </c>
      <c r="FIE1" s="560"/>
      <c r="FIF1" s="560"/>
      <c r="FIG1" s="560"/>
      <c r="FIH1" s="560"/>
      <c r="FII1" s="560"/>
      <c r="FIJ1" s="560"/>
      <c r="FIK1" s="560"/>
      <c r="FIL1" s="560" t="s">
        <v>15</v>
      </c>
      <c r="FIM1" s="560"/>
      <c r="FIN1" s="560"/>
      <c r="FIO1" s="560"/>
      <c r="FIP1" s="560"/>
      <c r="FIQ1" s="560"/>
      <c r="FIR1" s="560"/>
      <c r="FIS1" s="560"/>
      <c r="FIT1" s="560" t="s">
        <v>15</v>
      </c>
      <c r="FIU1" s="560"/>
      <c r="FIV1" s="560"/>
      <c r="FIW1" s="560"/>
      <c r="FIX1" s="560"/>
      <c r="FIY1" s="560"/>
      <c r="FIZ1" s="560"/>
      <c r="FJA1" s="560"/>
      <c r="FJB1" s="560" t="s">
        <v>15</v>
      </c>
      <c r="FJC1" s="560"/>
      <c r="FJD1" s="560"/>
      <c r="FJE1" s="560"/>
      <c r="FJF1" s="560"/>
      <c r="FJG1" s="560"/>
      <c r="FJH1" s="560"/>
      <c r="FJI1" s="560"/>
      <c r="FJJ1" s="560" t="s">
        <v>15</v>
      </c>
      <c r="FJK1" s="560"/>
      <c r="FJL1" s="560"/>
      <c r="FJM1" s="560"/>
      <c r="FJN1" s="560"/>
      <c r="FJO1" s="560"/>
      <c r="FJP1" s="560"/>
      <c r="FJQ1" s="560"/>
      <c r="FJR1" s="560" t="s">
        <v>15</v>
      </c>
      <c r="FJS1" s="560"/>
      <c r="FJT1" s="560"/>
      <c r="FJU1" s="560"/>
      <c r="FJV1" s="560"/>
      <c r="FJW1" s="560"/>
      <c r="FJX1" s="560"/>
      <c r="FJY1" s="560"/>
      <c r="FJZ1" s="560" t="s">
        <v>15</v>
      </c>
      <c r="FKA1" s="560"/>
      <c r="FKB1" s="560"/>
      <c r="FKC1" s="560"/>
      <c r="FKD1" s="560"/>
      <c r="FKE1" s="560"/>
      <c r="FKF1" s="560"/>
      <c r="FKG1" s="560"/>
      <c r="FKH1" s="560" t="s">
        <v>15</v>
      </c>
      <c r="FKI1" s="560"/>
      <c r="FKJ1" s="560"/>
      <c r="FKK1" s="560"/>
      <c r="FKL1" s="560"/>
      <c r="FKM1" s="560"/>
      <c r="FKN1" s="560"/>
      <c r="FKO1" s="560"/>
      <c r="FKP1" s="560" t="s">
        <v>15</v>
      </c>
      <c r="FKQ1" s="560"/>
      <c r="FKR1" s="560"/>
      <c r="FKS1" s="560"/>
      <c r="FKT1" s="560"/>
      <c r="FKU1" s="560"/>
      <c r="FKV1" s="560"/>
      <c r="FKW1" s="560"/>
      <c r="FKX1" s="560" t="s">
        <v>15</v>
      </c>
      <c r="FKY1" s="560"/>
      <c r="FKZ1" s="560"/>
      <c r="FLA1" s="560"/>
      <c r="FLB1" s="560"/>
      <c r="FLC1" s="560"/>
      <c r="FLD1" s="560"/>
      <c r="FLE1" s="560"/>
      <c r="FLF1" s="560" t="s">
        <v>15</v>
      </c>
      <c r="FLG1" s="560"/>
      <c r="FLH1" s="560"/>
      <c r="FLI1" s="560"/>
      <c r="FLJ1" s="560"/>
      <c r="FLK1" s="560"/>
      <c r="FLL1" s="560"/>
      <c r="FLM1" s="560"/>
      <c r="FLN1" s="560" t="s">
        <v>15</v>
      </c>
      <c r="FLO1" s="560"/>
      <c r="FLP1" s="560"/>
      <c r="FLQ1" s="560"/>
      <c r="FLR1" s="560"/>
      <c r="FLS1" s="560"/>
      <c r="FLT1" s="560"/>
      <c r="FLU1" s="560"/>
      <c r="FLV1" s="560" t="s">
        <v>15</v>
      </c>
      <c r="FLW1" s="560"/>
      <c r="FLX1" s="560"/>
      <c r="FLY1" s="560"/>
      <c r="FLZ1" s="560"/>
      <c r="FMA1" s="560"/>
      <c r="FMB1" s="560"/>
      <c r="FMC1" s="560"/>
      <c r="FMD1" s="560" t="s">
        <v>15</v>
      </c>
      <c r="FME1" s="560"/>
      <c r="FMF1" s="560"/>
      <c r="FMG1" s="560"/>
      <c r="FMH1" s="560"/>
      <c r="FMI1" s="560"/>
      <c r="FMJ1" s="560"/>
      <c r="FMK1" s="560"/>
      <c r="FML1" s="560" t="s">
        <v>15</v>
      </c>
      <c r="FMM1" s="560"/>
      <c r="FMN1" s="560"/>
      <c r="FMO1" s="560"/>
      <c r="FMP1" s="560"/>
      <c r="FMQ1" s="560"/>
      <c r="FMR1" s="560"/>
      <c r="FMS1" s="560"/>
      <c r="FMT1" s="560" t="s">
        <v>15</v>
      </c>
      <c r="FMU1" s="560"/>
      <c r="FMV1" s="560"/>
      <c r="FMW1" s="560"/>
      <c r="FMX1" s="560"/>
      <c r="FMY1" s="560"/>
      <c r="FMZ1" s="560"/>
      <c r="FNA1" s="560"/>
      <c r="FNB1" s="560" t="s">
        <v>15</v>
      </c>
      <c r="FNC1" s="560"/>
      <c r="FND1" s="560"/>
      <c r="FNE1" s="560"/>
      <c r="FNF1" s="560"/>
      <c r="FNG1" s="560"/>
      <c r="FNH1" s="560"/>
      <c r="FNI1" s="560"/>
      <c r="FNJ1" s="560" t="s">
        <v>15</v>
      </c>
      <c r="FNK1" s="560"/>
      <c r="FNL1" s="560"/>
      <c r="FNM1" s="560"/>
      <c r="FNN1" s="560"/>
      <c r="FNO1" s="560"/>
      <c r="FNP1" s="560"/>
      <c r="FNQ1" s="560"/>
      <c r="FNR1" s="560" t="s">
        <v>15</v>
      </c>
      <c r="FNS1" s="560"/>
      <c r="FNT1" s="560"/>
      <c r="FNU1" s="560"/>
      <c r="FNV1" s="560"/>
      <c r="FNW1" s="560"/>
      <c r="FNX1" s="560"/>
      <c r="FNY1" s="560"/>
      <c r="FNZ1" s="560" t="s">
        <v>15</v>
      </c>
      <c r="FOA1" s="560"/>
      <c r="FOB1" s="560"/>
      <c r="FOC1" s="560"/>
      <c r="FOD1" s="560"/>
      <c r="FOE1" s="560"/>
      <c r="FOF1" s="560"/>
      <c r="FOG1" s="560"/>
      <c r="FOH1" s="560" t="s">
        <v>15</v>
      </c>
      <c r="FOI1" s="560"/>
      <c r="FOJ1" s="560"/>
      <c r="FOK1" s="560"/>
      <c r="FOL1" s="560"/>
      <c r="FOM1" s="560"/>
      <c r="FON1" s="560"/>
      <c r="FOO1" s="560"/>
      <c r="FOP1" s="560" t="s">
        <v>15</v>
      </c>
      <c r="FOQ1" s="560"/>
      <c r="FOR1" s="560"/>
      <c r="FOS1" s="560"/>
      <c r="FOT1" s="560"/>
      <c r="FOU1" s="560"/>
      <c r="FOV1" s="560"/>
      <c r="FOW1" s="560"/>
      <c r="FOX1" s="560" t="s">
        <v>15</v>
      </c>
      <c r="FOY1" s="560"/>
      <c r="FOZ1" s="560"/>
      <c r="FPA1" s="560"/>
      <c r="FPB1" s="560"/>
      <c r="FPC1" s="560"/>
      <c r="FPD1" s="560"/>
      <c r="FPE1" s="560"/>
      <c r="FPF1" s="560" t="s">
        <v>15</v>
      </c>
      <c r="FPG1" s="560"/>
      <c r="FPH1" s="560"/>
      <c r="FPI1" s="560"/>
      <c r="FPJ1" s="560"/>
      <c r="FPK1" s="560"/>
      <c r="FPL1" s="560"/>
      <c r="FPM1" s="560"/>
      <c r="FPN1" s="560" t="s">
        <v>15</v>
      </c>
      <c r="FPO1" s="560"/>
      <c r="FPP1" s="560"/>
      <c r="FPQ1" s="560"/>
      <c r="FPR1" s="560"/>
      <c r="FPS1" s="560"/>
      <c r="FPT1" s="560"/>
      <c r="FPU1" s="560"/>
      <c r="FPV1" s="560" t="s">
        <v>15</v>
      </c>
      <c r="FPW1" s="560"/>
      <c r="FPX1" s="560"/>
      <c r="FPY1" s="560"/>
      <c r="FPZ1" s="560"/>
      <c r="FQA1" s="560"/>
      <c r="FQB1" s="560"/>
      <c r="FQC1" s="560"/>
      <c r="FQD1" s="560" t="s">
        <v>15</v>
      </c>
      <c r="FQE1" s="560"/>
      <c r="FQF1" s="560"/>
      <c r="FQG1" s="560"/>
      <c r="FQH1" s="560"/>
      <c r="FQI1" s="560"/>
      <c r="FQJ1" s="560"/>
      <c r="FQK1" s="560"/>
      <c r="FQL1" s="560" t="s">
        <v>15</v>
      </c>
      <c r="FQM1" s="560"/>
      <c r="FQN1" s="560"/>
      <c r="FQO1" s="560"/>
      <c r="FQP1" s="560"/>
      <c r="FQQ1" s="560"/>
      <c r="FQR1" s="560"/>
      <c r="FQS1" s="560"/>
      <c r="FQT1" s="560" t="s">
        <v>15</v>
      </c>
      <c r="FQU1" s="560"/>
      <c r="FQV1" s="560"/>
      <c r="FQW1" s="560"/>
      <c r="FQX1" s="560"/>
      <c r="FQY1" s="560"/>
      <c r="FQZ1" s="560"/>
      <c r="FRA1" s="560"/>
      <c r="FRB1" s="560" t="s">
        <v>15</v>
      </c>
      <c r="FRC1" s="560"/>
      <c r="FRD1" s="560"/>
      <c r="FRE1" s="560"/>
      <c r="FRF1" s="560"/>
      <c r="FRG1" s="560"/>
      <c r="FRH1" s="560"/>
      <c r="FRI1" s="560"/>
      <c r="FRJ1" s="560" t="s">
        <v>15</v>
      </c>
      <c r="FRK1" s="560"/>
      <c r="FRL1" s="560"/>
      <c r="FRM1" s="560"/>
      <c r="FRN1" s="560"/>
      <c r="FRO1" s="560"/>
      <c r="FRP1" s="560"/>
      <c r="FRQ1" s="560"/>
      <c r="FRR1" s="560" t="s">
        <v>15</v>
      </c>
      <c r="FRS1" s="560"/>
      <c r="FRT1" s="560"/>
      <c r="FRU1" s="560"/>
      <c r="FRV1" s="560"/>
      <c r="FRW1" s="560"/>
      <c r="FRX1" s="560"/>
      <c r="FRY1" s="560"/>
      <c r="FRZ1" s="560" t="s">
        <v>15</v>
      </c>
      <c r="FSA1" s="560"/>
      <c r="FSB1" s="560"/>
      <c r="FSC1" s="560"/>
      <c r="FSD1" s="560"/>
      <c r="FSE1" s="560"/>
      <c r="FSF1" s="560"/>
      <c r="FSG1" s="560"/>
      <c r="FSH1" s="560" t="s">
        <v>15</v>
      </c>
      <c r="FSI1" s="560"/>
      <c r="FSJ1" s="560"/>
      <c r="FSK1" s="560"/>
      <c r="FSL1" s="560"/>
      <c r="FSM1" s="560"/>
      <c r="FSN1" s="560"/>
      <c r="FSO1" s="560"/>
      <c r="FSP1" s="560" t="s">
        <v>15</v>
      </c>
      <c r="FSQ1" s="560"/>
      <c r="FSR1" s="560"/>
      <c r="FSS1" s="560"/>
      <c r="FST1" s="560"/>
      <c r="FSU1" s="560"/>
      <c r="FSV1" s="560"/>
      <c r="FSW1" s="560"/>
      <c r="FSX1" s="560" t="s">
        <v>15</v>
      </c>
      <c r="FSY1" s="560"/>
      <c r="FSZ1" s="560"/>
      <c r="FTA1" s="560"/>
      <c r="FTB1" s="560"/>
      <c r="FTC1" s="560"/>
      <c r="FTD1" s="560"/>
      <c r="FTE1" s="560"/>
      <c r="FTF1" s="560" t="s">
        <v>15</v>
      </c>
      <c r="FTG1" s="560"/>
      <c r="FTH1" s="560"/>
      <c r="FTI1" s="560"/>
      <c r="FTJ1" s="560"/>
      <c r="FTK1" s="560"/>
      <c r="FTL1" s="560"/>
      <c r="FTM1" s="560"/>
      <c r="FTN1" s="560" t="s">
        <v>15</v>
      </c>
      <c r="FTO1" s="560"/>
      <c r="FTP1" s="560"/>
      <c r="FTQ1" s="560"/>
      <c r="FTR1" s="560"/>
      <c r="FTS1" s="560"/>
      <c r="FTT1" s="560"/>
      <c r="FTU1" s="560"/>
      <c r="FTV1" s="560" t="s">
        <v>15</v>
      </c>
      <c r="FTW1" s="560"/>
      <c r="FTX1" s="560"/>
      <c r="FTY1" s="560"/>
      <c r="FTZ1" s="560"/>
      <c r="FUA1" s="560"/>
      <c r="FUB1" s="560"/>
      <c r="FUC1" s="560"/>
      <c r="FUD1" s="560" t="s">
        <v>15</v>
      </c>
      <c r="FUE1" s="560"/>
      <c r="FUF1" s="560"/>
      <c r="FUG1" s="560"/>
      <c r="FUH1" s="560"/>
      <c r="FUI1" s="560"/>
      <c r="FUJ1" s="560"/>
      <c r="FUK1" s="560"/>
      <c r="FUL1" s="560" t="s">
        <v>15</v>
      </c>
      <c r="FUM1" s="560"/>
      <c r="FUN1" s="560"/>
      <c r="FUO1" s="560"/>
      <c r="FUP1" s="560"/>
      <c r="FUQ1" s="560"/>
      <c r="FUR1" s="560"/>
      <c r="FUS1" s="560"/>
      <c r="FUT1" s="560" t="s">
        <v>15</v>
      </c>
      <c r="FUU1" s="560"/>
      <c r="FUV1" s="560"/>
      <c r="FUW1" s="560"/>
      <c r="FUX1" s="560"/>
      <c r="FUY1" s="560"/>
      <c r="FUZ1" s="560"/>
      <c r="FVA1" s="560"/>
      <c r="FVB1" s="560" t="s">
        <v>15</v>
      </c>
      <c r="FVC1" s="560"/>
      <c r="FVD1" s="560"/>
      <c r="FVE1" s="560"/>
      <c r="FVF1" s="560"/>
      <c r="FVG1" s="560"/>
      <c r="FVH1" s="560"/>
      <c r="FVI1" s="560"/>
      <c r="FVJ1" s="560" t="s">
        <v>15</v>
      </c>
      <c r="FVK1" s="560"/>
      <c r="FVL1" s="560"/>
      <c r="FVM1" s="560"/>
      <c r="FVN1" s="560"/>
      <c r="FVO1" s="560"/>
      <c r="FVP1" s="560"/>
      <c r="FVQ1" s="560"/>
      <c r="FVR1" s="560" t="s">
        <v>15</v>
      </c>
      <c r="FVS1" s="560"/>
      <c r="FVT1" s="560"/>
      <c r="FVU1" s="560"/>
      <c r="FVV1" s="560"/>
      <c r="FVW1" s="560"/>
      <c r="FVX1" s="560"/>
      <c r="FVY1" s="560"/>
      <c r="FVZ1" s="560" t="s">
        <v>15</v>
      </c>
      <c r="FWA1" s="560"/>
      <c r="FWB1" s="560"/>
      <c r="FWC1" s="560"/>
      <c r="FWD1" s="560"/>
      <c r="FWE1" s="560"/>
      <c r="FWF1" s="560"/>
      <c r="FWG1" s="560"/>
      <c r="FWH1" s="560" t="s">
        <v>15</v>
      </c>
      <c r="FWI1" s="560"/>
      <c r="FWJ1" s="560"/>
      <c r="FWK1" s="560"/>
      <c r="FWL1" s="560"/>
      <c r="FWM1" s="560"/>
      <c r="FWN1" s="560"/>
      <c r="FWO1" s="560"/>
      <c r="FWP1" s="560" t="s">
        <v>15</v>
      </c>
      <c r="FWQ1" s="560"/>
      <c r="FWR1" s="560"/>
      <c r="FWS1" s="560"/>
      <c r="FWT1" s="560"/>
      <c r="FWU1" s="560"/>
      <c r="FWV1" s="560"/>
      <c r="FWW1" s="560"/>
      <c r="FWX1" s="560" t="s">
        <v>15</v>
      </c>
      <c r="FWY1" s="560"/>
      <c r="FWZ1" s="560"/>
      <c r="FXA1" s="560"/>
      <c r="FXB1" s="560"/>
      <c r="FXC1" s="560"/>
      <c r="FXD1" s="560"/>
      <c r="FXE1" s="560"/>
      <c r="FXF1" s="560" t="s">
        <v>15</v>
      </c>
      <c r="FXG1" s="560"/>
      <c r="FXH1" s="560"/>
      <c r="FXI1" s="560"/>
      <c r="FXJ1" s="560"/>
      <c r="FXK1" s="560"/>
      <c r="FXL1" s="560"/>
      <c r="FXM1" s="560"/>
      <c r="FXN1" s="560" t="s">
        <v>15</v>
      </c>
      <c r="FXO1" s="560"/>
      <c r="FXP1" s="560"/>
      <c r="FXQ1" s="560"/>
      <c r="FXR1" s="560"/>
      <c r="FXS1" s="560"/>
      <c r="FXT1" s="560"/>
      <c r="FXU1" s="560"/>
      <c r="FXV1" s="560" t="s">
        <v>15</v>
      </c>
      <c r="FXW1" s="560"/>
      <c r="FXX1" s="560"/>
      <c r="FXY1" s="560"/>
      <c r="FXZ1" s="560"/>
      <c r="FYA1" s="560"/>
      <c r="FYB1" s="560"/>
      <c r="FYC1" s="560"/>
      <c r="FYD1" s="560" t="s">
        <v>15</v>
      </c>
      <c r="FYE1" s="560"/>
      <c r="FYF1" s="560"/>
      <c r="FYG1" s="560"/>
      <c r="FYH1" s="560"/>
      <c r="FYI1" s="560"/>
      <c r="FYJ1" s="560"/>
      <c r="FYK1" s="560"/>
      <c r="FYL1" s="560" t="s">
        <v>15</v>
      </c>
      <c r="FYM1" s="560"/>
      <c r="FYN1" s="560"/>
      <c r="FYO1" s="560"/>
      <c r="FYP1" s="560"/>
      <c r="FYQ1" s="560"/>
      <c r="FYR1" s="560"/>
      <c r="FYS1" s="560"/>
      <c r="FYT1" s="560" t="s">
        <v>15</v>
      </c>
      <c r="FYU1" s="560"/>
      <c r="FYV1" s="560"/>
      <c r="FYW1" s="560"/>
      <c r="FYX1" s="560"/>
      <c r="FYY1" s="560"/>
      <c r="FYZ1" s="560"/>
      <c r="FZA1" s="560"/>
      <c r="FZB1" s="560" t="s">
        <v>15</v>
      </c>
      <c r="FZC1" s="560"/>
      <c r="FZD1" s="560"/>
      <c r="FZE1" s="560"/>
      <c r="FZF1" s="560"/>
      <c r="FZG1" s="560"/>
      <c r="FZH1" s="560"/>
      <c r="FZI1" s="560"/>
      <c r="FZJ1" s="560" t="s">
        <v>15</v>
      </c>
      <c r="FZK1" s="560"/>
      <c r="FZL1" s="560"/>
      <c r="FZM1" s="560"/>
      <c r="FZN1" s="560"/>
      <c r="FZO1" s="560"/>
      <c r="FZP1" s="560"/>
      <c r="FZQ1" s="560"/>
      <c r="FZR1" s="560" t="s">
        <v>15</v>
      </c>
      <c r="FZS1" s="560"/>
      <c r="FZT1" s="560"/>
      <c r="FZU1" s="560"/>
      <c r="FZV1" s="560"/>
      <c r="FZW1" s="560"/>
      <c r="FZX1" s="560"/>
      <c r="FZY1" s="560"/>
      <c r="FZZ1" s="560" t="s">
        <v>15</v>
      </c>
      <c r="GAA1" s="560"/>
      <c r="GAB1" s="560"/>
      <c r="GAC1" s="560"/>
      <c r="GAD1" s="560"/>
      <c r="GAE1" s="560"/>
      <c r="GAF1" s="560"/>
      <c r="GAG1" s="560"/>
      <c r="GAH1" s="560" t="s">
        <v>15</v>
      </c>
      <c r="GAI1" s="560"/>
      <c r="GAJ1" s="560"/>
      <c r="GAK1" s="560"/>
      <c r="GAL1" s="560"/>
      <c r="GAM1" s="560"/>
      <c r="GAN1" s="560"/>
      <c r="GAO1" s="560"/>
      <c r="GAP1" s="560" t="s">
        <v>15</v>
      </c>
      <c r="GAQ1" s="560"/>
      <c r="GAR1" s="560"/>
      <c r="GAS1" s="560"/>
      <c r="GAT1" s="560"/>
      <c r="GAU1" s="560"/>
      <c r="GAV1" s="560"/>
      <c r="GAW1" s="560"/>
      <c r="GAX1" s="560" t="s">
        <v>15</v>
      </c>
      <c r="GAY1" s="560"/>
      <c r="GAZ1" s="560"/>
      <c r="GBA1" s="560"/>
      <c r="GBB1" s="560"/>
      <c r="GBC1" s="560"/>
      <c r="GBD1" s="560"/>
      <c r="GBE1" s="560"/>
      <c r="GBF1" s="560" t="s">
        <v>15</v>
      </c>
      <c r="GBG1" s="560"/>
      <c r="GBH1" s="560"/>
      <c r="GBI1" s="560"/>
      <c r="GBJ1" s="560"/>
      <c r="GBK1" s="560"/>
      <c r="GBL1" s="560"/>
      <c r="GBM1" s="560"/>
      <c r="GBN1" s="560" t="s">
        <v>15</v>
      </c>
      <c r="GBO1" s="560"/>
      <c r="GBP1" s="560"/>
      <c r="GBQ1" s="560"/>
      <c r="GBR1" s="560"/>
      <c r="GBS1" s="560"/>
      <c r="GBT1" s="560"/>
      <c r="GBU1" s="560"/>
      <c r="GBV1" s="560" t="s">
        <v>15</v>
      </c>
      <c r="GBW1" s="560"/>
      <c r="GBX1" s="560"/>
      <c r="GBY1" s="560"/>
      <c r="GBZ1" s="560"/>
      <c r="GCA1" s="560"/>
      <c r="GCB1" s="560"/>
      <c r="GCC1" s="560"/>
      <c r="GCD1" s="560" t="s">
        <v>15</v>
      </c>
      <c r="GCE1" s="560"/>
      <c r="GCF1" s="560"/>
      <c r="GCG1" s="560"/>
      <c r="GCH1" s="560"/>
      <c r="GCI1" s="560"/>
      <c r="GCJ1" s="560"/>
      <c r="GCK1" s="560"/>
      <c r="GCL1" s="560" t="s">
        <v>15</v>
      </c>
      <c r="GCM1" s="560"/>
      <c r="GCN1" s="560"/>
      <c r="GCO1" s="560"/>
      <c r="GCP1" s="560"/>
      <c r="GCQ1" s="560"/>
      <c r="GCR1" s="560"/>
      <c r="GCS1" s="560"/>
      <c r="GCT1" s="560" t="s">
        <v>15</v>
      </c>
      <c r="GCU1" s="560"/>
      <c r="GCV1" s="560"/>
      <c r="GCW1" s="560"/>
      <c r="GCX1" s="560"/>
      <c r="GCY1" s="560"/>
      <c r="GCZ1" s="560"/>
      <c r="GDA1" s="560"/>
      <c r="GDB1" s="560" t="s">
        <v>15</v>
      </c>
      <c r="GDC1" s="560"/>
      <c r="GDD1" s="560"/>
      <c r="GDE1" s="560"/>
      <c r="GDF1" s="560"/>
      <c r="GDG1" s="560"/>
      <c r="GDH1" s="560"/>
      <c r="GDI1" s="560"/>
      <c r="GDJ1" s="560" t="s">
        <v>15</v>
      </c>
      <c r="GDK1" s="560"/>
      <c r="GDL1" s="560"/>
      <c r="GDM1" s="560"/>
      <c r="GDN1" s="560"/>
      <c r="GDO1" s="560"/>
      <c r="GDP1" s="560"/>
      <c r="GDQ1" s="560"/>
      <c r="GDR1" s="560" t="s">
        <v>15</v>
      </c>
      <c r="GDS1" s="560"/>
      <c r="GDT1" s="560"/>
      <c r="GDU1" s="560"/>
      <c r="GDV1" s="560"/>
      <c r="GDW1" s="560"/>
      <c r="GDX1" s="560"/>
      <c r="GDY1" s="560"/>
      <c r="GDZ1" s="560" t="s">
        <v>15</v>
      </c>
      <c r="GEA1" s="560"/>
      <c r="GEB1" s="560"/>
      <c r="GEC1" s="560"/>
      <c r="GED1" s="560"/>
      <c r="GEE1" s="560"/>
      <c r="GEF1" s="560"/>
      <c r="GEG1" s="560"/>
      <c r="GEH1" s="560" t="s">
        <v>15</v>
      </c>
      <c r="GEI1" s="560"/>
      <c r="GEJ1" s="560"/>
      <c r="GEK1" s="560"/>
      <c r="GEL1" s="560"/>
      <c r="GEM1" s="560"/>
      <c r="GEN1" s="560"/>
      <c r="GEO1" s="560"/>
      <c r="GEP1" s="560" t="s">
        <v>15</v>
      </c>
      <c r="GEQ1" s="560"/>
      <c r="GER1" s="560"/>
      <c r="GES1" s="560"/>
      <c r="GET1" s="560"/>
      <c r="GEU1" s="560"/>
      <c r="GEV1" s="560"/>
      <c r="GEW1" s="560"/>
      <c r="GEX1" s="560" t="s">
        <v>15</v>
      </c>
      <c r="GEY1" s="560"/>
      <c r="GEZ1" s="560"/>
      <c r="GFA1" s="560"/>
      <c r="GFB1" s="560"/>
      <c r="GFC1" s="560"/>
      <c r="GFD1" s="560"/>
      <c r="GFE1" s="560"/>
      <c r="GFF1" s="560" t="s">
        <v>15</v>
      </c>
      <c r="GFG1" s="560"/>
      <c r="GFH1" s="560"/>
      <c r="GFI1" s="560"/>
      <c r="GFJ1" s="560"/>
      <c r="GFK1" s="560"/>
      <c r="GFL1" s="560"/>
      <c r="GFM1" s="560"/>
      <c r="GFN1" s="560" t="s">
        <v>15</v>
      </c>
      <c r="GFO1" s="560"/>
      <c r="GFP1" s="560"/>
      <c r="GFQ1" s="560"/>
      <c r="GFR1" s="560"/>
      <c r="GFS1" s="560"/>
      <c r="GFT1" s="560"/>
      <c r="GFU1" s="560"/>
      <c r="GFV1" s="560" t="s">
        <v>15</v>
      </c>
      <c r="GFW1" s="560"/>
      <c r="GFX1" s="560"/>
      <c r="GFY1" s="560"/>
      <c r="GFZ1" s="560"/>
      <c r="GGA1" s="560"/>
      <c r="GGB1" s="560"/>
      <c r="GGC1" s="560"/>
      <c r="GGD1" s="560" t="s">
        <v>15</v>
      </c>
      <c r="GGE1" s="560"/>
      <c r="GGF1" s="560"/>
      <c r="GGG1" s="560"/>
      <c r="GGH1" s="560"/>
      <c r="GGI1" s="560"/>
      <c r="GGJ1" s="560"/>
      <c r="GGK1" s="560"/>
      <c r="GGL1" s="560" t="s">
        <v>15</v>
      </c>
      <c r="GGM1" s="560"/>
      <c r="GGN1" s="560"/>
      <c r="GGO1" s="560"/>
      <c r="GGP1" s="560"/>
      <c r="GGQ1" s="560"/>
      <c r="GGR1" s="560"/>
      <c r="GGS1" s="560"/>
      <c r="GGT1" s="560" t="s">
        <v>15</v>
      </c>
      <c r="GGU1" s="560"/>
      <c r="GGV1" s="560"/>
      <c r="GGW1" s="560"/>
      <c r="GGX1" s="560"/>
      <c r="GGY1" s="560"/>
      <c r="GGZ1" s="560"/>
      <c r="GHA1" s="560"/>
      <c r="GHB1" s="560" t="s">
        <v>15</v>
      </c>
      <c r="GHC1" s="560"/>
      <c r="GHD1" s="560"/>
      <c r="GHE1" s="560"/>
      <c r="GHF1" s="560"/>
      <c r="GHG1" s="560"/>
      <c r="GHH1" s="560"/>
      <c r="GHI1" s="560"/>
      <c r="GHJ1" s="560" t="s">
        <v>15</v>
      </c>
      <c r="GHK1" s="560"/>
      <c r="GHL1" s="560"/>
      <c r="GHM1" s="560"/>
      <c r="GHN1" s="560"/>
      <c r="GHO1" s="560"/>
      <c r="GHP1" s="560"/>
      <c r="GHQ1" s="560"/>
      <c r="GHR1" s="560" t="s">
        <v>15</v>
      </c>
      <c r="GHS1" s="560"/>
      <c r="GHT1" s="560"/>
      <c r="GHU1" s="560"/>
      <c r="GHV1" s="560"/>
      <c r="GHW1" s="560"/>
      <c r="GHX1" s="560"/>
      <c r="GHY1" s="560"/>
      <c r="GHZ1" s="560" t="s">
        <v>15</v>
      </c>
      <c r="GIA1" s="560"/>
      <c r="GIB1" s="560"/>
      <c r="GIC1" s="560"/>
      <c r="GID1" s="560"/>
      <c r="GIE1" s="560"/>
      <c r="GIF1" s="560"/>
      <c r="GIG1" s="560"/>
      <c r="GIH1" s="560" t="s">
        <v>15</v>
      </c>
      <c r="GII1" s="560"/>
      <c r="GIJ1" s="560"/>
      <c r="GIK1" s="560"/>
      <c r="GIL1" s="560"/>
      <c r="GIM1" s="560"/>
      <c r="GIN1" s="560"/>
      <c r="GIO1" s="560"/>
      <c r="GIP1" s="560" t="s">
        <v>15</v>
      </c>
      <c r="GIQ1" s="560"/>
      <c r="GIR1" s="560"/>
      <c r="GIS1" s="560"/>
      <c r="GIT1" s="560"/>
      <c r="GIU1" s="560"/>
      <c r="GIV1" s="560"/>
      <c r="GIW1" s="560"/>
      <c r="GIX1" s="560" t="s">
        <v>15</v>
      </c>
      <c r="GIY1" s="560"/>
      <c r="GIZ1" s="560"/>
      <c r="GJA1" s="560"/>
      <c r="GJB1" s="560"/>
      <c r="GJC1" s="560"/>
      <c r="GJD1" s="560"/>
      <c r="GJE1" s="560"/>
      <c r="GJF1" s="560" t="s">
        <v>15</v>
      </c>
      <c r="GJG1" s="560"/>
      <c r="GJH1" s="560"/>
      <c r="GJI1" s="560"/>
      <c r="GJJ1" s="560"/>
      <c r="GJK1" s="560"/>
      <c r="GJL1" s="560"/>
      <c r="GJM1" s="560"/>
      <c r="GJN1" s="560" t="s">
        <v>15</v>
      </c>
      <c r="GJO1" s="560"/>
      <c r="GJP1" s="560"/>
      <c r="GJQ1" s="560"/>
      <c r="GJR1" s="560"/>
      <c r="GJS1" s="560"/>
      <c r="GJT1" s="560"/>
      <c r="GJU1" s="560"/>
      <c r="GJV1" s="560" t="s">
        <v>15</v>
      </c>
      <c r="GJW1" s="560"/>
      <c r="GJX1" s="560"/>
      <c r="GJY1" s="560"/>
      <c r="GJZ1" s="560"/>
      <c r="GKA1" s="560"/>
      <c r="GKB1" s="560"/>
      <c r="GKC1" s="560"/>
      <c r="GKD1" s="560" t="s">
        <v>15</v>
      </c>
      <c r="GKE1" s="560"/>
      <c r="GKF1" s="560"/>
      <c r="GKG1" s="560"/>
      <c r="GKH1" s="560"/>
      <c r="GKI1" s="560"/>
      <c r="GKJ1" s="560"/>
      <c r="GKK1" s="560"/>
      <c r="GKL1" s="560" t="s">
        <v>15</v>
      </c>
      <c r="GKM1" s="560"/>
      <c r="GKN1" s="560"/>
      <c r="GKO1" s="560"/>
      <c r="GKP1" s="560"/>
      <c r="GKQ1" s="560"/>
      <c r="GKR1" s="560"/>
      <c r="GKS1" s="560"/>
      <c r="GKT1" s="560" t="s">
        <v>15</v>
      </c>
      <c r="GKU1" s="560"/>
      <c r="GKV1" s="560"/>
      <c r="GKW1" s="560"/>
      <c r="GKX1" s="560"/>
      <c r="GKY1" s="560"/>
      <c r="GKZ1" s="560"/>
      <c r="GLA1" s="560"/>
      <c r="GLB1" s="560" t="s">
        <v>15</v>
      </c>
      <c r="GLC1" s="560"/>
      <c r="GLD1" s="560"/>
      <c r="GLE1" s="560"/>
      <c r="GLF1" s="560"/>
      <c r="GLG1" s="560"/>
      <c r="GLH1" s="560"/>
      <c r="GLI1" s="560"/>
      <c r="GLJ1" s="560" t="s">
        <v>15</v>
      </c>
      <c r="GLK1" s="560"/>
      <c r="GLL1" s="560"/>
      <c r="GLM1" s="560"/>
      <c r="GLN1" s="560"/>
      <c r="GLO1" s="560"/>
      <c r="GLP1" s="560"/>
      <c r="GLQ1" s="560"/>
      <c r="GLR1" s="560" t="s">
        <v>15</v>
      </c>
      <c r="GLS1" s="560"/>
      <c r="GLT1" s="560"/>
      <c r="GLU1" s="560"/>
      <c r="GLV1" s="560"/>
      <c r="GLW1" s="560"/>
      <c r="GLX1" s="560"/>
      <c r="GLY1" s="560"/>
      <c r="GLZ1" s="560" t="s">
        <v>15</v>
      </c>
      <c r="GMA1" s="560"/>
      <c r="GMB1" s="560"/>
      <c r="GMC1" s="560"/>
      <c r="GMD1" s="560"/>
      <c r="GME1" s="560"/>
      <c r="GMF1" s="560"/>
      <c r="GMG1" s="560"/>
      <c r="GMH1" s="560" t="s">
        <v>15</v>
      </c>
      <c r="GMI1" s="560"/>
      <c r="GMJ1" s="560"/>
      <c r="GMK1" s="560"/>
      <c r="GML1" s="560"/>
      <c r="GMM1" s="560"/>
      <c r="GMN1" s="560"/>
      <c r="GMO1" s="560"/>
      <c r="GMP1" s="560" t="s">
        <v>15</v>
      </c>
      <c r="GMQ1" s="560"/>
      <c r="GMR1" s="560"/>
      <c r="GMS1" s="560"/>
      <c r="GMT1" s="560"/>
      <c r="GMU1" s="560"/>
      <c r="GMV1" s="560"/>
      <c r="GMW1" s="560"/>
      <c r="GMX1" s="560" t="s">
        <v>15</v>
      </c>
      <c r="GMY1" s="560"/>
      <c r="GMZ1" s="560"/>
      <c r="GNA1" s="560"/>
      <c r="GNB1" s="560"/>
      <c r="GNC1" s="560"/>
      <c r="GND1" s="560"/>
      <c r="GNE1" s="560"/>
      <c r="GNF1" s="560" t="s">
        <v>15</v>
      </c>
      <c r="GNG1" s="560"/>
      <c r="GNH1" s="560"/>
      <c r="GNI1" s="560"/>
      <c r="GNJ1" s="560"/>
      <c r="GNK1" s="560"/>
      <c r="GNL1" s="560"/>
      <c r="GNM1" s="560"/>
      <c r="GNN1" s="560" t="s">
        <v>15</v>
      </c>
      <c r="GNO1" s="560"/>
      <c r="GNP1" s="560"/>
      <c r="GNQ1" s="560"/>
      <c r="GNR1" s="560"/>
      <c r="GNS1" s="560"/>
      <c r="GNT1" s="560"/>
      <c r="GNU1" s="560"/>
      <c r="GNV1" s="560" t="s">
        <v>15</v>
      </c>
      <c r="GNW1" s="560"/>
      <c r="GNX1" s="560"/>
      <c r="GNY1" s="560"/>
      <c r="GNZ1" s="560"/>
      <c r="GOA1" s="560"/>
      <c r="GOB1" s="560"/>
      <c r="GOC1" s="560"/>
      <c r="GOD1" s="560" t="s">
        <v>15</v>
      </c>
      <c r="GOE1" s="560"/>
      <c r="GOF1" s="560"/>
      <c r="GOG1" s="560"/>
      <c r="GOH1" s="560"/>
      <c r="GOI1" s="560"/>
      <c r="GOJ1" s="560"/>
      <c r="GOK1" s="560"/>
      <c r="GOL1" s="560" t="s">
        <v>15</v>
      </c>
      <c r="GOM1" s="560"/>
      <c r="GON1" s="560"/>
      <c r="GOO1" s="560"/>
      <c r="GOP1" s="560"/>
      <c r="GOQ1" s="560"/>
      <c r="GOR1" s="560"/>
      <c r="GOS1" s="560"/>
      <c r="GOT1" s="560" t="s">
        <v>15</v>
      </c>
      <c r="GOU1" s="560"/>
      <c r="GOV1" s="560"/>
      <c r="GOW1" s="560"/>
      <c r="GOX1" s="560"/>
      <c r="GOY1" s="560"/>
      <c r="GOZ1" s="560"/>
      <c r="GPA1" s="560"/>
      <c r="GPB1" s="560" t="s">
        <v>15</v>
      </c>
      <c r="GPC1" s="560"/>
      <c r="GPD1" s="560"/>
      <c r="GPE1" s="560"/>
      <c r="GPF1" s="560"/>
      <c r="GPG1" s="560"/>
      <c r="GPH1" s="560"/>
      <c r="GPI1" s="560"/>
      <c r="GPJ1" s="560" t="s">
        <v>15</v>
      </c>
      <c r="GPK1" s="560"/>
      <c r="GPL1" s="560"/>
      <c r="GPM1" s="560"/>
      <c r="GPN1" s="560"/>
      <c r="GPO1" s="560"/>
      <c r="GPP1" s="560"/>
      <c r="GPQ1" s="560"/>
      <c r="GPR1" s="560" t="s">
        <v>15</v>
      </c>
      <c r="GPS1" s="560"/>
      <c r="GPT1" s="560"/>
      <c r="GPU1" s="560"/>
      <c r="GPV1" s="560"/>
      <c r="GPW1" s="560"/>
      <c r="GPX1" s="560"/>
      <c r="GPY1" s="560"/>
      <c r="GPZ1" s="560" t="s">
        <v>15</v>
      </c>
      <c r="GQA1" s="560"/>
      <c r="GQB1" s="560"/>
      <c r="GQC1" s="560"/>
      <c r="GQD1" s="560"/>
      <c r="GQE1" s="560"/>
      <c r="GQF1" s="560"/>
      <c r="GQG1" s="560"/>
      <c r="GQH1" s="560" t="s">
        <v>15</v>
      </c>
      <c r="GQI1" s="560"/>
      <c r="GQJ1" s="560"/>
      <c r="GQK1" s="560"/>
      <c r="GQL1" s="560"/>
      <c r="GQM1" s="560"/>
      <c r="GQN1" s="560"/>
      <c r="GQO1" s="560"/>
      <c r="GQP1" s="560" t="s">
        <v>15</v>
      </c>
      <c r="GQQ1" s="560"/>
      <c r="GQR1" s="560"/>
      <c r="GQS1" s="560"/>
      <c r="GQT1" s="560"/>
      <c r="GQU1" s="560"/>
      <c r="GQV1" s="560"/>
      <c r="GQW1" s="560"/>
      <c r="GQX1" s="560" t="s">
        <v>15</v>
      </c>
      <c r="GQY1" s="560"/>
      <c r="GQZ1" s="560"/>
      <c r="GRA1" s="560"/>
      <c r="GRB1" s="560"/>
      <c r="GRC1" s="560"/>
      <c r="GRD1" s="560"/>
      <c r="GRE1" s="560"/>
      <c r="GRF1" s="560" t="s">
        <v>15</v>
      </c>
      <c r="GRG1" s="560"/>
      <c r="GRH1" s="560"/>
      <c r="GRI1" s="560"/>
      <c r="GRJ1" s="560"/>
      <c r="GRK1" s="560"/>
      <c r="GRL1" s="560"/>
      <c r="GRM1" s="560"/>
      <c r="GRN1" s="560" t="s">
        <v>15</v>
      </c>
      <c r="GRO1" s="560"/>
      <c r="GRP1" s="560"/>
      <c r="GRQ1" s="560"/>
      <c r="GRR1" s="560"/>
      <c r="GRS1" s="560"/>
      <c r="GRT1" s="560"/>
      <c r="GRU1" s="560"/>
      <c r="GRV1" s="560" t="s">
        <v>15</v>
      </c>
      <c r="GRW1" s="560"/>
      <c r="GRX1" s="560"/>
      <c r="GRY1" s="560"/>
      <c r="GRZ1" s="560"/>
      <c r="GSA1" s="560"/>
      <c r="GSB1" s="560"/>
      <c r="GSC1" s="560"/>
      <c r="GSD1" s="560" t="s">
        <v>15</v>
      </c>
      <c r="GSE1" s="560"/>
      <c r="GSF1" s="560"/>
      <c r="GSG1" s="560"/>
      <c r="GSH1" s="560"/>
      <c r="GSI1" s="560"/>
      <c r="GSJ1" s="560"/>
      <c r="GSK1" s="560"/>
      <c r="GSL1" s="560" t="s">
        <v>15</v>
      </c>
      <c r="GSM1" s="560"/>
      <c r="GSN1" s="560"/>
      <c r="GSO1" s="560"/>
      <c r="GSP1" s="560"/>
      <c r="GSQ1" s="560"/>
      <c r="GSR1" s="560"/>
      <c r="GSS1" s="560"/>
      <c r="GST1" s="560" t="s">
        <v>15</v>
      </c>
      <c r="GSU1" s="560"/>
      <c r="GSV1" s="560"/>
      <c r="GSW1" s="560"/>
      <c r="GSX1" s="560"/>
      <c r="GSY1" s="560"/>
      <c r="GSZ1" s="560"/>
      <c r="GTA1" s="560"/>
      <c r="GTB1" s="560" t="s">
        <v>15</v>
      </c>
      <c r="GTC1" s="560"/>
      <c r="GTD1" s="560"/>
      <c r="GTE1" s="560"/>
      <c r="GTF1" s="560"/>
      <c r="GTG1" s="560"/>
      <c r="GTH1" s="560"/>
      <c r="GTI1" s="560"/>
      <c r="GTJ1" s="560" t="s">
        <v>15</v>
      </c>
      <c r="GTK1" s="560"/>
      <c r="GTL1" s="560"/>
      <c r="GTM1" s="560"/>
      <c r="GTN1" s="560"/>
      <c r="GTO1" s="560"/>
      <c r="GTP1" s="560"/>
      <c r="GTQ1" s="560"/>
      <c r="GTR1" s="560" t="s">
        <v>15</v>
      </c>
      <c r="GTS1" s="560"/>
      <c r="GTT1" s="560"/>
      <c r="GTU1" s="560"/>
      <c r="GTV1" s="560"/>
      <c r="GTW1" s="560"/>
      <c r="GTX1" s="560"/>
      <c r="GTY1" s="560"/>
      <c r="GTZ1" s="560" t="s">
        <v>15</v>
      </c>
      <c r="GUA1" s="560"/>
      <c r="GUB1" s="560"/>
      <c r="GUC1" s="560"/>
      <c r="GUD1" s="560"/>
      <c r="GUE1" s="560"/>
      <c r="GUF1" s="560"/>
      <c r="GUG1" s="560"/>
      <c r="GUH1" s="560" t="s">
        <v>15</v>
      </c>
      <c r="GUI1" s="560"/>
      <c r="GUJ1" s="560"/>
      <c r="GUK1" s="560"/>
      <c r="GUL1" s="560"/>
      <c r="GUM1" s="560"/>
      <c r="GUN1" s="560"/>
      <c r="GUO1" s="560"/>
      <c r="GUP1" s="560" t="s">
        <v>15</v>
      </c>
      <c r="GUQ1" s="560"/>
      <c r="GUR1" s="560"/>
      <c r="GUS1" s="560"/>
      <c r="GUT1" s="560"/>
      <c r="GUU1" s="560"/>
      <c r="GUV1" s="560"/>
      <c r="GUW1" s="560"/>
      <c r="GUX1" s="560" t="s">
        <v>15</v>
      </c>
      <c r="GUY1" s="560"/>
      <c r="GUZ1" s="560"/>
      <c r="GVA1" s="560"/>
      <c r="GVB1" s="560"/>
      <c r="GVC1" s="560"/>
      <c r="GVD1" s="560"/>
      <c r="GVE1" s="560"/>
      <c r="GVF1" s="560" t="s">
        <v>15</v>
      </c>
      <c r="GVG1" s="560"/>
      <c r="GVH1" s="560"/>
      <c r="GVI1" s="560"/>
      <c r="GVJ1" s="560"/>
      <c r="GVK1" s="560"/>
      <c r="GVL1" s="560"/>
      <c r="GVM1" s="560"/>
      <c r="GVN1" s="560" t="s">
        <v>15</v>
      </c>
      <c r="GVO1" s="560"/>
      <c r="GVP1" s="560"/>
      <c r="GVQ1" s="560"/>
      <c r="GVR1" s="560"/>
      <c r="GVS1" s="560"/>
      <c r="GVT1" s="560"/>
      <c r="GVU1" s="560"/>
      <c r="GVV1" s="560" t="s">
        <v>15</v>
      </c>
      <c r="GVW1" s="560"/>
      <c r="GVX1" s="560"/>
      <c r="GVY1" s="560"/>
      <c r="GVZ1" s="560"/>
      <c r="GWA1" s="560"/>
      <c r="GWB1" s="560"/>
      <c r="GWC1" s="560"/>
      <c r="GWD1" s="560" t="s">
        <v>15</v>
      </c>
      <c r="GWE1" s="560"/>
      <c r="GWF1" s="560"/>
      <c r="GWG1" s="560"/>
      <c r="GWH1" s="560"/>
      <c r="GWI1" s="560"/>
      <c r="GWJ1" s="560"/>
      <c r="GWK1" s="560"/>
      <c r="GWL1" s="560" t="s">
        <v>15</v>
      </c>
      <c r="GWM1" s="560"/>
      <c r="GWN1" s="560"/>
      <c r="GWO1" s="560"/>
      <c r="GWP1" s="560"/>
      <c r="GWQ1" s="560"/>
      <c r="GWR1" s="560"/>
      <c r="GWS1" s="560"/>
      <c r="GWT1" s="560" t="s">
        <v>15</v>
      </c>
      <c r="GWU1" s="560"/>
      <c r="GWV1" s="560"/>
      <c r="GWW1" s="560"/>
      <c r="GWX1" s="560"/>
      <c r="GWY1" s="560"/>
      <c r="GWZ1" s="560"/>
      <c r="GXA1" s="560"/>
      <c r="GXB1" s="560" t="s">
        <v>15</v>
      </c>
      <c r="GXC1" s="560"/>
      <c r="GXD1" s="560"/>
      <c r="GXE1" s="560"/>
      <c r="GXF1" s="560"/>
      <c r="GXG1" s="560"/>
      <c r="GXH1" s="560"/>
      <c r="GXI1" s="560"/>
      <c r="GXJ1" s="560" t="s">
        <v>15</v>
      </c>
      <c r="GXK1" s="560"/>
      <c r="GXL1" s="560"/>
      <c r="GXM1" s="560"/>
      <c r="GXN1" s="560"/>
      <c r="GXO1" s="560"/>
      <c r="GXP1" s="560"/>
      <c r="GXQ1" s="560"/>
      <c r="GXR1" s="560" t="s">
        <v>15</v>
      </c>
      <c r="GXS1" s="560"/>
      <c r="GXT1" s="560"/>
      <c r="GXU1" s="560"/>
      <c r="GXV1" s="560"/>
      <c r="GXW1" s="560"/>
      <c r="GXX1" s="560"/>
      <c r="GXY1" s="560"/>
      <c r="GXZ1" s="560" t="s">
        <v>15</v>
      </c>
      <c r="GYA1" s="560"/>
      <c r="GYB1" s="560"/>
      <c r="GYC1" s="560"/>
      <c r="GYD1" s="560"/>
      <c r="GYE1" s="560"/>
      <c r="GYF1" s="560"/>
      <c r="GYG1" s="560"/>
      <c r="GYH1" s="560" t="s">
        <v>15</v>
      </c>
      <c r="GYI1" s="560"/>
      <c r="GYJ1" s="560"/>
      <c r="GYK1" s="560"/>
      <c r="GYL1" s="560"/>
      <c r="GYM1" s="560"/>
      <c r="GYN1" s="560"/>
      <c r="GYO1" s="560"/>
      <c r="GYP1" s="560" t="s">
        <v>15</v>
      </c>
      <c r="GYQ1" s="560"/>
      <c r="GYR1" s="560"/>
      <c r="GYS1" s="560"/>
      <c r="GYT1" s="560"/>
      <c r="GYU1" s="560"/>
      <c r="GYV1" s="560"/>
      <c r="GYW1" s="560"/>
      <c r="GYX1" s="560" t="s">
        <v>15</v>
      </c>
      <c r="GYY1" s="560"/>
      <c r="GYZ1" s="560"/>
      <c r="GZA1" s="560"/>
      <c r="GZB1" s="560"/>
      <c r="GZC1" s="560"/>
      <c r="GZD1" s="560"/>
      <c r="GZE1" s="560"/>
      <c r="GZF1" s="560" t="s">
        <v>15</v>
      </c>
      <c r="GZG1" s="560"/>
      <c r="GZH1" s="560"/>
      <c r="GZI1" s="560"/>
      <c r="GZJ1" s="560"/>
      <c r="GZK1" s="560"/>
      <c r="GZL1" s="560"/>
      <c r="GZM1" s="560"/>
      <c r="GZN1" s="560" t="s">
        <v>15</v>
      </c>
      <c r="GZO1" s="560"/>
      <c r="GZP1" s="560"/>
      <c r="GZQ1" s="560"/>
      <c r="GZR1" s="560"/>
      <c r="GZS1" s="560"/>
      <c r="GZT1" s="560"/>
      <c r="GZU1" s="560"/>
      <c r="GZV1" s="560" t="s">
        <v>15</v>
      </c>
      <c r="GZW1" s="560"/>
      <c r="GZX1" s="560"/>
      <c r="GZY1" s="560"/>
      <c r="GZZ1" s="560"/>
      <c r="HAA1" s="560"/>
      <c r="HAB1" s="560"/>
      <c r="HAC1" s="560"/>
      <c r="HAD1" s="560" t="s">
        <v>15</v>
      </c>
      <c r="HAE1" s="560"/>
      <c r="HAF1" s="560"/>
      <c r="HAG1" s="560"/>
      <c r="HAH1" s="560"/>
      <c r="HAI1" s="560"/>
      <c r="HAJ1" s="560"/>
      <c r="HAK1" s="560"/>
      <c r="HAL1" s="560" t="s">
        <v>15</v>
      </c>
      <c r="HAM1" s="560"/>
      <c r="HAN1" s="560"/>
      <c r="HAO1" s="560"/>
      <c r="HAP1" s="560"/>
      <c r="HAQ1" s="560"/>
      <c r="HAR1" s="560"/>
      <c r="HAS1" s="560"/>
      <c r="HAT1" s="560" t="s">
        <v>15</v>
      </c>
      <c r="HAU1" s="560"/>
      <c r="HAV1" s="560"/>
      <c r="HAW1" s="560"/>
      <c r="HAX1" s="560"/>
      <c r="HAY1" s="560"/>
      <c r="HAZ1" s="560"/>
      <c r="HBA1" s="560"/>
      <c r="HBB1" s="560" t="s">
        <v>15</v>
      </c>
      <c r="HBC1" s="560"/>
      <c r="HBD1" s="560"/>
      <c r="HBE1" s="560"/>
      <c r="HBF1" s="560"/>
      <c r="HBG1" s="560"/>
      <c r="HBH1" s="560"/>
      <c r="HBI1" s="560"/>
      <c r="HBJ1" s="560" t="s">
        <v>15</v>
      </c>
      <c r="HBK1" s="560"/>
      <c r="HBL1" s="560"/>
      <c r="HBM1" s="560"/>
      <c r="HBN1" s="560"/>
      <c r="HBO1" s="560"/>
      <c r="HBP1" s="560"/>
      <c r="HBQ1" s="560"/>
      <c r="HBR1" s="560" t="s">
        <v>15</v>
      </c>
      <c r="HBS1" s="560"/>
      <c r="HBT1" s="560"/>
      <c r="HBU1" s="560"/>
      <c r="HBV1" s="560"/>
      <c r="HBW1" s="560"/>
      <c r="HBX1" s="560"/>
      <c r="HBY1" s="560"/>
      <c r="HBZ1" s="560" t="s">
        <v>15</v>
      </c>
      <c r="HCA1" s="560"/>
      <c r="HCB1" s="560"/>
      <c r="HCC1" s="560"/>
      <c r="HCD1" s="560"/>
      <c r="HCE1" s="560"/>
      <c r="HCF1" s="560"/>
      <c r="HCG1" s="560"/>
      <c r="HCH1" s="560" t="s">
        <v>15</v>
      </c>
      <c r="HCI1" s="560"/>
      <c r="HCJ1" s="560"/>
      <c r="HCK1" s="560"/>
      <c r="HCL1" s="560"/>
      <c r="HCM1" s="560"/>
      <c r="HCN1" s="560"/>
      <c r="HCO1" s="560"/>
      <c r="HCP1" s="560" t="s">
        <v>15</v>
      </c>
      <c r="HCQ1" s="560"/>
      <c r="HCR1" s="560"/>
      <c r="HCS1" s="560"/>
      <c r="HCT1" s="560"/>
      <c r="HCU1" s="560"/>
      <c r="HCV1" s="560"/>
      <c r="HCW1" s="560"/>
      <c r="HCX1" s="560" t="s">
        <v>15</v>
      </c>
      <c r="HCY1" s="560"/>
      <c r="HCZ1" s="560"/>
      <c r="HDA1" s="560"/>
      <c r="HDB1" s="560"/>
      <c r="HDC1" s="560"/>
      <c r="HDD1" s="560"/>
      <c r="HDE1" s="560"/>
      <c r="HDF1" s="560" t="s">
        <v>15</v>
      </c>
      <c r="HDG1" s="560"/>
      <c r="HDH1" s="560"/>
      <c r="HDI1" s="560"/>
      <c r="HDJ1" s="560"/>
      <c r="HDK1" s="560"/>
      <c r="HDL1" s="560"/>
      <c r="HDM1" s="560"/>
      <c r="HDN1" s="560" t="s">
        <v>15</v>
      </c>
      <c r="HDO1" s="560"/>
      <c r="HDP1" s="560"/>
      <c r="HDQ1" s="560"/>
      <c r="HDR1" s="560"/>
      <c r="HDS1" s="560"/>
      <c r="HDT1" s="560"/>
      <c r="HDU1" s="560"/>
      <c r="HDV1" s="560" t="s">
        <v>15</v>
      </c>
      <c r="HDW1" s="560"/>
      <c r="HDX1" s="560"/>
      <c r="HDY1" s="560"/>
      <c r="HDZ1" s="560"/>
      <c r="HEA1" s="560"/>
      <c r="HEB1" s="560"/>
      <c r="HEC1" s="560"/>
      <c r="HED1" s="560" t="s">
        <v>15</v>
      </c>
      <c r="HEE1" s="560"/>
      <c r="HEF1" s="560"/>
      <c r="HEG1" s="560"/>
      <c r="HEH1" s="560"/>
      <c r="HEI1" s="560"/>
      <c r="HEJ1" s="560"/>
      <c r="HEK1" s="560"/>
      <c r="HEL1" s="560" t="s">
        <v>15</v>
      </c>
      <c r="HEM1" s="560"/>
      <c r="HEN1" s="560"/>
      <c r="HEO1" s="560"/>
      <c r="HEP1" s="560"/>
      <c r="HEQ1" s="560"/>
      <c r="HER1" s="560"/>
      <c r="HES1" s="560"/>
      <c r="HET1" s="560" t="s">
        <v>15</v>
      </c>
      <c r="HEU1" s="560"/>
      <c r="HEV1" s="560"/>
      <c r="HEW1" s="560"/>
      <c r="HEX1" s="560"/>
      <c r="HEY1" s="560"/>
      <c r="HEZ1" s="560"/>
      <c r="HFA1" s="560"/>
      <c r="HFB1" s="560" t="s">
        <v>15</v>
      </c>
      <c r="HFC1" s="560"/>
      <c r="HFD1" s="560"/>
      <c r="HFE1" s="560"/>
      <c r="HFF1" s="560"/>
      <c r="HFG1" s="560"/>
      <c r="HFH1" s="560"/>
      <c r="HFI1" s="560"/>
      <c r="HFJ1" s="560" t="s">
        <v>15</v>
      </c>
      <c r="HFK1" s="560"/>
      <c r="HFL1" s="560"/>
      <c r="HFM1" s="560"/>
      <c r="HFN1" s="560"/>
      <c r="HFO1" s="560"/>
      <c r="HFP1" s="560"/>
      <c r="HFQ1" s="560"/>
      <c r="HFR1" s="560" t="s">
        <v>15</v>
      </c>
      <c r="HFS1" s="560"/>
      <c r="HFT1" s="560"/>
      <c r="HFU1" s="560"/>
      <c r="HFV1" s="560"/>
      <c r="HFW1" s="560"/>
      <c r="HFX1" s="560"/>
      <c r="HFY1" s="560"/>
      <c r="HFZ1" s="560" t="s">
        <v>15</v>
      </c>
      <c r="HGA1" s="560"/>
      <c r="HGB1" s="560"/>
      <c r="HGC1" s="560"/>
      <c r="HGD1" s="560"/>
      <c r="HGE1" s="560"/>
      <c r="HGF1" s="560"/>
      <c r="HGG1" s="560"/>
      <c r="HGH1" s="560" t="s">
        <v>15</v>
      </c>
      <c r="HGI1" s="560"/>
      <c r="HGJ1" s="560"/>
      <c r="HGK1" s="560"/>
      <c r="HGL1" s="560"/>
      <c r="HGM1" s="560"/>
      <c r="HGN1" s="560"/>
      <c r="HGO1" s="560"/>
      <c r="HGP1" s="560" t="s">
        <v>15</v>
      </c>
      <c r="HGQ1" s="560"/>
      <c r="HGR1" s="560"/>
      <c r="HGS1" s="560"/>
      <c r="HGT1" s="560"/>
      <c r="HGU1" s="560"/>
      <c r="HGV1" s="560"/>
      <c r="HGW1" s="560"/>
      <c r="HGX1" s="560" t="s">
        <v>15</v>
      </c>
      <c r="HGY1" s="560"/>
      <c r="HGZ1" s="560"/>
      <c r="HHA1" s="560"/>
      <c r="HHB1" s="560"/>
      <c r="HHC1" s="560"/>
      <c r="HHD1" s="560"/>
      <c r="HHE1" s="560"/>
      <c r="HHF1" s="560" t="s">
        <v>15</v>
      </c>
      <c r="HHG1" s="560"/>
      <c r="HHH1" s="560"/>
      <c r="HHI1" s="560"/>
      <c r="HHJ1" s="560"/>
      <c r="HHK1" s="560"/>
      <c r="HHL1" s="560"/>
      <c r="HHM1" s="560"/>
      <c r="HHN1" s="560" t="s">
        <v>15</v>
      </c>
      <c r="HHO1" s="560"/>
      <c r="HHP1" s="560"/>
      <c r="HHQ1" s="560"/>
      <c r="HHR1" s="560"/>
      <c r="HHS1" s="560"/>
      <c r="HHT1" s="560"/>
      <c r="HHU1" s="560"/>
      <c r="HHV1" s="560" t="s">
        <v>15</v>
      </c>
      <c r="HHW1" s="560"/>
      <c r="HHX1" s="560"/>
      <c r="HHY1" s="560"/>
      <c r="HHZ1" s="560"/>
      <c r="HIA1" s="560"/>
      <c r="HIB1" s="560"/>
      <c r="HIC1" s="560"/>
      <c r="HID1" s="560" t="s">
        <v>15</v>
      </c>
      <c r="HIE1" s="560"/>
      <c r="HIF1" s="560"/>
      <c r="HIG1" s="560"/>
      <c r="HIH1" s="560"/>
      <c r="HII1" s="560"/>
      <c r="HIJ1" s="560"/>
      <c r="HIK1" s="560"/>
      <c r="HIL1" s="560" t="s">
        <v>15</v>
      </c>
      <c r="HIM1" s="560"/>
      <c r="HIN1" s="560"/>
      <c r="HIO1" s="560"/>
      <c r="HIP1" s="560"/>
      <c r="HIQ1" s="560"/>
      <c r="HIR1" s="560"/>
      <c r="HIS1" s="560"/>
      <c r="HIT1" s="560" t="s">
        <v>15</v>
      </c>
      <c r="HIU1" s="560"/>
      <c r="HIV1" s="560"/>
      <c r="HIW1" s="560"/>
      <c r="HIX1" s="560"/>
      <c r="HIY1" s="560"/>
      <c r="HIZ1" s="560"/>
      <c r="HJA1" s="560"/>
      <c r="HJB1" s="560" t="s">
        <v>15</v>
      </c>
      <c r="HJC1" s="560"/>
      <c r="HJD1" s="560"/>
      <c r="HJE1" s="560"/>
      <c r="HJF1" s="560"/>
      <c r="HJG1" s="560"/>
      <c r="HJH1" s="560"/>
      <c r="HJI1" s="560"/>
      <c r="HJJ1" s="560" t="s">
        <v>15</v>
      </c>
      <c r="HJK1" s="560"/>
      <c r="HJL1" s="560"/>
      <c r="HJM1" s="560"/>
      <c r="HJN1" s="560"/>
      <c r="HJO1" s="560"/>
      <c r="HJP1" s="560"/>
      <c r="HJQ1" s="560"/>
      <c r="HJR1" s="560" t="s">
        <v>15</v>
      </c>
      <c r="HJS1" s="560"/>
      <c r="HJT1" s="560"/>
      <c r="HJU1" s="560"/>
      <c r="HJV1" s="560"/>
      <c r="HJW1" s="560"/>
      <c r="HJX1" s="560"/>
      <c r="HJY1" s="560"/>
      <c r="HJZ1" s="560" t="s">
        <v>15</v>
      </c>
      <c r="HKA1" s="560"/>
      <c r="HKB1" s="560"/>
      <c r="HKC1" s="560"/>
      <c r="HKD1" s="560"/>
      <c r="HKE1" s="560"/>
      <c r="HKF1" s="560"/>
      <c r="HKG1" s="560"/>
      <c r="HKH1" s="560" t="s">
        <v>15</v>
      </c>
      <c r="HKI1" s="560"/>
      <c r="HKJ1" s="560"/>
      <c r="HKK1" s="560"/>
      <c r="HKL1" s="560"/>
      <c r="HKM1" s="560"/>
      <c r="HKN1" s="560"/>
      <c r="HKO1" s="560"/>
      <c r="HKP1" s="560" t="s">
        <v>15</v>
      </c>
      <c r="HKQ1" s="560"/>
      <c r="HKR1" s="560"/>
      <c r="HKS1" s="560"/>
      <c r="HKT1" s="560"/>
      <c r="HKU1" s="560"/>
      <c r="HKV1" s="560"/>
      <c r="HKW1" s="560"/>
      <c r="HKX1" s="560" t="s">
        <v>15</v>
      </c>
      <c r="HKY1" s="560"/>
      <c r="HKZ1" s="560"/>
      <c r="HLA1" s="560"/>
      <c r="HLB1" s="560"/>
      <c r="HLC1" s="560"/>
      <c r="HLD1" s="560"/>
      <c r="HLE1" s="560"/>
      <c r="HLF1" s="560" t="s">
        <v>15</v>
      </c>
      <c r="HLG1" s="560"/>
      <c r="HLH1" s="560"/>
      <c r="HLI1" s="560"/>
      <c r="HLJ1" s="560"/>
      <c r="HLK1" s="560"/>
      <c r="HLL1" s="560"/>
      <c r="HLM1" s="560"/>
      <c r="HLN1" s="560" t="s">
        <v>15</v>
      </c>
      <c r="HLO1" s="560"/>
      <c r="HLP1" s="560"/>
      <c r="HLQ1" s="560"/>
      <c r="HLR1" s="560"/>
      <c r="HLS1" s="560"/>
      <c r="HLT1" s="560"/>
      <c r="HLU1" s="560"/>
      <c r="HLV1" s="560" t="s">
        <v>15</v>
      </c>
      <c r="HLW1" s="560"/>
      <c r="HLX1" s="560"/>
      <c r="HLY1" s="560"/>
      <c r="HLZ1" s="560"/>
      <c r="HMA1" s="560"/>
      <c r="HMB1" s="560"/>
      <c r="HMC1" s="560"/>
      <c r="HMD1" s="560" t="s">
        <v>15</v>
      </c>
      <c r="HME1" s="560"/>
      <c r="HMF1" s="560"/>
      <c r="HMG1" s="560"/>
      <c r="HMH1" s="560"/>
      <c r="HMI1" s="560"/>
      <c r="HMJ1" s="560"/>
      <c r="HMK1" s="560"/>
      <c r="HML1" s="560" t="s">
        <v>15</v>
      </c>
      <c r="HMM1" s="560"/>
      <c r="HMN1" s="560"/>
      <c r="HMO1" s="560"/>
      <c r="HMP1" s="560"/>
      <c r="HMQ1" s="560"/>
      <c r="HMR1" s="560"/>
      <c r="HMS1" s="560"/>
      <c r="HMT1" s="560" t="s">
        <v>15</v>
      </c>
      <c r="HMU1" s="560"/>
      <c r="HMV1" s="560"/>
      <c r="HMW1" s="560"/>
      <c r="HMX1" s="560"/>
      <c r="HMY1" s="560"/>
      <c r="HMZ1" s="560"/>
      <c r="HNA1" s="560"/>
      <c r="HNB1" s="560" t="s">
        <v>15</v>
      </c>
      <c r="HNC1" s="560"/>
      <c r="HND1" s="560"/>
      <c r="HNE1" s="560"/>
      <c r="HNF1" s="560"/>
      <c r="HNG1" s="560"/>
      <c r="HNH1" s="560"/>
      <c r="HNI1" s="560"/>
      <c r="HNJ1" s="560" t="s">
        <v>15</v>
      </c>
      <c r="HNK1" s="560"/>
      <c r="HNL1" s="560"/>
      <c r="HNM1" s="560"/>
      <c r="HNN1" s="560"/>
      <c r="HNO1" s="560"/>
      <c r="HNP1" s="560"/>
      <c r="HNQ1" s="560"/>
      <c r="HNR1" s="560" t="s">
        <v>15</v>
      </c>
      <c r="HNS1" s="560"/>
      <c r="HNT1" s="560"/>
      <c r="HNU1" s="560"/>
      <c r="HNV1" s="560"/>
      <c r="HNW1" s="560"/>
      <c r="HNX1" s="560"/>
      <c r="HNY1" s="560"/>
      <c r="HNZ1" s="560" t="s">
        <v>15</v>
      </c>
      <c r="HOA1" s="560"/>
      <c r="HOB1" s="560"/>
      <c r="HOC1" s="560"/>
      <c r="HOD1" s="560"/>
      <c r="HOE1" s="560"/>
      <c r="HOF1" s="560"/>
      <c r="HOG1" s="560"/>
      <c r="HOH1" s="560" t="s">
        <v>15</v>
      </c>
      <c r="HOI1" s="560"/>
      <c r="HOJ1" s="560"/>
      <c r="HOK1" s="560"/>
      <c r="HOL1" s="560"/>
      <c r="HOM1" s="560"/>
      <c r="HON1" s="560"/>
      <c r="HOO1" s="560"/>
      <c r="HOP1" s="560" t="s">
        <v>15</v>
      </c>
      <c r="HOQ1" s="560"/>
      <c r="HOR1" s="560"/>
      <c r="HOS1" s="560"/>
      <c r="HOT1" s="560"/>
      <c r="HOU1" s="560"/>
      <c r="HOV1" s="560"/>
      <c r="HOW1" s="560"/>
      <c r="HOX1" s="560" t="s">
        <v>15</v>
      </c>
      <c r="HOY1" s="560"/>
      <c r="HOZ1" s="560"/>
      <c r="HPA1" s="560"/>
      <c r="HPB1" s="560"/>
      <c r="HPC1" s="560"/>
      <c r="HPD1" s="560"/>
      <c r="HPE1" s="560"/>
      <c r="HPF1" s="560" t="s">
        <v>15</v>
      </c>
      <c r="HPG1" s="560"/>
      <c r="HPH1" s="560"/>
      <c r="HPI1" s="560"/>
      <c r="HPJ1" s="560"/>
      <c r="HPK1" s="560"/>
      <c r="HPL1" s="560"/>
      <c r="HPM1" s="560"/>
      <c r="HPN1" s="560" t="s">
        <v>15</v>
      </c>
      <c r="HPO1" s="560"/>
      <c r="HPP1" s="560"/>
      <c r="HPQ1" s="560"/>
      <c r="HPR1" s="560"/>
      <c r="HPS1" s="560"/>
      <c r="HPT1" s="560"/>
      <c r="HPU1" s="560"/>
      <c r="HPV1" s="560" t="s">
        <v>15</v>
      </c>
      <c r="HPW1" s="560"/>
      <c r="HPX1" s="560"/>
      <c r="HPY1" s="560"/>
      <c r="HPZ1" s="560"/>
      <c r="HQA1" s="560"/>
      <c r="HQB1" s="560"/>
      <c r="HQC1" s="560"/>
      <c r="HQD1" s="560" t="s">
        <v>15</v>
      </c>
      <c r="HQE1" s="560"/>
      <c r="HQF1" s="560"/>
      <c r="HQG1" s="560"/>
      <c r="HQH1" s="560"/>
      <c r="HQI1" s="560"/>
      <c r="HQJ1" s="560"/>
      <c r="HQK1" s="560"/>
      <c r="HQL1" s="560" t="s">
        <v>15</v>
      </c>
      <c r="HQM1" s="560"/>
      <c r="HQN1" s="560"/>
      <c r="HQO1" s="560"/>
      <c r="HQP1" s="560"/>
      <c r="HQQ1" s="560"/>
      <c r="HQR1" s="560"/>
      <c r="HQS1" s="560"/>
      <c r="HQT1" s="560" t="s">
        <v>15</v>
      </c>
      <c r="HQU1" s="560"/>
      <c r="HQV1" s="560"/>
      <c r="HQW1" s="560"/>
      <c r="HQX1" s="560"/>
      <c r="HQY1" s="560"/>
      <c r="HQZ1" s="560"/>
      <c r="HRA1" s="560"/>
      <c r="HRB1" s="560" t="s">
        <v>15</v>
      </c>
      <c r="HRC1" s="560"/>
      <c r="HRD1" s="560"/>
      <c r="HRE1" s="560"/>
      <c r="HRF1" s="560"/>
      <c r="HRG1" s="560"/>
      <c r="HRH1" s="560"/>
      <c r="HRI1" s="560"/>
      <c r="HRJ1" s="560" t="s">
        <v>15</v>
      </c>
      <c r="HRK1" s="560"/>
      <c r="HRL1" s="560"/>
      <c r="HRM1" s="560"/>
      <c r="HRN1" s="560"/>
      <c r="HRO1" s="560"/>
      <c r="HRP1" s="560"/>
      <c r="HRQ1" s="560"/>
      <c r="HRR1" s="560" t="s">
        <v>15</v>
      </c>
      <c r="HRS1" s="560"/>
      <c r="HRT1" s="560"/>
      <c r="HRU1" s="560"/>
      <c r="HRV1" s="560"/>
      <c r="HRW1" s="560"/>
      <c r="HRX1" s="560"/>
      <c r="HRY1" s="560"/>
      <c r="HRZ1" s="560" t="s">
        <v>15</v>
      </c>
      <c r="HSA1" s="560"/>
      <c r="HSB1" s="560"/>
      <c r="HSC1" s="560"/>
      <c r="HSD1" s="560"/>
      <c r="HSE1" s="560"/>
      <c r="HSF1" s="560"/>
      <c r="HSG1" s="560"/>
      <c r="HSH1" s="560" t="s">
        <v>15</v>
      </c>
      <c r="HSI1" s="560"/>
      <c r="HSJ1" s="560"/>
      <c r="HSK1" s="560"/>
      <c r="HSL1" s="560"/>
      <c r="HSM1" s="560"/>
      <c r="HSN1" s="560"/>
      <c r="HSO1" s="560"/>
      <c r="HSP1" s="560" t="s">
        <v>15</v>
      </c>
      <c r="HSQ1" s="560"/>
      <c r="HSR1" s="560"/>
      <c r="HSS1" s="560"/>
      <c r="HST1" s="560"/>
      <c r="HSU1" s="560"/>
      <c r="HSV1" s="560"/>
      <c r="HSW1" s="560"/>
      <c r="HSX1" s="560" t="s">
        <v>15</v>
      </c>
      <c r="HSY1" s="560"/>
      <c r="HSZ1" s="560"/>
      <c r="HTA1" s="560"/>
      <c r="HTB1" s="560"/>
      <c r="HTC1" s="560"/>
      <c r="HTD1" s="560"/>
      <c r="HTE1" s="560"/>
      <c r="HTF1" s="560" t="s">
        <v>15</v>
      </c>
      <c r="HTG1" s="560"/>
      <c r="HTH1" s="560"/>
      <c r="HTI1" s="560"/>
      <c r="HTJ1" s="560"/>
      <c r="HTK1" s="560"/>
      <c r="HTL1" s="560"/>
      <c r="HTM1" s="560"/>
      <c r="HTN1" s="560" t="s">
        <v>15</v>
      </c>
      <c r="HTO1" s="560"/>
      <c r="HTP1" s="560"/>
      <c r="HTQ1" s="560"/>
      <c r="HTR1" s="560"/>
      <c r="HTS1" s="560"/>
      <c r="HTT1" s="560"/>
      <c r="HTU1" s="560"/>
      <c r="HTV1" s="560" t="s">
        <v>15</v>
      </c>
      <c r="HTW1" s="560"/>
      <c r="HTX1" s="560"/>
      <c r="HTY1" s="560"/>
      <c r="HTZ1" s="560"/>
      <c r="HUA1" s="560"/>
      <c r="HUB1" s="560"/>
      <c r="HUC1" s="560"/>
      <c r="HUD1" s="560" t="s">
        <v>15</v>
      </c>
      <c r="HUE1" s="560"/>
      <c r="HUF1" s="560"/>
      <c r="HUG1" s="560"/>
      <c r="HUH1" s="560"/>
      <c r="HUI1" s="560"/>
      <c r="HUJ1" s="560"/>
      <c r="HUK1" s="560"/>
      <c r="HUL1" s="560" t="s">
        <v>15</v>
      </c>
      <c r="HUM1" s="560"/>
      <c r="HUN1" s="560"/>
      <c r="HUO1" s="560"/>
      <c r="HUP1" s="560"/>
      <c r="HUQ1" s="560"/>
      <c r="HUR1" s="560"/>
      <c r="HUS1" s="560"/>
      <c r="HUT1" s="560" t="s">
        <v>15</v>
      </c>
      <c r="HUU1" s="560"/>
      <c r="HUV1" s="560"/>
      <c r="HUW1" s="560"/>
      <c r="HUX1" s="560"/>
      <c r="HUY1" s="560"/>
      <c r="HUZ1" s="560"/>
      <c r="HVA1" s="560"/>
      <c r="HVB1" s="560" t="s">
        <v>15</v>
      </c>
      <c r="HVC1" s="560"/>
      <c r="HVD1" s="560"/>
      <c r="HVE1" s="560"/>
      <c r="HVF1" s="560"/>
      <c r="HVG1" s="560"/>
      <c r="HVH1" s="560"/>
      <c r="HVI1" s="560"/>
      <c r="HVJ1" s="560" t="s">
        <v>15</v>
      </c>
      <c r="HVK1" s="560"/>
      <c r="HVL1" s="560"/>
      <c r="HVM1" s="560"/>
      <c r="HVN1" s="560"/>
      <c r="HVO1" s="560"/>
      <c r="HVP1" s="560"/>
      <c r="HVQ1" s="560"/>
      <c r="HVR1" s="560" t="s">
        <v>15</v>
      </c>
      <c r="HVS1" s="560"/>
      <c r="HVT1" s="560"/>
      <c r="HVU1" s="560"/>
      <c r="HVV1" s="560"/>
      <c r="HVW1" s="560"/>
      <c r="HVX1" s="560"/>
      <c r="HVY1" s="560"/>
      <c r="HVZ1" s="560" t="s">
        <v>15</v>
      </c>
      <c r="HWA1" s="560"/>
      <c r="HWB1" s="560"/>
      <c r="HWC1" s="560"/>
      <c r="HWD1" s="560"/>
      <c r="HWE1" s="560"/>
      <c r="HWF1" s="560"/>
      <c r="HWG1" s="560"/>
      <c r="HWH1" s="560" t="s">
        <v>15</v>
      </c>
      <c r="HWI1" s="560"/>
      <c r="HWJ1" s="560"/>
      <c r="HWK1" s="560"/>
      <c r="HWL1" s="560"/>
      <c r="HWM1" s="560"/>
      <c r="HWN1" s="560"/>
      <c r="HWO1" s="560"/>
      <c r="HWP1" s="560" t="s">
        <v>15</v>
      </c>
      <c r="HWQ1" s="560"/>
      <c r="HWR1" s="560"/>
      <c r="HWS1" s="560"/>
      <c r="HWT1" s="560"/>
      <c r="HWU1" s="560"/>
      <c r="HWV1" s="560"/>
      <c r="HWW1" s="560"/>
      <c r="HWX1" s="560" t="s">
        <v>15</v>
      </c>
      <c r="HWY1" s="560"/>
      <c r="HWZ1" s="560"/>
      <c r="HXA1" s="560"/>
      <c r="HXB1" s="560"/>
      <c r="HXC1" s="560"/>
      <c r="HXD1" s="560"/>
      <c r="HXE1" s="560"/>
      <c r="HXF1" s="560" t="s">
        <v>15</v>
      </c>
      <c r="HXG1" s="560"/>
      <c r="HXH1" s="560"/>
      <c r="HXI1" s="560"/>
      <c r="HXJ1" s="560"/>
      <c r="HXK1" s="560"/>
      <c r="HXL1" s="560"/>
      <c r="HXM1" s="560"/>
      <c r="HXN1" s="560" t="s">
        <v>15</v>
      </c>
      <c r="HXO1" s="560"/>
      <c r="HXP1" s="560"/>
      <c r="HXQ1" s="560"/>
      <c r="HXR1" s="560"/>
      <c r="HXS1" s="560"/>
      <c r="HXT1" s="560"/>
      <c r="HXU1" s="560"/>
      <c r="HXV1" s="560" t="s">
        <v>15</v>
      </c>
      <c r="HXW1" s="560"/>
      <c r="HXX1" s="560"/>
      <c r="HXY1" s="560"/>
      <c r="HXZ1" s="560"/>
      <c r="HYA1" s="560"/>
      <c r="HYB1" s="560"/>
      <c r="HYC1" s="560"/>
      <c r="HYD1" s="560" t="s">
        <v>15</v>
      </c>
      <c r="HYE1" s="560"/>
      <c r="HYF1" s="560"/>
      <c r="HYG1" s="560"/>
      <c r="HYH1" s="560"/>
      <c r="HYI1" s="560"/>
      <c r="HYJ1" s="560"/>
      <c r="HYK1" s="560"/>
      <c r="HYL1" s="560" t="s">
        <v>15</v>
      </c>
      <c r="HYM1" s="560"/>
      <c r="HYN1" s="560"/>
      <c r="HYO1" s="560"/>
      <c r="HYP1" s="560"/>
      <c r="HYQ1" s="560"/>
      <c r="HYR1" s="560"/>
      <c r="HYS1" s="560"/>
      <c r="HYT1" s="560" t="s">
        <v>15</v>
      </c>
      <c r="HYU1" s="560"/>
      <c r="HYV1" s="560"/>
      <c r="HYW1" s="560"/>
      <c r="HYX1" s="560"/>
      <c r="HYY1" s="560"/>
      <c r="HYZ1" s="560"/>
      <c r="HZA1" s="560"/>
      <c r="HZB1" s="560" t="s">
        <v>15</v>
      </c>
      <c r="HZC1" s="560"/>
      <c r="HZD1" s="560"/>
      <c r="HZE1" s="560"/>
      <c r="HZF1" s="560"/>
      <c r="HZG1" s="560"/>
      <c r="HZH1" s="560"/>
      <c r="HZI1" s="560"/>
      <c r="HZJ1" s="560" t="s">
        <v>15</v>
      </c>
      <c r="HZK1" s="560"/>
      <c r="HZL1" s="560"/>
      <c r="HZM1" s="560"/>
      <c r="HZN1" s="560"/>
      <c r="HZO1" s="560"/>
      <c r="HZP1" s="560"/>
      <c r="HZQ1" s="560"/>
      <c r="HZR1" s="560" t="s">
        <v>15</v>
      </c>
      <c r="HZS1" s="560"/>
      <c r="HZT1" s="560"/>
      <c r="HZU1" s="560"/>
      <c r="HZV1" s="560"/>
      <c r="HZW1" s="560"/>
      <c r="HZX1" s="560"/>
      <c r="HZY1" s="560"/>
      <c r="HZZ1" s="560" t="s">
        <v>15</v>
      </c>
      <c r="IAA1" s="560"/>
      <c r="IAB1" s="560"/>
      <c r="IAC1" s="560"/>
      <c r="IAD1" s="560"/>
      <c r="IAE1" s="560"/>
      <c r="IAF1" s="560"/>
      <c r="IAG1" s="560"/>
      <c r="IAH1" s="560" t="s">
        <v>15</v>
      </c>
      <c r="IAI1" s="560"/>
      <c r="IAJ1" s="560"/>
      <c r="IAK1" s="560"/>
      <c r="IAL1" s="560"/>
      <c r="IAM1" s="560"/>
      <c r="IAN1" s="560"/>
      <c r="IAO1" s="560"/>
      <c r="IAP1" s="560" t="s">
        <v>15</v>
      </c>
      <c r="IAQ1" s="560"/>
      <c r="IAR1" s="560"/>
      <c r="IAS1" s="560"/>
      <c r="IAT1" s="560"/>
      <c r="IAU1" s="560"/>
      <c r="IAV1" s="560"/>
      <c r="IAW1" s="560"/>
      <c r="IAX1" s="560" t="s">
        <v>15</v>
      </c>
      <c r="IAY1" s="560"/>
      <c r="IAZ1" s="560"/>
      <c r="IBA1" s="560"/>
      <c r="IBB1" s="560"/>
      <c r="IBC1" s="560"/>
      <c r="IBD1" s="560"/>
      <c r="IBE1" s="560"/>
      <c r="IBF1" s="560" t="s">
        <v>15</v>
      </c>
      <c r="IBG1" s="560"/>
      <c r="IBH1" s="560"/>
      <c r="IBI1" s="560"/>
      <c r="IBJ1" s="560"/>
      <c r="IBK1" s="560"/>
      <c r="IBL1" s="560"/>
      <c r="IBM1" s="560"/>
      <c r="IBN1" s="560" t="s">
        <v>15</v>
      </c>
      <c r="IBO1" s="560"/>
      <c r="IBP1" s="560"/>
      <c r="IBQ1" s="560"/>
      <c r="IBR1" s="560"/>
      <c r="IBS1" s="560"/>
      <c r="IBT1" s="560"/>
      <c r="IBU1" s="560"/>
      <c r="IBV1" s="560" t="s">
        <v>15</v>
      </c>
      <c r="IBW1" s="560"/>
      <c r="IBX1" s="560"/>
      <c r="IBY1" s="560"/>
      <c r="IBZ1" s="560"/>
      <c r="ICA1" s="560"/>
      <c r="ICB1" s="560"/>
      <c r="ICC1" s="560"/>
      <c r="ICD1" s="560" t="s">
        <v>15</v>
      </c>
      <c r="ICE1" s="560"/>
      <c r="ICF1" s="560"/>
      <c r="ICG1" s="560"/>
      <c r="ICH1" s="560"/>
      <c r="ICI1" s="560"/>
      <c r="ICJ1" s="560"/>
      <c r="ICK1" s="560"/>
      <c r="ICL1" s="560" t="s">
        <v>15</v>
      </c>
      <c r="ICM1" s="560"/>
      <c r="ICN1" s="560"/>
      <c r="ICO1" s="560"/>
      <c r="ICP1" s="560"/>
      <c r="ICQ1" s="560"/>
      <c r="ICR1" s="560"/>
      <c r="ICS1" s="560"/>
      <c r="ICT1" s="560" t="s">
        <v>15</v>
      </c>
      <c r="ICU1" s="560"/>
      <c r="ICV1" s="560"/>
      <c r="ICW1" s="560"/>
      <c r="ICX1" s="560"/>
      <c r="ICY1" s="560"/>
      <c r="ICZ1" s="560"/>
      <c r="IDA1" s="560"/>
      <c r="IDB1" s="560" t="s">
        <v>15</v>
      </c>
      <c r="IDC1" s="560"/>
      <c r="IDD1" s="560"/>
      <c r="IDE1" s="560"/>
      <c r="IDF1" s="560"/>
      <c r="IDG1" s="560"/>
      <c r="IDH1" s="560"/>
      <c r="IDI1" s="560"/>
      <c r="IDJ1" s="560" t="s">
        <v>15</v>
      </c>
      <c r="IDK1" s="560"/>
      <c r="IDL1" s="560"/>
      <c r="IDM1" s="560"/>
      <c r="IDN1" s="560"/>
      <c r="IDO1" s="560"/>
      <c r="IDP1" s="560"/>
      <c r="IDQ1" s="560"/>
      <c r="IDR1" s="560" t="s">
        <v>15</v>
      </c>
      <c r="IDS1" s="560"/>
      <c r="IDT1" s="560"/>
      <c r="IDU1" s="560"/>
      <c r="IDV1" s="560"/>
      <c r="IDW1" s="560"/>
      <c r="IDX1" s="560"/>
      <c r="IDY1" s="560"/>
      <c r="IDZ1" s="560" t="s">
        <v>15</v>
      </c>
      <c r="IEA1" s="560"/>
      <c r="IEB1" s="560"/>
      <c r="IEC1" s="560"/>
      <c r="IED1" s="560"/>
      <c r="IEE1" s="560"/>
      <c r="IEF1" s="560"/>
      <c r="IEG1" s="560"/>
      <c r="IEH1" s="560" t="s">
        <v>15</v>
      </c>
      <c r="IEI1" s="560"/>
      <c r="IEJ1" s="560"/>
      <c r="IEK1" s="560"/>
      <c r="IEL1" s="560"/>
      <c r="IEM1" s="560"/>
      <c r="IEN1" s="560"/>
      <c r="IEO1" s="560"/>
      <c r="IEP1" s="560" t="s">
        <v>15</v>
      </c>
      <c r="IEQ1" s="560"/>
      <c r="IER1" s="560"/>
      <c r="IES1" s="560"/>
      <c r="IET1" s="560"/>
      <c r="IEU1" s="560"/>
      <c r="IEV1" s="560"/>
      <c r="IEW1" s="560"/>
      <c r="IEX1" s="560" t="s">
        <v>15</v>
      </c>
      <c r="IEY1" s="560"/>
      <c r="IEZ1" s="560"/>
      <c r="IFA1" s="560"/>
      <c r="IFB1" s="560"/>
      <c r="IFC1" s="560"/>
      <c r="IFD1" s="560"/>
      <c r="IFE1" s="560"/>
      <c r="IFF1" s="560" t="s">
        <v>15</v>
      </c>
      <c r="IFG1" s="560"/>
      <c r="IFH1" s="560"/>
      <c r="IFI1" s="560"/>
      <c r="IFJ1" s="560"/>
      <c r="IFK1" s="560"/>
      <c r="IFL1" s="560"/>
      <c r="IFM1" s="560"/>
      <c r="IFN1" s="560" t="s">
        <v>15</v>
      </c>
      <c r="IFO1" s="560"/>
      <c r="IFP1" s="560"/>
      <c r="IFQ1" s="560"/>
      <c r="IFR1" s="560"/>
      <c r="IFS1" s="560"/>
      <c r="IFT1" s="560"/>
      <c r="IFU1" s="560"/>
      <c r="IFV1" s="560" t="s">
        <v>15</v>
      </c>
      <c r="IFW1" s="560"/>
      <c r="IFX1" s="560"/>
      <c r="IFY1" s="560"/>
      <c r="IFZ1" s="560"/>
      <c r="IGA1" s="560"/>
      <c r="IGB1" s="560"/>
      <c r="IGC1" s="560"/>
      <c r="IGD1" s="560" t="s">
        <v>15</v>
      </c>
      <c r="IGE1" s="560"/>
      <c r="IGF1" s="560"/>
      <c r="IGG1" s="560"/>
      <c r="IGH1" s="560"/>
      <c r="IGI1" s="560"/>
      <c r="IGJ1" s="560"/>
      <c r="IGK1" s="560"/>
      <c r="IGL1" s="560" t="s">
        <v>15</v>
      </c>
      <c r="IGM1" s="560"/>
      <c r="IGN1" s="560"/>
      <c r="IGO1" s="560"/>
      <c r="IGP1" s="560"/>
      <c r="IGQ1" s="560"/>
      <c r="IGR1" s="560"/>
      <c r="IGS1" s="560"/>
      <c r="IGT1" s="560" t="s">
        <v>15</v>
      </c>
      <c r="IGU1" s="560"/>
      <c r="IGV1" s="560"/>
      <c r="IGW1" s="560"/>
      <c r="IGX1" s="560"/>
      <c r="IGY1" s="560"/>
      <c r="IGZ1" s="560"/>
      <c r="IHA1" s="560"/>
      <c r="IHB1" s="560" t="s">
        <v>15</v>
      </c>
      <c r="IHC1" s="560"/>
      <c r="IHD1" s="560"/>
      <c r="IHE1" s="560"/>
      <c r="IHF1" s="560"/>
      <c r="IHG1" s="560"/>
      <c r="IHH1" s="560"/>
      <c r="IHI1" s="560"/>
      <c r="IHJ1" s="560" t="s">
        <v>15</v>
      </c>
      <c r="IHK1" s="560"/>
      <c r="IHL1" s="560"/>
      <c r="IHM1" s="560"/>
      <c r="IHN1" s="560"/>
      <c r="IHO1" s="560"/>
      <c r="IHP1" s="560"/>
      <c r="IHQ1" s="560"/>
      <c r="IHR1" s="560" t="s">
        <v>15</v>
      </c>
      <c r="IHS1" s="560"/>
      <c r="IHT1" s="560"/>
      <c r="IHU1" s="560"/>
      <c r="IHV1" s="560"/>
      <c r="IHW1" s="560"/>
      <c r="IHX1" s="560"/>
      <c r="IHY1" s="560"/>
      <c r="IHZ1" s="560" t="s">
        <v>15</v>
      </c>
      <c r="IIA1" s="560"/>
      <c r="IIB1" s="560"/>
      <c r="IIC1" s="560"/>
      <c r="IID1" s="560"/>
      <c r="IIE1" s="560"/>
      <c r="IIF1" s="560"/>
      <c r="IIG1" s="560"/>
      <c r="IIH1" s="560" t="s">
        <v>15</v>
      </c>
      <c r="III1" s="560"/>
      <c r="IIJ1" s="560"/>
      <c r="IIK1" s="560"/>
      <c r="IIL1" s="560"/>
      <c r="IIM1" s="560"/>
      <c r="IIN1" s="560"/>
      <c r="IIO1" s="560"/>
      <c r="IIP1" s="560" t="s">
        <v>15</v>
      </c>
      <c r="IIQ1" s="560"/>
      <c r="IIR1" s="560"/>
      <c r="IIS1" s="560"/>
      <c r="IIT1" s="560"/>
      <c r="IIU1" s="560"/>
      <c r="IIV1" s="560"/>
      <c r="IIW1" s="560"/>
      <c r="IIX1" s="560" t="s">
        <v>15</v>
      </c>
      <c r="IIY1" s="560"/>
      <c r="IIZ1" s="560"/>
      <c r="IJA1" s="560"/>
      <c r="IJB1" s="560"/>
      <c r="IJC1" s="560"/>
      <c r="IJD1" s="560"/>
      <c r="IJE1" s="560"/>
      <c r="IJF1" s="560" t="s">
        <v>15</v>
      </c>
      <c r="IJG1" s="560"/>
      <c r="IJH1" s="560"/>
      <c r="IJI1" s="560"/>
      <c r="IJJ1" s="560"/>
      <c r="IJK1" s="560"/>
      <c r="IJL1" s="560"/>
      <c r="IJM1" s="560"/>
      <c r="IJN1" s="560" t="s">
        <v>15</v>
      </c>
      <c r="IJO1" s="560"/>
      <c r="IJP1" s="560"/>
      <c r="IJQ1" s="560"/>
      <c r="IJR1" s="560"/>
      <c r="IJS1" s="560"/>
      <c r="IJT1" s="560"/>
      <c r="IJU1" s="560"/>
      <c r="IJV1" s="560" t="s">
        <v>15</v>
      </c>
      <c r="IJW1" s="560"/>
      <c r="IJX1" s="560"/>
      <c r="IJY1" s="560"/>
      <c r="IJZ1" s="560"/>
      <c r="IKA1" s="560"/>
      <c r="IKB1" s="560"/>
      <c r="IKC1" s="560"/>
      <c r="IKD1" s="560" t="s">
        <v>15</v>
      </c>
      <c r="IKE1" s="560"/>
      <c r="IKF1" s="560"/>
      <c r="IKG1" s="560"/>
      <c r="IKH1" s="560"/>
      <c r="IKI1" s="560"/>
      <c r="IKJ1" s="560"/>
      <c r="IKK1" s="560"/>
      <c r="IKL1" s="560" t="s">
        <v>15</v>
      </c>
      <c r="IKM1" s="560"/>
      <c r="IKN1" s="560"/>
      <c r="IKO1" s="560"/>
      <c r="IKP1" s="560"/>
      <c r="IKQ1" s="560"/>
      <c r="IKR1" s="560"/>
      <c r="IKS1" s="560"/>
      <c r="IKT1" s="560" t="s">
        <v>15</v>
      </c>
      <c r="IKU1" s="560"/>
      <c r="IKV1" s="560"/>
      <c r="IKW1" s="560"/>
      <c r="IKX1" s="560"/>
      <c r="IKY1" s="560"/>
      <c r="IKZ1" s="560"/>
      <c r="ILA1" s="560"/>
      <c r="ILB1" s="560" t="s">
        <v>15</v>
      </c>
      <c r="ILC1" s="560"/>
      <c r="ILD1" s="560"/>
      <c r="ILE1" s="560"/>
      <c r="ILF1" s="560"/>
      <c r="ILG1" s="560"/>
      <c r="ILH1" s="560"/>
      <c r="ILI1" s="560"/>
      <c r="ILJ1" s="560" t="s">
        <v>15</v>
      </c>
      <c r="ILK1" s="560"/>
      <c r="ILL1" s="560"/>
      <c r="ILM1" s="560"/>
      <c r="ILN1" s="560"/>
      <c r="ILO1" s="560"/>
      <c r="ILP1" s="560"/>
      <c r="ILQ1" s="560"/>
      <c r="ILR1" s="560" t="s">
        <v>15</v>
      </c>
      <c r="ILS1" s="560"/>
      <c r="ILT1" s="560"/>
      <c r="ILU1" s="560"/>
      <c r="ILV1" s="560"/>
      <c r="ILW1" s="560"/>
      <c r="ILX1" s="560"/>
      <c r="ILY1" s="560"/>
      <c r="ILZ1" s="560" t="s">
        <v>15</v>
      </c>
      <c r="IMA1" s="560"/>
      <c r="IMB1" s="560"/>
      <c r="IMC1" s="560"/>
      <c r="IMD1" s="560"/>
      <c r="IME1" s="560"/>
      <c r="IMF1" s="560"/>
      <c r="IMG1" s="560"/>
      <c r="IMH1" s="560" t="s">
        <v>15</v>
      </c>
      <c r="IMI1" s="560"/>
      <c r="IMJ1" s="560"/>
      <c r="IMK1" s="560"/>
      <c r="IML1" s="560"/>
      <c r="IMM1" s="560"/>
      <c r="IMN1" s="560"/>
      <c r="IMO1" s="560"/>
      <c r="IMP1" s="560" t="s">
        <v>15</v>
      </c>
      <c r="IMQ1" s="560"/>
      <c r="IMR1" s="560"/>
      <c r="IMS1" s="560"/>
      <c r="IMT1" s="560"/>
      <c r="IMU1" s="560"/>
      <c r="IMV1" s="560"/>
      <c r="IMW1" s="560"/>
      <c r="IMX1" s="560" t="s">
        <v>15</v>
      </c>
      <c r="IMY1" s="560"/>
      <c r="IMZ1" s="560"/>
      <c r="INA1" s="560"/>
      <c r="INB1" s="560"/>
      <c r="INC1" s="560"/>
      <c r="IND1" s="560"/>
      <c r="INE1" s="560"/>
      <c r="INF1" s="560" t="s">
        <v>15</v>
      </c>
      <c r="ING1" s="560"/>
      <c r="INH1" s="560"/>
      <c r="INI1" s="560"/>
      <c r="INJ1" s="560"/>
      <c r="INK1" s="560"/>
      <c r="INL1" s="560"/>
      <c r="INM1" s="560"/>
      <c r="INN1" s="560" t="s">
        <v>15</v>
      </c>
      <c r="INO1" s="560"/>
      <c r="INP1" s="560"/>
      <c r="INQ1" s="560"/>
      <c r="INR1" s="560"/>
      <c r="INS1" s="560"/>
      <c r="INT1" s="560"/>
      <c r="INU1" s="560"/>
      <c r="INV1" s="560" t="s">
        <v>15</v>
      </c>
      <c r="INW1" s="560"/>
      <c r="INX1" s="560"/>
      <c r="INY1" s="560"/>
      <c r="INZ1" s="560"/>
      <c r="IOA1" s="560"/>
      <c r="IOB1" s="560"/>
      <c r="IOC1" s="560"/>
      <c r="IOD1" s="560" t="s">
        <v>15</v>
      </c>
      <c r="IOE1" s="560"/>
      <c r="IOF1" s="560"/>
      <c r="IOG1" s="560"/>
      <c r="IOH1" s="560"/>
      <c r="IOI1" s="560"/>
      <c r="IOJ1" s="560"/>
      <c r="IOK1" s="560"/>
      <c r="IOL1" s="560" t="s">
        <v>15</v>
      </c>
      <c r="IOM1" s="560"/>
      <c r="ION1" s="560"/>
      <c r="IOO1" s="560"/>
      <c r="IOP1" s="560"/>
      <c r="IOQ1" s="560"/>
      <c r="IOR1" s="560"/>
      <c r="IOS1" s="560"/>
      <c r="IOT1" s="560" t="s">
        <v>15</v>
      </c>
      <c r="IOU1" s="560"/>
      <c r="IOV1" s="560"/>
      <c r="IOW1" s="560"/>
      <c r="IOX1" s="560"/>
      <c r="IOY1" s="560"/>
      <c r="IOZ1" s="560"/>
      <c r="IPA1" s="560"/>
      <c r="IPB1" s="560" t="s">
        <v>15</v>
      </c>
      <c r="IPC1" s="560"/>
      <c r="IPD1" s="560"/>
      <c r="IPE1" s="560"/>
      <c r="IPF1" s="560"/>
      <c r="IPG1" s="560"/>
      <c r="IPH1" s="560"/>
      <c r="IPI1" s="560"/>
      <c r="IPJ1" s="560" t="s">
        <v>15</v>
      </c>
      <c r="IPK1" s="560"/>
      <c r="IPL1" s="560"/>
      <c r="IPM1" s="560"/>
      <c r="IPN1" s="560"/>
      <c r="IPO1" s="560"/>
      <c r="IPP1" s="560"/>
      <c r="IPQ1" s="560"/>
      <c r="IPR1" s="560" t="s">
        <v>15</v>
      </c>
      <c r="IPS1" s="560"/>
      <c r="IPT1" s="560"/>
      <c r="IPU1" s="560"/>
      <c r="IPV1" s="560"/>
      <c r="IPW1" s="560"/>
      <c r="IPX1" s="560"/>
      <c r="IPY1" s="560"/>
      <c r="IPZ1" s="560" t="s">
        <v>15</v>
      </c>
      <c r="IQA1" s="560"/>
      <c r="IQB1" s="560"/>
      <c r="IQC1" s="560"/>
      <c r="IQD1" s="560"/>
      <c r="IQE1" s="560"/>
      <c r="IQF1" s="560"/>
      <c r="IQG1" s="560"/>
      <c r="IQH1" s="560" t="s">
        <v>15</v>
      </c>
      <c r="IQI1" s="560"/>
      <c r="IQJ1" s="560"/>
      <c r="IQK1" s="560"/>
      <c r="IQL1" s="560"/>
      <c r="IQM1" s="560"/>
      <c r="IQN1" s="560"/>
      <c r="IQO1" s="560"/>
      <c r="IQP1" s="560" t="s">
        <v>15</v>
      </c>
      <c r="IQQ1" s="560"/>
      <c r="IQR1" s="560"/>
      <c r="IQS1" s="560"/>
      <c r="IQT1" s="560"/>
      <c r="IQU1" s="560"/>
      <c r="IQV1" s="560"/>
      <c r="IQW1" s="560"/>
      <c r="IQX1" s="560" t="s">
        <v>15</v>
      </c>
      <c r="IQY1" s="560"/>
      <c r="IQZ1" s="560"/>
      <c r="IRA1" s="560"/>
      <c r="IRB1" s="560"/>
      <c r="IRC1" s="560"/>
      <c r="IRD1" s="560"/>
      <c r="IRE1" s="560"/>
      <c r="IRF1" s="560" t="s">
        <v>15</v>
      </c>
      <c r="IRG1" s="560"/>
      <c r="IRH1" s="560"/>
      <c r="IRI1" s="560"/>
      <c r="IRJ1" s="560"/>
      <c r="IRK1" s="560"/>
      <c r="IRL1" s="560"/>
      <c r="IRM1" s="560"/>
      <c r="IRN1" s="560" t="s">
        <v>15</v>
      </c>
      <c r="IRO1" s="560"/>
      <c r="IRP1" s="560"/>
      <c r="IRQ1" s="560"/>
      <c r="IRR1" s="560"/>
      <c r="IRS1" s="560"/>
      <c r="IRT1" s="560"/>
      <c r="IRU1" s="560"/>
      <c r="IRV1" s="560" t="s">
        <v>15</v>
      </c>
      <c r="IRW1" s="560"/>
      <c r="IRX1" s="560"/>
      <c r="IRY1" s="560"/>
      <c r="IRZ1" s="560"/>
      <c r="ISA1" s="560"/>
      <c r="ISB1" s="560"/>
      <c r="ISC1" s="560"/>
      <c r="ISD1" s="560" t="s">
        <v>15</v>
      </c>
      <c r="ISE1" s="560"/>
      <c r="ISF1" s="560"/>
      <c r="ISG1" s="560"/>
      <c r="ISH1" s="560"/>
      <c r="ISI1" s="560"/>
      <c r="ISJ1" s="560"/>
      <c r="ISK1" s="560"/>
      <c r="ISL1" s="560" t="s">
        <v>15</v>
      </c>
      <c r="ISM1" s="560"/>
      <c r="ISN1" s="560"/>
      <c r="ISO1" s="560"/>
      <c r="ISP1" s="560"/>
      <c r="ISQ1" s="560"/>
      <c r="ISR1" s="560"/>
      <c r="ISS1" s="560"/>
      <c r="IST1" s="560" t="s">
        <v>15</v>
      </c>
      <c r="ISU1" s="560"/>
      <c r="ISV1" s="560"/>
      <c r="ISW1" s="560"/>
      <c r="ISX1" s="560"/>
      <c r="ISY1" s="560"/>
      <c r="ISZ1" s="560"/>
      <c r="ITA1" s="560"/>
      <c r="ITB1" s="560" t="s">
        <v>15</v>
      </c>
      <c r="ITC1" s="560"/>
      <c r="ITD1" s="560"/>
      <c r="ITE1" s="560"/>
      <c r="ITF1" s="560"/>
      <c r="ITG1" s="560"/>
      <c r="ITH1" s="560"/>
      <c r="ITI1" s="560"/>
      <c r="ITJ1" s="560" t="s">
        <v>15</v>
      </c>
      <c r="ITK1" s="560"/>
      <c r="ITL1" s="560"/>
      <c r="ITM1" s="560"/>
      <c r="ITN1" s="560"/>
      <c r="ITO1" s="560"/>
      <c r="ITP1" s="560"/>
      <c r="ITQ1" s="560"/>
      <c r="ITR1" s="560" t="s">
        <v>15</v>
      </c>
      <c r="ITS1" s="560"/>
      <c r="ITT1" s="560"/>
      <c r="ITU1" s="560"/>
      <c r="ITV1" s="560"/>
      <c r="ITW1" s="560"/>
      <c r="ITX1" s="560"/>
      <c r="ITY1" s="560"/>
      <c r="ITZ1" s="560" t="s">
        <v>15</v>
      </c>
      <c r="IUA1" s="560"/>
      <c r="IUB1" s="560"/>
      <c r="IUC1" s="560"/>
      <c r="IUD1" s="560"/>
      <c r="IUE1" s="560"/>
      <c r="IUF1" s="560"/>
      <c r="IUG1" s="560"/>
      <c r="IUH1" s="560" t="s">
        <v>15</v>
      </c>
      <c r="IUI1" s="560"/>
      <c r="IUJ1" s="560"/>
      <c r="IUK1" s="560"/>
      <c r="IUL1" s="560"/>
      <c r="IUM1" s="560"/>
      <c r="IUN1" s="560"/>
      <c r="IUO1" s="560"/>
      <c r="IUP1" s="560" t="s">
        <v>15</v>
      </c>
      <c r="IUQ1" s="560"/>
      <c r="IUR1" s="560"/>
      <c r="IUS1" s="560"/>
      <c r="IUT1" s="560"/>
      <c r="IUU1" s="560"/>
      <c r="IUV1" s="560"/>
      <c r="IUW1" s="560"/>
      <c r="IUX1" s="560" t="s">
        <v>15</v>
      </c>
      <c r="IUY1" s="560"/>
      <c r="IUZ1" s="560"/>
      <c r="IVA1" s="560"/>
      <c r="IVB1" s="560"/>
      <c r="IVC1" s="560"/>
      <c r="IVD1" s="560"/>
      <c r="IVE1" s="560"/>
      <c r="IVF1" s="560" t="s">
        <v>15</v>
      </c>
      <c r="IVG1" s="560"/>
      <c r="IVH1" s="560"/>
      <c r="IVI1" s="560"/>
      <c r="IVJ1" s="560"/>
      <c r="IVK1" s="560"/>
      <c r="IVL1" s="560"/>
      <c r="IVM1" s="560"/>
      <c r="IVN1" s="560" t="s">
        <v>15</v>
      </c>
      <c r="IVO1" s="560"/>
      <c r="IVP1" s="560"/>
      <c r="IVQ1" s="560"/>
      <c r="IVR1" s="560"/>
      <c r="IVS1" s="560"/>
      <c r="IVT1" s="560"/>
      <c r="IVU1" s="560"/>
      <c r="IVV1" s="560" t="s">
        <v>15</v>
      </c>
      <c r="IVW1" s="560"/>
      <c r="IVX1" s="560"/>
      <c r="IVY1" s="560"/>
      <c r="IVZ1" s="560"/>
      <c r="IWA1" s="560"/>
      <c r="IWB1" s="560"/>
      <c r="IWC1" s="560"/>
      <c r="IWD1" s="560" t="s">
        <v>15</v>
      </c>
      <c r="IWE1" s="560"/>
      <c r="IWF1" s="560"/>
      <c r="IWG1" s="560"/>
      <c r="IWH1" s="560"/>
      <c r="IWI1" s="560"/>
      <c r="IWJ1" s="560"/>
      <c r="IWK1" s="560"/>
      <c r="IWL1" s="560" t="s">
        <v>15</v>
      </c>
      <c r="IWM1" s="560"/>
      <c r="IWN1" s="560"/>
      <c r="IWO1" s="560"/>
      <c r="IWP1" s="560"/>
      <c r="IWQ1" s="560"/>
      <c r="IWR1" s="560"/>
      <c r="IWS1" s="560"/>
      <c r="IWT1" s="560" t="s">
        <v>15</v>
      </c>
      <c r="IWU1" s="560"/>
      <c r="IWV1" s="560"/>
      <c r="IWW1" s="560"/>
      <c r="IWX1" s="560"/>
      <c r="IWY1" s="560"/>
      <c r="IWZ1" s="560"/>
      <c r="IXA1" s="560"/>
      <c r="IXB1" s="560" t="s">
        <v>15</v>
      </c>
      <c r="IXC1" s="560"/>
      <c r="IXD1" s="560"/>
      <c r="IXE1" s="560"/>
      <c r="IXF1" s="560"/>
      <c r="IXG1" s="560"/>
      <c r="IXH1" s="560"/>
      <c r="IXI1" s="560"/>
      <c r="IXJ1" s="560" t="s">
        <v>15</v>
      </c>
      <c r="IXK1" s="560"/>
      <c r="IXL1" s="560"/>
      <c r="IXM1" s="560"/>
      <c r="IXN1" s="560"/>
      <c r="IXO1" s="560"/>
      <c r="IXP1" s="560"/>
      <c r="IXQ1" s="560"/>
      <c r="IXR1" s="560" t="s">
        <v>15</v>
      </c>
      <c r="IXS1" s="560"/>
      <c r="IXT1" s="560"/>
      <c r="IXU1" s="560"/>
      <c r="IXV1" s="560"/>
      <c r="IXW1" s="560"/>
      <c r="IXX1" s="560"/>
      <c r="IXY1" s="560"/>
      <c r="IXZ1" s="560" t="s">
        <v>15</v>
      </c>
      <c r="IYA1" s="560"/>
      <c r="IYB1" s="560"/>
      <c r="IYC1" s="560"/>
      <c r="IYD1" s="560"/>
      <c r="IYE1" s="560"/>
      <c r="IYF1" s="560"/>
      <c r="IYG1" s="560"/>
      <c r="IYH1" s="560" t="s">
        <v>15</v>
      </c>
      <c r="IYI1" s="560"/>
      <c r="IYJ1" s="560"/>
      <c r="IYK1" s="560"/>
      <c r="IYL1" s="560"/>
      <c r="IYM1" s="560"/>
      <c r="IYN1" s="560"/>
      <c r="IYO1" s="560"/>
      <c r="IYP1" s="560" t="s">
        <v>15</v>
      </c>
      <c r="IYQ1" s="560"/>
      <c r="IYR1" s="560"/>
      <c r="IYS1" s="560"/>
      <c r="IYT1" s="560"/>
      <c r="IYU1" s="560"/>
      <c r="IYV1" s="560"/>
      <c r="IYW1" s="560"/>
      <c r="IYX1" s="560" t="s">
        <v>15</v>
      </c>
      <c r="IYY1" s="560"/>
      <c r="IYZ1" s="560"/>
      <c r="IZA1" s="560"/>
      <c r="IZB1" s="560"/>
      <c r="IZC1" s="560"/>
      <c r="IZD1" s="560"/>
      <c r="IZE1" s="560"/>
      <c r="IZF1" s="560" t="s">
        <v>15</v>
      </c>
      <c r="IZG1" s="560"/>
      <c r="IZH1" s="560"/>
      <c r="IZI1" s="560"/>
      <c r="IZJ1" s="560"/>
      <c r="IZK1" s="560"/>
      <c r="IZL1" s="560"/>
      <c r="IZM1" s="560"/>
      <c r="IZN1" s="560" t="s">
        <v>15</v>
      </c>
      <c r="IZO1" s="560"/>
      <c r="IZP1" s="560"/>
      <c r="IZQ1" s="560"/>
      <c r="IZR1" s="560"/>
      <c r="IZS1" s="560"/>
      <c r="IZT1" s="560"/>
      <c r="IZU1" s="560"/>
      <c r="IZV1" s="560" t="s">
        <v>15</v>
      </c>
      <c r="IZW1" s="560"/>
      <c r="IZX1" s="560"/>
      <c r="IZY1" s="560"/>
      <c r="IZZ1" s="560"/>
      <c r="JAA1" s="560"/>
      <c r="JAB1" s="560"/>
      <c r="JAC1" s="560"/>
      <c r="JAD1" s="560" t="s">
        <v>15</v>
      </c>
      <c r="JAE1" s="560"/>
      <c r="JAF1" s="560"/>
      <c r="JAG1" s="560"/>
      <c r="JAH1" s="560"/>
      <c r="JAI1" s="560"/>
      <c r="JAJ1" s="560"/>
      <c r="JAK1" s="560"/>
      <c r="JAL1" s="560" t="s">
        <v>15</v>
      </c>
      <c r="JAM1" s="560"/>
      <c r="JAN1" s="560"/>
      <c r="JAO1" s="560"/>
      <c r="JAP1" s="560"/>
      <c r="JAQ1" s="560"/>
      <c r="JAR1" s="560"/>
      <c r="JAS1" s="560"/>
      <c r="JAT1" s="560" t="s">
        <v>15</v>
      </c>
      <c r="JAU1" s="560"/>
      <c r="JAV1" s="560"/>
      <c r="JAW1" s="560"/>
      <c r="JAX1" s="560"/>
      <c r="JAY1" s="560"/>
      <c r="JAZ1" s="560"/>
      <c r="JBA1" s="560"/>
      <c r="JBB1" s="560" t="s">
        <v>15</v>
      </c>
      <c r="JBC1" s="560"/>
      <c r="JBD1" s="560"/>
      <c r="JBE1" s="560"/>
      <c r="JBF1" s="560"/>
      <c r="JBG1" s="560"/>
      <c r="JBH1" s="560"/>
      <c r="JBI1" s="560"/>
      <c r="JBJ1" s="560" t="s">
        <v>15</v>
      </c>
      <c r="JBK1" s="560"/>
      <c r="JBL1" s="560"/>
      <c r="JBM1" s="560"/>
      <c r="JBN1" s="560"/>
      <c r="JBO1" s="560"/>
      <c r="JBP1" s="560"/>
      <c r="JBQ1" s="560"/>
      <c r="JBR1" s="560" t="s">
        <v>15</v>
      </c>
      <c r="JBS1" s="560"/>
      <c r="JBT1" s="560"/>
      <c r="JBU1" s="560"/>
      <c r="JBV1" s="560"/>
      <c r="JBW1" s="560"/>
      <c r="JBX1" s="560"/>
      <c r="JBY1" s="560"/>
      <c r="JBZ1" s="560" t="s">
        <v>15</v>
      </c>
      <c r="JCA1" s="560"/>
      <c r="JCB1" s="560"/>
      <c r="JCC1" s="560"/>
      <c r="JCD1" s="560"/>
      <c r="JCE1" s="560"/>
      <c r="JCF1" s="560"/>
      <c r="JCG1" s="560"/>
      <c r="JCH1" s="560" t="s">
        <v>15</v>
      </c>
      <c r="JCI1" s="560"/>
      <c r="JCJ1" s="560"/>
      <c r="JCK1" s="560"/>
      <c r="JCL1" s="560"/>
      <c r="JCM1" s="560"/>
      <c r="JCN1" s="560"/>
      <c r="JCO1" s="560"/>
      <c r="JCP1" s="560" t="s">
        <v>15</v>
      </c>
      <c r="JCQ1" s="560"/>
      <c r="JCR1" s="560"/>
      <c r="JCS1" s="560"/>
      <c r="JCT1" s="560"/>
      <c r="JCU1" s="560"/>
      <c r="JCV1" s="560"/>
      <c r="JCW1" s="560"/>
      <c r="JCX1" s="560" t="s">
        <v>15</v>
      </c>
      <c r="JCY1" s="560"/>
      <c r="JCZ1" s="560"/>
      <c r="JDA1" s="560"/>
      <c r="JDB1" s="560"/>
      <c r="JDC1" s="560"/>
      <c r="JDD1" s="560"/>
      <c r="JDE1" s="560"/>
      <c r="JDF1" s="560" t="s">
        <v>15</v>
      </c>
      <c r="JDG1" s="560"/>
      <c r="JDH1" s="560"/>
      <c r="JDI1" s="560"/>
      <c r="JDJ1" s="560"/>
      <c r="JDK1" s="560"/>
      <c r="JDL1" s="560"/>
      <c r="JDM1" s="560"/>
      <c r="JDN1" s="560" t="s">
        <v>15</v>
      </c>
      <c r="JDO1" s="560"/>
      <c r="JDP1" s="560"/>
      <c r="JDQ1" s="560"/>
      <c r="JDR1" s="560"/>
      <c r="JDS1" s="560"/>
      <c r="JDT1" s="560"/>
      <c r="JDU1" s="560"/>
      <c r="JDV1" s="560" t="s">
        <v>15</v>
      </c>
      <c r="JDW1" s="560"/>
      <c r="JDX1" s="560"/>
      <c r="JDY1" s="560"/>
      <c r="JDZ1" s="560"/>
      <c r="JEA1" s="560"/>
      <c r="JEB1" s="560"/>
      <c r="JEC1" s="560"/>
      <c r="JED1" s="560" t="s">
        <v>15</v>
      </c>
      <c r="JEE1" s="560"/>
      <c r="JEF1" s="560"/>
      <c r="JEG1" s="560"/>
      <c r="JEH1" s="560"/>
      <c r="JEI1" s="560"/>
      <c r="JEJ1" s="560"/>
      <c r="JEK1" s="560"/>
      <c r="JEL1" s="560" t="s">
        <v>15</v>
      </c>
      <c r="JEM1" s="560"/>
      <c r="JEN1" s="560"/>
      <c r="JEO1" s="560"/>
      <c r="JEP1" s="560"/>
      <c r="JEQ1" s="560"/>
      <c r="JER1" s="560"/>
      <c r="JES1" s="560"/>
      <c r="JET1" s="560" t="s">
        <v>15</v>
      </c>
      <c r="JEU1" s="560"/>
      <c r="JEV1" s="560"/>
      <c r="JEW1" s="560"/>
      <c r="JEX1" s="560"/>
      <c r="JEY1" s="560"/>
      <c r="JEZ1" s="560"/>
      <c r="JFA1" s="560"/>
      <c r="JFB1" s="560" t="s">
        <v>15</v>
      </c>
      <c r="JFC1" s="560"/>
      <c r="JFD1" s="560"/>
      <c r="JFE1" s="560"/>
      <c r="JFF1" s="560"/>
      <c r="JFG1" s="560"/>
      <c r="JFH1" s="560"/>
      <c r="JFI1" s="560"/>
      <c r="JFJ1" s="560" t="s">
        <v>15</v>
      </c>
      <c r="JFK1" s="560"/>
      <c r="JFL1" s="560"/>
      <c r="JFM1" s="560"/>
      <c r="JFN1" s="560"/>
      <c r="JFO1" s="560"/>
      <c r="JFP1" s="560"/>
      <c r="JFQ1" s="560"/>
      <c r="JFR1" s="560" t="s">
        <v>15</v>
      </c>
      <c r="JFS1" s="560"/>
      <c r="JFT1" s="560"/>
      <c r="JFU1" s="560"/>
      <c r="JFV1" s="560"/>
      <c r="JFW1" s="560"/>
      <c r="JFX1" s="560"/>
      <c r="JFY1" s="560"/>
      <c r="JFZ1" s="560" t="s">
        <v>15</v>
      </c>
      <c r="JGA1" s="560"/>
      <c r="JGB1" s="560"/>
      <c r="JGC1" s="560"/>
      <c r="JGD1" s="560"/>
      <c r="JGE1" s="560"/>
      <c r="JGF1" s="560"/>
      <c r="JGG1" s="560"/>
      <c r="JGH1" s="560" t="s">
        <v>15</v>
      </c>
      <c r="JGI1" s="560"/>
      <c r="JGJ1" s="560"/>
      <c r="JGK1" s="560"/>
      <c r="JGL1" s="560"/>
      <c r="JGM1" s="560"/>
      <c r="JGN1" s="560"/>
      <c r="JGO1" s="560"/>
      <c r="JGP1" s="560" t="s">
        <v>15</v>
      </c>
      <c r="JGQ1" s="560"/>
      <c r="JGR1" s="560"/>
      <c r="JGS1" s="560"/>
      <c r="JGT1" s="560"/>
      <c r="JGU1" s="560"/>
      <c r="JGV1" s="560"/>
      <c r="JGW1" s="560"/>
      <c r="JGX1" s="560" t="s">
        <v>15</v>
      </c>
      <c r="JGY1" s="560"/>
      <c r="JGZ1" s="560"/>
      <c r="JHA1" s="560"/>
      <c r="JHB1" s="560"/>
      <c r="JHC1" s="560"/>
      <c r="JHD1" s="560"/>
      <c r="JHE1" s="560"/>
      <c r="JHF1" s="560" t="s">
        <v>15</v>
      </c>
      <c r="JHG1" s="560"/>
      <c r="JHH1" s="560"/>
      <c r="JHI1" s="560"/>
      <c r="JHJ1" s="560"/>
      <c r="JHK1" s="560"/>
      <c r="JHL1" s="560"/>
      <c r="JHM1" s="560"/>
      <c r="JHN1" s="560" t="s">
        <v>15</v>
      </c>
      <c r="JHO1" s="560"/>
      <c r="JHP1" s="560"/>
      <c r="JHQ1" s="560"/>
      <c r="JHR1" s="560"/>
      <c r="JHS1" s="560"/>
      <c r="JHT1" s="560"/>
      <c r="JHU1" s="560"/>
      <c r="JHV1" s="560" t="s">
        <v>15</v>
      </c>
      <c r="JHW1" s="560"/>
      <c r="JHX1" s="560"/>
      <c r="JHY1" s="560"/>
      <c r="JHZ1" s="560"/>
      <c r="JIA1" s="560"/>
      <c r="JIB1" s="560"/>
      <c r="JIC1" s="560"/>
      <c r="JID1" s="560" t="s">
        <v>15</v>
      </c>
      <c r="JIE1" s="560"/>
      <c r="JIF1" s="560"/>
      <c r="JIG1" s="560"/>
      <c r="JIH1" s="560"/>
      <c r="JII1" s="560"/>
      <c r="JIJ1" s="560"/>
      <c r="JIK1" s="560"/>
      <c r="JIL1" s="560" t="s">
        <v>15</v>
      </c>
      <c r="JIM1" s="560"/>
      <c r="JIN1" s="560"/>
      <c r="JIO1" s="560"/>
      <c r="JIP1" s="560"/>
      <c r="JIQ1" s="560"/>
      <c r="JIR1" s="560"/>
      <c r="JIS1" s="560"/>
      <c r="JIT1" s="560" t="s">
        <v>15</v>
      </c>
      <c r="JIU1" s="560"/>
      <c r="JIV1" s="560"/>
      <c r="JIW1" s="560"/>
      <c r="JIX1" s="560"/>
      <c r="JIY1" s="560"/>
      <c r="JIZ1" s="560"/>
      <c r="JJA1" s="560"/>
      <c r="JJB1" s="560" t="s">
        <v>15</v>
      </c>
      <c r="JJC1" s="560"/>
      <c r="JJD1" s="560"/>
      <c r="JJE1" s="560"/>
      <c r="JJF1" s="560"/>
      <c r="JJG1" s="560"/>
      <c r="JJH1" s="560"/>
      <c r="JJI1" s="560"/>
      <c r="JJJ1" s="560" t="s">
        <v>15</v>
      </c>
      <c r="JJK1" s="560"/>
      <c r="JJL1" s="560"/>
      <c r="JJM1" s="560"/>
      <c r="JJN1" s="560"/>
      <c r="JJO1" s="560"/>
      <c r="JJP1" s="560"/>
      <c r="JJQ1" s="560"/>
      <c r="JJR1" s="560" t="s">
        <v>15</v>
      </c>
      <c r="JJS1" s="560"/>
      <c r="JJT1" s="560"/>
      <c r="JJU1" s="560"/>
      <c r="JJV1" s="560"/>
      <c r="JJW1" s="560"/>
      <c r="JJX1" s="560"/>
      <c r="JJY1" s="560"/>
      <c r="JJZ1" s="560" t="s">
        <v>15</v>
      </c>
      <c r="JKA1" s="560"/>
      <c r="JKB1" s="560"/>
      <c r="JKC1" s="560"/>
      <c r="JKD1" s="560"/>
      <c r="JKE1" s="560"/>
      <c r="JKF1" s="560"/>
      <c r="JKG1" s="560"/>
      <c r="JKH1" s="560" t="s">
        <v>15</v>
      </c>
      <c r="JKI1" s="560"/>
      <c r="JKJ1" s="560"/>
      <c r="JKK1" s="560"/>
      <c r="JKL1" s="560"/>
      <c r="JKM1" s="560"/>
      <c r="JKN1" s="560"/>
      <c r="JKO1" s="560"/>
      <c r="JKP1" s="560" t="s">
        <v>15</v>
      </c>
      <c r="JKQ1" s="560"/>
      <c r="JKR1" s="560"/>
      <c r="JKS1" s="560"/>
      <c r="JKT1" s="560"/>
      <c r="JKU1" s="560"/>
      <c r="JKV1" s="560"/>
      <c r="JKW1" s="560"/>
      <c r="JKX1" s="560" t="s">
        <v>15</v>
      </c>
      <c r="JKY1" s="560"/>
      <c r="JKZ1" s="560"/>
      <c r="JLA1" s="560"/>
      <c r="JLB1" s="560"/>
      <c r="JLC1" s="560"/>
      <c r="JLD1" s="560"/>
      <c r="JLE1" s="560"/>
      <c r="JLF1" s="560" t="s">
        <v>15</v>
      </c>
      <c r="JLG1" s="560"/>
      <c r="JLH1" s="560"/>
      <c r="JLI1" s="560"/>
      <c r="JLJ1" s="560"/>
      <c r="JLK1" s="560"/>
      <c r="JLL1" s="560"/>
      <c r="JLM1" s="560"/>
      <c r="JLN1" s="560" t="s">
        <v>15</v>
      </c>
      <c r="JLO1" s="560"/>
      <c r="JLP1" s="560"/>
      <c r="JLQ1" s="560"/>
      <c r="JLR1" s="560"/>
      <c r="JLS1" s="560"/>
      <c r="JLT1" s="560"/>
      <c r="JLU1" s="560"/>
      <c r="JLV1" s="560" t="s">
        <v>15</v>
      </c>
      <c r="JLW1" s="560"/>
      <c r="JLX1" s="560"/>
      <c r="JLY1" s="560"/>
      <c r="JLZ1" s="560"/>
      <c r="JMA1" s="560"/>
      <c r="JMB1" s="560"/>
      <c r="JMC1" s="560"/>
      <c r="JMD1" s="560" t="s">
        <v>15</v>
      </c>
      <c r="JME1" s="560"/>
      <c r="JMF1" s="560"/>
      <c r="JMG1" s="560"/>
      <c r="JMH1" s="560"/>
      <c r="JMI1" s="560"/>
      <c r="JMJ1" s="560"/>
      <c r="JMK1" s="560"/>
      <c r="JML1" s="560" t="s">
        <v>15</v>
      </c>
      <c r="JMM1" s="560"/>
      <c r="JMN1" s="560"/>
      <c r="JMO1" s="560"/>
      <c r="JMP1" s="560"/>
      <c r="JMQ1" s="560"/>
      <c r="JMR1" s="560"/>
      <c r="JMS1" s="560"/>
      <c r="JMT1" s="560" t="s">
        <v>15</v>
      </c>
      <c r="JMU1" s="560"/>
      <c r="JMV1" s="560"/>
      <c r="JMW1" s="560"/>
      <c r="JMX1" s="560"/>
      <c r="JMY1" s="560"/>
      <c r="JMZ1" s="560"/>
      <c r="JNA1" s="560"/>
      <c r="JNB1" s="560" t="s">
        <v>15</v>
      </c>
      <c r="JNC1" s="560"/>
      <c r="JND1" s="560"/>
      <c r="JNE1" s="560"/>
      <c r="JNF1" s="560"/>
      <c r="JNG1" s="560"/>
      <c r="JNH1" s="560"/>
      <c r="JNI1" s="560"/>
      <c r="JNJ1" s="560" t="s">
        <v>15</v>
      </c>
      <c r="JNK1" s="560"/>
      <c r="JNL1" s="560"/>
      <c r="JNM1" s="560"/>
      <c r="JNN1" s="560"/>
      <c r="JNO1" s="560"/>
      <c r="JNP1" s="560"/>
      <c r="JNQ1" s="560"/>
      <c r="JNR1" s="560" t="s">
        <v>15</v>
      </c>
      <c r="JNS1" s="560"/>
      <c r="JNT1" s="560"/>
      <c r="JNU1" s="560"/>
      <c r="JNV1" s="560"/>
      <c r="JNW1" s="560"/>
      <c r="JNX1" s="560"/>
      <c r="JNY1" s="560"/>
      <c r="JNZ1" s="560" t="s">
        <v>15</v>
      </c>
      <c r="JOA1" s="560"/>
      <c r="JOB1" s="560"/>
      <c r="JOC1" s="560"/>
      <c r="JOD1" s="560"/>
      <c r="JOE1" s="560"/>
      <c r="JOF1" s="560"/>
      <c r="JOG1" s="560"/>
      <c r="JOH1" s="560" t="s">
        <v>15</v>
      </c>
      <c r="JOI1" s="560"/>
      <c r="JOJ1" s="560"/>
      <c r="JOK1" s="560"/>
      <c r="JOL1" s="560"/>
      <c r="JOM1" s="560"/>
      <c r="JON1" s="560"/>
      <c r="JOO1" s="560"/>
      <c r="JOP1" s="560" t="s">
        <v>15</v>
      </c>
      <c r="JOQ1" s="560"/>
      <c r="JOR1" s="560"/>
      <c r="JOS1" s="560"/>
      <c r="JOT1" s="560"/>
      <c r="JOU1" s="560"/>
      <c r="JOV1" s="560"/>
      <c r="JOW1" s="560"/>
      <c r="JOX1" s="560" t="s">
        <v>15</v>
      </c>
      <c r="JOY1" s="560"/>
      <c r="JOZ1" s="560"/>
      <c r="JPA1" s="560"/>
      <c r="JPB1" s="560"/>
      <c r="JPC1" s="560"/>
      <c r="JPD1" s="560"/>
      <c r="JPE1" s="560"/>
      <c r="JPF1" s="560" t="s">
        <v>15</v>
      </c>
      <c r="JPG1" s="560"/>
      <c r="JPH1" s="560"/>
      <c r="JPI1" s="560"/>
      <c r="JPJ1" s="560"/>
      <c r="JPK1" s="560"/>
      <c r="JPL1" s="560"/>
      <c r="JPM1" s="560"/>
      <c r="JPN1" s="560" t="s">
        <v>15</v>
      </c>
      <c r="JPO1" s="560"/>
      <c r="JPP1" s="560"/>
      <c r="JPQ1" s="560"/>
      <c r="JPR1" s="560"/>
      <c r="JPS1" s="560"/>
      <c r="JPT1" s="560"/>
      <c r="JPU1" s="560"/>
      <c r="JPV1" s="560" t="s">
        <v>15</v>
      </c>
      <c r="JPW1" s="560"/>
      <c r="JPX1" s="560"/>
      <c r="JPY1" s="560"/>
      <c r="JPZ1" s="560"/>
      <c r="JQA1" s="560"/>
      <c r="JQB1" s="560"/>
      <c r="JQC1" s="560"/>
      <c r="JQD1" s="560" t="s">
        <v>15</v>
      </c>
      <c r="JQE1" s="560"/>
      <c r="JQF1" s="560"/>
      <c r="JQG1" s="560"/>
      <c r="JQH1" s="560"/>
      <c r="JQI1" s="560"/>
      <c r="JQJ1" s="560"/>
      <c r="JQK1" s="560"/>
      <c r="JQL1" s="560" t="s">
        <v>15</v>
      </c>
      <c r="JQM1" s="560"/>
      <c r="JQN1" s="560"/>
      <c r="JQO1" s="560"/>
      <c r="JQP1" s="560"/>
      <c r="JQQ1" s="560"/>
      <c r="JQR1" s="560"/>
      <c r="JQS1" s="560"/>
      <c r="JQT1" s="560" t="s">
        <v>15</v>
      </c>
      <c r="JQU1" s="560"/>
      <c r="JQV1" s="560"/>
      <c r="JQW1" s="560"/>
      <c r="JQX1" s="560"/>
      <c r="JQY1" s="560"/>
      <c r="JQZ1" s="560"/>
      <c r="JRA1" s="560"/>
      <c r="JRB1" s="560" t="s">
        <v>15</v>
      </c>
      <c r="JRC1" s="560"/>
      <c r="JRD1" s="560"/>
      <c r="JRE1" s="560"/>
      <c r="JRF1" s="560"/>
      <c r="JRG1" s="560"/>
      <c r="JRH1" s="560"/>
      <c r="JRI1" s="560"/>
      <c r="JRJ1" s="560" t="s">
        <v>15</v>
      </c>
      <c r="JRK1" s="560"/>
      <c r="JRL1" s="560"/>
      <c r="JRM1" s="560"/>
      <c r="JRN1" s="560"/>
      <c r="JRO1" s="560"/>
      <c r="JRP1" s="560"/>
      <c r="JRQ1" s="560"/>
      <c r="JRR1" s="560" t="s">
        <v>15</v>
      </c>
      <c r="JRS1" s="560"/>
      <c r="JRT1" s="560"/>
      <c r="JRU1" s="560"/>
      <c r="JRV1" s="560"/>
      <c r="JRW1" s="560"/>
      <c r="JRX1" s="560"/>
      <c r="JRY1" s="560"/>
      <c r="JRZ1" s="560" t="s">
        <v>15</v>
      </c>
      <c r="JSA1" s="560"/>
      <c r="JSB1" s="560"/>
      <c r="JSC1" s="560"/>
      <c r="JSD1" s="560"/>
      <c r="JSE1" s="560"/>
      <c r="JSF1" s="560"/>
      <c r="JSG1" s="560"/>
      <c r="JSH1" s="560" t="s">
        <v>15</v>
      </c>
      <c r="JSI1" s="560"/>
      <c r="JSJ1" s="560"/>
      <c r="JSK1" s="560"/>
      <c r="JSL1" s="560"/>
      <c r="JSM1" s="560"/>
      <c r="JSN1" s="560"/>
      <c r="JSO1" s="560"/>
      <c r="JSP1" s="560" t="s">
        <v>15</v>
      </c>
      <c r="JSQ1" s="560"/>
      <c r="JSR1" s="560"/>
      <c r="JSS1" s="560"/>
      <c r="JST1" s="560"/>
      <c r="JSU1" s="560"/>
      <c r="JSV1" s="560"/>
      <c r="JSW1" s="560"/>
      <c r="JSX1" s="560" t="s">
        <v>15</v>
      </c>
      <c r="JSY1" s="560"/>
      <c r="JSZ1" s="560"/>
      <c r="JTA1" s="560"/>
      <c r="JTB1" s="560"/>
      <c r="JTC1" s="560"/>
      <c r="JTD1" s="560"/>
      <c r="JTE1" s="560"/>
      <c r="JTF1" s="560" t="s">
        <v>15</v>
      </c>
      <c r="JTG1" s="560"/>
      <c r="JTH1" s="560"/>
      <c r="JTI1" s="560"/>
      <c r="JTJ1" s="560"/>
      <c r="JTK1" s="560"/>
      <c r="JTL1" s="560"/>
      <c r="JTM1" s="560"/>
      <c r="JTN1" s="560" t="s">
        <v>15</v>
      </c>
      <c r="JTO1" s="560"/>
      <c r="JTP1" s="560"/>
      <c r="JTQ1" s="560"/>
      <c r="JTR1" s="560"/>
      <c r="JTS1" s="560"/>
      <c r="JTT1" s="560"/>
      <c r="JTU1" s="560"/>
      <c r="JTV1" s="560" t="s">
        <v>15</v>
      </c>
      <c r="JTW1" s="560"/>
      <c r="JTX1" s="560"/>
      <c r="JTY1" s="560"/>
      <c r="JTZ1" s="560"/>
      <c r="JUA1" s="560"/>
      <c r="JUB1" s="560"/>
      <c r="JUC1" s="560"/>
      <c r="JUD1" s="560" t="s">
        <v>15</v>
      </c>
      <c r="JUE1" s="560"/>
      <c r="JUF1" s="560"/>
      <c r="JUG1" s="560"/>
      <c r="JUH1" s="560"/>
      <c r="JUI1" s="560"/>
      <c r="JUJ1" s="560"/>
      <c r="JUK1" s="560"/>
      <c r="JUL1" s="560" t="s">
        <v>15</v>
      </c>
      <c r="JUM1" s="560"/>
      <c r="JUN1" s="560"/>
      <c r="JUO1" s="560"/>
      <c r="JUP1" s="560"/>
      <c r="JUQ1" s="560"/>
      <c r="JUR1" s="560"/>
      <c r="JUS1" s="560"/>
      <c r="JUT1" s="560" t="s">
        <v>15</v>
      </c>
      <c r="JUU1" s="560"/>
      <c r="JUV1" s="560"/>
      <c r="JUW1" s="560"/>
      <c r="JUX1" s="560"/>
      <c r="JUY1" s="560"/>
      <c r="JUZ1" s="560"/>
      <c r="JVA1" s="560"/>
      <c r="JVB1" s="560" t="s">
        <v>15</v>
      </c>
      <c r="JVC1" s="560"/>
      <c r="JVD1" s="560"/>
      <c r="JVE1" s="560"/>
      <c r="JVF1" s="560"/>
      <c r="JVG1" s="560"/>
      <c r="JVH1" s="560"/>
      <c r="JVI1" s="560"/>
      <c r="JVJ1" s="560" t="s">
        <v>15</v>
      </c>
      <c r="JVK1" s="560"/>
      <c r="JVL1" s="560"/>
      <c r="JVM1" s="560"/>
      <c r="JVN1" s="560"/>
      <c r="JVO1" s="560"/>
      <c r="JVP1" s="560"/>
      <c r="JVQ1" s="560"/>
      <c r="JVR1" s="560" t="s">
        <v>15</v>
      </c>
      <c r="JVS1" s="560"/>
      <c r="JVT1" s="560"/>
      <c r="JVU1" s="560"/>
      <c r="JVV1" s="560"/>
      <c r="JVW1" s="560"/>
      <c r="JVX1" s="560"/>
      <c r="JVY1" s="560"/>
      <c r="JVZ1" s="560" t="s">
        <v>15</v>
      </c>
      <c r="JWA1" s="560"/>
      <c r="JWB1" s="560"/>
      <c r="JWC1" s="560"/>
      <c r="JWD1" s="560"/>
      <c r="JWE1" s="560"/>
      <c r="JWF1" s="560"/>
      <c r="JWG1" s="560"/>
      <c r="JWH1" s="560" t="s">
        <v>15</v>
      </c>
      <c r="JWI1" s="560"/>
      <c r="JWJ1" s="560"/>
      <c r="JWK1" s="560"/>
      <c r="JWL1" s="560"/>
      <c r="JWM1" s="560"/>
      <c r="JWN1" s="560"/>
      <c r="JWO1" s="560"/>
      <c r="JWP1" s="560" t="s">
        <v>15</v>
      </c>
      <c r="JWQ1" s="560"/>
      <c r="JWR1" s="560"/>
      <c r="JWS1" s="560"/>
      <c r="JWT1" s="560"/>
      <c r="JWU1" s="560"/>
      <c r="JWV1" s="560"/>
      <c r="JWW1" s="560"/>
      <c r="JWX1" s="560" t="s">
        <v>15</v>
      </c>
      <c r="JWY1" s="560"/>
      <c r="JWZ1" s="560"/>
      <c r="JXA1" s="560"/>
      <c r="JXB1" s="560"/>
      <c r="JXC1" s="560"/>
      <c r="JXD1" s="560"/>
      <c r="JXE1" s="560"/>
      <c r="JXF1" s="560" t="s">
        <v>15</v>
      </c>
      <c r="JXG1" s="560"/>
      <c r="JXH1" s="560"/>
      <c r="JXI1" s="560"/>
      <c r="JXJ1" s="560"/>
      <c r="JXK1" s="560"/>
      <c r="JXL1" s="560"/>
      <c r="JXM1" s="560"/>
      <c r="JXN1" s="560" t="s">
        <v>15</v>
      </c>
      <c r="JXO1" s="560"/>
      <c r="JXP1" s="560"/>
      <c r="JXQ1" s="560"/>
      <c r="JXR1" s="560"/>
      <c r="JXS1" s="560"/>
      <c r="JXT1" s="560"/>
      <c r="JXU1" s="560"/>
      <c r="JXV1" s="560" t="s">
        <v>15</v>
      </c>
      <c r="JXW1" s="560"/>
      <c r="JXX1" s="560"/>
      <c r="JXY1" s="560"/>
      <c r="JXZ1" s="560"/>
      <c r="JYA1" s="560"/>
      <c r="JYB1" s="560"/>
      <c r="JYC1" s="560"/>
      <c r="JYD1" s="560" t="s">
        <v>15</v>
      </c>
      <c r="JYE1" s="560"/>
      <c r="JYF1" s="560"/>
      <c r="JYG1" s="560"/>
      <c r="JYH1" s="560"/>
      <c r="JYI1" s="560"/>
      <c r="JYJ1" s="560"/>
      <c r="JYK1" s="560"/>
      <c r="JYL1" s="560" t="s">
        <v>15</v>
      </c>
      <c r="JYM1" s="560"/>
      <c r="JYN1" s="560"/>
      <c r="JYO1" s="560"/>
      <c r="JYP1" s="560"/>
      <c r="JYQ1" s="560"/>
      <c r="JYR1" s="560"/>
      <c r="JYS1" s="560"/>
      <c r="JYT1" s="560" t="s">
        <v>15</v>
      </c>
      <c r="JYU1" s="560"/>
      <c r="JYV1" s="560"/>
      <c r="JYW1" s="560"/>
      <c r="JYX1" s="560"/>
      <c r="JYY1" s="560"/>
      <c r="JYZ1" s="560"/>
      <c r="JZA1" s="560"/>
      <c r="JZB1" s="560" t="s">
        <v>15</v>
      </c>
      <c r="JZC1" s="560"/>
      <c r="JZD1" s="560"/>
      <c r="JZE1" s="560"/>
      <c r="JZF1" s="560"/>
      <c r="JZG1" s="560"/>
      <c r="JZH1" s="560"/>
      <c r="JZI1" s="560"/>
      <c r="JZJ1" s="560" t="s">
        <v>15</v>
      </c>
      <c r="JZK1" s="560"/>
      <c r="JZL1" s="560"/>
      <c r="JZM1" s="560"/>
      <c r="JZN1" s="560"/>
      <c r="JZO1" s="560"/>
      <c r="JZP1" s="560"/>
      <c r="JZQ1" s="560"/>
      <c r="JZR1" s="560" t="s">
        <v>15</v>
      </c>
      <c r="JZS1" s="560"/>
      <c r="JZT1" s="560"/>
      <c r="JZU1" s="560"/>
      <c r="JZV1" s="560"/>
      <c r="JZW1" s="560"/>
      <c r="JZX1" s="560"/>
      <c r="JZY1" s="560"/>
      <c r="JZZ1" s="560" t="s">
        <v>15</v>
      </c>
      <c r="KAA1" s="560"/>
      <c r="KAB1" s="560"/>
      <c r="KAC1" s="560"/>
      <c r="KAD1" s="560"/>
      <c r="KAE1" s="560"/>
      <c r="KAF1" s="560"/>
      <c r="KAG1" s="560"/>
      <c r="KAH1" s="560" t="s">
        <v>15</v>
      </c>
      <c r="KAI1" s="560"/>
      <c r="KAJ1" s="560"/>
      <c r="KAK1" s="560"/>
      <c r="KAL1" s="560"/>
      <c r="KAM1" s="560"/>
      <c r="KAN1" s="560"/>
      <c r="KAO1" s="560"/>
      <c r="KAP1" s="560" t="s">
        <v>15</v>
      </c>
      <c r="KAQ1" s="560"/>
      <c r="KAR1" s="560"/>
      <c r="KAS1" s="560"/>
      <c r="KAT1" s="560"/>
      <c r="KAU1" s="560"/>
      <c r="KAV1" s="560"/>
      <c r="KAW1" s="560"/>
      <c r="KAX1" s="560" t="s">
        <v>15</v>
      </c>
      <c r="KAY1" s="560"/>
      <c r="KAZ1" s="560"/>
      <c r="KBA1" s="560"/>
      <c r="KBB1" s="560"/>
      <c r="KBC1" s="560"/>
      <c r="KBD1" s="560"/>
      <c r="KBE1" s="560"/>
      <c r="KBF1" s="560" t="s">
        <v>15</v>
      </c>
      <c r="KBG1" s="560"/>
      <c r="KBH1" s="560"/>
      <c r="KBI1" s="560"/>
      <c r="KBJ1" s="560"/>
      <c r="KBK1" s="560"/>
      <c r="KBL1" s="560"/>
      <c r="KBM1" s="560"/>
      <c r="KBN1" s="560" t="s">
        <v>15</v>
      </c>
      <c r="KBO1" s="560"/>
      <c r="KBP1" s="560"/>
      <c r="KBQ1" s="560"/>
      <c r="KBR1" s="560"/>
      <c r="KBS1" s="560"/>
      <c r="KBT1" s="560"/>
      <c r="KBU1" s="560"/>
      <c r="KBV1" s="560" t="s">
        <v>15</v>
      </c>
      <c r="KBW1" s="560"/>
      <c r="KBX1" s="560"/>
      <c r="KBY1" s="560"/>
      <c r="KBZ1" s="560"/>
      <c r="KCA1" s="560"/>
      <c r="KCB1" s="560"/>
      <c r="KCC1" s="560"/>
      <c r="KCD1" s="560" t="s">
        <v>15</v>
      </c>
      <c r="KCE1" s="560"/>
      <c r="KCF1" s="560"/>
      <c r="KCG1" s="560"/>
      <c r="KCH1" s="560"/>
      <c r="KCI1" s="560"/>
      <c r="KCJ1" s="560"/>
      <c r="KCK1" s="560"/>
      <c r="KCL1" s="560" t="s">
        <v>15</v>
      </c>
      <c r="KCM1" s="560"/>
      <c r="KCN1" s="560"/>
      <c r="KCO1" s="560"/>
      <c r="KCP1" s="560"/>
      <c r="KCQ1" s="560"/>
      <c r="KCR1" s="560"/>
      <c r="KCS1" s="560"/>
      <c r="KCT1" s="560" t="s">
        <v>15</v>
      </c>
      <c r="KCU1" s="560"/>
      <c r="KCV1" s="560"/>
      <c r="KCW1" s="560"/>
      <c r="KCX1" s="560"/>
      <c r="KCY1" s="560"/>
      <c r="KCZ1" s="560"/>
      <c r="KDA1" s="560"/>
      <c r="KDB1" s="560" t="s">
        <v>15</v>
      </c>
      <c r="KDC1" s="560"/>
      <c r="KDD1" s="560"/>
      <c r="KDE1" s="560"/>
      <c r="KDF1" s="560"/>
      <c r="KDG1" s="560"/>
      <c r="KDH1" s="560"/>
      <c r="KDI1" s="560"/>
      <c r="KDJ1" s="560" t="s">
        <v>15</v>
      </c>
      <c r="KDK1" s="560"/>
      <c r="KDL1" s="560"/>
      <c r="KDM1" s="560"/>
      <c r="KDN1" s="560"/>
      <c r="KDO1" s="560"/>
      <c r="KDP1" s="560"/>
      <c r="KDQ1" s="560"/>
      <c r="KDR1" s="560" t="s">
        <v>15</v>
      </c>
      <c r="KDS1" s="560"/>
      <c r="KDT1" s="560"/>
      <c r="KDU1" s="560"/>
      <c r="KDV1" s="560"/>
      <c r="KDW1" s="560"/>
      <c r="KDX1" s="560"/>
      <c r="KDY1" s="560"/>
      <c r="KDZ1" s="560" t="s">
        <v>15</v>
      </c>
      <c r="KEA1" s="560"/>
      <c r="KEB1" s="560"/>
      <c r="KEC1" s="560"/>
      <c r="KED1" s="560"/>
      <c r="KEE1" s="560"/>
      <c r="KEF1" s="560"/>
      <c r="KEG1" s="560"/>
      <c r="KEH1" s="560" t="s">
        <v>15</v>
      </c>
      <c r="KEI1" s="560"/>
      <c r="KEJ1" s="560"/>
      <c r="KEK1" s="560"/>
      <c r="KEL1" s="560"/>
      <c r="KEM1" s="560"/>
      <c r="KEN1" s="560"/>
      <c r="KEO1" s="560"/>
      <c r="KEP1" s="560" t="s">
        <v>15</v>
      </c>
      <c r="KEQ1" s="560"/>
      <c r="KER1" s="560"/>
      <c r="KES1" s="560"/>
      <c r="KET1" s="560"/>
      <c r="KEU1" s="560"/>
      <c r="KEV1" s="560"/>
      <c r="KEW1" s="560"/>
      <c r="KEX1" s="560" t="s">
        <v>15</v>
      </c>
      <c r="KEY1" s="560"/>
      <c r="KEZ1" s="560"/>
      <c r="KFA1" s="560"/>
      <c r="KFB1" s="560"/>
      <c r="KFC1" s="560"/>
      <c r="KFD1" s="560"/>
      <c r="KFE1" s="560"/>
      <c r="KFF1" s="560" t="s">
        <v>15</v>
      </c>
      <c r="KFG1" s="560"/>
      <c r="KFH1" s="560"/>
      <c r="KFI1" s="560"/>
      <c r="KFJ1" s="560"/>
      <c r="KFK1" s="560"/>
      <c r="KFL1" s="560"/>
      <c r="KFM1" s="560"/>
      <c r="KFN1" s="560" t="s">
        <v>15</v>
      </c>
      <c r="KFO1" s="560"/>
      <c r="KFP1" s="560"/>
      <c r="KFQ1" s="560"/>
      <c r="KFR1" s="560"/>
      <c r="KFS1" s="560"/>
      <c r="KFT1" s="560"/>
      <c r="KFU1" s="560"/>
      <c r="KFV1" s="560" t="s">
        <v>15</v>
      </c>
      <c r="KFW1" s="560"/>
      <c r="KFX1" s="560"/>
      <c r="KFY1" s="560"/>
      <c r="KFZ1" s="560"/>
      <c r="KGA1" s="560"/>
      <c r="KGB1" s="560"/>
      <c r="KGC1" s="560"/>
      <c r="KGD1" s="560" t="s">
        <v>15</v>
      </c>
      <c r="KGE1" s="560"/>
      <c r="KGF1" s="560"/>
      <c r="KGG1" s="560"/>
      <c r="KGH1" s="560"/>
      <c r="KGI1" s="560"/>
      <c r="KGJ1" s="560"/>
      <c r="KGK1" s="560"/>
      <c r="KGL1" s="560" t="s">
        <v>15</v>
      </c>
      <c r="KGM1" s="560"/>
      <c r="KGN1" s="560"/>
      <c r="KGO1" s="560"/>
      <c r="KGP1" s="560"/>
      <c r="KGQ1" s="560"/>
      <c r="KGR1" s="560"/>
      <c r="KGS1" s="560"/>
      <c r="KGT1" s="560" t="s">
        <v>15</v>
      </c>
      <c r="KGU1" s="560"/>
      <c r="KGV1" s="560"/>
      <c r="KGW1" s="560"/>
      <c r="KGX1" s="560"/>
      <c r="KGY1" s="560"/>
      <c r="KGZ1" s="560"/>
      <c r="KHA1" s="560"/>
      <c r="KHB1" s="560" t="s">
        <v>15</v>
      </c>
      <c r="KHC1" s="560"/>
      <c r="KHD1" s="560"/>
      <c r="KHE1" s="560"/>
      <c r="KHF1" s="560"/>
      <c r="KHG1" s="560"/>
      <c r="KHH1" s="560"/>
      <c r="KHI1" s="560"/>
      <c r="KHJ1" s="560" t="s">
        <v>15</v>
      </c>
      <c r="KHK1" s="560"/>
      <c r="KHL1" s="560"/>
      <c r="KHM1" s="560"/>
      <c r="KHN1" s="560"/>
      <c r="KHO1" s="560"/>
      <c r="KHP1" s="560"/>
      <c r="KHQ1" s="560"/>
      <c r="KHR1" s="560" t="s">
        <v>15</v>
      </c>
      <c r="KHS1" s="560"/>
      <c r="KHT1" s="560"/>
      <c r="KHU1" s="560"/>
      <c r="KHV1" s="560"/>
      <c r="KHW1" s="560"/>
      <c r="KHX1" s="560"/>
      <c r="KHY1" s="560"/>
      <c r="KHZ1" s="560" t="s">
        <v>15</v>
      </c>
      <c r="KIA1" s="560"/>
      <c r="KIB1" s="560"/>
      <c r="KIC1" s="560"/>
      <c r="KID1" s="560"/>
      <c r="KIE1" s="560"/>
      <c r="KIF1" s="560"/>
      <c r="KIG1" s="560"/>
      <c r="KIH1" s="560" t="s">
        <v>15</v>
      </c>
      <c r="KII1" s="560"/>
      <c r="KIJ1" s="560"/>
      <c r="KIK1" s="560"/>
      <c r="KIL1" s="560"/>
      <c r="KIM1" s="560"/>
      <c r="KIN1" s="560"/>
      <c r="KIO1" s="560"/>
      <c r="KIP1" s="560" t="s">
        <v>15</v>
      </c>
      <c r="KIQ1" s="560"/>
      <c r="KIR1" s="560"/>
      <c r="KIS1" s="560"/>
      <c r="KIT1" s="560"/>
      <c r="KIU1" s="560"/>
      <c r="KIV1" s="560"/>
      <c r="KIW1" s="560"/>
      <c r="KIX1" s="560" t="s">
        <v>15</v>
      </c>
      <c r="KIY1" s="560"/>
      <c r="KIZ1" s="560"/>
      <c r="KJA1" s="560"/>
      <c r="KJB1" s="560"/>
      <c r="KJC1" s="560"/>
      <c r="KJD1" s="560"/>
      <c r="KJE1" s="560"/>
      <c r="KJF1" s="560" t="s">
        <v>15</v>
      </c>
      <c r="KJG1" s="560"/>
      <c r="KJH1" s="560"/>
      <c r="KJI1" s="560"/>
      <c r="KJJ1" s="560"/>
      <c r="KJK1" s="560"/>
      <c r="KJL1" s="560"/>
      <c r="KJM1" s="560"/>
      <c r="KJN1" s="560" t="s">
        <v>15</v>
      </c>
      <c r="KJO1" s="560"/>
      <c r="KJP1" s="560"/>
      <c r="KJQ1" s="560"/>
      <c r="KJR1" s="560"/>
      <c r="KJS1" s="560"/>
      <c r="KJT1" s="560"/>
      <c r="KJU1" s="560"/>
      <c r="KJV1" s="560" t="s">
        <v>15</v>
      </c>
      <c r="KJW1" s="560"/>
      <c r="KJX1" s="560"/>
      <c r="KJY1" s="560"/>
      <c r="KJZ1" s="560"/>
      <c r="KKA1" s="560"/>
      <c r="KKB1" s="560"/>
      <c r="KKC1" s="560"/>
      <c r="KKD1" s="560" t="s">
        <v>15</v>
      </c>
      <c r="KKE1" s="560"/>
      <c r="KKF1" s="560"/>
      <c r="KKG1" s="560"/>
      <c r="KKH1" s="560"/>
      <c r="KKI1" s="560"/>
      <c r="KKJ1" s="560"/>
      <c r="KKK1" s="560"/>
      <c r="KKL1" s="560" t="s">
        <v>15</v>
      </c>
      <c r="KKM1" s="560"/>
      <c r="KKN1" s="560"/>
      <c r="KKO1" s="560"/>
      <c r="KKP1" s="560"/>
      <c r="KKQ1" s="560"/>
      <c r="KKR1" s="560"/>
      <c r="KKS1" s="560"/>
      <c r="KKT1" s="560" t="s">
        <v>15</v>
      </c>
      <c r="KKU1" s="560"/>
      <c r="KKV1" s="560"/>
      <c r="KKW1" s="560"/>
      <c r="KKX1" s="560"/>
      <c r="KKY1" s="560"/>
      <c r="KKZ1" s="560"/>
      <c r="KLA1" s="560"/>
      <c r="KLB1" s="560" t="s">
        <v>15</v>
      </c>
      <c r="KLC1" s="560"/>
      <c r="KLD1" s="560"/>
      <c r="KLE1" s="560"/>
      <c r="KLF1" s="560"/>
      <c r="KLG1" s="560"/>
      <c r="KLH1" s="560"/>
      <c r="KLI1" s="560"/>
      <c r="KLJ1" s="560" t="s">
        <v>15</v>
      </c>
      <c r="KLK1" s="560"/>
      <c r="KLL1" s="560"/>
      <c r="KLM1" s="560"/>
      <c r="KLN1" s="560"/>
      <c r="KLO1" s="560"/>
      <c r="KLP1" s="560"/>
      <c r="KLQ1" s="560"/>
      <c r="KLR1" s="560" t="s">
        <v>15</v>
      </c>
      <c r="KLS1" s="560"/>
      <c r="KLT1" s="560"/>
      <c r="KLU1" s="560"/>
      <c r="KLV1" s="560"/>
      <c r="KLW1" s="560"/>
      <c r="KLX1" s="560"/>
      <c r="KLY1" s="560"/>
      <c r="KLZ1" s="560" t="s">
        <v>15</v>
      </c>
      <c r="KMA1" s="560"/>
      <c r="KMB1" s="560"/>
      <c r="KMC1" s="560"/>
      <c r="KMD1" s="560"/>
      <c r="KME1" s="560"/>
      <c r="KMF1" s="560"/>
      <c r="KMG1" s="560"/>
      <c r="KMH1" s="560" t="s">
        <v>15</v>
      </c>
      <c r="KMI1" s="560"/>
      <c r="KMJ1" s="560"/>
      <c r="KMK1" s="560"/>
      <c r="KML1" s="560"/>
      <c r="KMM1" s="560"/>
      <c r="KMN1" s="560"/>
      <c r="KMO1" s="560"/>
      <c r="KMP1" s="560" t="s">
        <v>15</v>
      </c>
      <c r="KMQ1" s="560"/>
      <c r="KMR1" s="560"/>
      <c r="KMS1" s="560"/>
      <c r="KMT1" s="560"/>
      <c r="KMU1" s="560"/>
      <c r="KMV1" s="560"/>
      <c r="KMW1" s="560"/>
      <c r="KMX1" s="560" t="s">
        <v>15</v>
      </c>
      <c r="KMY1" s="560"/>
      <c r="KMZ1" s="560"/>
      <c r="KNA1" s="560"/>
      <c r="KNB1" s="560"/>
      <c r="KNC1" s="560"/>
      <c r="KND1" s="560"/>
      <c r="KNE1" s="560"/>
      <c r="KNF1" s="560" t="s">
        <v>15</v>
      </c>
      <c r="KNG1" s="560"/>
      <c r="KNH1" s="560"/>
      <c r="KNI1" s="560"/>
      <c r="KNJ1" s="560"/>
      <c r="KNK1" s="560"/>
      <c r="KNL1" s="560"/>
      <c r="KNM1" s="560"/>
      <c r="KNN1" s="560" t="s">
        <v>15</v>
      </c>
      <c r="KNO1" s="560"/>
      <c r="KNP1" s="560"/>
      <c r="KNQ1" s="560"/>
      <c r="KNR1" s="560"/>
      <c r="KNS1" s="560"/>
      <c r="KNT1" s="560"/>
      <c r="KNU1" s="560"/>
      <c r="KNV1" s="560" t="s">
        <v>15</v>
      </c>
      <c r="KNW1" s="560"/>
      <c r="KNX1" s="560"/>
      <c r="KNY1" s="560"/>
      <c r="KNZ1" s="560"/>
      <c r="KOA1" s="560"/>
      <c r="KOB1" s="560"/>
      <c r="KOC1" s="560"/>
      <c r="KOD1" s="560" t="s">
        <v>15</v>
      </c>
      <c r="KOE1" s="560"/>
      <c r="KOF1" s="560"/>
      <c r="KOG1" s="560"/>
      <c r="KOH1" s="560"/>
      <c r="KOI1" s="560"/>
      <c r="KOJ1" s="560"/>
      <c r="KOK1" s="560"/>
      <c r="KOL1" s="560" t="s">
        <v>15</v>
      </c>
      <c r="KOM1" s="560"/>
      <c r="KON1" s="560"/>
      <c r="KOO1" s="560"/>
      <c r="KOP1" s="560"/>
      <c r="KOQ1" s="560"/>
      <c r="KOR1" s="560"/>
      <c r="KOS1" s="560"/>
      <c r="KOT1" s="560" t="s">
        <v>15</v>
      </c>
      <c r="KOU1" s="560"/>
      <c r="KOV1" s="560"/>
      <c r="KOW1" s="560"/>
      <c r="KOX1" s="560"/>
      <c r="KOY1" s="560"/>
      <c r="KOZ1" s="560"/>
      <c r="KPA1" s="560"/>
      <c r="KPB1" s="560" t="s">
        <v>15</v>
      </c>
      <c r="KPC1" s="560"/>
      <c r="KPD1" s="560"/>
      <c r="KPE1" s="560"/>
      <c r="KPF1" s="560"/>
      <c r="KPG1" s="560"/>
      <c r="KPH1" s="560"/>
      <c r="KPI1" s="560"/>
      <c r="KPJ1" s="560" t="s">
        <v>15</v>
      </c>
      <c r="KPK1" s="560"/>
      <c r="KPL1" s="560"/>
      <c r="KPM1" s="560"/>
      <c r="KPN1" s="560"/>
      <c r="KPO1" s="560"/>
      <c r="KPP1" s="560"/>
      <c r="KPQ1" s="560"/>
      <c r="KPR1" s="560" t="s">
        <v>15</v>
      </c>
      <c r="KPS1" s="560"/>
      <c r="KPT1" s="560"/>
      <c r="KPU1" s="560"/>
      <c r="KPV1" s="560"/>
      <c r="KPW1" s="560"/>
      <c r="KPX1" s="560"/>
      <c r="KPY1" s="560"/>
      <c r="KPZ1" s="560" t="s">
        <v>15</v>
      </c>
      <c r="KQA1" s="560"/>
      <c r="KQB1" s="560"/>
      <c r="KQC1" s="560"/>
      <c r="KQD1" s="560"/>
      <c r="KQE1" s="560"/>
      <c r="KQF1" s="560"/>
      <c r="KQG1" s="560"/>
      <c r="KQH1" s="560" t="s">
        <v>15</v>
      </c>
      <c r="KQI1" s="560"/>
      <c r="KQJ1" s="560"/>
      <c r="KQK1" s="560"/>
      <c r="KQL1" s="560"/>
      <c r="KQM1" s="560"/>
      <c r="KQN1" s="560"/>
      <c r="KQO1" s="560"/>
      <c r="KQP1" s="560" t="s">
        <v>15</v>
      </c>
      <c r="KQQ1" s="560"/>
      <c r="KQR1" s="560"/>
      <c r="KQS1" s="560"/>
      <c r="KQT1" s="560"/>
      <c r="KQU1" s="560"/>
      <c r="KQV1" s="560"/>
      <c r="KQW1" s="560"/>
      <c r="KQX1" s="560" t="s">
        <v>15</v>
      </c>
      <c r="KQY1" s="560"/>
      <c r="KQZ1" s="560"/>
      <c r="KRA1" s="560"/>
      <c r="KRB1" s="560"/>
      <c r="KRC1" s="560"/>
      <c r="KRD1" s="560"/>
      <c r="KRE1" s="560"/>
      <c r="KRF1" s="560" t="s">
        <v>15</v>
      </c>
      <c r="KRG1" s="560"/>
      <c r="KRH1" s="560"/>
      <c r="KRI1" s="560"/>
      <c r="KRJ1" s="560"/>
      <c r="KRK1" s="560"/>
      <c r="KRL1" s="560"/>
      <c r="KRM1" s="560"/>
      <c r="KRN1" s="560" t="s">
        <v>15</v>
      </c>
      <c r="KRO1" s="560"/>
      <c r="KRP1" s="560"/>
      <c r="KRQ1" s="560"/>
      <c r="KRR1" s="560"/>
      <c r="KRS1" s="560"/>
      <c r="KRT1" s="560"/>
      <c r="KRU1" s="560"/>
      <c r="KRV1" s="560" t="s">
        <v>15</v>
      </c>
      <c r="KRW1" s="560"/>
      <c r="KRX1" s="560"/>
      <c r="KRY1" s="560"/>
      <c r="KRZ1" s="560"/>
      <c r="KSA1" s="560"/>
      <c r="KSB1" s="560"/>
      <c r="KSC1" s="560"/>
      <c r="KSD1" s="560" t="s">
        <v>15</v>
      </c>
      <c r="KSE1" s="560"/>
      <c r="KSF1" s="560"/>
      <c r="KSG1" s="560"/>
      <c r="KSH1" s="560"/>
      <c r="KSI1" s="560"/>
      <c r="KSJ1" s="560"/>
      <c r="KSK1" s="560"/>
      <c r="KSL1" s="560" t="s">
        <v>15</v>
      </c>
      <c r="KSM1" s="560"/>
      <c r="KSN1" s="560"/>
      <c r="KSO1" s="560"/>
      <c r="KSP1" s="560"/>
      <c r="KSQ1" s="560"/>
      <c r="KSR1" s="560"/>
      <c r="KSS1" s="560"/>
      <c r="KST1" s="560" t="s">
        <v>15</v>
      </c>
      <c r="KSU1" s="560"/>
      <c r="KSV1" s="560"/>
      <c r="KSW1" s="560"/>
      <c r="KSX1" s="560"/>
      <c r="KSY1" s="560"/>
      <c r="KSZ1" s="560"/>
      <c r="KTA1" s="560"/>
      <c r="KTB1" s="560" t="s">
        <v>15</v>
      </c>
      <c r="KTC1" s="560"/>
      <c r="KTD1" s="560"/>
      <c r="KTE1" s="560"/>
      <c r="KTF1" s="560"/>
      <c r="KTG1" s="560"/>
      <c r="KTH1" s="560"/>
      <c r="KTI1" s="560"/>
      <c r="KTJ1" s="560" t="s">
        <v>15</v>
      </c>
      <c r="KTK1" s="560"/>
      <c r="KTL1" s="560"/>
      <c r="KTM1" s="560"/>
      <c r="KTN1" s="560"/>
      <c r="KTO1" s="560"/>
      <c r="KTP1" s="560"/>
      <c r="KTQ1" s="560"/>
      <c r="KTR1" s="560" t="s">
        <v>15</v>
      </c>
      <c r="KTS1" s="560"/>
      <c r="KTT1" s="560"/>
      <c r="KTU1" s="560"/>
      <c r="KTV1" s="560"/>
      <c r="KTW1" s="560"/>
      <c r="KTX1" s="560"/>
      <c r="KTY1" s="560"/>
      <c r="KTZ1" s="560" t="s">
        <v>15</v>
      </c>
      <c r="KUA1" s="560"/>
      <c r="KUB1" s="560"/>
      <c r="KUC1" s="560"/>
      <c r="KUD1" s="560"/>
      <c r="KUE1" s="560"/>
      <c r="KUF1" s="560"/>
      <c r="KUG1" s="560"/>
      <c r="KUH1" s="560" t="s">
        <v>15</v>
      </c>
      <c r="KUI1" s="560"/>
      <c r="KUJ1" s="560"/>
      <c r="KUK1" s="560"/>
      <c r="KUL1" s="560"/>
      <c r="KUM1" s="560"/>
      <c r="KUN1" s="560"/>
      <c r="KUO1" s="560"/>
      <c r="KUP1" s="560" t="s">
        <v>15</v>
      </c>
      <c r="KUQ1" s="560"/>
      <c r="KUR1" s="560"/>
      <c r="KUS1" s="560"/>
      <c r="KUT1" s="560"/>
      <c r="KUU1" s="560"/>
      <c r="KUV1" s="560"/>
      <c r="KUW1" s="560"/>
      <c r="KUX1" s="560" t="s">
        <v>15</v>
      </c>
      <c r="KUY1" s="560"/>
      <c r="KUZ1" s="560"/>
      <c r="KVA1" s="560"/>
      <c r="KVB1" s="560"/>
      <c r="KVC1" s="560"/>
      <c r="KVD1" s="560"/>
      <c r="KVE1" s="560"/>
      <c r="KVF1" s="560" t="s">
        <v>15</v>
      </c>
      <c r="KVG1" s="560"/>
      <c r="KVH1" s="560"/>
      <c r="KVI1" s="560"/>
      <c r="KVJ1" s="560"/>
      <c r="KVK1" s="560"/>
      <c r="KVL1" s="560"/>
      <c r="KVM1" s="560"/>
      <c r="KVN1" s="560" t="s">
        <v>15</v>
      </c>
      <c r="KVO1" s="560"/>
      <c r="KVP1" s="560"/>
      <c r="KVQ1" s="560"/>
      <c r="KVR1" s="560"/>
      <c r="KVS1" s="560"/>
      <c r="KVT1" s="560"/>
      <c r="KVU1" s="560"/>
      <c r="KVV1" s="560" t="s">
        <v>15</v>
      </c>
      <c r="KVW1" s="560"/>
      <c r="KVX1" s="560"/>
      <c r="KVY1" s="560"/>
      <c r="KVZ1" s="560"/>
      <c r="KWA1" s="560"/>
      <c r="KWB1" s="560"/>
      <c r="KWC1" s="560"/>
      <c r="KWD1" s="560" t="s">
        <v>15</v>
      </c>
      <c r="KWE1" s="560"/>
      <c r="KWF1" s="560"/>
      <c r="KWG1" s="560"/>
      <c r="KWH1" s="560"/>
      <c r="KWI1" s="560"/>
      <c r="KWJ1" s="560"/>
      <c r="KWK1" s="560"/>
      <c r="KWL1" s="560" t="s">
        <v>15</v>
      </c>
      <c r="KWM1" s="560"/>
      <c r="KWN1" s="560"/>
      <c r="KWO1" s="560"/>
      <c r="KWP1" s="560"/>
      <c r="KWQ1" s="560"/>
      <c r="KWR1" s="560"/>
      <c r="KWS1" s="560"/>
      <c r="KWT1" s="560" t="s">
        <v>15</v>
      </c>
      <c r="KWU1" s="560"/>
      <c r="KWV1" s="560"/>
      <c r="KWW1" s="560"/>
      <c r="KWX1" s="560"/>
      <c r="KWY1" s="560"/>
      <c r="KWZ1" s="560"/>
      <c r="KXA1" s="560"/>
      <c r="KXB1" s="560" t="s">
        <v>15</v>
      </c>
      <c r="KXC1" s="560"/>
      <c r="KXD1" s="560"/>
      <c r="KXE1" s="560"/>
      <c r="KXF1" s="560"/>
      <c r="KXG1" s="560"/>
      <c r="KXH1" s="560"/>
      <c r="KXI1" s="560"/>
      <c r="KXJ1" s="560" t="s">
        <v>15</v>
      </c>
      <c r="KXK1" s="560"/>
      <c r="KXL1" s="560"/>
      <c r="KXM1" s="560"/>
      <c r="KXN1" s="560"/>
      <c r="KXO1" s="560"/>
      <c r="KXP1" s="560"/>
      <c r="KXQ1" s="560"/>
      <c r="KXR1" s="560" t="s">
        <v>15</v>
      </c>
      <c r="KXS1" s="560"/>
      <c r="KXT1" s="560"/>
      <c r="KXU1" s="560"/>
      <c r="KXV1" s="560"/>
      <c r="KXW1" s="560"/>
      <c r="KXX1" s="560"/>
      <c r="KXY1" s="560"/>
      <c r="KXZ1" s="560" t="s">
        <v>15</v>
      </c>
      <c r="KYA1" s="560"/>
      <c r="KYB1" s="560"/>
      <c r="KYC1" s="560"/>
      <c r="KYD1" s="560"/>
      <c r="KYE1" s="560"/>
      <c r="KYF1" s="560"/>
      <c r="KYG1" s="560"/>
      <c r="KYH1" s="560" t="s">
        <v>15</v>
      </c>
      <c r="KYI1" s="560"/>
      <c r="KYJ1" s="560"/>
      <c r="KYK1" s="560"/>
      <c r="KYL1" s="560"/>
      <c r="KYM1" s="560"/>
      <c r="KYN1" s="560"/>
      <c r="KYO1" s="560"/>
      <c r="KYP1" s="560" t="s">
        <v>15</v>
      </c>
      <c r="KYQ1" s="560"/>
      <c r="KYR1" s="560"/>
      <c r="KYS1" s="560"/>
      <c r="KYT1" s="560"/>
      <c r="KYU1" s="560"/>
      <c r="KYV1" s="560"/>
      <c r="KYW1" s="560"/>
      <c r="KYX1" s="560" t="s">
        <v>15</v>
      </c>
      <c r="KYY1" s="560"/>
      <c r="KYZ1" s="560"/>
      <c r="KZA1" s="560"/>
      <c r="KZB1" s="560"/>
      <c r="KZC1" s="560"/>
      <c r="KZD1" s="560"/>
      <c r="KZE1" s="560"/>
      <c r="KZF1" s="560" t="s">
        <v>15</v>
      </c>
      <c r="KZG1" s="560"/>
      <c r="KZH1" s="560"/>
      <c r="KZI1" s="560"/>
      <c r="KZJ1" s="560"/>
      <c r="KZK1" s="560"/>
      <c r="KZL1" s="560"/>
      <c r="KZM1" s="560"/>
      <c r="KZN1" s="560" t="s">
        <v>15</v>
      </c>
      <c r="KZO1" s="560"/>
      <c r="KZP1" s="560"/>
      <c r="KZQ1" s="560"/>
      <c r="KZR1" s="560"/>
      <c r="KZS1" s="560"/>
      <c r="KZT1" s="560"/>
      <c r="KZU1" s="560"/>
      <c r="KZV1" s="560" t="s">
        <v>15</v>
      </c>
      <c r="KZW1" s="560"/>
      <c r="KZX1" s="560"/>
      <c r="KZY1" s="560"/>
      <c r="KZZ1" s="560"/>
      <c r="LAA1" s="560"/>
      <c r="LAB1" s="560"/>
      <c r="LAC1" s="560"/>
      <c r="LAD1" s="560" t="s">
        <v>15</v>
      </c>
      <c r="LAE1" s="560"/>
      <c r="LAF1" s="560"/>
      <c r="LAG1" s="560"/>
      <c r="LAH1" s="560"/>
      <c r="LAI1" s="560"/>
      <c r="LAJ1" s="560"/>
      <c r="LAK1" s="560"/>
      <c r="LAL1" s="560" t="s">
        <v>15</v>
      </c>
      <c r="LAM1" s="560"/>
      <c r="LAN1" s="560"/>
      <c r="LAO1" s="560"/>
      <c r="LAP1" s="560"/>
      <c r="LAQ1" s="560"/>
      <c r="LAR1" s="560"/>
      <c r="LAS1" s="560"/>
      <c r="LAT1" s="560" t="s">
        <v>15</v>
      </c>
      <c r="LAU1" s="560"/>
      <c r="LAV1" s="560"/>
      <c r="LAW1" s="560"/>
      <c r="LAX1" s="560"/>
      <c r="LAY1" s="560"/>
      <c r="LAZ1" s="560"/>
      <c r="LBA1" s="560"/>
      <c r="LBB1" s="560" t="s">
        <v>15</v>
      </c>
      <c r="LBC1" s="560"/>
      <c r="LBD1" s="560"/>
      <c r="LBE1" s="560"/>
      <c r="LBF1" s="560"/>
      <c r="LBG1" s="560"/>
      <c r="LBH1" s="560"/>
      <c r="LBI1" s="560"/>
      <c r="LBJ1" s="560" t="s">
        <v>15</v>
      </c>
      <c r="LBK1" s="560"/>
      <c r="LBL1" s="560"/>
      <c r="LBM1" s="560"/>
      <c r="LBN1" s="560"/>
      <c r="LBO1" s="560"/>
      <c r="LBP1" s="560"/>
      <c r="LBQ1" s="560"/>
      <c r="LBR1" s="560" t="s">
        <v>15</v>
      </c>
      <c r="LBS1" s="560"/>
      <c r="LBT1" s="560"/>
      <c r="LBU1" s="560"/>
      <c r="LBV1" s="560"/>
      <c r="LBW1" s="560"/>
      <c r="LBX1" s="560"/>
      <c r="LBY1" s="560"/>
      <c r="LBZ1" s="560" t="s">
        <v>15</v>
      </c>
      <c r="LCA1" s="560"/>
      <c r="LCB1" s="560"/>
      <c r="LCC1" s="560"/>
      <c r="LCD1" s="560"/>
      <c r="LCE1" s="560"/>
      <c r="LCF1" s="560"/>
      <c r="LCG1" s="560"/>
      <c r="LCH1" s="560" t="s">
        <v>15</v>
      </c>
      <c r="LCI1" s="560"/>
      <c r="LCJ1" s="560"/>
      <c r="LCK1" s="560"/>
      <c r="LCL1" s="560"/>
      <c r="LCM1" s="560"/>
      <c r="LCN1" s="560"/>
      <c r="LCO1" s="560"/>
      <c r="LCP1" s="560" t="s">
        <v>15</v>
      </c>
      <c r="LCQ1" s="560"/>
      <c r="LCR1" s="560"/>
      <c r="LCS1" s="560"/>
      <c r="LCT1" s="560"/>
      <c r="LCU1" s="560"/>
      <c r="LCV1" s="560"/>
      <c r="LCW1" s="560"/>
      <c r="LCX1" s="560" t="s">
        <v>15</v>
      </c>
      <c r="LCY1" s="560"/>
      <c r="LCZ1" s="560"/>
      <c r="LDA1" s="560"/>
      <c r="LDB1" s="560"/>
      <c r="LDC1" s="560"/>
      <c r="LDD1" s="560"/>
      <c r="LDE1" s="560"/>
      <c r="LDF1" s="560" t="s">
        <v>15</v>
      </c>
      <c r="LDG1" s="560"/>
      <c r="LDH1" s="560"/>
      <c r="LDI1" s="560"/>
      <c r="LDJ1" s="560"/>
      <c r="LDK1" s="560"/>
      <c r="LDL1" s="560"/>
      <c r="LDM1" s="560"/>
      <c r="LDN1" s="560" t="s">
        <v>15</v>
      </c>
      <c r="LDO1" s="560"/>
      <c r="LDP1" s="560"/>
      <c r="LDQ1" s="560"/>
      <c r="LDR1" s="560"/>
      <c r="LDS1" s="560"/>
      <c r="LDT1" s="560"/>
      <c r="LDU1" s="560"/>
      <c r="LDV1" s="560" t="s">
        <v>15</v>
      </c>
      <c r="LDW1" s="560"/>
      <c r="LDX1" s="560"/>
      <c r="LDY1" s="560"/>
      <c r="LDZ1" s="560"/>
      <c r="LEA1" s="560"/>
      <c r="LEB1" s="560"/>
      <c r="LEC1" s="560"/>
      <c r="LED1" s="560" t="s">
        <v>15</v>
      </c>
      <c r="LEE1" s="560"/>
      <c r="LEF1" s="560"/>
      <c r="LEG1" s="560"/>
      <c r="LEH1" s="560"/>
      <c r="LEI1" s="560"/>
      <c r="LEJ1" s="560"/>
      <c r="LEK1" s="560"/>
      <c r="LEL1" s="560" t="s">
        <v>15</v>
      </c>
      <c r="LEM1" s="560"/>
      <c r="LEN1" s="560"/>
      <c r="LEO1" s="560"/>
      <c r="LEP1" s="560"/>
      <c r="LEQ1" s="560"/>
      <c r="LER1" s="560"/>
      <c r="LES1" s="560"/>
      <c r="LET1" s="560" t="s">
        <v>15</v>
      </c>
      <c r="LEU1" s="560"/>
      <c r="LEV1" s="560"/>
      <c r="LEW1" s="560"/>
      <c r="LEX1" s="560"/>
      <c r="LEY1" s="560"/>
      <c r="LEZ1" s="560"/>
      <c r="LFA1" s="560"/>
      <c r="LFB1" s="560" t="s">
        <v>15</v>
      </c>
      <c r="LFC1" s="560"/>
      <c r="LFD1" s="560"/>
      <c r="LFE1" s="560"/>
      <c r="LFF1" s="560"/>
      <c r="LFG1" s="560"/>
      <c r="LFH1" s="560"/>
      <c r="LFI1" s="560"/>
      <c r="LFJ1" s="560" t="s">
        <v>15</v>
      </c>
      <c r="LFK1" s="560"/>
      <c r="LFL1" s="560"/>
      <c r="LFM1" s="560"/>
      <c r="LFN1" s="560"/>
      <c r="LFO1" s="560"/>
      <c r="LFP1" s="560"/>
      <c r="LFQ1" s="560"/>
      <c r="LFR1" s="560" t="s">
        <v>15</v>
      </c>
      <c r="LFS1" s="560"/>
      <c r="LFT1" s="560"/>
      <c r="LFU1" s="560"/>
      <c r="LFV1" s="560"/>
      <c r="LFW1" s="560"/>
      <c r="LFX1" s="560"/>
      <c r="LFY1" s="560"/>
      <c r="LFZ1" s="560" t="s">
        <v>15</v>
      </c>
      <c r="LGA1" s="560"/>
      <c r="LGB1" s="560"/>
      <c r="LGC1" s="560"/>
      <c r="LGD1" s="560"/>
      <c r="LGE1" s="560"/>
      <c r="LGF1" s="560"/>
      <c r="LGG1" s="560"/>
      <c r="LGH1" s="560" t="s">
        <v>15</v>
      </c>
      <c r="LGI1" s="560"/>
      <c r="LGJ1" s="560"/>
      <c r="LGK1" s="560"/>
      <c r="LGL1" s="560"/>
      <c r="LGM1" s="560"/>
      <c r="LGN1" s="560"/>
      <c r="LGO1" s="560"/>
      <c r="LGP1" s="560" t="s">
        <v>15</v>
      </c>
      <c r="LGQ1" s="560"/>
      <c r="LGR1" s="560"/>
      <c r="LGS1" s="560"/>
      <c r="LGT1" s="560"/>
      <c r="LGU1" s="560"/>
      <c r="LGV1" s="560"/>
      <c r="LGW1" s="560"/>
      <c r="LGX1" s="560" t="s">
        <v>15</v>
      </c>
      <c r="LGY1" s="560"/>
      <c r="LGZ1" s="560"/>
      <c r="LHA1" s="560"/>
      <c r="LHB1" s="560"/>
      <c r="LHC1" s="560"/>
      <c r="LHD1" s="560"/>
      <c r="LHE1" s="560"/>
      <c r="LHF1" s="560" t="s">
        <v>15</v>
      </c>
      <c r="LHG1" s="560"/>
      <c r="LHH1" s="560"/>
      <c r="LHI1" s="560"/>
      <c r="LHJ1" s="560"/>
      <c r="LHK1" s="560"/>
      <c r="LHL1" s="560"/>
      <c r="LHM1" s="560"/>
      <c r="LHN1" s="560" t="s">
        <v>15</v>
      </c>
      <c r="LHO1" s="560"/>
      <c r="LHP1" s="560"/>
      <c r="LHQ1" s="560"/>
      <c r="LHR1" s="560"/>
      <c r="LHS1" s="560"/>
      <c r="LHT1" s="560"/>
      <c r="LHU1" s="560"/>
      <c r="LHV1" s="560" t="s">
        <v>15</v>
      </c>
      <c r="LHW1" s="560"/>
      <c r="LHX1" s="560"/>
      <c r="LHY1" s="560"/>
      <c r="LHZ1" s="560"/>
      <c r="LIA1" s="560"/>
      <c r="LIB1" s="560"/>
      <c r="LIC1" s="560"/>
      <c r="LID1" s="560" t="s">
        <v>15</v>
      </c>
      <c r="LIE1" s="560"/>
      <c r="LIF1" s="560"/>
      <c r="LIG1" s="560"/>
      <c r="LIH1" s="560"/>
      <c r="LII1" s="560"/>
      <c r="LIJ1" s="560"/>
      <c r="LIK1" s="560"/>
      <c r="LIL1" s="560" t="s">
        <v>15</v>
      </c>
      <c r="LIM1" s="560"/>
      <c r="LIN1" s="560"/>
      <c r="LIO1" s="560"/>
      <c r="LIP1" s="560"/>
      <c r="LIQ1" s="560"/>
      <c r="LIR1" s="560"/>
      <c r="LIS1" s="560"/>
      <c r="LIT1" s="560" t="s">
        <v>15</v>
      </c>
      <c r="LIU1" s="560"/>
      <c r="LIV1" s="560"/>
      <c r="LIW1" s="560"/>
      <c r="LIX1" s="560"/>
      <c r="LIY1" s="560"/>
      <c r="LIZ1" s="560"/>
      <c r="LJA1" s="560"/>
      <c r="LJB1" s="560" t="s">
        <v>15</v>
      </c>
      <c r="LJC1" s="560"/>
      <c r="LJD1" s="560"/>
      <c r="LJE1" s="560"/>
      <c r="LJF1" s="560"/>
      <c r="LJG1" s="560"/>
      <c r="LJH1" s="560"/>
      <c r="LJI1" s="560"/>
      <c r="LJJ1" s="560" t="s">
        <v>15</v>
      </c>
      <c r="LJK1" s="560"/>
      <c r="LJL1" s="560"/>
      <c r="LJM1" s="560"/>
      <c r="LJN1" s="560"/>
      <c r="LJO1" s="560"/>
      <c r="LJP1" s="560"/>
      <c r="LJQ1" s="560"/>
      <c r="LJR1" s="560" t="s">
        <v>15</v>
      </c>
      <c r="LJS1" s="560"/>
      <c r="LJT1" s="560"/>
      <c r="LJU1" s="560"/>
      <c r="LJV1" s="560"/>
      <c r="LJW1" s="560"/>
      <c r="LJX1" s="560"/>
      <c r="LJY1" s="560"/>
      <c r="LJZ1" s="560" t="s">
        <v>15</v>
      </c>
      <c r="LKA1" s="560"/>
      <c r="LKB1" s="560"/>
      <c r="LKC1" s="560"/>
      <c r="LKD1" s="560"/>
      <c r="LKE1" s="560"/>
      <c r="LKF1" s="560"/>
      <c r="LKG1" s="560"/>
      <c r="LKH1" s="560" t="s">
        <v>15</v>
      </c>
      <c r="LKI1" s="560"/>
      <c r="LKJ1" s="560"/>
      <c r="LKK1" s="560"/>
      <c r="LKL1" s="560"/>
      <c r="LKM1" s="560"/>
      <c r="LKN1" s="560"/>
      <c r="LKO1" s="560"/>
      <c r="LKP1" s="560" t="s">
        <v>15</v>
      </c>
      <c r="LKQ1" s="560"/>
      <c r="LKR1" s="560"/>
      <c r="LKS1" s="560"/>
      <c r="LKT1" s="560"/>
      <c r="LKU1" s="560"/>
      <c r="LKV1" s="560"/>
      <c r="LKW1" s="560"/>
      <c r="LKX1" s="560" t="s">
        <v>15</v>
      </c>
      <c r="LKY1" s="560"/>
      <c r="LKZ1" s="560"/>
      <c r="LLA1" s="560"/>
      <c r="LLB1" s="560"/>
      <c r="LLC1" s="560"/>
      <c r="LLD1" s="560"/>
      <c r="LLE1" s="560"/>
      <c r="LLF1" s="560" t="s">
        <v>15</v>
      </c>
      <c r="LLG1" s="560"/>
      <c r="LLH1" s="560"/>
      <c r="LLI1" s="560"/>
      <c r="LLJ1" s="560"/>
      <c r="LLK1" s="560"/>
      <c r="LLL1" s="560"/>
      <c r="LLM1" s="560"/>
      <c r="LLN1" s="560" t="s">
        <v>15</v>
      </c>
      <c r="LLO1" s="560"/>
      <c r="LLP1" s="560"/>
      <c r="LLQ1" s="560"/>
      <c r="LLR1" s="560"/>
      <c r="LLS1" s="560"/>
      <c r="LLT1" s="560"/>
      <c r="LLU1" s="560"/>
      <c r="LLV1" s="560" t="s">
        <v>15</v>
      </c>
      <c r="LLW1" s="560"/>
      <c r="LLX1" s="560"/>
      <c r="LLY1" s="560"/>
      <c r="LLZ1" s="560"/>
      <c r="LMA1" s="560"/>
      <c r="LMB1" s="560"/>
      <c r="LMC1" s="560"/>
      <c r="LMD1" s="560" t="s">
        <v>15</v>
      </c>
      <c r="LME1" s="560"/>
      <c r="LMF1" s="560"/>
      <c r="LMG1" s="560"/>
      <c r="LMH1" s="560"/>
      <c r="LMI1" s="560"/>
      <c r="LMJ1" s="560"/>
      <c r="LMK1" s="560"/>
      <c r="LML1" s="560" t="s">
        <v>15</v>
      </c>
      <c r="LMM1" s="560"/>
      <c r="LMN1" s="560"/>
      <c r="LMO1" s="560"/>
      <c r="LMP1" s="560"/>
      <c r="LMQ1" s="560"/>
      <c r="LMR1" s="560"/>
      <c r="LMS1" s="560"/>
      <c r="LMT1" s="560" t="s">
        <v>15</v>
      </c>
      <c r="LMU1" s="560"/>
      <c r="LMV1" s="560"/>
      <c r="LMW1" s="560"/>
      <c r="LMX1" s="560"/>
      <c r="LMY1" s="560"/>
      <c r="LMZ1" s="560"/>
      <c r="LNA1" s="560"/>
      <c r="LNB1" s="560" t="s">
        <v>15</v>
      </c>
      <c r="LNC1" s="560"/>
      <c r="LND1" s="560"/>
      <c r="LNE1" s="560"/>
      <c r="LNF1" s="560"/>
      <c r="LNG1" s="560"/>
      <c r="LNH1" s="560"/>
      <c r="LNI1" s="560"/>
      <c r="LNJ1" s="560" t="s">
        <v>15</v>
      </c>
      <c r="LNK1" s="560"/>
      <c r="LNL1" s="560"/>
      <c r="LNM1" s="560"/>
      <c r="LNN1" s="560"/>
      <c r="LNO1" s="560"/>
      <c r="LNP1" s="560"/>
      <c r="LNQ1" s="560"/>
      <c r="LNR1" s="560" t="s">
        <v>15</v>
      </c>
      <c r="LNS1" s="560"/>
      <c r="LNT1" s="560"/>
      <c r="LNU1" s="560"/>
      <c r="LNV1" s="560"/>
      <c r="LNW1" s="560"/>
      <c r="LNX1" s="560"/>
      <c r="LNY1" s="560"/>
      <c r="LNZ1" s="560" t="s">
        <v>15</v>
      </c>
      <c r="LOA1" s="560"/>
      <c r="LOB1" s="560"/>
      <c r="LOC1" s="560"/>
      <c r="LOD1" s="560"/>
      <c r="LOE1" s="560"/>
      <c r="LOF1" s="560"/>
      <c r="LOG1" s="560"/>
      <c r="LOH1" s="560" t="s">
        <v>15</v>
      </c>
      <c r="LOI1" s="560"/>
      <c r="LOJ1" s="560"/>
      <c r="LOK1" s="560"/>
      <c r="LOL1" s="560"/>
      <c r="LOM1" s="560"/>
      <c r="LON1" s="560"/>
      <c r="LOO1" s="560"/>
      <c r="LOP1" s="560" t="s">
        <v>15</v>
      </c>
      <c r="LOQ1" s="560"/>
      <c r="LOR1" s="560"/>
      <c r="LOS1" s="560"/>
      <c r="LOT1" s="560"/>
      <c r="LOU1" s="560"/>
      <c r="LOV1" s="560"/>
      <c r="LOW1" s="560"/>
      <c r="LOX1" s="560" t="s">
        <v>15</v>
      </c>
      <c r="LOY1" s="560"/>
      <c r="LOZ1" s="560"/>
      <c r="LPA1" s="560"/>
      <c r="LPB1" s="560"/>
      <c r="LPC1" s="560"/>
      <c r="LPD1" s="560"/>
      <c r="LPE1" s="560"/>
      <c r="LPF1" s="560" t="s">
        <v>15</v>
      </c>
      <c r="LPG1" s="560"/>
      <c r="LPH1" s="560"/>
      <c r="LPI1" s="560"/>
      <c r="LPJ1" s="560"/>
      <c r="LPK1" s="560"/>
      <c r="LPL1" s="560"/>
      <c r="LPM1" s="560"/>
      <c r="LPN1" s="560" t="s">
        <v>15</v>
      </c>
      <c r="LPO1" s="560"/>
      <c r="LPP1" s="560"/>
      <c r="LPQ1" s="560"/>
      <c r="LPR1" s="560"/>
      <c r="LPS1" s="560"/>
      <c r="LPT1" s="560"/>
      <c r="LPU1" s="560"/>
      <c r="LPV1" s="560" t="s">
        <v>15</v>
      </c>
      <c r="LPW1" s="560"/>
      <c r="LPX1" s="560"/>
      <c r="LPY1" s="560"/>
      <c r="LPZ1" s="560"/>
      <c r="LQA1" s="560"/>
      <c r="LQB1" s="560"/>
      <c r="LQC1" s="560"/>
      <c r="LQD1" s="560" t="s">
        <v>15</v>
      </c>
      <c r="LQE1" s="560"/>
      <c r="LQF1" s="560"/>
      <c r="LQG1" s="560"/>
      <c r="LQH1" s="560"/>
      <c r="LQI1" s="560"/>
      <c r="LQJ1" s="560"/>
      <c r="LQK1" s="560"/>
      <c r="LQL1" s="560" t="s">
        <v>15</v>
      </c>
      <c r="LQM1" s="560"/>
      <c r="LQN1" s="560"/>
      <c r="LQO1" s="560"/>
      <c r="LQP1" s="560"/>
      <c r="LQQ1" s="560"/>
      <c r="LQR1" s="560"/>
      <c r="LQS1" s="560"/>
      <c r="LQT1" s="560" t="s">
        <v>15</v>
      </c>
      <c r="LQU1" s="560"/>
      <c r="LQV1" s="560"/>
      <c r="LQW1" s="560"/>
      <c r="LQX1" s="560"/>
      <c r="LQY1" s="560"/>
      <c r="LQZ1" s="560"/>
      <c r="LRA1" s="560"/>
      <c r="LRB1" s="560" t="s">
        <v>15</v>
      </c>
      <c r="LRC1" s="560"/>
      <c r="LRD1" s="560"/>
      <c r="LRE1" s="560"/>
      <c r="LRF1" s="560"/>
      <c r="LRG1" s="560"/>
      <c r="LRH1" s="560"/>
      <c r="LRI1" s="560"/>
      <c r="LRJ1" s="560" t="s">
        <v>15</v>
      </c>
      <c r="LRK1" s="560"/>
      <c r="LRL1" s="560"/>
      <c r="LRM1" s="560"/>
      <c r="LRN1" s="560"/>
      <c r="LRO1" s="560"/>
      <c r="LRP1" s="560"/>
      <c r="LRQ1" s="560"/>
      <c r="LRR1" s="560" t="s">
        <v>15</v>
      </c>
      <c r="LRS1" s="560"/>
      <c r="LRT1" s="560"/>
      <c r="LRU1" s="560"/>
      <c r="LRV1" s="560"/>
      <c r="LRW1" s="560"/>
      <c r="LRX1" s="560"/>
      <c r="LRY1" s="560"/>
      <c r="LRZ1" s="560" t="s">
        <v>15</v>
      </c>
      <c r="LSA1" s="560"/>
      <c r="LSB1" s="560"/>
      <c r="LSC1" s="560"/>
      <c r="LSD1" s="560"/>
      <c r="LSE1" s="560"/>
      <c r="LSF1" s="560"/>
      <c r="LSG1" s="560"/>
      <c r="LSH1" s="560" t="s">
        <v>15</v>
      </c>
      <c r="LSI1" s="560"/>
      <c r="LSJ1" s="560"/>
      <c r="LSK1" s="560"/>
      <c r="LSL1" s="560"/>
      <c r="LSM1" s="560"/>
      <c r="LSN1" s="560"/>
      <c r="LSO1" s="560"/>
      <c r="LSP1" s="560" t="s">
        <v>15</v>
      </c>
      <c r="LSQ1" s="560"/>
      <c r="LSR1" s="560"/>
      <c r="LSS1" s="560"/>
      <c r="LST1" s="560"/>
      <c r="LSU1" s="560"/>
      <c r="LSV1" s="560"/>
      <c r="LSW1" s="560"/>
      <c r="LSX1" s="560" t="s">
        <v>15</v>
      </c>
      <c r="LSY1" s="560"/>
      <c r="LSZ1" s="560"/>
      <c r="LTA1" s="560"/>
      <c r="LTB1" s="560"/>
      <c r="LTC1" s="560"/>
      <c r="LTD1" s="560"/>
      <c r="LTE1" s="560"/>
      <c r="LTF1" s="560" t="s">
        <v>15</v>
      </c>
      <c r="LTG1" s="560"/>
      <c r="LTH1" s="560"/>
      <c r="LTI1" s="560"/>
      <c r="LTJ1" s="560"/>
      <c r="LTK1" s="560"/>
      <c r="LTL1" s="560"/>
      <c r="LTM1" s="560"/>
      <c r="LTN1" s="560" t="s">
        <v>15</v>
      </c>
      <c r="LTO1" s="560"/>
      <c r="LTP1" s="560"/>
      <c r="LTQ1" s="560"/>
      <c r="LTR1" s="560"/>
      <c r="LTS1" s="560"/>
      <c r="LTT1" s="560"/>
      <c r="LTU1" s="560"/>
      <c r="LTV1" s="560" t="s">
        <v>15</v>
      </c>
      <c r="LTW1" s="560"/>
      <c r="LTX1" s="560"/>
      <c r="LTY1" s="560"/>
      <c r="LTZ1" s="560"/>
      <c r="LUA1" s="560"/>
      <c r="LUB1" s="560"/>
      <c r="LUC1" s="560"/>
      <c r="LUD1" s="560" t="s">
        <v>15</v>
      </c>
      <c r="LUE1" s="560"/>
      <c r="LUF1" s="560"/>
      <c r="LUG1" s="560"/>
      <c r="LUH1" s="560"/>
      <c r="LUI1" s="560"/>
      <c r="LUJ1" s="560"/>
      <c r="LUK1" s="560"/>
      <c r="LUL1" s="560" t="s">
        <v>15</v>
      </c>
      <c r="LUM1" s="560"/>
      <c r="LUN1" s="560"/>
      <c r="LUO1" s="560"/>
      <c r="LUP1" s="560"/>
      <c r="LUQ1" s="560"/>
      <c r="LUR1" s="560"/>
      <c r="LUS1" s="560"/>
      <c r="LUT1" s="560" t="s">
        <v>15</v>
      </c>
      <c r="LUU1" s="560"/>
      <c r="LUV1" s="560"/>
      <c r="LUW1" s="560"/>
      <c r="LUX1" s="560"/>
      <c r="LUY1" s="560"/>
      <c r="LUZ1" s="560"/>
      <c r="LVA1" s="560"/>
      <c r="LVB1" s="560" t="s">
        <v>15</v>
      </c>
      <c r="LVC1" s="560"/>
      <c r="LVD1" s="560"/>
      <c r="LVE1" s="560"/>
      <c r="LVF1" s="560"/>
      <c r="LVG1" s="560"/>
      <c r="LVH1" s="560"/>
      <c r="LVI1" s="560"/>
      <c r="LVJ1" s="560" t="s">
        <v>15</v>
      </c>
      <c r="LVK1" s="560"/>
      <c r="LVL1" s="560"/>
      <c r="LVM1" s="560"/>
      <c r="LVN1" s="560"/>
      <c r="LVO1" s="560"/>
      <c r="LVP1" s="560"/>
      <c r="LVQ1" s="560"/>
      <c r="LVR1" s="560" t="s">
        <v>15</v>
      </c>
      <c r="LVS1" s="560"/>
      <c r="LVT1" s="560"/>
      <c r="LVU1" s="560"/>
      <c r="LVV1" s="560"/>
      <c r="LVW1" s="560"/>
      <c r="LVX1" s="560"/>
      <c r="LVY1" s="560"/>
      <c r="LVZ1" s="560" t="s">
        <v>15</v>
      </c>
      <c r="LWA1" s="560"/>
      <c r="LWB1" s="560"/>
      <c r="LWC1" s="560"/>
      <c r="LWD1" s="560"/>
      <c r="LWE1" s="560"/>
      <c r="LWF1" s="560"/>
      <c r="LWG1" s="560"/>
      <c r="LWH1" s="560" t="s">
        <v>15</v>
      </c>
      <c r="LWI1" s="560"/>
      <c r="LWJ1" s="560"/>
      <c r="LWK1" s="560"/>
      <c r="LWL1" s="560"/>
      <c r="LWM1" s="560"/>
      <c r="LWN1" s="560"/>
      <c r="LWO1" s="560"/>
      <c r="LWP1" s="560" t="s">
        <v>15</v>
      </c>
      <c r="LWQ1" s="560"/>
      <c r="LWR1" s="560"/>
      <c r="LWS1" s="560"/>
      <c r="LWT1" s="560"/>
      <c r="LWU1" s="560"/>
      <c r="LWV1" s="560"/>
      <c r="LWW1" s="560"/>
      <c r="LWX1" s="560" t="s">
        <v>15</v>
      </c>
      <c r="LWY1" s="560"/>
      <c r="LWZ1" s="560"/>
      <c r="LXA1" s="560"/>
      <c r="LXB1" s="560"/>
      <c r="LXC1" s="560"/>
      <c r="LXD1" s="560"/>
      <c r="LXE1" s="560"/>
      <c r="LXF1" s="560" t="s">
        <v>15</v>
      </c>
      <c r="LXG1" s="560"/>
      <c r="LXH1" s="560"/>
      <c r="LXI1" s="560"/>
      <c r="LXJ1" s="560"/>
      <c r="LXK1" s="560"/>
      <c r="LXL1" s="560"/>
      <c r="LXM1" s="560"/>
      <c r="LXN1" s="560" t="s">
        <v>15</v>
      </c>
      <c r="LXO1" s="560"/>
      <c r="LXP1" s="560"/>
      <c r="LXQ1" s="560"/>
      <c r="LXR1" s="560"/>
      <c r="LXS1" s="560"/>
      <c r="LXT1" s="560"/>
      <c r="LXU1" s="560"/>
      <c r="LXV1" s="560" t="s">
        <v>15</v>
      </c>
      <c r="LXW1" s="560"/>
      <c r="LXX1" s="560"/>
      <c r="LXY1" s="560"/>
      <c r="LXZ1" s="560"/>
      <c r="LYA1" s="560"/>
      <c r="LYB1" s="560"/>
      <c r="LYC1" s="560"/>
      <c r="LYD1" s="560" t="s">
        <v>15</v>
      </c>
      <c r="LYE1" s="560"/>
      <c r="LYF1" s="560"/>
      <c r="LYG1" s="560"/>
      <c r="LYH1" s="560"/>
      <c r="LYI1" s="560"/>
      <c r="LYJ1" s="560"/>
      <c r="LYK1" s="560"/>
      <c r="LYL1" s="560" t="s">
        <v>15</v>
      </c>
      <c r="LYM1" s="560"/>
      <c r="LYN1" s="560"/>
      <c r="LYO1" s="560"/>
      <c r="LYP1" s="560"/>
      <c r="LYQ1" s="560"/>
      <c r="LYR1" s="560"/>
      <c r="LYS1" s="560"/>
      <c r="LYT1" s="560" t="s">
        <v>15</v>
      </c>
      <c r="LYU1" s="560"/>
      <c r="LYV1" s="560"/>
      <c r="LYW1" s="560"/>
      <c r="LYX1" s="560"/>
      <c r="LYY1" s="560"/>
      <c r="LYZ1" s="560"/>
      <c r="LZA1" s="560"/>
      <c r="LZB1" s="560" t="s">
        <v>15</v>
      </c>
      <c r="LZC1" s="560"/>
      <c r="LZD1" s="560"/>
      <c r="LZE1" s="560"/>
      <c r="LZF1" s="560"/>
      <c r="LZG1" s="560"/>
      <c r="LZH1" s="560"/>
      <c r="LZI1" s="560"/>
      <c r="LZJ1" s="560" t="s">
        <v>15</v>
      </c>
      <c r="LZK1" s="560"/>
      <c r="LZL1" s="560"/>
      <c r="LZM1" s="560"/>
      <c r="LZN1" s="560"/>
      <c r="LZO1" s="560"/>
      <c r="LZP1" s="560"/>
      <c r="LZQ1" s="560"/>
      <c r="LZR1" s="560" t="s">
        <v>15</v>
      </c>
      <c r="LZS1" s="560"/>
      <c r="LZT1" s="560"/>
      <c r="LZU1" s="560"/>
      <c r="LZV1" s="560"/>
      <c r="LZW1" s="560"/>
      <c r="LZX1" s="560"/>
      <c r="LZY1" s="560"/>
      <c r="LZZ1" s="560" t="s">
        <v>15</v>
      </c>
      <c r="MAA1" s="560"/>
      <c r="MAB1" s="560"/>
      <c r="MAC1" s="560"/>
      <c r="MAD1" s="560"/>
      <c r="MAE1" s="560"/>
      <c r="MAF1" s="560"/>
      <c r="MAG1" s="560"/>
      <c r="MAH1" s="560" t="s">
        <v>15</v>
      </c>
      <c r="MAI1" s="560"/>
      <c r="MAJ1" s="560"/>
      <c r="MAK1" s="560"/>
      <c r="MAL1" s="560"/>
      <c r="MAM1" s="560"/>
      <c r="MAN1" s="560"/>
      <c r="MAO1" s="560"/>
      <c r="MAP1" s="560" t="s">
        <v>15</v>
      </c>
      <c r="MAQ1" s="560"/>
      <c r="MAR1" s="560"/>
      <c r="MAS1" s="560"/>
      <c r="MAT1" s="560"/>
      <c r="MAU1" s="560"/>
      <c r="MAV1" s="560"/>
      <c r="MAW1" s="560"/>
      <c r="MAX1" s="560" t="s">
        <v>15</v>
      </c>
      <c r="MAY1" s="560"/>
      <c r="MAZ1" s="560"/>
      <c r="MBA1" s="560"/>
      <c r="MBB1" s="560"/>
      <c r="MBC1" s="560"/>
      <c r="MBD1" s="560"/>
      <c r="MBE1" s="560"/>
      <c r="MBF1" s="560" t="s">
        <v>15</v>
      </c>
      <c r="MBG1" s="560"/>
      <c r="MBH1" s="560"/>
      <c r="MBI1" s="560"/>
      <c r="MBJ1" s="560"/>
      <c r="MBK1" s="560"/>
      <c r="MBL1" s="560"/>
      <c r="MBM1" s="560"/>
      <c r="MBN1" s="560" t="s">
        <v>15</v>
      </c>
      <c r="MBO1" s="560"/>
      <c r="MBP1" s="560"/>
      <c r="MBQ1" s="560"/>
      <c r="MBR1" s="560"/>
      <c r="MBS1" s="560"/>
      <c r="MBT1" s="560"/>
      <c r="MBU1" s="560"/>
      <c r="MBV1" s="560" t="s">
        <v>15</v>
      </c>
      <c r="MBW1" s="560"/>
      <c r="MBX1" s="560"/>
      <c r="MBY1" s="560"/>
      <c r="MBZ1" s="560"/>
      <c r="MCA1" s="560"/>
      <c r="MCB1" s="560"/>
      <c r="MCC1" s="560"/>
      <c r="MCD1" s="560" t="s">
        <v>15</v>
      </c>
      <c r="MCE1" s="560"/>
      <c r="MCF1" s="560"/>
      <c r="MCG1" s="560"/>
      <c r="MCH1" s="560"/>
      <c r="MCI1" s="560"/>
      <c r="MCJ1" s="560"/>
      <c r="MCK1" s="560"/>
      <c r="MCL1" s="560" t="s">
        <v>15</v>
      </c>
      <c r="MCM1" s="560"/>
      <c r="MCN1" s="560"/>
      <c r="MCO1" s="560"/>
      <c r="MCP1" s="560"/>
      <c r="MCQ1" s="560"/>
      <c r="MCR1" s="560"/>
      <c r="MCS1" s="560"/>
      <c r="MCT1" s="560" t="s">
        <v>15</v>
      </c>
      <c r="MCU1" s="560"/>
      <c r="MCV1" s="560"/>
      <c r="MCW1" s="560"/>
      <c r="MCX1" s="560"/>
      <c r="MCY1" s="560"/>
      <c r="MCZ1" s="560"/>
      <c r="MDA1" s="560"/>
      <c r="MDB1" s="560" t="s">
        <v>15</v>
      </c>
      <c r="MDC1" s="560"/>
      <c r="MDD1" s="560"/>
      <c r="MDE1" s="560"/>
      <c r="MDF1" s="560"/>
      <c r="MDG1" s="560"/>
      <c r="MDH1" s="560"/>
      <c r="MDI1" s="560"/>
      <c r="MDJ1" s="560" t="s">
        <v>15</v>
      </c>
      <c r="MDK1" s="560"/>
      <c r="MDL1" s="560"/>
      <c r="MDM1" s="560"/>
      <c r="MDN1" s="560"/>
      <c r="MDO1" s="560"/>
      <c r="MDP1" s="560"/>
      <c r="MDQ1" s="560"/>
      <c r="MDR1" s="560" t="s">
        <v>15</v>
      </c>
      <c r="MDS1" s="560"/>
      <c r="MDT1" s="560"/>
      <c r="MDU1" s="560"/>
      <c r="MDV1" s="560"/>
      <c r="MDW1" s="560"/>
      <c r="MDX1" s="560"/>
      <c r="MDY1" s="560"/>
      <c r="MDZ1" s="560" t="s">
        <v>15</v>
      </c>
      <c r="MEA1" s="560"/>
      <c r="MEB1" s="560"/>
      <c r="MEC1" s="560"/>
      <c r="MED1" s="560"/>
      <c r="MEE1" s="560"/>
      <c r="MEF1" s="560"/>
      <c r="MEG1" s="560"/>
      <c r="MEH1" s="560" t="s">
        <v>15</v>
      </c>
      <c r="MEI1" s="560"/>
      <c r="MEJ1" s="560"/>
      <c r="MEK1" s="560"/>
      <c r="MEL1" s="560"/>
      <c r="MEM1" s="560"/>
      <c r="MEN1" s="560"/>
      <c r="MEO1" s="560"/>
      <c r="MEP1" s="560" t="s">
        <v>15</v>
      </c>
      <c r="MEQ1" s="560"/>
      <c r="MER1" s="560"/>
      <c r="MES1" s="560"/>
      <c r="MET1" s="560"/>
      <c r="MEU1" s="560"/>
      <c r="MEV1" s="560"/>
      <c r="MEW1" s="560"/>
      <c r="MEX1" s="560" t="s">
        <v>15</v>
      </c>
      <c r="MEY1" s="560"/>
      <c r="MEZ1" s="560"/>
      <c r="MFA1" s="560"/>
      <c r="MFB1" s="560"/>
      <c r="MFC1" s="560"/>
      <c r="MFD1" s="560"/>
      <c r="MFE1" s="560"/>
      <c r="MFF1" s="560" t="s">
        <v>15</v>
      </c>
      <c r="MFG1" s="560"/>
      <c r="MFH1" s="560"/>
      <c r="MFI1" s="560"/>
      <c r="MFJ1" s="560"/>
      <c r="MFK1" s="560"/>
      <c r="MFL1" s="560"/>
      <c r="MFM1" s="560"/>
      <c r="MFN1" s="560" t="s">
        <v>15</v>
      </c>
      <c r="MFO1" s="560"/>
      <c r="MFP1" s="560"/>
      <c r="MFQ1" s="560"/>
      <c r="MFR1" s="560"/>
      <c r="MFS1" s="560"/>
      <c r="MFT1" s="560"/>
      <c r="MFU1" s="560"/>
      <c r="MFV1" s="560" t="s">
        <v>15</v>
      </c>
      <c r="MFW1" s="560"/>
      <c r="MFX1" s="560"/>
      <c r="MFY1" s="560"/>
      <c r="MFZ1" s="560"/>
      <c r="MGA1" s="560"/>
      <c r="MGB1" s="560"/>
      <c r="MGC1" s="560"/>
      <c r="MGD1" s="560" t="s">
        <v>15</v>
      </c>
      <c r="MGE1" s="560"/>
      <c r="MGF1" s="560"/>
      <c r="MGG1" s="560"/>
      <c r="MGH1" s="560"/>
      <c r="MGI1" s="560"/>
      <c r="MGJ1" s="560"/>
      <c r="MGK1" s="560"/>
      <c r="MGL1" s="560" t="s">
        <v>15</v>
      </c>
      <c r="MGM1" s="560"/>
      <c r="MGN1" s="560"/>
      <c r="MGO1" s="560"/>
      <c r="MGP1" s="560"/>
      <c r="MGQ1" s="560"/>
      <c r="MGR1" s="560"/>
      <c r="MGS1" s="560"/>
      <c r="MGT1" s="560" t="s">
        <v>15</v>
      </c>
      <c r="MGU1" s="560"/>
      <c r="MGV1" s="560"/>
      <c r="MGW1" s="560"/>
      <c r="MGX1" s="560"/>
      <c r="MGY1" s="560"/>
      <c r="MGZ1" s="560"/>
      <c r="MHA1" s="560"/>
      <c r="MHB1" s="560" t="s">
        <v>15</v>
      </c>
      <c r="MHC1" s="560"/>
      <c r="MHD1" s="560"/>
      <c r="MHE1" s="560"/>
      <c r="MHF1" s="560"/>
      <c r="MHG1" s="560"/>
      <c r="MHH1" s="560"/>
      <c r="MHI1" s="560"/>
      <c r="MHJ1" s="560" t="s">
        <v>15</v>
      </c>
      <c r="MHK1" s="560"/>
      <c r="MHL1" s="560"/>
      <c r="MHM1" s="560"/>
      <c r="MHN1" s="560"/>
      <c r="MHO1" s="560"/>
      <c r="MHP1" s="560"/>
      <c r="MHQ1" s="560"/>
      <c r="MHR1" s="560" t="s">
        <v>15</v>
      </c>
      <c r="MHS1" s="560"/>
      <c r="MHT1" s="560"/>
      <c r="MHU1" s="560"/>
      <c r="MHV1" s="560"/>
      <c r="MHW1" s="560"/>
      <c r="MHX1" s="560"/>
      <c r="MHY1" s="560"/>
      <c r="MHZ1" s="560" t="s">
        <v>15</v>
      </c>
      <c r="MIA1" s="560"/>
      <c r="MIB1" s="560"/>
      <c r="MIC1" s="560"/>
      <c r="MID1" s="560"/>
      <c r="MIE1" s="560"/>
      <c r="MIF1" s="560"/>
      <c r="MIG1" s="560"/>
      <c r="MIH1" s="560" t="s">
        <v>15</v>
      </c>
      <c r="MII1" s="560"/>
      <c r="MIJ1" s="560"/>
      <c r="MIK1" s="560"/>
      <c r="MIL1" s="560"/>
      <c r="MIM1" s="560"/>
      <c r="MIN1" s="560"/>
      <c r="MIO1" s="560"/>
      <c r="MIP1" s="560" t="s">
        <v>15</v>
      </c>
      <c r="MIQ1" s="560"/>
      <c r="MIR1" s="560"/>
      <c r="MIS1" s="560"/>
      <c r="MIT1" s="560"/>
      <c r="MIU1" s="560"/>
      <c r="MIV1" s="560"/>
      <c r="MIW1" s="560"/>
      <c r="MIX1" s="560" t="s">
        <v>15</v>
      </c>
      <c r="MIY1" s="560"/>
      <c r="MIZ1" s="560"/>
      <c r="MJA1" s="560"/>
      <c r="MJB1" s="560"/>
      <c r="MJC1" s="560"/>
      <c r="MJD1" s="560"/>
      <c r="MJE1" s="560"/>
      <c r="MJF1" s="560" t="s">
        <v>15</v>
      </c>
      <c r="MJG1" s="560"/>
      <c r="MJH1" s="560"/>
      <c r="MJI1" s="560"/>
      <c r="MJJ1" s="560"/>
      <c r="MJK1" s="560"/>
      <c r="MJL1" s="560"/>
      <c r="MJM1" s="560"/>
      <c r="MJN1" s="560" t="s">
        <v>15</v>
      </c>
      <c r="MJO1" s="560"/>
      <c r="MJP1" s="560"/>
      <c r="MJQ1" s="560"/>
      <c r="MJR1" s="560"/>
      <c r="MJS1" s="560"/>
      <c r="MJT1" s="560"/>
      <c r="MJU1" s="560"/>
      <c r="MJV1" s="560" t="s">
        <v>15</v>
      </c>
      <c r="MJW1" s="560"/>
      <c r="MJX1" s="560"/>
      <c r="MJY1" s="560"/>
      <c r="MJZ1" s="560"/>
      <c r="MKA1" s="560"/>
      <c r="MKB1" s="560"/>
      <c r="MKC1" s="560"/>
      <c r="MKD1" s="560" t="s">
        <v>15</v>
      </c>
      <c r="MKE1" s="560"/>
      <c r="MKF1" s="560"/>
      <c r="MKG1" s="560"/>
      <c r="MKH1" s="560"/>
      <c r="MKI1" s="560"/>
      <c r="MKJ1" s="560"/>
      <c r="MKK1" s="560"/>
      <c r="MKL1" s="560" t="s">
        <v>15</v>
      </c>
      <c r="MKM1" s="560"/>
      <c r="MKN1" s="560"/>
      <c r="MKO1" s="560"/>
      <c r="MKP1" s="560"/>
      <c r="MKQ1" s="560"/>
      <c r="MKR1" s="560"/>
      <c r="MKS1" s="560"/>
      <c r="MKT1" s="560" t="s">
        <v>15</v>
      </c>
      <c r="MKU1" s="560"/>
      <c r="MKV1" s="560"/>
      <c r="MKW1" s="560"/>
      <c r="MKX1" s="560"/>
      <c r="MKY1" s="560"/>
      <c r="MKZ1" s="560"/>
      <c r="MLA1" s="560"/>
      <c r="MLB1" s="560" t="s">
        <v>15</v>
      </c>
      <c r="MLC1" s="560"/>
      <c r="MLD1" s="560"/>
      <c r="MLE1" s="560"/>
      <c r="MLF1" s="560"/>
      <c r="MLG1" s="560"/>
      <c r="MLH1" s="560"/>
      <c r="MLI1" s="560"/>
      <c r="MLJ1" s="560" t="s">
        <v>15</v>
      </c>
      <c r="MLK1" s="560"/>
      <c r="MLL1" s="560"/>
      <c r="MLM1" s="560"/>
      <c r="MLN1" s="560"/>
      <c r="MLO1" s="560"/>
      <c r="MLP1" s="560"/>
      <c r="MLQ1" s="560"/>
      <c r="MLR1" s="560" t="s">
        <v>15</v>
      </c>
      <c r="MLS1" s="560"/>
      <c r="MLT1" s="560"/>
      <c r="MLU1" s="560"/>
      <c r="MLV1" s="560"/>
      <c r="MLW1" s="560"/>
      <c r="MLX1" s="560"/>
      <c r="MLY1" s="560"/>
      <c r="MLZ1" s="560" t="s">
        <v>15</v>
      </c>
      <c r="MMA1" s="560"/>
      <c r="MMB1" s="560"/>
      <c r="MMC1" s="560"/>
      <c r="MMD1" s="560"/>
      <c r="MME1" s="560"/>
      <c r="MMF1" s="560"/>
      <c r="MMG1" s="560"/>
      <c r="MMH1" s="560" t="s">
        <v>15</v>
      </c>
      <c r="MMI1" s="560"/>
      <c r="MMJ1" s="560"/>
      <c r="MMK1" s="560"/>
      <c r="MML1" s="560"/>
      <c r="MMM1" s="560"/>
      <c r="MMN1" s="560"/>
      <c r="MMO1" s="560"/>
      <c r="MMP1" s="560" t="s">
        <v>15</v>
      </c>
      <c r="MMQ1" s="560"/>
      <c r="MMR1" s="560"/>
      <c r="MMS1" s="560"/>
      <c r="MMT1" s="560"/>
      <c r="MMU1" s="560"/>
      <c r="MMV1" s="560"/>
      <c r="MMW1" s="560"/>
      <c r="MMX1" s="560" t="s">
        <v>15</v>
      </c>
      <c r="MMY1" s="560"/>
      <c r="MMZ1" s="560"/>
      <c r="MNA1" s="560"/>
      <c r="MNB1" s="560"/>
      <c r="MNC1" s="560"/>
      <c r="MND1" s="560"/>
      <c r="MNE1" s="560"/>
      <c r="MNF1" s="560" t="s">
        <v>15</v>
      </c>
      <c r="MNG1" s="560"/>
      <c r="MNH1" s="560"/>
      <c r="MNI1" s="560"/>
      <c r="MNJ1" s="560"/>
      <c r="MNK1" s="560"/>
      <c r="MNL1" s="560"/>
      <c r="MNM1" s="560"/>
      <c r="MNN1" s="560" t="s">
        <v>15</v>
      </c>
      <c r="MNO1" s="560"/>
      <c r="MNP1" s="560"/>
      <c r="MNQ1" s="560"/>
      <c r="MNR1" s="560"/>
      <c r="MNS1" s="560"/>
      <c r="MNT1" s="560"/>
      <c r="MNU1" s="560"/>
      <c r="MNV1" s="560" t="s">
        <v>15</v>
      </c>
      <c r="MNW1" s="560"/>
      <c r="MNX1" s="560"/>
      <c r="MNY1" s="560"/>
      <c r="MNZ1" s="560"/>
      <c r="MOA1" s="560"/>
      <c r="MOB1" s="560"/>
      <c r="MOC1" s="560"/>
      <c r="MOD1" s="560" t="s">
        <v>15</v>
      </c>
      <c r="MOE1" s="560"/>
      <c r="MOF1" s="560"/>
      <c r="MOG1" s="560"/>
      <c r="MOH1" s="560"/>
      <c r="MOI1" s="560"/>
      <c r="MOJ1" s="560"/>
      <c r="MOK1" s="560"/>
      <c r="MOL1" s="560" t="s">
        <v>15</v>
      </c>
      <c r="MOM1" s="560"/>
      <c r="MON1" s="560"/>
      <c r="MOO1" s="560"/>
      <c r="MOP1" s="560"/>
      <c r="MOQ1" s="560"/>
      <c r="MOR1" s="560"/>
      <c r="MOS1" s="560"/>
      <c r="MOT1" s="560" t="s">
        <v>15</v>
      </c>
      <c r="MOU1" s="560"/>
      <c r="MOV1" s="560"/>
      <c r="MOW1" s="560"/>
      <c r="MOX1" s="560"/>
      <c r="MOY1" s="560"/>
      <c r="MOZ1" s="560"/>
      <c r="MPA1" s="560"/>
      <c r="MPB1" s="560" t="s">
        <v>15</v>
      </c>
      <c r="MPC1" s="560"/>
      <c r="MPD1" s="560"/>
      <c r="MPE1" s="560"/>
      <c r="MPF1" s="560"/>
      <c r="MPG1" s="560"/>
      <c r="MPH1" s="560"/>
      <c r="MPI1" s="560"/>
      <c r="MPJ1" s="560" t="s">
        <v>15</v>
      </c>
      <c r="MPK1" s="560"/>
      <c r="MPL1" s="560"/>
      <c r="MPM1" s="560"/>
      <c r="MPN1" s="560"/>
      <c r="MPO1" s="560"/>
      <c r="MPP1" s="560"/>
      <c r="MPQ1" s="560"/>
      <c r="MPR1" s="560" t="s">
        <v>15</v>
      </c>
      <c r="MPS1" s="560"/>
      <c r="MPT1" s="560"/>
      <c r="MPU1" s="560"/>
      <c r="MPV1" s="560"/>
      <c r="MPW1" s="560"/>
      <c r="MPX1" s="560"/>
      <c r="MPY1" s="560"/>
      <c r="MPZ1" s="560" t="s">
        <v>15</v>
      </c>
      <c r="MQA1" s="560"/>
      <c r="MQB1" s="560"/>
      <c r="MQC1" s="560"/>
      <c r="MQD1" s="560"/>
      <c r="MQE1" s="560"/>
      <c r="MQF1" s="560"/>
      <c r="MQG1" s="560"/>
      <c r="MQH1" s="560" t="s">
        <v>15</v>
      </c>
      <c r="MQI1" s="560"/>
      <c r="MQJ1" s="560"/>
      <c r="MQK1" s="560"/>
      <c r="MQL1" s="560"/>
      <c r="MQM1" s="560"/>
      <c r="MQN1" s="560"/>
      <c r="MQO1" s="560"/>
      <c r="MQP1" s="560" t="s">
        <v>15</v>
      </c>
      <c r="MQQ1" s="560"/>
      <c r="MQR1" s="560"/>
      <c r="MQS1" s="560"/>
      <c r="MQT1" s="560"/>
      <c r="MQU1" s="560"/>
      <c r="MQV1" s="560"/>
      <c r="MQW1" s="560"/>
      <c r="MQX1" s="560" t="s">
        <v>15</v>
      </c>
      <c r="MQY1" s="560"/>
      <c r="MQZ1" s="560"/>
      <c r="MRA1" s="560"/>
      <c r="MRB1" s="560"/>
      <c r="MRC1" s="560"/>
      <c r="MRD1" s="560"/>
      <c r="MRE1" s="560"/>
      <c r="MRF1" s="560" t="s">
        <v>15</v>
      </c>
      <c r="MRG1" s="560"/>
      <c r="MRH1" s="560"/>
      <c r="MRI1" s="560"/>
      <c r="MRJ1" s="560"/>
      <c r="MRK1" s="560"/>
      <c r="MRL1" s="560"/>
      <c r="MRM1" s="560"/>
      <c r="MRN1" s="560" t="s">
        <v>15</v>
      </c>
      <c r="MRO1" s="560"/>
      <c r="MRP1" s="560"/>
      <c r="MRQ1" s="560"/>
      <c r="MRR1" s="560"/>
      <c r="MRS1" s="560"/>
      <c r="MRT1" s="560"/>
      <c r="MRU1" s="560"/>
      <c r="MRV1" s="560" t="s">
        <v>15</v>
      </c>
      <c r="MRW1" s="560"/>
      <c r="MRX1" s="560"/>
      <c r="MRY1" s="560"/>
      <c r="MRZ1" s="560"/>
      <c r="MSA1" s="560"/>
      <c r="MSB1" s="560"/>
      <c r="MSC1" s="560"/>
      <c r="MSD1" s="560" t="s">
        <v>15</v>
      </c>
      <c r="MSE1" s="560"/>
      <c r="MSF1" s="560"/>
      <c r="MSG1" s="560"/>
      <c r="MSH1" s="560"/>
      <c r="MSI1" s="560"/>
      <c r="MSJ1" s="560"/>
      <c r="MSK1" s="560"/>
      <c r="MSL1" s="560" t="s">
        <v>15</v>
      </c>
      <c r="MSM1" s="560"/>
      <c r="MSN1" s="560"/>
      <c r="MSO1" s="560"/>
      <c r="MSP1" s="560"/>
      <c r="MSQ1" s="560"/>
      <c r="MSR1" s="560"/>
      <c r="MSS1" s="560"/>
      <c r="MST1" s="560" t="s">
        <v>15</v>
      </c>
      <c r="MSU1" s="560"/>
      <c r="MSV1" s="560"/>
      <c r="MSW1" s="560"/>
      <c r="MSX1" s="560"/>
      <c r="MSY1" s="560"/>
      <c r="MSZ1" s="560"/>
      <c r="MTA1" s="560"/>
      <c r="MTB1" s="560" t="s">
        <v>15</v>
      </c>
      <c r="MTC1" s="560"/>
      <c r="MTD1" s="560"/>
      <c r="MTE1" s="560"/>
      <c r="MTF1" s="560"/>
      <c r="MTG1" s="560"/>
      <c r="MTH1" s="560"/>
      <c r="MTI1" s="560"/>
      <c r="MTJ1" s="560" t="s">
        <v>15</v>
      </c>
      <c r="MTK1" s="560"/>
      <c r="MTL1" s="560"/>
      <c r="MTM1" s="560"/>
      <c r="MTN1" s="560"/>
      <c r="MTO1" s="560"/>
      <c r="MTP1" s="560"/>
      <c r="MTQ1" s="560"/>
      <c r="MTR1" s="560" t="s">
        <v>15</v>
      </c>
      <c r="MTS1" s="560"/>
      <c r="MTT1" s="560"/>
      <c r="MTU1" s="560"/>
      <c r="MTV1" s="560"/>
      <c r="MTW1" s="560"/>
      <c r="MTX1" s="560"/>
      <c r="MTY1" s="560"/>
      <c r="MTZ1" s="560" t="s">
        <v>15</v>
      </c>
      <c r="MUA1" s="560"/>
      <c r="MUB1" s="560"/>
      <c r="MUC1" s="560"/>
      <c r="MUD1" s="560"/>
      <c r="MUE1" s="560"/>
      <c r="MUF1" s="560"/>
      <c r="MUG1" s="560"/>
      <c r="MUH1" s="560" t="s">
        <v>15</v>
      </c>
      <c r="MUI1" s="560"/>
      <c r="MUJ1" s="560"/>
      <c r="MUK1" s="560"/>
      <c r="MUL1" s="560"/>
      <c r="MUM1" s="560"/>
      <c r="MUN1" s="560"/>
      <c r="MUO1" s="560"/>
      <c r="MUP1" s="560" t="s">
        <v>15</v>
      </c>
      <c r="MUQ1" s="560"/>
      <c r="MUR1" s="560"/>
      <c r="MUS1" s="560"/>
      <c r="MUT1" s="560"/>
      <c r="MUU1" s="560"/>
      <c r="MUV1" s="560"/>
      <c r="MUW1" s="560"/>
      <c r="MUX1" s="560" t="s">
        <v>15</v>
      </c>
      <c r="MUY1" s="560"/>
      <c r="MUZ1" s="560"/>
      <c r="MVA1" s="560"/>
      <c r="MVB1" s="560"/>
      <c r="MVC1" s="560"/>
      <c r="MVD1" s="560"/>
      <c r="MVE1" s="560"/>
      <c r="MVF1" s="560" t="s">
        <v>15</v>
      </c>
      <c r="MVG1" s="560"/>
      <c r="MVH1" s="560"/>
      <c r="MVI1" s="560"/>
      <c r="MVJ1" s="560"/>
      <c r="MVK1" s="560"/>
      <c r="MVL1" s="560"/>
      <c r="MVM1" s="560"/>
      <c r="MVN1" s="560" t="s">
        <v>15</v>
      </c>
      <c r="MVO1" s="560"/>
      <c r="MVP1" s="560"/>
      <c r="MVQ1" s="560"/>
      <c r="MVR1" s="560"/>
      <c r="MVS1" s="560"/>
      <c r="MVT1" s="560"/>
      <c r="MVU1" s="560"/>
      <c r="MVV1" s="560" t="s">
        <v>15</v>
      </c>
      <c r="MVW1" s="560"/>
      <c r="MVX1" s="560"/>
      <c r="MVY1" s="560"/>
      <c r="MVZ1" s="560"/>
      <c r="MWA1" s="560"/>
      <c r="MWB1" s="560"/>
      <c r="MWC1" s="560"/>
      <c r="MWD1" s="560" t="s">
        <v>15</v>
      </c>
      <c r="MWE1" s="560"/>
      <c r="MWF1" s="560"/>
      <c r="MWG1" s="560"/>
      <c r="MWH1" s="560"/>
      <c r="MWI1" s="560"/>
      <c r="MWJ1" s="560"/>
      <c r="MWK1" s="560"/>
      <c r="MWL1" s="560" t="s">
        <v>15</v>
      </c>
      <c r="MWM1" s="560"/>
      <c r="MWN1" s="560"/>
      <c r="MWO1" s="560"/>
      <c r="MWP1" s="560"/>
      <c r="MWQ1" s="560"/>
      <c r="MWR1" s="560"/>
      <c r="MWS1" s="560"/>
      <c r="MWT1" s="560" t="s">
        <v>15</v>
      </c>
      <c r="MWU1" s="560"/>
      <c r="MWV1" s="560"/>
      <c r="MWW1" s="560"/>
      <c r="MWX1" s="560"/>
      <c r="MWY1" s="560"/>
      <c r="MWZ1" s="560"/>
      <c r="MXA1" s="560"/>
      <c r="MXB1" s="560" t="s">
        <v>15</v>
      </c>
      <c r="MXC1" s="560"/>
      <c r="MXD1" s="560"/>
      <c r="MXE1" s="560"/>
      <c r="MXF1" s="560"/>
      <c r="MXG1" s="560"/>
      <c r="MXH1" s="560"/>
      <c r="MXI1" s="560"/>
      <c r="MXJ1" s="560" t="s">
        <v>15</v>
      </c>
      <c r="MXK1" s="560"/>
      <c r="MXL1" s="560"/>
      <c r="MXM1" s="560"/>
      <c r="MXN1" s="560"/>
      <c r="MXO1" s="560"/>
      <c r="MXP1" s="560"/>
      <c r="MXQ1" s="560"/>
      <c r="MXR1" s="560" t="s">
        <v>15</v>
      </c>
      <c r="MXS1" s="560"/>
      <c r="MXT1" s="560"/>
      <c r="MXU1" s="560"/>
      <c r="MXV1" s="560"/>
      <c r="MXW1" s="560"/>
      <c r="MXX1" s="560"/>
      <c r="MXY1" s="560"/>
      <c r="MXZ1" s="560" t="s">
        <v>15</v>
      </c>
      <c r="MYA1" s="560"/>
      <c r="MYB1" s="560"/>
      <c r="MYC1" s="560"/>
      <c r="MYD1" s="560"/>
      <c r="MYE1" s="560"/>
      <c r="MYF1" s="560"/>
      <c r="MYG1" s="560"/>
      <c r="MYH1" s="560" t="s">
        <v>15</v>
      </c>
      <c r="MYI1" s="560"/>
      <c r="MYJ1" s="560"/>
      <c r="MYK1" s="560"/>
      <c r="MYL1" s="560"/>
      <c r="MYM1" s="560"/>
      <c r="MYN1" s="560"/>
      <c r="MYO1" s="560"/>
      <c r="MYP1" s="560" t="s">
        <v>15</v>
      </c>
      <c r="MYQ1" s="560"/>
      <c r="MYR1" s="560"/>
      <c r="MYS1" s="560"/>
      <c r="MYT1" s="560"/>
      <c r="MYU1" s="560"/>
      <c r="MYV1" s="560"/>
      <c r="MYW1" s="560"/>
      <c r="MYX1" s="560" t="s">
        <v>15</v>
      </c>
      <c r="MYY1" s="560"/>
      <c r="MYZ1" s="560"/>
      <c r="MZA1" s="560"/>
      <c r="MZB1" s="560"/>
      <c r="MZC1" s="560"/>
      <c r="MZD1" s="560"/>
      <c r="MZE1" s="560"/>
      <c r="MZF1" s="560" t="s">
        <v>15</v>
      </c>
      <c r="MZG1" s="560"/>
      <c r="MZH1" s="560"/>
      <c r="MZI1" s="560"/>
      <c r="MZJ1" s="560"/>
      <c r="MZK1" s="560"/>
      <c r="MZL1" s="560"/>
      <c r="MZM1" s="560"/>
      <c r="MZN1" s="560" t="s">
        <v>15</v>
      </c>
      <c r="MZO1" s="560"/>
      <c r="MZP1" s="560"/>
      <c r="MZQ1" s="560"/>
      <c r="MZR1" s="560"/>
      <c r="MZS1" s="560"/>
      <c r="MZT1" s="560"/>
      <c r="MZU1" s="560"/>
      <c r="MZV1" s="560" t="s">
        <v>15</v>
      </c>
      <c r="MZW1" s="560"/>
      <c r="MZX1" s="560"/>
      <c r="MZY1" s="560"/>
      <c r="MZZ1" s="560"/>
      <c r="NAA1" s="560"/>
      <c r="NAB1" s="560"/>
      <c r="NAC1" s="560"/>
      <c r="NAD1" s="560" t="s">
        <v>15</v>
      </c>
      <c r="NAE1" s="560"/>
      <c r="NAF1" s="560"/>
      <c r="NAG1" s="560"/>
      <c r="NAH1" s="560"/>
      <c r="NAI1" s="560"/>
      <c r="NAJ1" s="560"/>
      <c r="NAK1" s="560"/>
      <c r="NAL1" s="560" t="s">
        <v>15</v>
      </c>
      <c r="NAM1" s="560"/>
      <c r="NAN1" s="560"/>
      <c r="NAO1" s="560"/>
      <c r="NAP1" s="560"/>
      <c r="NAQ1" s="560"/>
      <c r="NAR1" s="560"/>
      <c r="NAS1" s="560"/>
      <c r="NAT1" s="560" t="s">
        <v>15</v>
      </c>
      <c r="NAU1" s="560"/>
      <c r="NAV1" s="560"/>
      <c r="NAW1" s="560"/>
      <c r="NAX1" s="560"/>
      <c r="NAY1" s="560"/>
      <c r="NAZ1" s="560"/>
      <c r="NBA1" s="560"/>
      <c r="NBB1" s="560" t="s">
        <v>15</v>
      </c>
      <c r="NBC1" s="560"/>
      <c r="NBD1" s="560"/>
      <c r="NBE1" s="560"/>
      <c r="NBF1" s="560"/>
      <c r="NBG1" s="560"/>
      <c r="NBH1" s="560"/>
      <c r="NBI1" s="560"/>
      <c r="NBJ1" s="560" t="s">
        <v>15</v>
      </c>
      <c r="NBK1" s="560"/>
      <c r="NBL1" s="560"/>
      <c r="NBM1" s="560"/>
      <c r="NBN1" s="560"/>
      <c r="NBO1" s="560"/>
      <c r="NBP1" s="560"/>
      <c r="NBQ1" s="560"/>
      <c r="NBR1" s="560" t="s">
        <v>15</v>
      </c>
      <c r="NBS1" s="560"/>
      <c r="NBT1" s="560"/>
      <c r="NBU1" s="560"/>
      <c r="NBV1" s="560"/>
      <c r="NBW1" s="560"/>
      <c r="NBX1" s="560"/>
      <c r="NBY1" s="560"/>
      <c r="NBZ1" s="560" t="s">
        <v>15</v>
      </c>
      <c r="NCA1" s="560"/>
      <c r="NCB1" s="560"/>
      <c r="NCC1" s="560"/>
      <c r="NCD1" s="560"/>
      <c r="NCE1" s="560"/>
      <c r="NCF1" s="560"/>
      <c r="NCG1" s="560"/>
      <c r="NCH1" s="560" t="s">
        <v>15</v>
      </c>
      <c r="NCI1" s="560"/>
      <c r="NCJ1" s="560"/>
      <c r="NCK1" s="560"/>
      <c r="NCL1" s="560"/>
      <c r="NCM1" s="560"/>
      <c r="NCN1" s="560"/>
      <c r="NCO1" s="560"/>
      <c r="NCP1" s="560" t="s">
        <v>15</v>
      </c>
      <c r="NCQ1" s="560"/>
      <c r="NCR1" s="560"/>
      <c r="NCS1" s="560"/>
      <c r="NCT1" s="560"/>
      <c r="NCU1" s="560"/>
      <c r="NCV1" s="560"/>
      <c r="NCW1" s="560"/>
      <c r="NCX1" s="560" t="s">
        <v>15</v>
      </c>
      <c r="NCY1" s="560"/>
      <c r="NCZ1" s="560"/>
      <c r="NDA1" s="560"/>
      <c r="NDB1" s="560"/>
      <c r="NDC1" s="560"/>
      <c r="NDD1" s="560"/>
      <c r="NDE1" s="560"/>
      <c r="NDF1" s="560" t="s">
        <v>15</v>
      </c>
      <c r="NDG1" s="560"/>
      <c r="NDH1" s="560"/>
      <c r="NDI1" s="560"/>
      <c r="NDJ1" s="560"/>
      <c r="NDK1" s="560"/>
      <c r="NDL1" s="560"/>
      <c r="NDM1" s="560"/>
      <c r="NDN1" s="560" t="s">
        <v>15</v>
      </c>
      <c r="NDO1" s="560"/>
      <c r="NDP1" s="560"/>
      <c r="NDQ1" s="560"/>
      <c r="NDR1" s="560"/>
      <c r="NDS1" s="560"/>
      <c r="NDT1" s="560"/>
      <c r="NDU1" s="560"/>
      <c r="NDV1" s="560" t="s">
        <v>15</v>
      </c>
      <c r="NDW1" s="560"/>
      <c r="NDX1" s="560"/>
      <c r="NDY1" s="560"/>
      <c r="NDZ1" s="560"/>
      <c r="NEA1" s="560"/>
      <c r="NEB1" s="560"/>
      <c r="NEC1" s="560"/>
      <c r="NED1" s="560" t="s">
        <v>15</v>
      </c>
      <c r="NEE1" s="560"/>
      <c r="NEF1" s="560"/>
      <c r="NEG1" s="560"/>
      <c r="NEH1" s="560"/>
      <c r="NEI1" s="560"/>
      <c r="NEJ1" s="560"/>
      <c r="NEK1" s="560"/>
      <c r="NEL1" s="560" t="s">
        <v>15</v>
      </c>
      <c r="NEM1" s="560"/>
      <c r="NEN1" s="560"/>
      <c r="NEO1" s="560"/>
      <c r="NEP1" s="560"/>
      <c r="NEQ1" s="560"/>
      <c r="NER1" s="560"/>
      <c r="NES1" s="560"/>
      <c r="NET1" s="560" t="s">
        <v>15</v>
      </c>
      <c r="NEU1" s="560"/>
      <c r="NEV1" s="560"/>
      <c r="NEW1" s="560"/>
      <c r="NEX1" s="560"/>
      <c r="NEY1" s="560"/>
      <c r="NEZ1" s="560"/>
      <c r="NFA1" s="560"/>
      <c r="NFB1" s="560" t="s">
        <v>15</v>
      </c>
      <c r="NFC1" s="560"/>
      <c r="NFD1" s="560"/>
      <c r="NFE1" s="560"/>
      <c r="NFF1" s="560"/>
      <c r="NFG1" s="560"/>
      <c r="NFH1" s="560"/>
      <c r="NFI1" s="560"/>
      <c r="NFJ1" s="560" t="s">
        <v>15</v>
      </c>
      <c r="NFK1" s="560"/>
      <c r="NFL1" s="560"/>
      <c r="NFM1" s="560"/>
      <c r="NFN1" s="560"/>
      <c r="NFO1" s="560"/>
      <c r="NFP1" s="560"/>
      <c r="NFQ1" s="560"/>
      <c r="NFR1" s="560" t="s">
        <v>15</v>
      </c>
      <c r="NFS1" s="560"/>
      <c r="NFT1" s="560"/>
      <c r="NFU1" s="560"/>
      <c r="NFV1" s="560"/>
      <c r="NFW1" s="560"/>
      <c r="NFX1" s="560"/>
      <c r="NFY1" s="560"/>
      <c r="NFZ1" s="560" t="s">
        <v>15</v>
      </c>
      <c r="NGA1" s="560"/>
      <c r="NGB1" s="560"/>
      <c r="NGC1" s="560"/>
      <c r="NGD1" s="560"/>
      <c r="NGE1" s="560"/>
      <c r="NGF1" s="560"/>
      <c r="NGG1" s="560"/>
      <c r="NGH1" s="560" t="s">
        <v>15</v>
      </c>
      <c r="NGI1" s="560"/>
      <c r="NGJ1" s="560"/>
      <c r="NGK1" s="560"/>
      <c r="NGL1" s="560"/>
      <c r="NGM1" s="560"/>
      <c r="NGN1" s="560"/>
      <c r="NGO1" s="560"/>
      <c r="NGP1" s="560" t="s">
        <v>15</v>
      </c>
      <c r="NGQ1" s="560"/>
      <c r="NGR1" s="560"/>
      <c r="NGS1" s="560"/>
      <c r="NGT1" s="560"/>
      <c r="NGU1" s="560"/>
      <c r="NGV1" s="560"/>
      <c r="NGW1" s="560"/>
      <c r="NGX1" s="560" t="s">
        <v>15</v>
      </c>
      <c r="NGY1" s="560"/>
      <c r="NGZ1" s="560"/>
      <c r="NHA1" s="560"/>
      <c r="NHB1" s="560"/>
      <c r="NHC1" s="560"/>
      <c r="NHD1" s="560"/>
      <c r="NHE1" s="560"/>
      <c r="NHF1" s="560" t="s">
        <v>15</v>
      </c>
      <c r="NHG1" s="560"/>
      <c r="NHH1" s="560"/>
      <c r="NHI1" s="560"/>
      <c r="NHJ1" s="560"/>
      <c r="NHK1" s="560"/>
      <c r="NHL1" s="560"/>
      <c r="NHM1" s="560"/>
      <c r="NHN1" s="560" t="s">
        <v>15</v>
      </c>
      <c r="NHO1" s="560"/>
      <c r="NHP1" s="560"/>
      <c r="NHQ1" s="560"/>
      <c r="NHR1" s="560"/>
      <c r="NHS1" s="560"/>
      <c r="NHT1" s="560"/>
      <c r="NHU1" s="560"/>
      <c r="NHV1" s="560" t="s">
        <v>15</v>
      </c>
      <c r="NHW1" s="560"/>
      <c r="NHX1" s="560"/>
      <c r="NHY1" s="560"/>
      <c r="NHZ1" s="560"/>
      <c r="NIA1" s="560"/>
      <c r="NIB1" s="560"/>
      <c r="NIC1" s="560"/>
      <c r="NID1" s="560" t="s">
        <v>15</v>
      </c>
      <c r="NIE1" s="560"/>
      <c r="NIF1" s="560"/>
      <c r="NIG1" s="560"/>
      <c r="NIH1" s="560"/>
      <c r="NII1" s="560"/>
      <c r="NIJ1" s="560"/>
      <c r="NIK1" s="560"/>
      <c r="NIL1" s="560" t="s">
        <v>15</v>
      </c>
      <c r="NIM1" s="560"/>
      <c r="NIN1" s="560"/>
      <c r="NIO1" s="560"/>
      <c r="NIP1" s="560"/>
      <c r="NIQ1" s="560"/>
      <c r="NIR1" s="560"/>
      <c r="NIS1" s="560"/>
      <c r="NIT1" s="560" t="s">
        <v>15</v>
      </c>
      <c r="NIU1" s="560"/>
      <c r="NIV1" s="560"/>
      <c r="NIW1" s="560"/>
      <c r="NIX1" s="560"/>
      <c r="NIY1" s="560"/>
      <c r="NIZ1" s="560"/>
      <c r="NJA1" s="560"/>
      <c r="NJB1" s="560" t="s">
        <v>15</v>
      </c>
      <c r="NJC1" s="560"/>
      <c r="NJD1" s="560"/>
      <c r="NJE1" s="560"/>
      <c r="NJF1" s="560"/>
      <c r="NJG1" s="560"/>
      <c r="NJH1" s="560"/>
      <c r="NJI1" s="560"/>
      <c r="NJJ1" s="560" t="s">
        <v>15</v>
      </c>
      <c r="NJK1" s="560"/>
      <c r="NJL1" s="560"/>
      <c r="NJM1" s="560"/>
      <c r="NJN1" s="560"/>
      <c r="NJO1" s="560"/>
      <c r="NJP1" s="560"/>
      <c r="NJQ1" s="560"/>
      <c r="NJR1" s="560" t="s">
        <v>15</v>
      </c>
      <c r="NJS1" s="560"/>
      <c r="NJT1" s="560"/>
      <c r="NJU1" s="560"/>
      <c r="NJV1" s="560"/>
      <c r="NJW1" s="560"/>
      <c r="NJX1" s="560"/>
      <c r="NJY1" s="560"/>
      <c r="NJZ1" s="560" t="s">
        <v>15</v>
      </c>
      <c r="NKA1" s="560"/>
      <c r="NKB1" s="560"/>
      <c r="NKC1" s="560"/>
      <c r="NKD1" s="560"/>
      <c r="NKE1" s="560"/>
      <c r="NKF1" s="560"/>
      <c r="NKG1" s="560"/>
      <c r="NKH1" s="560" t="s">
        <v>15</v>
      </c>
      <c r="NKI1" s="560"/>
      <c r="NKJ1" s="560"/>
      <c r="NKK1" s="560"/>
      <c r="NKL1" s="560"/>
      <c r="NKM1" s="560"/>
      <c r="NKN1" s="560"/>
      <c r="NKO1" s="560"/>
      <c r="NKP1" s="560" t="s">
        <v>15</v>
      </c>
      <c r="NKQ1" s="560"/>
      <c r="NKR1" s="560"/>
      <c r="NKS1" s="560"/>
      <c r="NKT1" s="560"/>
      <c r="NKU1" s="560"/>
      <c r="NKV1" s="560"/>
      <c r="NKW1" s="560"/>
      <c r="NKX1" s="560" t="s">
        <v>15</v>
      </c>
      <c r="NKY1" s="560"/>
      <c r="NKZ1" s="560"/>
      <c r="NLA1" s="560"/>
      <c r="NLB1" s="560"/>
      <c r="NLC1" s="560"/>
      <c r="NLD1" s="560"/>
      <c r="NLE1" s="560"/>
      <c r="NLF1" s="560" t="s">
        <v>15</v>
      </c>
      <c r="NLG1" s="560"/>
      <c r="NLH1" s="560"/>
      <c r="NLI1" s="560"/>
      <c r="NLJ1" s="560"/>
      <c r="NLK1" s="560"/>
      <c r="NLL1" s="560"/>
      <c r="NLM1" s="560"/>
      <c r="NLN1" s="560" t="s">
        <v>15</v>
      </c>
      <c r="NLO1" s="560"/>
      <c r="NLP1" s="560"/>
      <c r="NLQ1" s="560"/>
      <c r="NLR1" s="560"/>
      <c r="NLS1" s="560"/>
      <c r="NLT1" s="560"/>
      <c r="NLU1" s="560"/>
      <c r="NLV1" s="560" t="s">
        <v>15</v>
      </c>
      <c r="NLW1" s="560"/>
      <c r="NLX1" s="560"/>
      <c r="NLY1" s="560"/>
      <c r="NLZ1" s="560"/>
      <c r="NMA1" s="560"/>
      <c r="NMB1" s="560"/>
      <c r="NMC1" s="560"/>
      <c r="NMD1" s="560" t="s">
        <v>15</v>
      </c>
      <c r="NME1" s="560"/>
      <c r="NMF1" s="560"/>
      <c r="NMG1" s="560"/>
      <c r="NMH1" s="560"/>
      <c r="NMI1" s="560"/>
      <c r="NMJ1" s="560"/>
      <c r="NMK1" s="560"/>
      <c r="NML1" s="560" t="s">
        <v>15</v>
      </c>
      <c r="NMM1" s="560"/>
      <c r="NMN1" s="560"/>
      <c r="NMO1" s="560"/>
      <c r="NMP1" s="560"/>
      <c r="NMQ1" s="560"/>
      <c r="NMR1" s="560"/>
      <c r="NMS1" s="560"/>
      <c r="NMT1" s="560" t="s">
        <v>15</v>
      </c>
      <c r="NMU1" s="560"/>
      <c r="NMV1" s="560"/>
      <c r="NMW1" s="560"/>
      <c r="NMX1" s="560"/>
      <c r="NMY1" s="560"/>
      <c r="NMZ1" s="560"/>
      <c r="NNA1" s="560"/>
      <c r="NNB1" s="560" t="s">
        <v>15</v>
      </c>
      <c r="NNC1" s="560"/>
      <c r="NND1" s="560"/>
      <c r="NNE1" s="560"/>
      <c r="NNF1" s="560"/>
      <c r="NNG1" s="560"/>
      <c r="NNH1" s="560"/>
      <c r="NNI1" s="560"/>
      <c r="NNJ1" s="560" t="s">
        <v>15</v>
      </c>
      <c r="NNK1" s="560"/>
      <c r="NNL1" s="560"/>
      <c r="NNM1" s="560"/>
      <c r="NNN1" s="560"/>
      <c r="NNO1" s="560"/>
      <c r="NNP1" s="560"/>
      <c r="NNQ1" s="560"/>
      <c r="NNR1" s="560" t="s">
        <v>15</v>
      </c>
      <c r="NNS1" s="560"/>
      <c r="NNT1" s="560"/>
      <c r="NNU1" s="560"/>
      <c r="NNV1" s="560"/>
      <c r="NNW1" s="560"/>
      <c r="NNX1" s="560"/>
      <c r="NNY1" s="560"/>
      <c r="NNZ1" s="560" t="s">
        <v>15</v>
      </c>
      <c r="NOA1" s="560"/>
      <c r="NOB1" s="560"/>
      <c r="NOC1" s="560"/>
      <c r="NOD1" s="560"/>
      <c r="NOE1" s="560"/>
      <c r="NOF1" s="560"/>
      <c r="NOG1" s="560"/>
      <c r="NOH1" s="560" t="s">
        <v>15</v>
      </c>
      <c r="NOI1" s="560"/>
      <c r="NOJ1" s="560"/>
      <c r="NOK1" s="560"/>
      <c r="NOL1" s="560"/>
      <c r="NOM1" s="560"/>
      <c r="NON1" s="560"/>
      <c r="NOO1" s="560"/>
      <c r="NOP1" s="560" t="s">
        <v>15</v>
      </c>
      <c r="NOQ1" s="560"/>
      <c r="NOR1" s="560"/>
      <c r="NOS1" s="560"/>
      <c r="NOT1" s="560"/>
      <c r="NOU1" s="560"/>
      <c r="NOV1" s="560"/>
      <c r="NOW1" s="560"/>
      <c r="NOX1" s="560" t="s">
        <v>15</v>
      </c>
      <c r="NOY1" s="560"/>
      <c r="NOZ1" s="560"/>
      <c r="NPA1" s="560"/>
      <c r="NPB1" s="560"/>
      <c r="NPC1" s="560"/>
      <c r="NPD1" s="560"/>
      <c r="NPE1" s="560"/>
      <c r="NPF1" s="560" t="s">
        <v>15</v>
      </c>
      <c r="NPG1" s="560"/>
      <c r="NPH1" s="560"/>
      <c r="NPI1" s="560"/>
      <c r="NPJ1" s="560"/>
      <c r="NPK1" s="560"/>
      <c r="NPL1" s="560"/>
      <c r="NPM1" s="560"/>
      <c r="NPN1" s="560" t="s">
        <v>15</v>
      </c>
      <c r="NPO1" s="560"/>
      <c r="NPP1" s="560"/>
      <c r="NPQ1" s="560"/>
      <c r="NPR1" s="560"/>
      <c r="NPS1" s="560"/>
      <c r="NPT1" s="560"/>
      <c r="NPU1" s="560"/>
      <c r="NPV1" s="560" t="s">
        <v>15</v>
      </c>
      <c r="NPW1" s="560"/>
      <c r="NPX1" s="560"/>
      <c r="NPY1" s="560"/>
      <c r="NPZ1" s="560"/>
      <c r="NQA1" s="560"/>
      <c r="NQB1" s="560"/>
      <c r="NQC1" s="560"/>
      <c r="NQD1" s="560" t="s">
        <v>15</v>
      </c>
      <c r="NQE1" s="560"/>
      <c r="NQF1" s="560"/>
      <c r="NQG1" s="560"/>
      <c r="NQH1" s="560"/>
      <c r="NQI1" s="560"/>
      <c r="NQJ1" s="560"/>
      <c r="NQK1" s="560"/>
      <c r="NQL1" s="560" t="s">
        <v>15</v>
      </c>
      <c r="NQM1" s="560"/>
      <c r="NQN1" s="560"/>
      <c r="NQO1" s="560"/>
      <c r="NQP1" s="560"/>
      <c r="NQQ1" s="560"/>
      <c r="NQR1" s="560"/>
      <c r="NQS1" s="560"/>
      <c r="NQT1" s="560" t="s">
        <v>15</v>
      </c>
      <c r="NQU1" s="560"/>
      <c r="NQV1" s="560"/>
      <c r="NQW1" s="560"/>
      <c r="NQX1" s="560"/>
      <c r="NQY1" s="560"/>
      <c r="NQZ1" s="560"/>
      <c r="NRA1" s="560"/>
      <c r="NRB1" s="560" t="s">
        <v>15</v>
      </c>
      <c r="NRC1" s="560"/>
      <c r="NRD1" s="560"/>
      <c r="NRE1" s="560"/>
      <c r="NRF1" s="560"/>
      <c r="NRG1" s="560"/>
      <c r="NRH1" s="560"/>
      <c r="NRI1" s="560"/>
      <c r="NRJ1" s="560" t="s">
        <v>15</v>
      </c>
      <c r="NRK1" s="560"/>
      <c r="NRL1" s="560"/>
      <c r="NRM1" s="560"/>
      <c r="NRN1" s="560"/>
      <c r="NRO1" s="560"/>
      <c r="NRP1" s="560"/>
      <c r="NRQ1" s="560"/>
      <c r="NRR1" s="560" t="s">
        <v>15</v>
      </c>
      <c r="NRS1" s="560"/>
      <c r="NRT1" s="560"/>
      <c r="NRU1" s="560"/>
      <c r="NRV1" s="560"/>
      <c r="NRW1" s="560"/>
      <c r="NRX1" s="560"/>
      <c r="NRY1" s="560"/>
      <c r="NRZ1" s="560" t="s">
        <v>15</v>
      </c>
      <c r="NSA1" s="560"/>
      <c r="NSB1" s="560"/>
      <c r="NSC1" s="560"/>
      <c r="NSD1" s="560"/>
      <c r="NSE1" s="560"/>
      <c r="NSF1" s="560"/>
      <c r="NSG1" s="560"/>
      <c r="NSH1" s="560" t="s">
        <v>15</v>
      </c>
      <c r="NSI1" s="560"/>
      <c r="NSJ1" s="560"/>
      <c r="NSK1" s="560"/>
      <c r="NSL1" s="560"/>
      <c r="NSM1" s="560"/>
      <c r="NSN1" s="560"/>
      <c r="NSO1" s="560"/>
      <c r="NSP1" s="560" t="s">
        <v>15</v>
      </c>
      <c r="NSQ1" s="560"/>
      <c r="NSR1" s="560"/>
      <c r="NSS1" s="560"/>
      <c r="NST1" s="560"/>
      <c r="NSU1" s="560"/>
      <c r="NSV1" s="560"/>
      <c r="NSW1" s="560"/>
      <c r="NSX1" s="560" t="s">
        <v>15</v>
      </c>
      <c r="NSY1" s="560"/>
      <c r="NSZ1" s="560"/>
      <c r="NTA1" s="560"/>
      <c r="NTB1" s="560"/>
      <c r="NTC1" s="560"/>
      <c r="NTD1" s="560"/>
      <c r="NTE1" s="560"/>
      <c r="NTF1" s="560" t="s">
        <v>15</v>
      </c>
      <c r="NTG1" s="560"/>
      <c r="NTH1" s="560"/>
      <c r="NTI1" s="560"/>
      <c r="NTJ1" s="560"/>
      <c r="NTK1" s="560"/>
      <c r="NTL1" s="560"/>
      <c r="NTM1" s="560"/>
      <c r="NTN1" s="560" t="s">
        <v>15</v>
      </c>
      <c r="NTO1" s="560"/>
      <c r="NTP1" s="560"/>
      <c r="NTQ1" s="560"/>
      <c r="NTR1" s="560"/>
      <c r="NTS1" s="560"/>
      <c r="NTT1" s="560"/>
      <c r="NTU1" s="560"/>
      <c r="NTV1" s="560" t="s">
        <v>15</v>
      </c>
      <c r="NTW1" s="560"/>
      <c r="NTX1" s="560"/>
      <c r="NTY1" s="560"/>
      <c r="NTZ1" s="560"/>
      <c r="NUA1" s="560"/>
      <c r="NUB1" s="560"/>
      <c r="NUC1" s="560"/>
      <c r="NUD1" s="560" t="s">
        <v>15</v>
      </c>
      <c r="NUE1" s="560"/>
      <c r="NUF1" s="560"/>
      <c r="NUG1" s="560"/>
      <c r="NUH1" s="560"/>
      <c r="NUI1" s="560"/>
      <c r="NUJ1" s="560"/>
      <c r="NUK1" s="560"/>
      <c r="NUL1" s="560" t="s">
        <v>15</v>
      </c>
      <c r="NUM1" s="560"/>
      <c r="NUN1" s="560"/>
      <c r="NUO1" s="560"/>
      <c r="NUP1" s="560"/>
      <c r="NUQ1" s="560"/>
      <c r="NUR1" s="560"/>
      <c r="NUS1" s="560"/>
      <c r="NUT1" s="560" t="s">
        <v>15</v>
      </c>
      <c r="NUU1" s="560"/>
      <c r="NUV1" s="560"/>
      <c r="NUW1" s="560"/>
      <c r="NUX1" s="560"/>
      <c r="NUY1" s="560"/>
      <c r="NUZ1" s="560"/>
      <c r="NVA1" s="560"/>
      <c r="NVB1" s="560" t="s">
        <v>15</v>
      </c>
      <c r="NVC1" s="560"/>
      <c r="NVD1" s="560"/>
      <c r="NVE1" s="560"/>
      <c r="NVF1" s="560"/>
      <c r="NVG1" s="560"/>
      <c r="NVH1" s="560"/>
      <c r="NVI1" s="560"/>
      <c r="NVJ1" s="560" t="s">
        <v>15</v>
      </c>
      <c r="NVK1" s="560"/>
      <c r="NVL1" s="560"/>
      <c r="NVM1" s="560"/>
      <c r="NVN1" s="560"/>
      <c r="NVO1" s="560"/>
      <c r="NVP1" s="560"/>
      <c r="NVQ1" s="560"/>
      <c r="NVR1" s="560" t="s">
        <v>15</v>
      </c>
      <c r="NVS1" s="560"/>
      <c r="NVT1" s="560"/>
      <c r="NVU1" s="560"/>
      <c r="NVV1" s="560"/>
      <c r="NVW1" s="560"/>
      <c r="NVX1" s="560"/>
      <c r="NVY1" s="560"/>
      <c r="NVZ1" s="560" t="s">
        <v>15</v>
      </c>
      <c r="NWA1" s="560"/>
      <c r="NWB1" s="560"/>
      <c r="NWC1" s="560"/>
      <c r="NWD1" s="560"/>
      <c r="NWE1" s="560"/>
      <c r="NWF1" s="560"/>
      <c r="NWG1" s="560"/>
      <c r="NWH1" s="560" t="s">
        <v>15</v>
      </c>
      <c r="NWI1" s="560"/>
      <c r="NWJ1" s="560"/>
      <c r="NWK1" s="560"/>
      <c r="NWL1" s="560"/>
      <c r="NWM1" s="560"/>
      <c r="NWN1" s="560"/>
      <c r="NWO1" s="560"/>
      <c r="NWP1" s="560" t="s">
        <v>15</v>
      </c>
      <c r="NWQ1" s="560"/>
      <c r="NWR1" s="560"/>
      <c r="NWS1" s="560"/>
      <c r="NWT1" s="560"/>
      <c r="NWU1" s="560"/>
      <c r="NWV1" s="560"/>
      <c r="NWW1" s="560"/>
      <c r="NWX1" s="560" t="s">
        <v>15</v>
      </c>
      <c r="NWY1" s="560"/>
      <c r="NWZ1" s="560"/>
      <c r="NXA1" s="560"/>
      <c r="NXB1" s="560"/>
      <c r="NXC1" s="560"/>
      <c r="NXD1" s="560"/>
      <c r="NXE1" s="560"/>
      <c r="NXF1" s="560" t="s">
        <v>15</v>
      </c>
      <c r="NXG1" s="560"/>
      <c r="NXH1" s="560"/>
      <c r="NXI1" s="560"/>
      <c r="NXJ1" s="560"/>
      <c r="NXK1" s="560"/>
      <c r="NXL1" s="560"/>
      <c r="NXM1" s="560"/>
      <c r="NXN1" s="560" t="s">
        <v>15</v>
      </c>
      <c r="NXO1" s="560"/>
      <c r="NXP1" s="560"/>
      <c r="NXQ1" s="560"/>
      <c r="NXR1" s="560"/>
      <c r="NXS1" s="560"/>
      <c r="NXT1" s="560"/>
      <c r="NXU1" s="560"/>
      <c r="NXV1" s="560" t="s">
        <v>15</v>
      </c>
      <c r="NXW1" s="560"/>
      <c r="NXX1" s="560"/>
      <c r="NXY1" s="560"/>
      <c r="NXZ1" s="560"/>
      <c r="NYA1" s="560"/>
      <c r="NYB1" s="560"/>
      <c r="NYC1" s="560"/>
      <c r="NYD1" s="560" t="s">
        <v>15</v>
      </c>
      <c r="NYE1" s="560"/>
      <c r="NYF1" s="560"/>
      <c r="NYG1" s="560"/>
      <c r="NYH1" s="560"/>
      <c r="NYI1" s="560"/>
      <c r="NYJ1" s="560"/>
      <c r="NYK1" s="560"/>
      <c r="NYL1" s="560" t="s">
        <v>15</v>
      </c>
      <c r="NYM1" s="560"/>
      <c r="NYN1" s="560"/>
      <c r="NYO1" s="560"/>
      <c r="NYP1" s="560"/>
      <c r="NYQ1" s="560"/>
      <c r="NYR1" s="560"/>
      <c r="NYS1" s="560"/>
      <c r="NYT1" s="560" t="s">
        <v>15</v>
      </c>
      <c r="NYU1" s="560"/>
      <c r="NYV1" s="560"/>
      <c r="NYW1" s="560"/>
      <c r="NYX1" s="560"/>
      <c r="NYY1" s="560"/>
      <c r="NYZ1" s="560"/>
      <c r="NZA1" s="560"/>
      <c r="NZB1" s="560" t="s">
        <v>15</v>
      </c>
      <c r="NZC1" s="560"/>
      <c r="NZD1" s="560"/>
      <c r="NZE1" s="560"/>
      <c r="NZF1" s="560"/>
      <c r="NZG1" s="560"/>
      <c r="NZH1" s="560"/>
      <c r="NZI1" s="560"/>
      <c r="NZJ1" s="560" t="s">
        <v>15</v>
      </c>
      <c r="NZK1" s="560"/>
      <c r="NZL1" s="560"/>
      <c r="NZM1" s="560"/>
      <c r="NZN1" s="560"/>
      <c r="NZO1" s="560"/>
      <c r="NZP1" s="560"/>
      <c r="NZQ1" s="560"/>
      <c r="NZR1" s="560" t="s">
        <v>15</v>
      </c>
      <c r="NZS1" s="560"/>
      <c r="NZT1" s="560"/>
      <c r="NZU1" s="560"/>
      <c r="NZV1" s="560"/>
      <c r="NZW1" s="560"/>
      <c r="NZX1" s="560"/>
      <c r="NZY1" s="560"/>
      <c r="NZZ1" s="560" t="s">
        <v>15</v>
      </c>
      <c r="OAA1" s="560"/>
      <c r="OAB1" s="560"/>
      <c r="OAC1" s="560"/>
      <c r="OAD1" s="560"/>
      <c r="OAE1" s="560"/>
      <c r="OAF1" s="560"/>
      <c r="OAG1" s="560"/>
      <c r="OAH1" s="560" t="s">
        <v>15</v>
      </c>
      <c r="OAI1" s="560"/>
      <c r="OAJ1" s="560"/>
      <c r="OAK1" s="560"/>
      <c r="OAL1" s="560"/>
      <c r="OAM1" s="560"/>
      <c r="OAN1" s="560"/>
      <c r="OAO1" s="560"/>
      <c r="OAP1" s="560" t="s">
        <v>15</v>
      </c>
      <c r="OAQ1" s="560"/>
      <c r="OAR1" s="560"/>
      <c r="OAS1" s="560"/>
      <c r="OAT1" s="560"/>
      <c r="OAU1" s="560"/>
      <c r="OAV1" s="560"/>
      <c r="OAW1" s="560"/>
      <c r="OAX1" s="560" t="s">
        <v>15</v>
      </c>
      <c r="OAY1" s="560"/>
      <c r="OAZ1" s="560"/>
      <c r="OBA1" s="560"/>
      <c r="OBB1" s="560"/>
      <c r="OBC1" s="560"/>
      <c r="OBD1" s="560"/>
      <c r="OBE1" s="560"/>
      <c r="OBF1" s="560" t="s">
        <v>15</v>
      </c>
      <c r="OBG1" s="560"/>
      <c r="OBH1" s="560"/>
      <c r="OBI1" s="560"/>
      <c r="OBJ1" s="560"/>
      <c r="OBK1" s="560"/>
      <c r="OBL1" s="560"/>
      <c r="OBM1" s="560"/>
      <c r="OBN1" s="560" t="s">
        <v>15</v>
      </c>
      <c r="OBO1" s="560"/>
      <c r="OBP1" s="560"/>
      <c r="OBQ1" s="560"/>
      <c r="OBR1" s="560"/>
      <c r="OBS1" s="560"/>
      <c r="OBT1" s="560"/>
      <c r="OBU1" s="560"/>
      <c r="OBV1" s="560" t="s">
        <v>15</v>
      </c>
      <c r="OBW1" s="560"/>
      <c r="OBX1" s="560"/>
      <c r="OBY1" s="560"/>
      <c r="OBZ1" s="560"/>
      <c r="OCA1" s="560"/>
      <c r="OCB1" s="560"/>
      <c r="OCC1" s="560"/>
      <c r="OCD1" s="560" t="s">
        <v>15</v>
      </c>
      <c r="OCE1" s="560"/>
      <c r="OCF1" s="560"/>
      <c r="OCG1" s="560"/>
      <c r="OCH1" s="560"/>
      <c r="OCI1" s="560"/>
      <c r="OCJ1" s="560"/>
      <c r="OCK1" s="560"/>
      <c r="OCL1" s="560" t="s">
        <v>15</v>
      </c>
      <c r="OCM1" s="560"/>
      <c r="OCN1" s="560"/>
      <c r="OCO1" s="560"/>
      <c r="OCP1" s="560"/>
      <c r="OCQ1" s="560"/>
      <c r="OCR1" s="560"/>
      <c r="OCS1" s="560"/>
      <c r="OCT1" s="560" t="s">
        <v>15</v>
      </c>
      <c r="OCU1" s="560"/>
      <c r="OCV1" s="560"/>
      <c r="OCW1" s="560"/>
      <c r="OCX1" s="560"/>
      <c r="OCY1" s="560"/>
      <c r="OCZ1" s="560"/>
      <c r="ODA1" s="560"/>
      <c r="ODB1" s="560" t="s">
        <v>15</v>
      </c>
      <c r="ODC1" s="560"/>
      <c r="ODD1" s="560"/>
      <c r="ODE1" s="560"/>
      <c r="ODF1" s="560"/>
      <c r="ODG1" s="560"/>
      <c r="ODH1" s="560"/>
      <c r="ODI1" s="560"/>
      <c r="ODJ1" s="560" t="s">
        <v>15</v>
      </c>
      <c r="ODK1" s="560"/>
      <c r="ODL1" s="560"/>
      <c r="ODM1" s="560"/>
      <c r="ODN1" s="560"/>
      <c r="ODO1" s="560"/>
      <c r="ODP1" s="560"/>
      <c r="ODQ1" s="560"/>
      <c r="ODR1" s="560" t="s">
        <v>15</v>
      </c>
      <c r="ODS1" s="560"/>
      <c r="ODT1" s="560"/>
      <c r="ODU1" s="560"/>
      <c r="ODV1" s="560"/>
      <c r="ODW1" s="560"/>
      <c r="ODX1" s="560"/>
      <c r="ODY1" s="560"/>
      <c r="ODZ1" s="560" t="s">
        <v>15</v>
      </c>
      <c r="OEA1" s="560"/>
      <c r="OEB1" s="560"/>
      <c r="OEC1" s="560"/>
      <c r="OED1" s="560"/>
      <c r="OEE1" s="560"/>
      <c r="OEF1" s="560"/>
      <c r="OEG1" s="560"/>
      <c r="OEH1" s="560" t="s">
        <v>15</v>
      </c>
      <c r="OEI1" s="560"/>
      <c r="OEJ1" s="560"/>
      <c r="OEK1" s="560"/>
      <c r="OEL1" s="560"/>
      <c r="OEM1" s="560"/>
      <c r="OEN1" s="560"/>
      <c r="OEO1" s="560"/>
      <c r="OEP1" s="560" t="s">
        <v>15</v>
      </c>
      <c r="OEQ1" s="560"/>
      <c r="OER1" s="560"/>
      <c r="OES1" s="560"/>
      <c r="OET1" s="560"/>
      <c r="OEU1" s="560"/>
      <c r="OEV1" s="560"/>
      <c r="OEW1" s="560"/>
      <c r="OEX1" s="560" t="s">
        <v>15</v>
      </c>
      <c r="OEY1" s="560"/>
      <c r="OEZ1" s="560"/>
      <c r="OFA1" s="560"/>
      <c r="OFB1" s="560"/>
      <c r="OFC1" s="560"/>
      <c r="OFD1" s="560"/>
      <c r="OFE1" s="560"/>
      <c r="OFF1" s="560" t="s">
        <v>15</v>
      </c>
      <c r="OFG1" s="560"/>
      <c r="OFH1" s="560"/>
      <c r="OFI1" s="560"/>
      <c r="OFJ1" s="560"/>
      <c r="OFK1" s="560"/>
      <c r="OFL1" s="560"/>
      <c r="OFM1" s="560"/>
      <c r="OFN1" s="560" t="s">
        <v>15</v>
      </c>
      <c r="OFO1" s="560"/>
      <c r="OFP1" s="560"/>
      <c r="OFQ1" s="560"/>
      <c r="OFR1" s="560"/>
      <c r="OFS1" s="560"/>
      <c r="OFT1" s="560"/>
      <c r="OFU1" s="560"/>
      <c r="OFV1" s="560" t="s">
        <v>15</v>
      </c>
      <c r="OFW1" s="560"/>
      <c r="OFX1" s="560"/>
      <c r="OFY1" s="560"/>
      <c r="OFZ1" s="560"/>
      <c r="OGA1" s="560"/>
      <c r="OGB1" s="560"/>
      <c r="OGC1" s="560"/>
      <c r="OGD1" s="560" t="s">
        <v>15</v>
      </c>
      <c r="OGE1" s="560"/>
      <c r="OGF1" s="560"/>
      <c r="OGG1" s="560"/>
      <c r="OGH1" s="560"/>
      <c r="OGI1" s="560"/>
      <c r="OGJ1" s="560"/>
      <c r="OGK1" s="560"/>
      <c r="OGL1" s="560" t="s">
        <v>15</v>
      </c>
      <c r="OGM1" s="560"/>
      <c r="OGN1" s="560"/>
      <c r="OGO1" s="560"/>
      <c r="OGP1" s="560"/>
      <c r="OGQ1" s="560"/>
      <c r="OGR1" s="560"/>
      <c r="OGS1" s="560"/>
      <c r="OGT1" s="560" t="s">
        <v>15</v>
      </c>
      <c r="OGU1" s="560"/>
      <c r="OGV1" s="560"/>
      <c r="OGW1" s="560"/>
      <c r="OGX1" s="560"/>
      <c r="OGY1" s="560"/>
      <c r="OGZ1" s="560"/>
      <c r="OHA1" s="560"/>
      <c r="OHB1" s="560" t="s">
        <v>15</v>
      </c>
      <c r="OHC1" s="560"/>
      <c r="OHD1" s="560"/>
      <c r="OHE1" s="560"/>
      <c r="OHF1" s="560"/>
      <c r="OHG1" s="560"/>
      <c r="OHH1" s="560"/>
      <c r="OHI1" s="560"/>
      <c r="OHJ1" s="560" t="s">
        <v>15</v>
      </c>
      <c r="OHK1" s="560"/>
      <c r="OHL1" s="560"/>
      <c r="OHM1" s="560"/>
      <c r="OHN1" s="560"/>
      <c r="OHO1" s="560"/>
      <c r="OHP1" s="560"/>
      <c r="OHQ1" s="560"/>
      <c r="OHR1" s="560" t="s">
        <v>15</v>
      </c>
      <c r="OHS1" s="560"/>
      <c r="OHT1" s="560"/>
      <c r="OHU1" s="560"/>
      <c r="OHV1" s="560"/>
      <c r="OHW1" s="560"/>
      <c r="OHX1" s="560"/>
      <c r="OHY1" s="560"/>
      <c r="OHZ1" s="560" t="s">
        <v>15</v>
      </c>
      <c r="OIA1" s="560"/>
      <c r="OIB1" s="560"/>
      <c r="OIC1" s="560"/>
      <c r="OID1" s="560"/>
      <c r="OIE1" s="560"/>
      <c r="OIF1" s="560"/>
      <c r="OIG1" s="560"/>
      <c r="OIH1" s="560" t="s">
        <v>15</v>
      </c>
      <c r="OII1" s="560"/>
      <c r="OIJ1" s="560"/>
      <c r="OIK1" s="560"/>
      <c r="OIL1" s="560"/>
      <c r="OIM1" s="560"/>
      <c r="OIN1" s="560"/>
      <c r="OIO1" s="560"/>
      <c r="OIP1" s="560" t="s">
        <v>15</v>
      </c>
      <c r="OIQ1" s="560"/>
      <c r="OIR1" s="560"/>
      <c r="OIS1" s="560"/>
      <c r="OIT1" s="560"/>
      <c r="OIU1" s="560"/>
      <c r="OIV1" s="560"/>
      <c r="OIW1" s="560"/>
      <c r="OIX1" s="560" t="s">
        <v>15</v>
      </c>
      <c r="OIY1" s="560"/>
      <c r="OIZ1" s="560"/>
      <c r="OJA1" s="560"/>
      <c r="OJB1" s="560"/>
      <c r="OJC1" s="560"/>
      <c r="OJD1" s="560"/>
      <c r="OJE1" s="560"/>
      <c r="OJF1" s="560" t="s">
        <v>15</v>
      </c>
      <c r="OJG1" s="560"/>
      <c r="OJH1" s="560"/>
      <c r="OJI1" s="560"/>
      <c r="OJJ1" s="560"/>
      <c r="OJK1" s="560"/>
      <c r="OJL1" s="560"/>
      <c r="OJM1" s="560"/>
      <c r="OJN1" s="560" t="s">
        <v>15</v>
      </c>
      <c r="OJO1" s="560"/>
      <c r="OJP1" s="560"/>
      <c r="OJQ1" s="560"/>
      <c r="OJR1" s="560"/>
      <c r="OJS1" s="560"/>
      <c r="OJT1" s="560"/>
      <c r="OJU1" s="560"/>
      <c r="OJV1" s="560" t="s">
        <v>15</v>
      </c>
      <c r="OJW1" s="560"/>
      <c r="OJX1" s="560"/>
      <c r="OJY1" s="560"/>
      <c r="OJZ1" s="560"/>
      <c r="OKA1" s="560"/>
      <c r="OKB1" s="560"/>
      <c r="OKC1" s="560"/>
      <c r="OKD1" s="560" t="s">
        <v>15</v>
      </c>
      <c r="OKE1" s="560"/>
      <c r="OKF1" s="560"/>
      <c r="OKG1" s="560"/>
      <c r="OKH1" s="560"/>
      <c r="OKI1" s="560"/>
      <c r="OKJ1" s="560"/>
      <c r="OKK1" s="560"/>
      <c r="OKL1" s="560" t="s">
        <v>15</v>
      </c>
      <c r="OKM1" s="560"/>
      <c r="OKN1" s="560"/>
      <c r="OKO1" s="560"/>
      <c r="OKP1" s="560"/>
      <c r="OKQ1" s="560"/>
      <c r="OKR1" s="560"/>
      <c r="OKS1" s="560"/>
      <c r="OKT1" s="560" t="s">
        <v>15</v>
      </c>
      <c r="OKU1" s="560"/>
      <c r="OKV1" s="560"/>
      <c r="OKW1" s="560"/>
      <c r="OKX1" s="560"/>
      <c r="OKY1" s="560"/>
      <c r="OKZ1" s="560"/>
      <c r="OLA1" s="560"/>
      <c r="OLB1" s="560" t="s">
        <v>15</v>
      </c>
      <c r="OLC1" s="560"/>
      <c r="OLD1" s="560"/>
      <c r="OLE1" s="560"/>
      <c r="OLF1" s="560"/>
      <c r="OLG1" s="560"/>
      <c r="OLH1" s="560"/>
      <c r="OLI1" s="560"/>
      <c r="OLJ1" s="560" t="s">
        <v>15</v>
      </c>
      <c r="OLK1" s="560"/>
      <c r="OLL1" s="560"/>
      <c r="OLM1" s="560"/>
      <c r="OLN1" s="560"/>
      <c r="OLO1" s="560"/>
      <c r="OLP1" s="560"/>
      <c r="OLQ1" s="560"/>
      <c r="OLR1" s="560" t="s">
        <v>15</v>
      </c>
      <c r="OLS1" s="560"/>
      <c r="OLT1" s="560"/>
      <c r="OLU1" s="560"/>
      <c r="OLV1" s="560"/>
      <c r="OLW1" s="560"/>
      <c r="OLX1" s="560"/>
      <c r="OLY1" s="560"/>
      <c r="OLZ1" s="560" t="s">
        <v>15</v>
      </c>
      <c r="OMA1" s="560"/>
      <c r="OMB1" s="560"/>
      <c r="OMC1" s="560"/>
      <c r="OMD1" s="560"/>
      <c r="OME1" s="560"/>
      <c r="OMF1" s="560"/>
      <c r="OMG1" s="560"/>
      <c r="OMH1" s="560" t="s">
        <v>15</v>
      </c>
      <c r="OMI1" s="560"/>
      <c r="OMJ1" s="560"/>
      <c r="OMK1" s="560"/>
      <c r="OML1" s="560"/>
      <c r="OMM1" s="560"/>
      <c r="OMN1" s="560"/>
      <c r="OMO1" s="560"/>
      <c r="OMP1" s="560" t="s">
        <v>15</v>
      </c>
      <c r="OMQ1" s="560"/>
      <c r="OMR1" s="560"/>
      <c r="OMS1" s="560"/>
      <c r="OMT1" s="560"/>
      <c r="OMU1" s="560"/>
      <c r="OMV1" s="560"/>
      <c r="OMW1" s="560"/>
      <c r="OMX1" s="560" t="s">
        <v>15</v>
      </c>
      <c r="OMY1" s="560"/>
      <c r="OMZ1" s="560"/>
      <c r="ONA1" s="560"/>
      <c r="ONB1" s="560"/>
      <c r="ONC1" s="560"/>
      <c r="OND1" s="560"/>
      <c r="ONE1" s="560"/>
      <c r="ONF1" s="560" t="s">
        <v>15</v>
      </c>
      <c r="ONG1" s="560"/>
      <c r="ONH1" s="560"/>
      <c r="ONI1" s="560"/>
      <c r="ONJ1" s="560"/>
      <c r="ONK1" s="560"/>
      <c r="ONL1" s="560"/>
      <c r="ONM1" s="560"/>
      <c r="ONN1" s="560" t="s">
        <v>15</v>
      </c>
      <c r="ONO1" s="560"/>
      <c r="ONP1" s="560"/>
      <c r="ONQ1" s="560"/>
      <c r="ONR1" s="560"/>
      <c r="ONS1" s="560"/>
      <c r="ONT1" s="560"/>
      <c r="ONU1" s="560"/>
      <c r="ONV1" s="560" t="s">
        <v>15</v>
      </c>
      <c r="ONW1" s="560"/>
      <c r="ONX1" s="560"/>
      <c r="ONY1" s="560"/>
      <c r="ONZ1" s="560"/>
      <c r="OOA1" s="560"/>
      <c r="OOB1" s="560"/>
      <c r="OOC1" s="560"/>
      <c r="OOD1" s="560" t="s">
        <v>15</v>
      </c>
      <c r="OOE1" s="560"/>
      <c r="OOF1" s="560"/>
      <c r="OOG1" s="560"/>
      <c r="OOH1" s="560"/>
      <c r="OOI1" s="560"/>
      <c r="OOJ1" s="560"/>
      <c r="OOK1" s="560"/>
      <c r="OOL1" s="560" t="s">
        <v>15</v>
      </c>
      <c r="OOM1" s="560"/>
      <c r="OON1" s="560"/>
      <c r="OOO1" s="560"/>
      <c r="OOP1" s="560"/>
      <c r="OOQ1" s="560"/>
      <c r="OOR1" s="560"/>
      <c r="OOS1" s="560"/>
      <c r="OOT1" s="560" t="s">
        <v>15</v>
      </c>
      <c r="OOU1" s="560"/>
      <c r="OOV1" s="560"/>
      <c r="OOW1" s="560"/>
      <c r="OOX1" s="560"/>
      <c r="OOY1" s="560"/>
      <c r="OOZ1" s="560"/>
      <c r="OPA1" s="560"/>
      <c r="OPB1" s="560" t="s">
        <v>15</v>
      </c>
      <c r="OPC1" s="560"/>
      <c r="OPD1" s="560"/>
      <c r="OPE1" s="560"/>
      <c r="OPF1" s="560"/>
      <c r="OPG1" s="560"/>
      <c r="OPH1" s="560"/>
      <c r="OPI1" s="560"/>
      <c r="OPJ1" s="560" t="s">
        <v>15</v>
      </c>
      <c r="OPK1" s="560"/>
      <c r="OPL1" s="560"/>
      <c r="OPM1" s="560"/>
      <c r="OPN1" s="560"/>
      <c r="OPO1" s="560"/>
      <c r="OPP1" s="560"/>
      <c r="OPQ1" s="560"/>
      <c r="OPR1" s="560" t="s">
        <v>15</v>
      </c>
      <c r="OPS1" s="560"/>
      <c r="OPT1" s="560"/>
      <c r="OPU1" s="560"/>
      <c r="OPV1" s="560"/>
      <c r="OPW1" s="560"/>
      <c r="OPX1" s="560"/>
      <c r="OPY1" s="560"/>
      <c r="OPZ1" s="560" t="s">
        <v>15</v>
      </c>
      <c r="OQA1" s="560"/>
      <c r="OQB1" s="560"/>
      <c r="OQC1" s="560"/>
      <c r="OQD1" s="560"/>
      <c r="OQE1" s="560"/>
      <c r="OQF1" s="560"/>
      <c r="OQG1" s="560"/>
      <c r="OQH1" s="560" t="s">
        <v>15</v>
      </c>
      <c r="OQI1" s="560"/>
      <c r="OQJ1" s="560"/>
      <c r="OQK1" s="560"/>
      <c r="OQL1" s="560"/>
      <c r="OQM1" s="560"/>
      <c r="OQN1" s="560"/>
      <c r="OQO1" s="560"/>
      <c r="OQP1" s="560" t="s">
        <v>15</v>
      </c>
      <c r="OQQ1" s="560"/>
      <c r="OQR1" s="560"/>
      <c r="OQS1" s="560"/>
      <c r="OQT1" s="560"/>
      <c r="OQU1" s="560"/>
      <c r="OQV1" s="560"/>
      <c r="OQW1" s="560"/>
      <c r="OQX1" s="560" t="s">
        <v>15</v>
      </c>
      <c r="OQY1" s="560"/>
      <c r="OQZ1" s="560"/>
      <c r="ORA1" s="560"/>
      <c r="ORB1" s="560"/>
      <c r="ORC1" s="560"/>
      <c r="ORD1" s="560"/>
      <c r="ORE1" s="560"/>
      <c r="ORF1" s="560" t="s">
        <v>15</v>
      </c>
      <c r="ORG1" s="560"/>
      <c r="ORH1" s="560"/>
      <c r="ORI1" s="560"/>
      <c r="ORJ1" s="560"/>
      <c r="ORK1" s="560"/>
      <c r="ORL1" s="560"/>
      <c r="ORM1" s="560"/>
      <c r="ORN1" s="560" t="s">
        <v>15</v>
      </c>
      <c r="ORO1" s="560"/>
      <c r="ORP1" s="560"/>
      <c r="ORQ1" s="560"/>
      <c r="ORR1" s="560"/>
      <c r="ORS1" s="560"/>
      <c r="ORT1" s="560"/>
      <c r="ORU1" s="560"/>
      <c r="ORV1" s="560" t="s">
        <v>15</v>
      </c>
      <c r="ORW1" s="560"/>
      <c r="ORX1" s="560"/>
      <c r="ORY1" s="560"/>
      <c r="ORZ1" s="560"/>
      <c r="OSA1" s="560"/>
      <c r="OSB1" s="560"/>
      <c r="OSC1" s="560"/>
      <c r="OSD1" s="560" t="s">
        <v>15</v>
      </c>
      <c r="OSE1" s="560"/>
      <c r="OSF1" s="560"/>
      <c r="OSG1" s="560"/>
      <c r="OSH1" s="560"/>
      <c r="OSI1" s="560"/>
      <c r="OSJ1" s="560"/>
      <c r="OSK1" s="560"/>
      <c r="OSL1" s="560" t="s">
        <v>15</v>
      </c>
      <c r="OSM1" s="560"/>
      <c r="OSN1" s="560"/>
      <c r="OSO1" s="560"/>
      <c r="OSP1" s="560"/>
      <c r="OSQ1" s="560"/>
      <c r="OSR1" s="560"/>
      <c r="OSS1" s="560"/>
      <c r="OST1" s="560" t="s">
        <v>15</v>
      </c>
      <c r="OSU1" s="560"/>
      <c r="OSV1" s="560"/>
      <c r="OSW1" s="560"/>
      <c r="OSX1" s="560"/>
      <c r="OSY1" s="560"/>
      <c r="OSZ1" s="560"/>
      <c r="OTA1" s="560"/>
      <c r="OTB1" s="560" t="s">
        <v>15</v>
      </c>
      <c r="OTC1" s="560"/>
      <c r="OTD1" s="560"/>
      <c r="OTE1" s="560"/>
      <c r="OTF1" s="560"/>
      <c r="OTG1" s="560"/>
      <c r="OTH1" s="560"/>
      <c r="OTI1" s="560"/>
      <c r="OTJ1" s="560" t="s">
        <v>15</v>
      </c>
      <c r="OTK1" s="560"/>
      <c r="OTL1" s="560"/>
      <c r="OTM1" s="560"/>
      <c r="OTN1" s="560"/>
      <c r="OTO1" s="560"/>
      <c r="OTP1" s="560"/>
      <c r="OTQ1" s="560"/>
      <c r="OTR1" s="560" t="s">
        <v>15</v>
      </c>
      <c r="OTS1" s="560"/>
      <c r="OTT1" s="560"/>
      <c r="OTU1" s="560"/>
      <c r="OTV1" s="560"/>
      <c r="OTW1" s="560"/>
      <c r="OTX1" s="560"/>
      <c r="OTY1" s="560"/>
      <c r="OTZ1" s="560" t="s">
        <v>15</v>
      </c>
      <c r="OUA1" s="560"/>
      <c r="OUB1" s="560"/>
      <c r="OUC1" s="560"/>
      <c r="OUD1" s="560"/>
      <c r="OUE1" s="560"/>
      <c r="OUF1" s="560"/>
      <c r="OUG1" s="560"/>
      <c r="OUH1" s="560" t="s">
        <v>15</v>
      </c>
      <c r="OUI1" s="560"/>
      <c r="OUJ1" s="560"/>
      <c r="OUK1" s="560"/>
      <c r="OUL1" s="560"/>
      <c r="OUM1" s="560"/>
      <c r="OUN1" s="560"/>
      <c r="OUO1" s="560"/>
      <c r="OUP1" s="560" t="s">
        <v>15</v>
      </c>
      <c r="OUQ1" s="560"/>
      <c r="OUR1" s="560"/>
      <c r="OUS1" s="560"/>
      <c r="OUT1" s="560"/>
      <c r="OUU1" s="560"/>
      <c r="OUV1" s="560"/>
      <c r="OUW1" s="560"/>
      <c r="OUX1" s="560" t="s">
        <v>15</v>
      </c>
      <c r="OUY1" s="560"/>
      <c r="OUZ1" s="560"/>
      <c r="OVA1" s="560"/>
      <c r="OVB1" s="560"/>
      <c r="OVC1" s="560"/>
      <c r="OVD1" s="560"/>
      <c r="OVE1" s="560"/>
      <c r="OVF1" s="560" t="s">
        <v>15</v>
      </c>
      <c r="OVG1" s="560"/>
      <c r="OVH1" s="560"/>
      <c r="OVI1" s="560"/>
      <c r="OVJ1" s="560"/>
      <c r="OVK1" s="560"/>
      <c r="OVL1" s="560"/>
      <c r="OVM1" s="560"/>
      <c r="OVN1" s="560" t="s">
        <v>15</v>
      </c>
      <c r="OVO1" s="560"/>
      <c r="OVP1" s="560"/>
      <c r="OVQ1" s="560"/>
      <c r="OVR1" s="560"/>
      <c r="OVS1" s="560"/>
      <c r="OVT1" s="560"/>
      <c r="OVU1" s="560"/>
      <c r="OVV1" s="560" t="s">
        <v>15</v>
      </c>
      <c r="OVW1" s="560"/>
      <c r="OVX1" s="560"/>
      <c r="OVY1" s="560"/>
      <c r="OVZ1" s="560"/>
      <c r="OWA1" s="560"/>
      <c r="OWB1" s="560"/>
      <c r="OWC1" s="560"/>
      <c r="OWD1" s="560" t="s">
        <v>15</v>
      </c>
      <c r="OWE1" s="560"/>
      <c r="OWF1" s="560"/>
      <c r="OWG1" s="560"/>
      <c r="OWH1" s="560"/>
      <c r="OWI1" s="560"/>
      <c r="OWJ1" s="560"/>
      <c r="OWK1" s="560"/>
      <c r="OWL1" s="560" t="s">
        <v>15</v>
      </c>
      <c r="OWM1" s="560"/>
      <c r="OWN1" s="560"/>
      <c r="OWO1" s="560"/>
      <c r="OWP1" s="560"/>
      <c r="OWQ1" s="560"/>
      <c r="OWR1" s="560"/>
      <c r="OWS1" s="560"/>
      <c r="OWT1" s="560" t="s">
        <v>15</v>
      </c>
      <c r="OWU1" s="560"/>
      <c r="OWV1" s="560"/>
      <c r="OWW1" s="560"/>
      <c r="OWX1" s="560"/>
      <c r="OWY1" s="560"/>
      <c r="OWZ1" s="560"/>
      <c r="OXA1" s="560"/>
      <c r="OXB1" s="560" t="s">
        <v>15</v>
      </c>
      <c r="OXC1" s="560"/>
      <c r="OXD1" s="560"/>
      <c r="OXE1" s="560"/>
      <c r="OXF1" s="560"/>
      <c r="OXG1" s="560"/>
      <c r="OXH1" s="560"/>
      <c r="OXI1" s="560"/>
      <c r="OXJ1" s="560" t="s">
        <v>15</v>
      </c>
      <c r="OXK1" s="560"/>
      <c r="OXL1" s="560"/>
      <c r="OXM1" s="560"/>
      <c r="OXN1" s="560"/>
      <c r="OXO1" s="560"/>
      <c r="OXP1" s="560"/>
      <c r="OXQ1" s="560"/>
      <c r="OXR1" s="560" t="s">
        <v>15</v>
      </c>
      <c r="OXS1" s="560"/>
      <c r="OXT1" s="560"/>
      <c r="OXU1" s="560"/>
      <c r="OXV1" s="560"/>
      <c r="OXW1" s="560"/>
      <c r="OXX1" s="560"/>
      <c r="OXY1" s="560"/>
      <c r="OXZ1" s="560" t="s">
        <v>15</v>
      </c>
      <c r="OYA1" s="560"/>
      <c r="OYB1" s="560"/>
      <c r="OYC1" s="560"/>
      <c r="OYD1" s="560"/>
      <c r="OYE1" s="560"/>
      <c r="OYF1" s="560"/>
      <c r="OYG1" s="560"/>
      <c r="OYH1" s="560" t="s">
        <v>15</v>
      </c>
      <c r="OYI1" s="560"/>
      <c r="OYJ1" s="560"/>
      <c r="OYK1" s="560"/>
      <c r="OYL1" s="560"/>
      <c r="OYM1" s="560"/>
      <c r="OYN1" s="560"/>
      <c r="OYO1" s="560"/>
      <c r="OYP1" s="560" t="s">
        <v>15</v>
      </c>
      <c r="OYQ1" s="560"/>
      <c r="OYR1" s="560"/>
      <c r="OYS1" s="560"/>
      <c r="OYT1" s="560"/>
      <c r="OYU1" s="560"/>
      <c r="OYV1" s="560"/>
      <c r="OYW1" s="560"/>
      <c r="OYX1" s="560" t="s">
        <v>15</v>
      </c>
      <c r="OYY1" s="560"/>
      <c r="OYZ1" s="560"/>
      <c r="OZA1" s="560"/>
      <c r="OZB1" s="560"/>
      <c r="OZC1" s="560"/>
      <c r="OZD1" s="560"/>
      <c r="OZE1" s="560"/>
      <c r="OZF1" s="560" t="s">
        <v>15</v>
      </c>
      <c r="OZG1" s="560"/>
      <c r="OZH1" s="560"/>
      <c r="OZI1" s="560"/>
      <c r="OZJ1" s="560"/>
      <c r="OZK1" s="560"/>
      <c r="OZL1" s="560"/>
      <c r="OZM1" s="560"/>
      <c r="OZN1" s="560" t="s">
        <v>15</v>
      </c>
      <c r="OZO1" s="560"/>
      <c r="OZP1" s="560"/>
      <c r="OZQ1" s="560"/>
      <c r="OZR1" s="560"/>
      <c r="OZS1" s="560"/>
      <c r="OZT1" s="560"/>
      <c r="OZU1" s="560"/>
      <c r="OZV1" s="560" t="s">
        <v>15</v>
      </c>
      <c r="OZW1" s="560"/>
      <c r="OZX1" s="560"/>
      <c r="OZY1" s="560"/>
      <c r="OZZ1" s="560"/>
      <c r="PAA1" s="560"/>
      <c r="PAB1" s="560"/>
      <c r="PAC1" s="560"/>
      <c r="PAD1" s="560" t="s">
        <v>15</v>
      </c>
      <c r="PAE1" s="560"/>
      <c r="PAF1" s="560"/>
      <c r="PAG1" s="560"/>
      <c r="PAH1" s="560"/>
      <c r="PAI1" s="560"/>
      <c r="PAJ1" s="560"/>
      <c r="PAK1" s="560"/>
      <c r="PAL1" s="560" t="s">
        <v>15</v>
      </c>
      <c r="PAM1" s="560"/>
      <c r="PAN1" s="560"/>
      <c r="PAO1" s="560"/>
      <c r="PAP1" s="560"/>
      <c r="PAQ1" s="560"/>
      <c r="PAR1" s="560"/>
      <c r="PAS1" s="560"/>
      <c r="PAT1" s="560" t="s">
        <v>15</v>
      </c>
      <c r="PAU1" s="560"/>
      <c r="PAV1" s="560"/>
      <c r="PAW1" s="560"/>
      <c r="PAX1" s="560"/>
      <c r="PAY1" s="560"/>
      <c r="PAZ1" s="560"/>
      <c r="PBA1" s="560"/>
      <c r="PBB1" s="560" t="s">
        <v>15</v>
      </c>
      <c r="PBC1" s="560"/>
      <c r="PBD1" s="560"/>
      <c r="PBE1" s="560"/>
      <c r="PBF1" s="560"/>
      <c r="PBG1" s="560"/>
      <c r="PBH1" s="560"/>
      <c r="PBI1" s="560"/>
      <c r="PBJ1" s="560" t="s">
        <v>15</v>
      </c>
      <c r="PBK1" s="560"/>
      <c r="PBL1" s="560"/>
      <c r="PBM1" s="560"/>
      <c r="PBN1" s="560"/>
      <c r="PBO1" s="560"/>
      <c r="PBP1" s="560"/>
      <c r="PBQ1" s="560"/>
      <c r="PBR1" s="560" t="s">
        <v>15</v>
      </c>
      <c r="PBS1" s="560"/>
      <c r="PBT1" s="560"/>
      <c r="PBU1" s="560"/>
      <c r="PBV1" s="560"/>
      <c r="PBW1" s="560"/>
      <c r="PBX1" s="560"/>
      <c r="PBY1" s="560"/>
      <c r="PBZ1" s="560" t="s">
        <v>15</v>
      </c>
      <c r="PCA1" s="560"/>
      <c r="PCB1" s="560"/>
      <c r="PCC1" s="560"/>
      <c r="PCD1" s="560"/>
      <c r="PCE1" s="560"/>
      <c r="PCF1" s="560"/>
      <c r="PCG1" s="560"/>
      <c r="PCH1" s="560" t="s">
        <v>15</v>
      </c>
      <c r="PCI1" s="560"/>
      <c r="PCJ1" s="560"/>
      <c r="PCK1" s="560"/>
      <c r="PCL1" s="560"/>
      <c r="PCM1" s="560"/>
      <c r="PCN1" s="560"/>
      <c r="PCO1" s="560"/>
      <c r="PCP1" s="560" t="s">
        <v>15</v>
      </c>
      <c r="PCQ1" s="560"/>
      <c r="PCR1" s="560"/>
      <c r="PCS1" s="560"/>
      <c r="PCT1" s="560"/>
      <c r="PCU1" s="560"/>
      <c r="PCV1" s="560"/>
      <c r="PCW1" s="560"/>
      <c r="PCX1" s="560" t="s">
        <v>15</v>
      </c>
      <c r="PCY1" s="560"/>
      <c r="PCZ1" s="560"/>
      <c r="PDA1" s="560"/>
      <c r="PDB1" s="560"/>
      <c r="PDC1" s="560"/>
      <c r="PDD1" s="560"/>
      <c r="PDE1" s="560"/>
      <c r="PDF1" s="560" t="s">
        <v>15</v>
      </c>
      <c r="PDG1" s="560"/>
      <c r="PDH1" s="560"/>
      <c r="PDI1" s="560"/>
      <c r="PDJ1" s="560"/>
      <c r="PDK1" s="560"/>
      <c r="PDL1" s="560"/>
      <c r="PDM1" s="560"/>
      <c r="PDN1" s="560" t="s">
        <v>15</v>
      </c>
      <c r="PDO1" s="560"/>
      <c r="PDP1" s="560"/>
      <c r="PDQ1" s="560"/>
      <c r="PDR1" s="560"/>
      <c r="PDS1" s="560"/>
      <c r="PDT1" s="560"/>
      <c r="PDU1" s="560"/>
      <c r="PDV1" s="560" t="s">
        <v>15</v>
      </c>
      <c r="PDW1" s="560"/>
      <c r="PDX1" s="560"/>
      <c r="PDY1" s="560"/>
      <c r="PDZ1" s="560"/>
      <c r="PEA1" s="560"/>
      <c r="PEB1" s="560"/>
      <c r="PEC1" s="560"/>
      <c r="PED1" s="560" t="s">
        <v>15</v>
      </c>
      <c r="PEE1" s="560"/>
      <c r="PEF1" s="560"/>
      <c r="PEG1" s="560"/>
      <c r="PEH1" s="560"/>
      <c r="PEI1" s="560"/>
      <c r="PEJ1" s="560"/>
      <c r="PEK1" s="560"/>
      <c r="PEL1" s="560" t="s">
        <v>15</v>
      </c>
      <c r="PEM1" s="560"/>
      <c r="PEN1" s="560"/>
      <c r="PEO1" s="560"/>
      <c r="PEP1" s="560"/>
      <c r="PEQ1" s="560"/>
      <c r="PER1" s="560"/>
      <c r="PES1" s="560"/>
      <c r="PET1" s="560" t="s">
        <v>15</v>
      </c>
      <c r="PEU1" s="560"/>
      <c r="PEV1" s="560"/>
      <c r="PEW1" s="560"/>
      <c r="PEX1" s="560"/>
      <c r="PEY1" s="560"/>
      <c r="PEZ1" s="560"/>
      <c r="PFA1" s="560"/>
      <c r="PFB1" s="560" t="s">
        <v>15</v>
      </c>
      <c r="PFC1" s="560"/>
      <c r="PFD1" s="560"/>
      <c r="PFE1" s="560"/>
      <c r="PFF1" s="560"/>
      <c r="PFG1" s="560"/>
      <c r="PFH1" s="560"/>
      <c r="PFI1" s="560"/>
      <c r="PFJ1" s="560" t="s">
        <v>15</v>
      </c>
      <c r="PFK1" s="560"/>
      <c r="PFL1" s="560"/>
      <c r="PFM1" s="560"/>
      <c r="PFN1" s="560"/>
      <c r="PFO1" s="560"/>
      <c r="PFP1" s="560"/>
      <c r="PFQ1" s="560"/>
      <c r="PFR1" s="560" t="s">
        <v>15</v>
      </c>
      <c r="PFS1" s="560"/>
      <c r="PFT1" s="560"/>
      <c r="PFU1" s="560"/>
      <c r="PFV1" s="560"/>
      <c r="PFW1" s="560"/>
      <c r="PFX1" s="560"/>
      <c r="PFY1" s="560"/>
      <c r="PFZ1" s="560" t="s">
        <v>15</v>
      </c>
      <c r="PGA1" s="560"/>
      <c r="PGB1" s="560"/>
      <c r="PGC1" s="560"/>
      <c r="PGD1" s="560"/>
      <c r="PGE1" s="560"/>
      <c r="PGF1" s="560"/>
      <c r="PGG1" s="560"/>
      <c r="PGH1" s="560" t="s">
        <v>15</v>
      </c>
      <c r="PGI1" s="560"/>
      <c r="PGJ1" s="560"/>
      <c r="PGK1" s="560"/>
      <c r="PGL1" s="560"/>
      <c r="PGM1" s="560"/>
      <c r="PGN1" s="560"/>
      <c r="PGO1" s="560"/>
      <c r="PGP1" s="560" t="s">
        <v>15</v>
      </c>
      <c r="PGQ1" s="560"/>
      <c r="PGR1" s="560"/>
      <c r="PGS1" s="560"/>
      <c r="PGT1" s="560"/>
      <c r="PGU1" s="560"/>
      <c r="PGV1" s="560"/>
      <c r="PGW1" s="560"/>
      <c r="PGX1" s="560" t="s">
        <v>15</v>
      </c>
      <c r="PGY1" s="560"/>
      <c r="PGZ1" s="560"/>
      <c r="PHA1" s="560"/>
      <c r="PHB1" s="560"/>
      <c r="PHC1" s="560"/>
      <c r="PHD1" s="560"/>
      <c r="PHE1" s="560"/>
      <c r="PHF1" s="560" t="s">
        <v>15</v>
      </c>
      <c r="PHG1" s="560"/>
      <c r="PHH1" s="560"/>
      <c r="PHI1" s="560"/>
      <c r="PHJ1" s="560"/>
      <c r="PHK1" s="560"/>
      <c r="PHL1" s="560"/>
      <c r="PHM1" s="560"/>
      <c r="PHN1" s="560" t="s">
        <v>15</v>
      </c>
      <c r="PHO1" s="560"/>
      <c r="PHP1" s="560"/>
      <c r="PHQ1" s="560"/>
      <c r="PHR1" s="560"/>
      <c r="PHS1" s="560"/>
      <c r="PHT1" s="560"/>
      <c r="PHU1" s="560"/>
      <c r="PHV1" s="560" t="s">
        <v>15</v>
      </c>
      <c r="PHW1" s="560"/>
      <c r="PHX1" s="560"/>
      <c r="PHY1" s="560"/>
      <c r="PHZ1" s="560"/>
      <c r="PIA1" s="560"/>
      <c r="PIB1" s="560"/>
      <c r="PIC1" s="560"/>
      <c r="PID1" s="560" t="s">
        <v>15</v>
      </c>
      <c r="PIE1" s="560"/>
      <c r="PIF1" s="560"/>
      <c r="PIG1" s="560"/>
      <c r="PIH1" s="560"/>
      <c r="PII1" s="560"/>
      <c r="PIJ1" s="560"/>
      <c r="PIK1" s="560"/>
      <c r="PIL1" s="560" t="s">
        <v>15</v>
      </c>
      <c r="PIM1" s="560"/>
      <c r="PIN1" s="560"/>
      <c r="PIO1" s="560"/>
      <c r="PIP1" s="560"/>
      <c r="PIQ1" s="560"/>
      <c r="PIR1" s="560"/>
      <c r="PIS1" s="560"/>
      <c r="PIT1" s="560" t="s">
        <v>15</v>
      </c>
      <c r="PIU1" s="560"/>
      <c r="PIV1" s="560"/>
      <c r="PIW1" s="560"/>
      <c r="PIX1" s="560"/>
      <c r="PIY1" s="560"/>
      <c r="PIZ1" s="560"/>
      <c r="PJA1" s="560"/>
      <c r="PJB1" s="560" t="s">
        <v>15</v>
      </c>
      <c r="PJC1" s="560"/>
      <c r="PJD1" s="560"/>
      <c r="PJE1" s="560"/>
      <c r="PJF1" s="560"/>
      <c r="PJG1" s="560"/>
      <c r="PJH1" s="560"/>
      <c r="PJI1" s="560"/>
      <c r="PJJ1" s="560" t="s">
        <v>15</v>
      </c>
      <c r="PJK1" s="560"/>
      <c r="PJL1" s="560"/>
      <c r="PJM1" s="560"/>
      <c r="PJN1" s="560"/>
      <c r="PJO1" s="560"/>
      <c r="PJP1" s="560"/>
      <c r="PJQ1" s="560"/>
      <c r="PJR1" s="560" t="s">
        <v>15</v>
      </c>
      <c r="PJS1" s="560"/>
      <c r="PJT1" s="560"/>
      <c r="PJU1" s="560"/>
      <c r="PJV1" s="560"/>
      <c r="PJW1" s="560"/>
      <c r="PJX1" s="560"/>
      <c r="PJY1" s="560"/>
      <c r="PJZ1" s="560" t="s">
        <v>15</v>
      </c>
      <c r="PKA1" s="560"/>
      <c r="PKB1" s="560"/>
      <c r="PKC1" s="560"/>
      <c r="PKD1" s="560"/>
      <c r="PKE1" s="560"/>
      <c r="PKF1" s="560"/>
      <c r="PKG1" s="560"/>
      <c r="PKH1" s="560" t="s">
        <v>15</v>
      </c>
      <c r="PKI1" s="560"/>
      <c r="PKJ1" s="560"/>
      <c r="PKK1" s="560"/>
      <c r="PKL1" s="560"/>
      <c r="PKM1" s="560"/>
      <c r="PKN1" s="560"/>
      <c r="PKO1" s="560"/>
      <c r="PKP1" s="560" t="s">
        <v>15</v>
      </c>
      <c r="PKQ1" s="560"/>
      <c r="PKR1" s="560"/>
      <c r="PKS1" s="560"/>
      <c r="PKT1" s="560"/>
      <c r="PKU1" s="560"/>
      <c r="PKV1" s="560"/>
      <c r="PKW1" s="560"/>
      <c r="PKX1" s="560" t="s">
        <v>15</v>
      </c>
      <c r="PKY1" s="560"/>
      <c r="PKZ1" s="560"/>
      <c r="PLA1" s="560"/>
      <c r="PLB1" s="560"/>
      <c r="PLC1" s="560"/>
      <c r="PLD1" s="560"/>
      <c r="PLE1" s="560"/>
      <c r="PLF1" s="560" t="s">
        <v>15</v>
      </c>
      <c r="PLG1" s="560"/>
      <c r="PLH1" s="560"/>
      <c r="PLI1" s="560"/>
      <c r="PLJ1" s="560"/>
      <c r="PLK1" s="560"/>
      <c r="PLL1" s="560"/>
      <c r="PLM1" s="560"/>
      <c r="PLN1" s="560" t="s">
        <v>15</v>
      </c>
      <c r="PLO1" s="560"/>
      <c r="PLP1" s="560"/>
      <c r="PLQ1" s="560"/>
      <c r="PLR1" s="560"/>
      <c r="PLS1" s="560"/>
      <c r="PLT1" s="560"/>
      <c r="PLU1" s="560"/>
      <c r="PLV1" s="560" t="s">
        <v>15</v>
      </c>
      <c r="PLW1" s="560"/>
      <c r="PLX1" s="560"/>
      <c r="PLY1" s="560"/>
      <c r="PLZ1" s="560"/>
      <c r="PMA1" s="560"/>
      <c r="PMB1" s="560"/>
      <c r="PMC1" s="560"/>
      <c r="PMD1" s="560" t="s">
        <v>15</v>
      </c>
      <c r="PME1" s="560"/>
      <c r="PMF1" s="560"/>
      <c r="PMG1" s="560"/>
      <c r="PMH1" s="560"/>
      <c r="PMI1" s="560"/>
      <c r="PMJ1" s="560"/>
      <c r="PMK1" s="560"/>
      <c r="PML1" s="560" t="s">
        <v>15</v>
      </c>
      <c r="PMM1" s="560"/>
      <c r="PMN1" s="560"/>
      <c r="PMO1" s="560"/>
      <c r="PMP1" s="560"/>
      <c r="PMQ1" s="560"/>
      <c r="PMR1" s="560"/>
      <c r="PMS1" s="560"/>
      <c r="PMT1" s="560" t="s">
        <v>15</v>
      </c>
      <c r="PMU1" s="560"/>
      <c r="PMV1" s="560"/>
      <c r="PMW1" s="560"/>
      <c r="PMX1" s="560"/>
      <c r="PMY1" s="560"/>
      <c r="PMZ1" s="560"/>
      <c r="PNA1" s="560"/>
      <c r="PNB1" s="560" t="s">
        <v>15</v>
      </c>
      <c r="PNC1" s="560"/>
      <c r="PND1" s="560"/>
      <c r="PNE1" s="560"/>
      <c r="PNF1" s="560"/>
      <c r="PNG1" s="560"/>
      <c r="PNH1" s="560"/>
      <c r="PNI1" s="560"/>
      <c r="PNJ1" s="560" t="s">
        <v>15</v>
      </c>
      <c r="PNK1" s="560"/>
      <c r="PNL1" s="560"/>
      <c r="PNM1" s="560"/>
      <c r="PNN1" s="560"/>
      <c r="PNO1" s="560"/>
      <c r="PNP1" s="560"/>
      <c r="PNQ1" s="560"/>
      <c r="PNR1" s="560" t="s">
        <v>15</v>
      </c>
      <c r="PNS1" s="560"/>
      <c r="PNT1" s="560"/>
      <c r="PNU1" s="560"/>
      <c r="PNV1" s="560"/>
      <c r="PNW1" s="560"/>
      <c r="PNX1" s="560"/>
      <c r="PNY1" s="560"/>
      <c r="PNZ1" s="560" t="s">
        <v>15</v>
      </c>
      <c r="POA1" s="560"/>
      <c r="POB1" s="560"/>
      <c r="POC1" s="560"/>
      <c r="POD1" s="560"/>
      <c r="POE1" s="560"/>
      <c r="POF1" s="560"/>
      <c r="POG1" s="560"/>
      <c r="POH1" s="560" t="s">
        <v>15</v>
      </c>
      <c r="POI1" s="560"/>
      <c r="POJ1" s="560"/>
      <c r="POK1" s="560"/>
      <c r="POL1" s="560"/>
      <c r="POM1" s="560"/>
      <c r="PON1" s="560"/>
      <c r="POO1" s="560"/>
      <c r="POP1" s="560" t="s">
        <v>15</v>
      </c>
      <c r="POQ1" s="560"/>
      <c r="POR1" s="560"/>
      <c r="POS1" s="560"/>
      <c r="POT1" s="560"/>
      <c r="POU1" s="560"/>
      <c r="POV1" s="560"/>
      <c r="POW1" s="560"/>
      <c r="POX1" s="560" t="s">
        <v>15</v>
      </c>
      <c r="POY1" s="560"/>
      <c r="POZ1" s="560"/>
      <c r="PPA1" s="560"/>
      <c r="PPB1" s="560"/>
      <c r="PPC1" s="560"/>
      <c r="PPD1" s="560"/>
      <c r="PPE1" s="560"/>
      <c r="PPF1" s="560" t="s">
        <v>15</v>
      </c>
      <c r="PPG1" s="560"/>
      <c r="PPH1" s="560"/>
      <c r="PPI1" s="560"/>
      <c r="PPJ1" s="560"/>
      <c r="PPK1" s="560"/>
      <c r="PPL1" s="560"/>
      <c r="PPM1" s="560"/>
      <c r="PPN1" s="560" t="s">
        <v>15</v>
      </c>
      <c r="PPO1" s="560"/>
      <c r="PPP1" s="560"/>
      <c r="PPQ1" s="560"/>
      <c r="PPR1" s="560"/>
      <c r="PPS1" s="560"/>
      <c r="PPT1" s="560"/>
      <c r="PPU1" s="560"/>
      <c r="PPV1" s="560" t="s">
        <v>15</v>
      </c>
      <c r="PPW1" s="560"/>
      <c r="PPX1" s="560"/>
      <c r="PPY1" s="560"/>
      <c r="PPZ1" s="560"/>
      <c r="PQA1" s="560"/>
      <c r="PQB1" s="560"/>
      <c r="PQC1" s="560"/>
      <c r="PQD1" s="560" t="s">
        <v>15</v>
      </c>
      <c r="PQE1" s="560"/>
      <c r="PQF1" s="560"/>
      <c r="PQG1" s="560"/>
      <c r="PQH1" s="560"/>
      <c r="PQI1" s="560"/>
      <c r="PQJ1" s="560"/>
      <c r="PQK1" s="560"/>
      <c r="PQL1" s="560" t="s">
        <v>15</v>
      </c>
      <c r="PQM1" s="560"/>
      <c r="PQN1" s="560"/>
      <c r="PQO1" s="560"/>
      <c r="PQP1" s="560"/>
      <c r="PQQ1" s="560"/>
      <c r="PQR1" s="560"/>
      <c r="PQS1" s="560"/>
      <c r="PQT1" s="560" t="s">
        <v>15</v>
      </c>
      <c r="PQU1" s="560"/>
      <c r="PQV1" s="560"/>
      <c r="PQW1" s="560"/>
      <c r="PQX1" s="560"/>
      <c r="PQY1" s="560"/>
      <c r="PQZ1" s="560"/>
      <c r="PRA1" s="560"/>
      <c r="PRB1" s="560" t="s">
        <v>15</v>
      </c>
      <c r="PRC1" s="560"/>
      <c r="PRD1" s="560"/>
      <c r="PRE1" s="560"/>
      <c r="PRF1" s="560"/>
      <c r="PRG1" s="560"/>
      <c r="PRH1" s="560"/>
      <c r="PRI1" s="560"/>
      <c r="PRJ1" s="560" t="s">
        <v>15</v>
      </c>
      <c r="PRK1" s="560"/>
      <c r="PRL1" s="560"/>
      <c r="PRM1" s="560"/>
      <c r="PRN1" s="560"/>
      <c r="PRO1" s="560"/>
      <c r="PRP1" s="560"/>
      <c r="PRQ1" s="560"/>
      <c r="PRR1" s="560" t="s">
        <v>15</v>
      </c>
      <c r="PRS1" s="560"/>
      <c r="PRT1" s="560"/>
      <c r="PRU1" s="560"/>
      <c r="PRV1" s="560"/>
      <c r="PRW1" s="560"/>
      <c r="PRX1" s="560"/>
      <c r="PRY1" s="560"/>
      <c r="PRZ1" s="560" t="s">
        <v>15</v>
      </c>
      <c r="PSA1" s="560"/>
      <c r="PSB1" s="560"/>
      <c r="PSC1" s="560"/>
      <c r="PSD1" s="560"/>
      <c r="PSE1" s="560"/>
      <c r="PSF1" s="560"/>
      <c r="PSG1" s="560"/>
      <c r="PSH1" s="560" t="s">
        <v>15</v>
      </c>
      <c r="PSI1" s="560"/>
      <c r="PSJ1" s="560"/>
      <c r="PSK1" s="560"/>
      <c r="PSL1" s="560"/>
      <c r="PSM1" s="560"/>
      <c r="PSN1" s="560"/>
      <c r="PSO1" s="560"/>
      <c r="PSP1" s="560" t="s">
        <v>15</v>
      </c>
      <c r="PSQ1" s="560"/>
      <c r="PSR1" s="560"/>
      <c r="PSS1" s="560"/>
      <c r="PST1" s="560"/>
      <c r="PSU1" s="560"/>
      <c r="PSV1" s="560"/>
      <c r="PSW1" s="560"/>
      <c r="PSX1" s="560" t="s">
        <v>15</v>
      </c>
      <c r="PSY1" s="560"/>
      <c r="PSZ1" s="560"/>
      <c r="PTA1" s="560"/>
      <c r="PTB1" s="560"/>
      <c r="PTC1" s="560"/>
      <c r="PTD1" s="560"/>
      <c r="PTE1" s="560"/>
      <c r="PTF1" s="560" t="s">
        <v>15</v>
      </c>
      <c r="PTG1" s="560"/>
      <c r="PTH1" s="560"/>
      <c r="PTI1" s="560"/>
      <c r="PTJ1" s="560"/>
      <c r="PTK1" s="560"/>
      <c r="PTL1" s="560"/>
      <c r="PTM1" s="560"/>
      <c r="PTN1" s="560" t="s">
        <v>15</v>
      </c>
      <c r="PTO1" s="560"/>
      <c r="PTP1" s="560"/>
      <c r="PTQ1" s="560"/>
      <c r="PTR1" s="560"/>
      <c r="PTS1" s="560"/>
      <c r="PTT1" s="560"/>
      <c r="PTU1" s="560"/>
      <c r="PTV1" s="560" t="s">
        <v>15</v>
      </c>
      <c r="PTW1" s="560"/>
      <c r="PTX1" s="560"/>
      <c r="PTY1" s="560"/>
      <c r="PTZ1" s="560"/>
      <c r="PUA1" s="560"/>
      <c r="PUB1" s="560"/>
      <c r="PUC1" s="560"/>
      <c r="PUD1" s="560" t="s">
        <v>15</v>
      </c>
      <c r="PUE1" s="560"/>
      <c r="PUF1" s="560"/>
      <c r="PUG1" s="560"/>
      <c r="PUH1" s="560"/>
      <c r="PUI1" s="560"/>
      <c r="PUJ1" s="560"/>
      <c r="PUK1" s="560"/>
      <c r="PUL1" s="560" t="s">
        <v>15</v>
      </c>
      <c r="PUM1" s="560"/>
      <c r="PUN1" s="560"/>
      <c r="PUO1" s="560"/>
      <c r="PUP1" s="560"/>
      <c r="PUQ1" s="560"/>
      <c r="PUR1" s="560"/>
      <c r="PUS1" s="560"/>
      <c r="PUT1" s="560" t="s">
        <v>15</v>
      </c>
      <c r="PUU1" s="560"/>
      <c r="PUV1" s="560"/>
      <c r="PUW1" s="560"/>
      <c r="PUX1" s="560"/>
      <c r="PUY1" s="560"/>
      <c r="PUZ1" s="560"/>
      <c r="PVA1" s="560"/>
      <c r="PVB1" s="560" t="s">
        <v>15</v>
      </c>
      <c r="PVC1" s="560"/>
      <c r="PVD1" s="560"/>
      <c r="PVE1" s="560"/>
      <c r="PVF1" s="560"/>
      <c r="PVG1" s="560"/>
      <c r="PVH1" s="560"/>
      <c r="PVI1" s="560"/>
      <c r="PVJ1" s="560" t="s">
        <v>15</v>
      </c>
      <c r="PVK1" s="560"/>
      <c r="PVL1" s="560"/>
      <c r="PVM1" s="560"/>
      <c r="PVN1" s="560"/>
      <c r="PVO1" s="560"/>
      <c r="PVP1" s="560"/>
      <c r="PVQ1" s="560"/>
      <c r="PVR1" s="560" t="s">
        <v>15</v>
      </c>
      <c r="PVS1" s="560"/>
      <c r="PVT1" s="560"/>
      <c r="PVU1" s="560"/>
      <c r="PVV1" s="560"/>
      <c r="PVW1" s="560"/>
      <c r="PVX1" s="560"/>
      <c r="PVY1" s="560"/>
      <c r="PVZ1" s="560" t="s">
        <v>15</v>
      </c>
      <c r="PWA1" s="560"/>
      <c r="PWB1" s="560"/>
      <c r="PWC1" s="560"/>
      <c r="PWD1" s="560"/>
      <c r="PWE1" s="560"/>
      <c r="PWF1" s="560"/>
      <c r="PWG1" s="560"/>
      <c r="PWH1" s="560" t="s">
        <v>15</v>
      </c>
      <c r="PWI1" s="560"/>
      <c r="PWJ1" s="560"/>
      <c r="PWK1" s="560"/>
      <c r="PWL1" s="560"/>
      <c r="PWM1" s="560"/>
      <c r="PWN1" s="560"/>
      <c r="PWO1" s="560"/>
      <c r="PWP1" s="560" t="s">
        <v>15</v>
      </c>
      <c r="PWQ1" s="560"/>
      <c r="PWR1" s="560"/>
      <c r="PWS1" s="560"/>
      <c r="PWT1" s="560"/>
      <c r="PWU1" s="560"/>
      <c r="PWV1" s="560"/>
      <c r="PWW1" s="560"/>
      <c r="PWX1" s="560" t="s">
        <v>15</v>
      </c>
      <c r="PWY1" s="560"/>
      <c r="PWZ1" s="560"/>
      <c r="PXA1" s="560"/>
      <c r="PXB1" s="560"/>
      <c r="PXC1" s="560"/>
      <c r="PXD1" s="560"/>
      <c r="PXE1" s="560"/>
      <c r="PXF1" s="560" t="s">
        <v>15</v>
      </c>
      <c r="PXG1" s="560"/>
      <c r="PXH1" s="560"/>
      <c r="PXI1" s="560"/>
      <c r="PXJ1" s="560"/>
      <c r="PXK1" s="560"/>
      <c r="PXL1" s="560"/>
      <c r="PXM1" s="560"/>
      <c r="PXN1" s="560" t="s">
        <v>15</v>
      </c>
      <c r="PXO1" s="560"/>
      <c r="PXP1" s="560"/>
      <c r="PXQ1" s="560"/>
      <c r="PXR1" s="560"/>
      <c r="PXS1" s="560"/>
      <c r="PXT1" s="560"/>
      <c r="PXU1" s="560"/>
      <c r="PXV1" s="560" t="s">
        <v>15</v>
      </c>
      <c r="PXW1" s="560"/>
      <c r="PXX1" s="560"/>
      <c r="PXY1" s="560"/>
      <c r="PXZ1" s="560"/>
      <c r="PYA1" s="560"/>
      <c r="PYB1" s="560"/>
      <c r="PYC1" s="560"/>
      <c r="PYD1" s="560" t="s">
        <v>15</v>
      </c>
      <c r="PYE1" s="560"/>
      <c r="PYF1" s="560"/>
      <c r="PYG1" s="560"/>
      <c r="PYH1" s="560"/>
      <c r="PYI1" s="560"/>
      <c r="PYJ1" s="560"/>
      <c r="PYK1" s="560"/>
      <c r="PYL1" s="560" t="s">
        <v>15</v>
      </c>
      <c r="PYM1" s="560"/>
      <c r="PYN1" s="560"/>
      <c r="PYO1" s="560"/>
      <c r="PYP1" s="560"/>
      <c r="PYQ1" s="560"/>
      <c r="PYR1" s="560"/>
      <c r="PYS1" s="560"/>
      <c r="PYT1" s="560" t="s">
        <v>15</v>
      </c>
      <c r="PYU1" s="560"/>
      <c r="PYV1" s="560"/>
      <c r="PYW1" s="560"/>
      <c r="PYX1" s="560"/>
      <c r="PYY1" s="560"/>
      <c r="PYZ1" s="560"/>
      <c r="PZA1" s="560"/>
      <c r="PZB1" s="560" t="s">
        <v>15</v>
      </c>
      <c r="PZC1" s="560"/>
      <c r="PZD1" s="560"/>
      <c r="PZE1" s="560"/>
      <c r="PZF1" s="560"/>
      <c r="PZG1" s="560"/>
      <c r="PZH1" s="560"/>
      <c r="PZI1" s="560"/>
      <c r="PZJ1" s="560" t="s">
        <v>15</v>
      </c>
      <c r="PZK1" s="560"/>
      <c r="PZL1" s="560"/>
      <c r="PZM1" s="560"/>
      <c r="PZN1" s="560"/>
      <c r="PZO1" s="560"/>
      <c r="PZP1" s="560"/>
      <c r="PZQ1" s="560"/>
      <c r="PZR1" s="560" t="s">
        <v>15</v>
      </c>
      <c r="PZS1" s="560"/>
      <c r="PZT1" s="560"/>
      <c r="PZU1" s="560"/>
      <c r="PZV1" s="560"/>
      <c r="PZW1" s="560"/>
      <c r="PZX1" s="560"/>
      <c r="PZY1" s="560"/>
      <c r="PZZ1" s="560" t="s">
        <v>15</v>
      </c>
      <c r="QAA1" s="560"/>
      <c r="QAB1" s="560"/>
      <c r="QAC1" s="560"/>
      <c r="QAD1" s="560"/>
      <c r="QAE1" s="560"/>
      <c r="QAF1" s="560"/>
      <c r="QAG1" s="560"/>
      <c r="QAH1" s="560" t="s">
        <v>15</v>
      </c>
      <c r="QAI1" s="560"/>
      <c r="QAJ1" s="560"/>
      <c r="QAK1" s="560"/>
      <c r="QAL1" s="560"/>
      <c r="QAM1" s="560"/>
      <c r="QAN1" s="560"/>
      <c r="QAO1" s="560"/>
      <c r="QAP1" s="560" t="s">
        <v>15</v>
      </c>
      <c r="QAQ1" s="560"/>
      <c r="QAR1" s="560"/>
      <c r="QAS1" s="560"/>
      <c r="QAT1" s="560"/>
      <c r="QAU1" s="560"/>
      <c r="QAV1" s="560"/>
      <c r="QAW1" s="560"/>
      <c r="QAX1" s="560" t="s">
        <v>15</v>
      </c>
      <c r="QAY1" s="560"/>
      <c r="QAZ1" s="560"/>
      <c r="QBA1" s="560"/>
      <c r="QBB1" s="560"/>
      <c r="QBC1" s="560"/>
      <c r="QBD1" s="560"/>
      <c r="QBE1" s="560"/>
      <c r="QBF1" s="560" t="s">
        <v>15</v>
      </c>
      <c r="QBG1" s="560"/>
      <c r="QBH1" s="560"/>
      <c r="QBI1" s="560"/>
      <c r="QBJ1" s="560"/>
      <c r="QBK1" s="560"/>
      <c r="QBL1" s="560"/>
      <c r="QBM1" s="560"/>
      <c r="QBN1" s="560" t="s">
        <v>15</v>
      </c>
      <c r="QBO1" s="560"/>
      <c r="QBP1" s="560"/>
      <c r="QBQ1" s="560"/>
      <c r="QBR1" s="560"/>
      <c r="QBS1" s="560"/>
      <c r="QBT1" s="560"/>
      <c r="QBU1" s="560"/>
      <c r="QBV1" s="560" t="s">
        <v>15</v>
      </c>
      <c r="QBW1" s="560"/>
      <c r="QBX1" s="560"/>
      <c r="QBY1" s="560"/>
      <c r="QBZ1" s="560"/>
      <c r="QCA1" s="560"/>
      <c r="QCB1" s="560"/>
      <c r="QCC1" s="560"/>
      <c r="QCD1" s="560" t="s">
        <v>15</v>
      </c>
      <c r="QCE1" s="560"/>
      <c r="QCF1" s="560"/>
      <c r="QCG1" s="560"/>
      <c r="QCH1" s="560"/>
      <c r="QCI1" s="560"/>
      <c r="QCJ1" s="560"/>
      <c r="QCK1" s="560"/>
      <c r="QCL1" s="560" t="s">
        <v>15</v>
      </c>
      <c r="QCM1" s="560"/>
      <c r="QCN1" s="560"/>
      <c r="QCO1" s="560"/>
      <c r="QCP1" s="560"/>
      <c r="QCQ1" s="560"/>
      <c r="QCR1" s="560"/>
      <c r="QCS1" s="560"/>
      <c r="QCT1" s="560" t="s">
        <v>15</v>
      </c>
      <c r="QCU1" s="560"/>
      <c r="QCV1" s="560"/>
      <c r="QCW1" s="560"/>
      <c r="QCX1" s="560"/>
      <c r="QCY1" s="560"/>
      <c r="QCZ1" s="560"/>
      <c r="QDA1" s="560"/>
      <c r="QDB1" s="560" t="s">
        <v>15</v>
      </c>
      <c r="QDC1" s="560"/>
      <c r="QDD1" s="560"/>
      <c r="QDE1" s="560"/>
      <c r="QDF1" s="560"/>
      <c r="QDG1" s="560"/>
      <c r="QDH1" s="560"/>
      <c r="QDI1" s="560"/>
      <c r="QDJ1" s="560" t="s">
        <v>15</v>
      </c>
      <c r="QDK1" s="560"/>
      <c r="QDL1" s="560"/>
      <c r="QDM1" s="560"/>
      <c r="QDN1" s="560"/>
      <c r="QDO1" s="560"/>
      <c r="QDP1" s="560"/>
      <c r="QDQ1" s="560"/>
      <c r="QDR1" s="560" t="s">
        <v>15</v>
      </c>
      <c r="QDS1" s="560"/>
      <c r="QDT1" s="560"/>
      <c r="QDU1" s="560"/>
      <c r="QDV1" s="560"/>
      <c r="QDW1" s="560"/>
      <c r="QDX1" s="560"/>
      <c r="QDY1" s="560"/>
      <c r="QDZ1" s="560" t="s">
        <v>15</v>
      </c>
      <c r="QEA1" s="560"/>
      <c r="QEB1" s="560"/>
      <c r="QEC1" s="560"/>
      <c r="QED1" s="560"/>
      <c r="QEE1" s="560"/>
      <c r="QEF1" s="560"/>
      <c r="QEG1" s="560"/>
      <c r="QEH1" s="560" t="s">
        <v>15</v>
      </c>
      <c r="QEI1" s="560"/>
      <c r="QEJ1" s="560"/>
      <c r="QEK1" s="560"/>
      <c r="QEL1" s="560"/>
      <c r="QEM1" s="560"/>
      <c r="QEN1" s="560"/>
      <c r="QEO1" s="560"/>
      <c r="QEP1" s="560" t="s">
        <v>15</v>
      </c>
      <c r="QEQ1" s="560"/>
      <c r="QER1" s="560"/>
      <c r="QES1" s="560"/>
      <c r="QET1" s="560"/>
      <c r="QEU1" s="560"/>
      <c r="QEV1" s="560"/>
      <c r="QEW1" s="560"/>
      <c r="QEX1" s="560" t="s">
        <v>15</v>
      </c>
      <c r="QEY1" s="560"/>
      <c r="QEZ1" s="560"/>
      <c r="QFA1" s="560"/>
      <c r="QFB1" s="560"/>
      <c r="QFC1" s="560"/>
      <c r="QFD1" s="560"/>
      <c r="QFE1" s="560"/>
      <c r="QFF1" s="560" t="s">
        <v>15</v>
      </c>
      <c r="QFG1" s="560"/>
      <c r="QFH1" s="560"/>
      <c r="QFI1" s="560"/>
      <c r="QFJ1" s="560"/>
      <c r="QFK1" s="560"/>
      <c r="QFL1" s="560"/>
      <c r="QFM1" s="560"/>
      <c r="QFN1" s="560" t="s">
        <v>15</v>
      </c>
      <c r="QFO1" s="560"/>
      <c r="QFP1" s="560"/>
      <c r="QFQ1" s="560"/>
      <c r="QFR1" s="560"/>
      <c r="QFS1" s="560"/>
      <c r="QFT1" s="560"/>
      <c r="QFU1" s="560"/>
      <c r="QFV1" s="560" t="s">
        <v>15</v>
      </c>
      <c r="QFW1" s="560"/>
      <c r="QFX1" s="560"/>
      <c r="QFY1" s="560"/>
      <c r="QFZ1" s="560"/>
      <c r="QGA1" s="560"/>
      <c r="QGB1" s="560"/>
      <c r="QGC1" s="560"/>
      <c r="QGD1" s="560" t="s">
        <v>15</v>
      </c>
      <c r="QGE1" s="560"/>
      <c r="QGF1" s="560"/>
      <c r="QGG1" s="560"/>
      <c r="QGH1" s="560"/>
      <c r="QGI1" s="560"/>
      <c r="QGJ1" s="560"/>
      <c r="QGK1" s="560"/>
      <c r="QGL1" s="560" t="s">
        <v>15</v>
      </c>
      <c r="QGM1" s="560"/>
      <c r="QGN1" s="560"/>
      <c r="QGO1" s="560"/>
      <c r="QGP1" s="560"/>
      <c r="QGQ1" s="560"/>
      <c r="QGR1" s="560"/>
      <c r="QGS1" s="560"/>
      <c r="QGT1" s="560" t="s">
        <v>15</v>
      </c>
      <c r="QGU1" s="560"/>
      <c r="QGV1" s="560"/>
      <c r="QGW1" s="560"/>
      <c r="QGX1" s="560"/>
      <c r="QGY1" s="560"/>
      <c r="QGZ1" s="560"/>
      <c r="QHA1" s="560"/>
      <c r="QHB1" s="560" t="s">
        <v>15</v>
      </c>
      <c r="QHC1" s="560"/>
      <c r="QHD1" s="560"/>
      <c r="QHE1" s="560"/>
      <c r="QHF1" s="560"/>
      <c r="QHG1" s="560"/>
      <c r="QHH1" s="560"/>
      <c r="QHI1" s="560"/>
      <c r="QHJ1" s="560" t="s">
        <v>15</v>
      </c>
      <c r="QHK1" s="560"/>
      <c r="QHL1" s="560"/>
      <c r="QHM1" s="560"/>
      <c r="QHN1" s="560"/>
      <c r="QHO1" s="560"/>
      <c r="QHP1" s="560"/>
      <c r="QHQ1" s="560"/>
      <c r="QHR1" s="560" t="s">
        <v>15</v>
      </c>
      <c r="QHS1" s="560"/>
      <c r="QHT1" s="560"/>
      <c r="QHU1" s="560"/>
      <c r="QHV1" s="560"/>
      <c r="QHW1" s="560"/>
      <c r="QHX1" s="560"/>
      <c r="QHY1" s="560"/>
      <c r="QHZ1" s="560" t="s">
        <v>15</v>
      </c>
      <c r="QIA1" s="560"/>
      <c r="QIB1" s="560"/>
      <c r="QIC1" s="560"/>
      <c r="QID1" s="560"/>
      <c r="QIE1" s="560"/>
      <c r="QIF1" s="560"/>
      <c r="QIG1" s="560"/>
      <c r="QIH1" s="560" t="s">
        <v>15</v>
      </c>
      <c r="QII1" s="560"/>
      <c r="QIJ1" s="560"/>
      <c r="QIK1" s="560"/>
      <c r="QIL1" s="560"/>
      <c r="QIM1" s="560"/>
      <c r="QIN1" s="560"/>
      <c r="QIO1" s="560"/>
      <c r="QIP1" s="560" t="s">
        <v>15</v>
      </c>
      <c r="QIQ1" s="560"/>
      <c r="QIR1" s="560"/>
      <c r="QIS1" s="560"/>
      <c r="QIT1" s="560"/>
      <c r="QIU1" s="560"/>
      <c r="QIV1" s="560"/>
      <c r="QIW1" s="560"/>
      <c r="QIX1" s="560" t="s">
        <v>15</v>
      </c>
      <c r="QIY1" s="560"/>
      <c r="QIZ1" s="560"/>
      <c r="QJA1" s="560"/>
      <c r="QJB1" s="560"/>
      <c r="QJC1" s="560"/>
      <c r="QJD1" s="560"/>
      <c r="QJE1" s="560"/>
      <c r="QJF1" s="560" t="s">
        <v>15</v>
      </c>
      <c r="QJG1" s="560"/>
      <c r="QJH1" s="560"/>
      <c r="QJI1" s="560"/>
      <c r="QJJ1" s="560"/>
      <c r="QJK1" s="560"/>
      <c r="QJL1" s="560"/>
      <c r="QJM1" s="560"/>
      <c r="QJN1" s="560" t="s">
        <v>15</v>
      </c>
      <c r="QJO1" s="560"/>
      <c r="QJP1" s="560"/>
      <c r="QJQ1" s="560"/>
      <c r="QJR1" s="560"/>
      <c r="QJS1" s="560"/>
      <c r="QJT1" s="560"/>
      <c r="QJU1" s="560"/>
      <c r="QJV1" s="560" t="s">
        <v>15</v>
      </c>
      <c r="QJW1" s="560"/>
      <c r="QJX1" s="560"/>
      <c r="QJY1" s="560"/>
      <c r="QJZ1" s="560"/>
      <c r="QKA1" s="560"/>
      <c r="QKB1" s="560"/>
      <c r="QKC1" s="560"/>
      <c r="QKD1" s="560" t="s">
        <v>15</v>
      </c>
      <c r="QKE1" s="560"/>
      <c r="QKF1" s="560"/>
      <c r="QKG1" s="560"/>
      <c r="QKH1" s="560"/>
      <c r="QKI1" s="560"/>
      <c r="QKJ1" s="560"/>
      <c r="QKK1" s="560"/>
      <c r="QKL1" s="560" t="s">
        <v>15</v>
      </c>
      <c r="QKM1" s="560"/>
      <c r="QKN1" s="560"/>
      <c r="QKO1" s="560"/>
      <c r="QKP1" s="560"/>
      <c r="QKQ1" s="560"/>
      <c r="QKR1" s="560"/>
      <c r="QKS1" s="560"/>
      <c r="QKT1" s="560" t="s">
        <v>15</v>
      </c>
      <c r="QKU1" s="560"/>
      <c r="QKV1" s="560"/>
      <c r="QKW1" s="560"/>
      <c r="QKX1" s="560"/>
      <c r="QKY1" s="560"/>
      <c r="QKZ1" s="560"/>
      <c r="QLA1" s="560"/>
      <c r="QLB1" s="560" t="s">
        <v>15</v>
      </c>
      <c r="QLC1" s="560"/>
      <c r="QLD1" s="560"/>
      <c r="QLE1" s="560"/>
      <c r="QLF1" s="560"/>
      <c r="QLG1" s="560"/>
      <c r="QLH1" s="560"/>
      <c r="QLI1" s="560"/>
      <c r="QLJ1" s="560" t="s">
        <v>15</v>
      </c>
      <c r="QLK1" s="560"/>
      <c r="QLL1" s="560"/>
      <c r="QLM1" s="560"/>
      <c r="QLN1" s="560"/>
      <c r="QLO1" s="560"/>
      <c r="QLP1" s="560"/>
      <c r="QLQ1" s="560"/>
      <c r="QLR1" s="560" t="s">
        <v>15</v>
      </c>
      <c r="QLS1" s="560"/>
      <c r="QLT1" s="560"/>
      <c r="QLU1" s="560"/>
      <c r="QLV1" s="560"/>
      <c r="QLW1" s="560"/>
      <c r="QLX1" s="560"/>
      <c r="QLY1" s="560"/>
      <c r="QLZ1" s="560" t="s">
        <v>15</v>
      </c>
      <c r="QMA1" s="560"/>
      <c r="QMB1" s="560"/>
      <c r="QMC1" s="560"/>
      <c r="QMD1" s="560"/>
      <c r="QME1" s="560"/>
      <c r="QMF1" s="560"/>
      <c r="QMG1" s="560"/>
      <c r="QMH1" s="560" t="s">
        <v>15</v>
      </c>
      <c r="QMI1" s="560"/>
      <c r="QMJ1" s="560"/>
      <c r="QMK1" s="560"/>
      <c r="QML1" s="560"/>
      <c r="QMM1" s="560"/>
      <c r="QMN1" s="560"/>
      <c r="QMO1" s="560"/>
      <c r="QMP1" s="560" t="s">
        <v>15</v>
      </c>
      <c r="QMQ1" s="560"/>
      <c r="QMR1" s="560"/>
      <c r="QMS1" s="560"/>
      <c r="QMT1" s="560"/>
      <c r="QMU1" s="560"/>
      <c r="QMV1" s="560"/>
      <c r="QMW1" s="560"/>
      <c r="QMX1" s="560" t="s">
        <v>15</v>
      </c>
      <c r="QMY1" s="560"/>
      <c r="QMZ1" s="560"/>
      <c r="QNA1" s="560"/>
      <c r="QNB1" s="560"/>
      <c r="QNC1" s="560"/>
      <c r="QND1" s="560"/>
      <c r="QNE1" s="560"/>
      <c r="QNF1" s="560" t="s">
        <v>15</v>
      </c>
      <c r="QNG1" s="560"/>
      <c r="QNH1" s="560"/>
      <c r="QNI1" s="560"/>
      <c r="QNJ1" s="560"/>
      <c r="QNK1" s="560"/>
      <c r="QNL1" s="560"/>
      <c r="QNM1" s="560"/>
      <c r="QNN1" s="560" t="s">
        <v>15</v>
      </c>
      <c r="QNO1" s="560"/>
      <c r="QNP1" s="560"/>
      <c r="QNQ1" s="560"/>
      <c r="QNR1" s="560"/>
      <c r="QNS1" s="560"/>
      <c r="QNT1" s="560"/>
      <c r="QNU1" s="560"/>
      <c r="QNV1" s="560" t="s">
        <v>15</v>
      </c>
      <c r="QNW1" s="560"/>
      <c r="QNX1" s="560"/>
      <c r="QNY1" s="560"/>
      <c r="QNZ1" s="560"/>
      <c r="QOA1" s="560"/>
      <c r="QOB1" s="560"/>
      <c r="QOC1" s="560"/>
      <c r="QOD1" s="560" t="s">
        <v>15</v>
      </c>
      <c r="QOE1" s="560"/>
      <c r="QOF1" s="560"/>
      <c r="QOG1" s="560"/>
      <c r="QOH1" s="560"/>
      <c r="QOI1" s="560"/>
      <c r="QOJ1" s="560"/>
      <c r="QOK1" s="560"/>
      <c r="QOL1" s="560" t="s">
        <v>15</v>
      </c>
      <c r="QOM1" s="560"/>
      <c r="QON1" s="560"/>
      <c r="QOO1" s="560"/>
      <c r="QOP1" s="560"/>
      <c r="QOQ1" s="560"/>
      <c r="QOR1" s="560"/>
      <c r="QOS1" s="560"/>
      <c r="QOT1" s="560" t="s">
        <v>15</v>
      </c>
      <c r="QOU1" s="560"/>
      <c r="QOV1" s="560"/>
      <c r="QOW1" s="560"/>
      <c r="QOX1" s="560"/>
      <c r="QOY1" s="560"/>
      <c r="QOZ1" s="560"/>
      <c r="QPA1" s="560"/>
      <c r="QPB1" s="560" t="s">
        <v>15</v>
      </c>
      <c r="QPC1" s="560"/>
      <c r="QPD1" s="560"/>
      <c r="QPE1" s="560"/>
      <c r="QPF1" s="560"/>
      <c r="QPG1" s="560"/>
      <c r="QPH1" s="560"/>
      <c r="QPI1" s="560"/>
      <c r="QPJ1" s="560" t="s">
        <v>15</v>
      </c>
      <c r="QPK1" s="560"/>
      <c r="QPL1" s="560"/>
      <c r="QPM1" s="560"/>
      <c r="QPN1" s="560"/>
      <c r="QPO1" s="560"/>
      <c r="QPP1" s="560"/>
      <c r="QPQ1" s="560"/>
      <c r="QPR1" s="560" t="s">
        <v>15</v>
      </c>
      <c r="QPS1" s="560"/>
      <c r="QPT1" s="560"/>
      <c r="QPU1" s="560"/>
      <c r="QPV1" s="560"/>
      <c r="QPW1" s="560"/>
      <c r="QPX1" s="560"/>
      <c r="QPY1" s="560"/>
      <c r="QPZ1" s="560" t="s">
        <v>15</v>
      </c>
      <c r="QQA1" s="560"/>
      <c r="QQB1" s="560"/>
      <c r="QQC1" s="560"/>
      <c r="QQD1" s="560"/>
      <c r="QQE1" s="560"/>
      <c r="QQF1" s="560"/>
      <c r="QQG1" s="560"/>
      <c r="QQH1" s="560" t="s">
        <v>15</v>
      </c>
      <c r="QQI1" s="560"/>
      <c r="QQJ1" s="560"/>
      <c r="QQK1" s="560"/>
      <c r="QQL1" s="560"/>
      <c r="QQM1" s="560"/>
      <c r="QQN1" s="560"/>
      <c r="QQO1" s="560"/>
      <c r="QQP1" s="560" t="s">
        <v>15</v>
      </c>
      <c r="QQQ1" s="560"/>
      <c r="QQR1" s="560"/>
      <c r="QQS1" s="560"/>
      <c r="QQT1" s="560"/>
      <c r="QQU1" s="560"/>
      <c r="QQV1" s="560"/>
      <c r="QQW1" s="560"/>
      <c r="QQX1" s="560" t="s">
        <v>15</v>
      </c>
      <c r="QQY1" s="560"/>
      <c r="QQZ1" s="560"/>
      <c r="QRA1" s="560"/>
      <c r="QRB1" s="560"/>
      <c r="QRC1" s="560"/>
      <c r="QRD1" s="560"/>
      <c r="QRE1" s="560"/>
      <c r="QRF1" s="560" t="s">
        <v>15</v>
      </c>
      <c r="QRG1" s="560"/>
      <c r="QRH1" s="560"/>
      <c r="QRI1" s="560"/>
      <c r="QRJ1" s="560"/>
      <c r="QRK1" s="560"/>
      <c r="QRL1" s="560"/>
      <c r="QRM1" s="560"/>
      <c r="QRN1" s="560" t="s">
        <v>15</v>
      </c>
      <c r="QRO1" s="560"/>
      <c r="QRP1" s="560"/>
      <c r="QRQ1" s="560"/>
      <c r="QRR1" s="560"/>
      <c r="QRS1" s="560"/>
      <c r="QRT1" s="560"/>
      <c r="QRU1" s="560"/>
      <c r="QRV1" s="560" t="s">
        <v>15</v>
      </c>
      <c r="QRW1" s="560"/>
      <c r="QRX1" s="560"/>
      <c r="QRY1" s="560"/>
      <c r="QRZ1" s="560"/>
      <c r="QSA1" s="560"/>
      <c r="QSB1" s="560"/>
      <c r="QSC1" s="560"/>
      <c r="QSD1" s="560" t="s">
        <v>15</v>
      </c>
      <c r="QSE1" s="560"/>
      <c r="QSF1" s="560"/>
      <c r="QSG1" s="560"/>
      <c r="QSH1" s="560"/>
      <c r="QSI1" s="560"/>
      <c r="QSJ1" s="560"/>
      <c r="QSK1" s="560"/>
      <c r="QSL1" s="560" t="s">
        <v>15</v>
      </c>
      <c r="QSM1" s="560"/>
      <c r="QSN1" s="560"/>
      <c r="QSO1" s="560"/>
      <c r="QSP1" s="560"/>
      <c r="QSQ1" s="560"/>
      <c r="QSR1" s="560"/>
      <c r="QSS1" s="560"/>
      <c r="QST1" s="560" t="s">
        <v>15</v>
      </c>
      <c r="QSU1" s="560"/>
      <c r="QSV1" s="560"/>
      <c r="QSW1" s="560"/>
      <c r="QSX1" s="560"/>
      <c r="QSY1" s="560"/>
      <c r="QSZ1" s="560"/>
      <c r="QTA1" s="560"/>
      <c r="QTB1" s="560" t="s">
        <v>15</v>
      </c>
      <c r="QTC1" s="560"/>
      <c r="QTD1" s="560"/>
      <c r="QTE1" s="560"/>
      <c r="QTF1" s="560"/>
      <c r="QTG1" s="560"/>
      <c r="QTH1" s="560"/>
      <c r="QTI1" s="560"/>
      <c r="QTJ1" s="560" t="s">
        <v>15</v>
      </c>
      <c r="QTK1" s="560"/>
      <c r="QTL1" s="560"/>
      <c r="QTM1" s="560"/>
      <c r="QTN1" s="560"/>
      <c r="QTO1" s="560"/>
      <c r="QTP1" s="560"/>
      <c r="QTQ1" s="560"/>
      <c r="QTR1" s="560" t="s">
        <v>15</v>
      </c>
      <c r="QTS1" s="560"/>
      <c r="QTT1" s="560"/>
      <c r="QTU1" s="560"/>
      <c r="QTV1" s="560"/>
      <c r="QTW1" s="560"/>
      <c r="QTX1" s="560"/>
      <c r="QTY1" s="560"/>
      <c r="QTZ1" s="560" t="s">
        <v>15</v>
      </c>
      <c r="QUA1" s="560"/>
      <c r="QUB1" s="560"/>
      <c r="QUC1" s="560"/>
      <c r="QUD1" s="560"/>
      <c r="QUE1" s="560"/>
      <c r="QUF1" s="560"/>
      <c r="QUG1" s="560"/>
      <c r="QUH1" s="560" t="s">
        <v>15</v>
      </c>
      <c r="QUI1" s="560"/>
      <c r="QUJ1" s="560"/>
      <c r="QUK1" s="560"/>
      <c r="QUL1" s="560"/>
      <c r="QUM1" s="560"/>
      <c r="QUN1" s="560"/>
      <c r="QUO1" s="560"/>
      <c r="QUP1" s="560" t="s">
        <v>15</v>
      </c>
      <c r="QUQ1" s="560"/>
      <c r="QUR1" s="560"/>
      <c r="QUS1" s="560"/>
      <c r="QUT1" s="560"/>
      <c r="QUU1" s="560"/>
      <c r="QUV1" s="560"/>
      <c r="QUW1" s="560"/>
      <c r="QUX1" s="560" t="s">
        <v>15</v>
      </c>
      <c r="QUY1" s="560"/>
      <c r="QUZ1" s="560"/>
      <c r="QVA1" s="560"/>
      <c r="QVB1" s="560"/>
      <c r="QVC1" s="560"/>
      <c r="QVD1" s="560"/>
      <c r="QVE1" s="560"/>
      <c r="QVF1" s="560" t="s">
        <v>15</v>
      </c>
      <c r="QVG1" s="560"/>
      <c r="QVH1" s="560"/>
      <c r="QVI1" s="560"/>
      <c r="QVJ1" s="560"/>
      <c r="QVK1" s="560"/>
      <c r="QVL1" s="560"/>
      <c r="QVM1" s="560"/>
      <c r="QVN1" s="560" t="s">
        <v>15</v>
      </c>
      <c r="QVO1" s="560"/>
      <c r="QVP1" s="560"/>
      <c r="QVQ1" s="560"/>
      <c r="QVR1" s="560"/>
      <c r="QVS1" s="560"/>
      <c r="QVT1" s="560"/>
      <c r="QVU1" s="560"/>
      <c r="QVV1" s="560" t="s">
        <v>15</v>
      </c>
      <c r="QVW1" s="560"/>
      <c r="QVX1" s="560"/>
      <c r="QVY1" s="560"/>
      <c r="QVZ1" s="560"/>
      <c r="QWA1" s="560"/>
      <c r="QWB1" s="560"/>
      <c r="QWC1" s="560"/>
      <c r="QWD1" s="560" t="s">
        <v>15</v>
      </c>
      <c r="QWE1" s="560"/>
      <c r="QWF1" s="560"/>
      <c r="QWG1" s="560"/>
      <c r="QWH1" s="560"/>
      <c r="QWI1" s="560"/>
      <c r="QWJ1" s="560"/>
      <c r="QWK1" s="560"/>
      <c r="QWL1" s="560" t="s">
        <v>15</v>
      </c>
      <c r="QWM1" s="560"/>
      <c r="QWN1" s="560"/>
      <c r="QWO1" s="560"/>
      <c r="QWP1" s="560"/>
      <c r="QWQ1" s="560"/>
      <c r="QWR1" s="560"/>
      <c r="QWS1" s="560"/>
      <c r="QWT1" s="560" t="s">
        <v>15</v>
      </c>
      <c r="QWU1" s="560"/>
      <c r="QWV1" s="560"/>
      <c r="QWW1" s="560"/>
      <c r="QWX1" s="560"/>
      <c r="QWY1" s="560"/>
      <c r="QWZ1" s="560"/>
      <c r="QXA1" s="560"/>
      <c r="QXB1" s="560" t="s">
        <v>15</v>
      </c>
      <c r="QXC1" s="560"/>
      <c r="QXD1" s="560"/>
      <c r="QXE1" s="560"/>
      <c r="QXF1" s="560"/>
      <c r="QXG1" s="560"/>
      <c r="QXH1" s="560"/>
      <c r="QXI1" s="560"/>
      <c r="QXJ1" s="560" t="s">
        <v>15</v>
      </c>
      <c r="QXK1" s="560"/>
      <c r="QXL1" s="560"/>
      <c r="QXM1" s="560"/>
      <c r="QXN1" s="560"/>
      <c r="QXO1" s="560"/>
      <c r="QXP1" s="560"/>
      <c r="QXQ1" s="560"/>
      <c r="QXR1" s="560" t="s">
        <v>15</v>
      </c>
      <c r="QXS1" s="560"/>
      <c r="QXT1" s="560"/>
      <c r="QXU1" s="560"/>
      <c r="QXV1" s="560"/>
      <c r="QXW1" s="560"/>
      <c r="QXX1" s="560"/>
      <c r="QXY1" s="560"/>
      <c r="QXZ1" s="560" t="s">
        <v>15</v>
      </c>
      <c r="QYA1" s="560"/>
      <c r="QYB1" s="560"/>
      <c r="QYC1" s="560"/>
      <c r="QYD1" s="560"/>
      <c r="QYE1" s="560"/>
      <c r="QYF1" s="560"/>
      <c r="QYG1" s="560"/>
      <c r="QYH1" s="560" t="s">
        <v>15</v>
      </c>
      <c r="QYI1" s="560"/>
      <c r="QYJ1" s="560"/>
      <c r="QYK1" s="560"/>
      <c r="QYL1" s="560"/>
      <c r="QYM1" s="560"/>
      <c r="QYN1" s="560"/>
      <c r="QYO1" s="560"/>
      <c r="QYP1" s="560" t="s">
        <v>15</v>
      </c>
      <c r="QYQ1" s="560"/>
      <c r="QYR1" s="560"/>
      <c r="QYS1" s="560"/>
      <c r="QYT1" s="560"/>
      <c r="QYU1" s="560"/>
      <c r="QYV1" s="560"/>
      <c r="QYW1" s="560"/>
      <c r="QYX1" s="560" t="s">
        <v>15</v>
      </c>
      <c r="QYY1" s="560"/>
      <c r="QYZ1" s="560"/>
      <c r="QZA1" s="560"/>
      <c r="QZB1" s="560"/>
      <c r="QZC1" s="560"/>
      <c r="QZD1" s="560"/>
      <c r="QZE1" s="560"/>
      <c r="QZF1" s="560" t="s">
        <v>15</v>
      </c>
      <c r="QZG1" s="560"/>
      <c r="QZH1" s="560"/>
      <c r="QZI1" s="560"/>
      <c r="QZJ1" s="560"/>
      <c r="QZK1" s="560"/>
      <c r="QZL1" s="560"/>
      <c r="QZM1" s="560"/>
      <c r="QZN1" s="560" t="s">
        <v>15</v>
      </c>
      <c r="QZO1" s="560"/>
      <c r="QZP1" s="560"/>
      <c r="QZQ1" s="560"/>
      <c r="QZR1" s="560"/>
      <c r="QZS1" s="560"/>
      <c r="QZT1" s="560"/>
      <c r="QZU1" s="560"/>
      <c r="QZV1" s="560" t="s">
        <v>15</v>
      </c>
      <c r="QZW1" s="560"/>
      <c r="QZX1" s="560"/>
      <c r="QZY1" s="560"/>
      <c r="QZZ1" s="560"/>
      <c r="RAA1" s="560"/>
      <c r="RAB1" s="560"/>
      <c r="RAC1" s="560"/>
      <c r="RAD1" s="560" t="s">
        <v>15</v>
      </c>
      <c r="RAE1" s="560"/>
      <c r="RAF1" s="560"/>
      <c r="RAG1" s="560"/>
      <c r="RAH1" s="560"/>
      <c r="RAI1" s="560"/>
      <c r="RAJ1" s="560"/>
      <c r="RAK1" s="560"/>
      <c r="RAL1" s="560" t="s">
        <v>15</v>
      </c>
      <c r="RAM1" s="560"/>
      <c r="RAN1" s="560"/>
      <c r="RAO1" s="560"/>
      <c r="RAP1" s="560"/>
      <c r="RAQ1" s="560"/>
      <c r="RAR1" s="560"/>
      <c r="RAS1" s="560"/>
      <c r="RAT1" s="560" t="s">
        <v>15</v>
      </c>
      <c r="RAU1" s="560"/>
      <c r="RAV1" s="560"/>
      <c r="RAW1" s="560"/>
      <c r="RAX1" s="560"/>
      <c r="RAY1" s="560"/>
      <c r="RAZ1" s="560"/>
      <c r="RBA1" s="560"/>
      <c r="RBB1" s="560" t="s">
        <v>15</v>
      </c>
      <c r="RBC1" s="560"/>
      <c r="RBD1" s="560"/>
      <c r="RBE1" s="560"/>
      <c r="RBF1" s="560"/>
      <c r="RBG1" s="560"/>
      <c r="RBH1" s="560"/>
      <c r="RBI1" s="560"/>
      <c r="RBJ1" s="560" t="s">
        <v>15</v>
      </c>
      <c r="RBK1" s="560"/>
      <c r="RBL1" s="560"/>
      <c r="RBM1" s="560"/>
      <c r="RBN1" s="560"/>
      <c r="RBO1" s="560"/>
      <c r="RBP1" s="560"/>
      <c r="RBQ1" s="560"/>
      <c r="RBR1" s="560" t="s">
        <v>15</v>
      </c>
      <c r="RBS1" s="560"/>
      <c r="RBT1" s="560"/>
      <c r="RBU1" s="560"/>
      <c r="RBV1" s="560"/>
      <c r="RBW1" s="560"/>
      <c r="RBX1" s="560"/>
      <c r="RBY1" s="560"/>
      <c r="RBZ1" s="560" t="s">
        <v>15</v>
      </c>
      <c r="RCA1" s="560"/>
      <c r="RCB1" s="560"/>
      <c r="RCC1" s="560"/>
      <c r="RCD1" s="560"/>
      <c r="RCE1" s="560"/>
      <c r="RCF1" s="560"/>
      <c r="RCG1" s="560"/>
      <c r="RCH1" s="560" t="s">
        <v>15</v>
      </c>
      <c r="RCI1" s="560"/>
      <c r="RCJ1" s="560"/>
      <c r="RCK1" s="560"/>
      <c r="RCL1" s="560"/>
      <c r="RCM1" s="560"/>
      <c r="RCN1" s="560"/>
      <c r="RCO1" s="560"/>
      <c r="RCP1" s="560" t="s">
        <v>15</v>
      </c>
      <c r="RCQ1" s="560"/>
      <c r="RCR1" s="560"/>
      <c r="RCS1" s="560"/>
      <c r="RCT1" s="560"/>
      <c r="RCU1" s="560"/>
      <c r="RCV1" s="560"/>
      <c r="RCW1" s="560"/>
      <c r="RCX1" s="560" t="s">
        <v>15</v>
      </c>
      <c r="RCY1" s="560"/>
      <c r="RCZ1" s="560"/>
      <c r="RDA1" s="560"/>
      <c r="RDB1" s="560"/>
      <c r="RDC1" s="560"/>
      <c r="RDD1" s="560"/>
      <c r="RDE1" s="560"/>
      <c r="RDF1" s="560" t="s">
        <v>15</v>
      </c>
      <c r="RDG1" s="560"/>
      <c r="RDH1" s="560"/>
      <c r="RDI1" s="560"/>
      <c r="RDJ1" s="560"/>
      <c r="RDK1" s="560"/>
      <c r="RDL1" s="560"/>
      <c r="RDM1" s="560"/>
      <c r="RDN1" s="560" t="s">
        <v>15</v>
      </c>
      <c r="RDO1" s="560"/>
      <c r="RDP1" s="560"/>
      <c r="RDQ1" s="560"/>
      <c r="RDR1" s="560"/>
      <c r="RDS1" s="560"/>
      <c r="RDT1" s="560"/>
      <c r="RDU1" s="560"/>
      <c r="RDV1" s="560" t="s">
        <v>15</v>
      </c>
      <c r="RDW1" s="560"/>
      <c r="RDX1" s="560"/>
      <c r="RDY1" s="560"/>
      <c r="RDZ1" s="560"/>
      <c r="REA1" s="560"/>
      <c r="REB1" s="560"/>
      <c r="REC1" s="560"/>
      <c r="RED1" s="560" t="s">
        <v>15</v>
      </c>
      <c r="REE1" s="560"/>
      <c r="REF1" s="560"/>
      <c r="REG1" s="560"/>
      <c r="REH1" s="560"/>
      <c r="REI1" s="560"/>
      <c r="REJ1" s="560"/>
      <c r="REK1" s="560"/>
      <c r="REL1" s="560" t="s">
        <v>15</v>
      </c>
      <c r="REM1" s="560"/>
      <c r="REN1" s="560"/>
      <c r="REO1" s="560"/>
      <c r="REP1" s="560"/>
      <c r="REQ1" s="560"/>
      <c r="RER1" s="560"/>
      <c r="RES1" s="560"/>
      <c r="RET1" s="560" t="s">
        <v>15</v>
      </c>
      <c r="REU1" s="560"/>
      <c r="REV1" s="560"/>
      <c r="REW1" s="560"/>
      <c r="REX1" s="560"/>
      <c r="REY1" s="560"/>
      <c r="REZ1" s="560"/>
      <c r="RFA1" s="560"/>
      <c r="RFB1" s="560" t="s">
        <v>15</v>
      </c>
      <c r="RFC1" s="560"/>
      <c r="RFD1" s="560"/>
      <c r="RFE1" s="560"/>
      <c r="RFF1" s="560"/>
      <c r="RFG1" s="560"/>
      <c r="RFH1" s="560"/>
      <c r="RFI1" s="560"/>
      <c r="RFJ1" s="560" t="s">
        <v>15</v>
      </c>
      <c r="RFK1" s="560"/>
      <c r="RFL1" s="560"/>
      <c r="RFM1" s="560"/>
      <c r="RFN1" s="560"/>
      <c r="RFO1" s="560"/>
      <c r="RFP1" s="560"/>
      <c r="RFQ1" s="560"/>
      <c r="RFR1" s="560" t="s">
        <v>15</v>
      </c>
      <c r="RFS1" s="560"/>
      <c r="RFT1" s="560"/>
      <c r="RFU1" s="560"/>
      <c r="RFV1" s="560"/>
      <c r="RFW1" s="560"/>
      <c r="RFX1" s="560"/>
      <c r="RFY1" s="560"/>
      <c r="RFZ1" s="560" t="s">
        <v>15</v>
      </c>
      <c r="RGA1" s="560"/>
      <c r="RGB1" s="560"/>
      <c r="RGC1" s="560"/>
      <c r="RGD1" s="560"/>
      <c r="RGE1" s="560"/>
      <c r="RGF1" s="560"/>
      <c r="RGG1" s="560"/>
      <c r="RGH1" s="560" t="s">
        <v>15</v>
      </c>
      <c r="RGI1" s="560"/>
      <c r="RGJ1" s="560"/>
      <c r="RGK1" s="560"/>
      <c r="RGL1" s="560"/>
      <c r="RGM1" s="560"/>
      <c r="RGN1" s="560"/>
      <c r="RGO1" s="560"/>
      <c r="RGP1" s="560" t="s">
        <v>15</v>
      </c>
      <c r="RGQ1" s="560"/>
      <c r="RGR1" s="560"/>
      <c r="RGS1" s="560"/>
      <c r="RGT1" s="560"/>
      <c r="RGU1" s="560"/>
      <c r="RGV1" s="560"/>
      <c r="RGW1" s="560"/>
      <c r="RGX1" s="560" t="s">
        <v>15</v>
      </c>
      <c r="RGY1" s="560"/>
      <c r="RGZ1" s="560"/>
      <c r="RHA1" s="560"/>
      <c r="RHB1" s="560"/>
      <c r="RHC1" s="560"/>
      <c r="RHD1" s="560"/>
      <c r="RHE1" s="560"/>
      <c r="RHF1" s="560" t="s">
        <v>15</v>
      </c>
      <c r="RHG1" s="560"/>
      <c r="RHH1" s="560"/>
      <c r="RHI1" s="560"/>
      <c r="RHJ1" s="560"/>
      <c r="RHK1" s="560"/>
      <c r="RHL1" s="560"/>
      <c r="RHM1" s="560"/>
      <c r="RHN1" s="560" t="s">
        <v>15</v>
      </c>
      <c r="RHO1" s="560"/>
      <c r="RHP1" s="560"/>
      <c r="RHQ1" s="560"/>
      <c r="RHR1" s="560"/>
      <c r="RHS1" s="560"/>
      <c r="RHT1" s="560"/>
      <c r="RHU1" s="560"/>
      <c r="RHV1" s="560" t="s">
        <v>15</v>
      </c>
      <c r="RHW1" s="560"/>
      <c r="RHX1" s="560"/>
      <c r="RHY1" s="560"/>
      <c r="RHZ1" s="560"/>
      <c r="RIA1" s="560"/>
      <c r="RIB1" s="560"/>
      <c r="RIC1" s="560"/>
      <c r="RID1" s="560" t="s">
        <v>15</v>
      </c>
      <c r="RIE1" s="560"/>
      <c r="RIF1" s="560"/>
      <c r="RIG1" s="560"/>
      <c r="RIH1" s="560"/>
      <c r="RII1" s="560"/>
      <c r="RIJ1" s="560"/>
      <c r="RIK1" s="560"/>
      <c r="RIL1" s="560" t="s">
        <v>15</v>
      </c>
      <c r="RIM1" s="560"/>
      <c r="RIN1" s="560"/>
      <c r="RIO1" s="560"/>
      <c r="RIP1" s="560"/>
      <c r="RIQ1" s="560"/>
      <c r="RIR1" s="560"/>
      <c r="RIS1" s="560"/>
      <c r="RIT1" s="560" t="s">
        <v>15</v>
      </c>
      <c r="RIU1" s="560"/>
      <c r="RIV1" s="560"/>
      <c r="RIW1" s="560"/>
      <c r="RIX1" s="560"/>
      <c r="RIY1" s="560"/>
      <c r="RIZ1" s="560"/>
      <c r="RJA1" s="560"/>
      <c r="RJB1" s="560" t="s">
        <v>15</v>
      </c>
      <c r="RJC1" s="560"/>
      <c r="RJD1" s="560"/>
      <c r="RJE1" s="560"/>
      <c r="RJF1" s="560"/>
      <c r="RJG1" s="560"/>
      <c r="RJH1" s="560"/>
      <c r="RJI1" s="560"/>
      <c r="RJJ1" s="560" t="s">
        <v>15</v>
      </c>
      <c r="RJK1" s="560"/>
      <c r="RJL1" s="560"/>
      <c r="RJM1" s="560"/>
      <c r="RJN1" s="560"/>
      <c r="RJO1" s="560"/>
      <c r="RJP1" s="560"/>
      <c r="RJQ1" s="560"/>
      <c r="RJR1" s="560" t="s">
        <v>15</v>
      </c>
      <c r="RJS1" s="560"/>
      <c r="RJT1" s="560"/>
      <c r="RJU1" s="560"/>
      <c r="RJV1" s="560"/>
      <c r="RJW1" s="560"/>
      <c r="RJX1" s="560"/>
      <c r="RJY1" s="560"/>
      <c r="RJZ1" s="560" t="s">
        <v>15</v>
      </c>
      <c r="RKA1" s="560"/>
      <c r="RKB1" s="560"/>
      <c r="RKC1" s="560"/>
      <c r="RKD1" s="560"/>
      <c r="RKE1" s="560"/>
      <c r="RKF1" s="560"/>
      <c r="RKG1" s="560"/>
      <c r="RKH1" s="560" t="s">
        <v>15</v>
      </c>
      <c r="RKI1" s="560"/>
      <c r="RKJ1" s="560"/>
      <c r="RKK1" s="560"/>
      <c r="RKL1" s="560"/>
      <c r="RKM1" s="560"/>
      <c r="RKN1" s="560"/>
      <c r="RKO1" s="560"/>
      <c r="RKP1" s="560" t="s">
        <v>15</v>
      </c>
      <c r="RKQ1" s="560"/>
      <c r="RKR1" s="560"/>
      <c r="RKS1" s="560"/>
      <c r="RKT1" s="560"/>
      <c r="RKU1" s="560"/>
      <c r="RKV1" s="560"/>
      <c r="RKW1" s="560"/>
      <c r="RKX1" s="560" t="s">
        <v>15</v>
      </c>
      <c r="RKY1" s="560"/>
      <c r="RKZ1" s="560"/>
      <c r="RLA1" s="560"/>
      <c r="RLB1" s="560"/>
      <c r="RLC1" s="560"/>
      <c r="RLD1" s="560"/>
      <c r="RLE1" s="560"/>
      <c r="RLF1" s="560" t="s">
        <v>15</v>
      </c>
      <c r="RLG1" s="560"/>
      <c r="RLH1" s="560"/>
      <c r="RLI1" s="560"/>
      <c r="RLJ1" s="560"/>
      <c r="RLK1" s="560"/>
      <c r="RLL1" s="560"/>
      <c r="RLM1" s="560"/>
      <c r="RLN1" s="560" t="s">
        <v>15</v>
      </c>
      <c r="RLO1" s="560"/>
      <c r="RLP1" s="560"/>
      <c r="RLQ1" s="560"/>
      <c r="RLR1" s="560"/>
      <c r="RLS1" s="560"/>
      <c r="RLT1" s="560"/>
      <c r="RLU1" s="560"/>
      <c r="RLV1" s="560" t="s">
        <v>15</v>
      </c>
      <c r="RLW1" s="560"/>
      <c r="RLX1" s="560"/>
      <c r="RLY1" s="560"/>
      <c r="RLZ1" s="560"/>
      <c r="RMA1" s="560"/>
      <c r="RMB1" s="560"/>
      <c r="RMC1" s="560"/>
      <c r="RMD1" s="560" t="s">
        <v>15</v>
      </c>
      <c r="RME1" s="560"/>
      <c r="RMF1" s="560"/>
      <c r="RMG1" s="560"/>
      <c r="RMH1" s="560"/>
      <c r="RMI1" s="560"/>
      <c r="RMJ1" s="560"/>
      <c r="RMK1" s="560"/>
      <c r="RML1" s="560" t="s">
        <v>15</v>
      </c>
      <c r="RMM1" s="560"/>
      <c r="RMN1" s="560"/>
      <c r="RMO1" s="560"/>
      <c r="RMP1" s="560"/>
      <c r="RMQ1" s="560"/>
      <c r="RMR1" s="560"/>
      <c r="RMS1" s="560"/>
      <c r="RMT1" s="560" t="s">
        <v>15</v>
      </c>
      <c r="RMU1" s="560"/>
      <c r="RMV1" s="560"/>
      <c r="RMW1" s="560"/>
      <c r="RMX1" s="560"/>
      <c r="RMY1" s="560"/>
      <c r="RMZ1" s="560"/>
      <c r="RNA1" s="560"/>
      <c r="RNB1" s="560" t="s">
        <v>15</v>
      </c>
      <c r="RNC1" s="560"/>
      <c r="RND1" s="560"/>
      <c r="RNE1" s="560"/>
      <c r="RNF1" s="560"/>
      <c r="RNG1" s="560"/>
      <c r="RNH1" s="560"/>
      <c r="RNI1" s="560"/>
      <c r="RNJ1" s="560" t="s">
        <v>15</v>
      </c>
      <c r="RNK1" s="560"/>
      <c r="RNL1" s="560"/>
      <c r="RNM1" s="560"/>
      <c r="RNN1" s="560"/>
      <c r="RNO1" s="560"/>
      <c r="RNP1" s="560"/>
      <c r="RNQ1" s="560"/>
      <c r="RNR1" s="560" t="s">
        <v>15</v>
      </c>
      <c r="RNS1" s="560"/>
      <c r="RNT1" s="560"/>
      <c r="RNU1" s="560"/>
      <c r="RNV1" s="560"/>
      <c r="RNW1" s="560"/>
      <c r="RNX1" s="560"/>
      <c r="RNY1" s="560"/>
      <c r="RNZ1" s="560" t="s">
        <v>15</v>
      </c>
      <c r="ROA1" s="560"/>
      <c r="ROB1" s="560"/>
      <c r="ROC1" s="560"/>
      <c r="ROD1" s="560"/>
      <c r="ROE1" s="560"/>
      <c r="ROF1" s="560"/>
      <c r="ROG1" s="560"/>
      <c r="ROH1" s="560" t="s">
        <v>15</v>
      </c>
      <c r="ROI1" s="560"/>
      <c r="ROJ1" s="560"/>
      <c r="ROK1" s="560"/>
      <c r="ROL1" s="560"/>
      <c r="ROM1" s="560"/>
      <c r="RON1" s="560"/>
      <c r="ROO1" s="560"/>
      <c r="ROP1" s="560" t="s">
        <v>15</v>
      </c>
      <c r="ROQ1" s="560"/>
      <c r="ROR1" s="560"/>
      <c r="ROS1" s="560"/>
      <c r="ROT1" s="560"/>
      <c r="ROU1" s="560"/>
      <c r="ROV1" s="560"/>
      <c r="ROW1" s="560"/>
      <c r="ROX1" s="560" t="s">
        <v>15</v>
      </c>
      <c r="ROY1" s="560"/>
      <c r="ROZ1" s="560"/>
      <c r="RPA1" s="560"/>
      <c r="RPB1" s="560"/>
      <c r="RPC1" s="560"/>
      <c r="RPD1" s="560"/>
      <c r="RPE1" s="560"/>
      <c r="RPF1" s="560" t="s">
        <v>15</v>
      </c>
      <c r="RPG1" s="560"/>
      <c r="RPH1" s="560"/>
      <c r="RPI1" s="560"/>
      <c r="RPJ1" s="560"/>
      <c r="RPK1" s="560"/>
      <c r="RPL1" s="560"/>
      <c r="RPM1" s="560"/>
      <c r="RPN1" s="560" t="s">
        <v>15</v>
      </c>
      <c r="RPO1" s="560"/>
      <c r="RPP1" s="560"/>
      <c r="RPQ1" s="560"/>
      <c r="RPR1" s="560"/>
      <c r="RPS1" s="560"/>
      <c r="RPT1" s="560"/>
      <c r="RPU1" s="560"/>
      <c r="RPV1" s="560" t="s">
        <v>15</v>
      </c>
      <c r="RPW1" s="560"/>
      <c r="RPX1" s="560"/>
      <c r="RPY1" s="560"/>
      <c r="RPZ1" s="560"/>
      <c r="RQA1" s="560"/>
      <c r="RQB1" s="560"/>
      <c r="RQC1" s="560"/>
      <c r="RQD1" s="560" t="s">
        <v>15</v>
      </c>
      <c r="RQE1" s="560"/>
      <c r="RQF1" s="560"/>
      <c r="RQG1" s="560"/>
      <c r="RQH1" s="560"/>
      <c r="RQI1" s="560"/>
      <c r="RQJ1" s="560"/>
      <c r="RQK1" s="560"/>
      <c r="RQL1" s="560" t="s">
        <v>15</v>
      </c>
      <c r="RQM1" s="560"/>
      <c r="RQN1" s="560"/>
      <c r="RQO1" s="560"/>
      <c r="RQP1" s="560"/>
      <c r="RQQ1" s="560"/>
      <c r="RQR1" s="560"/>
      <c r="RQS1" s="560"/>
      <c r="RQT1" s="560" t="s">
        <v>15</v>
      </c>
      <c r="RQU1" s="560"/>
      <c r="RQV1" s="560"/>
      <c r="RQW1" s="560"/>
      <c r="RQX1" s="560"/>
      <c r="RQY1" s="560"/>
      <c r="RQZ1" s="560"/>
      <c r="RRA1" s="560"/>
      <c r="RRB1" s="560" t="s">
        <v>15</v>
      </c>
      <c r="RRC1" s="560"/>
      <c r="RRD1" s="560"/>
      <c r="RRE1" s="560"/>
      <c r="RRF1" s="560"/>
      <c r="RRG1" s="560"/>
      <c r="RRH1" s="560"/>
      <c r="RRI1" s="560"/>
      <c r="RRJ1" s="560" t="s">
        <v>15</v>
      </c>
      <c r="RRK1" s="560"/>
      <c r="RRL1" s="560"/>
      <c r="RRM1" s="560"/>
      <c r="RRN1" s="560"/>
      <c r="RRO1" s="560"/>
      <c r="RRP1" s="560"/>
      <c r="RRQ1" s="560"/>
      <c r="RRR1" s="560" t="s">
        <v>15</v>
      </c>
      <c r="RRS1" s="560"/>
      <c r="RRT1" s="560"/>
      <c r="RRU1" s="560"/>
      <c r="RRV1" s="560"/>
      <c r="RRW1" s="560"/>
      <c r="RRX1" s="560"/>
      <c r="RRY1" s="560"/>
      <c r="RRZ1" s="560" t="s">
        <v>15</v>
      </c>
      <c r="RSA1" s="560"/>
      <c r="RSB1" s="560"/>
      <c r="RSC1" s="560"/>
      <c r="RSD1" s="560"/>
      <c r="RSE1" s="560"/>
      <c r="RSF1" s="560"/>
      <c r="RSG1" s="560"/>
      <c r="RSH1" s="560" t="s">
        <v>15</v>
      </c>
      <c r="RSI1" s="560"/>
      <c r="RSJ1" s="560"/>
      <c r="RSK1" s="560"/>
      <c r="RSL1" s="560"/>
      <c r="RSM1" s="560"/>
      <c r="RSN1" s="560"/>
      <c r="RSO1" s="560"/>
      <c r="RSP1" s="560" t="s">
        <v>15</v>
      </c>
      <c r="RSQ1" s="560"/>
      <c r="RSR1" s="560"/>
      <c r="RSS1" s="560"/>
      <c r="RST1" s="560"/>
      <c r="RSU1" s="560"/>
      <c r="RSV1" s="560"/>
      <c r="RSW1" s="560"/>
      <c r="RSX1" s="560" t="s">
        <v>15</v>
      </c>
      <c r="RSY1" s="560"/>
      <c r="RSZ1" s="560"/>
      <c r="RTA1" s="560"/>
      <c r="RTB1" s="560"/>
      <c r="RTC1" s="560"/>
      <c r="RTD1" s="560"/>
      <c r="RTE1" s="560"/>
      <c r="RTF1" s="560" t="s">
        <v>15</v>
      </c>
      <c r="RTG1" s="560"/>
      <c r="RTH1" s="560"/>
      <c r="RTI1" s="560"/>
      <c r="RTJ1" s="560"/>
      <c r="RTK1" s="560"/>
      <c r="RTL1" s="560"/>
      <c r="RTM1" s="560"/>
      <c r="RTN1" s="560" t="s">
        <v>15</v>
      </c>
      <c r="RTO1" s="560"/>
      <c r="RTP1" s="560"/>
      <c r="RTQ1" s="560"/>
      <c r="RTR1" s="560"/>
      <c r="RTS1" s="560"/>
      <c r="RTT1" s="560"/>
      <c r="RTU1" s="560"/>
      <c r="RTV1" s="560" t="s">
        <v>15</v>
      </c>
      <c r="RTW1" s="560"/>
      <c r="RTX1" s="560"/>
      <c r="RTY1" s="560"/>
      <c r="RTZ1" s="560"/>
      <c r="RUA1" s="560"/>
      <c r="RUB1" s="560"/>
      <c r="RUC1" s="560"/>
      <c r="RUD1" s="560" t="s">
        <v>15</v>
      </c>
      <c r="RUE1" s="560"/>
      <c r="RUF1" s="560"/>
      <c r="RUG1" s="560"/>
      <c r="RUH1" s="560"/>
      <c r="RUI1" s="560"/>
      <c r="RUJ1" s="560"/>
      <c r="RUK1" s="560"/>
      <c r="RUL1" s="560" t="s">
        <v>15</v>
      </c>
      <c r="RUM1" s="560"/>
      <c r="RUN1" s="560"/>
      <c r="RUO1" s="560"/>
      <c r="RUP1" s="560"/>
      <c r="RUQ1" s="560"/>
      <c r="RUR1" s="560"/>
      <c r="RUS1" s="560"/>
      <c r="RUT1" s="560" t="s">
        <v>15</v>
      </c>
      <c r="RUU1" s="560"/>
      <c r="RUV1" s="560"/>
      <c r="RUW1" s="560"/>
      <c r="RUX1" s="560"/>
      <c r="RUY1" s="560"/>
      <c r="RUZ1" s="560"/>
      <c r="RVA1" s="560"/>
      <c r="RVB1" s="560" t="s">
        <v>15</v>
      </c>
      <c r="RVC1" s="560"/>
      <c r="RVD1" s="560"/>
      <c r="RVE1" s="560"/>
      <c r="RVF1" s="560"/>
      <c r="RVG1" s="560"/>
      <c r="RVH1" s="560"/>
      <c r="RVI1" s="560"/>
      <c r="RVJ1" s="560" t="s">
        <v>15</v>
      </c>
      <c r="RVK1" s="560"/>
      <c r="RVL1" s="560"/>
      <c r="RVM1" s="560"/>
      <c r="RVN1" s="560"/>
      <c r="RVO1" s="560"/>
      <c r="RVP1" s="560"/>
      <c r="RVQ1" s="560"/>
      <c r="RVR1" s="560" t="s">
        <v>15</v>
      </c>
      <c r="RVS1" s="560"/>
      <c r="RVT1" s="560"/>
      <c r="RVU1" s="560"/>
      <c r="RVV1" s="560"/>
      <c r="RVW1" s="560"/>
      <c r="RVX1" s="560"/>
      <c r="RVY1" s="560"/>
      <c r="RVZ1" s="560" t="s">
        <v>15</v>
      </c>
      <c r="RWA1" s="560"/>
      <c r="RWB1" s="560"/>
      <c r="RWC1" s="560"/>
      <c r="RWD1" s="560"/>
      <c r="RWE1" s="560"/>
      <c r="RWF1" s="560"/>
      <c r="RWG1" s="560"/>
      <c r="RWH1" s="560" t="s">
        <v>15</v>
      </c>
      <c r="RWI1" s="560"/>
      <c r="RWJ1" s="560"/>
      <c r="RWK1" s="560"/>
      <c r="RWL1" s="560"/>
      <c r="RWM1" s="560"/>
      <c r="RWN1" s="560"/>
      <c r="RWO1" s="560"/>
      <c r="RWP1" s="560" t="s">
        <v>15</v>
      </c>
      <c r="RWQ1" s="560"/>
      <c r="RWR1" s="560"/>
      <c r="RWS1" s="560"/>
      <c r="RWT1" s="560"/>
      <c r="RWU1" s="560"/>
      <c r="RWV1" s="560"/>
      <c r="RWW1" s="560"/>
      <c r="RWX1" s="560" t="s">
        <v>15</v>
      </c>
      <c r="RWY1" s="560"/>
      <c r="RWZ1" s="560"/>
      <c r="RXA1" s="560"/>
      <c r="RXB1" s="560"/>
      <c r="RXC1" s="560"/>
      <c r="RXD1" s="560"/>
      <c r="RXE1" s="560"/>
      <c r="RXF1" s="560" t="s">
        <v>15</v>
      </c>
      <c r="RXG1" s="560"/>
      <c r="RXH1" s="560"/>
      <c r="RXI1" s="560"/>
      <c r="RXJ1" s="560"/>
      <c r="RXK1" s="560"/>
      <c r="RXL1" s="560"/>
      <c r="RXM1" s="560"/>
      <c r="RXN1" s="560" t="s">
        <v>15</v>
      </c>
      <c r="RXO1" s="560"/>
      <c r="RXP1" s="560"/>
      <c r="RXQ1" s="560"/>
      <c r="RXR1" s="560"/>
      <c r="RXS1" s="560"/>
      <c r="RXT1" s="560"/>
      <c r="RXU1" s="560"/>
      <c r="RXV1" s="560" t="s">
        <v>15</v>
      </c>
      <c r="RXW1" s="560"/>
      <c r="RXX1" s="560"/>
      <c r="RXY1" s="560"/>
      <c r="RXZ1" s="560"/>
      <c r="RYA1" s="560"/>
      <c r="RYB1" s="560"/>
      <c r="RYC1" s="560"/>
      <c r="RYD1" s="560" t="s">
        <v>15</v>
      </c>
      <c r="RYE1" s="560"/>
      <c r="RYF1" s="560"/>
      <c r="RYG1" s="560"/>
      <c r="RYH1" s="560"/>
      <c r="RYI1" s="560"/>
      <c r="RYJ1" s="560"/>
      <c r="RYK1" s="560"/>
      <c r="RYL1" s="560" t="s">
        <v>15</v>
      </c>
      <c r="RYM1" s="560"/>
      <c r="RYN1" s="560"/>
      <c r="RYO1" s="560"/>
      <c r="RYP1" s="560"/>
      <c r="RYQ1" s="560"/>
      <c r="RYR1" s="560"/>
      <c r="RYS1" s="560"/>
      <c r="RYT1" s="560" t="s">
        <v>15</v>
      </c>
      <c r="RYU1" s="560"/>
      <c r="RYV1" s="560"/>
      <c r="RYW1" s="560"/>
      <c r="RYX1" s="560"/>
      <c r="RYY1" s="560"/>
      <c r="RYZ1" s="560"/>
      <c r="RZA1" s="560"/>
      <c r="RZB1" s="560" t="s">
        <v>15</v>
      </c>
      <c r="RZC1" s="560"/>
      <c r="RZD1" s="560"/>
      <c r="RZE1" s="560"/>
      <c r="RZF1" s="560"/>
      <c r="RZG1" s="560"/>
      <c r="RZH1" s="560"/>
      <c r="RZI1" s="560"/>
      <c r="RZJ1" s="560" t="s">
        <v>15</v>
      </c>
      <c r="RZK1" s="560"/>
      <c r="RZL1" s="560"/>
      <c r="RZM1" s="560"/>
      <c r="RZN1" s="560"/>
      <c r="RZO1" s="560"/>
      <c r="RZP1" s="560"/>
      <c r="RZQ1" s="560"/>
      <c r="RZR1" s="560" t="s">
        <v>15</v>
      </c>
      <c r="RZS1" s="560"/>
      <c r="RZT1" s="560"/>
      <c r="RZU1" s="560"/>
      <c r="RZV1" s="560"/>
      <c r="RZW1" s="560"/>
      <c r="RZX1" s="560"/>
      <c r="RZY1" s="560"/>
      <c r="RZZ1" s="560" t="s">
        <v>15</v>
      </c>
      <c r="SAA1" s="560"/>
      <c r="SAB1" s="560"/>
      <c r="SAC1" s="560"/>
      <c r="SAD1" s="560"/>
      <c r="SAE1" s="560"/>
      <c r="SAF1" s="560"/>
      <c r="SAG1" s="560"/>
      <c r="SAH1" s="560" t="s">
        <v>15</v>
      </c>
      <c r="SAI1" s="560"/>
      <c r="SAJ1" s="560"/>
      <c r="SAK1" s="560"/>
      <c r="SAL1" s="560"/>
      <c r="SAM1" s="560"/>
      <c r="SAN1" s="560"/>
      <c r="SAO1" s="560"/>
      <c r="SAP1" s="560" t="s">
        <v>15</v>
      </c>
      <c r="SAQ1" s="560"/>
      <c r="SAR1" s="560"/>
      <c r="SAS1" s="560"/>
      <c r="SAT1" s="560"/>
      <c r="SAU1" s="560"/>
      <c r="SAV1" s="560"/>
      <c r="SAW1" s="560"/>
      <c r="SAX1" s="560" t="s">
        <v>15</v>
      </c>
      <c r="SAY1" s="560"/>
      <c r="SAZ1" s="560"/>
      <c r="SBA1" s="560"/>
      <c r="SBB1" s="560"/>
      <c r="SBC1" s="560"/>
      <c r="SBD1" s="560"/>
      <c r="SBE1" s="560"/>
      <c r="SBF1" s="560" t="s">
        <v>15</v>
      </c>
      <c r="SBG1" s="560"/>
      <c r="SBH1" s="560"/>
      <c r="SBI1" s="560"/>
      <c r="SBJ1" s="560"/>
      <c r="SBK1" s="560"/>
      <c r="SBL1" s="560"/>
      <c r="SBM1" s="560"/>
      <c r="SBN1" s="560" t="s">
        <v>15</v>
      </c>
      <c r="SBO1" s="560"/>
      <c r="SBP1" s="560"/>
      <c r="SBQ1" s="560"/>
      <c r="SBR1" s="560"/>
      <c r="SBS1" s="560"/>
      <c r="SBT1" s="560"/>
      <c r="SBU1" s="560"/>
      <c r="SBV1" s="560" t="s">
        <v>15</v>
      </c>
      <c r="SBW1" s="560"/>
      <c r="SBX1" s="560"/>
      <c r="SBY1" s="560"/>
      <c r="SBZ1" s="560"/>
      <c r="SCA1" s="560"/>
      <c r="SCB1" s="560"/>
      <c r="SCC1" s="560"/>
      <c r="SCD1" s="560" t="s">
        <v>15</v>
      </c>
      <c r="SCE1" s="560"/>
      <c r="SCF1" s="560"/>
      <c r="SCG1" s="560"/>
      <c r="SCH1" s="560"/>
      <c r="SCI1" s="560"/>
      <c r="SCJ1" s="560"/>
      <c r="SCK1" s="560"/>
      <c r="SCL1" s="560" t="s">
        <v>15</v>
      </c>
      <c r="SCM1" s="560"/>
      <c r="SCN1" s="560"/>
      <c r="SCO1" s="560"/>
      <c r="SCP1" s="560"/>
      <c r="SCQ1" s="560"/>
      <c r="SCR1" s="560"/>
      <c r="SCS1" s="560"/>
      <c r="SCT1" s="560" t="s">
        <v>15</v>
      </c>
      <c r="SCU1" s="560"/>
      <c r="SCV1" s="560"/>
      <c r="SCW1" s="560"/>
      <c r="SCX1" s="560"/>
      <c r="SCY1" s="560"/>
      <c r="SCZ1" s="560"/>
      <c r="SDA1" s="560"/>
      <c r="SDB1" s="560" t="s">
        <v>15</v>
      </c>
      <c r="SDC1" s="560"/>
      <c r="SDD1" s="560"/>
      <c r="SDE1" s="560"/>
      <c r="SDF1" s="560"/>
      <c r="SDG1" s="560"/>
      <c r="SDH1" s="560"/>
      <c r="SDI1" s="560"/>
      <c r="SDJ1" s="560" t="s">
        <v>15</v>
      </c>
      <c r="SDK1" s="560"/>
      <c r="SDL1" s="560"/>
      <c r="SDM1" s="560"/>
      <c r="SDN1" s="560"/>
      <c r="SDO1" s="560"/>
      <c r="SDP1" s="560"/>
      <c r="SDQ1" s="560"/>
      <c r="SDR1" s="560" t="s">
        <v>15</v>
      </c>
      <c r="SDS1" s="560"/>
      <c r="SDT1" s="560"/>
      <c r="SDU1" s="560"/>
      <c r="SDV1" s="560"/>
      <c r="SDW1" s="560"/>
      <c r="SDX1" s="560"/>
      <c r="SDY1" s="560"/>
      <c r="SDZ1" s="560" t="s">
        <v>15</v>
      </c>
      <c r="SEA1" s="560"/>
      <c r="SEB1" s="560"/>
      <c r="SEC1" s="560"/>
      <c r="SED1" s="560"/>
      <c r="SEE1" s="560"/>
      <c r="SEF1" s="560"/>
      <c r="SEG1" s="560"/>
      <c r="SEH1" s="560" t="s">
        <v>15</v>
      </c>
      <c r="SEI1" s="560"/>
      <c r="SEJ1" s="560"/>
      <c r="SEK1" s="560"/>
      <c r="SEL1" s="560"/>
      <c r="SEM1" s="560"/>
      <c r="SEN1" s="560"/>
      <c r="SEO1" s="560"/>
      <c r="SEP1" s="560" t="s">
        <v>15</v>
      </c>
      <c r="SEQ1" s="560"/>
      <c r="SER1" s="560"/>
      <c r="SES1" s="560"/>
      <c r="SET1" s="560"/>
      <c r="SEU1" s="560"/>
      <c r="SEV1" s="560"/>
      <c r="SEW1" s="560"/>
      <c r="SEX1" s="560" t="s">
        <v>15</v>
      </c>
      <c r="SEY1" s="560"/>
      <c r="SEZ1" s="560"/>
      <c r="SFA1" s="560"/>
      <c r="SFB1" s="560"/>
      <c r="SFC1" s="560"/>
      <c r="SFD1" s="560"/>
      <c r="SFE1" s="560"/>
      <c r="SFF1" s="560" t="s">
        <v>15</v>
      </c>
      <c r="SFG1" s="560"/>
      <c r="SFH1" s="560"/>
      <c r="SFI1" s="560"/>
      <c r="SFJ1" s="560"/>
      <c r="SFK1" s="560"/>
      <c r="SFL1" s="560"/>
      <c r="SFM1" s="560"/>
      <c r="SFN1" s="560" t="s">
        <v>15</v>
      </c>
      <c r="SFO1" s="560"/>
      <c r="SFP1" s="560"/>
      <c r="SFQ1" s="560"/>
      <c r="SFR1" s="560"/>
      <c r="SFS1" s="560"/>
      <c r="SFT1" s="560"/>
      <c r="SFU1" s="560"/>
      <c r="SFV1" s="560" t="s">
        <v>15</v>
      </c>
      <c r="SFW1" s="560"/>
      <c r="SFX1" s="560"/>
      <c r="SFY1" s="560"/>
      <c r="SFZ1" s="560"/>
      <c r="SGA1" s="560"/>
      <c r="SGB1" s="560"/>
      <c r="SGC1" s="560"/>
      <c r="SGD1" s="560" t="s">
        <v>15</v>
      </c>
      <c r="SGE1" s="560"/>
      <c r="SGF1" s="560"/>
      <c r="SGG1" s="560"/>
      <c r="SGH1" s="560"/>
      <c r="SGI1" s="560"/>
      <c r="SGJ1" s="560"/>
      <c r="SGK1" s="560"/>
      <c r="SGL1" s="560" t="s">
        <v>15</v>
      </c>
      <c r="SGM1" s="560"/>
      <c r="SGN1" s="560"/>
      <c r="SGO1" s="560"/>
      <c r="SGP1" s="560"/>
      <c r="SGQ1" s="560"/>
      <c r="SGR1" s="560"/>
      <c r="SGS1" s="560"/>
      <c r="SGT1" s="560" t="s">
        <v>15</v>
      </c>
      <c r="SGU1" s="560"/>
      <c r="SGV1" s="560"/>
      <c r="SGW1" s="560"/>
      <c r="SGX1" s="560"/>
      <c r="SGY1" s="560"/>
      <c r="SGZ1" s="560"/>
      <c r="SHA1" s="560"/>
      <c r="SHB1" s="560" t="s">
        <v>15</v>
      </c>
      <c r="SHC1" s="560"/>
      <c r="SHD1" s="560"/>
      <c r="SHE1" s="560"/>
      <c r="SHF1" s="560"/>
      <c r="SHG1" s="560"/>
      <c r="SHH1" s="560"/>
      <c r="SHI1" s="560"/>
      <c r="SHJ1" s="560" t="s">
        <v>15</v>
      </c>
      <c r="SHK1" s="560"/>
      <c r="SHL1" s="560"/>
      <c r="SHM1" s="560"/>
      <c r="SHN1" s="560"/>
      <c r="SHO1" s="560"/>
      <c r="SHP1" s="560"/>
      <c r="SHQ1" s="560"/>
      <c r="SHR1" s="560" t="s">
        <v>15</v>
      </c>
      <c r="SHS1" s="560"/>
      <c r="SHT1" s="560"/>
      <c r="SHU1" s="560"/>
      <c r="SHV1" s="560"/>
      <c r="SHW1" s="560"/>
      <c r="SHX1" s="560"/>
      <c r="SHY1" s="560"/>
      <c r="SHZ1" s="560" t="s">
        <v>15</v>
      </c>
      <c r="SIA1" s="560"/>
      <c r="SIB1" s="560"/>
      <c r="SIC1" s="560"/>
      <c r="SID1" s="560"/>
      <c r="SIE1" s="560"/>
      <c r="SIF1" s="560"/>
      <c r="SIG1" s="560"/>
      <c r="SIH1" s="560" t="s">
        <v>15</v>
      </c>
      <c r="SII1" s="560"/>
      <c r="SIJ1" s="560"/>
      <c r="SIK1" s="560"/>
      <c r="SIL1" s="560"/>
      <c r="SIM1" s="560"/>
      <c r="SIN1" s="560"/>
      <c r="SIO1" s="560"/>
      <c r="SIP1" s="560" t="s">
        <v>15</v>
      </c>
      <c r="SIQ1" s="560"/>
      <c r="SIR1" s="560"/>
      <c r="SIS1" s="560"/>
      <c r="SIT1" s="560"/>
      <c r="SIU1" s="560"/>
      <c r="SIV1" s="560"/>
      <c r="SIW1" s="560"/>
      <c r="SIX1" s="560" t="s">
        <v>15</v>
      </c>
      <c r="SIY1" s="560"/>
      <c r="SIZ1" s="560"/>
      <c r="SJA1" s="560"/>
      <c r="SJB1" s="560"/>
      <c r="SJC1" s="560"/>
      <c r="SJD1" s="560"/>
      <c r="SJE1" s="560"/>
      <c r="SJF1" s="560" t="s">
        <v>15</v>
      </c>
      <c r="SJG1" s="560"/>
      <c r="SJH1" s="560"/>
      <c r="SJI1" s="560"/>
      <c r="SJJ1" s="560"/>
      <c r="SJK1" s="560"/>
      <c r="SJL1" s="560"/>
      <c r="SJM1" s="560"/>
      <c r="SJN1" s="560" t="s">
        <v>15</v>
      </c>
      <c r="SJO1" s="560"/>
      <c r="SJP1" s="560"/>
      <c r="SJQ1" s="560"/>
      <c r="SJR1" s="560"/>
      <c r="SJS1" s="560"/>
      <c r="SJT1" s="560"/>
      <c r="SJU1" s="560"/>
      <c r="SJV1" s="560" t="s">
        <v>15</v>
      </c>
      <c r="SJW1" s="560"/>
      <c r="SJX1" s="560"/>
      <c r="SJY1" s="560"/>
      <c r="SJZ1" s="560"/>
      <c r="SKA1" s="560"/>
      <c r="SKB1" s="560"/>
      <c r="SKC1" s="560"/>
      <c r="SKD1" s="560" t="s">
        <v>15</v>
      </c>
      <c r="SKE1" s="560"/>
      <c r="SKF1" s="560"/>
      <c r="SKG1" s="560"/>
      <c r="SKH1" s="560"/>
      <c r="SKI1" s="560"/>
      <c r="SKJ1" s="560"/>
      <c r="SKK1" s="560"/>
      <c r="SKL1" s="560" t="s">
        <v>15</v>
      </c>
      <c r="SKM1" s="560"/>
      <c r="SKN1" s="560"/>
      <c r="SKO1" s="560"/>
      <c r="SKP1" s="560"/>
      <c r="SKQ1" s="560"/>
      <c r="SKR1" s="560"/>
      <c r="SKS1" s="560"/>
      <c r="SKT1" s="560" t="s">
        <v>15</v>
      </c>
      <c r="SKU1" s="560"/>
      <c r="SKV1" s="560"/>
      <c r="SKW1" s="560"/>
      <c r="SKX1" s="560"/>
      <c r="SKY1" s="560"/>
      <c r="SKZ1" s="560"/>
      <c r="SLA1" s="560"/>
      <c r="SLB1" s="560" t="s">
        <v>15</v>
      </c>
      <c r="SLC1" s="560"/>
      <c r="SLD1" s="560"/>
      <c r="SLE1" s="560"/>
      <c r="SLF1" s="560"/>
      <c r="SLG1" s="560"/>
      <c r="SLH1" s="560"/>
      <c r="SLI1" s="560"/>
      <c r="SLJ1" s="560" t="s">
        <v>15</v>
      </c>
      <c r="SLK1" s="560"/>
      <c r="SLL1" s="560"/>
      <c r="SLM1" s="560"/>
      <c r="SLN1" s="560"/>
      <c r="SLO1" s="560"/>
      <c r="SLP1" s="560"/>
      <c r="SLQ1" s="560"/>
      <c r="SLR1" s="560" t="s">
        <v>15</v>
      </c>
      <c r="SLS1" s="560"/>
      <c r="SLT1" s="560"/>
      <c r="SLU1" s="560"/>
      <c r="SLV1" s="560"/>
      <c r="SLW1" s="560"/>
      <c r="SLX1" s="560"/>
      <c r="SLY1" s="560"/>
      <c r="SLZ1" s="560" t="s">
        <v>15</v>
      </c>
      <c r="SMA1" s="560"/>
      <c r="SMB1" s="560"/>
      <c r="SMC1" s="560"/>
      <c r="SMD1" s="560"/>
      <c r="SME1" s="560"/>
      <c r="SMF1" s="560"/>
      <c r="SMG1" s="560"/>
      <c r="SMH1" s="560" t="s">
        <v>15</v>
      </c>
      <c r="SMI1" s="560"/>
      <c r="SMJ1" s="560"/>
      <c r="SMK1" s="560"/>
      <c r="SML1" s="560"/>
      <c r="SMM1" s="560"/>
      <c r="SMN1" s="560"/>
      <c r="SMO1" s="560"/>
      <c r="SMP1" s="560" t="s">
        <v>15</v>
      </c>
      <c r="SMQ1" s="560"/>
      <c r="SMR1" s="560"/>
      <c r="SMS1" s="560"/>
      <c r="SMT1" s="560"/>
      <c r="SMU1" s="560"/>
      <c r="SMV1" s="560"/>
      <c r="SMW1" s="560"/>
      <c r="SMX1" s="560" t="s">
        <v>15</v>
      </c>
      <c r="SMY1" s="560"/>
      <c r="SMZ1" s="560"/>
      <c r="SNA1" s="560"/>
      <c r="SNB1" s="560"/>
      <c r="SNC1" s="560"/>
      <c r="SND1" s="560"/>
      <c r="SNE1" s="560"/>
      <c r="SNF1" s="560" t="s">
        <v>15</v>
      </c>
      <c r="SNG1" s="560"/>
      <c r="SNH1" s="560"/>
      <c r="SNI1" s="560"/>
      <c r="SNJ1" s="560"/>
      <c r="SNK1" s="560"/>
      <c r="SNL1" s="560"/>
      <c r="SNM1" s="560"/>
      <c r="SNN1" s="560" t="s">
        <v>15</v>
      </c>
      <c r="SNO1" s="560"/>
      <c r="SNP1" s="560"/>
      <c r="SNQ1" s="560"/>
      <c r="SNR1" s="560"/>
      <c r="SNS1" s="560"/>
      <c r="SNT1" s="560"/>
      <c r="SNU1" s="560"/>
      <c r="SNV1" s="560" t="s">
        <v>15</v>
      </c>
      <c r="SNW1" s="560"/>
      <c r="SNX1" s="560"/>
      <c r="SNY1" s="560"/>
      <c r="SNZ1" s="560"/>
      <c r="SOA1" s="560"/>
      <c r="SOB1" s="560"/>
      <c r="SOC1" s="560"/>
      <c r="SOD1" s="560" t="s">
        <v>15</v>
      </c>
      <c r="SOE1" s="560"/>
      <c r="SOF1" s="560"/>
      <c r="SOG1" s="560"/>
      <c r="SOH1" s="560"/>
      <c r="SOI1" s="560"/>
      <c r="SOJ1" s="560"/>
      <c r="SOK1" s="560"/>
      <c r="SOL1" s="560" t="s">
        <v>15</v>
      </c>
      <c r="SOM1" s="560"/>
      <c r="SON1" s="560"/>
      <c r="SOO1" s="560"/>
      <c r="SOP1" s="560"/>
      <c r="SOQ1" s="560"/>
      <c r="SOR1" s="560"/>
      <c r="SOS1" s="560"/>
      <c r="SOT1" s="560" t="s">
        <v>15</v>
      </c>
      <c r="SOU1" s="560"/>
      <c r="SOV1" s="560"/>
      <c r="SOW1" s="560"/>
      <c r="SOX1" s="560"/>
      <c r="SOY1" s="560"/>
      <c r="SOZ1" s="560"/>
      <c r="SPA1" s="560"/>
      <c r="SPB1" s="560" t="s">
        <v>15</v>
      </c>
      <c r="SPC1" s="560"/>
      <c r="SPD1" s="560"/>
      <c r="SPE1" s="560"/>
      <c r="SPF1" s="560"/>
      <c r="SPG1" s="560"/>
      <c r="SPH1" s="560"/>
      <c r="SPI1" s="560"/>
      <c r="SPJ1" s="560" t="s">
        <v>15</v>
      </c>
      <c r="SPK1" s="560"/>
      <c r="SPL1" s="560"/>
      <c r="SPM1" s="560"/>
      <c r="SPN1" s="560"/>
      <c r="SPO1" s="560"/>
      <c r="SPP1" s="560"/>
      <c r="SPQ1" s="560"/>
      <c r="SPR1" s="560" t="s">
        <v>15</v>
      </c>
      <c r="SPS1" s="560"/>
      <c r="SPT1" s="560"/>
      <c r="SPU1" s="560"/>
      <c r="SPV1" s="560"/>
      <c r="SPW1" s="560"/>
      <c r="SPX1" s="560"/>
      <c r="SPY1" s="560"/>
      <c r="SPZ1" s="560" t="s">
        <v>15</v>
      </c>
      <c r="SQA1" s="560"/>
      <c r="SQB1" s="560"/>
      <c r="SQC1" s="560"/>
      <c r="SQD1" s="560"/>
      <c r="SQE1" s="560"/>
      <c r="SQF1" s="560"/>
      <c r="SQG1" s="560"/>
      <c r="SQH1" s="560" t="s">
        <v>15</v>
      </c>
      <c r="SQI1" s="560"/>
      <c r="SQJ1" s="560"/>
      <c r="SQK1" s="560"/>
      <c r="SQL1" s="560"/>
      <c r="SQM1" s="560"/>
      <c r="SQN1" s="560"/>
      <c r="SQO1" s="560"/>
      <c r="SQP1" s="560" t="s">
        <v>15</v>
      </c>
      <c r="SQQ1" s="560"/>
      <c r="SQR1" s="560"/>
      <c r="SQS1" s="560"/>
      <c r="SQT1" s="560"/>
      <c r="SQU1" s="560"/>
      <c r="SQV1" s="560"/>
      <c r="SQW1" s="560"/>
      <c r="SQX1" s="560" t="s">
        <v>15</v>
      </c>
      <c r="SQY1" s="560"/>
      <c r="SQZ1" s="560"/>
      <c r="SRA1" s="560"/>
      <c r="SRB1" s="560"/>
      <c r="SRC1" s="560"/>
      <c r="SRD1" s="560"/>
      <c r="SRE1" s="560"/>
      <c r="SRF1" s="560" t="s">
        <v>15</v>
      </c>
      <c r="SRG1" s="560"/>
      <c r="SRH1" s="560"/>
      <c r="SRI1" s="560"/>
      <c r="SRJ1" s="560"/>
      <c r="SRK1" s="560"/>
      <c r="SRL1" s="560"/>
      <c r="SRM1" s="560"/>
      <c r="SRN1" s="560" t="s">
        <v>15</v>
      </c>
      <c r="SRO1" s="560"/>
      <c r="SRP1" s="560"/>
      <c r="SRQ1" s="560"/>
      <c r="SRR1" s="560"/>
      <c r="SRS1" s="560"/>
      <c r="SRT1" s="560"/>
      <c r="SRU1" s="560"/>
      <c r="SRV1" s="560" t="s">
        <v>15</v>
      </c>
      <c r="SRW1" s="560"/>
      <c r="SRX1" s="560"/>
      <c r="SRY1" s="560"/>
      <c r="SRZ1" s="560"/>
      <c r="SSA1" s="560"/>
      <c r="SSB1" s="560"/>
      <c r="SSC1" s="560"/>
      <c r="SSD1" s="560" t="s">
        <v>15</v>
      </c>
      <c r="SSE1" s="560"/>
      <c r="SSF1" s="560"/>
      <c r="SSG1" s="560"/>
      <c r="SSH1" s="560"/>
      <c r="SSI1" s="560"/>
      <c r="SSJ1" s="560"/>
      <c r="SSK1" s="560"/>
      <c r="SSL1" s="560" t="s">
        <v>15</v>
      </c>
      <c r="SSM1" s="560"/>
      <c r="SSN1" s="560"/>
      <c r="SSO1" s="560"/>
      <c r="SSP1" s="560"/>
      <c r="SSQ1" s="560"/>
      <c r="SSR1" s="560"/>
      <c r="SSS1" s="560"/>
      <c r="SST1" s="560" t="s">
        <v>15</v>
      </c>
      <c r="SSU1" s="560"/>
      <c r="SSV1" s="560"/>
      <c r="SSW1" s="560"/>
      <c r="SSX1" s="560"/>
      <c r="SSY1" s="560"/>
      <c r="SSZ1" s="560"/>
      <c r="STA1" s="560"/>
      <c r="STB1" s="560" t="s">
        <v>15</v>
      </c>
      <c r="STC1" s="560"/>
      <c r="STD1" s="560"/>
      <c r="STE1" s="560"/>
      <c r="STF1" s="560"/>
      <c r="STG1" s="560"/>
      <c r="STH1" s="560"/>
      <c r="STI1" s="560"/>
      <c r="STJ1" s="560" t="s">
        <v>15</v>
      </c>
      <c r="STK1" s="560"/>
      <c r="STL1" s="560"/>
      <c r="STM1" s="560"/>
      <c r="STN1" s="560"/>
      <c r="STO1" s="560"/>
      <c r="STP1" s="560"/>
      <c r="STQ1" s="560"/>
      <c r="STR1" s="560" t="s">
        <v>15</v>
      </c>
      <c r="STS1" s="560"/>
      <c r="STT1" s="560"/>
      <c r="STU1" s="560"/>
      <c r="STV1" s="560"/>
      <c r="STW1" s="560"/>
      <c r="STX1" s="560"/>
      <c r="STY1" s="560"/>
      <c r="STZ1" s="560" t="s">
        <v>15</v>
      </c>
      <c r="SUA1" s="560"/>
      <c r="SUB1" s="560"/>
      <c r="SUC1" s="560"/>
      <c r="SUD1" s="560"/>
      <c r="SUE1" s="560"/>
      <c r="SUF1" s="560"/>
      <c r="SUG1" s="560"/>
      <c r="SUH1" s="560" t="s">
        <v>15</v>
      </c>
      <c r="SUI1" s="560"/>
      <c r="SUJ1" s="560"/>
      <c r="SUK1" s="560"/>
      <c r="SUL1" s="560"/>
      <c r="SUM1" s="560"/>
      <c r="SUN1" s="560"/>
      <c r="SUO1" s="560"/>
      <c r="SUP1" s="560" t="s">
        <v>15</v>
      </c>
      <c r="SUQ1" s="560"/>
      <c r="SUR1" s="560"/>
      <c r="SUS1" s="560"/>
      <c r="SUT1" s="560"/>
      <c r="SUU1" s="560"/>
      <c r="SUV1" s="560"/>
      <c r="SUW1" s="560"/>
      <c r="SUX1" s="560" t="s">
        <v>15</v>
      </c>
      <c r="SUY1" s="560"/>
      <c r="SUZ1" s="560"/>
      <c r="SVA1" s="560"/>
      <c r="SVB1" s="560"/>
      <c r="SVC1" s="560"/>
      <c r="SVD1" s="560"/>
      <c r="SVE1" s="560"/>
      <c r="SVF1" s="560" t="s">
        <v>15</v>
      </c>
      <c r="SVG1" s="560"/>
      <c r="SVH1" s="560"/>
      <c r="SVI1" s="560"/>
      <c r="SVJ1" s="560"/>
      <c r="SVK1" s="560"/>
      <c r="SVL1" s="560"/>
      <c r="SVM1" s="560"/>
      <c r="SVN1" s="560" t="s">
        <v>15</v>
      </c>
      <c r="SVO1" s="560"/>
      <c r="SVP1" s="560"/>
      <c r="SVQ1" s="560"/>
      <c r="SVR1" s="560"/>
      <c r="SVS1" s="560"/>
      <c r="SVT1" s="560"/>
      <c r="SVU1" s="560"/>
      <c r="SVV1" s="560" t="s">
        <v>15</v>
      </c>
      <c r="SVW1" s="560"/>
      <c r="SVX1" s="560"/>
      <c r="SVY1" s="560"/>
      <c r="SVZ1" s="560"/>
      <c r="SWA1" s="560"/>
      <c r="SWB1" s="560"/>
      <c r="SWC1" s="560"/>
      <c r="SWD1" s="560" t="s">
        <v>15</v>
      </c>
      <c r="SWE1" s="560"/>
      <c r="SWF1" s="560"/>
      <c r="SWG1" s="560"/>
      <c r="SWH1" s="560"/>
      <c r="SWI1" s="560"/>
      <c r="SWJ1" s="560"/>
      <c r="SWK1" s="560"/>
      <c r="SWL1" s="560" t="s">
        <v>15</v>
      </c>
      <c r="SWM1" s="560"/>
      <c r="SWN1" s="560"/>
      <c r="SWO1" s="560"/>
      <c r="SWP1" s="560"/>
      <c r="SWQ1" s="560"/>
      <c r="SWR1" s="560"/>
      <c r="SWS1" s="560"/>
      <c r="SWT1" s="560" t="s">
        <v>15</v>
      </c>
      <c r="SWU1" s="560"/>
      <c r="SWV1" s="560"/>
      <c r="SWW1" s="560"/>
      <c r="SWX1" s="560"/>
      <c r="SWY1" s="560"/>
      <c r="SWZ1" s="560"/>
      <c r="SXA1" s="560"/>
      <c r="SXB1" s="560" t="s">
        <v>15</v>
      </c>
      <c r="SXC1" s="560"/>
      <c r="SXD1" s="560"/>
      <c r="SXE1" s="560"/>
      <c r="SXF1" s="560"/>
      <c r="SXG1" s="560"/>
      <c r="SXH1" s="560"/>
      <c r="SXI1" s="560"/>
      <c r="SXJ1" s="560" t="s">
        <v>15</v>
      </c>
      <c r="SXK1" s="560"/>
      <c r="SXL1" s="560"/>
      <c r="SXM1" s="560"/>
      <c r="SXN1" s="560"/>
      <c r="SXO1" s="560"/>
      <c r="SXP1" s="560"/>
      <c r="SXQ1" s="560"/>
      <c r="SXR1" s="560" t="s">
        <v>15</v>
      </c>
      <c r="SXS1" s="560"/>
      <c r="SXT1" s="560"/>
      <c r="SXU1" s="560"/>
      <c r="SXV1" s="560"/>
      <c r="SXW1" s="560"/>
      <c r="SXX1" s="560"/>
      <c r="SXY1" s="560"/>
      <c r="SXZ1" s="560" t="s">
        <v>15</v>
      </c>
      <c r="SYA1" s="560"/>
      <c r="SYB1" s="560"/>
      <c r="SYC1" s="560"/>
      <c r="SYD1" s="560"/>
      <c r="SYE1" s="560"/>
      <c r="SYF1" s="560"/>
      <c r="SYG1" s="560"/>
      <c r="SYH1" s="560" t="s">
        <v>15</v>
      </c>
      <c r="SYI1" s="560"/>
      <c r="SYJ1" s="560"/>
      <c r="SYK1" s="560"/>
      <c r="SYL1" s="560"/>
      <c r="SYM1" s="560"/>
      <c r="SYN1" s="560"/>
      <c r="SYO1" s="560"/>
      <c r="SYP1" s="560" t="s">
        <v>15</v>
      </c>
      <c r="SYQ1" s="560"/>
      <c r="SYR1" s="560"/>
      <c r="SYS1" s="560"/>
      <c r="SYT1" s="560"/>
      <c r="SYU1" s="560"/>
      <c r="SYV1" s="560"/>
      <c r="SYW1" s="560"/>
      <c r="SYX1" s="560" t="s">
        <v>15</v>
      </c>
      <c r="SYY1" s="560"/>
      <c r="SYZ1" s="560"/>
      <c r="SZA1" s="560"/>
      <c r="SZB1" s="560"/>
      <c r="SZC1" s="560"/>
      <c r="SZD1" s="560"/>
      <c r="SZE1" s="560"/>
      <c r="SZF1" s="560" t="s">
        <v>15</v>
      </c>
      <c r="SZG1" s="560"/>
      <c r="SZH1" s="560"/>
      <c r="SZI1" s="560"/>
      <c r="SZJ1" s="560"/>
      <c r="SZK1" s="560"/>
      <c r="SZL1" s="560"/>
      <c r="SZM1" s="560"/>
      <c r="SZN1" s="560" t="s">
        <v>15</v>
      </c>
      <c r="SZO1" s="560"/>
      <c r="SZP1" s="560"/>
      <c r="SZQ1" s="560"/>
      <c r="SZR1" s="560"/>
      <c r="SZS1" s="560"/>
      <c r="SZT1" s="560"/>
      <c r="SZU1" s="560"/>
      <c r="SZV1" s="560" t="s">
        <v>15</v>
      </c>
      <c r="SZW1" s="560"/>
      <c r="SZX1" s="560"/>
      <c r="SZY1" s="560"/>
      <c r="SZZ1" s="560"/>
      <c r="TAA1" s="560"/>
      <c r="TAB1" s="560"/>
      <c r="TAC1" s="560"/>
      <c r="TAD1" s="560" t="s">
        <v>15</v>
      </c>
      <c r="TAE1" s="560"/>
      <c r="TAF1" s="560"/>
      <c r="TAG1" s="560"/>
      <c r="TAH1" s="560"/>
      <c r="TAI1" s="560"/>
      <c r="TAJ1" s="560"/>
      <c r="TAK1" s="560"/>
      <c r="TAL1" s="560" t="s">
        <v>15</v>
      </c>
      <c r="TAM1" s="560"/>
      <c r="TAN1" s="560"/>
      <c r="TAO1" s="560"/>
      <c r="TAP1" s="560"/>
      <c r="TAQ1" s="560"/>
      <c r="TAR1" s="560"/>
      <c r="TAS1" s="560"/>
      <c r="TAT1" s="560" t="s">
        <v>15</v>
      </c>
      <c r="TAU1" s="560"/>
      <c r="TAV1" s="560"/>
      <c r="TAW1" s="560"/>
      <c r="TAX1" s="560"/>
      <c r="TAY1" s="560"/>
      <c r="TAZ1" s="560"/>
      <c r="TBA1" s="560"/>
      <c r="TBB1" s="560" t="s">
        <v>15</v>
      </c>
      <c r="TBC1" s="560"/>
      <c r="TBD1" s="560"/>
      <c r="TBE1" s="560"/>
      <c r="TBF1" s="560"/>
      <c r="TBG1" s="560"/>
      <c r="TBH1" s="560"/>
      <c r="TBI1" s="560"/>
      <c r="TBJ1" s="560" t="s">
        <v>15</v>
      </c>
      <c r="TBK1" s="560"/>
      <c r="TBL1" s="560"/>
      <c r="TBM1" s="560"/>
      <c r="TBN1" s="560"/>
      <c r="TBO1" s="560"/>
      <c r="TBP1" s="560"/>
      <c r="TBQ1" s="560"/>
      <c r="TBR1" s="560" t="s">
        <v>15</v>
      </c>
      <c r="TBS1" s="560"/>
      <c r="TBT1" s="560"/>
      <c r="TBU1" s="560"/>
      <c r="TBV1" s="560"/>
      <c r="TBW1" s="560"/>
      <c r="TBX1" s="560"/>
      <c r="TBY1" s="560"/>
      <c r="TBZ1" s="560" t="s">
        <v>15</v>
      </c>
      <c r="TCA1" s="560"/>
      <c r="TCB1" s="560"/>
      <c r="TCC1" s="560"/>
      <c r="TCD1" s="560"/>
      <c r="TCE1" s="560"/>
      <c r="TCF1" s="560"/>
      <c r="TCG1" s="560"/>
      <c r="TCH1" s="560" t="s">
        <v>15</v>
      </c>
      <c r="TCI1" s="560"/>
      <c r="TCJ1" s="560"/>
      <c r="TCK1" s="560"/>
      <c r="TCL1" s="560"/>
      <c r="TCM1" s="560"/>
      <c r="TCN1" s="560"/>
      <c r="TCO1" s="560"/>
      <c r="TCP1" s="560" t="s">
        <v>15</v>
      </c>
      <c r="TCQ1" s="560"/>
      <c r="TCR1" s="560"/>
      <c r="TCS1" s="560"/>
      <c r="TCT1" s="560"/>
      <c r="TCU1" s="560"/>
      <c r="TCV1" s="560"/>
      <c r="TCW1" s="560"/>
      <c r="TCX1" s="560" t="s">
        <v>15</v>
      </c>
      <c r="TCY1" s="560"/>
      <c r="TCZ1" s="560"/>
      <c r="TDA1" s="560"/>
      <c r="TDB1" s="560"/>
      <c r="TDC1" s="560"/>
      <c r="TDD1" s="560"/>
      <c r="TDE1" s="560"/>
      <c r="TDF1" s="560" t="s">
        <v>15</v>
      </c>
      <c r="TDG1" s="560"/>
      <c r="TDH1" s="560"/>
      <c r="TDI1" s="560"/>
      <c r="TDJ1" s="560"/>
      <c r="TDK1" s="560"/>
      <c r="TDL1" s="560"/>
      <c r="TDM1" s="560"/>
      <c r="TDN1" s="560" t="s">
        <v>15</v>
      </c>
      <c r="TDO1" s="560"/>
      <c r="TDP1" s="560"/>
      <c r="TDQ1" s="560"/>
      <c r="TDR1" s="560"/>
      <c r="TDS1" s="560"/>
      <c r="TDT1" s="560"/>
      <c r="TDU1" s="560"/>
      <c r="TDV1" s="560" t="s">
        <v>15</v>
      </c>
      <c r="TDW1" s="560"/>
      <c r="TDX1" s="560"/>
      <c r="TDY1" s="560"/>
      <c r="TDZ1" s="560"/>
      <c r="TEA1" s="560"/>
      <c r="TEB1" s="560"/>
      <c r="TEC1" s="560"/>
      <c r="TED1" s="560" t="s">
        <v>15</v>
      </c>
      <c r="TEE1" s="560"/>
      <c r="TEF1" s="560"/>
      <c r="TEG1" s="560"/>
      <c r="TEH1" s="560"/>
      <c r="TEI1" s="560"/>
      <c r="TEJ1" s="560"/>
      <c r="TEK1" s="560"/>
      <c r="TEL1" s="560" t="s">
        <v>15</v>
      </c>
      <c r="TEM1" s="560"/>
      <c r="TEN1" s="560"/>
      <c r="TEO1" s="560"/>
      <c r="TEP1" s="560"/>
      <c r="TEQ1" s="560"/>
      <c r="TER1" s="560"/>
      <c r="TES1" s="560"/>
      <c r="TET1" s="560" t="s">
        <v>15</v>
      </c>
      <c r="TEU1" s="560"/>
      <c r="TEV1" s="560"/>
      <c r="TEW1" s="560"/>
      <c r="TEX1" s="560"/>
      <c r="TEY1" s="560"/>
      <c r="TEZ1" s="560"/>
      <c r="TFA1" s="560"/>
      <c r="TFB1" s="560" t="s">
        <v>15</v>
      </c>
      <c r="TFC1" s="560"/>
      <c r="TFD1" s="560"/>
      <c r="TFE1" s="560"/>
      <c r="TFF1" s="560"/>
      <c r="TFG1" s="560"/>
      <c r="TFH1" s="560"/>
      <c r="TFI1" s="560"/>
      <c r="TFJ1" s="560" t="s">
        <v>15</v>
      </c>
      <c r="TFK1" s="560"/>
      <c r="TFL1" s="560"/>
      <c r="TFM1" s="560"/>
      <c r="TFN1" s="560"/>
      <c r="TFO1" s="560"/>
      <c r="TFP1" s="560"/>
      <c r="TFQ1" s="560"/>
      <c r="TFR1" s="560" t="s">
        <v>15</v>
      </c>
      <c r="TFS1" s="560"/>
      <c r="TFT1" s="560"/>
      <c r="TFU1" s="560"/>
      <c r="TFV1" s="560"/>
      <c r="TFW1" s="560"/>
      <c r="TFX1" s="560"/>
      <c r="TFY1" s="560"/>
      <c r="TFZ1" s="560" t="s">
        <v>15</v>
      </c>
      <c r="TGA1" s="560"/>
      <c r="TGB1" s="560"/>
      <c r="TGC1" s="560"/>
      <c r="TGD1" s="560"/>
      <c r="TGE1" s="560"/>
      <c r="TGF1" s="560"/>
      <c r="TGG1" s="560"/>
      <c r="TGH1" s="560" t="s">
        <v>15</v>
      </c>
      <c r="TGI1" s="560"/>
      <c r="TGJ1" s="560"/>
      <c r="TGK1" s="560"/>
      <c r="TGL1" s="560"/>
      <c r="TGM1" s="560"/>
      <c r="TGN1" s="560"/>
      <c r="TGO1" s="560"/>
      <c r="TGP1" s="560" t="s">
        <v>15</v>
      </c>
      <c r="TGQ1" s="560"/>
      <c r="TGR1" s="560"/>
      <c r="TGS1" s="560"/>
      <c r="TGT1" s="560"/>
      <c r="TGU1" s="560"/>
      <c r="TGV1" s="560"/>
      <c r="TGW1" s="560"/>
      <c r="TGX1" s="560" t="s">
        <v>15</v>
      </c>
      <c r="TGY1" s="560"/>
      <c r="TGZ1" s="560"/>
      <c r="THA1" s="560"/>
      <c r="THB1" s="560"/>
      <c r="THC1" s="560"/>
      <c r="THD1" s="560"/>
      <c r="THE1" s="560"/>
      <c r="THF1" s="560" t="s">
        <v>15</v>
      </c>
      <c r="THG1" s="560"/>
      <c r="THH1" s="560"/>
      <c r="THI1" s="560"/>
      <c r="THJ1" s="560"/>
      <c r="THK1" s="560"/>
      <c r="THL1" s="560"/>
      <c r="THM1" s="560"/>
      <c r="THN1" s="560" t="s">
        <v>15</v>
      </c>
      <c r="THO1" s="560"/>
      <c r="THP1" s="560"/>
      <c r="THQ1" s="560"/>
      <c r="THR1" s="560"/>
      <c r="THS1" s="560"/>
      <c r="THT1" s="560"/>
      <c r="THU1" s="560"/>
      <c r="THV1" s="560" t="s">
        <v>15</v>
      </c>
      <c r="THW1" s="560"/>
      <c r="THX1" s="560"/>
      <c r="THY1" s="560"/>
      <c r="THZ1" s="560"/>
      <c r="TIA1" s="560"/>
      <c r="TIB1" s="560"/>
      <c r="TIC1" s="560"/>
      <c r="TID1" s="560" t="s">
        <v>15</v>
      </c>
      <c r="TIE1" s="560"/>
      <c r="TIF1" s="560"/>
      <c r="TIG1" s="560"/>
      <c r="TIH1" s="560"/>
      <c r="TII1" s="560"/>
      <c r="TIJ1" s="560"/>
      <c r="TIK1" s="560"/>
      <c r="TIL1" s="560" t="s">
        <v>15</v>
      </c>
      <c r="TIM1" s="560"/>
      <c r="TIN1" s="560"/>
      <c r="TIO1" s="560"/>
      <c r="TIP1" s="560"/>
      <c r="TIQ1" s="560"/>
      <c r="TIR1" s="560"/>
      <c r="TIS1" s="560"/>
      <c r="TIT1" s="560" t="s">
        <v>15</v>
      </c>
      <c r="TIU1" s="560"/>
      <c r="TIV1" s="560"/>
      <c r="TIW1" s="560"/>
      <c r="TIX1" s="560"/>
      <c r="TIY1" s="560"/>
      <c r="TIZ1" s="560"/>
      <c r="TJA1" s="560"/>
      <c r="TJB1" s="560" t="s">
        <v>15</v>
      </c>
      <c r="TJC1" s="560"/>
      <c r="TJD1" s="560"/>
      <c r="TJE1" s="560"/>
      <c r="TJF1" s="560"/>
      <c r="TJG1" s="560"/>
      <c r="TJH1" s="560"/>
      <c r="TJI1" s="560"/>
      <c r="TJJ1" s="560" t="s">
        <v>15</v>
      </c>
      <c r="TJK1" s="560"/>
      <c r="TJL1" s="560"/>
      <c r="TJM1" s="560"/>
      <c r="TJN1" s="560"/>
      <c r="TJO1" s="560"/>
      <c r="TJP1" s="560"/>
      <c r="TJQ1" s="560"/>
      <c r="TJR1" s="560" t="s">
        <v>15</v>
      </c>
      <c r="TJS1" s="560"/>
      <c r="TJT1" s="560"/>
      <c r="TJU1" s="560"/>
      <c r="TJV1" s="560"/>
      <c r="TJW1" s="560"/>
      <c r="TJX1" s="560"/>
      <c r="TJY1" s="560"/>
      <c r="TJZ1" s="560" t="s">
        <v>15</v>
      </c>
      <c r="TKA1" s="560"/>
      <c r="TKB1" s="560"/>
      <c r="TKC1" s="560"/>
      <c r="TKD1" s="560"/>
      <c r="TKE1" s="560"/>
      <c r="TKF1" s="560"/>
      <c r="TKG1" s="560"/>
      <c r="TKH1" s="560" t="s">
        <v>15</v>
      </c>
      <c r="TKI1" s="560"/>
      <c r="TKJ1" s="560"/>
      <c r="TKK1" s="560"/>
      <c r="TKL1" s="560"/>
      <c r="TKM1" s="560"/>
      <c r="TKN1" s="560"/>
      <c r="TKO1" s="560"/>
      <c r="TKP1" s="560" t="s">
        <v>15</v>
      </c>
      <c r="TKQ1" s="560"/>
      <c r="TKR1" s="560"/>
      <c r="TKS1" s="560"/>
      <c r="TKT1" s="560"/>
      <c r="TKU1" s="560"/>
      <c r="TKV1" s="560"/>
      <c r="TKW1" s="560"/>
      <c r="TKX1" s="560" t="s">
        <v>15</v>
      </c>
      <c r="TKY1" s="560"/>
      <c r="TKZ1" s="560"/>
      <c r="TLA1" s="560"/>
      <c r="TLB1" s="560"/>
      <c r="TLC1" s="560"/>
      <c r="TLD1" s="560"/>
      <c r="TLE1" s="560"/>
      <c r="TLF1" s="560" t="s">
        <v>15</v>
      </c>
      <c r="TLG1" s="560"/>
      <c r="TLH1" s="560"/>
      <c r="TLI1" s="560"/>
      <c r="TLJ1" s="560"/>
      <c r="TLK1" s="560"/>
      <c r="TLL1" s="560"/>
      <c r="TLM1" s="560"/>
      <c r="TLN1" s="560" t="s">
        <v>15</v>
      </c>
      <c r="TLO1" s="560"/>
      <c r="TLP1" s="560"/>
      <c r="TLQ1" s="560"/>
      <c r="TLR1" s="560"/>
      <c r="TLS1" s="560"/>
      <c r="TLT1" s="560"/>
      <c r="TLU1" s="560"/>
      <c r="TLV1" s="560" t="s">
        <v>15</v>
      </c>
      <c r="TLW1" s="560"/>
      <c r="TLX1" s="560"/>
      <c r="TLY1" s="560"/>
      <c r="TLZ1" s="560"/>
      <c r="TMA1" s="560"/>
      <c r="TMB1" s="560"/>
      <c r="TMC1" s="560"/>
      <c r="TMD1" s="560" t="s">
        <v>15</v>
      </c>
      <c r="TME1" s="560"/>
      <c r="TMF1" s="560"/>
      <c r="TMG1" s="560"/>
      <c r="TMH1" s="560"/>
      <c r="TMI1" s="560"/>
      <c r="TMJ1" s="560"/>
      <c r="TMK1" s="560"/>
      <c r="TML1" s="560" t="s">
        <v>15</v>
      </c>
      <c r="TMM1" s="560"/>
      <c r="TMN1" s="560"/>
      <c r="TMO1" s="560"/>
      <c r="TMP1" s="560"/>
      <c r="TMQ1" s="560"/>
      <c r="TMR1" s="560"/>
      <c r="TMS1" s="560"/>
      <c r="TMT1" s="560" t="s">
        <v>15</v>
      </c>
      <c r="TMU1" s="560"/>
      <c r="TMV1" s="560"/>
      <c r="TMW1" s="560"/>
      <c r="TMX1" s="560"/>
      <c r="TMY1" s="560"/>
      <c r="TMZ1" s="560"/>
      <c r="TNA1" s="560"/>
      <c r="TNB1" s="560" t="s">
        <v>15</v>
      </c>
      <c r="TNC1" s="560"/>
      <c r="TND1" s="560"/>
      <c r="TNE1" s="560"/>
      <c r="TNF1" s="560"/>
      <c r="TNG1" s="560"/>
      <c r="TNH1" s="560"/>
      <c r="TNI1" s="560"/>
      <c r="TNJ1" s="560" t="s">
        <v>15</v>
      </c>
      <c r="TNK1" s="560"/>
      <c r="TNL1" s="560"/>
      <c r="TNM1" s="560"/>
      <c r="TNN1" s="560"/>
      <c r="TNO1" s="560"/>
      <c r="TNP1" s="560"/>
      <c r="TNQ1" s="560"/>
      <c r="TNR1" s="560" t="s">
        <v>15</v>
      </c>
      <c r="TNS1" s="560"/>
      <c r="TNT1" s="560"/>
      <c r="TNU1" s="560"/>
      <c r="TNV1" s="560"/>
      <c r="TNW1" s="560"/>
      <c r="TNX1" s="560"/>
      <c r="TNY1" s="560"/>
      <c r="TNZ1" s="560" t="s">
        <v>15</v>
      </c>
      <c r="TOA1" s="560"/>
      <c r="TOB1" s="560"/>
      <c r="TOC1" s="560"/>
      <c r="TOD1" s="560"/>
      <c r="TOE1" s="560"/>
      <c r="TOF1" s="560"/>
      <c r="TOG1" s="560"/>
      <c r="TOH1" s="560" t="s">
        <v>15</v>
      </c>
      <c r="TOI1" s="560"/>
      <c r="TOJ1" s="560"/>
      <c r="TOK1" s="560"/>
      <c r="TOL1" s="560"/>
      <c r="TOM1" s="560"/>
      <c r="TON1" s="560"/>
      <c r="TOO1" s="560"/>
      <c r="TOP1" s="560" t="s">
        <v>15</v>
      </c>
      <c r="TOQ1" s="560"/>
      <c r="TOR1" s="560"/>
      <c r="TOS1" s="560"/>
      <c r="TOT1" s="560"/>
      <c r="TOU1" s="560"/>
      <c r="TOV1" s="560"/>
      <c r="TOW1" s="560"/>
      <c r="TOX1" s="560" t="s">
        <v>15</v>
      </c>
      <c r="TOY1" s="560"/>
      <c r="TOZ1" s="560"/>
      <c r="TPA1" s="560"/>
      <c r="TPB1" s="560"/>
      <c r="TPC1" s="560"/>
      <c r="TPD1" s="560"/>
      <c r="TPE1" s="560"/>
      <c r="TPF1" s="560" t="s">
        <v>15</v>
      </c>
      <c r="TPG1" s="560"/>
      <c r="TPH1" s="560"/>
      <c r="TPI1" s="560"/>
      <c r="TPJ1" s="560"/>
      <c r="TPK1" s="560"/>
      <c r="TPL1" s="560"/>
      <c r="TPM1" s="560"/>
      <c r="TPN1" s="560" t="s">
        <v>15</v>
      </c>
      <c r="TPO1" s="560"/>
      <c r="TPP1" s="560"/>
      <c r="TPQ1" s="560"/>
      <c r="TPR1" s="560"/>
      <c r="TPS1" s="560"/>
      <c r="TPT1" s="560"/>
      <c r="TPU1" s="560"/>
      <c r="TPV1" s="560" t="s">
        <v>15</v>
      </c>
      <c r="TPW1" s="560"/>
      <c r="TPX1" s="560"/>
      <c r="TPY1" s="560"/>
      <c r="TPZ1" s="560"/>
      <c r="TQA1" s="560"/>
      <c r="TQB1" s="560"/>
      <c r="TQC1" s="560"/>
      <c r="TQD1" s="560" t="s">
        <v>15</v>
      </c>
      <c r="TQE1" s="560"/>
      <c r="TQF1" s="560"/>
      <c r="TQG1" s="560"/>
      <c r="TQH1" s="560"/>
      <c r="TQI1" s="560"/>
      <c r="TQJ1" s="560"/>
      <c r="TQK1" s="560"/>
      <c r="TQL1" s="560" t="s">
        <v>15</v>
      </c>
      <c r="TQM1" s="560"/>
      <c r="TQN1" s="560"/>
      <c r="TQO1" s="560"/>
      <c r="TQP1" s="560"/>
      <c r="TQQ1" s="560"/>
      <c r="TQR1" s="560"/>
      <c r="TQS1" s="560"/>
      <c r="TQT1" s="560" t="s">
        <v>15</v>
      </c>
      <c r="TQU1" s="560"/>
      <c r="TQV1" s="560"/>
      <c r="TQW1" s="560"/>
      <c r="TQX1" s="560"/>
      <c r="TQY1" s="560"/>
      <c r="TQZ1" s="560"/>
      <c r="TRA1" s="560"/>
      <c r="TRB1" s="560" t="s">
        <v>15</v>
      </c>
      <c r="TRC1" s="560"/>
      <c r="TRD1" s="560"/>
      <c r="TRE1" s="560"/>
      <c r="TRF1" s="560"/>
      <c r="TRG1" s="560"/>
      <c r="TRH1" s="560"/>
      <c r="TRI1" s="560"/>
      <c r="TRJ1" s="560" t="s">
        <v>15</v>
      </c>
      <c r="TRK1" s="560"/>
      <c r="TRL1" s="560"/>
      <c r="TRM1" s="560"/>
      <c r="TRN1" s="560"/>
      <c r="TRO1" s="560"/>
      <c r="TRP1" s="560"/>
      <c r="TRQ1" s="560"/>
      <c r="TRR1" s="560" t="s">
        <v>15</v>
      </c>
      <c r="TRS1" s="560"/>
      <c r="TRT1" s="560"/>
      <c r="TRU1" s="560"/>
      <c r="TRV1" s="560"/>
      <c r="TRW1" s="560"/>
      <c r="TRX1" s="560"/>
      <c r="TRY1" s="560"/>
      <c r="TRZ1" s="560" t="s">
        <v>15</v>
      </c>
      <c r="TSA1" s="560"/>
      <c r="TSB1" s="560"/>
      <c r="TSC1" s="560"/>
      <c r="TSD1" s="560"/>
      <c r="TSE1" s="560"/>
      <c r="TSF1" s="560"/>
      <c r="TSG1" s="560"/>
      <c r="TSH1" s="560" t="s">
        <v>15</v>
      </c>
      <c r="TSI1" s="560"/>
      <c r="TSJ1" s="560"/>
      <c r="TSK1" s="560"/>
      <c r="TSL1" s="560"/>
      <c r="TSM1" s="560"/>
      <c r="TSN1" s="560"/>
      <c r="TSO1" s="560"/>
      <c r="TSP1" s="560" t="s">
        <v>15</v>
      </c>
      <c r="TSQ1" s="560"/>
      <c r="TSR1" s="560"/>
      <c r="TSS1" s="560"/>
      <c r="TST1" s="560"/>
      <c r="TSU1" s="560"/>
      <c r="TSV1" s="560"/>
      <c r="TSW1" s="560"/>
      <c r="TSX1" s="560" t="s">
        <v>15</v>
      </c>
      <c r="TSY1" s="560"/>
      <c r="TSZ1" s="560"/>
      <c r="TTA1" s="560"/>
      <c r="TTB1" s="560"/>
      <c r="TTC1" s="560"/>
      <c r="TTD1" s="560"/>
      <c r="TTE1" s="560"/>
      <c r="TTF1" s="560" t="s">
        <v>15</v>
      </c>
      <c r="TTG1" s="560"/>
      <c r="TTH1" s="560"/>
      <c r="TTI1" s="560"/>
      <c r="TTJ1" s="560"/>
      <c r="TTK1" s="560"/>
      <c r="TTL1" s="560"/>
      <c r="TTM1" s="560"/>
      <c r="TTN1" s="560" t="s">
        <v>15</v>
      </c>
      <c r="TTO1" s="560"/>
      <c r="TTP1" s="560"/>
      <c r="TTQ1" s="560"/>
      <c r="TTR1" s="560"/>
      <c r="TTS1" s="560"/>
      <c r="TTT1" s="560"/>
      <c r="TTU1" s="560"/>
      <c r="TTV1" s="560" t="s">
        <v>15</v>
      </c>
      <c r="TTW1" s="560"/>
      <c r="TTX1" s="560"/>
      <c r="TTY1" s="560"/>
      <c r="TTZ1" s="560"/>
      <c r="TUA1" s="560"/>
      <c r="TUB1" s="560"/>
      <c r="TUC1" s="560"/>
      <c r="TUD1" s="560" t="s">
        <v>15</v>
      </c>
      <c r="TUE1" s="560"/>
      <c r="TUF1" s="560"/>
      <c r="TUG1" s="560"/>
      <c r="TUH1" s="560"/>
      <c r="TUI1" s="560"/>
      <c r="TUJ1" s="560"/>
      <c r="TUK1" s="560"/>
      <c r="TUL1" s="560" t="s">
        <v>15</v>
      </c>
      <c r="TUM1" s="560"/>
      <c r="TUN1" s="560"/>
      <c r="TUO1" s="560"/>
      <c r="TUP1" s="560"/>
      <c r="TUQ1" s="560"/>
      <c r="TUR1" s="560"/>
      <c r="TUS1" s="560"/>
      <c r="TUT1" s="560" t="s">
        <v>15</v>
      </c>
      <c r="TUU1" s="560"/>
      <c r="TUV1" s="560"/>
      <c r="TUW1" s="560"/>
      <c r="TUX1" s="560"/>
      <c r="TUY1" s="560"/>
      <c r="TUZ1" s="560"/>
      <c r="TVA1" s="560"/>
      <c r="TVB1" s="560" t="s">
        <v>15</v>
      </c>
      <c r="TVC1" s="560"/>
      <c r="TVD1" s="560"/>
      <c r="TVE1" s="560"/>
      <c r="TVF1" s="560"/>
      <c r="TVG1" s="560"/>
      <c r="TVH1" s="560"/>
      <c r="TVI1" s="560"/>
      <c r="TVJ1" s="560" t="s">
        <v>15</v>
      </c>
      <c r="TVK1" s="560"/>
      <c r="TVL1" s="560"/>
      <c r="TVM1" s="560"/>
      <c r="TVN1" s="560"/>
      <c r="TVO1" s="560"/>
      <c r="TVP1" s="560"/>
      <c r="TVQ1" s="560"/>
      <c r="TVR1" s="560" t="s">
        <v>15</v>
      </c>
      <c r="TVS1" s="560"/>
      <c r="TVT1" s="560"/>
      <c r="TVU1" s="560"/>
      <c r="TVV1" s="560"/>
      <c r="TVW1" s="560"/>
      <c r="TVX1" s="560"/>
      <c r="TVY1" s="560"/>
      <c r="TVZ1" s="560" t="s">
        <v>15</v>
      </c>
      <c r="TWA1" s="560"/>
      <c r="TWB1" s="560"/>
      <c r="TWC1" s="560"/>
      <c r="TWD1" s="560"/>
      <c r="TWE1" s="560"/>
      <c r="TWF1" s="560"/>
      <c r="TWG1" s="560"/>
      <c r="TWH1" s="560" t="s">
        <v>15</v>
      </c>
      <c r="TWI1" s="560"/>
      <c r="TWJ1" s="560"/>
      <c r="TWK1" s="560"/>
      <c r="TWL1" s="560"/>
      <c r="TWM1" s="560"/>
      <c r="TWN1" s="560"/>
      <c r="TWO1" s="560"/>
      <c r="TWP1" s="560" t="s">
        <v>15</v>
      </c>
      <c r="TWQ1" s="560"/>
      <c r="TWR1" s="560"/>
      <c r="TWS1" s="560"/>
      <c r="TWT1" s="560"/>
      <c r="TWU1" s="560"/>
      <c r="TWV1" s="560"/>
      <c r="TWW1" s="560"/>
      <c r="TWX1" s="560" t="s">
        <v>15</v>
      </c>
      <c r="TWY1" s="560"/>
      <c r="TWZ1" s="560"/>
      <c r="TXA1" s="560"/>
      <c r="TXB1" s="560"/>
      <c r="TXC1" s="560"/>
      <c r="TXD1" s="560"/>
      <c r="TXE1" s="560"/>
      <c r="TXF1" s="560" t="s">
        <v>15</v>
      </c>
      <c r="TXG1" s="560"/>
      <c r="TXH1" s="560"/>
      <c r="TXI1" s="560"/>
      <c r="TXJ1" s="560"/>
      <c r="TXK1" s="560"/>
      <c r="TXL1" s="560"/>
      <c r="TXM1" s="560"/>
      <c r="TXN1" s="560" t="s">
        <v>15</v>
      </c>
      <c r="TXO1" s="560"/>
      <c r="TXP1" s="560"/>
      <c r="TXQ1" s="560"/>
      <c r="TXR1" s="560"/>
      <c r="TXS1" s="560"/>
      <c r="TXT1" s="560"/>
      <c r="TXU1" s="560"/>
      <c r="TXV1" s="560" t="s">
        <v>15</v>
      </c>
      <c r="TXW1" s="560"/>
      <c r="TXX1" s="560"/>
      <c r="TXY1" s="560"/>
      <c r="TXZ1" s="560"/>
      <c r="TYA1" s="560"/>
      <c r="TYB1" s="560"/>
      <c r="TYC1" s="560"/>
      <c r="TYD1" s="560" t="s">
        <v>15</v>
      </c>
      <c r="TYE1" s="560"/>
      <c r="TYF1" s="560"/>
      <c r="TYG1" s="560"/>
      <c r="TYH1" s="560"/>
      <c r="TYI1" s="560"/>
      <c r="TYJ1" s="560"/>
      <c r="TYK1" s="560"/>
      <c r="TYL1" s="560" t="s">
        <v>15</v>
      </c>
      <c r="TYM1" s="560"/>
      <c r="TYN1" s="560"/>
      <c r="TYO1" s="560"/>
      <c r="TYP1" s="560"/>
      <c r="TYQ1" s="560"/>
      <c r="TYR1" s="560"/>
      <c r="TYS1" s="560"/>
      <c r="TYT1" s="560" t="s">
        <v>15</v>
      </c>
      <c r="TYU1" s="560"/>
      <c r="TYV1" s="560"/>
      <c r="TYW1" s="560"/>
      <c r="TYX1" s="560"/>
      <c r="TYY1" s="560"/>
      <c r="TYZ1" s="560"/>
      <c r="TZA1" s="560"/>
      <c r="TZB1" s="560" t="s">
        <v>15</v>
      </c>
      <c r="TZC1" s="560"/>
      <c r="TZD1" s="560"/>
      <c r="TZE1" s="560"/>
      <c r="TZF1" s="560"/>
      <c r="TZG1" s="560"/>
      <c r="TZH1" s="560"/>
      <c r="TZI1" s="560"/>
      <c r="TZJ1" s="560" t="s">
        <v>15</v>
      </c>
      <c r="TZK1" s="560"/>
      <c r="TZL1" s="560"/>
      <c r="TZM1" s="560"/>
      <c r="TZN1" s="560"/>
      <c r="TZO1" s="560"/>
      <c r="TZP1" s="560"/>
      <c r="TZQ1" s="560"/>
      <c r="TZR1" s="560" t="s">
        <v>15</v>
      </c>
      <c r="TZS1" s="560"/>
      <c r="TZT1" s="560"/>
      <c r="TZU1" s="560"/>
      <c r="TZV1" s="560"/>
      <c r="TZW1" s="560"/>
      <c r="TZX1" s="560"/>
      <c r="TZY1" s="560"/>
      <c r="TZZ1" s="560" t="s">
        <v>15</v>
      </c>
      <c r="UAA1" s="560"/>
      <c r="UAB1" s="560"/>
      <c r="UAC1" s="560"/>
      <c r="UAD1" s="560"/>
      <c r="UAE1" s="560"/>
      <c r="UAF1" s="560"/>
      <c r="UAG1" s="560"/>
      <c r="UAH1" s="560" t="s">
        <v>15</v>
      </c>
      <c r="UAI1" s="560"/>
      <c r="UAJ1" s="560"/>
      <c r="UAK1" s="560"/>
      <c r="UAL1" s="560"/>
      <c r="UAM1" s="560"/>
      <c r="UAN1" s="560"/>
      <c r="UAO1" s="560"/>
      <c r="UAP1" s="560" t="s">
        <v>15</v>
      </c>
      <c r="UAQ1" s="560"/>
      <c r="UAR1" s="560"/>
      <c r="UAS1" s="560"/>
      <c r="UAT1" s="560"/>
      <c r="UAU1" s="560"/>
      <c r="UAV1" s="560"/>
      <c r="UAW1" s="560"/>
      <c r="UAX1" s="560" t="s">
        <v>15</v>
      </c>
      <c r="UAY1" s="560"/>
      <c r="UAZ1" s="560"/>
      <c r="UBA1" s="560"/>
      <c r="UBB1" s="560"/>
      <c r="UBC1" s="560"/>
      <c r="UBD1" s="560"/>
      <c r="UBE1" s="560"/>
      <c r="UBF1" s="560" t="s">
        <v>15</v>
      </c>
      <c r="UBG1" s="560"/>
      <c r="UBH1" s="560"/>
      <c r="UBI1" s="560"/>
      <c r="UBJ1" s="560"/>
      <c r="UBK1" s="560"/>
      <c r="UBL1" s="560"/>
      <c r="UBM1" s="560"/>
      <c r="UBN1" s="560" t="s">
        <v>15</v>
      </c>
      <c r="UBO1" s="560"/>
      <c r="UBP1" s="560"/>
      <c r="UBQ1" s="560"/>
      <c r="UBR1" s="560"/>
      <c r="UBS1" s="560"/>
      <c r="UBT1" s="560"/>
      <c r="UBU1" s="560"/>
      <c r="UBV1" s="560" t="s">
        <v>15</v>
      </c>
      <c r="UBW1" s="560"/>
      <c r="UBX1" s="560"/>
      <c r="UBY1" s="560"/>
      <c r="UBZ1" s="560"/>
      <c r="UCA1" s="560"/>
      <c r="UCB1" s="560"/>
      <c r="UCC1" s="560"/>
      <c r="UCD1" s="560" t="s">
        <v>15</v>
      </c>
      <c r="UCE1" s="560"/>
      <c r="UCF1" s="560"/>
      <c r="UCG1" s="560"/>
      <c r="UCH1" s="560"/>
      <c r="UCI1" s="560"/>
      <c r="UCJ1" s="560"/>
      <c r="UCK1" s="560"/>
      <c r="UCL1" s="560" t="s">
        <v>15</v>
      </c>
      <c r="UCM1" s="560"/>
      <c r="UCN1" s="560"/>
      <c r="UCO1" s="560"/>
      <c r="UCP1" s="560"/>
      <c r="UCQ1" s="560"/>
      <c r="UCR1" s="560"/>
      <c r="UCS1" s="560"/>
      <c r="UCT1" s="560" t="s">
        <v>15</v>
      </c>
      <c r="UCU1" s="560"/>
      <c r="UCV1" s="560"/>
      <c r="UCW1" s="560"/>
      <c r="UCX1" s="560"/>
      <c r="UCY1" s="560"/>
      <c r="UCZ1" s="560"/>
      <c r="UDA1" s="560"/>
      <c r="UDB1" s="560" t="s">
        <v>15</v>
      </c>
      <c r="UDC1" s="560"/>
      <c r="UDD1" s="560"/>
      <c r="UDE1" s="560"/>
      <c r="UDF1" s="560"/>
      <c r="UDG1" s="560"/>
      <c r="UDH1" s="560"/>
      <c r="UDI1" s="560"/>
      <c r="UDJ1" s="560" t="s">
        <v>15</v>
      </c>
      <c r="UDK1" s="560"/>
      <c r="UDL1" s="560"/>
      <c r="UDM1" s="560"/>
      <c r="UDN1" s="560"/>
      <c r="UDO1" s="560"/>
      <c r="UDP1" s="560"/>
      <c r="UDQ1" s="560"/>
      <c r="UDR1" s="560" t="s">
        <v>15</v>
      </c>
      <c r="UDS1" s="560"/>
      <c r="UDT1" s="560"/>
      <c r="UDU1" s="560"/>
      <c r="UDV1" s="560"/>
      <c r="UDW1" s="560"/>
      <c r="UDX1" s="560"/>
      <c r="UDY1" s="560"/>
      <c r="UDZ1" s="560" t="s">
        <v>15</v>
      </c>
      <c r="UEA1" s="560"/>
      <c r="UEB1" s="560"/>
      <c r="UEC1" s="560"/>
      <c r="UED1" s="560"/>
      <c r="UEE1" s="560"/>
      <c r="UEF1" s="560"/>
      <c r="UEG1" s="560"/>
      <c r="UEH1" s="560" t="s">
        <v>15</v>
      </c>
      <c r="UEI1" s="560"/>
      <c r="UEJ1" s="560"/>
      <c r="UEK1" s="560"/>
      <c r="UEL1" s="560"/>
      <c r="UEM1" s="560"/>
      <c r="UEN1" s="560"/>
      <c r="UEO1" s="560"/>
      <c r="UEP1" s="560" t="s">
        <v>15</v>
      </c>
      <c r="UEQ1" s="560"/>
      <c r="UER1" s="560"/>
      <c r="UES1" s="560"/>
      <c r="UET1" s="560"/>
      <c r="UEU1" s="560"/>
      <c r="UEV1" s="560"/>
      <c r="UEW1" s="560"/>
      <c r="UEX1" s="560" t="s">
        <v>15</v>
      </c>
      <c r="UEY1" s="560"/>
      <c r="UEZ1" s="560"/>
      <c r="UFA1" s="560"/>
      <c r="UFB1" s="560"/>
      <c r="UFC1" s="560"/>
      <c r="UFD1" s="560"/>
      <c r="UFE1" s="560"/>
      <c r="UFF1" s="560" t="s">
        <v>15</v>
      </c>
      <c r="UFG1" s="560"/>
      <c r="UFH1" s="560"/>
      <c r="UFI1" s="560"/>
      <c r="UFJ1" s="560"/>
      <c r="UFK1" s="560"/>
      <c r="UFL1" s="560"/>
      <c r="UFM1" s="560"/>
      <c r="UFN1" s="560" t="s">
        <v>15</v>
      </c>
      <c r="UFO1" s="560"/>
      <c r="UFP1" s="560"/>
      <c r="UFQ1" s="560"/>
      <c r="UFR1" s="560"/>
      <c r="UFS1" s="560"/>
      <c r="UFT1" s="560"/>
      <c r="UFU1" s="560"/>
      <c r="UFV1" s="560" t="s">
        <v>15</v>
      </c>
      <c r="UFW1" s="560"/>
      <c r="UFX1" s="560"/>
      <c r="UFY1" s="560"/>
      <c r="UFZ1" s="560"/>
      <c r="UGA1" s="560"/>
      <c r="UGB1" s="560"/>
      <c r="UGC1" s="560"/>
      <c r="UGD1" s="560" t="s">
        <v>15</v>
      </c>
      <c r="UGE1" s="560"/>
      <c r="UGF1" s="560"/>
      <c r="UGG1" s="560"/>
      <c r="UGH1" s="560"/>
      <c r="UGI1" s="560"/>
      <c r="UGJ1" s="560"/>
      <c r="UGK1" s="560"/>
      <c r="UGL1" s="560" t="s">
        <v>15</v>
      </c>
      <c r="UGM1" s="560"/>
      <c r="UGN1" s="560"/>
      <c r="UGO1" s="560"/>
      <c r="UGP1" s="560"/>
      <c r="UGQ1" s="560"/>
      <c r="UGR1" s="560"/>
      <c r="UGS1" s="560"/>
      <c r="UGT1" s="560" t="s">
        <v>15</v>
      </c>
      <c r="UGU1" s="560"/>
      <c r="UGV1" s="560"/>
      <c r="UGW1" s="560"/>
      <c r="UGX1" s="560"/>
      <c r="UGY1" s="560"/>
      <c r="UGZ1" s="560"/>
      <c r="UHA1" s="560"/>
      <c r="UHB1" s="560" t="s">
        <v>15</v>
      </c>
      <c r="UHC1" s="560"/>
      <c r="UHD1" s="560"/>
      <c r="UHE1" s="560"/>
      <c r="UHF1" s="560"/>
      <c r="UHG1" s="560"/>
      <c r="UHH1" s="560"/>
      <c r="UHI1" s="560"/>
      <c r="UHJ1" s="560" t="s">
        <v>15</v>
      </c>
      <c r="UHK1" s="560"/>
      <c r="UHL1" s="560"/>
      <c r="UHM1" s="560"/>
      <c r="UHN1" s="560"/>
      <c r="UHO1" s="560"/>
      <c r="UHP1" s="560"/>
      <c r="UHQ1" s="560"/>
      <c r="UHR1" s="560" t="s">
        <v>15</v>
      </c>
      <c r="UHS1" s="560"/>
      <c r="UHT1" s="560"/>
      <c r="UHU1" s="560"/>
      <c r="UHV1" s="560"/>
      <c r="UHW1" s="560"/>
      <c r="UHX1" s="560"/>
      <c r="UHY1" s="560"/>
      <c r="UHZ1" s="560" t="s">
        <v>15</v>
      </c>
      <c r="UIA1" s="560"/>
      <c r="UIB1" s="560"/>
      <c r="UIC1" s="560"/>
      <c r="UID1" s="560"/>
      <c r="UIE1" s="560"/>
      <c r="UIF1" s="560"/>
      <c r="UIG1" s="560"/>
      <c r="UIH1" s="560" t="s">
        <v>15</v>
      </c>
      <c r="UII1" s="560"/>
      <c r="UIJ1" s="560"/>
      <c r="UIK1" s="560"/>
      <c r="UIL1" s="560"/>
      <c r="UIM1" s="560"/>
      <c r="UIN1" s="560"/>
      <c r="UIO1" s="560"/>
      <c r="UIP1" s="560" t="s">
        <v>15</v>
      </c>
      <c r="UIQ1" s="560"/>
      <c r="UIR1" s="560"/>
      <c r="UIS1" s="560"/>
      <c r="UIT1" s="560"/>
      <c r="UIU1" s="560"/>
      <c r="UIV1" s="560"/>
      <c r="UIW1" s="560"/>
      <c r="UIX1" s="560" t="s">
        <v>15</v>
      </c>
      <c r="UIY1" s="560"/>
      <c r="UIZ1" s="560"/>
      <c r="UJA1" s="560"/>
      <c r="UJB1" s="560"/>
      <c r="UJC1" s="560"/>
      <c r="UJD1" s="560"/>
      <c r="UJE1" s="560"/>
      <c r="UJF1" s="560" t="s">
        <v>15</v>
      </c>
      <c r="UJG1" s="560"/>
      <c r="UJH1" s="560"/>
      <c r="UJI1" s="560"/>
      <c r="UJJ1" s="560"/>
      <c r="UJK1" s="560"/>
      <c r="UJL1" s="560"/>
      <c r="UJM1" s="560"/>
      <c r="UJN1" s="560" t="s">
        <v>15</v>
      </c>
      <c r="UJO1" s="560"/>
      <c r="UJP1" s="560"/>
      <c r="UJQ1" s="560"/>
      <c r="UJR1" s="560"/>
      <c r="UJS1" s="560"/>
      <c r="UJT1" s="560"/>
      <c r="UJU1" s="560"/>
      <c r="UJV1" s="560" t="s">
        <v>15</v>
      </c>
      <c r="UJW1" s="560"/>
      <c r="UJX1" s="560"/>
      <c r="UJY1" s="560"/>
      <c r="UJZ1" s="560"/>
      <c r="UKA1" s="560"/>
      <c r="UKB1" s="560"/>
      <c r="UKC1" s="560"/>
      <c r="UKD1" s="560" t="s">
        <v>15</v>
      </c>
      <c r="UKE1" s="560"/>
      <c r="UKF1" s="560"/>
      <c r="UKG1" s="560"/>
      <c r="UKH1" s="560"/>
      <c r="UKI1" s="560"/>
      <c r="UKJ1" s="560"/>
      <c r="UKK1" s="560"/>
      <c r="UKL1" s="560" t="s">
        <v>15</v>
      </c>
      <c r="UKM1" s="560"/>
      <c r="UKN1" s="560"/>
      <c r="UKO1" s="560"/>
      <c r="UKP1" s="560"/>
      <c r="UKQ1" s="560"/>
      <c r="UKR1" s="560"/>
      <c r="UKS1" s="560"/>
      <c r="UKT1" s="560" t="s">
        <v>15</v>
      </c>
      <c r="UKU1" s="560"/>
      <c r="UKV1" s="560"/>
      <c r="UKW1" s="560"/>
      <c r="UKX1" s="560"/>
      <c r="UKY1" s="560"/>
      <c r="UKZ1" s="560"/>
      <c r="ULA1" s="560"/>
      <c r="ULB1" s="560" t="s">
        <v>15</v>
      </c>
      <c r="ULC1" s="560"/>
      <c r="ULD1" s="560"/>
      <c r="ULE1" s="560"/>
      <c r="ULF1" s="560"/>
      <c r="ULG1" s="560"/>
      <c r="ULH1" s="560"/>
      <c r="ULI1" s="560"/>
      <c r="ULJ1" s="560" t="s">
        <v>15</v>
      </c>
      <c r="ULK1" s="560"/>
      <c r="ULL1" s="560"/>
      <c r="ULM1" s="560"/>
      <c r="ULN1" s="560"/>
      <c r="ULO1" s="560"/>
      <c r="ULP1" s="560"/>
      <c r="ULQ1" s="560"/>
      <c r="ULR1" s="560" t="s">
        <v>15</v>
      </c>
      <c r="ULS1" s="560"/>
      <c r="ULT1" s="560"/>
      <c r="ULU1" s="560"/>
      <c r="ULV1" s="560"/>
      <c r="ULW1" s="560"/>
      <c r="ULX1" s="560"/>
      <c r="ULY1" s="560"/>
      <c r="ULZ1" s="560" t="s">
        <v>15</v>
      </c>
      <c r="UMA1" s="560"/>
      <c r="UMB1" s="560"/>
      <c r="UMC1" s="560"/>
      <c r="UMD1" s="560"/>
      <c r="UME1" s="560"/>
      <c r="UMF1" s="560"/>
      <c r="UMG1" s="560"/>
      <c r="UMH1" s="560" t="s">
        <v>15</v>
      </c>
      <c r="UMI1" s="560"/>
      <c r="UMJ1" s="560"/>
      <c r="UMK1" s="560"/>
      <c r="UML1" s="560"/>
      <c r="UMM1" s="560"/>
      <c r="UMN1" s="560"/>
      <c r="UMO1" s="560"/>
      <c r="UMP1" s="560" t="s">
        <v>15</v>
      </c>
      <c r="UMQ1" s="560"/>
      <c r="UMR1" s="560"/>
      <c r="UMS1" s="560"/>
      <c r="UMT1" s="560"/>
      <c r="UMU1" s="560"/>
      <c r="UMV1" s="560"/>
      <c r="UMW1" s="560"/>
      <c r="UMX1" s="560" t="s">
        <v>15</v>
      </c>
      <c r="UMY1" s="560"/>
      <c r="UMZ1" s="560"/>
      <c r="UNA1" s="560"/>
      <c r="UNB1" s="560"/>
      <c r="UNC1" s="560"/>
      <c r="UND1" s="560"/>
      <c r="UNE1" s="560"/>
      <c r="UNF1" s="560" t="s">
        <v>15</v>
      </c>
      <c r="UNG1" s="560"/>
      <c r="UNH1" s="560"/>
      <c r="UNI1" s="560"/>
      <c r="UNJ1" s="560"/>
      <c r="UNK1" s="560"/>
      <c r="UNL1" s="560"/>
      <c r="UNM1" s="560"/>
      <c r="UNN1" s="560" t="s">
        <v>15</v>
      </c>
      <c r="UNO1" s="560"/>
      <c r="UNP1" s="560"/>
      <c r="UNQ1" s="560"/>
      <c r="UNR1" s="560"/>
      <c r="UNS1" s="560"/>
      <c r="UNT1" s="560"/>
      <c r="UNU1" s="560"/>
      <c r="UNV1" s="560" t="s">
        <v>15</v>
      </c>
      <c r="UNW1" s="560"/>
      <c r="UNX1" s="560"/>
      <c r="UNY1" s="560"/>
      <c r="UNZ1" s="560"/>
      <c r="UOA1" s="560"/>
      <c r="UOB1" s="560"/>
      <c r="UOC1" s="560"/>
      <c r="UOD1" s="560" t="s">
        <v>15</v>
      </c>
      <c r="UOE1" s="560"/>
      <c r="UOF1" s="560"/>
      <c r="UOG1" s="560"/>
      <c r="UOH1" s="560"/>
      <c r="UOI1" s="560"/>
      <c r="UOJ1" s="560"/>
      <c r="UOK1" s="560"/>
      <c r="UOL1" s="560" t="s">
        <v>15</v>
      </c>
      <c r="UOM1" s="560"/>
      <c r="UON1" s="560"/>
      <c r="UOO1" s="560"/>
      <c r="UOP1" s="560"/>
      <c r="UOQ1" s="560"/>
      <c r="UOR1" s="560"/>
      <c r="UOS1" s="560"/>
      <c r="UOT1" s="560" t="s">
        <v>15</v>
      </c>
      <c r="UOU1" s="560"/>
      <c r="UOV1" s="560"/>
      <c r="UOW1" s="560"/>
      <c r="UOX1" s="560"/>
      <c r="UOY1" s="560"/>
      <c r="UOZ1" s="560"/>
      <c r="UPA1" s="560"/>
      <c r="UPB1" s="560" t="s">
        <v>15</v>
      </c>
      <c r="UPC1" s="560"/>
      <c r="UPD1" s="560"/>
      <c r="UPE1" s="560"/>
      <c r="UPF1" s="560"/>
      <c r="UPG1" s="560"/>
      <c r="UPH1" s="560"/>
      <c r="UPI1" s="560"/>
      <c r="UPJ1" s="560" t="s">
        <v>15</v>
      </c>
      <c r="UPK1" s="560"/>
      <c r="UPL1" s="560"/>
      <c r="UPM1" s="560"/>
      <c r="UPN1" s="560"/>
      <c r="UPO1" s="560"/>
      <c r="UPP1" s="560"/>
      <c r="UPQ1" s="560"/>
      <c r="UPR1" s="560" t="s">
        <v>15</v>
      </c>
      <c r="UPS1" s="560"/>
      <c r="UPT1" s="560"/>
      <c r="UPU1" s="560"/>
      <c r="UPV1" s="560"/>
      <c r="UPW1" s="560"/>
      <c r="UPX1" s="560"/>
      <c r="UPY1" s="560"/>
      <c r="UPZ1" s="560" t="s">
        <v>15</v>
      </c>
      <c r="UQA1" s="560"/>
      <c r="UQB1" s="560"/>
      <c r="UQC1" s="560"/>
      <c r="UQD1" s="560"/>
      <c r="UQE1" s="560"/>
      <c r="UQF1" s="560"/>
      <c r="UQG1" s="560"/>
      <c r="UQH1" s="560" t="s">
        <v>15</v>
      </c>
      <c r="UQI1" s="560"/>
      <c r="UQJ1" s="560"/>
      <c r="UQK1" s="560"/>
      <c r="UQL1" s="560"/>
      <c r="UQM1" s="560"/>
      <c r="UQN1" s="560"/>
      <c r="UQO1" s="560"/>
      <c r="UQP1" s="560" t="s">
        <v>15</v>
      </c>
      <c r="UQQ1" s="560"/>
      <c r="UQR1" s="560"/>
      <c r="UQS1" s="560"/>
      <c r="UQT1" s="560"/>
      <c r="UQU1" s="560"/>
      <c r="UQV1" s="560"/>
      <c r="UQW1" s="560"/>
      <c r="UQX1" s="560" t="s">
        <v>15</v>
      </c>
      <c r="UQY1" s="560"/>
      <c r="UQZ1" s="560"/>
      <c r="URA1" s="560"/>
      <c r="URB1" s="560"/>
      <c r="URC1" s="560"/>
      <c r="URD1" s="560"/>
      <c r="URE1" s="560"/>
      <c r="URF1" s="560" t="s">
        <v>15</v>
      </c>
      <c r="URG1" s="560"/>
      <c r="URH1" s="560"/>
      <c r="URI1" s="560"/>
      <c r="URJ1" s="560"/>
      <c r="URK1" s="560"/>
      <c r="URL1" s="560"/>
      <c r="URM1" s="560"/>
      <c r="URN1" s="560" t="s">
        <v>15</v>
      </c>
      <c r="URO1" s="560"/>
      <c r="URP1" s="560"/>
      <c r="URQ1" s="560"/>
      <c r="URR1" s="560"/>
      <c r="URS1" s="560"/>
      <c r="URT1" s="560"/>
      <c r="URU1" s="560"/>
      <c r="URV1" s="560" t="s">
        <v>15</v>
      </c>
      <c r="URW1" s="560"/>
      <c r="URX1" s="560"/>
      <c r="URY1" s="560"/>
      <c r="URZ1" s="560"/>
      <c r="USA1" s="560"/>
      <c r="USB1" s="560"/>
      <c r="USC1" s="560"/>
      <c r="USD1" s="560" t="s">
        <v>15</v>
      </c>
      <c r="USE1" s="560"/>
      <c r="USF1" s="560"/>
      <c r="USG1" s="560"/>
      <c r="USH1" s="560"/>
      <c r="USI1" s="560"/>
      <c r="USJ1" s="560"/>
      <c r="USK1" s="560"/>
      <c r="USL1" s="560" t="s">
        <v>15</v>
      </c>
      <c r="USM1" s="560"/>
      <c r="USN1" s="560"/>
      <c r="USO1" s="560"/>
      <c r="USP1" s="560"/>
      <c r="USQ1" s="560"/>
      <c r="USR1" s="560"/>
      <c r="USS1" s="560"/>
      <c r="UST1" s="560" t="s">
        <v>15</v>
      </c>
      <c r="USU1" s="560"/>
      <c r="USV1" s="560"/>
      <c r="USW1" s="560"/>
      <c r="USX1" s="560"/>
      <c r="USY1" s="560"/>
      <c r="USZ1" s="560"/>
      <c r="UTA1" s="560"/>
      <c r="UTB1" s="560" t="s">
        <v>15</v>
      </c>
      <c r="UTC1" s="560"/>
      <c r="UTD1" s="560"/>
      <c r="UTE1" s="560"/>
      <c r="UTF1" s="560"/>
      <c r="UTG1" s="560"/>
      <c r="UTH1" s="560"/>
      <c r="UTI1" s="560"/>
      <c r="UTJ1" s="560" t="s">
        <v>15</v>
      </c>
      <c r="UTK1" s="560"/>
      <c r="UTL1" s="560"/>
      <c r="UTM1" s="560"/>
      <c r="UTN1" s="560"/>
      <c r="UTO1" s="560"/>
      <c r="UTP1" s="560"/>
      <c r="UTQ1" s="560"/>
      <c r="UTR1" s="560" t="s">
        <v>15</v>
      </c>
      <c r="UTS1" s="560"/>
      <c r="UTT1" s="560"/>
      <c r="UTU1" s="560"/>
      <c r="UTV1" s="560"/>
      <c r="UTW1" s="560"/>
      <c r="UTX1" s="560"/>
      <c r="UTY1" s="560"/>
      <c r="UTZ1" s="560" t="s">
        <v>15</v>
      </c>
      <c r="UUA1" s="560"/>
      <c r="UUB1" s="560"/>
      <c r="UUC1" s="560"/>
      <c r="UUD1" s="560"/>
      <c r="UUE1" s="560"/>
      <c r="UUF1" s="560"/>
      <c r="UUG1" s="560"/>
      <c r="UUH1" s="560" t="s">
        <v>15</v>
      </c>
      <c r="UUI1" s="560"/>
      <c r="UUJ1" s="560"/>
      <c r="UUK1" s="560"/>
      <c r="UUL1" s="560"/>
      <c r="UUM1" s="560"/>
      <c r="UUN1" s="560"/>
      <c r="UUO1" s="560"/>
      <c r="UUP1" s="560" t="s">
        <v>15</v>
      </c>
      <c r="UUQ1" s="560"/>
      <c r="UUR1" s="560"/>
      <c r="UUS1" s="560"/>
      <c r="UUT1" s="560"/>
      <c r="UUU1" s="560"/>
      <c r="UUV1" s="560"/>
      <c r="UUW1" s="560"/>
      <c r="UUX1" s="560" t="s">
        <v>15</v>
      </c>
      <c r="UUY1" s="560"/>
      <c r="UUZ1" s="560"/>
      <c r="UVA1" s="560"/>
      <c r="UVB1" s="560"/>
      <c r="UVC1" s="560"/>
      <c r="UVD1" s="560"/>
      <c r="UVE1" s="560"/>
      <c r="UVF1" s="560" t="s">
        <v>15</v>
      </c>
      <c r="UVG1" s="560"/>
      <c r="UVH1" s="560"/>
      <c r="UVI1" s="560"/>
      <c r="UVJ1" s="560"/>
      <c r="UVK1" s="560"/>
      <c r="UVL1" s="560"/>
      <c r="UVM1" s="560"/>
      <c r="UVN1" s="560" t="s">
        <v>15</v>
      </c>
      <c r="UVO1" s="560"/>
      <c r="UVP1" s="560"/>
      <c r="UVQ1" s="560"/>
      <c r="UVR1" s="560"/>
      <c r="UVS1" s="560"/>
      <c r="UVT1" s="560"/>
      <c r="UVU1" s="560"/>
      <c r="UVV1" s="560" t="s">
        <v>15</v>
      </c>
      <c r="UVW1" s="560"/>
      <c r="UVX1" s="560"/>
      <c r="UVY1" s="560"/>
      <c r="UVZ1" s="560"/>
      <c r="UWA1" s="560"/>
      <c r="UWB1" s="560"/>
      <c r="UWC1" s="560"/>
      <c r="UWD1" s="560" t="s">
        <v>15</v>
      </c>
      <c r="UWE1" s="560"/>
      <c r="UWF1" s="560"/>
      <c r="UWG1" s="560"/>
      <c r="UWH1" s="560"/>
      <c r="UWI1" s="560"/>
      <c r="UWJ1" s="560"/>
      <c r="UWK1" s="560"/>
      <c r="UWL1" s="560" t="s">
        <v>15</v>
      </c>
      <c r="UWM1" s="560"/>
      <c r="UWN1" s="560"/>
      <c r="UWO1" s="560"/>
      <c r="UWP1" s="560"/>
      <c r="UWQ1" s="560"/>
      <c r="UWR1" s="560"/>
      <c r="UWS1" s="560"/>
      <c r="UWT1" s="560" t="s">
        <v>15</v>
      </c>
      <c r="UWU1" s="560"/>
      <c r="UWV1" s="560"/>
      <c r="UWW1" s="560"/>
      <c r="UWX1" s="560"/>
      <c r="UWY1" s="560"/>
      <c r="UWZ1" s="560"/>
      <c r="UXA1" s="560"/>
      <c r="UXB1" s="560" t="s">
        <v>15</v>
      </c>
      <c r="UXC1" s="560"/>
      <c r="UXD1" s="560"/>
      <c r="UXE1" s="560"/>
      <c r="UXF1" s="560"/>
      <c r="UXG1" s="560"/>
      <c r="UXH1" s="560"/>
      <c r="UXI1" s="560"/>
      <c r="UXJ1" s="560" t="s">
        <v>15</v>
      </c>
      <c r="UXK1" s="560"/>
      <c r="UXL1" s="560"/>
      <c r="UXM1" s="560"/>
      <c r="UXN1" s="560"/>
      <c r="UXO1" s="560"/>
      <c r="UXP1" s="560"/>
      <c r="UXQ1" s="560"/>
      <c r="UXR1" s="560" t="s">
        <v>15</v>
      </c>
      <c r="UXS1" s="560"/>
      <c r="UXT1" s="560"/>
      <c r="UXU1" s="560"/>
      <c r="UXV1" s="560"/>
      <c r="UXW1" s="560"/>
      <c r="UXX1" s="560"/>
      <c r="UXY1" s="560"/>
      <c r="UXZ1" s="560" t="s">
        <v>15</v>
      </c>
      <c r="UYA1" s="560"/>
      <c r="UYB1" s="560"/>
      <c r="UYC1" s="560"/>
      <c r="UYD1" s="560"/>
      <c r="UYE1" s="560"/>
      <c r="UYF1" s="560"/>
      <c r="UYG1" s="560"/>
      <c r="UYH1" s="560" t="s">
        <v>15</v>
      </c>
      <c r="UYI1" s="560"/>
      <c r="UYJ1" s="560"/>
      <c r="UYK1" s="560"/>
      <c r="UYL1" s="560"/>
      <c r="UYM1" s="560"/>
      <c r="UYN1" s="560"/>
      <c r="UYO1" s="560"/>
      <c r="UYP1" s="560" t="s">
        <v>15</v>
      </c>
      <c r="UYQ1" s="560"/>
      <c r="UYR1" s="560"/>
      <c r="UYS1" s="560"/>
      <c r="UYT1" s="560"/>
      <c r="UYU1" s="560"/>
      <c r="UYV1" s="560"/>
      <c r="UYW1" s="560"/>
      <c r="UYX1" s="560" t="s">
        <v>15</v>
      </c>
      <c r="UYY1" s="560"/>
      <c r="UYZ1" s="560"/>
      <c r="UZA1" s="560"/>
      <c r="UZB1" s="560"/>
      <c r="UZC1" s="560"/>
      <c r="UZD1" s="560"/>
      <c r="UZE1" s="560"/>
      <c r="UZF1" s="560" t="s">
        <v>15</v>
      </c>
      <c r="UZG1" s="560"/>
      <c r="UZH1" s="560"/>
      <c r="UZI1" s="560"/>
      <c r="UZJ1" s="560"/>
      <c r="UZK1" s="560"/>
      <c r="UZL1" s="560"/>
      <c r="UZM1" s="560"/>
      <c r="UZN1" s="560" t="s">
        <v>15</v>
      </c>
      <c r="UZO1" s="560"/>
      <c r="UZP1" s="560"/>
      <c r="UZQ1" s="560"/>
      <c r="UZR1" s="560"/>
      <c r="UZS1" s="560"/>
      <c r="UZT1" s="560"/>
      <c r="UZU1" s="560"/>
      <c r="UZV1" s="560" t="s">
        <v>15</v>
      </c>
      <c r="UZW1" s="560"/>
      <c r="UZX1" s="560"/>
      <c r="UZY1" s="560"/>
      <c r="UZZ1" s="560"/>
      <c r="VAA1" s="560"/>
      <c r="VAB1" s="560"/>
      <c r="VAC1" s="560"/>
      <c r="VAD1" s="560" t="s">
        <v>15</v>
      </c>
      <c r="VAE1" s="560"/>
      <c r="VAF1" s="560"/>
      <c r="VAG1" s="560"/>
      <c r="VAH1" s="560"/>
      <c r="VAI1" s="560"/>
      <c r="VAJ1" s="560"/>
      <c r="VAK1" s="560"/>
      <c r="VAL1" s="560" t="s">
        <v>15</v>
      </c>
      <c r="VAM1" s="560"/>
      <c r="VAN1" s="560"/>
      <c r="VAO1" s="560"/>
      <c r="VAP1" s="560"/>
      <c r="VAQ1" s="560"/>
      <c r="VAR1" s="560"/>
      <c r="VAS1" s="560"/>
      <c r="VAT1" s="560" t="s">
        <v>15</v>
      </c>
      <c r="VAU1" s="560"/>
      <c r="VAV1" s="560"/>
      <c r="VAW1" s="560"/>
      <c r="VAX1" s="560"/>
      <c r="VAY1" s="560"/>
      <c r="VAZ1" s="560"/>
      <c r="VBA1" s="560"/>
      <c r="VBB1" s="560" t="s">
        <v>15</v>
      </c>
      <c r="VBC1" s="560"/>
      <c r="VBD1" s="560"/>
      <c r="VBE1" s="560"/>
      <c r="VBF1" s="560"/>
      <c r="VBG1" s="560"/>
      <c r="VBH1" s="560"/>
      <c r="VBI1" s="560"/>
      <c r="VBJ1" s="560" t="s">
        <v>15</v>
      </c>
      <c r="VBK1" s="560"/>
      <c r="VBL1" s="560"/>
      <c r="VBM1" s="560"/>
      <c r="VBN1" s="560"/>
      <c r="VBO1" s="560"/>
      <c r="VBP1" s="560"/>
      <c r="VBQ1" s="560"/>
      <c r="VBR1" s="560" t="s">
        <v>15</v>
      </c>
      <c r="VBS1" s="560"/>
      <c r="VBT1" s="560"/>
      <c r="VBU1" s="560"/>
      <c r="VBV1" s="560"/>
      <c r="VBW1" s="560"/>
      <c r="VBX1" s="560"/>
      <c r="VBY1" s="560"/>
      <c r="VBZ1" s="560" t="s">
        <v>15</v>
      </c>
      <c r="VCA1" s="560"/>
      <c r="VCB1" s="560"/>
      <c r="VCC1" s="560"/>
      <c r="VCD1" s="560"/>
      <c r="VCE1" s="560"/>
      <c r="VCF1" s="560"/>
      <c r="VCG1" s="560"/>
      <c r="VCH1" s="560" t="s">
        <v>15</v>
      </c>
      <c r="VCI1" s="560"/>
      <c r="VCJ1" s="560"/>
      <c r="VCK1" s="560"/>
      <c r="VCL1" s="560"/>
      <c r="VCM1" s="560"/>
      <c r="VCN1" s="560"/>
      <c r="VCO1" s="560"/>
      <c r="VCP1" s="560" t="s">
        <v>15</v>
      </c>
      <c r="VCQ1" s="560"/>
      <c r="VCR1" s="560"/>
      <c r="VCS1" s="560"/>
      <c r="VCT1" s="560"/>
      <c r="VCU1" s="560"/>
      <c r="VCV1" s="560"/>
      <c r="VCW1" s="560"/>
      <c r="VCX1" s="560" t="s">
        <v>15</v>
      </c>
      <c r="VCY1" s="560"/>
      <c r="VCZ1" s="560"/>
      <c r="VDA1" s="560"/>
      <c r="VDB1" s="560"/>
      <c r="VDC1" s="560"/>
      <c r="VDD1" s="560"/>
      <c r="VDE1" s="560"/>
      <c r="VDF1" s="560" t="s">
        <v>15</v>
      </c>
      <c r="VDG1" s="560"/>
      <c r="VDH1" s="560"/>
      <c r="VDI1" s="560"/>
      <c r="VDJ1" s="560"/>
      <c r="VDK1" s="560"/>
      <c r="VDL1" s="560"/>
      <c r="VDM1" s="560"/>
      <c r="VDN1" s="560" t="s">
        <v>15</v>
      </c>
      <c r="VDO1" s="560"/>
      <c r="VDP1" s="560"/>
      <c r="VDQ1" s="560"/>
      <c r="VDR1" s="560"/>
      <c r="VDS1" s="560"/>
      <c r="VDT1" s="560"/>
      <c r="VDU1" s="560"/>
      <c r="VDV1" s="560" t="s">
        <v>15</v>
      </c>
      <c r="VDW1" s="560"/>
      <c r="VDX1" s="560"/>
      <c r="VDY1" s="560"/>
      <c r="VDZ1" s="560"/>
      <c r="VEA1" s="560"/>
      <c r="VEB1" s="560"/>
      <c r="VEC1" s="560"/>
      <c r="VED1" s="560" t="s">
        <v>15</v>
      </c>
      <c r="VEE1" s="560"/>
      <c r="VEF1" s="560"/>
      <c r="VEG1" s="560"/>
      <c r="VEH1" s="560"/>
      <c r="VEI1" s="560"/>
      <c r="VEJ1" s="560"/>
      <c r="VEK1" s="560"/>
      <c r="VEL1" s="560" t="s">
        <v>15</v>
      </c>
      <c r="VEM1" s="560"/>
      <c r="VEN1" s="560"/>
      <c r="VEO1" s="560"/>
      <c r="VEP1" s="560"/>
      <c r="VEQ1" s="560"/>
      <c r="VER1" s="560"/>
      <c r="VES1" s="560"/>
      <c r="VET1" s="560" t="s">
        <v>15</v>
      </c>
      <c r="VEU1" s="560"/>
      <c r="VEV1" s="560"/>
      <c r="VEW1" s="560"/>
      <c r="VEX1" s="560"/>
      <c r="VEY1" s="560"/>
      <c r="VEZ1" s="560"/>
      <c r="VFA1" s="560"/>
      <c r="VFB1" s="560" t="s">
        <v>15</v>
      </c>
      <c r="VFC1" s="560"/>
      <c r="VFD1" s="560"/>
      <c r="VFE1" s="560"/>
      <c r="VFF1" s="560"/>
      <c r="VFG1" s="560"/>
      <c r="VFH1" s="560"/>
      <c r="VFI1" s="560"/>
      <c r="VFJ1" s="560" t="s">
        <v>15</v>
      </c>
      <c r="VFK1" s="560"/>
      <c r="VFL1" s="560"/>
      <c r="VFM1" s="560"/>
      <c r="VFN1" s="560"/>
      <c r="VFO1" s="560"/>
      <c r="VFP1" s="560"/>
      <c r="VFQ1" s="560"/>
      <c r="VFR1" s="560" t="s">
        <v>15</v>
      </c>
      <c r="VFS1" s="560"/>
      <c r="VFT1" s="560"/>
      <c r="VFU1" s="560"/>
      <c r="VFV1" s="560"/>
      <c r="VFW1" s="560"/>
      <c r="VFX1" s="560"/>
      <c r="VFY1" s="560"/>
      <c r="VFZ1" s="560" t="s">
        <v>15</v>
      </c>
      <c r="VGA1" s="560"/>
      <c r="VGB1" s="560"/>
      <c r="VGC1" s="560"/>
      <c r="VGD1" s="560"/>
      <c r="VGE1" s="560"/>
      <c r="VGF1" s="560"/>
      <c r="VGG1" s="560"/>
      <c r="VGH1" s="560" t="s">
        <v>15</v>
      </c>
      <c r="VGI1" s="560"/>
      <c r="VGJ1" s="560"/>
      <c r="VGK1" s="560"/>
      <c r="VGL1" s="560"/>
      <c r="VGM1" s="560"/>
      <c r="VGN1" s="560"/>
      <c r="VGO1" s="560"/>
      <c r="VGP1" s="560" t="s">
        <v>15</v>
      </c>
      <c r="VGQ1" s="560"/>
      <c r="VGR1" s="560"/>
      <c r="VGS1" s="560"/>
      <c r="VGT1" s="560"/>
      <c r="VGU1" s="560"/>
      <c r="VGV1" s="560"/>
      <c r="VGW1" s="560"/>
      <c r="VGX1" s="560" t="s">
        <v>15</v>
      </c>
      <c r="VGY1" s="560"/>
      <c r="VGZ1" s="560"/>
      <c r="VHA1" s="560"/>
      <c r="VHB1" s="560"/>
      <c r="VHC1" s="560"/>
      <c r="VHD1" s="560"/>
      <c r="VHE1" s="560"/>
      <c r="VHF1" s="560" t="s">
        <v>15</v>
      </c>
      <c r="VHG1" s="560"/>
      <c r="VHH1" s="560"/>
      <c r="VHI1" s="560"/>
      <c r="VHJ1" s="560"/>
      <c r="VHK1" s="560"/>
      <c r="VHL1" s="560"/>
      <c r="VHM1" s="560"/>
      <c r="VHN1" s="560" t="s">
        <v>15</v>
      </c>
      <c r="VHO1" s="560"/>
      <c r="VHP1" s="560"/>
      <c r="VHQ1" s="560"/>
      <c r="VHR1" s="560"/>
      <c r="VHS1" s="560"/>
      <c r="VHT1" s="560"/>
      <c r="VHU1" s="560"/>
      <c r="VHV1" s="560" t="s">
        <v>15</v>
      </c>
      <c r="VHW1" s="560"/>
      <c r="VHX1" s="560"/>
      <c r="VHY1" s="560"/>
      <c r="VHZ1" s="560"/>
      <c r="VIA1" s="560"/>
      <c r="VIB1" s="560"/>
      <c r="VIC1" s="560"/>
      <c r="VID1" s="560" t="s">
        <v>15</v>
      </c>
      <c r="VIE1" s="560"/>
      <c r="VIF1" s="560"/>
      <c r="VIG1" s="560"/>
      <c r="VIH1" s="560"/>
      <c r="VII1" s="560"/>
      <c r="VIJ1" s="560"/>
      <c r="VIK1" s="560"/>
      <c r="VIL1" s="560" t="s">
        <v>15</v>
      </c>
      <c r="VIM1" s="560"/>
      <c r="VIN1" s="560"/>
      <c r="VIO1" s="560"/>
      <c r="VIP1" s="560"/>
      <c r="VIQ1" s="560"/>
      <c r="VIR1" s="560"/>
      <c r="VIS1" s="560"/>
      <c r="VIT1" s="560" t="s">
        <v>15</v>
      </c>
      <c r="VIU1" s="560"/>
      <c r="VIV1" s="560"/>
      <c r="VIW1" s="560"/>
      <c r="VIX1" s="560"/>
      <c r="VIY1" s="560"/>
      <c r="VIZ1" s="560"/>
      <c r="VJA1" s="560"/>
      <c r="VJB1" s="560" t="s">
        <v>15</v>
      </c>
      <c r="VJC1" s="560"/>
      <c r="VJD1" s="560"/>
      <c r="VJE1" s="560"/>
      <c r="VJF1" s="560"/>
      <c r="VJG1" s="560"/>
      <c r="VJH1" s="560"/>
      <c r="VJI1" s="560"/>
      <c r="VJJ1" s="560" t="s">
        <v>15</v>
      </c>
      <c r="VJK1" s="560"/>
      <c r="VJL1" s="560"/>
      <c r="VJM1" s="560"/>
      <c r="VJN1" s="560"/>
      <c r="VJO1" s="560"/>
      <c r="VJP1" s="560"/>
      <c r="VJQ1" s="560"/>
      <c r="VJR1" s="560" t="s">
        <v>15</v>
      </c>
      <c r="VJS1" s="560"/>
      <c r="VJT1" s="560"/>
      <c r="VJU1" s="560"/>
      <c r="VJV1" s="560"/>
      <c r="VJW1" s="560"/>
      <c r="VJX1" s="560"/>
      <c r="VJY1" s="560"/>
      <c r="VJZ1" s="560" t="s">
        <v>15</v>
      </c>
      <c r="VKA1" s="560"/>
      <c r="VKB1" s="560"/>
      <c r="VKC1" s="560"/>
      <c r="VKD1" s="560"/>
      <c r="VKE1" s="560"/>
      <c r="VKF1" s="560"/>
      <c r="VKG1" s="560"/>
      <c r="VKH1" s="560" t="s">
        <v>15</v>
      </c>
      <c r="VKI1" s="560"/>
      <c r="VKJ1" s="560"/>
      <c r="VKK1" s="560"/>
      <c r="VKL1" s="560"/>
      <c r="VKM1" s="560"/>
      <c r="VKN1" s="560"/>
      <c r="VKO1" s="560"/>
      <c r="VKP1" s="560" t="s">
        <v>15</v>
      </c>
      <c r="VKQ1" s="560"/>
      <c r="VKR1" s="560"/>
      <c r="VKS1" s="560"/>
      <c r="VKT1" s="560"/>
      <c r="VKU1" s="560"/>
      <c r="VKV1" s="560"/>
      <c r="VKW1" s="560"/>
      <c r="VKX1" s="560" t="s">
        <v>15</v>
      </c>
      <c r="VKY1" s="560"/>
      <c r="VKZ1" s="560"/>
      <c r="VLA1" s="560"/>
      <c r="VLB1" s="560"/>
      <c r="VLC1" s="560"/>
      <c r="VLD1" s="560"/>
      <c r="VLE1" s="560"/>
      <c r="VLF1" s="560" t="s">
        <v>15</v>
      </c>
      <c r="VLG1" s="560"/>
      <c r="VLH1" s="560"/>
      <c r="VLI1" s="560"/>
      <c r="VLJ1" s="560"/>
      <c r="VLK1" s="560"/>
      <c r="VLL1" s="560"/>
      <c r="VLM1" s="560"/>
      <c r="VLN1" s="560" t="s">
        <v>15</v>
      </c>
      <c r="VLO1" s="560"/>
      <c r="VLP1" s="560"/>
      <c r="VLQ1" s="560"/>
      <c r="VLR1" s="560"/>
      <c r="VLS1" s="560"/>
      <c r="VLT1" s="560"/>
      <c r="VLU1" s="560"/>
      <c r="VLV1" s="560" t="s">
        <v>15</v>
      </c>
      <c r="VLW1" s="560"/>
      <c r="VLX1" s="560"/>
      <c r="VLY1" s="560"/>
      <c r="VLZ1" s="560"/>
      <c r="VMA1" s="560"/>
      <c r="VMB1" s="560"/>
      <c r="VMC1" s="560"/>
      <c r="VMD1" s="560" t="s">
        <v>15</v>
      </c>
      <c r="VME1" s="560"/>
      <c r="VMF1" s="560"/>
      <c r="VMG1" s="560"/>
      <c r="VMH1" s="560"/>
      <c r="VMI1" s="560"/>
      <c r="VMJ1" s="560"/>
      <c r="VMK1" s="560"/>
      <c r="VML1" s="560" t="s">
        <v>15</v>
      </c>
      <c r="VMM1" s="560"/>
      <c r="VMN1" s="560"/>
      <c r="VMO1" s="560"/>
      <c r="VMP1" s="560"/>
      <c r="VMQ1" s="560"/>
      <c r="VMR1" s="560"/>
      <c r="VMS1" s="560"/>
      <c r="VMT1" s="560" t="s">
        <v>15</v>
      </c>
      <c r="VMU1" s="560"/>
      <c r="VMV1" s="560"/>
      <c r="VMW1" s="560"/>
      <c r="VMX1" s="560"/>
      <c r="VMY1" s="560"/>
      <c r="VMZ1" s="560"/>
      <c r="VNA1" s="560"/>
      <c r="VNB1" s="560" t="s">
        <v>15</v>
      </c>
      <c r="VNC1" s="560"/>
      <c r="VND1" s="560"/>
      <c r="VNE1" s="560"/>
      <c r="VNF1" s="560"/>
      <c r="VNG1" s="560"/>
      <c r="VNH1" s="560"/>
      <c r="VNI1" s="560"/>
      <c r="VNJ1" s="560" t="s">
        <v>15</v>
      </c>
      <c r="VNK1" s="560"/>
      <c r="VNL1" s="560"/>
      <c r="VNM1" s="560"/>
      <c r="VNN1" s="560"/>
      <c r="VNO1" s="560"/>
      <c r="VNP1" s="560"/>
      <c r="VNQ1" s="560"/>
      <c r="VNR1" s="560" t="s">
        <v>15</v>
      </c>
      <c r="VNS1" s="560"/>
      <c r="VNT1" s="560"/>
      <c r="VNU1" s="560"/>
      <c r="VNV1" s="560"/>
      <c r="VNW1" s="560"/>
      <c r="VNX1" s="560"/>
      <c r="VNY1" s="560"/>
      <c r="VNZ1" s="560" t="s">
        <v>15</v>
      </c>
      <c r="VOA1" s="560"/>
      <c r="VOB1" s="560"/>
      <c r="VOC1" s="560"/>
      <c r="VOD1" s="560"/>
      <c r="VOE1" s="560"/>
      <c r="VOF1" s="560"/>
      <c r="VOG1" s="560"/>
      <c r="VOH1" s="560" t="s">
        <v>15</v>
      </c>
      <c r="VOI1" s="560"/>
      <c r="VOJ1" s="560"/>
      <c r="VOK1" s="560"/>
      <c r="VOL1" s="560"/>
      <c r="VOM1" s="560"/>
      <c r="VON1" s="560"/>
      <c r="VOO1" s="560"/>
      <c r="VOP1" s="560" t="s">
        <v>15</v>
      </c>
      <c r="VOQ1" s="560"/>
      <c r="VOR1" s="560"/>
      <c r="VOS1" s="560"/>
      <c r="VOT1" s="560"/>
      <c r="VOU1" s="560"/>
      <c r="VOV1" s="560"/>
      <c r="VOW1" s="560"/>
      <c r="VOX1" s="560" t="s">
        <v>15</v>
      </c>
      <c r="VOY1" s="560"/>
      <c r="VOZ1" s="560"/>
      <c r="VPA1" s="560"/>
      <c r="VPB1" s="560"/>
      <c r="VPC1" s="560"/>
      <c r="VPD1" s="560"/>
      <c r="VPE1" s="560"/>
      <c r="VPF1" s="560" t="s">
        <v>15</v>
      </c>
      <c r="VPG1" s="560"/>
      <c r="VPH1" s="560"/>
      <c r="VPI1" s="560"/>
      <c r="VPJ1" s="560"/>
      <c r="VPK1" s="560"/>
      <c r="VPL1" s="560"/>
      <c r="VPM1" s="560"/>
      <c r="VPN1" s="560" t="s">
        <v>15</v>
      </c>
      <c r="VPO1" s="560"/>
      <c r="VPP1" s="560"/>
      <c r="VPQ1" s="560"/>
      <c r="VPR1" s="560"/>
      <c r="VPS1" s="560"/>
      <c r="VPT1" s="560"/>
      <c r="VPU1" s="560"/>
      <c r="VPV1" s="560" t="s">
        <v>15</v>
      </c>
      <c r="VPW1" s="560"/>
      <c r="VPX1" s="560"/>
      <c r="VPY1" s="560"/>
      <c r="VPZ1" s="560"/>
      <c r="VQA1" s="560"/>
      <c r="VQB1" s="560"/>
      <c r="VQC1" s="560"/>
      <c r="VQD1" s="560" t="s">
        <v>15</v>
      </c>
      <c r="VQE1" s="560"/>
      <c r="VQF1" s="560"/>
      <c r="VQG1" s="560"/>
      <c r="VQH1" s="560"/>
      <c r="VQI1" s="560"/>
      <c r="VQJ1" s="560"/>
      <c r="VQK1" s="560"/>
      <c r="VQL1" s="560" t="s">
        <v>15</v>
      </c>
      <c r="VQM1" s="560"/>
      <c r="VQN1" s="560"/>
      <c r="VQO1" s="560"/>
      <c r="VQP1" s="560"/>
      <c r="VQQ1" s="560"/>
      <c r="VQR1" s="560"/>
      <c r="VQS1" s="560"/>
      <c r="VQT1" s="560" t="s">
        <v>15</v>
      </c>
      <c r="VQU1" s="560"/>
      <c r="VQV1" s="560"/>
      <c r="VQW1" s="560"/>
      <c r="VQX1" s="560"/>
      <c r="VQY1" s="560"/>
      <c r="VQZ1" s="560"/>
      <c r="VRA1" s="560"/>
      <c r="VRB1" s="560" t="s">
        <v>15</v>
      </c>
      <c r="VRC1" s="560"/>
      <c r="VRD1" s="560"/>
      <c r="VRE1" s="560"/>
      <c r="VRF1" s="560"/>
      <c r="VRG1" s="560"/>
      <c r="VRH1" s="560"/>
      <c r="VRI1" s="560"/>
      <c r="VRJ1" s="560" t="s">
        <v>15</v>
      </c>
      <c r="VRK1" s="560"/>
      <c r="VRL1" s="560"/>
      <c r="VRM1" s="560"/>
      <c r="VRN1" s="560"/>
      <c r="VRO1" s="560"/>
      <c r="VRP1" s="560"/>
      <c r="VRQ1" s="560"/>
      <c r="VRR1" s="560" t="s">
        <v>15</v>
      </c>
      <c r="VRS1" s="560"/>
      <c r="VRT1" s="560"/>
      <c r="VRU1" s="560"/>
      <c r="VRV1" s="560"/>
      <c r="VRW1" s="560"/>
      <c r="VRX1" s="560"/>
      <c r="VRY1" s="560"/>
      <c r="VRZ1" s="560" t="s">
        <v>15</v>
      </c>
      <c r="VSA1" s="560"/>
      <c r="VSB1" s="560"/>
      <c r="VSC1" s="560"/>
      <c r="VSD1" s="560"/>
      <c r="VSE1" s="560"/>
      <c r="VSF1" s="560"/>
      <c r="VSG1" s="560"/>
      <c r="VSH1" s="560" t="s">
        <v>15</v>
      </c>
      <c r="VSI1" s="560"/>
      <c r="VSJ1" s="560"/>
      <c r="VSK1" s="560"/>
      <c r="VSL1" s="560"/>
      <c r="VSM1" s="560"/>
      <c r="VSN1" s="560"/>
      <c r="VSO1" s="560"/>
      <c r="VSP1" s="560" t="s">
        <v>15</v>
      </c>
      <c r="VSQ1" s="560"/>
      <c r="VSR1" s="560"/>
      <c r="VSS1" s="560"/>
      <c r="VST1" s="560"/>
      <c r="VSU1" s="560"/>
      <c r="VSV1" s="560"/>
      <c r="VSW1" s="560"/>
      <c r="VSX1" s="560" t="s">
        <v>15</v>
      </c>
      <c r="VSY1" s="560"/>
      <c r="VSZ1" s="560"/>
      <c r="VTA1" s="560"/>
      <c r="VTB1" s="560"/>
      <c r="VTC1" s="560"/>
      <c r="VTD1" s="560"/>
      <c r="VTE1" s="560"/>
      <c r="VTF1" s="560" t="s">
        <v>15</v>
      </c>
      <c r="VTG1" s="560"/>
      <c r="VTH1" s="560"/>
      <c r="VTI1" s="560"/>
      <c r="VTJ1" s="560"/>
      <c r="VTK1" s="560"/>
      <c r="VTL1" s="560"/>
      <c r="VTM1" s="560"/>
      <c r="VTN1" s="560" t="s">
        <v>15</v>
      </c>
      <c r="VTO1" s="560"/>
      <c r="VTP1" s="560"/>
      <c r="VTQ1" s="560"/>
      <c r="VTR1" s="560"/>
      <c r="VTS1" s="560"/>
      <c r="VTT1" s="560"/>
      <c r="VTU1" s="560"/>
      <c r="VTV1" s="560" t="s">
        <v>15</v>
      </c>
      <c r="VTW1" s="560"/>
      <c r="VTX1" s="560"/>
      <c r="VTY1" s="560"/>
      <c r="VTZ1" s="560"/>
      <c r="VUA1" s="560"/>
      <c r="VUB1" s="560"/>
      <c r="VUC1" s="560"/>
      <c r="VUD1" s="560" t="s">
        <v>15</v>
      </c>
      <c r="VUE1" s="560"/>
      <c r="VUF1" s="560"/>
      <c r="VUG1" s="560"/>
      <c r="VUH1" s="560"/>
      <c r="VUI1" s="560"/>
      <c r="VUJ1" s="560"/>
      <c r="VUK1" s="560"/>
      <c r="VUL1" s="560" t="s">
        <v>15</v>
      </c>
      <c r="VUM1" s="560"/>
      <c r="VUN1" s="560"/>
      <c r="VUO1" s="560"/>
      <c r="VUP1" s="560"/>
      <c r="VUQ1" s="560"/>
      <c r="VUR1" s="560"/>
      <c r="VUS1" s="560"/>
      <c r="VUT1" s="560" t="s">
        <v>15</v>
      </c>
      <c r="VUU1" s="560"/>
      <c r="VUV1" s="560"/>
      <c r="VUW1" s="560"/>
      <c r="VUX1" s="560"/>
      <c r="VUY1" s="560"/>
      <c r="VUZ1" s="560"/>
      <c r="VVA1" s="560"/>
      <c r="VVB1" s="560" t="s">
        <v>15</v>
      </c>
      <c r="VVC1" s="560"/>
      <c r="VVD1" s="560"/>
      <c r="VVE1" s="560"/>
      <c r="VVF1" s="560"/>
      <c r="VVG1" s="560"/>
      <c r="VVH1" s="560"/>
      <c r="VVI1" s="560"/>
      <c r="VVJ1" s="560" t="s">
        <v>15</v>
      </c>
      <c r="VVK1" s="560"/>
      <c r="VVL1" s="560"/>
      <c r="VVM1" s="560"/>
      <c r="VVN1" s="560"/>
      <c r="VVO1" s="560"/>
      <c r="VVP1" s="560"/>
      <c r="VVQ1" s="560"/>
      <c r="VVR1" s="560" t="s">
        <v>15</v>
      </c>
      <c r="VVS1" s="560"/>
      <c r="VVT1" s="560"/>
      <c r="VVU1" s="560"/>
      <c r="VVV1" s="560"/>
      <c r="VVW1" s="560"/>
      <c r="VVX1" s="560"/>
      <c r="VVY1" s="560"/>
      <c r="VVZ1" s="560" t="s">
        <v>15</v>
      </c>
      <c r="VWA1" s="560"/>
      <c r="VWB1" s="560"/>
      <c r="VWC1" s="560"/>
      <c r="VWD1" s="560"/>
      <c r="VWE1" s="560"/>
      <c r="VWF1" s="560"/>
      <c r="VWG1" s="560"/>
      <c r="VWH1" s="560" t="s">
        <v>15</v>
      </c>
      <c r="VWI1" s="560"/>
      <c r="VWJ1" s="560"/>
      <c r="VWK1" s="560"/>
      <c r="VWL1" s="560"/>
      <c r="VWM1" s="560"/>
      <c r="VWN1" s="560"/>
      <c r="VWO1" s="560"/>
      <c r="VWP1" s="560" t="s">
        <v>15</v>
      </c>
      <c r="VWQ1" s="560"/>
      <c r="VWR1" s="560"/>
      <c r="VWS1" s="560"/>
      <c r="VWT1" s="560"/>
      <c r="VWU1" s="560"/>
      <c r="VWV1" s="560"/>
      <c r="VWW1" s="560"/>
      <c r="VWX1" s="560" t="s">
        <v>15</v>
      </c>
      <c r="VWY1" s="560"/>
      <c r="VWZ1" s="560"/>
      <c r="VXA1" s="560"/>
      <c r="VXB1" s="560"/>
      <c r="VXC1" s="560"/>
      <c r="VXD1" s="560"/>
      <c r="VXE1" s="560"/>
      <c r="VXF1" s="560" t="s">
        <v>15</v>
      </c>
      <c r="VXG1" s="560"/>
      <c r="VXH1" s="560"/>
      <c r="VXI1" s="560"/>
      <c r="VXJ1" s="560"/>
      <c r="VXK1" s="560"/>
      <c r="VXL1" s="560"/>
      <c r="VXM1" s="560"/>
      <c r="VXN1" s="560" t="s">
        <v>15</v>
      </c>
      <c r="VXO1" s="560"/>
      <c r="VXP1" s="560"/>
      <c r="VXQ1" s="560"/>
      <c r="VXR1" s="560"/>
      <c r="VXS1" s="560"/>
      <c r="VXT1" s="560"/>
      <c r="VXU1" s="560"/>
      <c r="VXV1" s="560" t="s">
        <v>15</v>
      </c>
      <c r="VXW1" s="560"/>
      <c r="VXX1" s="560"/>
      <c r="VXY1" s="560"/>
      <c r="VXZ1" s="560"/>
      <c r="VYA1" s="560"/>
      <c r="VYB1" s="560"/>
      <c r="VYC1" s="560"/>
      <c r="VYD1" s="560" t="s">
        <v>15</v>
      </c>
      <c r="VYE1" s="560"/>
      <c r="VYF1" s="560"/>
      <c r="VYG1" s="560"/>
      <c r="VYH1" s="560"/>
      <c r="VYI1" s="560"/>
      <c r="VYJ1" s="560"/>
      <c r="VYK1" s="560"/>
      <c r="VYL1" s="560" t="s">
        <v>15</v>
      </c>
      <c r="VYM1" s="560"/>
      <c r="VYN1" s="560"/>
      <c r="VYO1" s="560"/>
      <c r="VYP1" s="560"/>
      <c r="VYQ1" s="560"/>
      <c r="VYR1" s="560"/>
      <c r="VYS1" s="560"/>
      <c r="VYT1" s="560" t="s">
        <v>15</v>
      </c>
      <c r="VYU1" s="560"/>
      <c r="VYV1" s="560"/>
      <c r="VYW1" s="560"/>
      <c r="VYX1" s="560"/>
      <c r="VYY1" s="560"/>
      <c r="VYZ1" s="560"/>
      <c r="VZA1" s="560"/>
      <c r="VZB1" s="560" t="s">
        <v>15</v>
      </c>
      <c r="VZC1" s="560"/>
      <c r="VZD1" s="560"/>
      <c r="VZE1" s="560"/>
      <c r="VZF1" s="560"/>
      <c r="VZG1" s="560"/>
      <c r="VZH1" s="560"/>
      <c r="VZI1" s="560"/>
      <c r="VZJ1" s="560" t="s">
        <v>15</v>
      </c>
      <c r="VZK1" s="560"/>
      <c r="VZL1" s="560"/>
      <c r="VZM1" s="560"/>
      <c r="VZN1" s="560"/>
      <c r="VZO1" s="560"/>
      <c r="VZP1" s="560"/>
      <c r="VZQ1" s="560"/>
      <c r="VZR1" s="560" t="s">
        <v>15</v>
      </c>
      <c r="VZS1" s="560"/>
      <c r="VZT1" s="560"/>
      <c r="VZU1" s="560"/>
      <c r="VZV1" s="560"/>
      <c r="VZW1" s="560"/>
      <c r="VZX1" s="560"/>
      <c r="VZY1" s="560"/>
      <c r="VZZ1" s="560" t="s">
        <v>15</v>
      </c>
      <c r="WAA1" s="560"/>
      <c r="WAB1" s="560"/>
      <c r="WAC1" s="560"/>
      <c r="WAD1" s="560"/>
      <c r="WAE1" s="560"/>
      <c r="WAF1" s="560"/>
      <c r="WAG1" s="560"/>
      <c r="WAH1" s="560" t="s">
        <v>15</v>
      </c>
      <c r="WAI1" s="560"/>
      <c r="WAJ1" s="560"/>
      <c r="WAK1" s="560"/>
      <c r="WAL1" s="560"/>
      <c r="WAM1" s="560"/>
      <c r="WAN1" s="560"/>
      <c r="WAO1" s="560"/>
      <c r="WAP1" s="560" t="s">
        <v>15</v>
      </c>
      <c r="WAQ1" s="560"/>
      <c r="WAR1" s="560"/>
      <c r="WAS1" s="560"/>
      <c r="WAT1" s="560"/>
      <c r="WAU1" s="560"/>
      <c r="WAV1" s="560"/>
      <c r="WAW1" s="560"/>
      <c r="WAX1" s="560" t="s">
        <v>15</v>
      </c>
      <c r="WAY1" s="560"/>
      <c r="WAZ1" s="560"/>
      <c r="WBA1" s="560"/>
      <c r="WBB1" s="560"/>
      <c r="WBC1" s="560"/>
      <c r="WBD1" s="560"/>
      <c r="WBE1" s="560"/>
      <c r="WBF1" s="560" t="s">
        <v>15</v>
      </c>
      <c r="WBG1" s="560"/>
      <c r="WBH1" s="560"/>
      <c r="WBI1" s="560"/>
      <c r="WBJ1" s="560"/>
      <c r="WBK1" s="560"/>
      <c r="WBL1" s="560"/>
      <c r="WBM1" s="560"/>
      <c r="WBN1" s="560" t="s">
        <v>15</v>
      </c>
      <c r="WBO1" s="560"/>
      <c r="WBP1" s="560"/>
      <c r="WBQ1" s="560"/>
      <c r="WBR1" s="560"/>
      <c r="WBS1" s="560"/>
      <c r="WBT1" s="560"/>
      <c r="WBU1" s="560"/>
      <c r="WBV1" s="560" t="s">
        <v>15</v>
      </c>
      <c r="WBW1" s="560"/>
      <c r="WBX1" s="560"/>
      <c r="WBY1" s="560"/>
      <c r="WBZ1" s="560"/>
      <c r="WCA1" s="560"/>
      <c r="WCB1" s="560"/>
      <c r="WCC1" s="560"/>
      <c r="WCD1" s="560" t="s">
        <v>15</v>
      </c>
      <c r="WCE1" s="560"/>
      <c r="WCF1" s="560"/>
      <c r="WCG1" s="560"/>
      <c r="WCH1" s="560"/>
      <c r="WCI1" s="560"/>
      <c r="WCJ1" s="560"/>
      <c r="WCK1" s="560"/>
      <c r="WCL1" s="560" t="s">
        <v>15</v>
      </c>
      <c r="WCM1" s="560"/>
      <c r="WCN1" s="560"/>
      <c r="WCO1" s="560"/>
      <c r="WCP1" s="560"/>
      <c r="WCQ1" s="560"/>
      <c r="WCR1" s="560"/>
      <c r="WCS1" s="560"/>
      <c r="WCT1" s="560" t="s">
        <v>15</v>
      </c>
      <c r="WCU1" s="560"/>
      <c r="WCV1" s="560"/>
      <c r="WCW1" s="560"/>
      <c r="WCX1" s="560"/>
      <c r="WCY1" s="560"/>
      <c r="WCZ1" s="560"/>
      <c r="WDA1" s="560"/>
      <c r="WDB1" s="560" t="s">
        <v>15</v>
      </c>
      <c r="WDC1" s="560"/>
      <c r="WDD1" s="560"/>
      <c r="WDE1" s="560"/>
      <c r="WDF1" s="560"/>
      <c r="WDG1" s="560"/>
      <c r="WDH1" s="560"/>
      <c r="WDI1" s="560"/>
      <c r="WDJ1" s="560" t="s">
        <v>15</v>
      </c>
      <c r="WDK1" s="560"/>
      <c r="WDL1" s="560"/>
      <c r="WDM1" s="560"/>
      <c r="WDN1" s="560"/>
      <c r="WDO1" s="560"/>
      <c r="WDP1" s="560"/>
      <c r="WDQ1" s="560"/>
      <c r="WDR1" s="560" t="s">
        <v>15</v>
      </c>
      <c r="WDS1" s="560"/>
      <c r="WDT1" s="560"/>
      <c r="WDU1" s="560"/>
      <c r="WDV1" s="560"/>
      <c r="WDW1" s="560"/>
      <c r="WDX1" s="560"/>
      <c r="WDY1" s="560"/>
      <c r="WDZ1" s="560" t="s">
        <v>15</v>
      </c>
      <c r="WEA1" s="560"/>
      <c r="WEB1" s="560"/>
      <c r="WEC1" s="560"/>
      <c r="WED1" s="560"/>
      <c r="WEE1" s="560"/>
      <c r="WEF1" s="560"/>
      <c r="WEG1" s="560"/>
      <c r="WEH1" s="560" t="s">
        <v>15</v>
      </c>
      <c r="WEI1" s="560"/>
      <c r="WEJ1" s="560"/>
      <c r="WEK1" s="560"/>
      <c r="WEL1" s="560"/>
      <c r="WEM1" s="560"/>
      <c r="WEN1" s="560"/>
      <c r="WEO1" s="560"/>
      <c r="WEP1" s="560" t="s">
        <v>15</v>
      </c>
      <c r="WEQ1" s="560"/>
      <c r="WER1" s="560"/>
      <c r="WES1" s="560"/>
      <c r="WET1" s="560"/>
      <c r="WEU1" s="560"/>
      <c r="WEV1" s="560"/>
      <c r="WEW1" s="560"/>
      <c r="WEX1" s="560" t="s">
        <v>15</v>
      </c>
      <c r="WEY1" s="560"/>
      <c r="WEZ1" s="560"/>
      <c r="WFA1" s="560"/>
      <c r="WFB1" s="560"/>
      <c r="WFC1" s="560"/>
      <c r="WFD1" s="560"/>
      <c r="WFE1" s="560"/>
      <c r="WFF1" s="560" t="s">
        <v>15</v>
      </c>
      <c r="WFG1" s="560"/>
      <c r="WFH1" s="560"/>
      <c r="WFI1" s="560"/>
      <c r="WFJ1" s="560"/>
      <c r="WFK1" s="560"/>
      <c r="WFL1" s="560"/>
      <c r="WFM1" s="560"/>
      <c r="WFN1" s="560" t="s">
        <v>15</v>
      </c>
      <c r="WFO1" s="560"/>
      <c r="WFP1" s="560"/>
      <c r="WFQ1" s="560"/>
      <c r="WFR1" s="560"/>
      <c r="WFS1" s="560"/>
      <c r="WFT1" s="560"/>
      <c r="WFU1" s="560"/>
      <c r="WFV1" s="560" t="s">
        <v>15</v>
      </c>
      <c r="WFW1" s="560"/>
      <c r="WFX1" s="560"/>
      <c r="WFY1" s="560"/>
      <c r="WFZ1" s="560"/>
      <c r="WGA1" s="560"/>
      <c r="WGB1" s="560"/>
      <c r="WGC1" s="560"/>
      <c r="WGD1" s="560" t="s">
        <v>15</v>
      </c>
      <c r="WGE1" s="560"/>
      <c r="WGF1" s="560"/>
      <c r="WGG1" s="560"/>
      <c r="WGH1" s="560"/>
      <c r="WGI1" s="560"/>
      <c r="WGJ1" s="560"/>
      <c r="WGK1" s="560"/>
      <c r="WGL1" s="560" t="s">
        <v>15</v>
      </c>
      <c r="WGM1" s="560"/>
      <c r="WGN1" s="560"/>
      <c r="WGO1" s="560"/>
      <c r="WGP1" s="560"/>
      <c r="WGQ1" s="560"/>
      <c r="WGR1" s="560"/>
      <c r="WGS1" s="560"/>
      <c r="WGT1" s="560" t="s">
        <v>15</v>
      </c>
      <c r="WGU1" s="560"/>
      <c r="WGV1" s="560"/>
      <c r="WGW1" s="560"/>
      <c r="WGX1" s="560"/>
      <c r="WGY1" s="560"/>
      <c r="WGZ1" s="560"/>
      <c r="WHA1" s="560"/>
      <c r="WHB1" s="560" t="s">
        <v>15</v>
      </c>
      <c r="WHC1" s="560"/>
      <c r="WHD1" s="560"/>
      <c r="WHE1" s="560"/>
      <c r="WHF1" s="560"/>
      <c r="WHG1" s="560"/>
      <c r="WHH1" s="560"/>
      <c r="WHI1" s="560"/>
      <c r="WHJ1" s="560" t="s">
        <v>15</v>
      </c>
      <c r="WHK1" s="560"/>
      <c r="WHL1" s="560"/>
      <c r="WHM1" s="560"/>
      <c r="WHN1" s="560"/>
      <c r="WHO1" s="560"/>
      <c r="WHP1" s="560"/>
      <c r="WHQ1" s="560"/>
      <c r="WHR1" s="560" t="s">
        <v>15</v>
      </c>
      <c r="WHS1" s="560"/>
      <c r="WHT1" s="560"/>
      <c r="WHU1" s="560"/>
      <c r="WHV1" s="560"/>
      <c r="WHW1" s="560"/>
      <c r="WHX1" s="560"/>
      <c r="WHY1" s="560"/>
      <c r="WHZ1" s="560" t="s">
        <v>15</v>
      </c>
      <c r="WIA1" s="560"/>
      <c r="WIB1" s="560"/>
      <c r="WIC1" s="560"/>
      <c r="WID1" s="560"/>
      <c r="WIE1" s="560"/>
      <c r="WIF1" s="560"/>
      <c r="WIG1" s="560"/>
      <c r="WIH1" s="560" t="s">
        <v>15</v>
      </c>
      <c r="WII1" s="560"/>
      <c r="WIJ1" s="560"/>
      <c r="WIK1" s="560"/>
      <c r="WIL1" s="560"/>
      <c r="WIM1" s="560"/>
      <c r="WIN1" s="560"/>
      <c r="WIO1" s="560"/>
      <c r="WIP1" s="560" t="s">
        <v>15</v>
      </c>
      <c r="WIQ1" s="560"/>
      <c r="WIR1" s="560"/>
      <c r="WIS1" s="560"/>
      <c r="WIT1" s="560"/>
      <c r="WIU1" s="560"/>
      <c r="WIV1" s="560"/>
      <c r="WIW1" s="560"/>
      <c r="WIX1" s="560" t="s">
        <v>15</v>
      </c>
      <c r="WIY1" s="560"/>
      <c r="WIZ1" s="560"/>
      <c r="WJA1" s="560"/>
      <c r="WJB1" s="560"/>
      <c r="WJC1" s="560"/>
      <c r="WJD1" s="560"/>
      <c r="WJE1" s="560"/>
      <c r="WJF1" s="560" t="s">
        <v>15</v>
      </c>
      <c r="WJG1" s="560"/>
      <c r="WJH1" s="560"/>
      <c r="WJI1" s="560"/>
      <c r="WJJ1" s="560"/>
      <c r="WJK1" s="560"/>
      <c r="WJL1" s="560"/>
      <c r="WJM1" s="560"/>
      <c r="WJN1" s="560" t="s">
        <v>15</v>
      </c>
      <c r="WJO1" s="560"/>
      <c r="WJP1" s="560"/>
      <c r="WJQ1" s="560"/>
      <c r="WJR1" s="560"/>
      <c r="WJS1" s="560"/>
      <c r="WJT1" s="560"/>
      <c r="WJU1" s="560"/>
      <c r="WJV1" s="560" t="s">
        <v>15</v>
      </c>
      <c r="WJW1" s="560"/>
      <c r="WJX1" s="560"/>
      <c r="WJY1" s="560"/>
      <c r="WJZ1" s="560"/>
      <c r="WKA1" s="560"/>
      <c r="WKB1" s="560"/>
      <c r="WKC1" s="560"/>
      <c r="WKD1" s="560" t="s">
        <v>15</v>
      </c>
      <c r="WKE1" s="560"/>
      <c r="WKF1" s="560"/>
      <c r="WKG1" s="560"/>
      <c r="WKH1" s="560"/>
      <c r="WKI1" s="560"/>
      <c r="WKJ1" s="560"/>
      <c r="WKK1" s="560"/>
      <c r="WKL1" s="560" t="s">
        <v>15</v>
      </c>
      <c r="WKM1" s="560"/>
      <c r="WKN1" s="560"/>
      <c r="WKO1" s="560"/>
      <c r="WKP1" s="560"/>
      <c r="WKQ1" s="560"/>
      <c r="WKR1" s="560"/>
      <c r="WKS1" s="560"/>
      <c r="WKT1" s="560" t="s">
        <v>15</v>
      </c>
      <c r="WKU1" s="560"/>
      <c r="WKV1" s="560"/>
      <c r="WKW1" s="560"/>
      <c r="WKX1" s="560"/>
      <c r="WKY1" s="560"/>
      <c r="WKZ1" s="560"/>
      <c r="WLA1" s="560"/>
      <c r="WLB1" s="560" t="s">
        <v>15</v>
      </c>
      <c r="WLC1" s="560"/>
      <c r="WLD1" s="560"/>
      <c r="WLE1" s="560"/>
      <c r="WLF1" s="560"/>
      <c r="WLG1" s="560"/>
      <c r="WLH1" s="560"/>
      <c r="WLI1" s="560"/>
      <c r="WLJ1" s="560" t="s">
        <v>15</v>
      </c>
      <c r="WLK1" s="560"/>
      <c r="WLL1" s="560"/>
      <c r="WLM1" s="560"/>
      <c r="WLN1" s="560"/>
      <c r="WLO1" s="560"/>
      <c r="WLP1" s="560"/>
      <c r="WLQ1" s="560"/>
      <c r="WLR1" s="560" t="s">
        <v>15</v>
      </c>
      <c r="WLS1" s="560"/>
      <c r="WLT1" s="560"/>
      <c r="WLU1" s="560"/>
      <c r="WLV1" s="560"/>
      <c r="WLW1" s="560"/>
      <c r="WLX1" s="560"/>
      <c r="WLY1" s="560"/>
      <c r="WLZ1" s="560" t="s">
        <v>15</v>
      </c>
      <c r="WMA1" s="560"/>
      <c r="WMB1" s="560"/>
      <c r="WMC1" s="560"/>
      <c r="WMD1" s="560"/>
      <c r="WME1" s="560"/>
      <c r="WMF1" s="560"/>
      <c r="WMG1" s="560"/>
      <c r="WMH1" s="560" t="s">
        <v>15</v>
      </c>
      <c r="WMI1" s="560"/>
      <c r="WMJ1" s="560"/>
      <c r="WMK1" s="560"/>
      <c r="WML1" s="560"/>
      <c r="WMM1" s="560"/>
      <c r="WMN1" s="560"/>
      <c r="WMO1" s="560"/>
      <c r="WMP1" s="560" t="s">
        <v>15</v>
      </c>
      <c r="WMQ1" s="560"/>
      <c r="WMR1" s="560"/>
      <c r="WMS1" s="560"/>
      <c r="WMT1" s="560"/>
      <c r="WMU1" s="560"/>
      <c r="WMV1" s="560"/>
      <c r="WMW1" s="560"/>
      <c r="WMX1" s="560" t="s">
        <v>15</v>
      </c>
      <c r="WMY1" s="560"/>
      <c r="WMZ1" s="560"/>
      <c r="WNA1" s="560"/>
      <c r="WNB1" s="560"/>
      <c r="WNC1" s="560"/>
      <c r="WND1" s="560"/>
      <c r="WNE1" s="560"/>
      <c r="WNF1" s="560" t="s">
        <v>15</v>
      </c>
      <c r="WNG1" s="560"/>
      <c r="WNH1" s="560"/>
      <c r="WNI1" s="560"/>
      <c r="WNJ1" s="560"/>
      <c r="WNK1" s="560"/>
      <c r="WNL1" s="560"/>
      <c r="WNM1" s="560"/>
      <c r="WNN1" s="560" t="s">
        <v>15</v>
      </c>
      <c r="WNO1" s="560"/>
      <c r="WNP1" s="560"/>
      <c r="WNQ1" s="560"/>
      <c r="WNR1" s="560"/>
      <c r="WNS1" s="560"/>
      <c r="WNT1" s="560"/>
      <c r="WNU1" s="560"/>
      <c r="WNV1" s="560" t="s">
        <v>15</v>
      </c>
      <c r="WNW1" s="560"/>
      <c r="WNX1" s="560"/>
      <c r="WNY1" s="560"/>
      <c r="WNZ1" s="560"/>
      <c r="WOA1" s="560"/>
      <c r="WOB1" s="560"/>
      <c r="WOC1" s="560"/>
      <c r="WOD1" s="560" t="s">
        <v>15</v>
      </c>
      <c r="WOE1" s="560"/>
      <c r="WOF1" s="560"/>
      <c r="WOG1" s="560"/>
      <c r="WOH1" s="560"/>
      <c r="WOI1" s="560"/>
      <c r="WOJ1" s="560"/>
      <c r="WOK1" s="560"/>
      <c r="WOL1" s="560" t="s">
        <v>15</v>
      </c>
      <c r="WOM1" s="560"/>
      <c r="WON1" s="560"/>
      <c r="WOO1" s="560"/>
      <c r="WOP1" s="560"/>
      <c r="WOQ1" s="560"/>
      <c r="WOR1" s="560"/>
      <c r="WOS1" s="560"/>
      <c r="WOT1" s="560" t="s">
        <v>15</v>
      </c>
      <c r="WOU1" s="560"/>
      <c r="WOV1" s="560"/>
      <c r="WOW1" s="560"/>
      <c r="WOX1" s="560"/>
      <c r="WOY1" s="560"/>
      <c r="WOZ1" s="560"/>
      <c r="WPA1" s="560"/>
      <c r="WPB1" s="560" t="s">
        <v>15</v>
      </c>
      <c r="WPC1" s="560"/>
      <c r="WPD1" s="560"/>
      <c r="WPE1" s="560"/>
      <c r="WPF1" s="560"/>
      <c r="WPG1" s="560"/>
      <c r="WPH1" s="560"/>
      <c r="WPI1" s="560"/>
      <c r="WPJ1" s="560" t="s">
        <v>15</v>
      </c>
      <c r="WPK1" s="560"/>
      <c r="WPL1" s="560"/>
      <c r="WPM1" s="560"/>
      <c r="WPN1" s="560"/>
      <c r="WPO1" s="560"/>
      <c r="WPP1" s="560"/>
      <c r="WPQ1" s="560"/>
      <c r="WPR1" s="560" t="s">
        <v>15</v>
      </c>
      <c r="WPS1" s="560"/>
      <c r="WPT1" s="560"/>
      <c r="WPU1" s="560"/>
      <c r="WPV1" s="560"/>
      <c r="WPW1" s="560"/>
      <c r="WPX1" s="560"/>
      <c r="WPY1" s="560"/>
      <c r="WPZ1" s="560" t="s">
        <v>15</v>
      </c>
      <c r="WQA1" s="560"/>
      <c r="WQB1" s="560"/>
      <c r="WQC1" s="560"/>
      <c r="WQD1" s="560"/>
      <c r="WQE1" s="560"/>
      <c r="WQF1" s="560"/>
      <c r="WQG1" s="560"/>
      <c r="WQH1" s="560" t="s">
        <v>15</v>
      </c>
      <c r="WQI1" s="560"/>
      <c r="WQJ1" s="560"/>
      <c r="WQK1" s="560"/>
      <c r="WQL1" s="560"/>
      <c r="WQM1" s="560"/>
      <c r="WQN1" s="560"/>
      <c r="WQO1" s="560"/>
      <c r="WQP1" s="560" t="s">
        <v>15</v>
      </c>
      <c r="WQQ1" s="560"/>
      <c r="WQR1" s="560"/>
      <c r="WQS1" s="560"/>
      <c r="WQT1" s="560"/>
      <c r="WQU1" s="560"/>
      <c r="WQV1" s="560"/>
      <c r="WQW1" s="560"/>
      <c r="WQX1" s="560" t="s">
        <v>15</v>
      </c>
      <c r="WQY1" s="560"/>
      <c r="WQZ1" s="560"/>
      <c r="WRA1" s="560"/>
      <c r="WRB1" s="560"/>
      <c r="WRC1" s="560"/>
      <c r="WRD1" s="560"/>
      <c r="WRE1" s="560"/>
      <c r="WRF1" s="560" t="s">
        <v>15</v>
      </c>
      <c r="WRG1" s="560"/>
      <c r="WRH1" s="560"/>
      <c r="WRI1" s="560"/>
      <c r="WRJ1" s="560"/>
      <c r="WRK1" s="560"/>
      <c r="WRL1" s="560"/>
      <c r="WRM1" s="560"/>
      <c r="WRN1" s="560" t="s">
        <v>15</v>
      </c>
      <c r="WRO1" s="560"/>
      <c r="WRP1" s="560"/>
      <c r="WRQ1" s="560"/>
      <c r="WRR1" s="560"/>
      <c r="WRS1" s="560"/>
      <c r="WRT1" s="560"/>
      <c r="WRU1" s="560"/>
      <c r="WRV1" s="560" t="s">
        <v>15</v>
      </c>
      <c r="WRW1" s="560"/>
      <c r="WRX1" s="560"/>
      <c r="WRY1" s="560"/>
      <c r="WRZ1" s="560"/>
      <c r="WSA1" s="560"/>
      <c r="WSB1" s="560"/>
      <c r="WSC1" s="560"/>
      <c r="WSD1" s="560" t="s">
        <v>15</v>
      </c>
      <c r="WSE1" s="560"/>
      <c r="WSF1" s="560"/>
      <c r="WSG1" s="560"/>
      <c r="WSH1" s="560"/>
      <c r="WSI1" s="560"/>
      <c r="WSJ1" s="560"/>
      <c r="WSK1" s="560"/>
      <c r="WSL1" s="560" t="s">
        <v>15</v>
      </c>
      <c r="WSM1" s="560"/>
      <c r="WSN1" s="560"/>
      <c r="WSO1" s="560"/>
      <c r="WSP1" s="560"/>
      <c r="WSQ1" s="560"/>
      <c r="WSR1" s="560"/>
      <c r="WSS1" s="560"/>
      <c r="WST1" s="560" t="s">
        <v>15</v>
      </c>
      <c r="WSU1" s="560"/>
      <c r="WSV1" s="560"/>
      <c r="WSW1" s="560"/>
      <c r="WSX1" s="560"/>
      <c r="WSY1" s="560"/>
      <c r="WSZ1" s="560"/>
      <c r="WTA1" s="560"/>
      <c r="WTB1" s="560" t="s">
        <v>15</v>
      </c>
      <c r="WTC1" s="560"/>
      <c r="WTD1" s="560"/>
      <c r="WTE1" s="560"/>
      <c r="WTF1" s="560"/>
      <c r="WTG1" s="560"/>
      <c r="WTH1" s="560"/>
      <c r="WTI1" s="560"/>
      <c r="WTJ1" s="560" t="s">
        <v>15</v>
      </c>
      <c r="WTK1" s="560"/>
      <c r="WTL1" s="560"/>
      <c r="WTM1" s="560"/>
      <c r="WTN1" s="560"/>
      <c r="WTO1" s="560"/>
      <c r="WTP1" s="560"/>
      <c r="WTQ1" s="560"/>
      <c r="WTR1" s="560" t="s">
        <v>15</v>
      </c>
      <c r="WTS1" s="560"/>
      <c r="WTT1" s="560"/>
      <c r="WTU1" s="560"/>
      <c r="WTV1" s="560"/>
      <c r="WTW1" s="560"/>
      <c r="WTX1" s="560"/>
      <c r="WTY1" s="560"/>
      <c r="WTZ1" s="560" t="s">
        <v>15</v>
      </c>
      <c r="WUA1" s="560"/>
      <c r="WUB1" s="560"/>
      <c r="WUC1" s="560"/>
      <c r="WUD1" s="560"/>
      <c r="WUE1" s="560"/>
      <c r="WUF1" s="560"/>
      <c r="WUG1" s="560"/>
      <c r="WUH1" s="560" t="s">
        <v>15</v>
      </c>
      <c r="WUI1" s="560"/>
      <c r="WUJ1" s="560"/>
      <c r="WUK1" s="560"/>
      <c r="WUL1" s="560"/>
      <c r="WUM1" s="560"/>
      <c r="WUN1" s="560"/>
      <c r="WUO1" s="560"/>
      <c r="WUP1" s="560" t="s">
        <v>15</v>
      </c>
      <c r="WUQ1" s="560"/>
      <c r="WUR1" s="560"/>
      <c r="WUS1" s="560"/>
      <c r="WUT1" s="560"/>
      <c r="WUU1" s="560"/>
      <c r="WUV1" s="560"/>
      <c r="WUW1" s="560"/>
      <c r="WUX1" s="560" t="s">
        <v>15</v>
      </c>
      <c r="WUY1" s="560"/>
      <c r="WUZ1" s="560"/>
      <c r="WVA1" s="560"/>
      <c r="WVB1" s="560"/>
      <c r="WVC1" s="560"/>
      <c r="WVD1" s="560"/>
      <c r="WVE1" s="560"/>
      <c r="WVF1" s="560" t="s">
        <v>15</v>
      </c>
      <c r="WVG1" s="560"/>
      <c r="WVH1" s="560"/>
      <c r="WVI1" s="560"/>
      <c r="WVJ1" s="560"/>
      <c r="WVK1" s="560"/>
      <c r="WVL1" s="560"/>
      <c r="WVM1" s="560"/>
      <c r="WVN1" s="560" t="s">
        <v>15</v>
      </c>
      <c r="WVO1" s="560"/>
      <c r="WVP1" s="560"/>
      <c r="WVQ1" s="560"/>
      <c r="WVR1" s="560"/>
      <c r="WVS1" s="560"/>
      <c r="WVT1" s="560"/>
      <c r="WVU1" s="560"/>
      <c r="WVV1" s="560" t="s">
        <v>15</v>
      </c>
      <c r="WVW1" s="560"/>
      <c r="WVX1" s="560"/>
      <c r="WVY1" s="560"/>
      <c r="WVZ1" s="560"/>
      <c r="WWA1" s="560"/>
      <c r="WWB1" s="560"/>
      <c r="WWC1" s="560"/>
      <c r="WWD1" s="560" t="s">
        <v>15</v>
      </c>
      <c r="WWE1" s="560"/>
      <c r="WWF1" s="560"/>
      <c r="WWG1" s="560"/>
      <c r="WWH1" s="560"/>
      <c r="WWI1" s="560"/>
      <c r="WWJ1" s="560"/>
      <c r="WWK1" s="560"/>
      <c r="WWL1" s="560" t="s">
        <v>15</v>
      </c>
      <c r="WWM1" s="560"/>
      <c r="WWN1" s="560"/>
      <c r="WWO1" s="560"/>
      <c r="WWP1" s="560"/>
      <c r="WWQ1" s="560"/>
      <c r="WWR1" s="560"/>
      <c r="WWS1" s="560"/>
      <c r="WWT1" s="560" t="s">
        <v>15</v>
      </c>
      <c r="WWU1" s="560"/>
      <c r="WWV1" s="560"/>
      <c r="WWW1" s="560"/>
      <c r="WWX1" s="560"/>
      <c r="WWY1" s="560"/>
      <c r="WWZ1" s="560"/>
      <c r="WXA1" s="560"/>
      <c r="WXB1" s="560" t="s">
        <v>15</v>
      </c>
      <c r="WXC1" s="560"/>
      <c r="WXD1" s="560"/>
      <c r="WXE1" s="560"/>
      <c r="WXF1" s="560"/>
      <c r="WXG1" s="560"/>
      <c r="WXH1" s="560"/>
      <c r="WXI1" s="560"/>
      <c r="WXJ1" s="560" t="s">
        <v>15</v>
      </c>
      <c r="WXK1" s="560"/>
      <c r="WXL1" s="560"/>
      <c r="WXM1" s="560"/>
      <c r="WXN1" s="560"/>
      <c r="WXO1" s="560"/>
      <c r="WXP1" s="560"/>
      <c r="WXQ1" s="560"/>
      <c r="WXR1" s="560" t="s">
        <v>15</v>
      </c>
      <c r="WXS1" s="560"/>
      <c r="WXT1" s="560"/>
      <c r="WXU1" s="560"/>
      <c r="WXV1" s="560"/>
      <c r="WXW1" s="560"/>
      <c r="WXX1" s="560"/>
      <c r="WXY1" s="560"/>
      <c r="WXZ1" s="560" t="s">
        <v>15</v>
      </c>
      <c r="WYA1" s="560"/>
      <c r="WYB1" s="560"/>
      <c r="WYC1" s="560"/>
      <c r="WYD1" s="560"/>
      <c r="WYE1" s="560"/>
      <c r="WYF1" s="560"/>
      <c r="WYG1" s="560"/>
      <c r="WYH1" s="560" t="s">
        <v>15</v>
      </c>
      <c r="WYI1" s="560"/>
      <c r="WYJ1" s="560"/>
      <c r="WYK1" s="560"/>
      <c r="WYL1" s="560"/>
      <c r="WYM1" s="560"/>
      <c r="WYN1" s="560"/>
      <c r="WYO1" s="560"/>
      <c r="WYP1" s="560" t="s">
        <v>15</v>
      </c>
      <c r="WYQ1" s="560"/>
      <c r="WYR1" s="560"/>
      <c r="WYS1" s="560"/>
      <c r="WYT1" s="560"/>
      <c r="WYU1" s="560"/>
      <c r="WYV1" s="560"/>
      <c r="WYW1" s="560"/>
      <c r="WYX1" s="560" t="s">
        <v>15</v>
      </c>
      <c r="WYY1" s="560"/>
      <c r="WYZ1" s="560"/>
      <c r="WZA1" s="560"/>
      <c r="WZB1" s="560"/>
      <c r="WZC1" s="560"/>
      <c r="WZD1" s="560"/>
      <c r="WZE1" s="560"/>
      <c r="WZF1" s="560" t="s">
        <v>15</v>
      </c>
      <c r="WZG1" s="560"/>
      <c r="WZH1" s="560"/>
      <c r="WZI1" s="560"/>
      <c r="WZJ1" s="560"/>
      <c r="WZK1" s="560"/>
      <c r="WZL1" s="560"/>
      <c r="WZM1" s="560"/>
      <c r="WZN1" s="560" t="s">
        <v>15</v>
      </c>
      <c r="WZO1" s="560"/>
      <c r="WZP1" s="560"/>
      <c r="WZQ1" s="560"/>
      <c r="WZR1" s="560"/>
      <c r="WZS1" s="560"/>
      <c r="WZT1" s="560"/>
      <c r="WZU1" s="560"/>
      <c r="WZV1" s="560" t="s">
        <v>15</v>
      </c>
      <c r="WZW1" s="560"/>
      <c r="WZX1" s="560"/>
      <c r="WZY1" s="560"/>
      <c r="WZZ1" s="560"/>
      <c r="XAA1" s="560"/>
      <c r="XAB1" s="560"/>
      <c r="XAC1" s="560"/>
      <c r="XAD1" s="560" t="s">
        <v>15</v>
      </c>
      <c r="XAE1" s="560"/>
      <c r="XAF1" s="560"/>
      <c r="XAG1" s="560"/>
      <c r="XAH1" s="560"/>
      <c r="XAI1" s="560"/>
      <c r="XAJ1" s="560"/>
      <c r="XAK1" s="560"/>
      <c r="XAL1" s="560" t="s">
        <v>15</v>
      </c>
      <c r="XAM1" s="560"/>
      <c r="XAN1" s="560"/>
      <c r="XAO1" s="560"/>
      <c r="XAP1" s="560"/>
      <c r="XAQ1" s="560"/>
      <c r="XAR1" s="560"/>
      <c r="XAS1" s="560"/>
      <c r="XAT1" s="560" t="s">
        <v>15</v>
      </c>
      <c r="XAU1" s="560"/>
      <c r="XAV1" s="560"/>
      <c r="XAW1" s="560"/>
      <c r="XAX1" s="560"/>
      <c r="XAY1" s="560"/>
      <c r="XAZ1" s="560"/>
      <c r="XBA1" s="560"/>
      <c r="XBB1" s="560" t="s">
        <v>15</v>
      </c>
      <c r="XBC1" s="560"/>
      <c r="XBD1" s="560"/>
      <c r="XBE1" s="560"/>
      <c r="XBF1" s="560"/>
      <c r="XBG1" s="560"/>
      <c r="XBH1" s="560"/>
      <c r="XBI1" s="560"/>
      <c r="XBJ1" s="560" t="s">
        <v>15</v>
      </c>
      <c r="XBK1" s="560"/>
      <c r="XBL1" s="560"/>
      <c r="XBM1" s="560"/>
      <c r="XBN1" s="560"/>
      <c r="XBO1" s="560"/>
      <c r="XBP1" s="560"/>
      <c r="XBQ1" s="560"/>
      <c r="XBR1" s="560" t="s">
        <v>15</v>
      </c>
      <c r="XBS1" s="560"/>
      <c r="XBT1" s="560"/>
      <c r="XBU1" s="560"/>
      <c r="XBV1" s="560"/>
      <c r="XBW1" s="560"/>
      <c r="XBX1" s="560"/>
      <c r="XBY1" s="560"/>
      <c r="XBZ1" s="560" t="s">
        <v>15</v>
      </c>
      <c r="XCA1" s="560"/>
      <c r="XCB1" s="560"/>
      <c r="XCC1" s="560"/>
      <c r="XCD1" s="560"/>
      <c r="XCE1" s="560"/>
      <c r="XCF1" s="560"/>
      <c r="XCG1" s="560"/>
      <c r="XCH1" s="560" t="s">
        <v>15</v>
      </c>
      <c r="XCI1" s="560"/>
      <c r="XCJ1" s="560"/>
      <c r="XCK1" s="560"/>
      <c r="XCL1" s="560"/>
      <c r="XCM1" s="560"/>
      <c r="XCN1" s="560"/>
      <c r="XCO1" s="560"/>
      <c r="XCP1" s="560" t="s">
        <v>15</v>
      </c>
      <c r="XCQ1" s="560"/>
      <c r="XCR1" s="560"/>
      <c r="XCS1" s="560"/>
      <c r="XCT1" s="560"/>
      <c r="XCU1" s="560"/>
      <c r="XCV1" s="560"/>
      <c r="XCW1" s="560"/>
      <c r="XCX1" s="560" t="s">
        <v>15</v>
      </c>
      <c r="XCY1" s="560"/>
      <c r="XCZ1" s="560"/>
      <c r="XDA1" s="560"/>
      <c r="XDB1" s="560"/>
      <c r="XDC1" s="560"/>
      <c r="XDD1" s="560"/>
      <c r="XDE1" s="560"/>
      <c r="XDF1" s="560" t="s">
        <v>15</v>
      </c>
      <c r="XDG1" s="560"/>
      <c r="XDH1" s="560"/>
      <c r="XDI1" s="560"/>
      <c r="XDJ1" s="560"/>
      <c r="XDK1" s="560"/>
      <c r="XDL1" s="560"/>
      <c r="XDM1" s="560"/>
      <c r="XDN1" s="560" t="s">
        <v>15</v>
      </c>
      <c r="XDO1" s="560"/>
      <c r="XDP1" s="560"/>
      <c r="XDQ1" s="560"/>
      <c r="XDR1" s="560"/>
      <c r="XDS1" s="560"/>
      <c r="XDT1" s="560"/>
      <c r="XDU1" s="560"/>
      <c r="XDV1" s="560" t="s">
        <v>15</v>
      </c>
      <c r="XDW1" s="560"/>
      <c r="XDX1" s="560"/>
      <c r="XDY1" s="560"/>
      <c r="XDZ1" s="560"/>
      <c r="XEA1" s="560"/>
      <c r="XEB1" s="560"/>
      <c r="XEC1" s="560"/>
      <c r="XED1" s="560" t="s">
        <v>15</v>
      </c>
      <c r="XEE1" s="560"/>
      <c r="XEF1" s="560"/>
      <c r="XEG1" s="560"/>
      <c r="XEH1" s="560"/>
      <c r="XEI1" s="560"/>
      <c r="XEJ1" s="560"/>
      <c r="XEK1" s="560"/>
      <c r="XEL1" s="560" t="s">
        <v>15</v>
      </c>
      <c r="XEM1" s="560"/>
      <c r="XEN1" s="560"/>
      <c r="XEO1" s="560"/>
      <c r="XEP1" s="560"/>
      <c r="XEQ1" s="560"/>
      <c r="XER1" s="560"/>
      <c r="XES1" s="560"/>
    </row>
    <row r="2" spans="1:16373" s="218" customFormat="1" ht="14.25" customHeight="1" x14ac:dyDescent="0.3">
      <c r="A2" s="216"/>
      <c r="B2" s="561"/>
      <c r="C2" s="561"/>
      <c r="D2" s="561"/>
      <c r="E2" s="561"/>
      <c r="F2" s="561"/>
      <c r="G2" s="562"/>
      <c r="H2" s="561"/>
      <c r="I2" s="561"/>
      <c r="J2" s="561"/>
      <c r="K2" s="561"/>
      <c r="L2" s="561"/>
    </row>
    <row r="3" spans="1:16373" s="220" customFormat="1" ht="15" customHeight="1" x14ac:dyDescent="0.3">
      <c r="A3" s="216"/>
      <c r="B3" s="561"/>
      <c r="C3" s="561"/>
      <c r="D3" s="561"/>
      <c r="E3" s="561"/>
      <c r="F3" s="561"/>
      <c r="G3" s="562"/>
      <c r="H3" s="561"/>
      <c r="I3" s="561"/>
      <c r="J3" s="561"/>
      <c r="K3" s="561"/>
      <c r="L3" s="561"/>
    </row>
    <row r="4" spans="1:16373" s="220" customFormat="1" ht="15.6" x14ac:dyDescent="0.3">
      <c r="A4" s="216"/>
      <c r="G4" s="221"/>
    </row>
    <row r="5" spans="1:16373" s="220" customFormat="1" ht="15.6" x14ac:dyDescent="0.3">
      <c r="A5" s="216"/>
      <c r="G5" s="221"/>
    </row>
    <row r="6" spans="1:16373" s="220" customFormat="1" ht="15.6" x14ac:dyDescent="0.3">
      <c r="B6" s="222" t="s">
        <v>0</v>
      </c>
      <c r="C6" s="222" t="s">
        <v>16</v>
      </c>
      <c r="D6" s="223" t="s">
        <v>17</v>
      </c>
      <c r="E6" s="224" t="s">
        <v>18</v>
      </c>
      <c r="F6" s="225" t="s">
        <v>19</v>
      </c>
      <c r="G6" s="226" t="s">
        <v>20</v>
      </c>
      <c r="H6" s="227" t="s">
        <v>21</v>
      </c>
      <c r="I6" s="227" t="s">
        <v>22</v>
      </c>
      <c r="J6" s="222" t="s">
        <v>23</v>
      </c>
      <c r="K6" s="222" t="s">
        <v>24</v>
      </c>
      <c r="L6" s="228" t="s">
        <v>25</v>
      </c>
      <c r="M6" s="228" t="s">
        <v>26</v>
      </c>
      <c r="N6" s="228" t="s">
        <v>27</v>
      </c>
      <c r="P6" s="560"/>
      <c r="Q6" s="560"/>
      <c r="R6" s="560"/>
      <c r="S6" s="560"/>
      <c r="T6" s="560"/>
      <c r="U6" s="560"/>
      <c r="V6" s="560"/>
      <c r="W6" s="560"/>
    </row>
    <row r="7" spans="1:16373" s="220" customFormat="1" ht="24.9" customHeight="1" x14ac:dyDescent="0.3">
      <c r="B7" s="229" t="s">
        <v>28</v>
      </c>
      <c r="C7" s="229" t="s">
        <v>29</v>
      </c>
      <c r="D7" s="230" t="s">
        <v>30</v>
      </c>
      <c r="E7" s="231">
        <v>32146684</v>
      </c>
      <c r="F7" s="232" t="s">
        <v>31</v>
      </c>
      <c r="G7" s="220" t="s">
        <v>32</v>
      </c>
      <c r="H7" s="233">
        <v>32045134</v>
      </c>
      <c r="I7" s="233" t="str">
        <f>Table5[[#This Row],[ÁREA]]</f>
        <v>Filtros-Gobierno</v>
      </c>
      <c r="J7" s="230" t="s">
        <v>33</v>
      </c>
      <c r="K7" s="220" t="s">
        <v>34</v>
      </c>
      <c r="L7" s="234">
        <v>5</v>
      </c>
      <c r="M7" s="234" t="s">
        <v>30</v>
      </c>
      <c r="N7" s="234" t="s">
        <v>35</v>
      </c>
    </row>
    <row r="8" spans="1:16373" s="220" customFormat="1" ht="24.9" customHeight="1" x14ac:dyDescent="0.3">
      <c r="B8" s="229" t="s">
        <v>28</v>
      </c>
      <c r="C8" s="229" t="s">
        <v>29</v>
      </c>
      <c r="D8" s="230" t="s">
        <v>30</v>
      </c>
      <c r="E8" s="235">
        <v>32146684</v>
      </c>
      <c r="F8" s="236" t="s">
        <v>31</v>
      </c>
      <c r="G8" s="220" t="s">
        <v>32</v>
      </c>
      <c r="H8" s="233">
        <v>32149605</v>
      </c>
      <c r="I8" s="233" t="str">
        <f>Table5[[#This Row],[ÁREA]]</f>
        <v>Filtros-Gobierno</v>
      </c>
      <c r="J8" s="230" t="s">
        <v>36</v>
      </c>
      <c r="K8" s="220" t="s">
        <v>37</v>
      </c>
      <c r="L8" s="234">
        <v>5</v>
      </c>
      <c r="M8" s="234" t="s">
        <v>30</v>
      </c>
      <c r="N8" s="237" t="s">
        <v>38</v>
      </c>
    </row>
    <row r="9" spans="1:16373" s="220" customFormat="1" ht="24.9" customHeight="1" x14ac:dyDescent="0.3">
      <c r="B9" s="229" t="s">
        <v>28</v>
      </c>
      <c r="C9" s="229" t="s">
        <v>29</v>
      </c>
      <c r="D9" s="230" t="s">
        <v>30</v>
      </c>
      <c r="E9" s="235">
        <v>32146684</v>
      </c>
      <c r="F9" s="236" t="s">
        <v>31</v>
      </c>
      <c r="G9" s="220" t="s">
        <v>32</v>
      </c>
      <c r="H9" s="233">
        <v>32157221</v>
      </c>
      <c r="I9" s="233" t="str">
        <f>Table5[[#This Row],[ÁREA]]</f>
        <v>Filtros-Gobierno</v>
      </c>
      <c r="J9" s="230" t="s">
        <v>39</v>
      </c>
      <c r="K9" s="220" t="s">
        <v>40</v>
      </c>
      <c r="L9" s="234">
        <v>5</v>
      </c>
      <c r="M9" s="234" t="s">
        <v>30</v>
      </c>
      <c r="N9" s="237" t="s">
        <v>41</v>
      </c>
    </row>
    <row r="10" spans="1:16373" s="220" customFormat="1" ht="24.9" customHeight="1" x14ac:dyDescent="0.3">
      <c r="B10" s="229" t="s">
        <v>28</v>
      </c>
      <c r="C10" s="229" t="s">
        <v>29</v>
      </c>
      <c r="D10" s="230" t="s">
        <v>30</v>
      </c>
      <c r="E10" s="238">
        <v>32146684</v>
      </c>
      <c r="F10" s="239" t="s">
        <v>31</v>
      </c>
      <c r="G10" s="240" t="s">
        <v>32</v>
      </c>
      <c r="H10" s="241">
        <v>32045128</v>
      </c>
      <c r="I10" s="241" t="str">
        <f>Table5[[#This Row],[ÁREA]]</f>
        <v>Filtros-Gobierno</v>
      </c>
      <c r="J10" s="230" t="s">
        <v>42</v>
      </c>
      <c r="K10" s="220" t="s">
        <v>43</v>
      </c>
      <c r="L10" s="234">
        <v>5</v>
      </c>
      <c r="M10" s="234" t="s">
        <v>30</v>
      </c>
      <c r="N10" s="234" t="s">
        <v>44</v>
      </c>
    </row>
    <row r="11" spans="1:16373" s="220" customFormat="1" ht="24.9" customHeight="1" x14ac:dyDescent="0.3">
      <c r="B11" s="229" t="s">
        <v>28</v>
      </c>
      <c r="C11" s="229" t="s">
        <v>29</v>
      </c>
      <c r="D11" s="230" t="s">
        <v>30</v>
      </c>
      <c r="E11" s="235">
        <v>32146684</v>
      </c>
      <c r="F11" s="236" t="s">
        <v>31</v>
      </c>
      <c r="G11" s="220" t="s">
        <v>32</v>
      </c>
      <c r="H11" s="233">
        <v>32188009</v>
      </c>
      <c r="I11" s="233" t="str">
        <f>Table5[[#This Row],[ÁREA]]</f>
        <v>Filtros-Gobierno</v>
      </c>
      <c r="J11" s="230" t="s">
        <v>45</v>
      </c>
      <c r="K11" s="220" t="s">
        <v>46</v>
      </c>
      <c r="L11" s="234">
        <v>5</v>
      </c>
      <c r="M11" s="234" t="s">
        <v>30</v>
      </c>
      <c r="N11" s="234" t="s">
        <v>47</v>
      </c>
    </row>
    <row r="12" spans="1:16373" s="220" customFormat="1" ht="24.9" customHeight="1" x14ac:dyDescent="0.3">
      <c r="B12" s="229" t="s">
        <v>28</v>
      </c>
      <c r="C12" s="229" t="s">
        <v>48</v>
      </c>
      <c r="D12" s="230" t="s">
        <v>49</v>
      </c>
      <c r="E12" s="240">
        <v>32186665</v>
      </c>
      <c r="F12" s="240" t="s">
        <v>50</v>
      </c>
      <c r="G12" s="220" t="s">
        <v>51</v>
      </c>
      <c r="H12" s="233">
        <v>32222224</v>
      </c>
      <c r="I12" s="233" t="str">
        <f>Table5[[#This Row],[ÁREA]]</f>
        <v>Mixto</v>
      </c>
      <c r="J12" s="230" t="s">
        <v>52</v>
      </c>
      <c r="K12" s="220" t="s">
        <v>53</v>
      </c>
      <c r="L12" s="234">
        <v>6</v>
      </c>
      <c r="M12" s="234" t="s">
        <v>49</v>
      </c>
      <c r="N12" s="234" t="s">
        <v>41</v>
      </c>
    </row>
    <row r="13" spans="1:16373" s="220" customFormat="1" ht="24.9" customHeight="1" x14ac:dyDescent="0.3">
      <c r="B13" s="229" t="s">
        <v>28</v>
      </c>
      <c r="C13" s="229" t="s">
        <v>48</v>
      </c>
      <c r="D13" s="230" t="s">
        <v>49</v>
      </c>
      <c r="E13" s="240">
        <v>32186665</v>
      </c>
      <c r="F13" s="240" t="s">
        <v>50</v>
      </c>
      <c r="G13" s="220" t="s">
        <v>51</v>
      </c>
      <c r="H13" s="233">
        <v>32149238</v>
      </c>
      <c r="I13" s="233" t="str">
        <f>Table5[[#This Row],[ÁREA]]</f>
        <v>Mixto</v>
      </c>
      <c r="J13" s="230" t="s">
        <v>54</v>
      </c>
      <c r="K13" s="220" t="s">
        <v>55</v>
      </c>
      <c r="L13" s="234">
        <v>6</v>
      </c>
      <c r="M13" s="234" t="s">
        <v>49</v>
      </c>
      <c r="N13" s="234" t="s">
        <v>56</v>
      </c>
    </row>
    <row r="14" spans="1:16373" s="220" customFormat="1" ht="24.9" customHeight="1" x14ac:dyDescent="0.3">
      <c r="B14" s="229" t="s">
        <v>28</v>
      </c>
      <c r="C14" s="229" t="s">
        <v>48</v>
      </c>
      <c r="D14" s="230" t="s">
        <v>49</v>
      </c>
      <c r="E14" s="240">
        <v>32186665</v>
      </c>
      <c r="F14" s="240" t="s">
        <v>50</v>
      </c>
      <c r="G14" s="220" t="s">
        <v>51</v>
      </c>
      <c r="H14" s="233">
        <v>32209921</v>
      </c>
      <c r="I14" s="233" t="str">
        <f>Table5[[#This Row],[ÁREA]]</f>
        <v>Mixto</v>
      </c>
      <c r="J14" s="230" t="s">
        <v>57</v>
      </c>
      <c r="K14" s="220" t="s">
        <v>58</v>
      </c>
      <c r="L14" s="234">
        <v>6</v>
      </c>
      <c r="M14" s="234" t="s">
        <v>49</v>
      </c>
      <c r="N14" s="234" t="s">
        <v>38</v>
      </c>
    </row>
    <row r="15" spans="1:16373" s="220" customFormat="1" ht="24.9" customHeight="1" x14ac:dyDescent="0.3">
      <c r="B15" s="229" t="s">
        <v>28</v>
      </c>
      <c r="C15" s="229" t="s">
        <v>48</v>
      </c>
      <c r="D15" s="230" t="s">
        <v>49</v>
      </c>
      <c r="E15" s="240">
        <v>32186665</v>
      </c>
      <c r="F15" s="240" t="s">
        <v>50</v>
      </c>
      <c r="G15" s="220" t="s">
        <v>59</v>
      </c>
      <c r="H15" s="233">
        <v>32188117</v>
      </c>
      <c r="I15" s="233" t="str">
        <f>Table5[[#This Row],[ÁREA]]</f>
        <v>Mixto</v>
      </c>
      <c r="J15" s="230" t="s">
        <v>60</v>
      </c>
      <c r="K15" s="242" t="s">
        <v>61</v>
      </c>
      <c r="L15" s="234">
        <v>6</v>
      </c>
      <c r="M15" s="234" t="s">
        <v>49</v>
      </c>
      <c r="N15" s="234" t="s">
        <v>62</v>
      </c>
    </row>
    <row r="16" spans="1:16373" s="220" customFormat="1" ht="24.9" customHeight="1" x14ac:dyDescent="0.3">
      <c r="B16" s="229" t="s">
        <v>28</v>
      </c>
      <c r="C16" s="229" t="s">
        <v>48</v>
      </c>
      <c r="D16" s="230" t="s">
        <v>49</v>
      </c>
      <c r="E16" s="240">
        <v>32186665</v>
      </c>
      <c r="F16" s="220" t="s">
        <v>50</v>
      </c>
      <c r="G16" s="243" t="s">
        <v>59</v>
      </c>
      <c r="H16" s="241">
        <v>32197835</v>
      </c>
      <c r="I16" s="241" t="str">
        <f>Table5[[#This Row],[ÁREA]]</f>
        <v>Mixto</v>
      </c>
      <c r="J16" s="230" t="s">
        <v>63</v>
      </c>
      <c r="K16" s="220" t="s">
        <v>64</v>
      </c>
      <c r="L16" s="234">
        <v>6</v>
      </c>
      <c r="M16" s="234" t="s">
        <v>49</v>
      </c>
      <c r="N16" s="234" t="s">
        <v>35</v>
      </c>
    </row>
    <row r="17" spans="2:14" s="220" customFormat="1" ht="24.9" customHeight="1" x14ac:dyDescent="0.3">
      <c r="B17" s="229" t="s">
        <v>28</v>
      </c>
      <c r="C17" s="229" t="s">
        <v>48</v>
      </c>
      <c r="D17" s="230" t="s">
        <v>49</v>
      </c>
      <c r="E17" s="244">
        <v>32186665</v>
      </c>
      <c r="F17" s="245" t="s">
        <v>50</v>
      </c>
      <c r="G17" s="243" t="s">
        <v>59</v>
      </c>
      <c r="H17" s="241">
        <v>32197833</v>
      </c>
      <c r="I17" s="241" t="str">
        <f>Table5[[#This Row],[ÁREA]]</f>
        <v>Mixto</v>
      </c>
      <c r="J17" s="230" t="s">
        <v>65</v>
      </c>
      <c r="K17" s="220" t="s">
        <v>66</v>
      </c>
      <c r="L17" s="234">
        <v>6</v>
      </c>
      <c r="M17" s="234" t="s">
        <v>49</v>
      </c>
      <c r="N17" s="234" t="s">
        <v>47</v>
      </c>
    </row>
    <row r="18" spans="2:14" s="220" customFormat="1" ht="24.9" customHeight="1" x14ac:dyDescent="0.3">
      <c r="B18" s="229" t="s">
        <v>28</v>
      </c>
      <c r="C18" s="229" t="s">
        <v>29</v>
      </c>
      <c r="D18" s="230" t="s">
        <v>67</v>
      </c>
      <c r="E18" s="233">
        <v>32045174</v>
      </c>
      <c r="F18" s="242" t="s">
        <v>68</v>
      </c>
      <c r="G18" s="240" t="s">
        <v>69</v>
      </c>
      <c r="H18" s="241">
        <v>32043886</v>
      </c>
      <c r="I18" s="241" t="str">
        <f>Table5[[#This Row],[ÁREA]]</f>
        <v>Filtros-Gobierno</v>
      </c>
      <c r="J18" s="230" t="s">
        <v>70</v>
      </c>
      <c r="K18" s="220" t="s">
        <v>71</v>
      </c>
      <c r="L18" s="234">
        <v>6</v>
      </c>
      <c r="M18" s="234" t="s">
        <v>67</v>
      </c>
      <c r="N18" s="234" t="s">
        <v>72</v>
      </c>
    </row>
    <row r="19" spans="2:14" s="220" customFormat="1" ht="24.9" customHeight="1" x14ac:dyDescent="0.3">
      <c r="B19" s="229" t="s">
        <v>28</v>
      </c>
      <c r="C19" s="229" t="s">
        <v>29</v>
      </c>
      <c r="D19" s="230" t="s">
        <v>67</v>
      </c>
      <c r="E19" s="233">
        <v>32045174</v>
      </c>
      <c r="F19" s="242" t="s">
        <v>68</v>
      </c>
      <c r="G19" s="243" t="s">
        <v>69</v>
      </c>
      <c r="H19" s="241">
        <v>32209922</v>
      </c>
      <c r="I19" s="241" t="str">
        <f>Table5[[#This Row],[ÁREA]]</f>
        <v>Filtros-Gobierno</v>
      </c>
      <c r="J19" s="230" t="s">
        <v>73</v>
      </c>
      <c r="K19" s="220" t="s">
        <v>74</v>
      </c>
      <c r="L19" s="234">
        <v>6</v>
      </c>
      <c r="M19" s="234" t="s">
        <v>67</v>
      </c>
      <c r="N19" s="234" t="s">
        <v>35</v>
      </c>
    </row>
    <row r="20" spans="2:14" s="220" customFormat="1" ht="24.9" customHeight="1" x14ac:dyDescent="0.3">
      <c r="B20" s="229" t="s">
        <v>28</v>
      </c>
      <c r="C20" s="229" t="s">
        <v>29</v>
      </c>
      <c r="D20" s="230" t="s">
        <v>67</v>
      </c>
      <c r="E20" s="233">
        <v>32045174</v>
      </c>
      <c r="F20" s="242" t="s">
        <v>68</v>
      </c>
      <c r="G20" s="240" t="s">
        <v>69</v>
      </c>
      <c r="H20" s="241">
        <v>32173446</v>
      </c>
      <c r="I20" s="241" t="str">
        <f>Table5[[#This Row],[ÁREA]]</f>
        <v>Filtros-Gobierno</v>
      </c>
      <c r="J20" s="230" t="s">
        <v>75</v>
      </c>
      <c r="K20" s="220" t="s">
        <v>76</v>
      </c>
      <c r="L20" s="234">
        <v>6</v>
      </c>
      <c r="M20" s="234" t="s">
        <v>67</v>
      </c>
      <c r="N20" s="234" t="s">
        <v>47</v>
      </c>
    </row>
    <row r="21" spans="2:14" s="220" customFormat="1" ht="24.9" customHeight="1" x14ac:dyDescent="0.3">
      <c r="B21" s="229" t="s">
        <v>28</v>
      </c>
      <c r="C21" s="229" t="s">
        <v>29</v>
      </c>
      <c r="D21" s="230" t="s">
        <v>67</v>
      </c>
      <c r="E21" s="233">
        <v>32045174</v>
      </c>
      <c r="F21" s="230" t="s">
        <v>68</v>
      </c>
      <c r="G21" s="220" t="s">
        <v>69</v>
      </c>
      <c r="H21" s="233">
        <v>32149607</v>
      </c>
      <c r="I21" s="233" t="str">
        <f>Table5[[#This Row],[ÁREA]]</f>
        <v>Filtros-Gobierno</v>
      </c>
      <c r="J21" s="230" t="s">
        <v>77</v>
      </c>
      <c r="K21" s="220" t="s">
        <v>78</v>
      </c>
      <c r="L21" s="234">
        <v>6</v>
      </c>
      <c r="M21" s="234" t="s">
        <v>67</v>
      </c>
      <c r="N21" s="234" t="s">
        <v>44</v>
      </c>
    </row>
    <row r="22" spans="2:14" s="220" customFormat="1" ht="24.9" customHeight="1" x14ac:dyDescent="0.3">
      <c r="B22" s="229" t="s">
        <v>28</v>
      </c>
      <c r="C22" s="229" t="s">
        <v>29</v>
      </c>
      <c r="D22" s="230" t="s">
        <v>67</v>
      </c>
      <c r="E22" s="246">
        <v>32045174</v>
      </c>
      <c r="F22" s="247" t="s">
        <v>68</v>
      </c>
      <c r="G22" s="220" t="s">
        <v>69</v>
      </c>
      <c r="H22" s="233">
        <v>32045076</v>
      </c>
      <c r="I22" s="233" t="str">
        <f>Table5[[#This Row],[ÁREA]]</f>
        <v>Filtros-Gobierno</v>
      </c>
      <c r="J22" s="230" t="s">
        <v>79</v>
      </c>
      <c r="K22" s="220" t="s">
        <v>80</v>
      </c>
      <c r="L22" s="234">
        <v>6</v>
      </c>
      <c r="M22" s="234" t="s">
        <v>67</v>
      </c>
      <c r="N22" s="234" t="s">
        <v>38</v>
      </c>
    </row>
    <row r="23" spans="2:14" s="220" customFormat="1" ht="24.9" customHeight="1" x14ac:dyDescent="0.3">
      <c r="B23" s="229" t="s">
        <v>28</v>
      </c>
      <c r="C23" s="229" t="s">
        <v>29</v>
      </c>
      <c r="D23" s="230" t="s">
        <v>67</v>
      </c>
      <c r="E23" s="233">
        <v>32045174</v>
      </c>
      <c r="F23" s="230" t="s">
        <v>68</v>
      </c>
      <c r="G23" s="220" t="s">
        <v>69</v>
      </c>
      <c r="H23" s="233">
        <v>32222222</v>
      </c>
      <c r="I23" s="233" t="str">
        <f>Table5[[#This Row],[ÁREA]]</f>
        <v>Filtros-Gobierno</v>
      </c>
      <c r="J23" s="230" t="s">
        <v>81</v>
      </c>
      <c r="K23" s="220" t="s">
        <v>82</v>
      </c>
      <c r="L23" s="234">
        <v>6</v>
      </c>
      <c r="M23" s="234" t="s">
        <v>67</v>
      </c>
      <c r="N23" s="234" t="s">
        <v>41</v>
      </c>
    </row>
    <row r="24" spans="2:14" s="220" customFormat="1" ht="24.9" customHeight="1" x14ac:dyDescent="0.3">
      <c r="B24" s="229" t="s">
        <v>28</v>
      </c>
      <c r="C24" s="229" t="s">
        <v>83</v>
      </c>
      <c r="D24" s="230" t="s">
        <v>84</v>
      </c>
      <c r="E24" s="233">
        <v>32052981</v>
      </c>
      <c r="F24" s="230" t="s">
        <v>85</v>
      </c>
      <c r="G24" s="220" t="s">
        <v>86</v>
      </c>
      <c r="H24" s="233">
        <v>32144776</v>
      </c>
      <c r="I24" s="233" t="str">
        <f>Table5[[#This Row],[ÁREA]]</f>
        <v>Fermentación</v>
      </c>
      <c r="J24" s="230" t="s">
        <v>87</v>
      </c>
      <c r="K24" s="220" t="s">
        <v>88</v>
      </c>
      <c r="L24" s="234">
        <v>5</v>
      </c>
      <c r="M24" s="234" t="s">
        <v>84</v>
      </c>
      <c r="N24" s="234" t="s">
        <v>41</v>
      </c>
    </row>
    <row r="25" spans="2:14" s="220" customFormat="1" ht="24.9" customHeight="1" x14ac:dyDescent="0.3">
      <c r="B25" s="229" t="s">
        <v>28</v>
      </c>
      <c r="C25" s="229" t="s">
        <v>83</v>
      </c>
      <c r="D25" s="230" t="s">
        <v>84</v>
      </c>
      <c r="E25" s="233">
        <v>32052981</v>
      </c>
      <c r="F25" s="230" t="s">
        <v>85</v>
      </c>
      <c r="G25" s="220" t="s">
        <v>86</v>
      </c>
      <c r="H25" s="233">
        <v>32196366</v>
      </c>
      <c r="I25" s="233" t="str">
        <f>Table5[[#This Row],[ÁREA]]</f>
        <v>Fermentación</v>
      </c>
      <c r="J25" s="230" t="s">
        <v>89</v>
      </c>
      <c r="K25" s="220" t="s">
        <v>90</v>
      </c>
      <c r="L25" s="234">
        <v>5</v>
      </c>
      <c r="M25" s="234" t="s">
        <v>84</v>
      </c>
      <c r="N25" s="234" t="s">
        <v>47</v>
      </c>
    </row>
    <row r="26" spans="2:14" s="220" customFormat="1" ht="24.9" customHeight="1" x14ac:dyDescent="0.3">
      <c r="B26" s="229" t="s">
        <v>28</v>
      </c>
      <c r="C26" s="229" t="s">
        <v>83</v>
      </c>
      <c r="D26" s="230" t="s">
        <v>84</v>
      </c>
      <c r="E26" s="233">
        <v>32052981</v>
      </c>
      <c r="F26" s="230" t="s">
        <v>85</v>
      </c>
      <c r="G26" s="220" t="s">
        <v>86</v>
      </c>
      <c r="H26" s="233">
        <v>32144778</v>
      </c>
      <c r="I26" s="233" t="str">
        <f>Table5[[#This Row],[ÁREA]]</f>
        <v>Fermentación</v>
      </c>
      <c r="J26" s="230" t="s">
        <v>91</v>
      </c>
      <c r="K26" s="220" t="s">
        <v>92</v>
      </c>
      <c r="L26" s="234">
        <v>5</v>
      </c>
      <c r="M26" s="234" t="s">
        <v>84</v>
      </c>
      <c r="N26" s="234" t="s">
        <v>38</v>
      </c>
    </row>
    <row r="27" spans="2:14" s="220" customFormat="1" ht="24.9" customHeight="1" x14ac:dyDescent="0.3">
      <c r="B27" s="229" t="s">
        <v>28</v>
      </c>
      <c r="C27" s="229" t="s">
        <v>83</v>
      </c>
      <c r="D27" s="230" t="s">
        <v>84</v>
      </c>
      <c r="E27" s="246">
        <v>32052981</v>
      </c>
      <c r="F27" s="247" t="s">
        <v>85</v>
      </c>
      <c r="G27" s="220" t="s">
        <v>86</v>
      </c>
      <c r="H27" s="233">
        <v>32045357</v>
      </c>
      <c r="I27" s="233" t="str">
        <f>Table5[[#This Row],[ÁREA]]</f>
        <v>Fermentación</v>
      </c>
      <c r="J27" s="230" t="s">
        <v>93</v>
      </c>
      <c r="K27" s="242" t="s">
        <v>61</v>
      </c>
      <c r="L27" s="234">
        <v>5</v>
      </c>
      <c r="M27" s="234" t="s">
        <v>84</v>
      </c>
      <c r="N27" s="234" t="s">
        <v>56</v>
      </c>
    </row>
    <row r="28" spans="2:14" s="220" customFormat="1" ht="24.9" customHeight="1" x14ac:dyDescent="0.3">
      <c r="B28" s="229" t="s">
        <v>28</v>
      </c>
      <c r="C28" s="229" t="s">
        <v>83</v>
      </c>
      <c r="D28" s="230" t="s">
        <v>84</v>
      </c>
      <c r="E28" s="246">
        <v>32052981</v>
      </c>
      <c r="F28" s="247" t="s">
        <v>85</v>
      </c>
      <c r="G28" s="220" t="s">
        <v>86</v>
      </c>
      <c r="H28" s="233">
        <v>32044776</v>
      </c>
      <c r="I28" s="233" t="str">
        <f>Table5[[#This Row],[ÁREA]]</f>
        <v>Fermentación</v>
      </c>
      <c r="J28" s="230" t="s">
        <v>94</v>
      </c>
      <c r="K28" s="220" t="s">
        <v>95</v>
      </c>
      <c r="L28" s="234">
        <v>5</v>
      </c>
      <c r="M28" s="234" t="s">
        <v>84</v>
      </c>
      <c r="N28" s="234" t="s">
        <v>62</v>
      </c>
    </row>
    <row r="29" spans="2:14" s="220" customFormat="1" ht="24.9" customHeight="1" x14ac:dyDescent="0.3">
      <c r="B29" s="229" t="s">
        <v>28</v>
      </c>
      <c r="C29" s="229" t="s">
        <v>29</v>
      </c>
      <c r="D29" s="230" t="s">
        <v>96</v>
      </c>
      <c r="E29" s="233">
        <v>32044049</v>
      </c>
      <c r="F29" s="230" t="s">
        <v>97</v>
      </c>
      <c r="G29" s="220" t="s">
        <v>98</v>
      </c>
      <c r="H29" s="233">
        <v>32045556</v>
      </c>
      <c r="I29" s="233" t="str">
        <f>Table5[[#This Row],[ÁREA]]</f>
        <v>Filtros-Gobierno</v>
      </c>
      <c r="J29" s="230" t="s">
        <v>99</v>
      </c>
      <c r="K29" s="220" t="s">
        <v>100</v>
      </c>
      <c r="L29" s="234">
        <v>5</v>
      </c>
      <c r="M29" s="234" t="s">
        <v>96</v>
      </c>
      <c r="N29" s="234" t="s">
        <v>38</v>
      </c>
    </row>
    <row r="30" spans="2:14" s="220" customFormat="1" ht="24.9" customHeight="1" x14ac:dyDescent="0.3">
      <c r="B30" s="229" t="s">
        <v>28</v>
      </c>
      <c r="C30" s="229" t="s">
        <v>29</v>
      </c>
      <c r="D30" s="230" t="s">
        <v>96</v>
      </c>
      <c r="E30" s="248">
        <v>32044049</v>
      </c>
      <c r="F30" s="249" t="s">
        <v>97</v>
      </c>
      <c r="G30" s="220" t="s">
        <v>98</v>
      </c>
      <c r="H30" s="233">
        <v>32045410</v>
      </c>
      <c r="I30" s="233" t="str">
        <f>Table5[[#This Row],[ÁREA]]</f>
        <v>Filtros-Gobierno</v>
      </c>
      <c r="J30" s="230" t="s">
        <v>101</v>
      </c>
      <c r="K30" s="240" t="s">
        <v>102</v>
      </c>
      <c r="L30" s="234">
        <v>5</v>
      </c>
      <c r="M30" s="234" t="s">
        <v>96</v>
      </c>
      <c r="N30" s="234" t="s">
        <v>41</v>
      </c>
    </row>
    <row r="31" spans="2:14" s="220" customFormat="1" ht="24.9" customHeight="1" x14ac:dyDescent="0.3">
      <c r="B31" s="229" t="s">
        <v>28</v>
      </c>
      <c r="C31" s="229" t="s">
        <v>29</v>
      </c>
      <c r="D31" s="250" t="s">
        <v>96</v>
      </c>
      <c r="E31" s="251">
        <v>32044049</v>
      </c>
      <c r="F31" s="252" t="s">
        <v>97</v>
      </c>
      <c r="G31" s="240" t="s">
        <v>98</v>
      </c>
      <c r="H31" s="241">
        <v>32213349</v>
      </c>
      <c r="I31" s="241" t="str">
        <f>Table5[[#This Row],[ÁREA]]</f>
        <v>Filtros-Gobierno</v>
      </c>
      <c r="J31" s="230" t="s">
        <v>103</v>
      </c>
      <c r="K31" s="220" t="s">
        <v>104</v>
      </c>
      <c r="L31" s="234">
        <v>5</v>
      </c>
      <c r="M31" s="234" t="s">
        <v>96</v>
      </c>
      <c r="N31" s="234" t="s">
        <v>35</v>
      </c>
    </row>
    <row r="32" spans="2:14" s="220" customFormat="1" ht="24.9" customHeight="1" x14ac:dyDescent="0.3">
      <c r="B32" s="229" t="s">
        <v>28</v>
      </c>
      <c r="C32" s="229" t="s">
        <v>29</v>
      </c>
      <c r="D32" s="250" t="s">
        <v>96</v>
      </c>
      <c r="E32" s="251">
        <v>32044049</v>
      </c>
      <c r="F32" s="252" t="s">
        <v>97</v>
      </c>
      <c r="G32" s="253" t="s">
        <v>98</v>
      </c>
      <c r="H32" s="241">
        <v>32043849</v>
      </c>
      <c r="I32" s="241" t="str">
        <f>Table5[[#This Row],[ÁREA]]</f>
        <v>Filtros-Gobierno</v>
      </c>
      <c r="J32" s="230" t="s">
        <v>105</v>
      </c>
      <c r="K32" s="220" t="s">
        <v>106</v>
      </c>
      <c r="L32" s="234">
        <v>5</v>
      </c>
      <c r="M32" s="234" t="s">
        <v>96</v>
      </c>
      <c r="N32" s="234" t="s">
        <v>47</v>
      </c>
    </row>
    <row r="33" spans="2:14" s="220" customFormat="1" ht="24.9" customHeight="1" x14ac:dyDescent="0.3">
      <c r="B33" s="229" t="s">
        <v>28</v>
      </c>
      <c r="C33" s="229" t="s">
        <v>29</v>
      </c>
      <c r="D33" s="250" t="s">
        <v>96</v>
      </c>
      <c r="E33" s="251">
        <v>32044049</v>
      </c>
      <c r="F33" s="252" t="s">
        <v>97</v>
      </c>
      <c r="G33" s="253" t="s">
        <v>98</v>
      </c>
      <c r="H33" s="241">
        <v>32142953</v>
      </c>
      <c r="I33" s="241" t="str">
        <f>Table5[[#This Row],[ÁREA]]</f>
        <v>Filtros-Gobierno</v>
      </c>
      <c r="J33" s="230" t="s">
        <v>107</v>
      </c>
      <c r="K33" s="220" t="s">
        <v>108</v>
      </c>
      <c r="L33" s="234">
        <v>5</v>
      </c>
      <c r="M33" s="234" t="s">
        <v>96</v>
      </c>
      <c r="N33" s="234" t="s">
        <v>56</v>
      </c>
    </row>
    <row r="34" spans="2:14" s="220" customFormat="1" ht="24.9" customHeight="1" x14ac:dyDescent="0.3">
      <c r="B34" s="229" t="s">
        <v>28</v>
      </c>
      <c r="C34" s="229" t="s">
        <v>29</v>
      </c>
      <c r="D34" s="250" t="s">
        <v>109</v>
      </c>
      <c r="E34" s="251">
        <v>32154187</v>
      </c>
      <c r="F34" s="252" t="s">
        <v>110</v>
      </c>
      <c r="G34" s="243" t="s">
        <v>111</v>
      </c>
      <c r="H34" s="241">
        <v>32201713</v>
      </c>
      <c r="I34" s="241" t="str">
        <f>Table5[[#This Row],[ÁREA]]</f>
        <v>Filtros-Gobierno</v>
      </c>
      <c r="J34" s="230" t="s">
        <v>112</v>
      </c>
      <c r="K34" s="220" t="s">
        <v>113</v>
      </c>
      <c r="L34" s="234">
        <v>4</v>
      </c>
      <c r="M34" s="234" t="s">
        <v>109</v>
      </c>
      <c r="N34" s="234" t="s">
        <v>47</v>
      </c>
    </row>
    <row r="35" spans="2:14" s="220" customFormat="1" ht="24.9" customHeight="1" x14ac:dyDescent="0.3">
      <c r="B35" s="229" t="s">
        <v>28</v>
      </c>
      <c r="C35" s="229" t="s">
        <v>29</v>
      </c>
      <c r="D35" s="250" t="s">
        <v>109</v>
      </c>
      <c r="E35" s="251">
        <v>32154187</v>
      </c>
      <c r="F35" s="252" t="s">
        <v>110</v>
      </c>
      <c r="G35" s="240" t="s">
        <v>111</v>
      </c>
      <c r="H35" s="241">
        <v>32045396</v>
      </c>
      <c r="I35" s="241" t="str">
        <f>Table5[[#This Row],[ÁREA]]</f>
        <v>Filtros-Gobierno</v>
      </c>
      <c r="J35" s="230" t="s">
        <v>114</v>
      </c>
      <c r="K35" s="220" t="s">
        <v>115</v>
      </c>
      <c r="L35" s="234">
        <v>4</v>
      </c>
      <c r="M35" s="234" t="s">
        <v>109</v>
      </c>
      <c r="N35" s="234" t="s">
        <v>41</v>
      </c>
    </row>
    <row r="36" spans="2:14" s="220" customFormat="1" ht="24.9" customHeight="1" x14ac:dyDescent="0.3">
      <c r="B36" s="229" t="s">
        <v>28</v>
      </c>
      <c r="C36" s="229" t="s">
        <v>29</v>
      </c>
      <c r="D36" s="250" t="s">
        <v>109</v>
      </c>
      <c r="E36" s="251">
        <v>32154187</v>
      </c>
      <c r="F36" s="252" t="s">
        <v>110</v>
      </c>
      <c r="G36" s="240" t="s">
        <v>111</v>
      </c>
      <c r="H36" s="241">
        <v>32201712</v>
      </c>
      <c r="I36" s="241" t="str">
        <f>Table5[[#This Row],[ÁREA]]</f>
        <v>Filtros-Gobierno</v>
      </c>
      <c r="J36" s="230" t="s">
        <v>116</v>
      </c>
      <c r="K36" s="254" t="s">
        <v>117</v>
      </c>
      <c r="L36" s="234">
        <v>4</v>
      </c>
      <c r="M36" s="234" t="s">
        <v>109</v>
      </c>
      <c r="N36" s="234" t="s">
        <v>35</v>
      </c>
    </row>
    <row r="37" spans="2:14" s="220" customFormat="1" ht="24.9" customHeight="1" x14ac:dyDescent="0.3">
      <c r="B37" s="229" t="s">
        <v>28</v>
      </c>
      <c r="C37" s="229" t="s">
        <v>29</v>
      </c>
      <c r="D37" s="250" t="s">
        <v>109</v>
      </c>
      <c r="E37" s="246">
        <v>32154187</v>
      </c>
      <c r="F37" s="255" t="s">
        <v>110</v>
      </c>
      <c r="G37" s="240" t="s">
        <v>111</v>
      </c>
      <c r="H37" s="241">
        <v>32043902</v>
      </c>
      <c r="I37" s="241" t="str">
        <f>Table5[[#This Row],[ÁREA]]</f>
        <v>Filtros-Gobierno</v>
      </c>
      <c r="J37" s="230" t="s">
        <v>118</v>
      </c>
      <c r="K37" s="220" t="s">
        <v>119</v>
      </c>
      <c r="L37" s="234">
        <v>4</v>
      </c>
      <c r="M37" s="234" t="s">
        <v>109</v>
      </c>
      <c r="N37" s="234" t="s">
        <v>44</v>
      </c>
    </row>
    <row r="38" spans="2:14" s="220" customFormat="1" ht="24.9" customHeight="1" x14ac:dyDescent="0.3">
      <c r="B38" s="229" t="s">
        <v>28</v>
      </c>
      <c r="C38" s="229" t="s">
        <v>83</v>
      </c>
      <c r="D38" s="250" t="s">
        <v>120</v>
      </c>
      <c r="E38" s="256">
        <v>32146677</v>
      </c>
      <c r="F38" s="257" t="s">
        <v>121</v>
      </c>
      <c r="G38" s="243" t="s">
        <v>122</v>
      </c>
      <c r="H38" s="241">
        <v>32044036</v>
      </c>
      <c r="I38" s="241" t="str">
        <f>Table5[[#This Row],[ÁREA]]</f>
        <v>Fermentación</v>
      </c>
      <c r="J38" s="230" t="s">
        <v>123</v>
      </c>
      <c r="K38" s="258" t="s">
        <v>124</v>
      </c>
      <c r="L38" s="234">
        <v>7</v>
      </c>
      <c r="M38" s="234" t="s">
        <v>120</v>
      </c>
      <c r="N38" s="234" t="s">
        <v>125</v>
      </c>
    </row>
    <row r="39" spans="2:14" s="220" customFormat="1" ht="24.9" customHeight="1" x14ac:dyDescent="0.3">
      <c r="B39" s="229" t="s">
        <v>28</v>
      </c>
      <c r="C39" s="229" t="s">
        <v>83</v>
      </c>
      <c r="D39" s="250" t="s">
        <v>120</v>
      </c>
      <c r="E39" s="256">
        <v>32146677</v>
      </c>
      <c r="F39" s="257" t="s">
        <v>121</v>
      </c>
      <c r="G39" s="240" t="s">
        <v>122</v>
      </c>
      <c r="H39" s="241">
        <v>32044447</v>
      </c>
      <c r="I39" s="241" t="str">
        <f>Table5[[#This Row],[ÁREA]]</f>
        <v>Fermentación</v>
      </c>
      <c r="J39" s="230" t="s">
        <v>126</v>
      </c>
      <c r="K39" s="220" t="s">
        <v>127</v>
      </c>
      <c r="L39" s="234">
        <v>7</v>
      </c>
      <c r="M39" s="234" t="s">
        <v>120</v>
      </c>
      <c r="N39" s="234" t="s">
        <v>128</v>
      </c>
    </row>
    <row r="40" spans="2:14" s="220" customFormat="1" ht="24.9" customHeight="1" x14ac:dyDescent="0.3">
      <c r="B40" s="229" t="s">
        <v>28</v>
      </c>
      <c r="C40" s="229" t="s">
        <v>83</v>
      </c>
      <c r="D40" s="250" t="s">
        <v>120</v>
      </c>
      <c r="E40" s="259">
        <v>32146677</v>
      </c>
      <c r="F40" s="260" t="s">
        <v>121</v>
      </c>
      <c r="G40" s="253" t="s">
        <v>122</v>
      </c>
      <c r="H40" s="241">
        <v>32044771</v>
      </c>
      <c r="I40" s="241" t="str">
        <f>Table5[[#This Row],[ÁREA]]</f>
        <v>Fermentación</v>
      </c>
      <c r="J40" s="230" t="s">
        <v>129</v>
      </c>
      <c r="K40" s="220" t="s">
        <v>130</v>
      </c>
      <c r="L40" s="234">
        <v>7</v>
      </c>
      <c r="M40" s="234" t="s">
        <v>120</v>
      </c>
      <c r="N40" s="234" t="s">
        <v>72</v>
      </c>
    </row>
    <row r="41" spans="2:14" s="220" customFormat="1" ht="24.9" customHeight="1" x14ac:dyDescent="0.3">
      <c r="B41" s="229" t="s">
        <v>28</v>
      </c>
      <c r="C41" s="229" t="s">
        <v>83</v>
      </c>
      <c r="D41" s="250" t="s">
        <v>120</v>
      </c>
      <c r="E41" s="256">
        <v>32146677</v>
      </c>
      <c r="F41" s="257" t="s">
        <v>121</v>
      </c>
      <c r="G41" s="240" t="s">
        <v>122</v>
      </c>
      <c r="H41" s="241">
        <v>32213345</v>
      </c>
      <c r="I41" s="241" t="str">
        <f>Table5[[#This Row],[ÁREA]]</f>
        <v>Fermentación</v>
      </c>
      <c r="J41" s="230" t="s">
        <v>131</v>
      </c>
      <c r="K41" s="220" t="s">
        <v>132</v>
      </c>
      <c r="L41" s="234">
        <v>7</v>
      </c>
      <c r="M41" s="234" t="s">
        <v>120</v>
      </c>
      <c r="N41" s="234" t="s">
        <v>56</v>
      </c>
    </row>
    <row r="42" spans="2:14" s="220" customFormat="1" ht="24.9" customHeight="1" x14ac:dyDescent="0.3">
      <c r="B42" s="229" t="s">
        <v>28</v>
      </c>
      <c r="C42" s="229" t="s">
        <v>83</v>
      </c>
      <c r="D42" s="250" t="s">
        <v>120</v>
      </c>
      <c r="E42" s="256">
        <v>32146677</v>
      </c>
      <c r="F42" s="257" t="s">
        <v>121</v>
      </c>
      <c r="G42" s="253" t="s">
        <v>122</v>
      </c>
      <c r="H42" s="241">
        <v>32044514</v>
      </c>
      <c r="I42" s="241" t="str">
        <f>Table5[[#This Row],[ÁREA]]</f>
        <v>Fermentación</v>
      </c>
      <c r="J42" s="230" t="s">
        <v>133</v>
      </c>
      <c r="K42" s="220" t="s">
        <v>134</v>
      </c>
      <c r="L42" s="234">
        <v>7</v>
      </c>
      <c r="M42" s="234" t="s">
        <v>120</v>
      </c>
      <c r="N42" s="234" t="s">
        <v>35</v>
      </c>
    </row>
    <row r="43" spans="2:14" s="220" customFormat="1" ht="24.9" customHeight="1" x14ac:dyDescent="0.3">
      <c r="B43" s="229" t="s">
        <v>28</v>
      </c>
      <c r="C43" s="229" t="s">
        <v>83</v>
      </c>
      <c r="D43" s="230" t="s">
        <v>120</v>
      </c>
      <c r="E43" s="231">
        <v>32146677</v>
      </c>
      <c r="F43" s="231" t="s">
        <v>121</v>
      </c>
      <c r="G43" s="220" t="s">
        <v>122</v>
      </c>
      <c r="H43" s="261">
        <v>32043880</v>
      </c>
      <c r="I43" s="261" t="str">
        <f>Table5[[#This Row],[ÁREA]]</f>
        <v>Fermentación</v>
      </c>
      <c r="J43" s="230" t="s">
        <v>135</v>
      </c>
      <c r="K43" s="242" t="s">
        <v>136</v>
      </c>
      <c r="L43" s="234">
        <v>7</v>
      </c>
      <c r="M43" s="234" t="s">
        <v>120</v>
      </c>
      <c r="N43" s="234" t="s">
        <v>38</v>
      </c>
    </row>
    <row r="44" spans="2:14" s="220" customFormat="1" ht="24.9" customHeight="1" x14ac:dyDescent="0.3">
      <c r="B44" s="229" t="s">
        <v>28</v>
      </c>
      <c r="C44" s="229" t="s">
        <v>83</v>
      </c>
      <c r="D44" s="230" t="s">
        <v>120</v>
      </c>
      <c r="E44" s="235">
        <v>32146677</v>
      </c>
      <c r="F44" s="235" t="s">
        <v>121</v>
      </c>
      <c r="G44" s="220" t="s">
        <v>122</v>
      </c>
      <c r="H44" s="233">
        <v>32044513</v>
      </c>
      <c r="I44" s="233" t="str">
        <f>Table5[[#This Row],[ÁREA]]</f>
        <v>Fermentación</v>
      </c>
      <c r="J44" s="230" t="s">
        <v>137</v>
      </c>
      <c r="K44" s="220" t="s">
        <v>138</v>
      </c>
      <c r="L44" s="234">
        <v>7</v>
      </c>
      <c r="M44" s="234" t="s">
        <v>120</v>
      </c>
      <c r="N44" s="234" t="s">
        <v>44</v>
      </c>
    </row>
    <row r="45" spans="2:14" s="220" customFormat="1" ht="24.9" customHeight="1" x14ac:dyDescent="0.3">
      <c r="B45" s="229" t="s">
        <v>28</v>
      </c>
      <c r="C45" s="229" t="s">
        <v>29</v>
      </c>
      <c r="D45" s="230" t="s">
        <v>139</v>
      </c>
      <c r="E45" s="233">
        <v>32046063</v>
      </c>
      <c r="F45" s="230" t="s">
        <v>140</v>
      </c>
      <c r="G45" s="220" t="s">
        <v>141</v>
      </c>
      <c r="H45" s="233">
        <v>32045574</v>
      </c>
      <c r="I45" s="233" t="str">
        <f>Table5[[#This Row],[ÁREA]]</f>
        <v>Filtros-Gobierno</v>
      </c>
      <c r="J45" s="230" t="s">
        <v>142</v>
      </c>
      <c r="K45" s="220" t="s">
        <v>143</v>
      </c>
      <c r="L45" s="234">
        <v>4</v>
      </c>
      <c r="M45" s="234" t="s">
        <v>139</v>
      </c>
      <c r="N45" s="234" t="s">
        <v>47</v>
      </c>
    </row>
    <row r="46" spans="2:14" s="220" customFormat="1" ht="24.9" customHeight="1" x14ac:dyDescent="0.3">
      <c r="B46" s="229" t="s">
        <v>28</v>
      </c>
      <c r="C46" s="229" t="s">
        <v>29</v>
      </c>
      <c r="D46" s="230" t="s">
        <v>139</v>
      </c>
      <c r="E46" s="233">
        <v>32046063</v>
      </c>
      <c r="F46" s="230" t="s">
        <v>140</v>
      </c>
      <c r="G46" s="220" t="s">
        <v>141</v>
      </c>
      <c r="H46" s="233">
        <v>32222223</v>
      </c>
      <c r="I46" s="233" t="str">
        <f>Table5[[#This Row],[ÁREA]]</f>
        <v>Filtros-Gobierno</v>
      </c>
      <c r="J46" s="230" t="s">
        <v>144</v>
      </c>
      <c r="K46" s="220" t="s">
        <v>145</v>
      </c>
      <c r="L46" s="234">
        <v>4</v>
      </c>
      <c r="M46" s="234" t="s">
        <v>139</v>
      </c>
      <c r="N46" s="234" t="s">
        <v>35</v>
      </c>
    </row>
    <row r="47" spans="2:14" s="220" customFormat="1" ht="24.9" customHeight="1" x14ac:dyDescent="0.3">
      <c r="B47" s="229" t="s">
        <v>28</v>
      </c>
      <c r="C47" s="229" t="s">
        <v>29</v>
      </c>
      <c r="D47" s="230" t="s">
        <v>139</v>
      </c>
      <c r="E47" s="233">
        <v>32046063</v>
      </c>
      <c r="F47" s="230" t="s">
        <v>140</v>
      </c>
      <c r="G47" s="220" t="s">
        <v>141</v>
      </c>
      <c r="H47" s="233">
        <v>32111307</v>
      </c>
      <c r="I47" s="233" t="str">
        <f>Table5[[#This Row],[ÁREA]]</f>
        <v>Filtros-Gobierno</v>
      </c>
      <c r="J47" s="230" t="s">
        <v>146</v>
      </c>
      <c r="K47" s="240" t="s">
        <v>147</v>
      </c>
      <c r="L47" s="234">
        <v>4</v>
      </c>
      <c r="M47" s="234" t="s">
        <v>139</v>
      </c>
      <c r="N47" s="234" t="s">
        <v>44</v>
      </c>
    </row>
    <row r="48" spans="2:14" s="220" customFormat="1" ht="24.9" customHeight="1" x14ac:dyDescent="0.3">
      <c r="B48" s="229" t="s">
        <v>28</v>
      </c>
      <c r="C48" s="229" t="s">
        <v>29</v>
      </c>
      <c r="D48" s="230" t="s">
        <v>139</v>
      </c>
      <c r="E48" s="246">
        <v>32046063</v>
      </c>
      <c r="F48" s="247" t="s">
        <v>140</v>
      </c>
      <c r="G48" s="220" t="s">
        <v>141</v>
      </c>
      <c r="H48" s="233">
        <v>32043891</v>
      </c>
      <c r="I48" s="233" t="str">
        <f>Table5[[#This Row],[ÁREA]]</f>
        <v>Filtros-Gobierno</v>
      </c>
      <c r="J48" s="230" t="s">
        <v>148</v>
      </c>
      <c r="K48" s="220" t="s">
        <v>149</v>
      </c>
      <c r="L48" s="234">
        <v>4</v>
      </c>
      <c r="M48" s="234" t="s">
        <v>139</v>
      </c>
      <c r="N48" s="234" t="s">
        <v>38</v>
      </c>
    </row>
    <row r="49" spans="2:14" s="220" customFormat="1" ht="24.9" customHeight="1" x14ac:dyDescent="0.3">
      <c r="B49" s="229" t="s">
        <v>28</v>
      </c>
      <c r="C49" s="229" t="s">
        <v>83</v>
      </c>
      <c r="D49" s="234" t="s">
        <v>150</v>
      </c>
      <c r="E49" s="235">
        <v>32052750</v>
      </c>
      <c r="F49" s="236" t="s">
        <v>151</v>
      </c>
      <c r="G49" s="240" t="s">
        <v>152</v>
      </c>
      <c r="H49" s="233">
        <v>32144777</v>
      </c>
      <c r="I49" s="262" t="str">
        <f>Table5[[#This Row],[ÁREA]]</f>
        <v>Fermentación</v>
      </c>
      <c r="J49" s="230" t="s">
        <v>153</v>
      </c>
      <c r="K49" s="242" t="s">
        <v>61</v>
      </c>
      <c r="L49" s="234">
        <v>6</v>
      </c>
      <c r="M49" s="234" t="s">
        <v>150</v>
      </c>
      <c r="N49" s="234" t="s">
        <v>72</v>
      </c>
    </row>
    <row r="50" spans="2:14" s="220" customFormat="1" ht="24.9" customHeight="1" x14ac:dyDescent="0.3">
      <c r="B50" s="229" t="s">
        <v>28</v>
      </c>
      <c r="C50" s="229" t="s">
        <v>83</v>
      </c>
      <c r="D50" s="234" t="s">
        <v>150</v>
      </c>
      <c r="E50" s="235">
        <v>32052750</v>
      </c>
      <c r="F50" s="236" t="s">
        <v>151</v>
      </c>
      <c r="G50" s="220" t="s">
        <v>152</v>
      </c>
      <c r="H50" s="233">
        <v>32132025</v>
      </c>
      <c r="I50" s="262" t="str">
        <f>Table5[[#This Row],[ÁREA]]</f>
        <v>Fermentación</v>
      </c>
      <c r="J50" s="230" t="s">
        <v>154</v>
      </c>
      <c r="K50" s="258" t="s">
        <v>155</v>
      </c>
      <c r="L50" s="234">
        <v>6</v>
      </c>
      <c r="M50" s="234" t="s">
        <v>150</v>
      </c>
      <c r="N50" s="234" t="s">
        <v>35</v>
      </c>
    </row>
    <row r="51" spans="2:14" s="220" customFormat="1" ht="24.9" customHeight="1" x14ac:dyDescent="0.3">
      <c r="B51" s="229" t="s">
        <v>28</v>
      </c>
      <c r="C51" s="229" t="s">
        <v>83</v>
      </c>
      <c r="D51" s="234" t="s">
        <v>150</v>
      </c>
      <c r="E51" s="235">
        <v>32052750</v>
      </c>
      <c r="F51" s="236" t="s">
        <v>151</v>
      </c>
      <c r="G51" s="220" t="s">
        <v>152</v>
      </c>
      <c r="H51" s="263">
        <v>32044760</v>
      </c>
      <c r="I51" s="263" t="str">
        <f>Table5[[#This Row],[ÁREA]]</f>
        <v>Fermentación</v>
      </c>
      <c r="J51" s="230" t="s">
        <v>156</v>
      </c>
      <c r="K51" s="220" t="s">
        <v>61</v>
      </c>
      <c r="L51" s="234">
        <v>6</v>
      </c>
      <c r="M51" s="234" t="s">
        <v>150</v>
      </c>
      <c r="N51" s="234" t="s">
        <v>44</v>
      </c>
    </row>
    <row r="52" spans="2:14" s="220" customFormat="1" ht="24.9" customHeight="1" x14ac:dyDescent="0.3">
      <c r="B52" s="229" t="s">
        <v>28</v>
      </c>
      <c r="C52" s="229" t="s">
        <v>83</v>
      </c>
      <c r="D52" s="234" t="s">
        <v>150</v>
      </c>
      <c r="E52" s="235">
        <v>32052750</v>
      </c>
      <c r="F52" s="264" t="s">
        <v>151</v>
      </c>
      <c r="G52" s="240" t="s">
        <v>152</v>
      </c>
      <c r="H52" s="265">
        <v>32197834</v>
      </c>
      <c r="I52" s="266" t="str">
        <f>Table5[[#This Row],[ÁREA]]</f>
        <v>Fermentación</v>
      </c>
      <c r="J52" s="267" t="s">
        <v>157</v>
      </c>
      <c r="K52" s="220" t="s">
        <v>158</v>
      </c>
      <c r="L52" s="234">
        <v>6</v>
      </c>
      <c r="M52" s="234" t="s">
        <v>150</v>
      </c>
      <c r="N52" s="268" t="s">
        <v>47</v>
      </c>
    </row>
    <row r="53" spans="2:14" s="220" customFormat="1" ht="24.9" customHeight="1" x14ac:dyDescent="0.3">
      <c r="B53" s="229" t="s">
        <v>28</v>
      </c>
      <c r="C53" s="229" t="s">
        <v>83</v>
      </c>
      <c r="D53" s="234" t="s">
        <v>150</v>
      </c>
      <c r="E53" s="235">
        <v>32052750</v>
      </c>
      <c r="F53" s="236" t="s">
        <v>151</v>
      </c>
      <c r="G53" s="220" t="s">
        <v>152</v>
      </c>
      <c r="H53" s="269">
        <v>32044751</v>
      </c>
      <c r="I53" s="266" t="str">
        <f>Table5[[#This Row],[ÁREA]]</f>
        <v>Fermentación</v>
      </c>
      <c r="J53" s="267" t="s">
        <v>159</v>
      </c>
      <c r="K53" s="258" t="s">
        <v>160</v>
      </c>
      <c r="L53" s="234">
        <v>6</v>
      </c>
      <c r="M53" s="234" t="s">
        <v>150</v>
      </c>
      <c r="N53" s="270" t="s">
        <v>38</v>
      </c>
    </row>
    <row r="54" spans="2:14" s="220" customFormat="1" ht="24.9" customHeight="1" x14ac:dyDescent="0.3">
      <c r="B54" s="229" t="s">
        <v>28</v>
      </c>
      <c r="C54" s="229" t="s">
        <v>83</v>
      </c>
      <c r="D54" s="234" t="s">
        <v>150</v>
      </c>
      <c r="E54" s="235">
        <v>32052750</v>
      </c>
      <c r="F54" s="236" t="s">
        <v>151</v>
      </c>
      <c r="G54" s="220" t="s">
        <v>152</v>
      </c>
      <c r="H54" s="269">
        <v>32045149</v>
      </c>
      <c r="I54" s="266" t="str">
        <f>Table5[[#This Row],[ÁREA]]</f>
        <v>Fermentación</v>
      </c>
      <c r="J54" s="267" t="s">
        <v>161</v>
      </c>
      <c r="K54" s="258" t="s">
        <v>162</v>
      </c>
      <c r="L54" s="234">
        <v>6</v>
      </c>
      <c r="M54" s="234" t="s">
        <v>150</v>
      </c>
      <c r="N54" s="270" t="s">
        <v>47</v>
      </c>
    </row>
    <row r="55" spans="2:14" s="220" customFormat="1" ht="24.9" customHeight="1" x14ac:dyDescent="0.3">
      <c r="B55" s="229" t="s">
        <v>28</v>
      </c>
      <c r="C55" s="229" t="s">
        <v>163</v>
      </c>
      <c r="D55" s="234" t="s">
        <v>164</v>
      </c>
      <c r="E55" s="233">
        <v>32043857</v>
      </c>
      <c r="F55" s="230" t="s">
        <v>165</v>
      </c>
      <c r="G55" s="240" t="s">
        <v>166</v>
      </c>
      <c r="H55" s="251">
        <v>32045952</v>
      </c>
      <c r="I55" s="266" t="str">
        <f>Table5[[#This Row],[ÁREA]]</f>
        <v>MANTENIMIENTO ELA</v>
      </c>
      <c r="J55" s="267" t="s">
        <v>167</v>
      </c>
      <c r="K55" s="258" t="s">
        <v>168</v>
      </c>
      <c r="L55" s="234">
        <v>15</v>
      </c>
      <c r="M55" s="234" t="s">
        <v>164</v>
      </c>
      <c r="N55" s="271" t="s">
        <v>47</v>
      </c>
    </row>
    <row r="56" spans="2:14" s="220" customFormat="1" ht="24.9" customHeight="1" x14ac:dyDescent="0.3">
      <c r="B56" s="229" t="s">
        <v>28</v>
      </c>
      <c r="C56" s="229" t="s">
        <v>163</v>
      </c>
      <c r="D56" s="234" t="s">
        <v>164</v>
      </c>
      <c r="E56" s="233">
        <v>32043857</v>
      </c>
      <c r="F56" s="230" t="s">
        <v>165</v>
      </c>
      <c r="G56" s="220" t="s">
        <v>166</v>
      </c>
      <c r="H56" s="251">
        <v>32044478</v>
      </c>
      <c r="I56" s="266" t="str">
        <f>Table5[[#This Row],[ÁREA]]</f>
        <v>MANTENIMIENTO ELA</v>
      </c>
      <c r="J56" s="267" t="s">
        <v>169</v>
      </c>
      <c r="K56" s="258" t="s">
        <v>170</v>
      </c>
      <c r="L56" s="234">
        <v>15</v>
      </c>
      <c r="M56" s="234" t="s">
        <v>164</v>
      </c>
      <c r="N56" s="271" t="s">
        <v>44</v>
      </c>
    </row>
    <row r="57" spans="2:14" s="220" customFormat="1" ht="24.9" customHeight="1" x14ac:dyDescent="0.3">
      <c r="B57" s="229" t="s">
        <v>28</v>
      </c>
      <c r="C57" s="229" t="s">
        <v>163</v>
      </c>
      <c r="D57" s="234" t="s">
        <v>164</v>
      </c>
      <c r="E57" s="233">
        <v>32043857</v>
      </c>
      <c r="F57" s="230" t="s">
        <v>165</v>
      </c>
      <c r="G57" s="220" t="s">
        <v>166</v>
      </c>
      <c r="H57" s="251">
        <v>32146005</v>
      </c>
      <c r="I57" s="266" t="str">
        <f>Table5[[#This Row],[ÁREA]]</f>
        <v>MANTENIMIENTO ELA</v>
      </c>
      <c r="J57" s="267" t="s">
        <v>171</v>
      </c>
      <c r="K57" s="220" t="s">
        <v>172</v>
      </c>
      <c r="L57" s="234">
        <v>15</v>
      </c>
      <c r="M57" s="234" t="s">
        <v>164</v>
      </c>
      <c r="N57" s="272" t="s">
        <v>41</v>
      </c>
    </row>
    <row r="58" spans="2:14" s="220" customFormat="1" ht="24.9" customHeight="1" x14ac:dyDescent="0.3">
      <c r="B58" s="229" t="s">
        <v>28</v>
      </c>
      <c r="C58" s="229" t="s">
        <v>163</v>
      </c>
      <c r="D58" s="234" t="s">
        <v>164</v>
      </c>
      <c r="E58" s="233">
        <v>32043857</v>
      </c>
      <c r="F58" s="230" t="s">
        <v>165</v>
      </c>
      <c r="G58" s="220" t="s">
        <v>166</v>
      </c>
      <c r="H58" s="269">
        <v>32219006</v>
      </c>
      <c r="I58" s="266" t="str">
        <f>Table5[[#This Row],[ÁREA]]</f>
        <v>MANTENIMIENTO ELA</v>
      </c>
      <c r="J58" s="273" t="s">
        <v>173</v>
      </c>
      <c r="K58" s="253" t="s">
        <v>174</v>
      </c>
      <c r="L58" s="234">
        <v>15</v>
      </c>
      <c r="M58" s="234" t="s">
        <v>164</v>
      </c>
      <c r="N58" s="271" t="s">
        <v>44</v>
      </c>
    </row>
    <row r="59" spans="2:14" s="220" customFormat="1" ht="24.9" customHeight="1" x14ac:dyDescent="0.3">
      <c r="B59" s="229" t="s">
        <v>28</v>
      </c>
      <c r="C59" s="229" t="s">
        <v>163</v>
      </c>
      <c r="D59" s="234" t="s">
        <v>164</v>
      </c>
      <c r="E59" s="233">
        <v>32043857</v>
      </c>
      <c r="F59" s="230" t="s">
        <v>165</v>
      </c>
      <c r="G59" s="220" t="s">
        <v>166</v>
      </c>
      <c r="H59" s="251">
        <v>32199794</v>
      </c>
      <c r="I59" s="266" t="str">
        <f>Table5[[#This Row],[ÁREA]]</f>
        <v>MANTENIMIENTO ELA</v>
      </c>
      <c r="J59" s="230" t="s">
        <v>175</v>
      </c>
      <c r="K59" s="220" t="s">
        <v>176</v>
      </c>
      <c r="L59" s="234">
        <v>15</v>
      </c>
      <c r="M59" s="234" t="s">
        <v>164</v>
      </c>
      <c r="N59" s="274" t="s">
        <v>41</v>
      </c>
    </row>
    <row r="60" spans="2:14" s="220" customFormat="1" ht="24.9" customHeight="1" x14ac:dyDescent="0.3">
      <c r="B60" s="229" t="s">
        <v>28</v>
      </c>
      <c r="C60" s="229" t="s">
        <v>163</v>
      </c>
      <c r="D60" s="234" t="s">
        <v>164</v>
      </c>
      <c r="E60" s="233">
        <v>32043857</v>
      </c>
      <c r="F60" s="230" t="s">
        <v>165</v>
      </c>
      <c r="G60" s="220" t="s">
        <v>166</v>
      </c>
      <c r="H60" s="269">
        <v>32045043</v>
      </c>
      <c r="I60" s="266" t="str">
        <f>Table5[[#This Row],[ÁREA]]</f>
        <v>MANTENIMIENTO ELA</v>
      </c>
      <c r="J60" s="273" t="s">
        <v>177</v>
      </c>
      <c r="K60" s="258" t="s">
        <v>178</v>
      </c>
      <c r="L60" s="234">
        <v>15</v>
      </c>
      <c r="M60" s="234" t="s">
        <v>164</v>
      </c>
      <c r="N60" s="271" t="s">
        <v>179</v>
      </c>
    </row>
    <row r="61" spans="2:14" s="220" customFormat="1" ht="24.9" customHeight="1" x14ac:dyDescent="0.3">
      <c r="B61" s="229" t="s">
        <v>28</v>
      </c>
      <c r="C61" s="229" t="s">
        <v>163</v>
      </c>
      <c r="D61" s="234" t="s">
        <v>164</v>
      </c>
      <c r="E61" s="233">
        <v>32043857</v>
      </c>
      <c r="F61" s="230" t="s">
        <v>165</v>
      </c>
      <c r="G61" s="220" t="s">
        <v>166</v>
      </c>
      <c r="H61" s="269">
        <v>32045769</v>
      </c>
      <c r="I61" s="266" t="str">
        <f>Table5[[#This Row],[ÁREA]]</f>
        <v>MANTENIMIENTO ELA</v>
      </c>
      <c r="J61" s="273" t="s">
        <v>180</v>
      </c>
      <c r="K61" s="258" t="s">
        <v>181</v>
      </c>
      <c r="L61" s="234">
        <v>15</v>
      </c>
      <c r="M61" s="234" t="s">
        <v>164</v>
      </c>
      <c r="N61" s="271" t="s">
        <v>35</v>
      </c>
    </row>
    <row r="62" spans="2:14" s="220" customFormat="1" ht="24.9" customHeight="1" x14ac:dyDescent="0.3">
      <c r="B62" s="229" t="s">
        <v>28</v>
      </c>
      <c r="C62" s="229" t="s">
        <v>163</v>
      </c>
      <c r="D62" s="234" t="s">
        <v>164</v>
      </c>
      <c r="E62" s="233">
        <v>32043857</v>
      </c>
      <c r="F62" s="230" t="s">
        <v>165</v>
      </c>
      <c r="G62" s="220" t="s">
        <v>166</v>
      </c>
      <c r="H62" s="251">
        <v>32044789</v>
      </c>
      <c r="I62" s="266" t="str">
        <f>Table5[[#This Row],[ÁREA]]</f>
        <v>MANTENIMIENTO ELA</v>
      </c>
      <c r="J62" s="230" t="s">
        <v>182</v>
      </c>
      <c r="K62" s="220" t="s">
        <v>183</v>
      </c>
      <c r="L62" s="234">
        <v>15</v>
      </c>
      <c r="M62" s="234" t="s">
        <v>164</v>
      </c>
      <c r="N62" s="271" t="s">
        <v>35</v>
      </c>
    </row>
    <row r="63" spans="2:14" s="220" customFormat="1" ht="24.9" customHeight="1" x14ac:dyDescent="0.3">
      <c r="B63" s="229" t="s">
        <v>28</v>
      </c>
      <c r="C63" s="229" t="s">
        <v>163</v>
      </c>
      <c r="D63" s="234" t="s">
        <v>164</v>
      </c>
      <c r="E63" s="233">
        <v>32043857</v>
      </c>
      <c r="F63" s="230" t="s">
        <v>165</v>
      </c>
      <c r="G63" s="220" t="s">
        <v>166</v>
      </c>
      <c r="H63" s="269">
        <v>32176714</v>
      </c>
      <c r="I63" s="266" t="str">
        <f>Table5[[#This Row],[ÁREA]]</f>
        <v>MANTENIMIENTO ELA</v>
      </c>
      <c r="J63" s="273" t="s">
        <v>184</v>
      </c>
      <c r="K63" s="253" t="s">
        <v>185</v>
      </c>
      <c r="L63" s="234">
        <v>15</v>
      </c>
      <c r="M63" s="234" t="s">
        <v>164</v>
      </c>
      <c r="N63" s="271" t="s">
        <v>47</v>
      </c>
    </row>
    <row r="64" spans="2:14" s="220" customFormat="1" ht="24.9" customHeight="1" x14ac:dyDescent="0.3">
      <c r="B64" s="229" t="s">
        <v>28</v>
      </c>
      <c r="C64" s="229" t="s">
        <v>163</v>
      </c>
      <c r="D64" s="234" t="s">
        <v>164</v>
      </c>
      <c r="E64" s="233">
        <v>32043857</v>
      </c>
      <c r="F64" s="230" t="s">
        <v>165</v>
      </c>
      <c r="G64" s="220" t="s">
        <v>166</v>
      </c>
      <c r="H64" s="269">
        <v>32044909</v>
      </c>
      <c r="I64" s="266" t="str">
        <f>Table5[[#This Row],[ÁREA]]</f>
        <v>MANTENIMIENTO ELA</v>
      </c>
      <c r="J64" s="273" t="s">
        <v>186</v>
      </c>
      <c r="K64" s="220" t="s">
        <v>187</v>
      </c>
      <c r="L64" s="234">
        <v>15</v>
      </c>
      <c r="M64" s="234" t="s">
        <v>164</v>
      </c>
      <c r="N64" s="271" t="s">
        <v>44</v>
      </c>
    </row>
    <row r="65" spans="2:14" s="220" customFormat="1" ht="24.9" customHeight="1" x14ac:dyDescent="0.3">
      <c r="B65" s="229" t="s">
        <v>28</v>
      </c>
      <c r="C65" s="229" t="s">
        <v>163</v>
      </c>
      <c r="D65" s="234" t="s">
        <v>164</v>
      </c>
      <c r="E65" s="233">
        <v>32043857</v>
      </c>
      <c r="F65" s="230" t="s">
        <v>165</v>
      </c>
      <c r="G65" s="220" t="s">
        <v>166</v>
      </c>
      <c r="H65" s="251">
        <v>32045106</v>
      </c>
      <c r="I65" s="266" t="str">
        <f>Table5[[#This Row],[ÁREA]]</f>
        <v>MANTENIMIENTO ELA</v>
      </c>
      <c r="J65" s="230" t="s">
        <v>188</v>
      </c>
      <c r="K65" s="258" t="s">
        <v>189</v>
      </c>
      <c r="L65" s="234">
        <v>15</v>
      </c>
      <c r="M65" s="234" t="s">
        <v>164</v>
      </c>
      <c r="N65" s="275" t="s">
        <v>179</v>
      </c>
    </row>
    <row r="66" spans="2:14" s="220" customFormat="1" ht="24.9" customHeight="1" x14ac:dyDescent="0.3">
      <c r="B66" s="229" t="s">
        <v>28</v>
      </c>
      <c r="C66" s="229" t="s">
        <v>163</v>
      </c>
      <c r="D66" s="234" t="s">
        <v>164</v>
      </c>
      <c r="E66" s="233">
        <v>32043857</v>
      </c>
      <c r="F66" s="230" t="s">
        <v>165</v>
      </c>
      <c r="G66" s="220" t="s">
        <v>166</v>
      </c>
      <c r="H66" s="269">
        <v>32045769</v>
      </c>
      <c r="I66" s="266" t="str">
        <f>Table5[[#This Row],[ÁREA]]</f>
        <v>MANTENIMIENTO ELA</v>
      </c>
      <c r="J66" s="273" t="s">
        <v>190</v>
      </c>
      <c r="K66" s="258"/>
      <c r="L66" s="234">
        <v>15</v>
      </c>
      <c r="M66" s="234" t="s">
        <v>164</v>
      </c>
      <c r="N66" s="275" t="s">
        <v>56</v>
      </c>
    </row>
    <row r="67" spans="2:14" s="220" customFormat="1" ht="24.9" customHeight="1" x14ac:dyDescent="0.3">
      <c r="B67" s="229" t="s">
        <v>28</v>
      </c>
      <c r="C67" s="229" t="s">
        <v>163</v>
      </c>
      <c r="D67" s="234" t="s">
        <v>164</v>
      </c>
      <c r="E67" s="233">
        <v>32043857</v>
      </c>
      <c r="F67" s="230" t="s">
        <v>165</v>
      </c>
      <c r="G67" s="220" t="s">
        <v>166</v>
      </c>
      <c r="H67" s="233">
        <v>32045769</v>
      </c>
      <c r="I67" s="276" t="str">
        <f>Table5[[#This Row],[ÁREA]]</f>
        <v>MANTENIMIENTO ELA</v>
      </c>
      <c r="J67" s="273" t="s">
        <v>191</v>
      </c>
      <c r="K67" s="258"/>
      <c r="L67" s="234">
        <v>15</v>
      </c>
      <c r="M67" s="234" t="s">
        <v>164</v>
      </c>
      <c r="N67" s="275" t="s">
        <v>56</v>
      </c>
    </row>
    <row r="68" spans="2:14" s="220" customFormat="1" ht="24.9" customHeight="1" x14ac:dyDescent="0.3">
      <c r="B68" s="229" t="s">
        <v>28</v>
      </c>
      <c r="C68" s="229" t="s">
        <v>163</v>
      </c>
      <c r="D68" s="234" t="s">
        <v>164</v>
      </c>
      <c r="E68" s="233">
        <v>32043857</v>
      </c>
      <c r="F68" s="230" t="s">
        <v>165</v>
      </c>
      <c r="G68" s="220" t="s">
        <v>166</v>
      </c>
      <c r="H68" s="251">
        <v>32043804</v>
      </c>
      <c r="I68" s="266" t="str">
        <f>Table5[[#This Row],[ÁREA]]</f>
        <v>MANTENIMIENTO ELA</v>
      </c>
      <c r="J68" s="273" t="s">
        <v>192</v>
      </c>
      <c r="K68" s="220" t="s">
        <v>193</v>
      </c>
      <c r="L68" s="234">
        <v>15</v>
      </c>
      <c r="M68" s="234" t="s">
        <v>164</v>
      </c>
      <c r="N68" s="275" t="s">
        <v>38</v>
      </c>
    </row>
    <row r="69" spans="2:14" s="220" customFormat="1" ht="24.9" customHeight="1" x14ac:dyDescent="0.3">
      <c r="B69" s="229" t="s">
        <v>28</v>
      </c>
      <c r="C69" s="229" t="s">
        <v>163</v>
      </c>
      <c r="D69" s="234" t="s">
        <v>164</v>
      </c>
      <c r="E69" s="233">
        <v>32043857</v>
      </c>
      <c r="F69" s="230" t="s">
        <v>165</v>
      </c>
      <c r="G69" s="220" t="s">
        <v>166</v>
      </c>
      <c r="H69" s="251">
        <v>32173447</v>
      </c>
      <c r="I69" s="266" t="str">
        <f>Table5[[#This Row],[ÁREA]]</f>
        <v>MANTENIMIENTO ELA</v>
      </c>
      <c r="J69" s="230" t="s">
        <v>194</v>
      </c>
      <c r="K69" s="220" t="s">
        <v>195</v>
      </c>
      <c r="L69" s="234">
        <v>15</v>
      </c>
      <c r="M69" s="234" t="s">
        <v>164</v>
      </c>
      <c r="N69" s="274" t="s">
        <v>38</v>
      </c>
    </row>
    <row r="70" spans="2:14" s="220" customFormat="1" ht="24.9" customHeight="1" x14ac:dyDescent="0.3">
      <c r="B70" s="229" t="s">
        <v>28</v>
      </c>
      <c r="C70" s="229" t="s">
        <v>196</v>
      </c>
      <c r="D70" s="234" t="s">
        <v>197</v>
      </c>
      <c r="E70" s="240">
        <v>32196674</v>
      </c>
      <c r="F70" s="240" t="s">
        <v>198</v>
      </c>
      <c r="G70" s="220" t="s">
        <v>61</v>
      </c>
      <c r="H70" s="269">
        <v>32175115</v>
      </c>
      <c r="I70" s="266" t="str">
        <f>Table5[[#This Row],[ÁREA]]</f>
        <v>BLENDER</v>
      </c>
      <c r="J70" s="273" t="s">
        <v>199</v>
      </c>
      <c r="K70" s="220" t="s">
        <v>200</v>
      </c>
      <c r="L70" s="234">
        <v>6</v>
      </c>
      <c r="M70" s="234" t="s">
        <v>197</v>
      </c>
      <c r="N70" s="270" t="s">
        <v>62</v>
      </c>
    </row>
    <row r="71" spans="2:14" s="220" customFormat="1" ht="24.9" customHeight="1" x14ac:dyDescent="0.3">
      <c r="B71" s="229" t="s">
        <v>28</v>
      </c>
      <c r="C71" s="229" t="s">
        <v>196</v>
      </c>
      <c r="D71" s="234" t="s">
        <v>197</v>
      </c>
      <c r="E71" s="240">
        <v>32196674</v>
      </c>
      <c r="F71" s="240" t="s">
        <v>198</v>
      </c>
      <c r="G71" s="220" t="s">
        <v>61</v>
      </c>
      <c r="H71" s="269">
        <v>32197975</v>
      </c>
      <c r="I71" s="266" t="str">
        <f>Table5[[#This Row],[ÁREA]]</f>
        <v>BLENDER</v>
      </c>
      <c r="J71" s="277" t="s">
        <v>201</v>
      </c>
      <c r="K71" s="220" t="s">
        <v>202</v>
      </c>
      <c r="L71" s="234">
        <v>6</v>
      </c>
      <c r="M71" s="234" t="s">
        <v>197</v>
      </c>
      <c r="N71" s="270" t="s">
        <v>47</v>
      </c>
    </row>
    <row r="72" spans="2:14" s="220" customFormat="1" ht="24.9" customHeight="1" x14ac:dyDescent="0.3">
      <c r="B72" s="229" t="s">
        <v>28</v>
      </c>
      <c r="C72" s="229" t="s">
        <v>196</v>
      </c>
      <c r="D72" s="234" t="s">
        <v>197</v>
      </c>
      <c r="E72" s="278">
        <v>32196674</v>
      </c>
      <c r="F72" s="279" t="s">
        <v>198</v>
      </c>
      <c r="G72" s="240" t="s">
        <v>61</v>
      </c>
      <c r="H72" s="265">
        <v>32183480</v>
      </c>
      <c r="I72" s="266" t="str">
        <f>Table5[[#This Row],[ÁREA]]</f>
        <v>BLENDER</v>
      </c>
      <c r="J72" s="280" t="s">
        <v>203</v>
      </c>
      <c r="K72" s="220" t="s">
        <v>204</v>
      </c>
      <c r="L72" s="234">
        <v>6</v>
      </c>
      <c r="M72" s="234" t="s">
        <v>197</v>
      </c>
      <c r="N72" s="270" t="s">
        <v>47</v>
      </c>
    </row>
    <row r="73" spans="2:14" s="220" customFormat="1" ht="24.9" customHeight="1" x14ac:dyDescent="0.3">
      <c r="B73" s="229" t="s">
        <v>28</v>
      </c>
      <c r="C73" s="229" t="s">
        <v>196</v>
      </c>
      <c r="D73" s="234" t="s">
        <v>197</v>
      </c>
      <c r="E73" s="240">
        <v>32196674</v>
      </c>
      <c r="F73" s="240" t="s">
        <v>198</v>
      </c>
      <c r="G73" s="220" t="s">
        <v>61</v>
      </c>
      <c r="H73" s="269">
        <v>32176720</v>
      </c>
      <c r="I73" s="266" t="str">
        <f>Table5[[#This Row],[ÁREA]]</f>
        <v>BLENDER</v>
      </c>
      <c r="J73" s="273" t="s">
        <v>205</v>
      </c>
      <c r="K73" s="220" t="s">
        <v>206</v>
      </c>
      <c r="L73" s="234">
        <v>6</v>
      </c>
      <c r="M73" s="234" t="s">
        <v>197</v>
      </c>
      <c r="N73" s="281" t="s">
        <v>35</v>
      </c>
    </row>
    <row r="74" spans="2:14" s="220" customFormat="1" ht="24.9" customHeight="1" x14ac:dyDescent="0.3">
      <c r="B74" s="229" t="s">
        <v>28</v>
      </c>
      <c r="C74" s="229" t="s">
        <v>196</v>
      </c>
      <c r="D74" s="234" t="s">
        <v>197</v>
      </c>
      <c r="E74" s="244">
        <v>32196674</v>
      </c>
      <c r="F74" s="244" t="s">
        <v>198</v>
      </c>
      <c r="G74" s="220" t="s">
        <v>61</v>
      </c>
      <c r="H74" s="251">
        <v>32149237</v>
      </c>
      <c r="I74" s="266" t="str">
        <f>Table5[[#This Row],[ÁREA]]</f>
        <v>BLENDER</v>
      </c>
      <c r="J74" s="280" t="s">
        <v>207</v>
      </c>
      <c r="K74" s="220" t="s">
        <v>208</v>
      </c>
      <c r="L74" s="234">
        <v>6</v>
      </c>
      <c r="M74" s="234" t="s">
        <v>197</v>
      </c>
      <c r="N74" s="281" t="s">
        <v>56</v>
      </c>
    </row>
    <row r="75" spans="2:14" s="220" customFormat="1" ht="24.9" customHeight="1" x14ac:dyDescent="0.3">
      <c r="B75" s="229" t="s">
        <v>28</v>
      </c>
      <c r="C75" s="229" t="s">
        <v>196</v>
      </c>
      <c r="D75" s="234" t="s">
        <v>197</v>
      </c>
      <c r="E75" s="244">
        <v>32196674</v>
      </c>
      <c r="F75" s="244" t="s">
        <v>198</v>
      </c>
      <c r="G75" s="220" t="s">
        <v>61</v>
      </c>
      <c r="H75" s="269">
        <v>32181712</v>
      </c>
      <c r="I75" s="266" t="str">
        <f>Table5[[#This Row],[ÁREA]]</f>
        <v>BLENDER</v>
      </c>
      <c r="J75" s="280" t="s">
        <v>209</v>
      </c>
      <c r="K75" s="220" t="s">
        <v>210</v>
      </c>
      <c r="L75" s="234">
        <v>6</v>
      </c>
      <c r="M75" s="234" t="s">
        <v>197</v>
      </c>
      <c r="N75" s="281" t="s">
        <v>44</v>
      </c>
    </row>
    <row r="76" spans="2:14" s="220" customFormat="1" ht="24.9" customHeight="1" x14ac:dyDescent="0.3">
      <c r="B76" s="229" t="s">
        <v>47</v>
      </c>
      <c r="C76" s="229" t="s">
        <v>211</v>
      </c>
      <c r="D76" s="230" t="s">
        <v>212</v>
      </c>
      <c r="E76" s="230">
        <v>32162568</v>
      </c>
      <c r="F76" s="229" t="s">
        <v>213</v>
      </c>
      <c r="G76" s="220" t="s">
        <v>214</v>
      </c>
      <c r="H76" s="269">
        <v>32096526</v>
      </c>
      <c r="I76" s="266" t="str">
        <f>Table5[[#This Row],[ÁREA]]</f>
        <v>ACA</v>
      </c>
      <c r="J76" s="273" t="s">
        <v>215</v>
      </c>
      <c r="K76" s="253" t="s">
        <v>216</v>
      </c>
      <c r="L76" s="234">
        <v>20</v>
      </c>
      <c r="M76" s="230" t="s">
        <v>212</v>
      </c>
      <c r="N76" s="281" t="s">
        <v>217</v>
      </c>
    </row>
    <row r="77" spans="2:14" s="220" customFormat="1" ht="24.9" customHeight="1" x14ac:dyDescent="0.3">
      <c r="B77" s="229" t="s">
        <v>47</v>
      </c>
      <c r="C77" s="229" t="s">
        <v>211</v>
      </c>
      <c r="D77" s="234" t="s">
        <v>212</v>
      </c>
      <c r="E77" s="234">
        <v>32162568</v>
      </c>
      <c r="F77" s="229" t="s">
        <v>213</v>
      </c>
      <c r="G77" s="220" t="s">
        <v>214</v>
      </c>
      <c r="H77" s="251">
        <v>32044377</v>
      </c>
      <c r="I77" s="266" t="str">
        <f>Table5[[#This Row],[ÁREA]]</f>
        <v>ACA</v>
      </c>
      <c r="J77" s="282" t="s">
        <v>218</v>
      </c>
      <c r="K77" s="240" t="s">
        <v>219</v>
      </c>
      <c r="L77" s="234">
        <v>20</v>
      </c>
      <c r="M77" s="230" t="s">
        <v>212</v>
      </c>
      <c r="N77" s="268" t="s">
        <v>220</v>
      </c>
    </row>
    <row r="78" spans="2:14" s="220" customFormat="1" ht="24.9" customHeight="1" x14ac:dyDescent="0.3">
      <c r="B78" s="229" t="s">
        <v>47</v>
      </c>
      <c r="C78" s="229" t="s">
        <v>211</v>
      </c>
      <c r="D78" s="230" t="s">
        <v>212</v>
      </c>
      <c r="E78" s="230">
        <v>32162568</v>
      </c>
      <c r="F78" s="229" t="s">
        <v>213</v>
      </c>
      <c r="G78" s="220" t="s">
        <v>214</v>
      </c>
      <c r="H78" s="283">
        <v>32046549</v>
      </c>
      <c r="I78" s="284" t="str">
        <f>Table5[[#This Row],[ÁREA]]</f>
        <v>ACA</v>
      </c>
      <c r="J78" s="273" t="s">
        <v>221</v>
      </c>
      <c r="K78" s="258" t="s">
        <v>222</v>
      </c>
      <c r="L78" s="234">
        <v>20</v>
      </c>
      <c r="M78" s="230" t="s">
        <v>212</v>
      </c>
      <c r="N78" s="270" t="s">
        <v>223</v>
      </c>
    </row>
    <row r="79" spans="2:14" s="220" customFormat="1" ht="24.9" customHeight="1" x14ac:dyDescent="0.3">
      <c r="B79" s="229" t="s">
        <v>47</v>
      </c>
      <c r="C79" s="229" t="s">
        <v>211</v>
      </c>
      <c r="D79" s="230" t="s">
        <v>212</v>
      </c>
      <c r="E79" s="230">
        <v>32162568</v>
      </c>
      <c r="F79" s="229" t="s">
        <v>213</v>
      </c>
      <c r="G79" s="220" t="s">
        <v>214</v>
      </c>
      <c r="H79" s="285">
        <v>32055155</v>
      </c>
      <c r="I79" s="286" t="str">
        <f>Table5[[#This Row],[ÁREA]]</f>
        <v>ACA</v>
      </c>
      <c r="J79" s="273" t="s">
        <v>224</v>
      </c>
      <c r="K79" s="220" t="s">
        <v>225</v>
      </c>
      <c r="L79" s="234">
        <v>20</v>
      </c>
      <c r="M79" s="230" t="s">
        <v>212</v>
      </c>
      <c r="N79" s="270" t="s">
        <v>223</v>
      </c>
    </row>
    <row r="80" spans="2:14" s="220" customFormat="1" ht="24.9" customHeight="1" x14ac:dyDescent="0.3">
      <c r="B80" s="229" t="s">
        <v>47</v>
      </c>
      <c r="C80" s="229" t="s">
        <v>211</v>
      </c>
      <c r="D80" s="230" t="s">
        <v>212</v>
      </c>
      <c r="E80" s="230">
        <v>32162568</v>
      </c>
      <c r="F80" s="229" t="s">
        <v>213</v>
      </c>
      <c r="G80" s="220" t="s">
        <v>214</v>
      </c>
      <c r="H80" s="285">
        <v>32045475</v>
      </c>
      <c r="I80" s="286" t="str">
        <f>Table5[[#This Row],[ÁREA]]</f>
        <v>ACA</v>
      </c>
      <c r="J80" s="273" t="s">
        <v>226</v>
      </c>
      <c r="K80" s="220" t="s">
        <v>227</v>
      </c>
      <c r="L80" s="234">
        <v>20</v>
      </c>
      <c r="M80" s="230" t="s">
        <v>212</v>
      </c>
      <c r="N80" s="270" t="s">
        <v>228</v>
      </c>
    </row>
    <row r="81" spans="2:14" s="220" customFormat="1" ht="24.9" customHeight="1" x14ac:dyDescent="0.3">
      <c r="B81" s="229" t="s">
        <v>47</v>
      </c>
      <c r="C81" s="229" t="s">
        <v>211</v>
      </c>
      <c r="D81" s="230" t="s">
        <v>212</v>
      </c>
      <c r="E81" s="230">
        <v>32162568</v>
      </c>
      <c r="F81" s="229" t="s">
        <v>213</v>
      </c>
      <c r="G81" s="220" t="s">
        <v>214</v>
      </c>
      <c r="H81" s="269">
        <v>32153661</v>
      </c>
      <c r="I81" s="266" t="str">
        <f>Table5[[#This Row],[ÁREA]]</f>
        <v>ACA</v>
      </c>
      <c r="J81" s="273" t="s">
        <v>229</v>
      </c>
      <c r="K81" s="220" t="s">
        <v>230</v>
      </c>
      <c r="L81" s="234">
        <v>20</v>
      </c>
      <c r="M81" s="230" t="s">
        <v>212</v>
      </c>
      <c r="N81" s="270" t="s">
        <v>231</v>
      </c>
    </row>
    <row r="82" spans="2:14" s="220" customFormat="1" ht="24.9" customHeight="1" x14ac:dyDescent="0.3">
      <c r="B82" s="229" t="s">
        <v>47</v>
      </c>
      <c r="C82" s="229" t="s">
        <v>211</v>
      </c>
      <c r="D82" s="230" t="s">
        <v>212</v>
      </c>
      <c r="E82" s="230">
        <v>32162568</v>
      </c>
      <c r="F82" s="229" t="s">
        <v>213</v>
      </c>
      <c r="G82" s="220" t="s">
        <v>214</v>
      </c>
      <c r="H82" s="251">
        <v>32044547</v>
      </c>
      <c r="I82" s="266" t="str">
        <f>Table5[[#This Row],[ÁREA]]</f>
        <v>ACA</v>
      </c>
      <c r="J82" s="273" t="s">
        <v>232</v>
      </c>
      <c r="K82" s="220" t="s">
        <v>233</v>
      </c>
      <c r="L82" s="234">
        <v>20</v>
      </c>
      <c r="M82" s="230" t="s">
        <v>212</v>
      </c>
      <c r="N82" s="270" t="s">
        <v>234</v>
      </c>
    </row>
    <row r="83" spans="2:14" s="220" customFormat="1" ht="24.9" customHeight="1" x14ac:dyDescent="0.3">
      <c r="B83" s="229" t="s">
        <v>47</v>
      </c>
      <c r="C83" s="229" t="s">
        <v>211</v>
      </c>
      <c r="D83" s="230" t="s">
        <v>212</v>
      </c>
      <c r="E83" s="230">
        <v>32162568</v>
      </c>
      <c r="F83" s="229" t="s">
        <v>213</v>
      </c>
      <c r="G83" s="220" t="s">
        <v>214</v>
      </c>
      <c r="H83" s="269">
        <v>32044975</v>
      </c>
      <c r="I83" s="266" t="str">
        <f>Table5[[#This Row],[ÁREA]]</f>
        <v>ACA</v>
      </c>
      <c r="J83" s="273" t="s">
        <v>235</v>
      </c>
      <c r="K83" s="220" t="s">
        <v>236</v>
      </c>
      <c r="L83" s="234">
        <v>20</v>
      </c>
      <c r="M83" s="230" t="s">
        <v>212</v>
      </c>
      <c r="N83" s="270" t="s">
        <v>237</v>
      </c>
    </row>
    <row r="84" spans="2:14" s="220" customFormat="1" ht="24.9" customHeight="1" x14ac:dyDescent="0.3">
      <c r="B84" s="229" t="s">
        <v>47</v>
      </c>
      <c r="C84" s="229" t="s">
        <v>211</v>
      </c>
      <c r="D84" s="230" t="s">
        <v>212</v>
      </c>
      <c r="E84" s="230">
        <v>32162568</v>
      </c>
      <c r="F84" s="229" t="s">
        <v>213</v>
      </c>
      <c r="G84" s="220" t="s">
        <v>214</v>
      </c>
      <c r="H84" s="269">
        <v>32057722</v>
      </c>
      <c r="I84" s="266" t="str">
        <f>Table5[[#This Row],[ÁREA]]</f>
        <v>ACA</v>
      </c>
      <c r="J84" s="273" t="s">
        <v>238</v>
      </c>
      <c r="K84" s="242" t="s">
        <v>61</v>
      </c>
      <c r="L84" s="234">
        <v>20</v>
      </c>
      <c r="M84" s="230" t="s">
        <v>212</v>
      </c>
      <c r="N84" s="270" t="s">
        <v>239</v>
      </c>
    </row>
    <row r="85" spans="2:14" s="220" customFormat="1" ht="24.9" customHeight="1" x14ac:dyDescent="0.3">
      <c r="B85" s="229" t="s">
        <v>47</v>
      </c>
      <c r="C85" s="229" t="s">
        <v>211</v>
      </c>
      <c r="D85" s="230" t="s">
        <v>212</v>
      </c>
      <c r="E85" s="230">
        <v>32162568</v>
      </c>
      <c r="F85" s="229" t="s">
        <v>213</v>
      </c>
      <c r="G85" s="220" t="s">
        <v>214</v>
      </c>
      <c r="H85" s="251">
        <v>32061082</v>
      </c>
      <c r="I85" s="266" t="str">
        <f>Table5[[#This Row],[ÁREA]]</f>
        <v>ACA</v>
      </c>
      <c r="J85" s="230" t="s">
        <v>240</v>
      </c>
      <c r="K85" s="220" t="s">
        <v>241</v>
      </c>
      <c r="L85" s="234">
        <v>20</v>
      </c>
      <c r="M85" s="230" t="s">
        <v>212</v>
      </c>
      <c r="N85" s="268" t="s">
        <v>239</v>
      </c>
    </row>
    <row r="86" spans="2:14" s="220" customFormat="1" ht="24.9" customHeight="1" x14ac:dyDescent="0.3">
      <c r="B86" s="229" t="s">
        <v>47</v>
      </c>
      <c r="C86" s="229" t="s">
        <v>211</v>
      </c>
      <c r="D86" s="230" t="s">
        <v>212</v>
      </c>
      <c r="E86" s="230">
        <v>32162568</v>
      </c>
      <c r="F86" s="229" t="s">
        <v>213</v>
      </c>
      <c r="G86" s="220" t="s">
        <v>214</v>
      </c>
      <c r="H86" s="287">
        <v>32111147</v>
      </c>
      <c r="I86" s="286" t="str">
        <f>Table5[[#This Row],[ÁREA]]</f>
        <v>ACA</v>
      </c>
      <c r="J86" s="273" t="s">
        <v>242</v>
      </c>
      <c r="K86" s="253" t="s">
        <v>243</v>
      </c>
      <c r="L86" s="234">
        <v>20</v>
      </c>
      <c r="M86" s="230" t="s">
        <v>212</v>
      </c>
      <c r="N86" s="270" t="s">
        <v>244</v>
      </c>
    </row>
    <row r="87" spans="2:14" s="220" customFormat="1" ht="24.9" customHeight="1" x14ac:dyDescent="0.3">
      <c r="B87" s="229" t="s">
        <v>47</v>
      </c>
      <c r="C87" s="229" t="s">
        <v>211</v>
      </c>
      <c r="D87" s="230" t="s">
        <v>212</v>
      </c>
      <c r="E87" s="230">
        <v>32162568</v>
      </c>
      <c r="F87" s="229" t="s">
        <v>213</v>
      </c>
      <c r="G87" s="220" t="s">
        <v>214</v>
      </c>
      <c r="H87" s="269">
        <v>32046065</v>
      </c>
      <c r="I87" s="269" t="str">
        <f>Table5[[#This Row],[ÁREA]]</f>
        <v>ACA</v>
      </c>
      <c r="J87" s="288" t="s">
        <v>245</v>
      </c>
      <c r="K87" s="220" t="s">
        <v>246</v>
      </c>
      <c r="L87" s="234">
        <v>20</v>
      </c>
      <c r="M87" s="230" t="s">
        <v>212</v>
      </c>
      <c r="N87" s="270" t="s">
        <v>47</v>
      </c>
    </row>
    <row r="88" spans="2:14" s="220" customFormat="1" ht="24.9" customHeight="1" x14ac:dyDescent="0.3">
      <c r="B88" s="229" t="s">
        <v>47</v>
      </c>
      <c r="C88" s="229" t="s">
        <v>211</v>
      </c>
      <c r="D88" s="234" t="s">
        <v>212</v>
      </c>
      <c r="E88" s="234">
        <v>32162568</v>
      </c>
      <c r="F88" s="289" t="s">
        <v>213</v>
      </c>
      <c r="G88" s="240" t="s">
        <v>214</v>
      </c>
      <c r="H88" s="290">
        <v>32044927</v>
      </c>
      <c r="I88" s="290" t="str">
        <f>Table5[[#This Row],[ÁREA]]</f>
        <v>ACA</v>
      </c>
      <c r="J88" s="291" t="s">
        <v>247</v>
      </c>
      <c r="K88" s="220" t="s">
        <v>248</v>
      </c>
      <c r="L88" s="234">
        <v>20</v>
      </c>
      <c r="M88" s="230" t="s">
        <v>212</v>
      </c>
      <c r="N88" s="270" t="s">
        <v>47</v>
      </c>
    </row>
    <row r="89" spans="2:14" s="220" customFormat="1" ht="24.9" customHeight="1" x14ac:dyDescent="0.3">
      <c r="B89" s="229" t="s">
        <v>47</v>
      </c>
      <c r="C89" s="229" t="s">
        <v>211</v>
      </c>
      <c r="D89" s="234" t="s">
        <v>212</v>
      </c>
      <c r="E89" s="292">
        <v>32162568</v>
      </c>
      <c r="F89" s="293" t="s">
        <v>213</v>
      </c>
      <c r="G89" s="220" t="s">
        <v>214</v>
      </c>
      <c r="H89" s="269">
        <v>32054061</v>
      </c>
      <c r="I89" s="269" t="str">
        <f>Table5[[#This Row],[ÁREA]]</f>
        <v>ACA</v>
      </c>
      <c r="J89" s="291" t="s">
        <v>249</v>
      </c>
      <c r="K89" s="220" t="s">
        <v>250</v>
      </c>
      <c r="L89" s="234">
        <v>20</v>
      </c>
      <c r="M89" s="230" t="s">
        <v>212</v>
      </c>
      <c r="N89" s="270" t="s">
        <v>72</v>
      </c>
    </row>
    <row r="90" spans="2:14" s="220" customFormat="1" ht="24.9" customHeight="1" x14ac:dyDescent="0.3">
      <c r="B90" s="229" t="s">
        <v>47</v>
      </c>
      <c r="C90" s="229" t="s">
        <v>211</v>
      </c>
      <c r="D90" s="230" t="s">
        <v>212</v>
      </c>
      <c r="E90" s="230">
        <v>32162568</v>
      </c>
      <c r="F90" s="229" t="s">
        <v>213</v>
      </c>
      <c r="G90" s="220" t="s">
        <v>214</v>
      </c>
      <c r="H90" s="269">
        <v>32046418</v>
      </c>
      <c r="I90" s="269" t="str">
        <f>Table5[[#This Row],[ÁREA]]</f>
        <v>ACA</v>
      </c>
      <c r="J90" s="288" t="s">
        <v>251</v>
      </c>
      <c r="K90" s="220" t="s">
        <v>252</v>
      </c>
      <c r="L90" s="234">
        <v>20</v>
      </c>
      <c r="M90" s="230" t="s">
        <v>212</v>
      </c>
      <c r="N90" s="270" t="s">
        <v>253</v>
      </c>
    </row>
    <row r="91" spans="2:14" s="220" customFormat="1" ht="24.9" customHeight="1" x14ac:dyDescent="0.3">
      <c r="B91" s="229" t="s">
        <v>47</v>
      </c>
      <c r="C91" s="229" t="s">
        <v>211</v>
      </c>
      <c r="D91" s="230" t="s">
        <v>212</v>
      </c>
      <c r="E91" s="247">
        <v>32162568</v>
      </c>
      <c r="F91" s="293" t="s">
        <v>213</v>
      </c>
      <c r="G91" s="220" t="s">
        <v>214</v>
      </c>
      <c r="H91" s="269">
        <v>32044511</v>
      </c>
      <c r="I91" s="269" t="str">
        <f>Table5[[#This Row],[ÁREA]]</f>
        <v>ACA</v>
      </c>
      <c r="J91" s="288" t="s">
        <v>254</v>
      </c>
      <c r="K91" s="220" t="s">
        <v>255</v>
      </c>
      <c r="L91" s="234">
        <v>20</v>
      </c>
      <c r="M91" s="230" t="s">
        <v>212</v>
      </c>
      <c r="N91" s="270" t="s">
        <v>35</v>
      </c>
    </row>
    <row r="92" spans="2:14" s="220" customFormat="1" ht="24.9" customHeight="1" x14ac:dyDescent="0.3">
      <c r="B92" s="229" t="s">
        <v>47</v>
      </c>
      <c r="C92" s="229" t="s">
        <v>211</v>
      </c>
      <c r="D92" s="234" t="s">
        <v>212</v>
      </c>
      <c r="E92" s="234">
        <v>32162568</v>
      </c>
      <c r="F92" s="229" t="s">
        <v>213</v>
      </c>
      <c r="G92" s="220" t="s">
        <v>214</v>
      </c>
      <c r="H92" s="233">
        <v>32044484</v>
      </c>
      <c r="I92" s="266" t="str">
        <f>Table5[[#This Row],[ÁREA]]</f>
        <v>ACA</v>
      </c>
      <c r="J92" s="291" t="s">
        <v>256</v>
      </c>
      <c r="K92" s="258" t="s">
        <v>257</v>
      </c>
      <c r="L92" s="234">
        <v>20</v>
      </c>
      <c r="M92" s="230" t="s">
        <v>212</v>
      </c>
      <c r="N92" s="270" t="s">
        <v>35</v>
      </c>
    </row>
    <row r="93" spans="2:14" s="220" customFormat="1" ht="24.9" customHeight="1" x14ac:dyDescent="0.3">
      <c r="B93" s="229" t="s">
        <v>47</v>
      </c>
      <c r="C93" s="229" t="s">
        <v>211</v>
      </c>
      <c r="D93" s="230" t="s">
        <v>212</v>
      </c>
      <c r="E93" s="230">
        <v>32162568</v>
      </c>
      <c r="F93" s="229" t="s">
        <v>213</v>
      </c>
      <c r="G93" s="220" t="s">
        <v>214</v>
      </c>
      <c r="H93" s="294">
        <v>32057596</v>
      </c>
      <c r="I93" s="283" t="str">
        <f>Table5[[#This Row],[ÁREA]]</f>
        <v>ACA</v>
      </c>
      <c r="J93" s="288" t="s">
        <v>258</v>
      </c>
      <c r="K93" s="220" t="s">
        <v>259</v>
      </c>
      <c r="L93" s="234">
        <v>20</v>
      </c>
      <c r="M93" s="230" t="s">
        <v>212</v>
      </c>
      <c r="N93" s="270" t="s">
        <v>260</v>
      </c>
    </row>
    <row r="94" spans="2:14" s="220" customFormat="1" ht="24.9" customHeight="1" x14ac:dyDescent="0.3">
      <c r="B94" s="229" t="s">
        <v>47</v>
      </c>
      <c r="C94" s="229" t="s">
        <v>211</v>
      </c>
      <c r="D94" s="234" t="s">
        <v>212</v>
      </c>
      <c r="E94" s="234">
        <v>32162568</v>
      </c>
      <c r="F94" s="229" t="s">
        <v>213</v>
      </c>
      <c r="G94" s="220" t="s">
        <v>214</v>
      </c>
      <c r="H94" s="269">
        <v>32045500</v>
      </c>
      <c r="I94" s="269" t="str">
        <f>Table5[[#This Row],[ÁREA]]</f>
        <v>ACA</v>
      </c>
      <c r="J94" s="291" t="s">
        <v>261</v>
      </c>
      <c r="K94" s="220" t="s">
        <v>262</v>
      </c>
      <c r="L94" s="234">
        <v>20</v>
      </c>
      <c r="M94" s="230" t="s">
        <v>212</v>
      </c>
      <c r="N94" s="270" t="s">
        <v>44</v>
      </c>
    </row>
    <row r="95" spans="2:14" s="220" customFormat="1" ht="24.9" customHeight="1" x14ac:dyDescent="0.3">
      <c r="B95" s="230" t="s">
        <v>263</v>
      </c>
      <c r="C95" s="230"/>
      <c r="D95" s="240" t="s">
        <v>264</v>
      </c>
      <c r="E95" s="240">
        <v>32231912</v>
      </c>
      <c r="F95" s="240" t="s">
        <v>265</v>
      </c>
      <c r="G95" s="220" t="s">
        <v>266</v>
      </c>
      <c r="H95" s="287">
        <v>32102191</v>
      </c>
      <c r="I95" s="286">
        <f>Table5[[#This Row],[ÁREA]]</f>
        <v>0</v>
      </c>
      <c r="J95" s="230" t="s">
        <v>267</v>
      </c>
      <c r="K95" s="258" t="s">
        <v>268</v>
      </c>
      <c r="L95" s="234">
        <v>5</v>
      </c>
      <c r="M95" s="240" t="s">
        <v>264</v>
      </c>
      <c r="N95" s="295" t="s">
        <v>35</v>
      </c>
    </row>
    <row r="96" spans="2:14" s="220" customFormat="1" ht="24.9" customHeight="1" x14ac:dyDescent="0.3">
      <c r="B96" s="230" t="s">
        <v>263</v>
      </c>
      <c r="C96" s="230"/>
      <c r="D96" s="240" t="s">
        <v>264</v>
      </c>
      <c r="E96" s="240">
        <v>32231912</v>
      </c>
      <c r="F96" s="240" t="s">
        <v>265</v>
      </c>
      <c r="G96" s="220" t="s">
        <v>266</v>
      </c>
      <c r="H96" s="287">
        <v>32222225</v>
      </c>
      <c r="I96" s="286">
        <f>Table5[[#This Row],[ÁREA]]</f>
        <v>0</v>
      </c>
      <c r="J96" s="273" t="s">
        <v>269</v>
      </c>
      <c r="K96" s="220" t="s">
        <v>270</v>
      </c>
      <c r="L96" s="234">
        <v>5</v>
      </c>
      <c r="M96" s="240" t="s">
        <v>264</v>
      </c>
      <c r="N96" s="295" t="s">
        <v>47</v>
      </c>
    </row>
    <row r="97" spans="2:14" s="220" customFormat="1" ht="24.9" customHeight="1" x14ac:dyDescent="0.3">
      <c r="B97" s="230" t="s">
        <v>263</v>
      </c>
      <c r="C97" s="230"/>
      <c r="D97" s="240" t="s">
        <v>264</v>
      </c>
      <c r="E97" s="243">
        <v>32231912</v>
      </c>
      <c r="F97" s="243" t="s">
        <v>265</v>
      </c>
      <c r="G97" s="243" t="s">
        <v>266</v>
      </c>
      <c r="H97" s="287">
        <v>32222227</v>
      </c>
      <c r="I97" s="286">
        <f>Table5[[#This Row],[ÁREA]]</f>
        <v>0</v>
      </c>
      <c r="J97" s="273" t="s">
        <v>271</v>
      </c>
      <c r="K97" s="258" t="s">
        <v>272</v>
      </c>
      <c r="L97" s="234">
        <v>5</v>
      </c>
      <c r="M97" s="240" t="s">
        <v>264</v>
      </c>
      <c r="N97" s="270" t="s">
        <v>44</v>
      </c>
    </row>
    <row r="98" spans="2:14" s="220" customFormat="1" ht="24.9" customHeight="1" x14ac:dyDescent="0.3">
      <c r="B98" s="230" t="s">
        <v>263</v>
      </c>
      <c r="C98" s="230"/>
      <c r="D98" s="240" t="s">
        <v>264</v>
      </c>
      <c r="E98" s="243">
        <v>32231912</v>
      </c>
      <c r="F98" s="243" t="s">
        <v>265</v>
      </c>
      <c r="G98" s="243" t="s">
        <v>266</v>
      </c>
      <c r="H98" s="298">
        <v>32198258</v>
      </c>
      <c r="I98" s="286">
        <f>Table5[[#This Row],[ÁREA]]</f>
        <v>0</v>
      </c>
      <c r="J98" s="273" t="s">
        <v>273</v>
      </c>
      <c r="K98" s="258" t="s">
        <v>61</v>
      </c>
      <c r="L98" s="234">
        <v>5</v>
      </c>
      <c r="M98" s="240" t="s">
        <v>264</v>
      </c>
      <c r="N98" s="270" t="s">
        <v>179</v>
      </c>
    </row>
    <row r="99" spans="2:14" s="220" customFormat="1" ht="24.9" customHeight="1" x14ac:dyDescent="0.3">
      <c r="B99" s="230" t="s">
        <v>263</v>
      </c>
      <c r="C99" s="230"/>
      <c r="D99" s="240" t="s">
        <v>264</v>
      </c>
      <c r="E99" s="243">
        <v>32231912</v>
      </c>
      <c r="F99" s="243" t="s">
        <v>265</v>
      </c>
      <c r="G99" s="243" t="s">
        <v>266</v>
      </c>
      <c r="H99" s="298">
        <v>32237827</v>
      </c>
      <c r="I99" s="286">
        <f>Table5[[#This Row],[ÁREA]]</f>
        <v>0</v>
      </c>
      <c r="J99" s="273" t="s">
        <v>274</v>
      </c>
      <c r="K99" s="258" t="s">
        <v>61</v>
      </c>
      <c r="L99" s="234">
        <v>5</v>
      </c>
      <c r="M99" s="240" t="s">
        <v>264</v>
      </c>
      <c r="N99" s="270" t="s">
        <v>41</v>
      </c>
    </row>
    <row r="100" spans="2:14" s="220" customFormat="1" ht="24.9" customHeight="1" x14ac:dyDescent="0.3">
      <c r="B100" s="230" t="s">
        <v>263</v>
      </c>
      <c r="C100" s="230"/>
      <c r="D100" s="296" t="s">
        <v>264</v>
      </c>
      <c r="E100" s="243">
        <v>32231912</v>
      </c>
      <c r="F100" s="243" t="s">
        <v>265</v>
      </c>
      <c r="G100" s="243" t="s">
        <v>266</v>
      </c>
      <c r="H100" s="297">
        <v>32044502</v>
      </c>
      <c r="I100" s="286">
        <f>Table5[[#This Row],[ÁREA]]</f>
        <v>0</v>
      </c>
      <c r="J100" s="230" t="s">
        <v>275</v>
      </c>
      <c r="K100" s="240" t="s">
        <v>276</v>
      </c>
      <c r="L100" s="234">
        <v>5</v>
      </c>
      <c r="M100" s="240" t="s">
        <v>264</v>
      </c>
      <c r="N100" s="268" t="s">
        <v>56</v>
      </c>
    </row>
    <row r="101" spans="2:14" s="220" customFormat="1" ht="24.9" customHeight="1" x14ac:dyDescent="0.3">
      <c r="B101" s="230" t="s">
        <v>263</v>
      </c>
      <c r="C101" s="230"/>
      <c r="D101" s="250" t="s">
        <v>277</v>
      </c>
      <c r="E101" s="243">
        <v>32174889</v>
      </c>
      <c r="F101" s="243" t="s">
        <v>278</v>
      </c>
      <c r="G101" s="240" t="s">
        <v>279</v>
      </c>
      <c r="H101" s="298">
        <v>32197423</v>
      </c>
      <c r="I101" s="286">
        <f>Table5[[#This Row],[ÁREA]]</f>
        <v>0</v>
      </c>
      <c r="J101" s="273" t="s">
        <v>280</v>
      </c>
      <c r="K101" s="220" t="s">
        <v>281</v>
      </c>
      <c r="L101" s="234">
        <v>7</v>
      </c>
      <c r="M101" s="240" t="s">
        <v>277</v>
      </c>
      <c r="N101" s="270" t="s">
        <v>179</v>
      </c>
    </row>
    <row r="102" spans="2:14" s="220" customFormat="1" ht="24.9" customHeight="1" x14ac:dyDescent="0.3">
      <c r="B102" s="230" t="s">
        <v>263</v>
      </c>
      <c r="C102" s="230"/>
      <c r="D102" s="250" t="s">
        <v>277</v>
      </c>
      <c r="E102" s="299">
        <v>32174889</v>
      </c>
      <c r="F102" s="300" t="s">
        <v>278</v>
      </c>
      <c r="G102" s="240" t="s">
        <v>279</v>
      </c>
      <c r="H102" s="298">
        <v>32043796</v>
      </c>
      <c r="I102" s="286">
        <f>Table5[[#This Row],[ÁREA]]</f>
        <v>0</v>
      </c>
      <c r="J102" s="273" t="s">
        <v>282</v>
      </c>
      <c r="K102" s="220" t="s">
        <v>283</v>
      </c>
      <c r="L102" s="234">
        <v>7</v>
      </c>
      <c r="M102" s="240" t="s">
        <v>277</v>
      </c>
      <c r="N102" s="270" t="s">
        <v>35</v>
      </c>
    </row>
    <row r="103" spans="2:14" s="220" customFormat="1" ht="24.9" customHeight="1" x14ac:dyDescent="0.3">
      <c r="B103" s="230" t="s">
        <v>263</v>
      </c>
      <c r="C103" s="230"/>
      <c r="D103" s="250" t="s">
        <v>277</v>
      </c>
      <c r="E103" s="299">
        <v>32174889</v>
      </c>
      <c r="F103" s="300" t="s">
        <v>278</v>
      </c>
      <c r="G103" s="253" t="s">
        <v>279</v>
      </c>
      <c r="H103" s="298">
        <v>32148922</v>
      </c>
      <c r="I103" s="286">
        <f>Table5[[#This Row],[ÁREA]]</f>
        <v>0</v>
      </c>
      <c r="J103" s="273" t="s">
        <v>284</v>
      </c>
      <c r="K103" s="253" t="s">
        <v>285</v>
      </c>
      <c r="L103" s="234">
        <v>7</v>
      </c>
      <c r="M103" s="240" t="s">
        <v>277</v>
      </c>
      <c r="N103" s="270" t="s">
        <v>41</v>
      </c>
    </row>
    <row r="104" spans="2:14" s="220" customFormat="1" ht="24.9" customHeight="1" x14ac:dyDescent="0.3">
      <c r="B104" s="230" t="s">
        <v>263</v>
      </c>
      <c r="C104" s="230"/>
      <c r="D104" s="250" t="s">
        <v>277</v>
      </c>
      <c r="E104" s="299">
        <v>32174889</v>
      </c>
      <c r="F104" s="300" t="s">
        <v>278</v>
      </c>
      <c r="G104" s="240" t="s">
        <v>279</v>
      </c>
      <c r="H104" s="297">
        <v>32173445</v>
      </c>
      <c r="I104" s="286">
        <f>Table5[[#This Row],[ÁREA]]</f>
        <v>0</v>
      </c>
      <c r="J104" s="273" t="s">
        <v>286</v>
      </c>
      <c r="K104" s="220" t="s">
        <v>287</v>
      </c>
      <c r="L104" s="234">
        <v>7</v>
      </c>
      <c r="M104" s="240" t="s">
        <v>277</v>
      </c>
      <c r="N104" s="270" t="s">
        <v>47</v>
      </c>
    </row>
    <row r="105" spans="2:14" s="220" customFormat="1" ht="24.9" customHeight="1" x14ac:dyDescent="0.3">
      <c r="B105" s="230" t="s">
        <v>263</v>
      </c>
      <c r="C105" s="230"/>
      <c r="D105" s="250" t="s">
        <v>277</v>
      </c>
      <c r="E105" s="299">
        <v>32174889</v>
      </c>
      <c r="F105" s="300" t="s">
        <v>278</v>
      </c>
      <c r="G105" s="240" t="s">
        <v>279</v>
      </c>
      <c r="H105" s="298">
        <v>32237830</v>
      </c>
      <c r="I105" s="286">
        <f>Table5[[#This Row],[ÁREA]]</f>
        <v>0</v>
      </c>
      <c r="J105" s="273" t="s">
        <v>288</v>
      </c>
      <c r="K105" s="220" t="s">
        <v>61</v>
      </c>
      <c r="L105" s="234">
        <v>7</v>
      </c>
      <c r="M105" s="240" t="s">
        <v>277</v>
      </c>
      <c r="N105" s="270" t="s">
        <v>44</v>
      </c>
    </row>
    <row r="106" spans="2:14" s="220" customFormat="1" ht="24.9" customHeight="1" x14ac:dyDescent="0.3">
      <c r="B106" s="230" t="s">
        <v>263</v>
      </c>
      <c r="C106" s="230"/>
      <c r="D106" s="250" t="s">
        <v>277</v>
      </c>
      <c r="E106" s="299">
        <v>32174889</v>
      </c>
      <c r="F106" s="300" t="s">
        <v>278</v>
      </c>
      <c r="G106" s="243" t="s">
        <v>279</v>
      </c>
      <c r="H106" s="298">
        <v>32044838</v>
      </c>
      <c r="I106" s="286">
        <f>Table5[[#This Row],[ÁREA]]</f>
        <v>0</v>
      </c>
      <c r="J106" s="273" t="s">
        <v>289</v>
      </c>
      <c r="K106" s="220" t="s">
        <v>290</v>
      </c>
      <c r="L106" s="234">
        <v>7</v>
      </c>
      <c r="M106" s="240" t="s">
        <v>277</v>
      </c>
      <c r="N106" s="270" t="s">
        <v>38</v>
      </c>
    </row>
    <row r="107" spans="2:14" s="220" customFormat="1" ht="24.9" customHeight="1" x14ac:dyDescent="0.3">
      <c r="B107" s="229" t="s">
        <v>263</v>
      </c>
      <c r="C107" s="229"/>
      <c r="D107" s="250" t="s">
        <v>291</v>
      </c>
      <c r="E107" s="251">
        <v>32145498</v>
      </c>
      <c r="F107" s="252" t="s">
        <v>292</v>
      </c>
      <c r="G107" s="240" t="s">
        <v>293</v>
      </c>
      <c r="H107" s="290">
        <v>32043900</v>
      </c>
      <c r="I107" s="266">
        <f>Table5[[#This Row],[ÁREA]]</f>
        <v>0</v>
      </c>
      <c r="J107" s="273" t="s">
        <v>294</v>
      </c>
      <c r="K107" s="220" t="s">
        <v>295</v>
      </c>
      <c r="L107" s="234">
        <v>12</v>
      </c>
      <c r="M107" s="234" t="s">
        <v>291</v>
      </c>
      <c r="N107" s="271" t="s">
        <v>179</v>
      </c>
    </row>
    <row r="108" spans="2:14" s="220" customFormat="1" ht="24.9" customHeight="1" x14ac:dyDescent="0.3">
      <c r="B108" s="229" t="s">
        <v>263</v>
      </c>
      <c r="C108" s="229"/>
      <c r="D108" s="250" t="s">
        <v>291</v>
      </c>
      <c r="E108" s="251">
        <v>32145498</v>
      </c>
      <c r="F108" s="252" t="s">
        <v>292</v>
      </c>
      <c r="G108" s="240" t="s">
        <v>293</v>
      </c>
      <c r="H108" s="265">
        <v>32044316</v>
      </c>
      <c r="I108" s="266">
        <f>Table5[[#This Row],[ÁREA]]</f>
        <v>0</v>
      </c>
      <c r="J108" s="230" t="s">
        <v>296</v>
      </c>
      <c r="K108" s="220" t="s">
        <v>297</v>
      </c>
      <c r="L108" s="234">
        <v>12</v>
      </c>
      <c r="M108" s="234" t="s">
        <v>291</v>
      </c>
      <c r="N108" s="274" t="s">
        <v>44</v>
      </c>
    </row>
    <row r="109" spans="2:14" s="220" customFormat="1" ht="24.9" customHeight="1" x14ac:dyDescent="0.3">
      <c r="B109" s="229" t="s">
        <v>263</v>
      </c>
      <c r="C109" s="229"/>
      <c r="D109" s="250" t="s">
        <v>291</v>
      </c>
      <c r="E109" s="251">
        <v>32145498</v>
      </c>
      <c r="F109" s="252" t="s">
        <v>292</v>
      </c>
      <c r="G109" s="240" t="s">
        <v>293</v>
      </c>
      <c r="H109" s="290">
        <v>32173442</v>
      </c>
      <c r="I109" s="266">
        <f>Table5[[#This Row],[ÁREA]]</f>
        <v>0</v>
      </c>
      <c r="J109" s="273" t="s">
        <v>298</v>
      </c>
      <c r="K109" s="220" t="s">
        <v>299</v>
      </c>
      <c r="L109" s="234">
        <v>12</v>
      </c>
      <c r="M109" s="234" t="s">
        <v>291</v>
      </c>
      <c r="N109" s="271" t="s">
        <v>38</v>
      </c>
    </row>
    <row r="110" spans="2:14" s="220" customFormat="1" ht="24.9" customHeight="1" x14ac:dyDescent="0.3">
      <c r="B110" s="229" t="s">
        <v>263</v>
      </c>
      <c r="C110" s="229"/>
      <c r="D110" s="250" t="s">
        <v>291</v>
      </c>
      <c r="E110" s="251">
        <v>32145498</v>
      </c>
      <c r="F110" s="252" t="s">
        <v>292</v>
      </c>
      <c r="G110" s="243" t="s">
        <v>293</v>
      </c>
      <c r="H110" s="290">
        <v>32149490</v>
      </c>
      <c r="I110" s="266">
        <f>Table5[[#This Row],[ÁREA]]</f>
        <v>0</v>
      </c>
      <c r="J110" s="273" t="s">
        <v>300</v>
      </c>
      <c r="K110" s="258" t="s">
        <v>301</v>
      </c>
      <c r="L110" s="234">
        <v>12</v>
      </c>
      <c r="M110" s="234" t="s">
        <v>291</v>
      </c>
      <c r="N110" s="271" t="s">
        <v>38</v>
      </c>
    </row>
    <row r="111" spans="2:14" s="220" customFormat="1" ht="24.9" customHeight="1" x14ac:dyDescent="0.3">
      <c r="B111" s="229" t="s">
        <v>263</v>
      </c>
      <c r="C111" s="229"/>
      <c r="D111" s="250" t="s">
        <v>291</v>
      </c>
      <c r="E111" s="251">
        <v>32145498</v>
      </c>
      <c r="F111" s="252" t="s">
        <v>292</v>
      </c>
      <c r="G111" s="240" t="s">
        <v>293</v>
      </c>
      <c r="H111" s="290">
        <v>32092747</v>
      </c>
      <c r="I111" s="266">
        <f>Table5[[#This Row],[ÁREA]]</f>
        <v>0</v>
      </c>
      <c r="J111" s="273" t="s">
        <v>302</v>
      </c>
      <c r="K111" s="253" t="s">
        <v>303</v>
      </c>
      <c r="L111" s="234">
        <v>12</v>
      </c>
      <c r="M111" s="234" t="s">
        <v>291</v>
      </c>
      <c r="N111" s="271" t="s">
        <v>179</v>
      </c>
    </row>
    <row r="112" spans="2:14" s="220" customFormat="1" ht="24.9" customHeight="1" x14ac:dyDescent="0.3">
      <c r="B112" s="229" t="s">
        <v>263</v>
      </c>
      <c r="C112" s="229"/>
      <c r="D112" s="250" t="s">
        <v>291</v>
      </c>
      <c r="E112" s="251">
        <v>32145498</v>
      </c>
      <c r="F112" s="252" t="s">
        <v>292</v>
      </c>
      <c r="G112" s="240" t="s">
        <v>293</v>
      </c>
      <c r="H112" s="290">
        <v>32173435</v>
      </c>
      <c r="I112" s="266">
        <f>Table5[[#This Row],[ÁREA]]</f>
        <v>0</v>
      </c>
      <c r="J112" s="273" t="s">
        <v>304</v>
      </c>
      <c r="K112" s="220" t="s">
        <v>305</v>
      </c>
      <c r="L112" s="234">
        <v>12</v>
      </c>
      <c r="M112" s="234" t="s">
        <v>291</v>
      </c>
      <c r="N112" s="271" t="s">
        <v>47</v>
      </c>
    </row>
    <row r="113" spans="2:14" s="220" customFormat="1" ht="24.9" customHeight="1" x14ac:dyDescent="0.3">
      <c r="B113" s="229" t="s">
        <v>263</v>
      </c>
      <c r="C113" s="229"/>
      <c r="D113" s="250" t="s">
        <v>291</v>
      </c>
      <c r="E113" s="251">
        <v>32145498</v>
      </c>
      <c r="F113" s="252" t="s">
        <v>292</v>
      </c>
      <c r="G113" s="253" t="s">
        <v>293</v>
      </c>
      <c r="H113" s="290">
        <v>32145333</v>
      </c>
      <c r="I113" s="266">
        <f>Table5[[#This Row],[ÁREA]]</f>
        <v>0</v>
      </c>
      <c r="J113" s="273" t="s">
        <v>306</v>
      </c>
      <c r="K113" s="220" t="s">
        <v>307</v>
      </c>
      <c r="L113" s="234">
        <v>12</v>
      </c>
      <c r="M113" s="234" t="s">
        <v>291</v>
      </c>
      <c r="N113" s="271" t="s">
        <v>41</v>
      </c>
    </row>
    <row r="114" spans="2:14" s="220" customFormat="1" ht="24.9" customHeight="1" x14ac:dyDescent="0.3">
      <c r="B114" s="229" t="s">
        <v>263</v>
      </c>
      <c r="C114" s="229"/>
      <c r="D114" s="250" t="s">
        <v>291</v>
      </c>
      <c r="E114" s="251">
        <v>32145498</v>
      </c>
      <c r="F114" s="252" t="s">
        <v>292</v>
      </c>
      <c r="G114" s="240" t="s">
        <v>293</v>
      </c>
      <c r="H114" s="290">
        <v>32199772</v>
      </c>
      <c r="I114" s="266">
        <f>Table5[[#This Row],[ÁREA]]</f>
        <v>0</v>
      </c>
      <c r="J114" s="273" t="s">
        <v>308</v>
      </c>
      <c r="K114" s="220" t="s">
        <v>309</v>
      </c>
      <c r="L114" s="234">
        <v>12</v>
      </c>
      <c r="M114" s="234" t="s">
        <v>291</v>
      </c>
      <c r="N114" s="271" t="s">
        <v>35</v>
      </c>
    </row>
    <row r="115" spans="2:14" s="220" customFormat="1" ht="24.9" customHeight="1" x14ac:dyDescent="0.3">
      <c r="B115" s="229" t="s">
        <v>263</v>
      </c>
      <c r="C115" s="229"/>
      <c r="D115" s="230" t="s">
        <v>291</v>
      </c>
      <c r="E115" s="276">
        <v>32145498</v>
      </c>
      <c r="F115" s="273" t="s">
        <v>292</v>
      </c>
      <c r="G115" s="220" t="s">
        <v>293</v>
      </c>
      <c r="H115" s="269">
        <v>32045469</v>
      </c>
      <c r="I115" s="266">
        <f>Table5[[#This Row],[ÁREA]]</f>
        <v>0</v>
      </c>
      <c r="J115" s="301" t="s">
        <v>310</v>
      </c>
      <c r="K115" s="242" t="s">
        <v>311</v>
      </c>
      <c r="L115" s="234">
        <v>12</v>
      </c>
      <c r="M115" s="234" t="s">
        <v>291</v>
      </c>
      <c r="N115" s="271" t="s">
        <v>41</v>
      </c>
    </row>
    <row r="116" spans="2:14" s="220" customFormat="1" ht="24.9" customHeight="1" x14ac:dyDescent="0.3">
      <c r="B116" s="230" t="s">
        <v>263</v>
      </c>
      <c r="C116" s="230"/>
      <c r="D116" s="230" t="s">
        <v>312</v>
      </c>
      <c r="E116" s="254">
        <v>32045378</v>
      </c>
      <c r="F116" s="302" t="s">
        <v>313</v>
      </c>
      <c r="G116" s="220" t="s">
        <v>314</v>
      </c>
      <c r="H116" s="287">
        <v>32044783</v>
      </c>
      <c r="I116" s="286">
        <f>Table5[[#This Row],[ÁREA]]</f>
        <v>0</v>
      </c>
      <c r="J116" s="301" t="s">
        <v>315</v>
      </c>
      <c r="K116" s="220" t="s">
        <v>316</v>
      </c>
      <c r="L116" s="234">
        <v>8</v>
      </c>
      <c r="M116" s="240" t="s">
        <v>312</v>
      </c>
      <c r="N116" s="270" t="s">
        <v>56</v>
      </c>
    </row>
    <row r="117" spans="2:14" s="220" customFormat="1" ht="24.9" customHeight="1" x14ac:dyDescent="0.3">
      <c r="B117" s="230" t="s">
        <v>263</v>
      </c>
      <c r="C117" s="230"/>
      <c r="D117" s="230" t="s">
        <v>312</v>
      </c>
      <c r="E117" s="254">
        <v>32045378</v>
      </c>
      <c r="F117" s="302" t="s">
        <v>313</v>
      </c>
      <c r="G117" s="220" t="s">
        <v>314</v>
      </c>
      <c r="H117" s="287">
        <v>32044892</v>
      </c>
      <c r="I117" s="286">
        <f>Table5[[#This Row],[ÁREA]]</f>
        <v>0</v>
      </c>
      <c r="J117" s="301" t="s">
        <v>317</v>
      </c>
      <c r="K117" s="258" t="s">
        <v>318</v>
      </c>
      <c r="L117" s="234">
        <v>8</v>
      </c>
      <c r="M117" s="240" t="s">
        <v>312</v>
      </c>
      <c r="N117" s="270" t="s">
        <v>56</v>
      </c>
    </row>
    <row r="118" spans="2:14" s="220" customFormat="1" ht="24.9" customHeight="1" x14ac:dyDescent="0.3">
      <c r="B118" s="230" t="s">
        <v>263</v>
      </c>
      <c r="C118" s="230"/>
      <c r="D118" s="230" t="s">
        <v>312</v>
      </c>
      <c r="E118" s="303">
        <v>32045378</v>
      </c>
      <c r="F118" s="304" t="s">
        <v>313</v>
      </c>
      <c r="G118" s="220" t="s">
        <v>314</v>
      </c>
      <c r="H118" s="287">
        <v>32209454</v>
      </c>
      <c r="I118" s="286">
        <f>Table5[[#This Row],[ÁREA]]</f>
        <v>0</v>
      </c>
      <c r="J118" s="301" t="s">
        <v>319</v>
      </c>
      <c r="K118" s="220" t="s">
        <v>320</v>
      </c>
      <c r="L118" s="234">
        <v>8</v>
      </c>
      <c r="M118" s="240" t="s">
        <v>312</v>
      </c>
      <c r="N118" s="270" t="s">
        <v>38</v>
      </c>
    </row>
    <row r="119" spans="2:14" s="220" customFormat="1" ht="24.9" customHeight="1" x14ac:dyDescent="0.3">
      <c r="B119" s="230" t="s">
        <v>263</v>
      </c>
      <c r="C119" s="230"/>
      <c r="D119" s="230" t="s">
        <v>312</v>
      </c>
      <c r="E119" s="254">
        <v>32045378</v>
      </c>
      <c r="F119" s="302" t="s">
        <v>313</v>
      </c>
      <c r="G119" s="220" t="s">
        <v>314</v>
      </c>
      <c r="H119" s="285">
        <v>32046259</v>
      </c>
      <c r="I119" s="285">
        <f>Table5[[#This Row],[ÁREA]]</f>
        <v>0</v>
      </c>
      <c r="J119" s="305" t="s">
        <v>321</v>
      </c>
      <c r="K119" s="220" t="s">
        <v>322</v>
      </c>
      <c r="L119" s="234">
        <v>8</v>
      </c>
      <c r="M119" s="240" t="s">
        <v>312</v>
      </c>
      <c r="N119" s="268" t="s">
        <v>47</v>
      </c>
    </row>
    <row r="120" spans="2:14" s="220" customFormat="1" ht="24.9" customHeight="1" x14ac:dyDescent="0.3">
      <c r="B120" s="230" t="s">
        <v>263</v>
      </c>
      <c r="C120" s="230"/>
      <c r="D120" s="230" t="s">
        <v>312</v>
      </c>
      <c r="E120" s="254">
        <v>32045378</v>
      </c>
      <c r="F120" s="302" t="s">
        <v>313</v>
      </c>
      <c r="G120" s="220" t="s">
        <v>314</v>
      </c>
      <c r="H120" s="285">
        <v>32218817</v>
      </c>
      <c r="I120" s="287">
        <f>Table5[[#This Row],[ÁREA]]</f>
        <v>0</v>
      </c>
      <c r="J120" s="288" t="s">
        <v>323</v>
      </c>
      <c r="K120" s="220" t="s">
        <v>61</v>
      </c>
      <c r="L120" s="234">
        <v>8</v>
      </c>
      <c r="M120" s="240" t="s">
        <v>312</v>
      </c>
      <c r="N120" s="270" t="s">
        <v>41</v>
      </c>
    </row>
    <row r="121" spans="2:14" s="220" customFormat="1" ht="24.9" customHeight="1" x14ac:dyDescent="0.3">
      <c r="B121" s="230" t="s">
        <v>263</v>
      </c>
      <c r="C121" s="230"/>
      <c r="D121" s="230" t="s">
        <v>312</v>
      </c>
      <c r="E121" s="306">
        <v>32045378</v>
      </c>
      <c r="F121" s="307" t="s">
        <v>313</v>
      </c>
      <c r="G121" s="220" t="s">
        <v>314</v>
      </c>
      <c r="H121" s="287">
        <v>32045572</v>
      </c>
      <c r="I121" s="287">
        <f>Table5[[#This Row],[ÁREA]]</f>
        <v>0</v>
      </c>
      <c r="J121" s="288" t="s">
        <v>324</v>
      </c>
      <c r="K121" s="220" t="s">
        <v>325</v>
      </c>
      <c r="L121" s="234">
        <v>8</v>
      </c>
      <c r="M121" s="240" t="s">
        <v>312</v>
      </c>
      <c r="N121" s="270" t="s">
        <v>44</v>
      </c>
    </row>
    <row r="122" spans="2:14" s="220" customFormat="1" ht="24.9" customHeight="1" x14ac:dyDescent="0.3">
      <c r="B122" s="230" t="s">
        <v>263</v>
      </c>
      <c r="C122" s="230"/>
      <c r="D122" s="230" t="s">
        <v>312</v>
      </c>
      <c r="E122" s="303">
        <v>32045378</v>
      </c>
      <c r="F122" s="304" t="s">
        <v>313</v>
      </c>
      <c r="G122" s="220" t="s">
        <v>314</v>
      </c>
      <c r="H122" s="287">
        <v>32045438</v>
      </c>
      <c r="I122" s="287">
        <f>Table5[[#This Row],[ÁREA]]</f>
        <v>0</v>
      </c>
      <c r="J122" s="288" t="s">
        <v>326</v>
      </c>
      <c r="K122" s="258" t="s">
        <v>327</v>
      </c>
      <c r="L122" s="234">
        <v>8</v>
      </c>
      <c r="M122" s="240" t="s">
        <v>312</v>
      </c>
      <c r="N122" s="270" t="s">
        <v>35</v>
      </c>
    </row>
    <row r="123" spans="2:14" s="220" customFormat="1" ht="24.9" customHeight="1" x14ac:dyDescent="0.3">
      <c r="B123" s="230" t="s">
        <v>263</v>
      </c>
      <c r="C123" s="230"/>
      <c r="D123" s="230" t="s">
        <v>312</v>
      </c>
      <c r="E123" s="254">
        <v>32045378</v>
      </c>
      <c r="F123" s="308" t="s">
        <v>313</v>
      </c>
      <c r="G123" s="220" t="s">
        <v>314</v>
      </c>
      <c r="H123" s="287">
        <v>32204264</v>
      </c>
      <c r="I123" s="287">
        <f>Table5[[#This Row],[ÁREA]]</f>
        <v>0</v>
      </c>
      <c r="J123" s="288" t="s">
        <v>328</v>
      </c>
      <c r="K123" s="258" t="s">
        <v>329</v>
      </c>
      <c r="L123" s="234">
        <v>8</v>
      </c>
      <c r="M123" s="240" t="s">
        <v>312</v>
      </c>
      <c r="N123" s="270" t="s">
        <v>179</v>
      </c>
    </row>
    <row r="124" spans="2:14" s="220" customFormat="1" ht="24.9" customHeight="1" x14ac:dyDescent="0.3">
      <c r="B124" s="230" t="s">
        <v>263</v>
      </c>
      <c r="C124" s="230"/>
      <c r="D124" s="240" t="s">
        <v>330</v>
      </c>
      <c r="E124" s="278">
        <v>32209640</v>
      </c>
      <c r="F124" s="279" t="s">
        <v>331</v>
      </c>
      <c r="G124" s="240" t="s">
        <v>332</v>
      </c>
      <c r="H124" s="297">
        <v>32202297</v>
      </c>
      <c r="I124" s="286">
        <f>Table5[[#This Row],[ÁREA]]</f>
        <v>0</v>
      </c>
      <c r="J124" s="273" t="s">
        <v>333</v>
      </c>
      <c r="K124" s="220" t="s">
        <v>334</v>
      </c>
      <c r="L124" s="234">
        <v>9</v>
      </c>
      <c r="M124" s="240" t="s">
        <v>330</v>
      </c>
      <c r="N124" s="270" t="s">
        <v>47</v>
      </c>
    </row>
    <row r="125" spans="2:14" s="220" customFormat="1" ht="24.9" customHeight="1" x14ac:dyDescent="0.3">
      <c r="B125" s="230" t="s">
        <v>263</v>
      </c>
      <c r="C125" s="230"/>
      <c r="D125" s="240" t="s">
        <v>330</v>
      </c>
      <c r="E125" s="244">
        <v>32209640</v>
      </c>
      <c r="F125" s="244" t="s">
        <v>331</v>
      </c>
      <c r="G125" s="220" t="s">
        <v>332</v>
      </c>
      <c r="H125" s="285">
        <v>32044037</v>
      </c>
      <c r="I125" s="286">
        <f>Table5[[#This Row],[ÁREA]]</f>
        <v>0</v>
      </c>
      <c r="J125" s="273" t="s">
        <v>335</v>
      </c>
      <c r="K125" s="253" t="s">
        <v>336</v>
      </c>
      <c r="L125" s="234">
        <v>9</v>
      </c>
      <c r="M125" s="240" t="s">
        <v>330</v>
      </c>
      <c r="N125" s="270" t="s">
        <v>41</v>
      </c>
    </row>
    <row r="126" spans="2:14" s="220" customFormat="1" ht="24.9" customHeight="1" x14ac:dyDescent="0.3">
      <c r="B126" s="230" t="s">
        <v>263</v>
      </c>
      <c r="C126" s="230"/>
      <c r="D126" s="240" t="s">
        <v>330</v>
      </c>
      <c r="E126" s="240">
        <v>32209640</v>
      </c>
      <c r="F126" s="240" t="s">
        <v>331</v>
      </c>
      <c r="G126" s="220" t="s">
        <v>332</v>
      </c>
      <c r="H126" s="287">
        <v>32044839</v>
      </c>
      <c r="I126" s="286">
        <f>Table5[[#This Row],[ÁREA]]</f>
        <v>0</v>
      </c>
      <c r="J126" s="273" t="s">
        <v>337</v>
      </c>
      <c r="K126" s="220" t="s">
        <v>338</v>
      </c>
      <c r="L126" s="234">
        <v>9</v>
      </c>
      <c r="M126" s="240" t="s">
        <v>330</v>
      </c>
      <c r="N126" s="270" t="s">
        <v>56</v>
      </c>
    </row>
    <row r="127" spans="2:14" s="220" customFormat="1" ht="24.9" customHeight="1" x14ac:dyDescent="0.3">
      <c r="B127" s="230" t="s">
        <v>263</v>
      </c>
      <c r="C127" s="230"/>
      <c r="D127" s="240" t="s">
        <v>330</v>
      </c>
      <c r="E127" s="240">
        <v>32209640</v>
      </c>
      <c r="F127" s="240" t="s">
        <v>331</v>
      </c>
      <c r="G127" s="220" t="s">
        <v>332</v>
      </c>
      <c r="H127" s="287">
        <v>32045510</v>
      </c>
      <c r="I127" s="286">
        <f>Table5[[#This Row],[ÁREA]]</f>
        <v>0</v>
      </c>
      <c r="J127" s="230" t="s">
        <v>339</v>
      </c>
      <c r="K127" s="220" t="s">
        <v>340</v>
      </c>
      <c r="L127" s="234">
        <v>9</v>
      </c>
      <c r="M127" s="240" t="s">
        <v>330</v>
      </c>
      <c r="N127" s="295" t="s">
        <v>47</v>
      </c>
    </row>
    <row r="128" spans="2:14" s="220" customFormat="1" ht="24.9" customHeight="1" x14ac:dyDescent="0.3">
      <c r="B128" s="230" t="s">
        <v>263</v>
      </c>
      <c r="C128" s="230"/>
      <c r="D128" s="240" t="s">
        <v>330</v>
      </c>
      <c r="E128" s="240">
        <v>32209640</v>
      </c>
      <c r="F128" s="296" t="s">
        <v>331</v>
      </c>
      <c r="G128" s="240" t="s">
        <v>332</v>
      </c>
      <c r="H128" s="298">
        <v>32045004</v>
      </c>
      <c r="I128" s="286">
        <f>Table5[[#This Row],[ÁREA]]</f>
        <v>0</v>
      </c>
      <c r="J128" s="273" t="s">
        <v>341</v>
      </c>
      <c r="K128" s="220" t="s">
        <v>342</v>
      </c>
      <c r="L128" s="234">
        <v>9</v>
      </c>
      <c r="M128" s="240" t="s">
        <v>330</v>
      </c>
      <c r="N128" s="295" t="s">
        <v>38</v>
      </c>
    </row>
    <row r="129" spans="2:14" s="220" customFormat="1" ht="24.9" customHeight="1" x14ac:dyDescent="0.3">
      <c r="B129" s="230" t="s">
        <v>263</v>
      </c>
      <c r="C129" s="230"/>
      <c r="D129" s="240" t="s">
        <v>330</v>
      </c>
      <c r="E129" s="240">
        <v>32209640</v>
      </c>
      <c r="F129" s="240" t="s">
        <v>331</v>
      </c>
      <c r="G129" s="220" t="s">
        <v>332</v>
      </c>
      <c r="H129" s="287">
        <v>32137247</v>
      </c>
      <c r="I129" s="286">
        <f>Table5[[#This Row],[ÁREA]]</f>
        <v>0</v>
      </c>
      <c r="J129" s="273" t="s">
        <v>343</v>
      </c>
      <c r="K129" s="220" t="s">
        <v>344</v>
      </c>
      <c r="L129" s="234">
        <v>9</v>
      </c>
      <c r="M129" s="240" t="s">
        <v>330</v>
      </c>
      <c r="N129" s="295" t="s">
        <v>47</v>
      </c>
    </row>
    <row r="130" spans="2:14" s="220" customFormat="1" ht="24.9" customHeight="1" x14ac:dyDescent="0.3">
      <c r="B130" s="230" t="s">
        <v>263</v>
      </c>
      <c r="C130" s="230"/>
      <c r="D130" s="240" t="s">
        <v>330</v>
      </c>
      <c r="E130" s="240">
        <v>32209640</v>
      </c>
      <c r="F130" s="240" t="s">
        <v>331</v>
      </c>
      <c r="G130" s="220" t="s">
        <v>332</v>
      </c>
      <c r="H130" s="287">
        <v>32197427</v>
      </c>
      <c r="I130" s="286">
        <f>Table5[[#This Row],[ÁREA]]</f>
        <v>0</v>
      </c>
      <c r="J130" s="273" t="s">
        <v>345</v>
      </c>
      <c r="K130" s="242" t="s">
        <v>61</v>
      </c>
      <c r="L130" s="234">
        <v>9</v>
      </c>
      <c r="M130" s="240" t="s">
        <v>330</v>
      </c>
      <c r="N130" s="295" t="s">
        <v>179</v>
      </c>
    </row>
    <row r="131" spans="2:14" s="220" customFormat="1" ht="24.9" customHeight="1" x14ac:dyDescent="0.3">
      <c r="B131" s="230" t="s">
        <v>263</v>
      </c>
      <c r="C131" s="230"/>
      <c r="D131" s="240" t="s">
        <v>330</v>
      </c>
      <c r="E131" s="240">
        <v>32209640</v>
      </c>
      <c r="F131" s="240" t="s">
        <v>331</v>
      </c>
      <c r="G131" s="220" t="s">
        <v>332</v>
      </c>
      <c r="H131" s="287">
        <v>32209189</v>
      </c>
      <c r="I131" s="286">
        <f>Table5[[#This Row],[ÁREA]]</f>
        <v>0</v>
      </c>
      <c r="J131" s="273" t="s">
        <v>346</v>
      </c>
      <c r="K131" s="220" t="s">
        <v>347</v>
      </c>
      <c r="L131" s="234">
        <v>9</v>
      </c>
      <c r="M131" s="240" t="s">
        <v>330</v>
      </c>
      <c r="N131" s="270" t="s">
        <v>35</v>
      </c>
    </row>
    <row r="132" spans="2:14" s="220" customFormat="1" ht="24.9" customHeight="1" x14ac:dyDescent="0.3">
      <c r="B132" s="230" t="s">
        <v>263</v>
      </c>
      <c r="C132" s="230"/>
      <c r="D132" s="240" t="s">
        <v>330</v>
      </c>
      <c r="E132" s="244">
        <v>32209640</v>
      </c>
      <c r="F132" s="244" t="s">
        <v>331</v>
      </c>
      <c r="G132" s="220" t="s">
        <v>332</v>
      </c>
      <c r="H132" s="287">
        <v>32045409</v>
      </c>
      <c r="I132" s="286">
        <f>Table5[[#This Row],[ÁREA]]</f>
        <v>0</v>
      </c>
      <c r="J132" s="273" t="s">
        <v>348</v>
      </c>
      <c r="K132" s="258" t="s">
        <v>349</v>
      </c>
      <c r="L132" s="234">
        <v>9</v>
      </c>
      <c r="M132" s="240" t="s">
        <v>330</v>
      </c>
      <c r="N132" s="270" t="s">
        <v>44</v>
      </c>
    </row>
    <row r="133" spans="2:14" s="220" customFormat="1" ht="24.9" customHeight="1" x14ac:dyDescent="0.3">
      <c r="B133" s="230" t="s">
        <v>263</v>
      </c>
      <c r="C133" s="230"/>
      <c r="D133" s="240" t="s">
        <v>350</v>
      </c>
      <c r="E133" s="303">
        <v>32044983</v>
      </c>
      <c r="F133" s="304" t="s">
        <v>351</v>
      </c>
      <c r="G133" s="220" t="s">
        <v>352</v>
      </c>
      <c r="H133" s="285">
        <v>32148846</v>
      </c>
      <c r="I133" s="286">
        <f>Table5[[#This Row],[ÁREA]]</f>
        <v>0</v>
      </c>
      <c r="J133" s="273" t="s">
        <v>353</v>
      </c>
      <c r="K133" s="220" t="s">
        <v>354</v>
      </c>
      <c r="L133" s="234">
        <v>5</v>
      </c>
      <c r="M133" s="240" t="s">
        <v>350</v>
      </c>
      <c r="N133" s="270" t="s">
        <v>44</v>
      </c>
    </row>
    <row r="134" spans="2:14" s="220" customFormat="1" ht="24.9" customHeight="1" x14ac:dyDescent="0.3">
      <c r="B134" s="230" t="s">
        <v>263</v>
      </c>
      <c r="C134" s="230"/>
      <c r="D134" s="240" t="s">
        <v>350</v>
      </c>
      <c r="E134" s="254">
        <v>32044983</v>
      </c>
      <c r="F134" s="308" t="s">
        <v>351</v>
      </c>
      <c r="G134" s="220" t="s">
        <v>352</v>
      </c>
      <c r="H134" s="287">
        <v>32188007</v>
      </c>
      <c r="I134" s="286">
        <f>Table5[[#This Row],[ÁREA]]</f>
        <v>0</v>
      </c>
      <c r="J134" s="273" t="s">
        <v>355</v>
      </c>
      <c r="K134" s="220" t="s">
        <v>356</v>
      </c>
      <c r="L134" s="234">
        <v>5</v>
      </c>
      <c r="M134" s="240" t="s">
        <v>350</v>
      </c>
      <c r="N134" s="270" t="s">
        <v>38</v>
      </c>
    </row>
    <row r="135" spans="2:14" s="220" customFormat="1" ht="24.9" customHeight="1" x14ac:dyDescent="0.3">
      <c r="B135" s="230" t="s">
        <v>263</v>
      </c>
      <c r="C135" s="230"/>
      <c r="D135" s="240" t="s">
        <v>350</v>
      </c>
      <c r="E135" s="254">
        <v>32044983</v>
      </c>
      <c r="F135" s="308" t="s">
        <v>351</v>
      </c>
      <c r="G135" s="220" t="s">
        <v>352</v>
      </c>
      <c r="H135" s="287">
        <v>32132055</v>
      </c>
      <c r="I135" s="286">
        <f>Table5[[#This Row],[ÁREA]]</f>
        <v>0</v>
      </c>
      <c r="J135" s="230" t="s">
        <v>357</v>
      </c>
      <c r="K135" s="220" t="s">
        <v>358</v>
      </c>
      <c r="L135" s="234">
        <v>5</v>
      </c>
      <c r="M135" s="240" t="s">
        <v>350</v>
      </c>
      <c r="N135" s="295" t="s">
        <v>47</v>
      </c>
    </row>
    <row r="136" spans="2:14" s="220" customFormat="1" ht="24.9" customHeight="1" x14ac:dyDescent="0.3">
      <c r="B136" s="230" t="s">
        <v>263</v>
      </c>
      <c r="C136" s="230"/>
      <c r="D136" s="240" t="s">
        <v>350</v>
      </c>
      <c r="E136" s="306">
        <v>32044983</v>
      </c>
      <c r="F136" s="307" t="s">
        <v>351</v>
      </c>
      <c r="G136" s="220" t="s">
        <v>352</v>
      </c>
      <c r="H136" s="287">
        <v>32132194</v>
      </c>
      <c r="I136" s="286">
        <f>Table5[[#This Row],[ÁREA]]</f>
        <v>0</v>
      </c>
      <c r="J136" s="273" t="s">
        <v>359</v>
      </c>
      <c r="K136" s="220" t="s">
        <v>360</v>
      </c>
      <c r="L136" s="234">
        <v>5</v>
      </c>
      <c r="M136" s="240" t="s">
        <v>350</v>
      </c>
      <c r="N136" s="295" t="s">
        <v>41</v>
      </c>
    </row>
    <row r="137" spans="2:14" s="220" customFormat="1" ht="24.9" customHeight="1" x14ac:dyDescent="0.3">
      <c r="B137" s="230" t="s">
        <v>263</v>
      </c>
      <c r="C137" s="230"/>
      <c r="D137" s="296" t="s">
        <v>350</v>
      </c>
      <c r="E137" s="309">
        <v>32044983</v>
      </c>
      <c r="F137" s="310" t="s">
        <v>351</v>
      </c>
      <c r="G137" s="240" t="s">
        <v>352</v>
      </c>
      <c r="H137" s="298">
        <v>32177483</v>
      </c>
      <c r="I137" s="286">
        <f>Table5[[#This Row],[ÁREA]]</f>
        <v>0</v>
      </c>
      <c r="J137" s="273" t="s">
        <v>361</v>
      </c>
      <c r="K137" s="220" t="s">
        <v>362</v>
      </c>
      <c r="L137" s="234">
        <v>5</v>
      </c>
      <c r="M137" s="240" t="s">
        <v>350</v>
      </c>
      <c r="N137" s="295" t="s">
        <v>35</v>
      </c>
    </row>
    <row r="138" spans="2:14" ht="24.9" customHeight="1" x14ac:dyDescent="0.3">
      <c r="B138" s="311" t="s">
        <v>363</v>
      </c>
      <c r="C138" s="311">
        <v>1</v>
      </c>
      <c r="D138" s="312" t="s">
        <v>364</v>
      </c>
      <c r="E138" s="313">
        <v>32046689</v>
      </c>
      <c r="F138" s="314" t="s">
        <v>365</v>
      </c>
      <c r="G138" s="315" t="s">
        <v>366</v>
      </c>
      <c r="H138" s="316">
        <v>32067736</v>
      </c>
      <c r="I138" s="316">
        <f>Table5[[#This Row],[ÁREA]]</f>
        <v>1</v>
      </c>
      <c r="J138" s="317" t="s">
        <v>367</v>
      </c>
      <c r="K138" s="315" t="s">
        <v>368</v>
      </c>
      <c r="L138" s="318">
        <v>6</v>
      </c>
      <c r="M138" s="317" t="s">
        <v>364</v>
      </c>
      <c r="N138" s="318" t="s">
        <v>369</v>
      </c>
    </row>
    <row r="139" spans="2:14" ht="24.9" customHeight="1" x14ac:dyDescent="0.3">
      <c r="B139" s="311" t="s">
        <v>363</v>
      </c>
      <c r="C139" s="311">
        <v>1</v>
      </c>
      <c r="D139" s="312" t="s">
        <v>364</v>
      </c>
      <c r="E139" s="320">
        <v>32046689</v>
      </c>
      <c r="F139" s="321" t="s">
        <v>365</v>
      </c>
      <c r="G139" s="315" t="s">
        <v>366</v>
      </c>
      <c r="H139" s="316">
        <v>32046175</v>
      </c>
      <c r="I139" s="316">
        <f>Table5[[#This Row],[ÁREA]]</f>
        <v>1</v>
      </c>
      <c r="J139" s="317" t="s">
        <v>370</v>
      </c>
      <c r="K139" s="319" t="s">
        <v>371</v>
      </c>
      <c r="L139" s="318">
        <v>6</v>
      </c>
      <c r="M139" s="317" t="s">
        <v>364</v>
      </c>
      <c r="N139" s="318" t="s">
        <v>372</v>
      </c>
    </row>
    <row r="140" spans="2:14" ht="24.9" customHeight="1" x14ac:dyDescent="0.3">
      <c r="B140" s="311" t="s">
        <v>363</v>
      </c>
      <c r="C140" s="311">
        <v>1</v>
      </c>
      <c r="D140" s="312" t="s">
        <v>364</v>
      </c>
      <c r="E140" s="313">
        <v>32046689</v>
      </c>
      <c r="F140" s="314" t="s">
        <v>365</v>
      </c>
      <c r="G140" s="315" t="s">
        <v>366</v>
      </c>
      <c r="H140" s="316">
        <v>32046354</v>
      </c>
      <c r="I140" s="316">
        <f>Table5[[#This Row],[ÁREA]]</f>
        <v>1</v>
      </c>
      <c r="J140" s="317" t="s">
        <v>373</v>
      </c>
      <c r="K140" s="319" t="s">
        <v>374</v>
      </c>
      <c r="L140" s="318">
        <v>6</v>
      </c>
      <c r="M140" s="317" t="s">
        <v>364</v>
      </c>
      <c r="N140" s="312" t="s">
        <v>375</v>
      </c>
    </row>
    <row r="141" spans="2:14" ht="24.9" customHeight="1" x14ac:dyDescent="0.3">
      <c r="B141" s="311" t="s">
        <v>363</v>
      </c>
      <c r="C141" s="311">
        <v>1</v>
      </c>
      <c r="D141" s="312" t="s">
        <v>364</v>
      </c>
      <c r="E141" s="318">
        <v>32046689</v>
      </c>
      <c r="F141" s="314" t="s">
        <v>365</v>
      </c>
      <c r="G141" s="315" t="s">
        <v>366</v>
      </c>
      <c r="H141" s="316">
        <v>32136855</v>
      </c>
      <c r="I141" s="316">
        <f>Table5[[#This Row],[ÁREA]]</f>
        <v>1</v>
      </c>
      <c r="J141" s="317" t="s">
        <v>376</v>
      </c>
      <c r="K141" s="319" t="s">
        <v>377</v>
      </c>
      <c r="L141" s="318">
        <v>6</v>
      </c>
      <c r="M141" s="317" t="s">
        <v>364</v>
      </c>
      <c r="N141" s="318" t="s">
        <v>378</v>
      </c>
    </row>
    <row r="142" spans="2:14" ht="24.9" customHeight="1" x14ac:dyDescent="0.3">
      <c r="B142" s="311" t="s">
        <v>363</v>
      </c>
      <c r="C142" s="311">
        <v>1</v>
      </c>
      <c r="D142" s="312" t="s">
        <v>364</v>
      </c>
      <c r="E142" s="318">
        <v>32046689</v>
      </c>
      <c r="F142" s="321" t="s">
        <v>365</v>
      </c>
      <c r="G142" s="315" t="s">
        <v>366</v>
      </c>
      <c r="H142" s="316">
        <v>32057054</v>
      </c>
      <c r="I142" s="316">
        <f>Table5[[#This Row],[ÁREA]]</f>
        <v>1</v>
      </c>
      <c r="J142" s="317" t="s">
        <v>379</v>
      </c>
      <c r="K142" s="319" t="s">
        <v>380</v>
      </c>
      <c r="L142" s="318">
        <v>6</v>
      </c>
      <c r="M142" s="317" t="s">
        <v>364</v>
      </c>
      <c r="N142" s="318" t="s">
        <v>381</v>
      </c>
    </row>
    <row r="143" spans="2:14" ht="24.9" customHeight="1" x14ac:dyDescent="0.3">
      <c r="B143" s="311" t="s">
        <v>363</v>
      </c>
      <c r="C143" s="311">
        <v>1</v>
      </c>
      <c r="D143" s="312" t="s">
        <v>364</v>
      </c>
      <c r="E143" s="318">
        <v>32046689</v>
      </c>
      <c r="F143" s="321" t="s">
        <v>365</v>
      </c>
      <c r="G143" s="315" t="s">
        <v>366</v>
      </c>
      <c r="H143" s="316">
        <v>32046253</v>
      </c>
      <c r="I143" s="316">
        <f>Table5[[#This Row],[ÁREA]]</f>
        <v>1</v>
      </c>
      <c r="J143" s="317" t="s">
        <v>382</v>
      </c>
      <c r="K143" s="322" t="s">
        <v>383</v>
      </c>
      <c r="L143" s="318">
        <v>6</v>
      </c>
      <c r="M143" s="317" t="s">
        <v>364</v>
      </c>
      <c r="N143" s="318" t="s">
        <v>384</v>
      </c>
    </row>
    <row r="144" spans="2:14" ht="24.9" customHeight="1" x14ac:dyDescent="0.3">
      <c r="B144" s="311" t="s">
        <v>363</v>
      </c>
      <c r="C144" s="311">
        <v>1</v>
      </c>
      <c r="D144" s="312" t="s">
        <v>385</v>
      </c>
      <c r="E144" s="318">
        <v>32147380</v>
      </c>
      <c r="F144" s="323" t="s">
        <v>386</v>
      </c>
      <c r="G144" s="315" t="s">
        <v>51</v>
      </c>
      <c r="H144" s="316">
        <v>32107322</v>
      </c>
      <c r="I144" s="316">
        <f>Table5[[#This Row],[ÁREA]]</f>
        <v>1</v>
      </c>
      <c r="J144" s="317" t="s">
        <v>387</v>
      </c>
      <c r="K144" s="319" t="s">
        <v>388</v>
      </c>
      <c r="L144" s="318">
        <v>6</v>
      </c>
      <c r="M144" s="317" t="s">
        <v>385</v>
      </c>
      <c r="N144" s="318" t="s">
        <v>375</v>
      </c>
    </row>
    <row r="145" spans="2:14" ht="24.9" customHeight="1" x14ac:dyDescent="0.3">
      <c r="B145" s="311" t="s">
        <v>363</v>
      </c>
      <c r="C145" s="311">
        <v>1</v>
      </c>
      <c r="D145" s="312" t="s">
        <v>385</v>
      </c>
      <c r="E145" s="318">
        <v>32147380</v>
      </c>
      <c r="F145" s="323" t="s">
        <v>386</v>
      </c>
      <c r="G145" s="315" t="s">
        <v>51</v>
      </c>
      <c r="H145" s="316">
        <v>32046388</v>
      </c>
      <c r="I145" s="316">
        <f>Table5[[#This Row],[ÁREA]]</f>
        <v>1</v>
      </c>
      <c r="J145" s="317" t="s">
        <v>389</v>
      </c>
      <c r="K145" s="319" t="s">
        <v>390</v>
      </c>
      <c r="L145" s="318">
        <v>6</v>
      </c>
      <c r="M145" s="317" t="s">
        <v>385</v>
      </c>
      <c r="N145" s="318" t="s">
        <v>381</v>
      </c>
    </row>
    <row r="146" spans="2:14" ht="24.9" customHeight="1" x14ac:dyDescent="0.3">
      <c r="B146" s="311" t="s">
        <v>363</v>
      </c>
      <c r="C146" s="311">
        <v>1</v>
      </c>
      <c r="D146" s="312" t="s">
        <v>385</v>
      </c>
      <c r="E146" s="318">
        <v>32147380</v>
      </c>
      <c r="F146" s="323" t="s">
        <v>386</v>
      </c>
      <c r="G146" s="315" t="s">
        <v>51</v>
      </c>
      <c r="H146" s="316">
        <v>32046339</v>
      </c>
      <c r="I146" s="316">
        <f>Table5[[#This Row],[ÁREA]]</f>
        <v>1</v>
      </c>
      <c r="J146" s="317" t="s">
        <v>391</v>
      </c>
      <c r="K146" s="319" t="s">
        <v>392</v>
      </c>
      <c r="L146" s="318">
        <v>6</v>
      </c>
      <c r="M146" s="317" t="s">
        <v>385</v>
      </c>
      <c r="N146" s="318" t="s">
        <v>378</v>
      </c>
    </row>
    <row r="147" spans="2:14" ht="24.9" customHeight="1" x14ac:dyDescent="0.3">
      <c r="B147" s="311" t="s">
        <v>363</v>
      </c>
      <c r="C147" s="311">
        <v>1</v>
      </c>
      <c r="D147" s="318" t="s">
        <v>385</v>
      </c>
      <c r="E147" s="318">
        <v>32147380</v>
      </c>
      <c r="F147" s="324" t="s">
        <v>386</v>
      </c>
      <c r="G147" s="325" t="s">
        <v>51</v>
      </c>
      <c r="H147" s="316">
        <v>32131837</v>
      </c>
      <c r="I147" s="316">
        <f>Table5[[#This Row],[ÁREA]]</f>
        <v>1</v>
      </c>
      <c r="J147" s="317" t="s">
        <v>393</v>
      </c>
      <c r="K147" s="319" t="s">
        <v>394</v>
      </c>
      <c r="L147" s="318">
        <v>6</v>
      </c>
      <c r="M147" s="317" t="s">
        <v>385</v>
      </c>
      <c r="N147" s="318" t="s">
        <v>372</v>
      </c>
    </row>
    <row r="148" spans="2:14" ht="24.9" customHeight="1" x14ac:dyDescent="0.3">
      <c r="B148" s="311" t="s">
        <v>363</v>
      </c>
      <c r="C148" s="311">
        <v>1</v>
      </c>
      <c r="D148" s="318" t="s">
        <v>385</v>
      </c>
      <c r="E148" s="318">
        <v>32147380</v>
      </c>
      <c r="F148" s="326" t="s">
        <v>386</v>
      </c>
      <c r="G148" s="315" t="s">
        <v>51</v>
      </c>
      <c r="H148" s="316">
        <v>32145468</v>
      </c>
      <c r="I148" s="316">
        <f>Table5[[#This Row],[ÁREA]]</f>
        <v>1</v>
      </c>
      <c r="J148" s="317" t="s">
        <v>395</v>
      </c>
      <c r="K148" s="319" t="s">
        <v>396</v>
      </c>
      <c r="L148" s="318">
        <v>6</v>
      </c>
      <c r="M148" s="317" t="s">
        <v>385</v>
      </c>
      <c r="N148" s="318" t="s">
        <v>369</v>
      </c>
    </row>
    <row r="149" spans="2:14" ht="24.9" customHeight="1" x14ac:dyDescent="0.3">
      <c r="B149" s="311" t="s">
        <v>363</v>
      </c>
      <c r="C149" s="311">
        <v>1</v>
      </c>
      <c r="D149" s="318" t="s">
        <v>397</v>
      </c>
      <c r="E149" s="315">
        <v>32146001</v>
      </c>
      <c r="F149" s="327" t="s">
        <v>398</v>
      </c>
      <c r="G149" s="315" t="s">
        <v>399</v>
      </c>
      <c r="H149" s="316">
        <v>32046520</v>
      </c>
      <c r="I149" s="316">
        <f>Table5[[#This Row],[ÁREA]]</f>
        <v>1</v>
      </c>
      <c r="J149" s="317" t="s">
        <v>400</v>
      </c>
      <c r="K149" s="319" t="s">
        <v>401</v>
      </c>
      <c r="L149" s="318">
        <v>6</v>
      </c>
      <c r="M149" s="317" t="s">
        <v>397</v>
      </c>
      <c r="N149" s="318" t="s">
        <v>381</v>
      </c>
    </row>
    <row r="150" spans="2:14" ht="24.9" customHeight="1" x14ac:dyDescent="0.3">
      <c r="B150" s="311" t="s">
        <v>363</v>
      </c>
      <c r="C150" s="311">
        <v>1</v>
      </c>
      <c r="D150" s="318" t="s">
        <v>397</v>
      </c>
      <c r="E150" s="315">
        <v>32146001</v>
      </c>
      <c r="F150" s="321" t="s">
        <v>398</v>
      </c>
      <c r="G150" s="315" t="s">
        <v>399</v>
      </c>
      <c r="H150" s="316">
        <v>32044863</v>
      </c>
      <c r="I150" s="316">
        <f>Table5[[#This Row],[ÁREA]]</f>
        <v>1</v>
      </c>
      <c r="J150" s="317" t="s">
        <v>402</v>
      </c>
      <c r="K150" s="319" t="s">
        <v>403</v>
      </c>
      <c r="L150" s="318">
        <v>6</v>
      </c>
      <c r="M150" s="317" t="s">
        <v>397</v>
      </c>
      <c r="N150" s="318" t="s">
        <v>369</v>
      </c>
    </row>
    <row r="151" spans="2:14" ht="24.9" customHeight="1" x14ac:dyDescent="0.3">
      <c r="B151" s="311" t="s">
        <v>363</v>
      </c>
      <c r="C151" s="311">
        <v>1</v>
      </c>
      <c r="D151" s="318" t="s">
        <v>397</v>
      </c>
      <c r="E151" s="315">
        <v>32146001</v>
      </c>
      <c r="F151" s="327" t="s">
        <v>398</v>
      </c>
      <c r="G151" s="315" t="s">
        <v>399</v>
      </c>
      <c r="H151" s="316">
        <v>32046582</v>
      </c>
      <c r="I151" s="316">
        <f>Table5[[#This Row],[ÁREA]]</f>
        <v>1</v>
      </c>
      <c r="J151" s="317" t="s">
        <v>404</v>
      </c>
      <c r="K151" s="322" t="s">
        <v>405</v>
      </c>
      <c r="L151" s="318">
        <v>6</v>
      </c>
      <c r="M151" s="317" t="s">
        <v>397</v>
      </c>
      <c r="N151" s="318" t="s">
        <v>375</v>
      </c>
    </row>
    <row r="152" spans="2:14" ht="24.9" customHeight="1" x14ac:dyDescent="0.3">
      <c r="B152" s="311" t="s">
        <v>363</v>
      </c>
      <c r="C152" s="311">
        <v>1</v>
      </c>
      <c r="D152" s="318" t="s">
        <v>397</v>
      </c>
      <c r="E152" s="315">
        <v>32146001</v>
      </c>
      <c r="F152" s="327" t="s">
        <v>398</v>
      </c>
      <c r="G152" s="325" t="s">
        <v>399</v>
      </c>
      <c r="H152" s="316">
        <v>32045229</v>
      </c>
      <c r="I152" s="316">
        <f>Table5[[#This Row],[ÁREA]]</f>
        <v>1</v>
      </c>
      <c r="J152" s="317" t="s">
        <v>406</v>
      </c>
      <c r="K152" s="319" t="s">
        <v>407</v>
      </c>
      <c r="L152" s="318">
        <v>6</v>
      </c>
      <c r="M152" s="317" t="s">
        <v>397</v>
      </c>
      <c r="N152" s="318" t="s">
        <v>408</v>
      </c>
    </row>
    <row r="153" spans="2:14" ht="24.9" customHeight="1" x14ac:dyDescent="0.3">
      <c r="B153" s="311" t="s">
        <v>363</v>
      </c>
      <c r="C153" s="311">
        <v>1</v>
      </c>
      <c r="D153" s="318" t="s">
        <v>397</v>
      </c>
      <c r="E153" s="315">
        <v>32146001</v>
      </c>
      <c r="F153" s="327" t="s">
        <v>398</v>
      </c>
      <c r="G153" s="315" t="s">
        <v>399</v>
      </c>
      <c r="H153" s="316">
        <v>32132064</v>
      </c>
      <c r="I153" s="316">
        <f>Table5[[#This Row],[ÁREA]]</f>
        <v>1</v>
      </c>
      <c r="J153" s="317" t="s">
        <v>409</v>
      </c>
      <c r="K153" s="319" t="s">
        <v>410</v>
      </c>
      <c r="L153" s="318">
        <v>6</v>
      </c>
      <c r="M153" s="317" t="s">
        <v>397</v>
      </c>
      <c r="N153" s="318" t="s">
        <v>372</v>
      </c>
    </row>
    <row r="154" spans="2:14" ht="24.9" customHeight="1" x14ac:dyDescent="0.3">
      <c r="B154" s="311" t="s">
        <v>363</v>
      </c>
      <c r="C154" s="311">
        <v>1</v>
      </c>
      <c r="D154" s="318" t="s">
        <v>397</v>
      </c>
      <c r="E154" s="315">
        <v>32146001</v>
      </c>
      <c r="F154" s="327" t="s">
        <v>398</v>
      </c>
      <c r="G154" s="315" t="s">
        <v>411</v>
      </c>
      <c r="H154" s="316">
        <v>32197891</v>
      </c>
      <c r="I154" s="316">
        <v>1</v>
      </c>
      <c r="J154" s="317" t="s">
        <v>412</v>
      </c>
      <c r="K154" s="315" t="s">
        <v>413</v>
      </c>
      <c r="L154" s="318">
        <v>7</v>
      </c>
      <c r="M154" s="317" t="s">
        <v>397</v>
      </c>
      <c r="N154" s="318" t="s">
        <v>378</v>
      </c>
    </row>
    <row r="155" spans="2:14" ht="24.9" customHeight="1" x14ac:dyDescent="0.3">
      <c r="B155" s="311" t="s">
        <v>363</v>
      </c>
      <c r="C155" s="311">
        <v>2</v>
      </c>
      <c r="D155" s="318" t="s">
        <v>414</v>
      </c>
      <c r="E155" s="315">
        <v>32146001</v>
      </c>
      <c r="F155" s="327" t="s">
        <v>398</v>
      </c>
      <c r="G155" s="315" t="s">
        <v>399</v>
      </c>
      <c r="H155" s="316">
        <v>32044001</v>
      </c>
      <c r="I155" s="316">
        <f>Table5[[#This Row],[ÁREA]]</f>
        <v>2</v>
      </c>
      <c r="J155" s="317" t="s">
        <v>415</v>
      </c>
      <c r="K155" s="319" t="s">
        <v>416</v>
      </c>
      <c r="L155" s="318">
        <v>6</v>
      </c>
      <c r="M155" s="317" t="s">
        <v>414</v>
      </c>
      <c r="N155" s="318" t="s">
        <v>369</v>
      </c>
    </row>
    <row r="156" spans="2:14" ht="24.9" customHeight="1" x14ac:dyDescent="0.3">
      <c r="B156" s="311" t="s">
        <v>363</v>
      </c>
      <c r="C156" s="311">
        <v>2</v>
      </c>
      <c r="D156" s="318" t="s">
        <v>414</v>
      </c>
      <c r="E156" s="315">
        <v>32146001</v>
      </c>
      <c r="F156" s="327" t="s">
        <v>398</v>
      </c>
      <c r="G156" s="315" t="s">
        <v>399</v>
      </c>
      <c r="H156" s="316">
        <v>32198288</v>
      </c>
      <c r="I156" s="316">
        <f>Table5[[#This Row],[ÁREA]]</f>
        <v>2</v>
      </c>
      <c r="J156" s="317" t="s">
        <v>417</v>
      </c>
      <c r="K156" s="328" t="s">
        <v>61</v>
      </c>
      <c r="L156" s="318">
        <v>6</v>
      </c>
      <c r="M156" s="317" t="s">
        <v>414</v>
      </c>
      <c r="N156" s="318" t="s">
        <v>384</v>
      </c>
    </row>
    <row r="157" spans="2:14" ht="24.9" customHeight="1" x14ac:dyDescent="0.3">
      <c r="B157" s="311" t="s">
        <v>363</v>
      </c>
      <c r="C157" s="311">
        <v>2</v>
      </c>
      <c r="D157" s="318" t="s">
        <v>414</v>
      </c>
      <c r="E157" s="329">
        <v>32146001</v>
      </c>
      <c r="F157" s="321" t="s">
        <v>398</v>
      </c>
      <c r="G157" s="315" t="s">
        <v>399</v>
      </c>
      <c r="H157" s="316">
        <v>32046313</v>
      </c>
      <c r="I157" s="316">
        <f>Table5[[#This Row],[ÁREA]]</f>
        <v>2</v>
      </c>
      <c r="J157" s="317" t="s">
        <v>418</v>
      </c>
      <c r="K157" s="319" t="s">
        <v>419</v>
      </c>
      <c r="L157" s="318">
        <v>6</v>
      </c>
      <c r="M157" s="317" t="s">
        <v>414</v>
      </c>
      <c r="N157" s="313" t="s">
        <v>375</v>
      </c>
    </row>
    <row r="158" spans="2:14" ht="24.9" customHeight="1" x14ac:dyDescent="0.3">
      <c r="B158" s="311" t="s">
        <v>363</v>
      </c>
      <c r="C158" s="311">
        <v>2</v>
      </c>
      <c r="D158" s="318" t="s">
        <v>414</v>
      </c>
      <c r="E158" s="330">
        <v>32146001</v>
      </c>
      <c r="F158" s="314" t="s">
        <v>398</v>
      </c>
      <c r="G158" s="331" t="s">
        <v>399</v>
      </c>
      <c r="H158" s="316">
        <v>32046028</v>
      </c>
      <c r="I158" s="316">
        <f>Table5[[#This Row],[ÁREA]]</f>
        <v>2</v>
      </c>
      <c r="J158" s="317" t="s">
        <v>420</v>
      </c>
      <c r="K158" s="319" t="s">
        <v>421</v>
      </c>
      <c r="L158" s="318">
        <v>6</v>
      </c>
      <c r="M158" s="317" t="s">
        <v>414</v>
      </c>
      <c r="N158" s="313" t="s">
        <v>378</v>
      </c>
    </row>
    <row r="159" spans="2:14" ht="24.9" customHeight="1" x14ac:dyDescent="0.3">
      <c r="B159" s="311" t="s">
        <v>363</v>
      </c>
      <c r="C159" s="311">
        <v>2</v>
      </c>
      <c r="D159" s="318" t="s">
        <v>414</v>
      </c>
      <c r="E159" s="330">
        <v>32146001</v>
      </c>
      <c r="F159" s="314" t="s">
        <v>398</v>
      </c>
      <c r="G159" s="315" t="s">
        <v>399</v>
      </c>
      <c r="H159" s="316">
        <v>32060923</v>
      </c>
      <c r="I159" s="316">
        <f>Table5[[#This Row],[ÁREA]]</f>
        <v>2</v>
      </c>
      <c r="J159" s="317" t="s">
        <v>422</v>
      </c>
      <c r="K159" s="322" t="s">
        <v>423</v>
      </c>
      <c r="L159" s="318">
        <v>6</v>
      </c>
      <c r="M159" s="317" t="s">
        <v>414</v>
      </c>
      <c r="N159" s="313" t="s">
        <v>372</v>
      </c>
    </row>
    <row r="160" spans="2:14" ht="24.9" customHeight="1" x14ac:dyDescent="0.3">
      <c r="B160" s="311" t="s">
        <v>363</v>
      </c>
      <c r="C160" s="311">
        <v>2</v>
      </c>
      <c r="D160" s="318" t="s">
        <v>414</v>
      </c>
      <c r="E160" s="315">
        <v>32146001</v>
      </c>
      <c r="F160" s="315" t="s">
        <v>398</v>
      </c>
      <c r="G160" s="315" t="s">
        <v>399</v>
      </c>
      <c r="H160" s="316">
        <v>32046293</v>
      </c>
      <c r="I160" s="316">
        <f>Table5[[#This Row],[ÁREA]]</f>
        <v>2</v>
      </c>
      <c r="J160" s="317" t="s">
        <v>424</v>
      </c>
      <c r="K160" s="319" t="s">
        <v>425</v>
      </c>
      <c r="L160" s="318">
        <v>6</v>
      </c>
      <c r="M160" s="317" t="s">
        <v>414</v>
      </c>
      <c r="N160" s="313" t="s">
        <v>381</v>
      </c>
    </row>
    <row r="161" spans="2:14" ht="24.9" customHeight="1" x14ac:dyDescent="0.3">
      <c r="B161" s="332" t="s">
        <v>363</v>
      </c>
      <c r="C161" s="311">
        <v>2</v>
      </c>
      <c r="D161" s="318" t="s">
        <v>426</v>
      </c>
      <c r="E161" s="318">
        <v>32147380</v>
      </c>
      <c r="F161" s="333" t="s">
        <v>386</v>
      </c>
      <c r="G161" s="334" t="s">
        <v>51</v>
      </c>
      <c r="H161" s="335">
        <v>32044113</v>
      </c>
      <c r="I161" s="335">
        <f>Table5[[#This Row],[ÁREA]]</f>
        <v>2</v>
      </c>
      <c r="J161" s="317" t="s">
        <v>427</v>
      </c>
      <c r="K161" s="331" t="s">
        <v>428</v>
      </c>
      <c r="L161" s="318">
        <v>6</v>
      </c>
      <c r="M161" s="317" t="s">
        <v>426</v>
      </c>
      <c r="N161" s="312" t="s">
        <v>381</v>
      </c>
    </row>
    <row r="162" spans="2:14" ht="24.9" customHeight="1" x14ac:dyDescent="0.3">
      <c r="B162" s="311" t="s">
        <v>363</v>
      </c>
      <c r="C162" s="311">
        <v>2</v>
      </c>
      <c r="D162" s="318" t="s">
        <v>426</v>
      </c>
      <c r="E162" s="318">
        <v>32147380</v>
      </c>
      <c r="F162" s="333" t="s">
        <v>386</v>
      </c>
      <c r="G162" s="336"/>
      <c r="H162" s="335">
        <v>32143041</v>
      </c>
      <c r="I162" s="337">
        <v>2</v>
      </c>
      <c r="J162" s="317" t="s">
        <v>429</v>
      </c>
      <c r="K162" s="338"/>
      <c r="L162" s="318"/>
      <c r="M162" s="317" t="s">
        <v>426</v>
      </c>
      <c r="N162" s="312" t="s">
        <v>372</v>
      </c>
    </row>
    <row r="163" spans="2:14" ht="24.9" customHeight="1" x14ac:dyDescent="0.3">
      <c r="B163" s="311" t="s">
        <v>363</v>
      </c>
      <c r="C163" s="311">
        <v>2</v>
      </c>
      <c r="D163" s="318" t="s">
        <v>426</v>
      </c>
      <c r="E163" s="318">
        <v>32147380</v>
      </c>
      <c r="F163" s="333" t="s">
        <v>386</v>
      </c>
      <c r="G163" s="336"/>
      <c r="H163" s="316">
        <v>32148618</v>
      </c>
      <c r="I163" s="339">
        <v>2</v>
      </c>
      <c r="J163" s="317" t="s">
        <v>430</v>
      </c>
      <c r="K163" s="328"/>
      <c r="L163" s="318"/>
      <c r="M163" s="317" t="s">
        <v>426</v>
      </c>
      <c r="N163" s="313" t="s">
        <v>378</v>
      </c>
    </row>
    <row r="164" spans="2:14" ht="24.9" customHeight="1" x14ac:dyDescent="0.3">
      <c r="B164" s="311" t="s">
        <v>363</v>
      </c>
      <c r="C164" s="311">
        <v>2</v>
      </c>
      <c r="D164" s="318" t="s">
        <v>426</v>
      </c>
      <c r="E164" s="318">
        <v>32147380</v>
      </c>
      <c r="F164" s="333" t="s">
        <v>386</v>
      </c>
      <c r="G164" s="315" t="s">
        <v>51</v>
      </c>
      <c r="H164" s="316">
        <v>32044609</v>
      </c>
      <c r="I164" s="316">
        <f>Table5[[#This Row],[ÁREA]]</f>
        <v>2</v>
      </c>
      <c r="J164" s="317" t="s">
        <v>431</v>
      </c>
      <c r="K164" s="322" t="s">
        <v>432</v>
      </c>
      <c r="L164" s="318">
        <v>6</v>
      </c>
      <c r="M164" s="317" t="s">
        <v>426</v>
      </c>
      <c r="N164" s="313" t="s">
        <v>369</v>
      </c>
    </row>
    <row r="165" spans="2:14" ht="24.9" customHeight="1" x14ac:dyDescent="0.3">
      <c r="B165" s="311" t="s">
        <v>363</v>
      </c>
      <c r="C165" s="311">
        <v>2</v>
      </c>
      <c r="D165" s="318" t="s">
        <v>426</v>
      </c>
      <c r="E165" s="313">
        <v>32147380</v>
      </c>
      <c r="F165" s="323" t="s">
        <v>386</v>
      </c>
      <c r="G165" s="315" t="s">
        <v>51</v>
      </c>
      <c r="H165" s="316">
        <v>32188131</v>
      </c>
      <c r="I165" s="316">
        <f>Table5[[#This Row],[ÁREA]]</f>
        <v>2</v>
      </c>
      <c r="J165" s="317" t="s">
        <v>433</v>
      </c>
      <c r="K165" s="319" t="s">
        <v>434</v>
      </c>
      <c r="L165" s="318">
        <v>6</v>
      </c>
      <c r="M165" s="317" t="s">
        <v>426</v>
      </c>
      <c r="N165" s="313" t="s">
        <v>384</v>
      </c>
    </row>
    <row r="166" spans="2:14" ht="24.9" customHeight="1" x14ac:dyDescent="0.3">
      <c r="B166" s="311" t="s">
        <v>363</v>
      </c>
      <c r="C166" s="311">
        <v>2</v>
      </c>
      <c r="D166" s="318" t="s">
        <v>435</v>
      </c>
      <c r="E166" s="313">
        <v>32046689</v>
      </c>
      <c r="F166" s="314" t="s">
        <v>365</v>
      </c>
      <c r="G166" s="315" t="s">
        <v>366</v>
      </c>
      <c r="H166" s="316">
        <v>32046406</v>
      </c>
      <c r="I166" s="316">
        <f>Table5[[#This Row],[ÁREA]]</f>
        <v>2</v>
      </c>
      <c r="J166" s="317" t="s">
        <v>436</v>
      </c>
      <c r="K166" s="322" t="s">
        <v>437</v>
      </c>
      <c r="L166" s="318">
        <v>6</v>
      </c>
      <c r="M166" s="317" t="s">
        <v>435</v>
      </c>
      <c r="N166" s="313" t="s">
        <v>384</v>
      </c>
    </row>
    <row r="167" spans="2:14" ht="24.9" customHeight="1" x14ac:dyDescent="0.3">
      <c r="B167" s="311" t="s">
        <v>363</v>
      </c>
      <c r="C167" s="311">
        <v>2</v>
      </c>
      <c r="D167" s="318" t="s">
        <v>435</v>
      </c>
      <c r="E167" s="313">
        <v>32046689</v>
      </c>
      <c r="F167" s="314" t="s">
        <v>365</v>
      </c>
      <c r="G167" s="315" t="s">
        <v>366</v>
      </c>
      <c r="H167" s="316">
        <v>32131821</v>
      </c>
      <c r="I167" s="316">
        <f>Table5[[#This Row],[ÁREA]]</f>
        <v>2</v>
      </c>
      <c r="J167" s="317" t="s">
        <v>438</v>
      </c>
      <c r="K167" s="319" t="s">
        <v>439</v>
      </c>
      <c r="L167" s="318">
        <v>6</v>
      </c>
      <c r="M167" s="317" t="s">
        <v>435</v>
      </c>
      <c r="N167" s="313" t="s">
        <v>378</v>
      </c>
    </row>
    <row r="168" spans="2:14" ht="24.9" customHeight="1" x14ac:dyDescent="0.3">
      <c r="B168" s="311" t="s">
        <v>363</v>
      </c>
      <c r="C168" s="311">
        <v>2</v>
      </c>
      <c r="D168" s="318" t="s">
        <v>435</v>
      </c>
      <c r="E168" s="320">
        <v>32046689</v>
      </c>
      <c r="F168" s="321" t="s">
        <v>365</v>
      </c>
      <c r="G168" s="315" t="s">
        <v>366</v>
      </c>
      <c r="H168" s="316">
        <v>32044448</v>
      </c>
      <c r="I168" s="316">
        <f>Table5[[#This Row],[ÁREA]]</f>
        <v>2</v>
      </c>
      <c r="J168" s="317" t="s">
        <v>440</v>
      </c>
      <c r="K168" s="319" t="s">
        <v>441</v>
      </c>
      <c r="L168" s="318">
        <v>6</v>
      </c>
      <c r="M168" s="317" t="s">
        <v>435</v>
      </c>
      <c r="N168" s="313" t="s">
        <v>375</v>
      </c>
    </row>
    <row r="169" spans="2:14" ht="24.9" customHeight="1" x14ac:dyDescent="0.3">
      <c r="B169" s="311" t="s">
        <v>363</v>
      </c>
      <c r="C169" s="311">
        <v>2</v>
      </c>
      <c r="D169" s="318" t="s">
        <v>435</v>
      </c>
      <c r="E169" s="340">
        <v>32046689</v>
      </c>
      <c r="F169" s="341" t="s">
        <v>365</v>
      </c>
      <c r="G169" s="331" t="s">
        <v>366</v>
      </c>
      <c r="H169" s="316">
        <v>32155897</v>
      </c>
      <c r="I169" s="316">
        <f>Table5[[#This Row],[ÁREA]]</f>
        <v>2</v>
      </c>
      <c r="J169" s="317" t="s">
        <v>442</v>
      </c>
      <c r="K169" s="319" t="s">
        <v>443</v>
      </c>
      <c r="L169" s="318">
        <v>6</v>
      </c>
      <c r="M169" s="317" t="s">
        <v>435</v>
      </c>
      <c r="N169" s="313" t="s">
        <v>444</v>
      </c>
    </row>
    <row r="170" spans="2:14" ht="24.9" customHeight="1" x14ac:dyDescent="0.3">
      <c r="B170" s="311" t="s">
        <v>363</v>
      </c>
      <c r="C170" s="311">
        <v>2</v>
      </c>
      <c r="D170" s="318" t="s">
        <v>435</v>
      </c>
      <c r="E170" s="313">
        <v>32046689</v>
      </c>
      <c r="F170" s="314" t="s">
        <v>365</v>
      </c>
      <c r="G170" s="315" t="s">
        <v>366</v>
      </c>
      <c r="H170" s="316">
        <v>32198267</v>
      </c>
      <c r="I170" s="316">
        <f>Table5[[#This Row],[ÁREA]]</f>
        <v>2</v>
      </c>
      <c r="J170" s="317" t="s">
        <v>445</v>
      </c>
      <c r="K170" s="319" t="s">
        <v>446</v>
      </c>
      <c r="L170" s="318">
        <v>6</v>
      </c>
      <c r="M170" s="317" t="s">
        <v>435</v>
      </c>
      <c r="N170" s="313" t="s">
        <v>447</v>
      </c>
    </row>
    <row r="171" spans="2:14" ht="24.9" customHeight="1" x14ac:dyDescent="0.3">
      <c r="B171" s="311" t="s">
        <v>363</v>
      </c>
      <c r="C171" s="311">
        <v>3</v>
      </c>
      <c r="D171" s="318" t="s">
        <v>448</v>
      </c>
      <c r="E171" s="313">
        <v>32174381</v>
      </c>
      <c r="F171" s="323" t="s">
        <v>449</v>
      </c>
      <c r="G171" s="334" t="s">
        <v>450</v>
      </c>
      <c r="H171" s="316">
        <v>32046634</v>
      </c>
      <c r="I171" s="316">
        <f>Table5[[#This Row],[ÁREA]]</f>
        <v>3</v>
      </c>
      <c r="J171" s="317" t="s">
        <v>451</v>
      </c>
      <c r="K171" s="319" t="s">
        <v>452</v>
      </c>
      <c r="L171" s="318">
        <v>9</v>
      </c>
      <c r="M171" s="317" t="s">
        <v>448</v>
      </c>
      <c r="N171" s="313" t="s">
        <v>453</v>
      </c>
    </row>
    <row r="172" spans="2:14" ht="24.9" customHeight="1" x14ac:dyDescent="0.3">
      <c r="B172" s="311" t="s">
        <v>363</v>
      </c>
      <c r="C172" s="311">
        <v>3</v>
      </c>
      <c r="D172" s="318" t="s">
        <v>448</v>
      </c>
      <c r="E172" s="313">
        <v>32174381</v>
      </c>
      <c r="F172" s="323" t="s">
        <v>449</v>
      </c>
      <c r="G172" s="315" t="s">
        <v>450</v>
      </c>
      <c r="H172" s="316">
        <v>32198303</v>
      </c>
      <c r="I172" s="316">
        <f>Table5[[#This Row],[ÁREA]]</f>
        <v>3</v>
      </c>
      <c r="J172" s="317" t="s">
        <v>454</v>
      </c>
      <c r="K172" s="322" t="s">
        <v>455</v>
      </c>
      <c r="L172" s="318">
        <v>9</v>
      </c>
      <c r="M172" s="317" t="s">
        <v>448</v>
      </c>
      <c r="N172" s="313" t="s">
        <v>456</v>
      </c>
    </row>
    <row r="173" spans="2:14" ht="24.9" customHeight="1" x14ac:dyDescent="0.3">
      <c r="B173" s="311" t="s">
        <v>363</v>
      </c>
      <c r="C173" s="311">
        <v>3</v>
      </c>
      <c r="D173" s="318" t="s">
        <v>448</v>
      </c>
      <c r="E173" s="318">
        <v>32174381</v>
      </c>
      <c r="F173" s="326" t="s">
        <v>449</v>
      </c>
      <c r="G173" s="331" t="s">
        <v>450</v>
      </c>
      <c r="H173" s="316">
        <v>32045522</v>
      </c>
      <c r="I173" s="316">
        <f>Table5[[#This Row],[ÁREA]]</f>
        <v>3</v>
      </c>
      <c r="J173" s="317" t="s">
        <v>457</v>
      </c>
      <c r="K173" s="319" t="s">
        <v>458</v>
      </c>
      <c r="L173" s="318">
        <v>9</v>
      </c>
      <c r="M173" s="317" t="s">
        <v>448</v>
      </c>
      <c r="N173" s="318" t="s">
        <v>447</v>
      </c>
    </row>
    <row r="174" spans="2:14" ht="24.9" customHeight="1" x14ac:dyDescent="0.3">
      <c r="B174" s="311" t="s">
        <v>363</v>
      </c>
      <c r="C174" s="311">
        <v>3</v>
      </c>
      <c r="D174" s="318" t="s">
        <v>448</v>
      </c>
      <c r="E174" s="318">
        <v>32174381</v>
      </c>
      <c r="F174" s="326" t="s">
        <v>449</v>
      </c>
      <c r="G174" s="315" t="s">
        <v>450</v>
      </c>
      <c r="H174" s="316">
        <v>32044830</v>
      </c>
      <c r="I174" s="316">
        <f>Table5[[#This Row],[ÁREA]]</f>
        <v>3</v>
      </c>
      <c r="J174" s="317" t="s">
        <v>459</v>
      </c>
      <c r="K174" s="319" t="s">
        <v>460</v>
      </c>
      <c r="L174" s="318">
        <v>9</v>
      </c>
      <c r="M174" s="317" t="s">
        <v>448</v>
      </c>
      <c r="N174" s="318" t="s">
        <v>461</v>
      </c>
    </row>
    <row r="175" spans="2:14" ht="24.9" customHeight="1" x14ac:dyDescent="0.3">
      <c r="B175" s="311" t="s">
        <v>363</v>
      </c>
      <c r="C175" s="311">
        <v>3</v>
      </c>
      <c r="D175" s="318" t="s">
        <v>448</v>
      </c>
      <c r="E175" s="320">
        <v>32174381</v>
      </c>
      <c r="F175" s="324" t="s">
        <v>449</v>
      </c>
      <c r="G175" s="334" t="s">
        <v>450</v>
      </c>
      <c r="H175" s="316">
        <v>32132584</v>
      </c>
      <c r="I175" s="316">
        <f>Table5[[#This Row],[ÁREA]]</f>
        <v>3</v>
      </c>
      <c r="J175" s="317" t="s">
        <v>462</v>
      </c>
      <c r="K175" s="322" t="s">
        <v>463</v>
      </c>
      <c r="L175" s="318">
        <v>9</v>
      </c>
      <c r="M175" s="317" t="s">
        <v>448</v>
      </c>
      <c r="N175" s="318" t="s">
        <v>464</v>
      </c>
    </row>
    <row r="176" spans="2:14" ht="24.9" customHeight="1" x14ac:dyDescent="0.3">
      <c r="B176" s="311" t="s">
        <v>363</v>
      </c>
      <c r="C176" s="311">
        <v>3</v>
      </c>
      <c r="D176" s="318" t="s">
        <v>448</v>
      </c>
      <c r="E176" s="318">
        <v>32174381</v>
      </c>
      <c r="F176" s="326" t="s">
        <v>449</v>
      </c>
      <c r="G176" s="315" t="s">
        <v>450</v>
      </c>
      <c r="H176" s="316">
        <v>32065049</v>
      </c>
      <c r="I176" s="316">
        <f>Table5[[#This Row],[ÁREA]]</f>
        <v>3</v>
      </c>
      <c r="J176" s="317" t="s">
        <v>465</v>
      </c>
      <c r="K176" s="342" t="s">
        <v>466</v>
      </c>
      <c r="L176" s="318">
        <v>9</v>
      </c>
      <c r="M176" s="317" t="s">
        <v>448</v>
      </c>
      <c r="N176" s="318" t="s">
        <v>467</v>
      </c>
    </row>
    <row r="177" spans="2:14" ht="24.9" customHeight="1" x14ac:dyDescent="0.3">
      <c r="B177" s="311" t="s">
        <v>363</v>
      </c>
      <c r="C177" s="311">
        <v>3</v>
      </c>
      <c r="D177" s="318" t="s">
        <v>448</v>
      </c>
      <c r="E177" s="340">
        <v>32174381</v>
      </c>
      <c r="F177" s="343" t="s">
        <v>449</v>
      </c>
      <c r="G177" s="315" t="s">
        <v>450</v>
      </c>
      <c r="H177" s="316">
        <v>32143282</v>
      </c>
      <c r="I177" s="316">
        <f>Table5[[#This Row],[ÁREA]]</f>
        <v>3</v>
      </c>
      <c r="J177" s="317" t="s">
        <v>468</v>
      </c>
      <c r="K177" s="342" t="s">
        <v>469</v>
      </c>
      <c r="L177" s="318">
        <v>9</v>
      </c>
      <c r="M177" s="317" t="s">
        <v>448</v>
      </c>
      <c r="N177" s="318" t="s">
        <v>470</v>
      </c>
    </row>
    <row r="178" spans="2:14" ht="24.9" customHeight="1" x14ac:dyDescent="0.3">
      <c r="B178" s="311" t="s">
        <v>363</v>
      </c>
      <c r="C178" s="311">
        <v>3</v>
      </c>
      <c r="D178" s="318" t="s">
        <v>448</v>
      </c>
      <c r="E178" s="340">
        <v>32174381</v>
      </c>
      <c r="F178" s="343" t="s">
        <v>449</v>
      </c>
      <c r="G178" s="325" t="s">
        <v>450</v>
      </c>
      <c r="H178" s="316">
        <v>32046025</v>
      </c>
      <c r="I178" s="316">
        <f>Table5[[#This Row],[ÁREA]]</f>
        <v>3</v>
      </c>
      <c r="J178" s="317" t="s">
        <v>471</v>
      </c>
      <c r="K178" s="322" t="s">
        <v>472</v>
      </c>
      <c r="L178" s="318">
        <v>9</v>
      </c>
      <c r="M178" s="317" t="s">
        <v>448</v>
      </c>
      <c r="N178" s="318" t="s">
        <v>473</v>
      </c>
    </row>
    <row r="179" spans="2:14" ht="24.9" customHeight="1" x14ac:dyDescent="0.3">
      <c r="B179" s="311" t="s">
        <v>363</v>
      </c>
      <c r="C179" s="311">
        <v>3</v>
      </c>
      <c r="D179" s="318" t="s">
        <v>474</v>
      </c>
      <c r="E179" s="320">
        <v>32203898</v>
      </c>
      <c r="F179" s="324" t="s">
        <v>475</v>
      </c>
      <c r="G179" s="315" t="s">
        <v>476</v>
      </c>
      <c r="H179" s="316">
        <v>32202296</v>
      </c>
      <c r="I179" s="316">
        <f>Table5[[#This Row],[ÁREA]]</f>
        <v>3</v>
      </c>
      <c r="J179" s="317" t="s">
        <v>477</v>
      </c>
      <c r="K179" s="322" t="s">
        <v>478</v>
      </c>
      <c r="L179" s="318">
        <v>9</v>
      </c>
      <c r="M179" s="317" t="s">
        <v>474</v>
      </c>
      <c r="N179" s="318" t="s">
        <v>447</v>
      </c>
    </row>
    <row r="180" spans="2:14" ht="24.9" customHeight="1" x14ac:dyDescent="0.3">
      <c r="B180" s="311" t="s">
        <v>363</v>
      </c>
      <c r="C180" s="311">
        <v>3</v>
      </c>
      <c r="D180" s="318" t="s">
        <v>474</v>
      </c>
      <c r="E180" s="318">
        <v>32203898</v>
      </c>
      <c r="F180" s="326" t="s">
        <v>475</v>
      </c>
      <c r="G180" s="315" t="s">
        <v>476</v>
      </c>
      <c r="H180" s="316">
        <v>32198295</v>
      </c>
      <c r="I180" s="316">
        <f>Table5[[#This Row],[ÁREA]]</f>
        <v>3</v>
      </c>
      <c r="J180" s="317" t="s">
        <v>479</v>
      </c>
      <c r="K180" s="342" t="s">
        <v>480</v>
      </c>
      <c r="L180" s="318">
        <v>9</v>
      </c>
      <c r="M180" s="317" t="s">
        <v>474</v>
      </c>
      <c r="N180" s="318" t="s">
        <v>481</v>
      </c>
    </row>
    <row r="181" spans="2:14" ht="24.9" customHeight="1" x14ac:dyDescent="0.3">
      <c r="B181" s="311" t="s">
        <v>363</v>
      </c>
      <c r="C181" s="311">
        <v>3</v>
      </c>
      <c r="D181" s="318" t="s">
        <v>474</v>
      </c>
      <c r="E181" s="318">
        <v>32203898</v>
      </c>
      <c r="F181" s="326" t="s">
        <v>475</v>
      </c>
      <c r="G181" s="315" t="s">
        <v>476</v>
      </c>
      <c r="H181" s="316">
        <v>32045487</v>
      </c>
      <c r="I181" s="316">
        <f>Table5[[#This Row],[ÁREA]]</f>
        <v>3</v>
      </c>
      <c r="J181" s="317" t="s">
        <v>482</v>
      </c>
      <c r="K181" s="322" t="s">
        <v>483</v>
      </c>
      <c r="L181" s="318">
        <v>9</v>
      </c>
      <c r="M181" s="317" t="s">
        <v>474</v>
      </c>
      <c r="N181" s="318" t="s">
        <v>464</v>
      </c>
    </row>
    <row r="182" spans="2:14" ht="24.9" customHeight="1" x14ac:dyDescent="0.3">
      <c r="B182" s="311" t="s">
        <v>363</v>
      </c>
      <c r="C182" s="311">
        <v>3</v>
      </c>
      <c r="D182" s="318" t="s">
        <v>474</v>
      </c>
      <c r="E182" s="318">
        <v>32203898</v>
      </c>
      <c r="F182" s="326" t="s">
        <v>475</v>
      </c>
      <c r="G182" s="331" t="s">
        <v>476</v>
      </c>
      <c r="H182" s="316">
        <v>32045727</v>
      </c>
      <c r="I182" s="316">
        <f>Table5[[#This Row],[ÁREA]]</f>
        <v>3</v>
      </c>
      <c r="J182" s="317" t="s">
        <v>484</v>
      </c>
      <c r="K182" s="322" t="s">
        <v>485</v>
      </c>
      <c r="L182" s="318">
        <v>9</v>
      </c>
      <c r="M182" s="317" t="s">
        <v>474</v>
      </c>
      <c r="N182" s="318" t="s">
        <v>453</v>
      </c>
    </row>
    <row r="183" spans="2:14" ht="24.9" customHeight="1" x14ac:dyDescent="0.3">
      <c r="B183" s="311" t="s">
        <v>363</v>
      </c>
      <c r="C183" s="311">
        <v>3</v>
      </c>
      <c r="D183" s="318" t="s">
        <v>474</v>
      </c>
      <c r="E183" s="318">
        <v>32203898</v>
      </c>
      <c r="F183" s="326" t="s">
        <v>475</v>
      </c>
      <c r="G183" s="315" t="s">
        <v>476</v>
      </c>
      <c r="H183" s="316">
        <v>32044673</v>
      </c>
      <c r="I183" s="316">
        <f>Table5[[#This Row],[ÁREA]]</f>
        <v>3</v>
      </c>
      <c r="J183" s="317" t="s">
        <v>486</v>
      </c>
      <c r="K183" s="342" t="s">
        <v>487</v>
      </c>
      <c r="L183" s="318">
        <v>9</v>
      </c>
      <c r="M183" s="317" t="s">
        <v>474</v>
      </c>
      <c r="N183" s="318" t="s">
        <v>467</v>
      </c>
    </row>
    <row r="184" spans="2:14" ht="24.9" customHeight="1" x14ac:dyDescent="0.3">
      <c r="B184" s="311" t="s">
        <v>363</v>
      </c>
      <c r="C184" s="311">
        <v>3</v>
      </c>
      <c r="D184" s="318" t="s">
        <v>474</v>
      </c>
      <c r="E184" s="318">
        <v>32203898</v>
      </c>
      <c r="F184" s="326" t="s">
        <v>475</v>
      </c>
      <c r="G184" s="315" t="s">
        <v>476</v>
      </c>
      <c r="H184" s="316">
        <v>32198280</v>
      </c>
      <c r="I184" s="316">
        <f>Table5[[#This Row],[ÁREA]]</f>
        <v>3</v>
      </c>
      <c r="J184" s="317" t="s">
        <v>488</v>
      </c>
      <c r="K184" s="322" t="s">
        <v>489</v>
      </c>
      <c r="L184" s="318">
        <v>9</v>
      </c>
      <c r="M184" s="317" t="s">
        <v>474</v>
      </c>
      <c r="N184" s="318" t="s">
        <v>470</v>
      </c>
    </row>
    <row r="185" spans="2:14" ht="24.9" customHeight="1" x14ac:dyDescent="0.3">
      <c r="B185" s="311" t="s">
        <v>363</v>
      </c>
      <c r="C185" s="311">
        <v>3</v>
      </c>
      <c r="D185" s="318" t="s">
        <v>474</v>
      </c>
      <c r="E185" s="320">
        <v>32203898</v>
      </c>
      <c r="F185" s="324" t="s">
        <v>475</v>
      </c>
      <c r="G185" s="334" t="s">
        <v>476</v>
      </c>
      <c r="H185" s="316">
        <v>32132577</v>
      </c>
      <c r="I185" s="316">
        <f>Table5[[#This Row],[ÁREA]]</f>
        <v>3</v>
      </c>
      <c r="J185" s="317" t="s">
        <v>490</v>
      </c>
      <c r="K185" s="322" t="s">
        <v>491</v>
      </c>
      <c r="L185" s="318">
        <v>9</v>
      </c>
      <c r="M185" s="317" t="s">
        <v>474</v>
      </c>
      <c r="N185" s="318" t="s">
        <v>473</v>
      </c>
    </row>
    <row r="186" spans="2:14" ht="24.9" customHeight="1" x14ac:dyDescent="0.3">
      <c r="B186" s="311" t="s">
        <v>363</v>
      </c>
      <c r="C186" s="311">
        <v>3</v>
      </c>
      <c r="D186" s="318" t="s">
        <v>474</v>
      </c>
      <c r="E186" s="318">
        <v>32203898</v>
      </c>
      <c r="F186" s="326" t="s">
        <v>475</v>
      </c>
      <c r="G186" s="325" t="s">
        <v>476</v>
      </c>
      <c r="H186" s="316">
        <v>32066826</v>
      </c>
      <c r="I186" s="316">
        <f>Table5[[#This Row],[ÁREA]]</f>
        <v>3</v>
      </c>
      <c r="J186" s="317" t="s">
        <v>492</v>
      </c>
      <c r="K186" s="322" t="s">
        <v>493</v>
      </c>
      <c r="L186" s="318">
        <v>9</v>
      </c>
      <c r="M186" s="317" t="s">
        <v>474</v>
      </c>
      <c r="N186" s="318" t="s">
        <v>456</v>
      </c>
    </row>
    <row r="187" spans="2:14" ht="24.9" customHeight="1" x14ac:dyDescent="0.3">
      <c r="B187" s="311" t="s">
        <v>363</v>
      </c>
      <c r="C187" s="311">
        <v>3</v>
      </c>
      <c r="D187" s="317" t="s">
        <v>494</v>
      </c>
      <c r="E187" s="340">
        <v>32149965</v>
      </c>
      <c r="F187" s="343" t="s">
        <v>495</v>
      </c>
      <c r="G187" s="315" t="s">
        <v>496</v>
      </c>
      <c r="H187" s="316">
        <v>32043938</v>
      </c>
      <c r="I187" s="316">
        <f>Table5[[#This Row],[ÁREA]]</f>
        <v>3</v>
      </c>
      <c r="J187" s="317" t="s">
        <v>497</v>
      </c>
      <c r="K187" s="322" t="s">
        <v>498</v>
      </c>
      <c r="L187" s="318">
        <v>9</v>
      </c>
      <c r="M187" s="317" t="s">
        <v>494</v>
      </c>
      <c r="N187" s="318" t="s">
        <v>499</v>
      </c>
    </row>
    <row r="188" spans="2:14" ht="24.9" customHeight="1" x14ac:dyDescent="0.3">
      <c r="B188" s="311" t="s">
        <v>363</v>
      </c>
      <c r="C188" s="311">
        <v>3</v>
      </c>
      <c r="D188" s="317" t="s">
        <v>494</v>
      </c>
      <c r="E188" s="320">
        <v>32149965</v>
      </c>
      <c r="F188" s="324" t="s">
        <v>495</v>
      </c>
      <c r="G188" s="334" t="s">
        <v>496</v>
      </c>
      <c r="H188" s="316">
        <v>32198302</v>
      </c>
      <c r="I188" s="316">
        <f>Table5[[#This Row],[ÁREA]]</f>
        <v>3</v>
      </c>
      <c r="J188" s="317" t="s">
        <v>500</v>
      </c>
      <c r="K188" s="315" t="s">
        <v>501</v>
      </c>
      <c r="L188" s="318">
        <v>9</v>
      </c>
      <c r="M188" s="317" t="s">
        <v>494</v>
      </c>
      <c r="N188" s="318" t="s">
        <v>464</v>
      </c>
    </row>
    <row r="189" spans="2:14" ht="24.9" customHeight="1" x14ac:dyDescent="0.3">
      <c r="B189" s="311" t="s">
        <v>363</v>
      </c>
      <c r="C189" s="311">
        <v>3</v>
      </c>
      <c r="D189" s="317" t="s">
        <v>494</v>
      </c>
      <c r="E189" s="320">
        <v>32149965</v>
      </c>
      <c r="F189" s="324" t="s">
        <v>495</v>
      </c>
      <c r="G189" s="334" t="s">
        <v>496</v>
      </c>
      <c r="H189" s="316">
        <v>32198296</v>
      </c>
      <c r="I189" s="316">
        <f>Table5[[#This Row],[ÁREA]]</f>
        <v>3</v>
      </c>
      <c r="J189" s="317" t="s">
        <v>502</v>
      </c>
      <c r="K189" s="322" t="s">
        <v>503</v>
      </c>
      <c r="L189" s="318">
        <v>9</v>
      </c>
      <c r="M189" s="317" t="s">
        <v>494</v>
      </c>
      <c r="N189" s="318" t="s">
        <v>473</v>
      </c>
    </row>
    <row r="190" spans="2:14" ht="24.9" customHeight="1" x14ac:dyDescent="0.3">
      <c r="B190" s="311" t="s">
        <v>363</v>
      </c>
      <c r="C190" s="311">
        <v>3</v>
      </c>
      <c r="D190" s="317" t="s">
        <v>494</v>
      </c>
      <c r="E190" s="340">
        <v>32149965</v>
      </c>
      <c r="F190" s="343" t="s">
        <v>495</v>
      </c>
      <c r="G190" s="331" t="s">
        <v>496</v>
      </c>
      <c r="H190" s="316">
        <v>32198290</v>
      </c>
      <c r="I190" s="316">
        <f>Table5[[#This Row],[ÁREA]]</f>
        <v>3</v>
      </c>
      <c r="J190" s="317" t="s">
        <v>504</v>
      </c>
      <c r="K190" s="319" t="s">
        <v>505</v>
      </c>
      <c r="L190" s="318">
        <v>9</v>
      </c>
      <c r="M190" s="317" t="s">
        <v>494</v>
      </c>
      <c r="N190" s="318" t="s">
        <v>470</v>
      </c>
    </row>
    <row r="191" spans="2:14" ht="24.9" customHeight="1" x14ac:dyDescent="0.3">
      <c r="B191" s="311" t="s">
        <v>363</v>
      </c>
      <c r="C191" s="311">
        <v>3</v>
      </c>
      <c r="D191" s="317" t="s">
        <v>494</v>
      </c>
      <c r="E191" s="320">
        <v>32149965</v>
      </c>
      <c r="F191" s="324" t="s">
        <v>495</v>
      </c>
      <c r="G191" s="315" t="s">
        <v>496</v>
      </c>
      <c r="H191" s="316">
        <v>32044283</v>
      </c>
      <c r="I191" s="316">
        <f>Table5[[#This Row],[ÁREA]]</f>
        <v>3</v>
      </c>
      <c r="J191" s="317" t="s">
        <v>506</v>
      </c>
      <c r="K191" s="328" t="s">
        <v>61</v>
      </c>
      <c r="L191" s="318">
        <v>9</v>
      </c>
      <c r="M191" s="317" t="s">
        <v>494</v>
      </c>
      <c r="N191" s="318" t="s">
        <v>456</v>
      </c>
    </row>
    <row r="192" spans="2:14" ht="24.9" customHeight="1" x14ac:dyDescent="0.3">
      <c r="B192" s="311" t="s">
        <v>363</v>
      </c>
      <c r="C192" s="311">
        <v>3</v>
      </c>
      <c r="D192" s="317" t="s">
        <v>494</v>
      </c>
      <c r="E192" s="318">
        <v>32149965</v>
      </c>
      <c r="F192" s="326" t="s">
        <v>495</v>
      </c>
      <c r="G192" s="334" t="s">
        <v>496</v>
      </c>
      <c r="H192" s="316">
        <v>32045054</v>
      </c>
      <c r="I192" s="316">
        <f>Table5[[#This Row],[ÁREA]]</f>
        <v>3</v>
      </c>
      <c r="J192" s="317" t="s">
        <v>507</v>
      </c>
      <c r="K192" s="322" t="s">
        <v>508</v>
      </c>
      <c r="L192" s="318">
        <v>9</v>
      </c>
      <c r="M192" s="317" t="s">
        <v>494</v>
      </c>
      <c r="N192" s="318" t="s">
        <v>453</v>
      </c>
    </row>
    <row r="193" spans="2:14" ht="24.9" customHeight="1" x14ac:dyDescent="0.3">
      <c r="B193" s="311" t="s">
        <v>363</v>
      </c>
      <c r="C193" s="311">
        <v>3</v>
      </c>
      <c r="D193" s="317" t="s">
        <v>494</v>
      </c>
      <c r="E193" s="320">
        <v>32149965</v>
      </c>
      <c r="F193" s="324" t="s">
        <v>495</v>
      </c>
      <c r="G193" s="315" t="s">
        <v>496</v>
      </c>
      <c r="H193" s="316">
        <v>32150512</v>
      </c>
      <c r="I193" s="316">
        <f>Table5[[#This Row],[ÁREA]]</f>
        <v>3</v>
      </c>
      <c r="J193" s="317" t="s">
        <v>509</v>
      </c>
      <c r="K193" s="322" t="s">
        <v>510</v>
      </c>
      <c r="L193" s="318">
        <v>9</v>
      </c>
      <c r="M193" s="317" t="s">
        <v>494</v>
      </c>
      <c r="N193" s="318" t="s">
        <v>511</v>
      </c>
    </row>
    <row r="194" spans="2:14" ht="24.9" customHeight="1" x14ac:dyDescent="0.3">
      <c r="B194" s="311" t="s">
        <v>363</v>
      </c>
      <c r="C194" s="311">
        <v>3</v>
      </c>
      <c r="D194" s="317" t="s">
        <v>494</v>
      </c>
      <c r="E194" s="318">
        <v>32149965</v>
      </c>
      <c r="F194" s="326" t="s">
        <v>495</v>
      </c>
      <c r="G194" s="315" t="s">
        <v>496</v>
      </c>
      <c r="H194" s="316">
        <v>32044951</v>
      </c>
      <c r="I194" s="316">
        <f>Table5[[#This Row],[ÁREA]]</f>
        <v>3</v>
      </c>
      <c r="J194" s="317" t="s">
        <v>512</v>
      </c>
      <c r="K194" s="322" t="s">
        <v>513</v>
      </c>
      <c r="L194" s="318">
        <v>9</v>
      </c>
      <c r="M194" s="317" t="s">
        <v>494</v>
      </c>
      <c r="N194" s="318" t="s">
        <v>447</v>
      </c>
    </row>
    <row r="195" spans="2:14" ht="24.9" customHeight="1" x14ac:dyDescent="0.3">
      <c r="B195" s="332" t="s">
        <v>363</v>
      </c>
      <c r="C195" s="311">
        <v>4</v>
      </c>
      <c r="D195" s="318" t="s">
        <v>514</v>
      </c>
      <c r="E195" s="320">
        <v>32148105</v>
      </c>
      <c r="F195" s="324" t="s">
        <v>515</v>
      </c>
      <c r="G195" s="315" t="s">
        <v>516</v>
      </c>
      <c r="H195" s="344">
        <v>32044684</v>
      </c>
      <c r="I195" s="344">
        <f>Table5[[#This Row],[ÁREA]]</f>
        <v>4</v>
      </c>
      <c r="J195" s="345" t="s">
        <v>517</v>
      </c>
      <c r="K195" s="328" t="s">
        <v>518</v>
      </c>
      <c r="L195" s="318">
        <v>13</v>
      </c>
      <c r="M195" s="317" t="s">
        <v>514</v>
      </c>
      <c r="N195" s="318" t="s">
        <v>519</v>
      </c>
    </row>
    <row r="196" spans="2:14" ht="24.9" customHeight="1" x14ac:dyDescent="0.3">
      <c r="B196" s="332" t="s">
        <v>363</v>
      </c>
      <c r="C196" s="311">
        <v>4</v>
      </c>
      <c r="D196" s="346" t="s">
        <v>514</v>
      </c>
      <c r="E196" s="320">
        <v>32148105</v>
      </c>
      <c r="F196" s="324" t="s">
        <v>515</v>
      </c>
      <c r="G196" s="315" t="s">
        <v>520</v>
      </c>
      <c r="H196" s="344">
        <v>32044737</v>
      </c>
      <c r="I196" s="344">
        <f>Table5[[#This Row],[ÁREA]]</f>
        <v>4</v>
      </c>
      <c r="J196" s="345" t="s">
        <v>521</v>
      </c>
      <c r="K196" s="328" t="s">
        <v>61</v>
      </c>
      <c r="L196" s="318">
        <v>15</v>
      </c>
      <c r="M196" s="317" t="s">
        <v>514</v>
      </c>
      <c r="N196" s="312" t="s">
        <v>522</v>
      </c>
    </row>
    <row r="197" spans="2:14" ht="24.9" customHeight="1" x14ac:dyDescent="0.3">
      <c r="B197" s="332" t="s">
        <v>363</v>
      </c>
      <c r="C197" s="311">
        <v>4</v>
      </c>
      <c r="D197" s="346" t="s">
        <v>514</v>
      </c>
      <c r="E197" s="318">
        <v>32148105</v>
      </c>
      <c r="F197" s="326" t="s">
        <v>515</v>
      </c>
      <c r="G197" s="315" t="s">
        <v>520</v>
      </c>
      <c r="H197" s="344">
        <v>32045356</v>
      </c>
      <c r="I197" s="344">
        <f>Table5[[#This Row],[ÁREA]]</f>
        <v>4</v>
      </c>
      <c r="J197" s="345" t="s">
        <v>523</v>
      </c>
      <c r="K197" s="319" t="s">
        <v>524</v>
      </c>
      <c r="L197" s="318">
        <v>15</v>
      </c>
      <c r="M197" s="317" t="s">
        <v>514</v>
      </c>
      <c r="N197" s="312" t="s">
        <v>525</v>
      </c>
    </row>
    <row r="198" spans="2:14" ht="24.9" customHeight="1" x14ac:dyDescent="0.3">
      <c r="B198" s="332" t="s">
        <v>363</v>
      </c>
      <c r="C198" s="311">
        <v>4</v>
      </c>
      <c r="D198" s="346" t="s">
        <v>514</v>
      </c>
      <c r="E198" s="320">
        <v>32148105</v>
      </c>
      <c r="F198" s="324" t="s">
        <v>515</v>
      </c>
      <c r="G198" s="315" t="s">
        <v>520</v>
      </c>
      <c r="H198" s="344">
        <v>32045654</v>
      </c>
      <c r="I198" s="344">
        <f>Table5[[#This Row],[ÁREA]]</f>
        <v>4</v>
      </c>
      <c r="J198" s="345" t="s">
        <v>526</v>
      </c>
      <c r="K198" s="319" t="s">
        <v>527</v>
      </c>
      <c r="L198" s="318">
        <v>15</v>
      </c>
      <c r="M198" s="317" t="s">
        <v>514</v>
      </c>
      <c r="N198" s="312" t="s">
        <v>522</v>
      </c>
    </row>
    <row r="199" spans="2:14" ht="24.9" customHeight="1" x14ac:dyDescent="0.3">
      <c r="B199" s="332" t="s">
        <v>363</v>
      </c>
      <c r="C199" s="311">
        <v>4</v>
      </c>
      <c r="D199" s="317" t="s">
        <v>514</v>
      </c>
      <c r="E199" s="318">
        <v>32148105</v>
      </c>
      <c r="F199" s="326" t="s">
        <v>515</v>
      </c>
      <c r="G199" s="315" t="s">
        <v>520</v>
      </c>
      <c r="H199" s="344">
        <v>32046030</v>
      </c>
      <c r="I199" s="344">
        <f>Table5[[#This Row],[ÁREA]]</f>
        <v>4</v>
      </c>
      <c r="J199" s="345" t="s">
        <v>528</v>
      </c>
      <c r="K199" s="319" t="s">
        <v>529</v>
      </c>
      <c r="L199" s="318">
        <v>15</v>
      </c>
      <c r="M199" s="317" t="s">
        <v>514</v>
      </c>
      <c r="N199" s="312" t="s">
        <v>530</v>
      </c>
    </row>
    <row r="200" spans="2:14" ht="24.9" customHeight="1" x14ac:dyDescent="0.3">
      <c r="B200" s="332" t="s">
        <v>363</v>
      </c>
      <c r="C200" s="311">
        <v>4</v>
      </c>
      <c r="D200" s="346" t="s">
        <v>514</v>
      </c>
      <c r="E200" s="318">
        <v>32148105</v>
      </c>
      <c r="F200" s="326" t="s">
        <v>515</v>
      </c>
      <c r="G200" s="315" t="s">
        <v>520</v>
      </c>
      <c r="H200" s="344">
        <v>32046440</v>
      </c>
      <c r="I200" s="344">
        <f>Table5[[#This Row],[ÁREA]]</f>
        <v>4</v>
      </c>
      <c r="J200" s="345" t="s">
        <v>531</v>
      </c>
      <c r="K200" s="319" t="s">
        <v>532</v>
      </c>
      <c r="L200" s="318">
        <v>15</v>
      </c>
      <c r="M200" s="317" t="s">
        <v>514</v>
      </c>
      <c r="N200" s="312" t="s">
        <v>456</v>
      </c>
    </row>
    <row r="201" spans="2:14" ht="24.9" customHeight="1" x14ac:dyDescent="0.3">
      <c r="B201" s="332" t="s">
        <v>363</v>
      </c>
      <c r="C201" s="311">
        <v>4</v>
      </c>
      <c r="D201" s="346" t="s">
        <v>514</v>
      </c>
      <c r="E201" s="320">
        <v>32148105</v>
      </c>
      <c r="F201" s="324" t="s">
        <v>515</v>
      </c>
      <c r="G201" s="315" t="s">
        <v>520</v>
      </c>
      <c r="H201" s="344">
        <v>32057512</v>
      </c>
      <c r="I201" s="344">
        <f>Table5[[#This Row],[ÁREA]]</f>
        <v>4</v>
      </c>
      <c r="J201" s="345" t="s">
        <v>533</v>
      </c>
      <c r="K201" s="319" t="s">
        <v>534</v>
      </c>
      <c r="L201" s="318">
        <v>15</v>
      </c>
      <c r="M201" s="317" t="s">
        <v>514</v>
      </c>
      <c r="N201" s="312" t="s">
        <v>473</v>
      </c>
    </row>
    <row r="202" spans="2:14" ht="24.9" customHeight="1" x14ac:dyDescent="0.3">
      <c r="B202" s="332" t="s">
        <v>363</v>
      </c>
      <c r="C202" s="311">
        <v>4</v>
      </c>
      <c r="D202" s="346" t="s">
        <v>514</v>
      </c>
      <c r="E202" s="318">
        <v>32148105</v>
      </c>
      <c r="F202" s="326" t="s">
        <v>515</v>
      </c>
      <c r="G202" s="315" t="s">
        <v>520</v>
      </c>
      <c r="H202" s="344">
        <v>32071020</v>
      </c>
      <c r="I202" s="344">
        <f>Table5[[#This Row],[ÁREA]]</f>
        <v>4</v>
      </c>
      <c r="J202" s="345" t="s">
        <v>535</v>
      </c>
      <c r="K202" s="319" t="s">
        <v>536</v>
      </c>
      <c r="L202" s="318">
        <v>15</v>
      </c>
      <c r="M202" s="317" t="s">
        <v>514</v>
      </c>
      <c r="N202" s="312" t="s">
        <v>470</v>
      </c>
    </row>
    <row r="203" spans="2:14" ht="24.9" customHeight="1" x14ac:dyDescent="0.3">
      <c r="B203" s="332" t="s">
        <v>363</v>
      </c>
      <c r="C203" s="311">
        <v>4</v>
      </c>
      <c r="D203" s="317" t="s">
        <v>514</v>
      </c>
      <c r="E203" s="318">
        <v>32148105</v>
      </c>
      <c r="F203" s="326" t="s">
        <v>515</v>
      </c>
      <c r="G203" s="315" t="s">
        <v>520</v>
      </c>
      <c r="H203" s="344">
        <v>32071028</v>
      </c>
      <c r="I203" s="344">
        <f>Table5[[#This Row],[ÁREA]]</f>
        <v>4</v>
      </c>
      <c r="J203" s="345" t="s">
        <v>537</v>
      </c>
      <c r="K203" s="319" t="s">
        <v>538</v>
      </c>
      <c r="L203" s="318">
        <v>14</v>
      </c>
      <c r="M203" s="317" t="s">
        <v>514</v>
      </c>
      <c r="N203" s="312" t="s">
        <v>447</v>
      </c>
    </row>
    <row r="204" spans="2:14" ht="24.9" customHeight="1" x14ac:dyDescent="0.3">
      <c r="B204" s="332" t="s">
        <v>363</v>
      </c>
      <c r="C204" s="311">
        <v>4</v>
      </c>
      <c r="D204" s="346" t="s">
        <v>514</v>
      </c>
      <c r="E204" s="318">
        <v>32148105</v>
      </c>
      <c r="F204" s="326" t="s">
        <v>515</v>
      </c>
      <c r="G204" s="315" t="s">
        <v>520</v>
      </c>
      <c r="H204" s="316">
        <v>32096443</v>
      </c>
      <c r="I204" s="316">
        <f>Table5[[#This Row],[ÁREA]]</f>
        <v>4</v>
      </c>
      <c r="J204" s="317" t="s">
        <v>539</v>
      </c>
      <c r="K204" s="319" t="s">
        <v>540</v>
      </c>
      <c r="L204" s="318">
        <v>15</v>
      </c>
      <c r="M204" s="317" t="s">
        <v>514</v>
      </c>
      <c r="N204" s="312" t="s">
        <v>456</v>
      </c>
    </row>
    <row r="205" spans="2:14" ht="24.9" customHeight="1" x14ac:dyDescent="0.3">
      <c r="B205" s="332" t="s">
        <v>363</v>
      </c>
      <c r="C205" s="311">
        <v>4</v>
      </c>
      <c r="D205" s="318" t="s">
        <v>514</v>
      </c>
      <c r="E205" s="320">
        <v>32148105</v>
      </c>
      <c r="F205" s="324" t="s">
        <v>515</v>
      </c>
      <c r="G205" s="315" t="s">
        <v>541</v>
      </c>
      <c r="H205" s="316">
        <v>32132058</v>
      </c>
      <c r="I205" s="316">
        <v>4</v>
      </c>
      <c r="J205" s="317" t="s">
        <v>542</v>
      </c>
      <c r="K205" s="319" t="s">
        <v>543</v>
      </c>
      <c r="L205" s="318">
        <v>14</v>
      </c>
      <c r="M205" s="318" t="s">
        <v>514</v>
      </c>
      <c r="N205" s="312" t="s">
        <v>544</v>
      </c>
    </row>
    <row r="206" spans="2:14" ht="24.9" customHeight="1" x14ac:dyDescent="0.3">
      <c r="B206" s="332" t="s">
        <v>363</v>
      </c>
      <c r="C206" s="311">
        <v>4</v>
      </c>
      <c r="D206" s="317" t="s">
        <v>514</v>
      </c>
      <c r="E206" s="320">
        <v>32148105</v>
      </c>
      <c r="F206" s="324" t="s">
        <v>515</v>
      </c>
      <c r="G206" s="315" t="s">
        <v>520</v>
      </c>
      <c r="H206" s="316">
        <v>32142779</v>
      </c>
      <c r="I206" s="316">
        <f>Table5[[#This Row],[ÁREA]]</f>
        <v>4</v>
      </c>
      <c r="J206" s="317" t="s">
        <v>545</v>
      </c>
      <c r="K206" s="319" t="s">
        <v>546</v>
      </c>
      <c r="L206" s="318">
        <v>14</v>
      </c>
      <c r="M206" s="317" t="s">
        <v>514</v>
      </c>
      <c r="N206" s="312" t="s">
        <v>547</v>
      </c>
    </row>
    <row r="207" spans="2:14" ht="24.9" customHeight="1" x14ac:dyDescent="0.3">
      <c r="B207" s="332" t="s">
        <v>363</v>
      </c>
      <c r="C207" s="311">
        <v>4</v>
      </c>
      <c r="D207" s="346" t="s">
        <v>514</v>
      </c>
      <c r="E207" s="320">
        <v>32148105</v>
      </c>
      <c r="F207" s="324" t="s">
        <v>515</v>
      </c>
      <c r="G207" s="315" t="s">
        <v>520</v>
      </c>
      <c r="H207" s="316">
        <v>32143050</v>
      </c>
      <c r="I207" s="316">
        <f>Table5[[#This Row],[ÁREA]]</f>
        <v>4</v>
      </c>
      <c r="J207" s="317" t="s">
        <v>548</v>
      </c>
      <c r="K207" s="319" t="s">
        <v>549</v>
      </c>
      <c r="L207" s="318">
        <v>15</v>
      </c>
      <c r="M207" s="317" t="s">
        <v>514</v>
      </c>
      <c r="N207" s="312" t="s">
        <v>467</v>
      </c>
    </row>
    <row r="208" spans="2:14" ht="24.9" customHeight="1" x14ac:dyDescent="0.3">
      <c r="B208" s="332" t="s">
        <v>363</v>
      </c>
      <c r="C208" s="311">
        <v>4</v>
      </c>
      <c r="D208" s="346" t="s">
        <v>514</v>
      </c>
      <c r="E208" s="320">
        <v>32148105</v>
      </c>
      <c r="F208" s="324" t="s">
        <v>515</v>
      </c>
      <c r="G208" s="315" t="s">
        <v>520</v>
      </c>
      <c r="H208" s="316">
        <v>32149066</v>
      </c>
      <c r="I208" s="316">
        <f>Table5[[#This Row],[ÁREA]]</f>
        <v>4</v>
      </c>
      <c r="J208" s="317" t="s">
        <v>550</v>
      </c>
      <c r="K208" s="319" t="s">
        <v>551</v>
      </c>
      <c r="L208" s="318">
        <v>15</v>
      </c>
      <c r="M208" s="317" t="s">
        <v>514</v>
      </c>
      <c r="N208" s="312" t="s">
        <v>447</v>
      </c>
    </row>
    <row r="209" spans="2:14" ht="24.9" customHeight="1" x14ac:dyDescent="0.3">
      <c r="B209" s="332" t="s">
        <v>363</v>
      </c>
      <c r="C209" s="311">
        <v>4</v>
      </c>
      <c r="D209" s="346" t="s">
        <v>514</v>
      </c>
      <c r="E209" s="320">
        <v>32148105</v>
      </c>
      <c r="F209" s="324" t="s">
        <v>515</v>
      </c>
      <c r="G209" s="315" t="s">
        <v>520</v>
      </c>
      <c r="H209" s="316">
        <v>32197883</v>
      </c>
      <c r="I209" s="316">
        <f>Table5[[#This Row],[ÁREA]]</f>
        <v>4</v>
      </c>
      <c r="J209" s="317" t="s">
        <v>552</v>
      </c>
      <c r="K209" s="319" t="s">
        <v>553</v>
      </c>
      <c r="L209" s="318">
        <v>15</v>
      </c>
      <c r="M209" s="317" t="s">
        <v>514</v>
      </c>
      <c r="N209" s="312" t="s">
        <v>554</v>
      </c>
    </row>
    <row r="210" spans="2:14" ht="24.9" customHeight="1" x14ac:dyDescent="0.3">
      <c r="B210" s="332" t="s">
        <v>363</v>
      </c>
      <c r="C210" s="311">
        <v>4</v>
      </c>
      <c r="D210" s="346" t="s">
        <v>514</v>
      </c>
      <c r="E210" s="320">
        <v>32148105</v>
      </c>
      <c r="F210" s="324" t="s">
        <v>515</v>
      </c>
      <c r="G210" s="325" t="s">
        <v>520</v>
      </c>
      <c r="H210" s="316">
        <v>32199342</v>
      </c>
      <c r="I210" s="316">
        <f>Table5[[#This Row],[ÁREA]]</f>
        <v>4</v>
      </c>
      <c r="J210" s="317" t="s">
        <v>555</v>
      </c>
      <c r="K210" s="319" t="s">
        <v>556</v>
      </c>
      <c r="L210" s="318">
        <v>15</v>
      </c>
      <c r="M210" s="317" t="s">
        <v>514</v>
      </c>
      <c r="N210" s="312" t="s">
        <v>237</v>
      </c>
    </row>
    <row r="211" spans="2:14" ht="24.9" customHeight="1" x14ac:dyDescent="0.3">
      <c r="B211" s="332" t="s">
        <v>363</v>
      </c>
      <c r="C211" s="311">
        <v>4</v>
      </c>
      <c r="D211" s="346" t="s">
        <v>557</v>
      </c>
      <c r="E211" s="320">
        <v>32046005</v>
      </c>
      <c r="F211" s="324" t="s">
        <v>558</v>
      </c>
      <c r="G211" s="331" t="s">
        <v>520</v>
      </c>
      <c r="H211" s="316">
        <v>32044578</v>
      </c>
      <c r="I211" s="316">
        <f>Table5[[#This Row],[ÁREA]]</f>
        <v>4</v>
      </c>
      <c r="J211" s="317" t="s">
        <v>559</v>
      </c>
      <c r="K211" s="322" t="s">
        <v>560</v>
      </c>
      <c r="L211" s="318">
        <v>15</v>
      </c>
      <c r="M211" s="317" t="s">
        <v>557</v>
      </c>
      <c r="N211" s="312" t="s">
        <v>561</v>
      </c>
    </row>
    <row r="212" spans="2:14" ht="24.9" customHeight="1" x14ac:dyDescent="0.3">
      <c r="B212" s="332" t="s">
        <v>363</v>
      </c>
      <c r="C212" s="311">
        <v>4</v>
      </c>
      <c r="D212" s="317" t="s">
        <v>557</v>
      </c>
      <c r="E212" s="320">
        <v>32046005</v>
      </c>
      <c r="F212" s="324" t="s">
        <v>558</v>
      </c>
      <c r="G212" s="315" t="s">
        <v>516</v>
      </c>
      <c r="H212" s="316">
        <v>32044615</v>
      </c>
      <c r="I212" s="316">
        <f>Table5[[#This Row],[ÁREA]]</f>
        <v>4</v>
      </c>
      <c r="J212" s="317" t="s">
        <v>562</v>
      </c>
      <c r="K212" s="319" t="s">
        <v>563</v>
      </c>
      <c r="L212" s="318">
        <v>16</v>
      </c>
      <c r="M212" s="317" t="s">
        <v>557</v>
      </c>
      <c r="N212" s="312" t="s">
        <v>564</v>
      </c>
    </row>
    <row r="213" spans="2:14" ht="24.9" customHeight="1" x14ac:dyDescent="0.3">
      <c r="B213" s="332" t="s">
        <v>363</v>
      </c>
      <c r="C213" s="311">
        <v>4</v>
      </c>
      <c r="D213" s="317" t="s">
        <v>557</v>
      </c>
      <c r="E213" s="329">
        <v>32046005</v>
      </c>
      <c r="F213" s="324" t="s">
        <v>558</v>
      </c>
      <c r="G213" s="334" t="s">
        <v>565</v>
      </c>
      <c r="H213" s="316">
        <v>32045344</v>
      </c>
      <c r="I213" s="316">
        <f>Table5[[#This Row],[ÁREA]]</f>
        <v>4</v>
      </c>
      <c r="J213" s="317" t="s">
        <v>566</v>
      </c>
      <c r="K213" s="319" t="s">
        <v>567</v>
      </c>
      <c r="L213" s="318">
        <v>16</v>
      </c>
      <c r="M213" s="317" t="s">
        <v>557</v>
      </c>
      <c r="N213" s="312" t="s">
        <v>568</v>
      </c>
    </row>
    <row r="214" spans="2:14" ht="24.9" customHeight="1" x14ac:dyDescent="0.3">
      <c r="B214" s="332" t="s">
        <v>363</v>
      </c>
      <c r="C214" s="311">
        <v>4</v>
      </c>
      <c r="D214" s="318" t="s">
        <v>557</v>
      </c>
      <c r="E214" s="320">
        <v>32046005</v>
      </c>
      <c r="F214" s="324" t="s">
        <v>558</v>
      </c>
      <c r="G214" s="315" t="s">
        <v>565</v>
      </c>
      <c r="H214" s="316">
        <v>32045613</v>
      </c>
      <c r="I214" s="316">
        <f>Table5[[#This Row],[ÁREA]]</f>
        <v>4</v>
      </c>
      <c r="J214" s="317" t="s">
        <v>569</v>
      </c>
      <c r="K214" s="319" t="s">
        <v>570</v>
      </c>
      <c r="L214" s="318">
        <v>13</v>
      </c>
      <c r="M214" s="317" t="s">
        <v>557</v>
      </c>
      <c r="N214" s="312" t="s">
        <v>571</v>
      </c>
    </row>
    <row r="215" spans="2:14" ht="24.9" customHeight="1" x14ac:dyDescent="0.3">
      <c r="B215" s="332" t="s">
        <v>363</v>
      </c>
      <c r="C215" s="311">
        <v>4</v>
      </c>
      <c r="D215" s="318" t="s">
        <v>557</v>
      </c>
      <c r="E215" s="318">
        <v>32046005</v>
      </c>
      <c r="F215" s="326" t="s">
        <v>558</v>
      </c>
      <c r="G215" s="315" t="s">
        <v>565</v>
      </c>
      <c r="H215" s="316">
        <v>32045807</v>
      </c>
      <c r="I215" s="316">
        <f>Table5[[#This Row],[ÁREA]]</f>
        <v>4</v>
      </c>
      <c r="J215" s="347" t="s">
        <v>572</v>
      </c>
      <c r="K215" s="319" t="s">
        <v>573</v>
      </c>
      <c r="L215" s="318">
        <v>13</v>
      </c>
      <c r="M215" s="317" t="s">
        <v>557</v>
      </c>
      <c r="N215" s="312" t="s">
        <v>456</v>
      </c>
    </row>
    <row r="216" spans="2:14" ht="24.9" customHeight="1" x14ac:dyDescent="0.3">
      <c r="B216" s="332" t="s">
        <v>363</v>
      </c>
      <c r="C216" s="311">
        <v>4</v>
      </c>
      <c r="D216" s="318" t="s">
        <v>557</v>
      </c>
      <c r="E216" s="318">
        <v>32046005</v>
      </c>
      <c r="F216" s="326" t="s">
        <v>558</v>
      </c>
      <c r="G216" s="315" t="s">
        <v>565</v>
      </c>
      <c r="H216" s="316">
        <v>32046155</v>
      </c>
      <c r="I216" s="316">
        <f>Table5[[#This Row],[ÁREA]]</f>
        <v>4</v>
      </c>
      <c r="J216" s="347" t="s">
        <v>574</v>
      </c>
      <c r="K216" s="319" t="s">
        <v>575</v>
      </c>
      <c r="L216" s="318">
        <v>13</v>
      </c>
      <c r="M216" s="317" t="s">
        <v>557</v>
      </c>
      <c r="N216" s="312" t="s">
        <v>470</v>
      </c>
    </row>
    <row r="217" spans="2:14" ht="24.9" customHeight="1" x14ac:dyDescent="0.3">
      <c r="B217" s="332" t="s">
        <v>363</v>
      </c>
      <c r="C217" s="311">
        <v>4</v>
      </c>
      <c r="D217" s="318" t="s">
        <v>557</v>
      </c>
      <c r="E217" s="318">
        <v>32046005</v>
      </c>
      <c r="F217" s="326" t="s">
        <v>558</v>
      </c>
      <c r="G217" s="331" t="s">
        <v>565</v>
      </c>
      <c r="H217" s="316">
        <v>32046353</v>
      </c>
      <c r="I217" s="316">
        <f>Table5[[#This Row],[ÁREA]]</f>
        <v>4</v>
      </c>
      <c r="J217" s="347" t="s">
        <v>576</v>
      </c>
      <c r="K217" s="319" t="s">
        <v>577</v>
      </c>
      <c r="L217" s="318">
        <v>13</v>
      </c>
      <c r="M217" s="317" t="s">
        <v>557</v>
      </c>
      <c r="N217" s="312" t="s">
        <v>578</v>
      </c>
    </row>
    <row r="218" spans="2:14" ht="24.9" customHeight="1" x14ac:dyDescent="0.3">
      <c r="B218" s="332" t="s">
        <v>363</v>
      </c>
      <c r="C218" s="311">
        <v>4</v>
      </c>
      <c r="D218" s="318" t="s">
        <v>557</v>
      </c>
      <c r="E218" s="318">
        <v>32046005</v>
      </c>
      <c r="F218" s="326" t="s">
        <v>558</v>
      </c>
      <c r="G218" s="315" t="s">
        <v>565</v>
      </c>
      <c r="H218" s="316">
        <v>32067003</v>
      </c>
      <c r="I218" s="316">
        <f>Table5[[#This Row],[ÁREA]]</f>
        <v>4</v>
      </c>
      <c r="J218" s="347" t="s">
        <v>579</v>
      </c>
      <c r="K218" s="315" t="s">
        <v>580</v>
      </c>
      <c r="L218" s="318">
        <v>13</v>
      </c>
      <c r="M218" s="317" t="s">
        <v>557</v>
      </c>
      <c r="N218" s="312" t="s">
        <v>581</v>
      </c>
    </row>
    <row r="219" spans="2:14" ht="24.9" customHeight="1" x14ac:dyDescent="0.3">
      <c r="B219" s="332" t="s">
        <v>363</v>
      </c>
      <c r="C219" s="311">
        <v>4</v>
      </c>
      <c r="D219" s="318" t="s">
        <v>557</v>
      </c>
      <c r="E219" s="320">
        <v>32046005</v>
      </c>
      <c r="F219" s="324" t="s">
        <v>558</v>
      </c>
      <c r="G219" s="334" t="s">
        <v>565</v>
      </c>
      <c r="H219" s="316">
        <v>32132045</v>
      </c>
      <c r="I219" s="316">
        <f>Table5[[#This Row],[ÁREA]]</f>
        <v>4</v>
      </c>
      <c r="J219" s="347" t="s">
        <v>582</v>
      </c>
      <c r="K219" s="315" t="s">
        <v>583</v>
      </c>
      <c r="L219" s="318">
        <v>13</v>
      </c>
      <c r="M219" s="317" t="s">
        <v>557</v>
      </c>
      <c r="N219" s="312" t="s">
        <v>584</v>
      </c>
    </row>
    <row r="220" spans="2:14" ht="24.9" customHeight="1" x14ac:dyDescent="0.3">
      <c r="B220" s="332" t="s">
        <v>363</v>
      </c>
      <c r="C220" s="311">
        <v>4</v>
      </c>
      <c r="D220" s="318" t="s">
        <v>557</v>
      </c>
      <c r="E220" s="318">
        <v>32046005</v>
      </c>
      <c r="F220" s="326" t="s">
        <v>558</v>
      </c>
      <c r="G220" s="315" t="s">
        <v>565</v>
      </c>
      <c r="H220" s="316">
        <v>32132237</v>
      </c>
      <c r="I220" s="316">
        <f>Table5[[#This Row],[ÁREA]]</f>
        <v>4</v>
      </c>
      <c r="J220" s="347" t="s">
        <v>585</v>
      </c>
      <c r="K220" s="322" t="s">
        <v>586</v>
      </c>
      <c r="L220" s="318">
        <v>13</v>
      </c>
      <c r="M220" s="317" t="s">
        <v>557</v>
      </c>
      <c r="N220" s="312" t="s">
        <v>587</v>
      </c>
    </row>
    <row r="221" spans="2:14" ht="24.9" customHeight="1" x14ac:dyDescent="0.3">
      <c r="B221" s="332" t="s">
        <v>363</v>
      </c>
      <c r="C221" s="311">
        <v>4</v>
      </c>
      <c r="D221" s="318" t="s">
        <v>557</v>
      </c>
      <c r="E221" s="320">
        <v>32046005</v>
      </c>
      <c r="F221" s="326" t="s">
        <v>558</v>
      </c>
      <c r="G221" s="315" t="s">
        <v>565</v>
      </c>
      <c r="H221" s="316">
        <v>32143281</v>
      </c>
      <c r="I221" s="316">
        <f>Table5[[#This Row],[ÁREA]]</f>
        <v>4</v>
      </c>
      <c r="J221" s="347" t="s">
        <v>588</v>
      </c>
      <c r="K221" s="319" t="s">
        <v>589</v>
      </c>
      <c r="L221" s="318">
        <v>13</v>
      </c>
      <c r="M221" s="317" t="s">
        <v>557</v>
      </c>
      <c r="N221" s="312" t="s">
        <v>590</v>
      </c>
    </row>
    <row r="222" spans="2:14" ht="24.9" customHeight="1" x14ac:dyDescent="0.3">
      <c r="B222" s="332" t="s">
        <v>363</v>
      </c>
      <c r="C222" s="311">
        <v>4</v>
      </c>
      <c r="D222" s="318" t="s">
        <v>557</v>
      </c>
      <c r="E222" s="320">
        <v>32046005</v>
      </c>
      <c r="F222" s="324" t="s">
        <v>558</v>
      </c>
      <c r="G222" s="315" t="s">
        <v>565</v>
      </c>
      <c r="H222" s="316">
        <v>32143287</v>
      </c>
      <c r="I222" s="316">
        <f>Table5[[#This Row],[ÁREA]]</f>
        <v>4</v>
      </c>
      <c r="J222" s="347" t="s">
        <v>591</v>
      </c>
      <c r="K222" s="315" t="s">
        <v>592</v>
      </c>
      <c r="L222" s="318">
        <v>13</v>
      </c>
      <c r="M222" s="317" t="s">
        <v>557</v>
      </c>
      <c r="N222" s="312" t="s">
        <v>593</v>
      </c>
    </row>
    <row r="223" spans="2:14" ht="24.9" customHeight="1" x14ac:dyDescent="0.3">
      <c r="B223" s="332" t="s">
        <v>363</v>
      </c>
      <c r="C223" s="311">
        <v>4</v>
      </c>
      <c r="D223" s="318" t="s">
        <v>557</v>
      </c>
      <c r="E223" s="320">
        <v>32046005</v>
      </c>
      <c r="F223" s="324" t="s">
        <v>558</v>
      </c>
      <c r="G223" s="315" t="s">
        <v>565</v>
      </c>
      <c r="H223" s="316">
        <v>32143290</v>
      </c>
      <c r="I223" s="316">
        <f>Table5[[#This Row],[ÁREA]]</f>
        <v>4</v>
      </c>
      <c r="J223" s="347" t="s">
        <v>594</v>
      </c>
      <c r="K223" s="315" t="s">
        <v>595</v>
      </c>
      <c r="L223" s="318">
        <v>13</v>
      </c>
      <c r="M223" s="317" t="s">
        <v>557</v>
      </c>
      <c r="N223" s="312" t="s">
        <v>596</v>
      </c>
    </row>
    <row r="224" spans="2:14" ht="24.9" customHeight="1" x14ac:dyDescent="0.3">
      <c r="B224" s="332" t="s">
        <v>363</v>
      </c>
      <c r="C224" s="311">
        <v>4</v>
      </c>
      <c r="D224" s="318" t="s">
        <v>557</v>
      </c>
      <c r="E224" s="318">
        <v>32046005</v>
      </c>
      <c r="F224" s="326" t="s">
        <v>558</v>
      </c>
      <c r="G224" s="315" t="s">
        <v>565</v>
      </c>
      <c r="H224" s="316">
        <v>32143658</v>
      </c>
      <c r="I224" s="316">
        <f>Table5[[#This Row],[ÁREA]]</f>
        <v>4</v>
      </c>
      <c r="J224" s="347" t="s">
        <v>597</v>
      </c>
      <c r="K224" s="319" t="s">
        <v>598</v>
      </c>
      <c r="L224" s="318">
        <v>13</v>
      </c>
      <c r="M224" s="317" t="s">
        <v>557</v>
      </c>
      <c r="N224" s="312" t="s">
        <v>599</v>
      </c>
    </row>
    <row r="225" spans="2:14" ht="24.9" customHeight="1" x14ac:dyDescent="0.3">
      <c r="B225" s="311" t="s">
        <v>363</v>
      </c>
      <c r="C225" s="311">
        <v>4</v>
      </c>
      <c r="D225" s="318" t="s">
        <v>557</v>
      </c>
      <c r="E225" s="340">
        <v>32046005</v>
      </c>
      <c r="F225" s="343" t="s">
        <v>558</v>
      </c>
      <c r="G225" s="315" t="s">
        <v>516</v>
      </c>
      <c r="H225" s="316">
        <v>32148612</v>
      </c>
      <c r="I225" s="316">
        <f>Table5[[#This Row],[ÁREA]]</f>
        <v>4</v>
      </c>
      <c r="J225" s="347" t="s">
        <v>600</v>
      </c>
      <c r="K225" s="319" t="s">
        <v>601</v>
      </c>
      <c r="L225" s="318">
        <v>13</v>
      </c>
      <c r="M225" s="317" t="s">
        <v>557</v>
      </c>
      <c r="N225" s="312" t="s">
        <v>602</v>
      </c>
    </row>
    <row r="226" spans="2:14" ht="24.9" customHeight="1" x14ac:dyDescent="0.3">
      <c r="B226" s="332" t="s">
        <v>363</v>
      </c>
      <c r="C226" s="311">
        <v>4</v>
      </c>
      <c r="D226" s="317" t="s">
        <v>557</v>
      </c>
      <c r="E226" s="318">
        <v>32046005</v>
      </c>
      <c r="F226" s="326" t="s">
        <v>558</v>
      </c>
      <c r="G226" s="315" t="s">
        <v>565</v>
      </c>
      <c r="H226" s="316">
        <v>32180204</v>
      </c>
      <c r="I226" s="316">
        <f>Table5[[#This Row],[ÁREA]]</f>
        <v>4</v>
      </c>
      <c r="J226" s="347" t="s">
        <v>603</v>
      </c>
      <c r="K226" s="319" t="s">
        <v>604</v>
      </c>
      <c r="L226" s="318">
        <v>16</v>
      </c>
      <c r="M226" s="317" t="s">
        <v>557</v>
      </c>
      <c r="N226" s="312" t="s">
        <v>602</v>
      </c>
    </row>
    <row r="227" spans="2:14" ht="24.9" customHeight="1" x14ac:dyDescent="0.3">
      <c r="B227" s="332" t="s">
        <v>363</v>
      </c>
      <c r="C227" s="311">
        <v>4</v>
      </c>
      <c r="D227" s="318" t="s">
        <v>605</v>
      </c>
      <c r="E227" s="315">
        <v>32147380</v>
      </c>
      <c r="F227" s="327" t="s">
        <v>606</v>
      </c>
      <c r="G227" s="315" t="s">
        <v>607</v>
      </c>
      <c r="H227" s="316">
        <v>32044201</v>
      </c>
      <c r="I227" s="316">
        <f>Table5[[#This Row],[ÁREA]]</f>
        <v>4</v>
      </c>
      <c r="J227" s="347" t="s">
        <v>608</v>
      </c>
      <c r="K227" s="328" t="s">
        <v>61</v>
      </c>
      <c r="L227" s="318">
        <v>14</v>
      </c>
      <c r="M227" s="317" t="s">
        <v>605</v>
      </c>
      <c r="N227" s="312" t="s">
        <v>547</v>
      </c>
    </row>
    <row r="228" spans="2:14" ht="24.9" customHeight="1" x14ac:dyDescent="0.3">
      <c r="B228" s="332" t="s">
        <v>363</v>
      </c>
      <c r="C228" s="311">
        <v>4</v>
      </c>
      <c r="D228" s="318" t="s">
        <v>605</v>
      </c>
      <c r="E228" s="315">
        <v>32147380</v>
      </c>
      <c r="F228" s="327" t="s">
        <v>606</v>
      </c>
      <c r="G228" s="315" t="s">
        <v>565</v>
      </c>
      <c r="H228" s="316">
        <v>32044554</v>
      </c>
      <c r="I228" s="316">
        <f>Table5[[#This Row],[ÁREA]]</f>
        <v>4</v>
      </c>
      <c r="J228" s="347" t="s">
        <v>609</v>
      </c>
      <c r="K228" s="319" t="s">
        <v>610</v>
      </c>
      <c r="L228" s="318">
        <v>14</v>
      </c>
      <c r="M228" s="317" t="s">
        <v>605</v>
      </c>
      <c r="N228" s="312" t="s">
        <v>456</v>
      </c>
    </row>
    <row r="229" spans="2:14" ht="24.9" customHeight="1" x14ac:dyDescent="0.3">
      <c r="B229" s="332" t="s">
        <v>363</v>
      </c>
      <c r="C229" s="311">
        <v>4</v>
      </c>
      <c r="D229" s="318" t="s">
        <v>605</v>
      </c>
      <c r="E229" s="329">
        <v>32147380</v>
      </c>
      <c r="F229" s="321" t="s">
        <v>606</v>
      </c>
      <c r="G229" s="331" t="s">
        <v>565</v>
      </c>
      <c r="H229" s="316">
        <v>32044946</v>
      </c>
      <c r="I229" s="316">
        <f>Table5[[#This Row],[ÁREA]]</f>
        <v>4</v>
      </c>
      <c r="J229" s="347" t="s">
        <v>611</v>
      </c>
      <c r="K229" s="322" t="s">
        <v>612</v>
      </c>
      <c r="L229" s="318">
        <v>14</v>
      </c>
      <c r="M229" s="317" t="s">
        <v>605</v>
      </c>
      <c r="N229" s="312" t="s">
        <v>596</v>
      </c>
    </row>
    <row r="230" spans="2:14" ht="24.9" customHeight="1" x14ac:dyDescent="0.3">
      <c r="B230" s="311" t="s">
        <v>363</v>
      </c>
      <c r="C230" s="311">
        <v>4</v>
      </c>
      <c r="D230" s="318" t="s">
        <v>605</v>
      </c>
      <c r="E230" s="348">
        <v>32147380</v>
      </c>
      <c r="F230" s="341" t="s">
        <v>606</v>
      </c>
      <c r="G230" s="315" t="s">
        <v>607</v>
      </c>
      <c r="H230" s="316">
        <v>32044986</v>
      </c>
      <c r="I230" s="316">
        <f>Table5[[#This Row],[ÁREA]]</f>
        <v>4</v>
      </c>
      <c r="J230" s="347" t="s">
        <v>613</v>
      </c>
      <c r="K230" s="319" t="s">
        <v>614</v>
      </c>
      <c r="L230" s="318">
        <v>14</v>
      </c>
      <c r="M230" s="317" t="s">
        <v>605</v>
      </c>
      <c r="N230" s="312" t="s">
        <v>470</v>
      </c>
    </row>
    <row r="231" spans="2:14" ht="24.9" customHeight="1" x14ac:dyDescent="0.3">
      <c r="B231" s="332" t="s">
        <v>363</v>
      </c>
      <c r="C231" s="311">
        <v>4</v>
      </c>
      <c r="D231" s="318" t="s">
        <v>605</v>
      </c>
      <c r="E231" s="329">
        <v>32147380</v>
      </c>
      <c r="F231" s="321" t="s">
        <v>606</v>
      </c>
      <c r="G231" s="334" t="s">
        <v>607</v>
      </c>
      <c r="H231" s="316">
        <v>32045137</v>
      </c>
      <c r="I231" s="316">
        <f>Table5[[#This Row],[ÁREA]]</f>
        <v>4</v>
      </c>
      <c r="J231" s="317" t="s">
        <v>615</v>
      </c>
      <c r="K231" s="319" t="s">
        <v>616</v>
      </c>
      <c r="L231" s="318">
        <v>14</v>
      </c>
      <c r="M231" s="317" t="s">
        <v>605</v>
      </c>
      <c r="N231" s="312" t="s">
        <v>581</v>
      </c>
    </row>
    <row r="232" spans="2:14" ht="24.9" customHeight="1" x14ac:dyDescent="0.3">
      <c r="B232" s="332" t="s">
        <v>363</v>
      </c>
      <c r="C232" s="311">
        <v>4</v>
      </c>
      <c r="D232" s="317" t="s">
        <v>605</v>
      </c>
      <c r="E232" s="329">
        <v>32147380</v>
      </c>
      <c r="F232" s="321" t="s">
        <v>606</v>
      </c>
      <c r="G232" s="334" t="s">
        <v>607</v>
      </c>
      <c r="H232" s="316">
        <v>32045593</v>
      </c>
      <c r="I232" s="316">
        <f>Table5[[#This Row],[ÁREA]]</f>
        <v>4</v>
      </c>
      <c r="J232" s="317" t="s">
        <v>617</v>
      </c>
      <c r="K232" s="328" t="s">
        <v>51</v>
      </c>
      <c r="L232" s="318">
        <v>15</v>
      </c>
      <c r="M232" s="317" t="s">
        <v>605</v>
      </c>
      <c r="N232" s="312" t="s">
        <v>618</v>
      </c>
    </row>
    <row r="233" spans="2:14" ht="24.9" customHeight="1" x14ac:dyDescent="0.3">
      <c r="B233" s="332" t="s">
        <v>363</v>
      </c>
      <c r="C233" s="311">
        <v>4</v>
      </c>
      <c r="D233" s="318" t="s">
        <v>605</v>
      </c>
      <c r="E233" s="329">
        <v>32147380</v>
      </c>
      <c r="F233" s="321" t="s">
        <v>606</v>
      </c>
      <c r="G233" s="315" t="s">
        <v>607</v>
      </c>
      <c r="H233" s="316">
        <v>32045629</v>
      </c>
      <c r="I233" s="316">
        <f>Table5[[#This Row],[ÁREA]]</f>
        <v>4</v>
      </c>
      <c r="J233" s="317" t="s">
        <v>619</v>
      </c>
      <c r="K233" s="319" t="s">
        <v>620</v>
      </c>
      <c r="L233" s="318">
        <v>14</v>
      </c>
      <c r="M233" s="317" t="s">
        <v>605</v>
      </c>
      <c r="N233" s="312" t="s">
        <v>578</v>
      </c>
    </row>
    <row r="234" spans="2:14" ht="24.9" customHeight="1" x14ac:dyDescent="0.3">
      <c r="B234" s="332" t="s">
        <v>363</v>
      </c>
      <c r="C234" s="311">
        <v>4</v>
      </c>
      <c r="D234" s="318" t="s">
        <v>605</v>
      </c>
      <c r="E234" s="315">
        <v>32147380</v>
      </c>
      <c r="F234" s="327" t="s">
        <v>606</v>
      </c>
      <c r="G234" s="315" t="s">
        <v>565</v>
      </c>
      <c r="H234" s="316">
        <v>32045731</v>
      </c>
      <c r="I234" s="316">
        <f>Table5[[#This Row],[ÁREA]]</f>
        <v>4</v>
      </c>
      <c r="J234" s="317" t="s">
        <v>621</v>
      </c>
      <c r="K234" s="319" t="s">
        <v>622</v>
      </c>
      <c r="L234" s="318">
        <v>14</v>
      </c>
      <c r="M234" s="317" t="s">
        <v>605</v>
      </c>
      <c r="N234" s="312" t="s">
        <v>623</v>
      </c>
    </row>
    <row r="235" spans="2:14" ht="24.9" customHeight="1" x14ac:dyDescent="0.3">
      <c r="B235" s="332" t="s">
        <v>363</v>
      </c>
      <c r="C235" s="311">
        <v>4</v>
      </c>
      <c r="D235" s="318" t="s">
        <v>605</v>
      </c>
      <c r="E235" s="315">
        <v>32147380</v>
      </c>
      <c r="F235" s="327" t="s">
        <v>606</v>
      </c>
      <c r="G235" s="315" t="s">
        <v>607</v>
      </c>
      <c r="H235" s="316">
        <v>32045754</v>
      </c>
      <c r="I235" s="316">
        <f>Table5[[#This Row],[ÁREA]]</f>
        <v>4</v>
      </c>
      <c r="J235" s="317" t="s">
        <v>624</v>
      </c>
      <c r="K235" s="319" t="s">
        <v>625</v>
      </c>
      <c r="L235" s="318">
        <v>14</v>
      </c>
      <c r="M235" s="317" t="s">
        <v>605</v>
      </c>
      <c r="N235" s="312" t="s">
        <v>584</v>
      </c>
    </row>
    <row r="236" spans="2:14" ht="24.9" customHeight="1" x14ac:dyDescent="0.3">
      <c r="B236" s="332" t="s">
        <v>363</v>
      </c>
      <c r="C236" s="311">
        <v>4</v>
      </c>
      <c r="D236" s="318" t="s">
        <v>605</v>
      </c>
      <c r="E236" s="315">
        <v>32147380</v>
      </c>
      <c r="F236" s="327" t="s">
        <v>606</v>
      </c>
      <c r="G236" s="315" t="s">
        <v>607</v>
      </c>
      <c r="H236" s="316">
        <v>32045768</v>
      </c>
      <c r="I236" s="316">
        <f>Table5[[#This Row],[ÁREA]]</f>
        <v>4</v>
      </c>
      <c r="J236" s="317" t="s">
        <v>626</v>
      </c>
      <c r="K236" s="319" t="s">
        <v>627</v>
      </c>
      <c r="L236" s="318">
        <v>14</v>
      </c>
      <c r="M236" s="317" t="s">
        <v>605</v>
      </c>
      <c r="N236" s="312" t="s">
        <v>599</v>
      </c>
    </row>
    <row r="237" spans="2:14" ht="24.9" customHeight="1" x14ac:dyDescent="0.3">
      <c r="B237" s="332" t="s">
        <v>363</v>
      </c>
      <c r="C237" s="311">
        <v>4</v>
      </c>
      <c r="D237" s="318" t="s">
        <v>605</v>
      </c>
      <c r="E237" s="315">
        <v>32147380</v>
      </c>
      <c r="F237" s="321" t="s">
        <v>606</v>
      </c>
      <c r="G237" s="315" t="s">
        <v>565</v>
      </c>
      <c r="H237" s="316">
        <v>32046135</v>
      </c>
      <c r="I237" s="316">
        <f>Table5[[#This Row],[ÁREA]]</f>
        <v>4</v>
      </c>
      <c r="J237" s="317" t="s">
        <v>628</v>
      </c>
      <c r="K237" s="319" t="s">
        <v>629</v>
      </c>
      <c r="L237" s="318">
        <v>14</v>
      </c>
      <c r="M237" s="317" t="s">
        <v>605</v>
      </c>
      <c r="N237" s="312" t="s">
        <v>590</v>
      </c>
    </row>
    <row r="238" spans="2:14" ht="24.9" customHeight="1" x14ac:dyDescent="0.3">
      <c r="B238" s="332" t="s">
        <v>363</v>
      </c>
      <c r="C238" s="311">
        <v>4</v>
      </c>
      <c r="D238" s="346" t="s">
        <v>605</v>
      </c>
      <c r="E238" s="318">
        <v>32147380</v>
      </c>
      <c r="F238" s="327" t="s">
        <v>606</v>
      </c>
      <c r="G238" s="315" t="s">
        <v>520</v>
      </c>
      <c r="H238" s="316">
        <v>32046142</v>
      </c>
      <c r="I238" s="316">
        <f>Table5[[#This Row],[ÁREA]]</f>
        <v>4</v>
      </c>
      <c r="J238" s="317" t="s">
        <v>630</v>
      </c>
      <c r="K238" s="319" t="s">
        <v>631</v>
      </c>
      <c r="L238" s="318">
        <v>15</v>
      </c>
      <c r="M238" s="317" t="s">
        <v>605</v>
      </c>
      <c r="N238" s="312" t="s">
        <v>632</v>
      </c>
    </row>
    <row r="239" spans="2:14" ht="24.9" customHeight="1" x14ac:dyDescent="0.3">
      <c r="B239" s="332" t="s">
        <v>363</v>
      </c>
      <c r="C239" s="311">
        <v>4</v>
      </c>
      <c r="D239" s="318" t="s">
        <v>605</v>
      </c>
      <c r="E239" s="315">
        <v>32147380</v>
      </c>
      <c r="F239" s="327" t="s">
        <v>606</v>
      </c>
      <c r="G239" s="315" t="s">
        <v>607</v>
      </c>
      <c r="H239" s="316">
        <v>32046165</v>
      </c>
      <c r="I239" s="316">
        <f>Table5[[#This Row],[ÁREA]]</f>
        <v>4</v>
      </c>
      <c r="J239" s="317" t="s">
        <v>633</v>
      </c>
      <c r="K239" s="319" t="s">
        <v>634</v>
      </c>
      <c r="L239" s="318">
        <v>14</v>
      </c>
      <c r="M239" s="317" t="s">
        <v>605</v>
      </c>
      <c r="N239" s="312" t="s">
        <v>519</v>
      </c>
    </row>
    <row r="240" spans="2:14" ht="24.9" customHeight="1" x14ac:dyDescent="0.3">
      <c r="B240" s="332" t="s">
        <v>363</v>
      </c>
      <c r="C240" s="311">
        <v>4</v>
      </c>
      <c r="D240" s="318" t="s">
        <v>605</v>
      </c>
      <c r="E240" s="315">
        <v>32147380</v>
      </c>
      <c r="F240" s="327" t="s">
        <v>606</v>
      </c>
      <c r="G240" s="315" t="s">
        <v>607</v>
      </c>
      <c r="H240" s="316">
        <v>32046468</v>
      </c>
      <c r="I240" s="316">
        <f>Table5[[#This Row],[ÁREA]]</f>
        <v>4</v>
      </c>
      <c r="J240" s="317" t="s">
        <v>635</v>
      </c>
      <c r="K240" s="319" t="s">
        <v>636</v>
      </c>
      <c r="L240" s="318">
        <v>14</v>
      </c>
      <c r="M240" s="317" t="s">
        <v>605</v>
      </c>
      <c r="N240" s="312" t="s">
        <v>587</v>
      </c>
    </row>
    <row r="241" spans="2:14" ht="24.9" customHeight="1" x14ac:dyDescent="0.3">
      <c r="B241" s="332" t="s">
        <v>363</v>
      </c>
      <c r="C241" s="311">
        <v>4</v>
      </c>
      <c r="D241" s="318" t="s">
        <v>605</v>
      </c>
      <c r="E241" s="315">
        <v>32147380</v>
      </c>
      <c r="F241" s="327" t="s">
        <v>606</v>
      </c>
      <c r="G241" s="315" t="s">
        <v>607</v>
      </c>
      <c r="H241" s="316">
        <v>32046511</v>
      </c>
      <c r="I241" s="316">
        <f>Table5[[#This Row],[ÁREA]]</f>
        <v>4</v>
      </c>
      <c r="J241" s="317" t="s">
        <v>637</v>
      </c>
      <c r="K241" s="328" t="s">
        <v>61</v>
      </c>
      <c r="L241" s="318">
        <v>14</v>
      </c>
      <c r="M241" s="317" t="s">
        <v>605</v>
      </c>
      <c r="N241" s="312" t="s">
        <v>571</v>
      </c>
    </row>
    <row r="242" spans="2:14" ht="24.9" customHeight="1" x14ac:dyDescent="0.3">
      <c r="B242" s="332" t="s">
        <v>363</v>
      </c>
      <c r="C242" s="311">
        <v>4</v>
      </c>
      <c r="D242" s="318" t="s">
        <v>605</v>
      </c>
      <c r="E242" s="315">
        <v>32147380</v>
      </c>
      <c r="F242" s="321" t="s">
        <v>606</v>
      </c>
      <c r="G242" s="315" t="s">
        <v>607</v>
      </c>
      <c r="H242" s="316">
        <v>32063475</v>
      </c>
      <c r="I242" s="316">
        <f>Table5[[#This Row],[ÁREA]]</f>
        <v>4</v>
      </c>
      <c r="J242" s="317" t="s">
        <v>638</v>
      </c>
      <c r="K242" s="319" t="s">
        <v>639</v>
      </c>
      <c r="L242" s="318">
        <v>14</v>
      </c>
      <c r="M242" s="317" t="s">
        <v>605</v>
      </c>
      <c r="N242" s="312" t="s">
        <v>593</v>
      </c>
    </row>
    <row r="243" spans="2:14" ht="24.9" customHeight="1" x14ac:dyDescent="0.3">
      <c r="B243" s="332" t="s">
        <v>363</v>
      </c>
      <c r="C243" s="311">
        <v>5</v>
      </c>
      <c r="D243" s="318" t="s">
        <v>640</v>
      </c>
      <c r="E243" s="318">
        <v>32147380</v>
      </c>
      <c r="F243" s="321" t="s">
        <v>606</v>
      </c>
      <c r="G243" s="315" t="s">
        <v>607</v>
      </c>
      <c r="H243" s="316">
        <v>32044721</v>
      </c>
      <c r="I243" s="316">
        <f>Table5[[#This Row],[ÁREA]]</f>
        <v>5</v>
      </c>
      <c r="J243" s="317" t="s">
        <v>641</v>
      </c>
      <c r="K243" s="315" t="s">
        <v>642</v>
      </c>
      <c r="L243" s="318">
        <v>14</v>
      </c>
      <c r="M243" s="317" t="s">
        <v>640</v>
      </c>
      <c r="N243" s="312" t="s">
        <v>578</v>
      </c>
    </row>
    <row r="244" spans="2:14" ht="24.9" customHeight="1" x14ac:dyDescent="0.3">
      <c r="B244" s="332" t="s">
        <v>363</v>
      </c>
      <c r="C244" s="311">
        <v>5</v>
      </c>
      <c r="D244" s="318" t="s">
        <v>640</v>
      </c>
      <c r="E244" s="318">
        <v>32147380</v>
      </c>
      <c r="F244" s="327" t="s">
        <v>606</v>
      </c>
      <c r="G244" s="315" t="s">
        <v>607</v>
      </c>
      <c r="H244" s="316">
        <v>32044733</v>
      </c>
      <c r="I244" s="316">
        <f>Table5[[#This Row],[ÁREA]]</f>
        <v>5</v>
      </c>
      <c r="J244" s="317" t="s">
        <v>643</v>
      </c>
      <c r="K244" s="319" t="s">
        <v>644</v>
      </c>
      <c r="L244" s="318">
        <v>14</v>
      </c>
      <c r="M244" s="317" t="s">
        <v>640</v>
      </c>
      <c r="N244" s="312" t="s">
        <v>590</v>
      </c>
    </row>
    <row r="245" spans="2:14" ht="24.9" customHeight="1" x14ac:dyDescent="0.3">
      <c r="B245" s="332" t="s">
        <v>363</v>
      </c>
      <c r="C245" s="311">
        <v>5</v>
      </c>
      <c r="D245" s="318" t="s">
        <v>640</v>
      </c>
      <c r="E245" s="318">
        <v>32147380</v>
      </c>
      <c r="F245" s="327" t="s">
        <v>606</v>
      </c>
      <c r="G245" s="315" t="s">
        <v>607</v>
      </c>
      <c r="H245" s="316">
        <v>32044741</v>
      </c>
      <c r="I245" s="316">
        <f>Table5[[#This Row],[ÁREA]]</f>
        <v>5</v>
      </c>
      <c r="J245" s="317" t="s">
        <v>645</v>
      </c>
      <c r="K245" s="322" t="s">
        <v>646</v>
      </c>
      <c r="L245" s="318">
        <v>14</v>
      </c>
      <c r="M245" s="317" t="s">
        <v>640</v>
      </c>
      <c r="N245" s="312" t="s">
        <v>599</v>
      </c>
    </row>
    <row r="246" spans="2:14" ht="24.9" customHeight="1" x14ac:dyDescent="0.3">
      <c r="B246" s="332" t="s">
        <v>363</v>
      </c>
      <c r="C246" s="311">
        <v>5</v>
      </c>
      <c r="D246" s="318" t="s">
        <v>640</v>
      </c>
      <c r="E246" s="318">
        <v>32147380</v>
      </c>
      <c r="F246" s="321" t="s">
        <v>606</v>
      </c>
      <c r="G246" s="315" t="s">
        <v>607</v>
      </c>
      <c r="H246" s="316">
        <v>32045011</v>
      </c>
      <c r="I246" s="316">
        <f>Table5[[#This Row],[ÁREA]]</f>
        <v>5</v>
      </c>
      <c r="J246" s="317" t="s">
        <v>647</v>
      </c>
      <c r="K246" s="319" t="s">
        <v>648</v>
      </c>
      <c r="L246" s="318">
        <v>14</v>
      </c>
      <c r="M246" s="317" t="s">
        <v>640</v>
      </c>
      <c r="N246" s="312" t="s">
        <v>649</v>
      </c>
    </row>
    <row r="247" spans="2:14" ht="24.9" customHeight="1" x14ac:dyDescent="0.3">
      <c r="B247" s="332" t="s">
        <v>363</v>
      </c>
      <c r="C247" s="311">
        <v>5</v>
      </c>
      <c r="D247" s="317" t="s">
        <v>640</v>
      </c>
      <c r="E247" s="318">
        <v>32147380</v>
      </c>
      <c r="F247" s="327" t="s">
        <v>606</v>
      </c>
      <c r="G247" s="315" t="s">
        <v>607</v>
      </c>
      <c r="H247" s="316">
        <v>32045202</v>
      </c>
      <c r="I247" s="316">
        <v>5</v>
      </c>
      <c r="J247" s="317" t="s">
        <v>650</v>
      </c>
      <c r="K247" s="328" t="s">
        <v>61</v>
      </c>
      <c r="L247" s="318">
        <v>15</v>
      </c>
      <c r="M247" s="317" t="s">
        <v>640</v>
      </c>
      <c r="N247" s="312" t="s">
        <v>651</v>
      </c>
    </row>
    <row r="248" spans="2:14" ht="24.9" customHeight="1" x14ac:dyDescent="0.3">
      <c r="B248" s="332" t="s">
        <v>363</v>
      </c>
      <c r="C248" s="311">
        <v>5</v>
      </c>
      <c r="D248" s="318" t="s">
        <v>640</v>
      </c>
      <c r="E248" s="318">
        <v>32147380</v>
      </c>
      <c r="F248" s="327" t="s">
        <v>606</v>
      </c>
      <c r="G248" s="315" t="s">
        <v>607</v>
      </c>
      <c r="H248" s="316">
        <v>32045693</v>
      </c>
      <c r="I248" s="316">
        <f>Table5[[#This Row],[ÁREA]]</f>
        <v>5</v>
      </c>
      <c r="J248" s="317" t="s">
        <v>652</v>
      </c>
      <c r="K248" s="328" t="s">
        <v>61</v>
      </c>
      <c r="L248" s="318">
        <v>14</v>
      </c>
      <c r="M248" s="317" t="s">
        <v>640</v>
      </c>
      <c r="N248" s="312" t="s">
        <v>470</v>
      </c>
    </row>
    <row r="249" spans="2:14" ht="24.9" customHeight="1" x14ac:dyDescent="0.3">
      <c r="B249" s="332" t="s">
        <v>363</v>
      </c>
      <c r="C249" s="311">
        <v>5</v>
      </c>
      <c r="D249" s="318" t="s">
        <v>640</v>
      </c>
      <c r="E249" s="320">
        <v>32147380</v>
      </c>
      <c r="F249" s="321" t="s">
        <v>606</v>
      </c>
      <c r="G249" s="315" t="s">
        <v>607</v>
      </c>
      <c r="H249" s="316">
        <v>32046547</v>
      </c>
      <c r="I249" s="316">
        <f>Table5[[#This Row],[ÁREA]]</f>
        <v>5</v>
      </c>
      <c r="J249" s="317" t="s">
        <v>653</v>
      </c>
      <c r="K249" s="319" t="s">
        <v>654</v>
      </c>
      <c r="L249" s="318">
        <v>14</v>
      </c>
      <c r="M249" s="317" t="s">
        <v>640</v>
      </c>
      <c r="N249" s="312" t="s">
        <v>456</v>
      </c>
    </row>
    <row r="250" spans="2:14" ht="24.9" customHeight="1" x14ac:dyDescent="0.3">
      <c r="B250" s="332" t="s">
        <v>363</v>
      </c>
      <c r="C250" s="311">
        <v>5</v>
      </c>
      <c r="D250" s="317" t="s">
        <v>640</v>
      </c>
      <c r="E250" s="320">
        <v>32147380</v>
      </c>
      <c r="F250" s="321" t="s">
        <v>606</v>
      </c>
      <c r="G250" s="315" t="s">
        <v>516</v>
      </c>
      <c r="H250" s="316">
        <v>32060917</v>
      </c>
      <c r="I250" s="316">
        <v>5</v>
      </c>
      <c r="J250" s="317" t="s">
        <v>655</v>
      </c>
      <c r="K250" s="319" t="s">
        <v>656</v>
      </c>
      <c r="L250" s="318">
        <v>16</v>
      </c>
      <c r="M250" s="317" t="s">
        <v>640</v>
      </c>
      <c r="N250" s="312" t="s">
        <v>618</v>
      </c>
    </row>
    <row r="251" spans="2:14" ht="24.9" customHeight="1" x14ac:dyDescent="0.3">
      <c r="B251" s="332" t="s">
        <v>363</v>
      </c>
      <c r="C251" s="311">
        <v>5</v>
      </c>
      <c r="D251" s="318" t="s">
        <v>640</v>
      </c>
      <c r="E251" s="320">
        <v>32147380</v>
      </c>
      <c r="F251" s="321" t="s">
        <v>606</v>
      </c>
      <c r="G251" s="315" t="s">
        <v>607</v>
      </c>
      <c r="H251" s="316">
        <v>32067182</v>
      </c>
      <c r="I251" s="316">
        <f>Table5[[#This Row],[ÁREA]]</f>
        <v>5</v>
      </c>
      <c r="J251" s="317" t="s">
        <v>657</v>
      </c>
      <c r="K251" s="322" t="s">
        <v>658</v>
      </c>
      <c r="L251" s="318">
        <v>14</v>
      </c>
      <c r="M251" s="317" t="s">
        <v>640</v>
      </c>
      <c r="N251" s="312" t="s">
        <v>659</v>
      </c>
    </row>
    <row r="252" spans="2:14" ht="24.9" customHeight="1" x14ac:dyDescent="0.3">
      <c r="B252" s="332" t="s">
        <v>363</v>
      </c>
      <c r="C252" s="311">
        <v>5</v>
      </c>
      <c r="D252" s="317" t="s">
        <v>640</v>
      </c>
      <c r="E252" s="320">
        <v>32147380</v>
      </c>
      <c r="F252" s="321" t="s">
        <v>606</v>
      </c>
      <c r="G252" s="315" t="s">
        <v>520</v>
      </c>
      <c r="H252" s="316">
        <v>32096528</v>
      </c>
      <c r="I252" s="316">
        <v>5</v>
      </c>
      <c r="J252" s="317" t="s">
        <v>660</v>
      </c>
      <c r="K252" s="319" t="s">
        <v>661</v>
      </c>
      <c r="L252" s="318">
        <v>14</v>
      </c>
      <c r="M252" s="317" t="s">
        <v>640</v>
      </c>
      <c r="N252" s="312" t="s">
        <v>511</v>
      </c>
    </row>
    <row r="253" spans="2:14" ht="24.9" customHeight="1" x14ac:dyDescent="0.3">
      <c r="B253" s="332" t="s">
        <v>363</v>
      </c>
      <c r="C253" s="311">
        <v>5</v>
      </c>
      <c r="D253" s="317" t="s">
        <v>640</v>
      </c>
      <c r="E253" s="320">
        <v>32147380</v>
      </c>
      <c r="F253" s="321" t="s">
        <v>606</v>
      </c>
      <c r="G253" s="325" t="s">
        <v>607</v>
      </c>
      <c r="H253" s="316">
        <v>32096559</v>
      </c>
      <c r="I253" s="316">
        <v>5</v>
      </c>
      <c r="J253" s="317" t="s">
        <v>662</v>
      </c>
      <c r="K253" s="319" t="s">
        <v>663</v>
      </c>
      <c r="L253" s="318">
        <v>15</v>
      </c>
      <c r="M253" s="317" t="s">
        <v>640</v>
      </c>
      <c r="N253" s="312" t="s">
        <v>519</v>
      </c>
    </row>
    <row r="254" spans="2:14" ht="24.9" customHeight="1" x14ac:dyDescent="0.3">
      <c r="B254" s="332" t="s">
        <v>363</v>
      </c>
      <c r="C254" s="311">
        <v>5</v>
      </c>
      <c r="D254" s="317" t="s">
        <v>640</v>
      </c>
      <c r="E254" s="320">
        <v>32147380</v>
      </c>
      <c r="F254" s="321" t="s">
        <v>606</v>
      </c>
      <c r="G254" s="315" t="s">
        <v>520</v>
      </c>
      <c r="H254" s="316">
        <v>32142777</v>
      </c>
      <c r="I254" s="316">
        <f>Table5[[#This Row],[ÁREA]]</f>
        <v>5</v>
      </c>
      <c r="J254" s="317" t="s">
        <v>664</v>
      </c>
      <c r="K254" s="319" t="s">
        <v>665</v>
      </c>
      <c r="L254" s="318">
        <v>15</v>
      </c>
      <c r="M254" s="318" t="s">
        <v>640</v>
      </c>
      <c r="N254" s="312" t="s">
        <v>666</v>
      </c>
    </row>
    <row r="255" spans="2:14" ht="24.9" customHeight="1" x14ac:dyDescent="0.3">
      <c r="B255" s="332" t="s">
        <v>363</v>
      </c>
      <c r="C255" s="311">
        <v>5</v>
      </c>
      <c r="D255" s="318" t="s">
        <v>640</v>
      </c>
      <c r="E255" s="320">
        <v>32147380</v>
      </c>
      <c r="F255" s="321" t="s">
        <v>606</v>
      </c>
      <c r="G255" s="315" t="s">
        <v>607</v>
      </c>
      <c r="H255" s="316">
        <v>32143289</v>
      </c>
      <c r="I255" s="316">
        <f>Table5[[#This Row],[ÁREA]]</f>
        <v>5</v>
      </c>
      <c r="J255" s="317" t="s">
        <v>667</v>
      </c>
      <c r="K255" s="319" t="s">
        <v>668</v>
      </c>
      <c r="L255" s="318">
        <v>14</v>
      </c>
      <c r="M255" s="317" t="s">
        <v>640</v>
      </c>
      <c r="N255" s="312" t="s">
        <v>593</v>
      </c>
    </row>
    <row r="256" spans="2:14" ht="24.9" customHeight="1" x14ac:dyDescent="0.3">
      <c r="B256" s="332" t="s">
        <v>363</v>
      </c>
      <c r="C256" s="311">
        <v>5</v>
      </c>
      <c r="D256" s="318" t="s">
        <v>640</v>
      </c>
      <c r="E256" s="320">
        <v>32147380</v>
      </c>
      <c r="F256" s="321" t="s">
        <v>606</v>
      </c>
      <c r="G256" s="315" t="s">
        <v>607</v>
      </c>
      <c r="H256" s="316">
        <v>32143307</v>
      </c>
      <c r="I256" s="316">
        <f>Table5[[#This Row],[ÁREA]]</f>
        <v>5</v>
      </c>
      <c r="J256" s="317" t="s">
        <v>669</v>
      </c>
      <c r="K256" s="319" t="s">
        <v>670</v>
      </c>
      <c r="L256" s="318">
        <v>14</v>
      </c>
      <c r="M256" s="317" t="s">
        <v>640</v>
      </c>
      <c r="N256" s="312" t="s">
        <v>623</v>
      </c>
    </row>
    <row r="257" spans="2:14" ht="24.9" customHeight="1" x14ac:dyDescent="0.3">
      <c r="B257" s="332" t="s">
        <v>363</v>
      </c>
      <c r="C257" s="311">
        <v>5</v>
      </c>
      <c r="D257" s="318" t="s">
        <v>640</v>
      </c>
      <c r="E257" s="320">
        <v>32147380</v>
      </c>
      <c r="F257" s="321" t="s">
        <v>606</v>
      </c>
      <c r="G257" s="315" t="s">
        <v>607</v>
      </c>
      <c r="H257" s="316">
        <v>32149610</v>
      </c>
      <c r="I257" s="316">
        <f>Table5[[#This Row],[ÁREA]]</f>
        <v>5</v>
      </c>
      <c r="J257" s="317" t="s">
        <v>671</v>
      </c>
      <c r="K257" s="319" t="s">
        <v>672</v>
      </c>
      <c r="L257" s="318">
        <v>14</v>
      </c>
      <c r="M257" s="317" t="s">
        <v>640</v>
      </c>
      <c r="N257" s="312" t="s">
        <v>587</v>
      </c>
    </row>
    <row r="258" spans="2:14" ht="24.9" customHeight="1" x14ac:dyDescent="0.3">
      <c r="B258" s="332" t="s">
        <v>363</v>
      </c>
      <c r="C258" s="311">
        <v>5</v>
      </c>
      <c r="D258" s="317" t="s">
        <v>673</v>
      </c>
      <c r="E258" s="329">
        <v>32148105</v>
      </c>
      <c r="F258" s="321" t="s">
        <v>515</v>
      </c>
      <c r="G258" s="315" t="s">
        <v>607</v>
      </c>
      <c r="H258" s="316">
        <v>32199797</v>
      </c>
      <c r="I258" s="316">
        <v>5</v>
      </c>
      <c r="J258" s="317" t="s">
        <v>674</v>
      </c>
      <c r="K258" s="322" t="s">
        <v>675</v>
      </c>
      <c r="L258" s="318">
        <v>14</v>
      </c>
      <c r="M258" s="317" t="s">
        <v>673</v>
      </c>
      <c r="N258" s="312" t="s">
        <v>676</v>
      </c>
    </row>
    <row r="259" spans="2:14" ht="24.9" customHeight="1" x14ac:dyDescent="0.3">
      <c r="B259" s="332" t="s">
        <v>363</v>
      </c>
      <c r="C259" s="311">
        <v>5</v>
      </c>
      <c r="D259" s="317" t="s">
        <v>677</v>
      </c>
      <c r="E259" s="320">
        <v>32148105</v>
      </c>
      <c r="F259" s="324" t="s">
        <v>515</v>
      </c>
      <c r="G259" s="315" t="s">
        <v>520</v>
      </c>
      <c r="H259" s="316">
        <v>32044086</v>
      </c>
      <c r="I259" s="316">
        <f>Table5[[#This Row],[ÁREA]]</f>
        <v>5</v>
      </c>
      <c r="J259" s="317" t="s">
        <v>678</v>
      </c>
      <c r="K259" s="319" t="s">
        <v>679</v>
      </c>
      <c r="L259" s="318">
        <v>12</v>
      </c>
      <c r="M259" s="317" t="s">
        <v>677</v>
      </c>
      <c r="N259" s="312" t="s">
        <v>547</v>
      </c>
    </row>
    <row r="260" spans="2:14" ht="24.9" customHeight="1" x14ac:dyDescent="0.3">
      <c r="B260" s="332" t="s">
        <v>363</v>
      </c>
      <c r="C260" s="311">
        <v>5</v>
      </c>
      <c r="D260" s="317" t="s">
        <v>677</v>
      </c>
      <c r="E260" s="320">
        <v>32148105</v>
      </c>
      <c r="F260" s="324" t="s">
        <v>515</v>
      </c>
      <c r="G260" s="315" t="s">
        <v>520</v>
      </c>
      <c r="H260" s="316">
        <v>32044307</v>
      </c>
      <c r="I260" s="316">
        <f>Table5[[#This Row],[ÁREA]]</f>
        <v>5</v>
      </c>
      <c r="J260" s="317" t="s">
        <v>680</v>
      </c>
      <c r="K260" s="322" t="s">
        <v>681</v>
      </c>
      <c r="L260" s="318">
        <v>12</v>
      </c>
      <c r="M260" s="317" t="s">
        <v>677</v>
      </c>
      <c r="N260" s="312" t="s">
        <v>596</v>
      </c>
    </row>
    <row r="261" spans="2:14" ht="24.9" customHeight="1" x14ac:dyDescent="0.3">
      <c r="B261" s="332" t="s">
        <v>363</v>
      </c>
      <c r="C261" s="311">
        <v>5</v>
      </c>
      <c r="D261" s="318" t="s">
        <v>677</v>
      </c>
      <c r="E261" s="320">
        <v>32148105</v>
      </c>
      <c r="F261" s="324" t="s">
        <v>515</v>
      </c>
      <c r="G261" s="315" t="s">
        <v>541</v>
      </c>
      <c r="H261" s="316">
        <v>32044464</v>
      </c>
      <c r="I261" s="316">
        <v>5</v>
      </c>
      <c r="J261" s="317" t="s">
        <v>682</v>
      </c>
      <c r="K261" s="319" t="s">
        <v>683</v>
      </c>
      <c r="L261" s="318">
        <v>14</v>
      </c>
      <c r="M261" s="318" t="s">
        <v>673</v>
      </c>
      <c r="N261" s="312" t="s">
        <v>684</v>
      </c>
    </row>
    <row r="262" spans="2:14" ht="24.9" customHeight="1" x14ac:dyDescent="0.3">
      <c r="B262" s="332" t="s">
        <v>363</v>
      </c>
      <c r="C262" s="311">
        <v>5</v>
      </c>
      <c r="D262" s="317" t="s">
        <v>677</v>
      </c>
      <c r="E262" s="320">
        <v>32148105</v>
      </c>
      <c r="F262" s="324" t="s">
        <v>515</v>
      </c>
      <c r="G262" s="315" t="s">
        <v>520</v>
      </c>
      <c r="H262" s="316">
        <v>32045397</v>
      </c>
      <c r="I262" s="316">
        <f>Table5[[#This Row],[ÁREA]]</f>
        <v>5</v>
      </c>
      <c r="J262" s="317" t="s">
        <v>685</v>
      </c>
      <c r="K262" s="315" t="s">
        <v>686</v>
      </c>
      <c r="L262" s="318">
        <v>12</v>
      </c>
      <c r="M262" s="317" t="s">
        <v>677</v>
      </c>
      <c r="N262" s="312" t="s">
        <v>519</v>
      </c>
    </row>
    <row r="263" spans="2:14" ht="24.9" customHeight="1" x14ac:dyDescent="0.3">
      <c r="B263" s="332" t="s">
        <v>363</v>
      </c>
      <c r="C263" s="311">
        <v>5</v>
      </c>
      <c r="D263" s="317" t="s">
        <v>677</v>
      </c>
      <c r="E263" s="320">
        <v>32148105</v>
      </c>
      <c r="F263" s="324" t="s">
        <v>515</v>
      </c>
      <c r="G263" s="315" t="s">
        <v>520</v>
      </c>
      <c r="H263" s="316">
        <v>32045652</v>
      </c>
      <c r="I263" s="316">
        <f>Table5[[#This Row],[ÁREA]]</f>
        <v>5</v>
      </c>
      <c r="J263" s="317" t="s">
        <v>687</v>
      </c>
      <c r="K263" s="319" t="s">
        <v>688</v>
      </c>
      <c r="L263" s="318">
        <v>12</v>
      </c>
      <c r="M263" s="317" t="s">
        <v>677</v>
      </c>
      <c r="N263" s="312" t="s">
        <v>456</v>
      </c>
    </row>
    <row r="264" spans="2:14" ht="24.9" customHeight="1" x14ac:dyDescent="0.3">
      <c r="B264" s="332" t="s">
        <v>363</v>
      </c>
      <c r="C264" s="311">
        <v>5</v>
      </c>
      <c r="D264" s="317" t="s">
        <v>677</v>
      </c>
      <c r="E264" s="320">
        <v>32148105</v>
      </c>
      <c r="F264" s="324" t="s">
        <v>515</v>
      </c>
      <c r="G264" s="315" t="s">
        <v>520</v>
      </c>
      <c r="H264" s="316">
        <v>32046143</v>
      </c>
      <c r="I264" s="316">
        <f>Table5[[#This Row],[ÁREA]]</f>
        <v>5</v>
      </c>
      <c r="J264" s="317" t="s">
        <v>689</v>
      </c>
      <c r="K264" s="319" t="s">
        <v>690</v>
      </c>
      <c r="L264" s="318">
        <v>12</v>
      </c>
      <c r="M264" s="317" t="s">
        <v>677</v>
      </c>
      <c r="N264" s="312" t="s">
        <v>581</v>
      </c>
    </row>
    <row r="265" spans="2:14" ht="24.9" customHeight="1" x14ac:dyDescent="0.3">
      <c r="B265" s="332" t="s">
        <v>363</v>
      </c>
      <c r="C265" s="311">
        <v>5</v>
      </c>
      <c r="D265" s="317" t="s">
        <v>677</v>
      </c>
      <c r="E265" s="320">
        <v>32148105</v>
      </c>
      <c r="F265" s="324" t="s">
        <v>515</v>
      </c>
      <c r="G265" s="315" t="s">
        <v>520</v>
      </c>
      <c r="H265" s="316">
        <v>32046178</v>
      </c>
      <c r="I265" s="316">
        <f>Table5[[#This Row],[ÁREA]]</f>
        <v>5</v>
      </c>
      <c r="J265" s="317" t="s">
        <v>691</v>
      </c>
      <c r="K265" s="319" t="s">
        <v>692</v>
      </c>
      <c r="L265" s="318">
        <v>14</v>
      </c>
      <c r="M265" s="318" t="s">
        <v>677</v>
      </c>
      <c r="N265" s="312" t="s">
        <v>693</v>
      </c>
    </row>
    <row r="266" spans="2:14" ht="24.9" customHeight="1" x14ac:dyDescent="0.3">
      <c r="B266" s="332" t="s">
        <v>363</v>
      </c>
      <c r="C266" s="311">
        <v>5</v>
      </c>
      <c r="D266" s="317" t="s">
        <v>677</v>
      </c>
      <c r="E266" s="318">
        <v>32148105</v>
      </c>
      <c r="F266" s="326" t="s">
        <v>515</v>
      </c>
      <c r="G266" s="315" t="s">
        <v>520</v>
      </c>
      <c r="H266" s="316">
        <v>32067738</v>
      </c>
      <c r="I266" s="316">
        <f>Table5[[#This Row],[ÁREA]]</f>
        <v>5</v>
      </c>
      <c r="J266" s="317" t="s">
        <v>694</v>
      </c>
      <c r="K266" s="319" t="s">
        <v>695</v>
      </c>
      <c r="L266" s="318">
        <v>12</v>
      </c>
      <c r="M266" s="317" t="s">
        <v>677</v>
      </c>
      <c r="N266" s="312" t="s">
        <v>623</v>
      </c>
    </row>
    <row r="267" spans="2:14" ht="24.9" customHeight="1" x14ac:dyDescent="0.3">
      <c r="B267" s="332" t="s">
        <v>363</v>
      </c>
      <c r="C267" s="311">
        <v>5</v>
      </c>
      <c r="D267" s="317" t="s">
        <v>677</v>
      </c>
      <c r="E267" s="313">
        <v>32148105</v>
      </c>
      <c r="F267" s="323" t="s">
        <v>515</v>
      </c>
      <c r="G267" s="325" t="s">
        <v>520</v>
      </c>
      <c r="H267" s="316">
        <v>32132022</v>
      </c>
      <c r="I267" s="316">
        <f>Table5[[#This Row],[ÁREA]]</f>
        <v>5</v>
      </c>
      <c r="J267" s="317" t="s">
        <v>696</v>
      </c>
      <c r="K267" s="315" t="s">
        <v>697</v>
      </c>
      <c r="L267" s="318">
        <v>12</v>
      </c>
      <c r="M267" s="317" t="s">
        <v>677</v>
      </c>
      <c r="N267" s="312" t="s">
        <v>599</v>
      </c>
    </row>
    <row r="268" spans="2:14" ht="24.9" customHeight="1" x14ac:dyDescent="0.3">
      <c r="B268" s="332" t="s">
        <v>363</v>
      </c>
      <c r="C268" s="311">
        <v>5</v>
      </c>
      <c r="D268" s="317" t="s">
        <v>677</v>
      </c>
      <c r="E268" s="313">
        <v>32148105</v>
      </c>
      <c r="F268" s="323" t="s">
        <v>515</v>
      </c>
      <c r="G268" s="315" t="s">
        <v>520</v>
      </c>
      <c r="H268" s="316">
        <v>32139709</v>
      </c>
      <c r="I268" s="316">
        <f>Table5[[#This Row],[ÁREA]]</f>
        <v>5</v>
      </c>
      <c r="J268" s="317" t="s">
        <v>698</v>
      </c>
      <c r="K268" s="319" t="s">
        <v>699</v>
      </c>
      <c r="L268" s="318">
        <v>12</v>
      </c>
      <c r="M268" s="317" t="s">
        <v>677</v>
      </c>
      <c r="N268" s="312" t="s">
        <v>593</v>
      </c>
    </row>
    <row r="269" spans="2:14" ht="24.9" customHeight="1" x14ac:dyDescent="0.3">
      <c r="B269" s="332" t="s">
        <v>363</v>
      </c>
      <c r="C269" s="311">
        <v>5</v>
      </c>
      <c r="D269" s="317" t="s">
        <v>677</v>
      </c>
      <c r="E269" s="320">
        <v>32148105</v>
      </c>
      <c r="F269" s="324" t="s">
        <v>515</v>
      </c>
      <c r="G269" s="315" t="s">
        <v>520</v>
      </c>
      <c r="H269" s="316">
        <v>32145464</v>
      </c>
      <c r="I269" s="316">
        <f>Table5[[#This Row],[ÁREA]]</f>
        <v>5</v>
      </c>
      <c r="J269" s="317" t="s">
        <v>700</v>
      </c>
      <c r="K269" s="319" t="s">
        <v>701</v>
      </c>
      <c r="L269" s="318">
        <v>12</v>
      </c>
      <c r="M269" s="317" t="s">
        <v>677</v>
      </c>
      <c r="N269" s="312" t="s">
        <v>578</v>
      </c>
    </row>
    <row r="270" spans="2:14" ht="24.9" customHeight="1" x14ac:dyDescent="0.3">
      <c r="B270" s="332" t="s">
        <v>363</v>
      </c>
      <c r="C270" s="311">
        <v>5</v>
      </c>
      <c r="D270" s="317" t="s">
        <v>677</v>
      </c>
      <c r="E270" s="313">
        <v>32148105</v>
      </c>
      <c r="F270" s="323" t="s">
        <v>515</v>
      </c>
      <c r="G270" s="315" t="s">
        <v>520</v>
      </c>
      <c r="H270" s="316">
        <v>32150519</v>
      </c>
      <c r="I270" s="316">
        <f>Table5[[#This Row],[ÁREA]]</f>
        <v>5</v>
      </c>
      <c r="J270" s="317" t="s">
        <v>702</v>
      </c>
      <c r="K270" s="319" t="s">
        <v>703</v>
      </c>
      <c r="L270" s="318">
        <v>12</v>
      </c>
      <c r="M270" s="317" t="s">
        <v>677</v>
      </c>
      <c r="N270" s="312" t="s">
        <v>571</v>
      </c>
    </row>
    <row r="271" spans="2:14" ht="24.9" customHeight="1" x14ac:dyDescent="0.3">
      <c r="B271" s="332" t="s">
        <v>363</v>
      </c>
      <c r="C271" s="311">
        <v>5</v>
      </c>
      <c r="D271" s="317" t="s">
        <v>677</v>
      </c>
      <c r="E271" s="320">
        <v>32148105</v>
      </c>
      <c r="F271" s="324" t="s">
        <v>515</v>
      </c>
      <c r="H271" s="316">
        <v>32186049</v>
      </c>
      <c r="I271" s="316">
        <v>5</v>
      </c>
      <c r="J271" s="317" t="s">
        <v>704</v>
      </c>
      <c r="K271" s="315"/>
      <c r="L271" s="318"/>
      <c r="M271" s="318" t="s">
        <v>677</v>
      </c>
      <c r="N271" s="312" t="s">
        <v>705</v>
      </c>
    </row>
    <row r="272" spans="2:14" ht="24.9" customHeight="1" x14ac:dyDescent="0.3">
      <c r="B272" s="332" t="s">
        <v>363</v>
      </c>
      <c r="C272" s="311">
        <v>5</v>
      </c>
      <c r="D272" s="317" t="s">
        <v>677</v>
      </c>
      <c r="E272" s="320">
        <v>32148105</v>
      </c>
      <c r="F272" s="324" t="s">
        <v>515</v>
      </c>
      <c r="G272" s="315" t="s">
        <v>520</v>
      </c>
      <c r="H272" s="316">
        <v>32198273</v>
      </c>
      <c r="I272" s="316">
        <f>Table5[[#This Row],[ÁREA]]</f>
        <v>5</v>
      </c>
      <c r="J272" s="317" t="s">
        <v>706</v>
      </c>
      <c r="K272" s="319" t="s">
        <v>707</v>
      </c>
      <c r="L272" s="318">
        <v>12</v>
      </c>
      <c r="M272" s="317" t="s">
        <v>677</v>
      </c>
      <c r="N272" s="312" t="s">
        <v>590</v>
      </c>
    </row>
    <row r="273" spans="2:14" ht="24.9" customHeight="1" x14ac:dyDescent="0.3">
      <c r="B273" s="332" t="s">
        <v>363</v>
      </c>
      <c r="C273" s="311">
        <v>5</v>
      </c>
      <c r="D273" s="317" t="s">
        <v>708</v>
      </c>
      <c r="E273" s="315">
        <v>32046005</v>
      </c>
      <c r="F273" s="327" t="s">
        <v>558</v>
      </c>
      <c r="G273" s="315" t="s">
        <v>565</v>
      </c>
      <c r="H273" s="316">
        <v>32044226</v>
      </c>
      <c r="I273" s="316">
        <f>Table5[[#This Row],[ÁREA]]</f>
        <v>5</v>
      </c>
      <c r="J273" s="317" t="s">
        <v>709</v>
      </c>
      <c r="K273" s="319" t="s">
        <v>710</v>
      </c>
      <c r="L273" s="318">
        <v>15</v>
      </c>
      <c r="M273" s="317" t="s">
        <v>708</v>
      </c>
      <c r="N273" s="312" t="s">
        <v>711</v>
      </c>
    </row>
    <row r="274" spans="2:14" ht="24.9" customHeight="1" x14ac:dyDescent="0.3">
      <c r="B274" s="332" t="s">
        <v>363</v>
      </c>
      <c r="C274" s="311">
        <v>5</v>
      </c>
      <c r="D274" s="317" t="s">
        <v>708</v>
      </c>
      <c r="E274" s="329">
        <v>32046005</v>
      </c>
      <c r="F274" s="321" t="s">
        <v>558</v>
      </c>
      <c r="G274" s="315" t="s">
        <v>565</v>
      </c>
      <c r="H274" s="316">
        <v>32044647</v>
      </c>
      <c r="I274" s="316">
        <v>5</v>
      </c>
      <c r="J274" s="317" t="s">
        <v>712</v>
      </c>
      <c r="K274" s="319" t="s">
        <v>713</v>
      </c>
      <c r="L274" s="318">
        <v>16</v>
      </c>
      <c r="M274" s="317" t="s">
        <v>708</v>
      </c>
      <c r="N274" s="312" t="s">
        <v>714</v>
      </c>
    </row>
    <row r="275" spans="2:14" ht="24.9" customHeight="1" x14ac:dyDescent="0.3">
      <c r="B275" s="332" t="s">
        <v>363</v>
      </c>
      <c r="C275" s="311">
        <v>5</v>
      </c>
      <c r="D275" s="317" t="s">
        <v>708</v>
      </c>
      <c r="E275" s="329">
        <v>32046005</v>
      </c>
      <c r="F275" s="321" t="s">
        <v>558</v>
      </c>
      <c r="G275" s="315" t="s">
        <v>516</v>
      </c>
      <c r="H275" s="316">
        <v>32045170</v>
      </c>
      <c r="I275" s="316">
        <f>Table5[[#This Row],[ÁREA]]</f>
        <v>5</v>
      </c>
      <c r="J275" s="317" t="s">
        <v>715</v>
      </c>
      <c r="K275" s="342" t="s">
        <v>716</v>
      </c>
      <c r="L275" s="318">
        <v>13</v>
      </c>
      <c r="M275" s="317" t="s">
        <v>708</v>
      </c>
      <c r="N275" s="312" t="s">
        <v>596</v>
      </c>
    </row>
    <row r="276" spans="2:14" ht="24.9" customHeight="1" x14ac:dyDescent="0.3">
      <c r="B276" s="332" t="s">
        <v>363</v>
      </c>
      <c r="C276" s="311">
        <v>5</v>
      </c>
      <c r="D276" s="317" t="s">
        <v>708</v>
      </c>
      <c r="E276" s="315">
        <v>32046005</v>
      </c>
      <c r="F276" s="327" t="s">
        <v>558</v>
      </c>
      <c r="G276" s="315" t="s">
        <v>565</v>
      </c>
      <c r="H276" s="316">
        <v>32045207</v>
      </c>
      <c r="I276" s="316">
        <f>Table5[[#This Row],[ÁREA]]</f>
        <v>5</v>
      </c>
      <c r="J276" s="317" t="s">
        <v>717</v>
      </c>
      <c r="K276" s="319" t="s">
        <v>718</v>
      </c>
      <c r="L276" s="318">
        <v>13</v>
      </c>
      <c r="M276" s="317" t="s">
        <v>708</v>
      </c>
      <c r="N276" s="312" t="s">
        <v>719</v>
      </c>
    </row>
    <row r="277" spans="2:14" ht="24.9" customHeight="1" x14ac:dyDescent="0.3">
      <c r="B277" s="332" t="s">
        <v>363</v>
      </c>
      <c r="C277" s="311">
        <v>5</v>
      </c>
      <c r="D277" s="317" t="s">
        <v>708</v>
      </c>
      <c r="E277" s="315">
        <v>32046005</v>
      </c>
      <c r="F277" s="327" t="s">
        <v>558</v>
      </c>
      <c r="G277" s="315" t="s">
        <v>516</v>
      </c>
      <c r="H277" s="316">
        <v>32045395</v>
      </c>
      <c r="I277" s="316">
        <f>Table5[[#This Row],[ÁREA]]</f>
        <v>5</v>
      </c>
      <c r="J277" s="317" t="s">
        <v>720</v>
      </c>
      <c r="K277" s="319" t="s">
        <v>721</v>
      </c>
      <c r="L277" s="318">
        <v>13</v>
      </c>
      <c r="M277" s="317" t="s">
        <v>708</v>
      </c>
      <c r="N277" s="312" t="s">
        <v>519</v>
      </c>
    </row>
    <row r="278" spans="2:14" ht="24.9" customHeight="1" x14ac:dyDescent="0.3">
      <c r="B278" s="332" t="s">
        <v>363</v>
      </c>
      <c r="C278" s="311">
        <v>5</v>
      </c>
      <c r="D278" s="317" t="s">
        <v>708</v>
      </c>
      <c r="E278" s="315">
        <v>32046005</v>
      </c>
      <c r="F278" s="327" t="s">
        <v>558</v>
      </c>
      <c r="G278" s="315" t="s">
        <v>516</v>
      </c>
      <c r="H278" s="316">
        <v>32045599</v>
      </c>
      <c r="I278" s="316">
        <f>Table5[[#This Row],[ÁREA]]</f>
        <v>5</v>
      </c>
      <c r="J278" s="317" t="s">
        <v>722</v>
      </c>
      <c r="K278" s="322" t="s">
        <v>723</v>
      </c>
      <c r="L278" s="318">
        <v>13</v>
      </c>
      <c r="M278" s="317" t="s">
        <v>708</v>
      </c>
      <c r="N278" s="312" t="s">
        <v>581</v>
      </c>
    </row>
    <row r="279" spans="2:14" ht="24.9" customHeight="1" x14ac:dyDescent="0.3">
      <c r="B279" s="332" t="s">
        <v>363</v>
      </c>
      <c r="C279" s="311">
        <v>5</v>
      </c>
      <c r="D279" s="317" t="s">
        <v>708</v>
      </c>
      <c r="E279" s="315">
        <v>32046005</v>
      </c>
      <c r="F279" s="327" t="s">
        <v>558</v>
      </c>
      <c r="G279" s="315" t="s">
        <v>565</v>
      </c>
      <c r="H279" s="316">
        <v>32045656</v>
      </c>
      <c r="I279" s="316">
        <f>Table5[[#This Row],[ÁREA]]</f>
        <v>5</v>
      </c>
      <c r="J279" s="317" t="s">
        <v>724</v>
      </c>
      <c r="K279" s="349" t="s">
        <v>725</v>
      </c>
      <c r="L279" s="318">
        <v>13</v>
      </c>
      <c r="M279" s="317" t="s">
        <v>708</v>
      </c>
      <c r="N279" s="312" t="s">
        <v>470</v>
      </c>
    </row>
    <row r="280" spans="2:14" ht="24.9" customHeight="1" x14ac:dyDescent="0.3">
      <c r="B280" s="332" t="s">
        <v>363</v>
      </c>
      <c r="C280" s="311">
        <v>5</v>
      </c>
      <c r="D280" s="317" t="s">
        <v>708</v>
      </c>
      <c r="E280" s="330">
        <v>32046005</v>
      </c>
      <c r="F280" s="327" t="s">
        <v>558</v>
      </c>
      <c r="G280" s="315" t="s">
        <v>565</v>
      </c>
      <c r="H280" s="316">
        <v>32046477</v>
      </c>
      <c r="I280" s="316">
        <f>Table5[[#This Row],[ÁREA]]</f>
        <v>5</v>
      </c>
      <c r="J280" s="317" t="s">
        <v>726</v>
      </c>
      <c r="K280" s="319" t="s">
        <v>727</v>
      </c>
      <c r="L280" s="318">
        <v>13</v>
      </c>
      <c r="M280" s="317" t="s">
        <v>708</v>
      </c>
      <c r="N280" s="312" t="s">
        <v>456</v>
      </c>
    </row>
    <row r="281" spans="2:14" ht="24.9" customHeight="1" x14ac:dyDescent="0.3">
      <c r="B281" s="332" t="s">
        <v>363</v>
      </c>
      <c r="C281" s="311">
        <v>5</v>
      </c>
      <c r="D281" s="317" t="s">
        <v>708</v>
      </c>
      <c r="E281" s="315">
        <v>32046005</v>
      </c>
      <c r="F281" s="327" t="s">
        <v>558</v>
      </c>
      <c r="G281" s="315" t="s">
        <v>565</v>
      </c>
      <c r="H281" s="316">
        <v>32046615</v>
      </c>
      <c r="I281" s="316">
        <f>Table5[[#This Row],[ÁREA]]</f>
        <v>5</v>
      </c>
      <c r="J281" s="317" t="s">
        <v>728</v>
      </c>
      <c r="K281" s="319" t="s">
        <v>729</v>
      </c>
      <c r="L281" s="318">
        <v>13</v>
      </c>
      <c r="M281" s="317" t="s">
        <v>708</v>
      </c>
      <c r="N281" s="312" t="s">
        <v>571</v>
      </c>
    </row>
    <row r="282" spans="2:14" ht="24.9" customHeight="1" x14ac:dyDescent="0.3">
      <c r="B282" s="311" t="s">
        <v>363</v>
      </c>
      <c r="C282" s="311">
        <v>5</v>
      </c>
      <c r="D282" s="317" t="s">
        <v>708</v>
      </c>
      <c r="E282" s="315">
        <v>32046005</v>
      </c>
      <c r="F282" s="327" t="s">
        <v>558</v>
      </c>
      <c r="G282" s="315" t="s">
        <v>565</v>
      </c>
      <c r="H282" s="316">
        <v>32132188</v>
      </c>
      <c r="I282" s="316">
        <f>Table5[[#This Row],[ÁREA]]</f>
        <v>5</v>
      </c>
      <c r="J282" s="317" t="s">
        <v>730</v>
      </c>
      <c r="K282" s="322" t="s">
        <v>731</v>
      </c>
      <c r="L282" s="318">
        <v>13</v>
      </c>
      <c r="M282" s="317" t="s">
        <v>708</v>
      </c>
      <c r="N282" s="312" t="s">
        <v>590</v>
      </c>
    </row>
    <row r="283" spans="2:14" ht="24.9" customHeight="1" x14ac:dyDescent="0.3">
      <c r="B283" s="311" t="s">
        <v>363</v>
      </c>
      <c r="C283" s="311">
        <v>5</v>
      </c>
      <c r="D283" s="317" t="s">
        <v>708</v>
      </c>
      <c r="E283" s="348">
        <v>32046005</v>
      </c>
      <c r="F283" s="341" t="s">
        <v>558</v>
      </c>
      <c r="G283" s="315" t="s">
        <v>565</v>
      </c>
      <c r="H283" s="316">
        <v>32142764</v>
      </c>
      <c r="I283" s="316">
        <f>Table5[[#This Row],[ÁREA]]</f>
        <v>5</v>
      </c>
      <c r="J283" s="317" t="s">
        <v>732</v>
      </c>
      <c r="K283" s="315" t="s">
        <v>733</v>
      </c>
      <c r="L283" s="318">
        <v>13</v>
      </c>
      <c r="M283" s="317" t="s">
        <v>708</v>
      </c>
      <c r="N283" s="312" t="s">
        <v>593</v>
      </c>
    </row>
    <row r="284" spans="2:14" ht="24.9" customHeight="1" x14ac:dyDescent="0.3">
      <c r="B284" s="332" t="s">
        <v>363</v>
      </c>
      <c r="C284" s="311">
        <v>5</v>
      </c>
      <c r="D284" s="317" t="s">
        <v>708</v>
      </c>
      <c r="E284" s="315">
        <v>32046005</v>
      </c>
      <c r="F284" s="327" t="s">
        <v>558</v>
      </c>
      <c r="G284" s="315" t="s">
        <v>565</v>
      </c>
      <c r="H284" s="316">
        <v>32143263</v>
      </c>
      <c r="I284" s="316">
        <f>Table5[[#This Row],[ÁREA]]</f>
        <v>5</v>
      </c>
      <c r="J284" s="317" t="s">
        <v>734</v>
      </c>
      <c r="K284" s="319" t="s">
        <v>735</v>
      </c>
      <c r="L284" s="318">
        <v>13</v>
      </c>
      <c r="M284" s="317" t="s">
        <v>708</v>
      </c>
      <c r="N284" s="312" t="s">
        <v>587</v>
      </c>
    </row>
    <row r="285" spans="2:14" ht="24.9" customHeight="1" x14ac:dyDescent="0.3">
      <c r="B285" s="332" t="s">
        <v>363</v>
      </c>
      <c r="C285" s="311">
        <v>5</v>
      </c>
      <c r="D285" s="317" t="s">
        <v>708</v>
      </c>
      <c r="E285" s="329">
        <v>32046005</v>
      </c>
      <c r="F285" s="321" t="s">
        <v>558</v>
      </c>
      <c r="G285" s="315" t="s">
        <v>565</v>
      </c>
      <c r="H285" s="316">
        <v>32149072</v>
      </c>
      <c r="I285" s="316">
        <f>Table5[[#This Row],[ÁREA]]</f>
        <v>5</v>
      </c>
      <c r="J285" s="317" t="s">
        <v>736</v>
      </c>
      <c r="K285" s="319" t="s">
        <v>737</v>
      </c>
      <c r="L285" s="318">
        <v>13</v>
      </c>
      <c r="M285" s="317" t="s">
        <v>708</v>
      </c>
      <c r="N285" s="312" t="s">
        <v>584</v>
      </c>
    </row>
    <row r="286" spans="2:14" ht="24.9" customHeight="1" x14ac:dyDescent="0.3">
      <c r="B286" s="332" t="s">
        <v>363</v>
      </c>
      <c r="C286" s="311">
        <v>5</v>
      </c>
      <c r="D286" s="317" t="s">
        <v>708</v>
      </c>
      <c r="E286" s="315">
        <v>32046005</v>
      </c>
      <c r="F286" s="327" t="s">
        <v>558</v>
      </c>
      <c r="G286" s="325" t="s">
        <v>565</v>
      </c>
      <c r="H286" s="316">
        <v>32180918</v>
      </c>
      <c r="I286" s="316">
        <v>5</v>
      </c>
      <c r="J286" s="317" t="s">
        <v>738</v>
      </c>
      <c r="K286" s="319" t="s">
        <v>739</v>
      </c>
      <c r="L286" s="318">
        <v>16</v>
      </c>
      <c r="M286" s="317" t="s">
        <v>708</v>
      </c>
      <c r="N286" s="312" t="s">
        <v>511</v>
      </c>
    </row>
    <row r="287" spans="2:14" ht="24.9" customHeight="1" x14ac:dyDescent="0.3">
      <c r="B287" s="332" t="s">
        <v>363</v>
      </c>
      <c r="C287" s="311">
        <v>5</v>
      </c>
      <c r="D287" s="318" t="s">
        <v>740</v>
      </c>
      <c r="E287" s="315">
        <v>32046005</v>
      </c>
      <c r="F287" s="327" t="s">
        <v>558</v>
      </c>
      <c r="G287" s="315" t="s">
        <v>541</v>
      </c>
      <c r="H287" s="316">
        <v>32045118</v>
      </c>
      <c r="I287" s="316">
        <v>5</v>
      </c>
      <c r="J287" s="317" t="s">
        <v>741</v>
      </c>
      <c r="K287" s="319" t="s">
        <v>742</v>
      </c>
      <c r="L287" s="318">
        <v>14</v>
      </c>
      <c r="M287" s="317" t="s">
        <v>708</v>
      </c>
      <c r="N287" s="312" t="s">
        <v>564</v>
      </c>
    </row>
    <row r="288" spans="2:14" ht="24.9" customHeight="1" x14ac:dyDescent="0.3">
      <c r="B288" s="332" t="s">
        <v>363</v>
      </c>
      <c r="C288" s="311">
        <v>6</v>
      </c>
      <c r="D288" s="317" t="s">
        <v>743</v>
      </c>
      <c r="E288" s="318">
        <v>32045977</v>
      </c>
      <c r="F288" s="326" t="s">
        <v>744</v>
      </c>
      <c r="G288" s="315" t="s">
        <v>745</v>
      </c>
      <c r="H288" s="316">
        <v>32045310</v>
      </c>
      <c r="I288" s="316">
        <f>Table5[[#This Row],[ÁREA]]</f>
        <v>6</v>
      </c>
      <c r="J288" s="317" t="s">
        <v>746</v>
      </c>
      <c r="K288" s="319" t="s">
        <v>747</v>
      </c>
      <c r="L288" s="318">
        <v>14</v>
      </c>
      <c r="M288" s="317" t="s">
        <v>743</v>
      </c>
      <c r="N288" s="312" t="s">
        <v>666</v>
      </c>
    </row>
    <row r="289" spans="2:14" ht="24.9" customHeight="1" x14ac:dyDescent="0.3">
      <c r="B289" s="332" t="s">
        <v>363</v>
      </c>
      <c r="C289" s="311">
        <v>6</v>
      </c>
      <c r="D289" s="318" t="s">
        <v>743</v>
      </c>
      <c r="E289" s="318">
        <v>32045977</v>
      </c>
      <c r="F289" s="326" t="s">
        <v>744</v>
      </c>
      <c r="G289" s="315" t="s">
        <v>748</v>
      </c>
      <c r="H289" s="316">
        <v>32045775</v>
      </c>
      <c r="I289" s="316">
        <v>6</v>
      </c>
      <c r="J289" s="317" t="s">
        <v>749</v>
      </c>
      <c r="K289" s="319" t="s">
        <v>750</v>
      </c>
      <c r="L289" s="318">
        <v>16</v>
      </c>
      <c r="M289" s="318" t="s">
        <v>743</v>
      </c>
      <c r="N289" s="312" t="s">
        <v>751</v>
      </c>
    </row>
    <row r="290" spans="2:14" ht="24.9" customHeight="1" x14ac:dyDescent="0.3">
      <c r="B290" s="332" t="s">
        <v>363</v>
      </c>
      <c r="C290" s="311">
        <v>6</v>
      </c>
      <c r="D290" s="317" t="s">
        <v>743</v>
      </c>
      <c r="E290" s="318">
        <v>32045977</v>
      </c>
      <c r="F290" s="326" t="s">
        <v>744</v>
      </c>
      <c r="G290" s="315" t="s">
        <v>752</v>
      </c>
      <c r="H290" s="316">
        <v>32046220</v>
      </c>
      <c r="I290" s="316">
        <v>6</v>
      </c>
      <c r="J290" s="317" t="s">
        <v>753</v>
      </c>
      <c r="K290" s="319" t="s">
        <v>754</v>
      </c>
      <c r="L290" s="318">
        <v>15</v>
      </c>
      <c r="M290" s="318" t="s">
        <v>743</v>
      </c>
      <c r="N290" s="312" t="s">
        <v>755</v>
      </c>
    </row>
    <row r="291" spans="2:14" ht="24.9" customHeight="1" x14ac:dyDescent="0.3">
      <c r="B291" s="332" t="s">
        <v>363</v>
      </c>
      <c r="C291" s="311">
        <v>6</v>
      </c>
      <c r="D291" s="317" t="s">
        <v>743</v>
      </c>
      <c r="E291" s="318">
        <v>32045977</v>
      </c>
      <c r="F291" s="326" t="s">
        <v>744</v>
      </c>
      <c r="G291" s="331" t="s">
        <v>745</v>
      </c>
      <c r="H291" s="316">
        <v>32070296</v>
      </c>
      <c r="I291" s="316">
        <f>Table5[[#This Row],[ÁREA]]</f>
        <v>6</v>
      </c>
      <c r="J291" s="317" t="s">
        <v>756</v>
      </c>
      <c r="K291" s="319" t="s">
        <v>757</v>
      </c>
      <c r="L291" s="318">
        <v>14</v>
      </c>
      <c r="M291" s="317" t="s">
        <v>743</v>
      </c>
      <c r="N291" s="312" t="s">
        <v>758</v>
      </c>
    </row>
    <row r="292" spans="2:14" ht="24.9" customHeight="1" x14ac:dyDescent="0.3">
      <c r="B292" s="332" t="s">
        <v>363</v>
      </c>
      <c r="C292" s="311">
        <v>6</v>
      </c>
      <c r="D292" s="317" t="s">
        <v>743</v>
      </c>
      <c r="E292" s="318">
        <v>32045977</v>
      </c>
      <c r="F292" s="326" t="s">
        <v>744</v>
      </c>
      <c r="G292" s="315" t="s">
        <v>745</v>
      </c>
      <c r="H292" s="316">
        <v>32101568</v>
      </c>
      <c r="I292" s="316">
        <f>Table5[[#This Row],[ÁREA]]</f>
        <v>6</v>
      </c>
      <c r="J292" s="317" t="s">
        <v>759</v>
      </c>
      <c r="K292" s="350" t="s">
        <v>760</v>
      </c>
      <c r="L292" s="318">
        <v>14</v>
      </c>
      <c r="M292" s="317" t="s">
        <v>743</v>
      </c>
      <c r="N292" s="312" t="s">
        <v>481</v>
      </c>
    </row>
    <row r="293" spans="2:14" ht="24.9" customHeight="1" x14ac:dyDescent="0.3">
      <c r="B293" s="332" t="s">
        <v>363</v>
      </c>
      <c r="C293" s="311">
        <v>6</v>
      </c>
      <c r="D293" s="317" t="s">
        <v>743</v>
      </c>
      <c r="E293" s="320">
        <v>32045977</v>
      </c>
      <c r="F293" s="326" t="s">
        <v>744</v>
      </c>
      <c r="G293" s="325" t="s">
        <v>745</v>
      </c>
      <c r="H293" s="316">
        <v>32131838</v>
      </c>
      <c r="I293" s="316">
        <f>Table5[[#This Row],[ÁREA]]</f>
        <v>6</v>
      </c>
      <c r="J293" s="317" t="s">
        <v>761</v>
      </c>
      <c r="K293" s="319" t="s">
        <v>762</v>
      </c>
      <c r="L293" s="318">
        <v>14</v>
      </c>
      <c r="M293" s="317" t="s">
        <v>743</v>
      </c>
      <c r="N293" s="312" t="s">
        <v>447</v>
      </c>
    </row>
    <row r="294" spans="2:14" ht="24.9" customHeight="1" x14ac:dyDescent="0.3">
      <c r="B294" s="332" t="s">
        <v>363</v>
      </c>
      <c r="C294" s="311">
        <v>6</v>
      </c>
      <c r="D294" s="317" t="s">
        <v>743</v>
      </c>
      <c r="E294" s="320">
        <v>32045977</v>
      </c>
      <c r="F294" s="324" t="s">
        <v>744</v>
      </c>
      <c r="G294" s="315" t="s">
        <v>745</v>
      </c>
      <c r="H294" s="316">
        <v>32132230</v>
      </c>
      <c r="I294" s="316">
        <f>Table5[[#This Row],[ÁREA]]</f>
        <v>6</v>
      </c>
      <c r="J294" s="317" t="s">
        <v>763</v>
      </c>
      <c r="K294" s="319" t="s">
        <v>764</v>
      </c>
      <c r="L294" s="318">
        <v>14</v>
      </c>
      <c r="M294" s="317" t="s">
        <v>743</v>
      </c>
      <c r="N294" s="312" t="s">
        <v>765</v>
      </c>
    </row>
    <row r="295" spans="2:14" ht="24.9" customHeight="1" x14ac:dyDescent="0.3">
      <c r="B295" s="332" t="s">
        <v>363</v>
      </c>
      <c r="C295" s="311">
        <v>6</v>
      </c>
      <c r="D295" s="317" t="s">
        <v>743</v>
      </c>
      <c r="E295" s="320">
        <v>32045977</v>
      </c>
      <c r="F295" s="326" t="s">
        <v>744</v>
      </c>
      <c r="G295" s="334" t="s">
        <v>745</v>
      </c>
      <c r="H295" s="316">
        <v>32139711</v>
      </c>
      <c r="I295" s="316">
        <f>Table5[[#This Row],[ÁREA]]</f>
        <v>6</v>
      </c>
      <c r="J295" s="317" t="s">
        <v>766</v>
      </c>
      <c r="K295" s="319" t="s">
        <v>767</v>
      </c>
      <c r="L295" s="318">
        <v>14</v>
      </c>
      <c r="M295" s="317" t="s">
        <v>743</v>
      </c>
      <c r="N295" s="312" t="s">
        <v>651</v>
      </c>
    </row>
    <row r="296" spans="2:14" ht="24.9" customHeight="1" x14ac:dyDescent="0.3">
      <c r="B296" s="351" t="s">
        <v>363</v>
      </c>
      <c r="C296" s="352">
        <v>6</v>
      </c>
      <c r="D296" s="317" t="s">
        <v>743</v>
      </c>
      <c r="E296" s="318">
        <v>32045977</v>
      </c>
      <c r="F296" s="326" t="s">
        <v>744</v>
      </c>
      <c r="G296" s="315" t="s">
        <v>745</v>
      </c>
      <c r="H296" s="353">
        <v>32142945</v>
      </c>
      <c r="I296" s="353">
        <f>Table5[[#This Row],[ÁREA]]</f>
        <v>6</v>
      </c>
      <c r="J296" s="338" t="s">
        <v>768</v>
      </c>
      <c r="K296" s="319" t="s">
        <v>769</v>
      </c>
      <c r="L296" s="354">
        <v>14</v>
      </c>
      <c r="M296" s="338" t="s">
        <v>743</v>
      </c>
      <c r="N296" s="355" t="s">
        <v>456</v>
      </c>
    </row>
    <row r="297" spans="2:14" ht="24.9" customHeight="1" x14ac:dyDescent="0.3">
      <c r="B297" s="351" t="s">
        <v>363</v>
      </c>
      <c r="C297" s="352">
        <v>6</v>
      </c>
      <c r="D297" s="317" t="s">
        <v>743</v>
      </c>
      <c r="E297" s="320">
        <v>32045977</v>
      </c>
      <c r="F297" s="326" t="s">
        <v>744</v>
      </c>
      <c r="G297" s="315" t="s">
        <v>745</v>
      </c>
      <c r="H297" s="353">
        <v>32143042</v>
      </c>
      <c r="I297" s="353">
        <f>Table5[[#This Row],[ÁREA]]</f>
        <v>6</v>
      </c>
      <c r="J297" s="338" t="s">
        <v>770</v>
      </c>
      <c r="K297" s="319" t="s">
        <v>771</v>
      </c>
      <c r="L297" s="354">
        <v>14</v>
      </c>
      <c r="M297" s="338" t="s">
        <v>743</v>
      </c>
      <c r="N297" s="355" t="s">
        <v>705</v>
      </c>
    </row>
    <row r="298" spans="2:14" ht="24.9" customHeight="1" x14ac:dyDescent="0.3">
      <c r="B298" s="351" t="s">
        <v>363</v>
      </c>
      <c r="C298" s="311">
        <v>6</v>
      </c>
      <c r="D298" s="317" t="s">
        <v>743</v>
      </c>
      <c r="E298" s="320">
        <v>32045977</v>
      </c>
      <c r="F298" s="326" t="s">
        <v>744</v>
      </c>
      <c r="G298" s="315"/>
      <c r="H298" s="316">
        <v>32171440</v>
      </c>
      <c r="I298" s="316">
        <v>6</v>
      </c>
      <c r="J298" s="317" t="s">
        <v>772</v>
      </c>
      <c r="L298" s="318"/>
      <c r="M298" s="317" t="s">
        <v>743</v>
      </c>
      <c r="N298" s="312" t="s">
        <v>719</v>
      </c>
    </row>
    <row r="299" spans="2:14" ht="24.9" customHeight="1" x14ac:dyDescent="0.3">
      <c r="B299" s="351" t="s">
        <v>363</v>
      </c>
      <c r="C299" s="311">
        <v>6</v>
      </c>
      <c r="D299" s="317" t="s">
        <v>743</v>
      </c>
      <c r="E299" s="354">
        <v>32045977</v>
      </c>
      <c r="F299" s="356" t="s">
        <v>744</v>
      </c>
      <c r="G299" s="315" t="s">
        <v>745</v>
      </c>
      <c r="H299" s="316">
        <v>32148626</v>
      </c>
      <c r="I299" s="316">
        <f>Table5[[#This Row],[ÁREA]]</f>
        <v>6</v>
      </c>
      <c r="J299" s="317" t="s">
        <v>773</v>
      </c>
      <c r="K299" s="319" t="s">
        <v>774</v>
      </c>
      <c r="L299" s="318">
        <v>14</v>
      </c>
      <c r="M299" s="317" t="s">
        <v>743</v>
      </c>
      <c r="N299" s="312" t="s">
        <v>719</v>
      </c>
    </row>
    <row r="300" spans="2:14" ht="24.9" customHeight="1" x14ac:dyDescent="0.3">
      <c r="B300" s="351" t="s">
        <v>363</v>
      </c>
      <c r="C300" s="311">
        <v>6</v>
      </c>
      <c r="D300" s="317" t="s">
        <v>743</v>
      </c>
      <c r="E300" s="354">
        <v>32045977</v>
      </c>
      <c r="F300" s="356" t="s">
        <v>744</v>
      </c>
      <c r="G300" s="331" t="s">
        <v>745</v>
      </c>
      <c r="H300" s="316">
        <v>32186164</v>
      </c>
      <c r="I300" s="316">
        <f>Table5[[#This Row],[ÁREA]]</f>
        <v>6</v>
      </c>
      <c r="J300" s="317" t="s">
        <v>775</v>
      </c>
      <c r="K300" s="317" t="s">
        <v>61</v>
      </c>
      <c r="L300" s="318">
        <v>14</v>
      </c>
      <c r="M300" s="317" t="s">
        <v>743</v>
      </c>
      <c r="N300" s="312" t="s">
        <v>776</v>
      </c>
    </row>
    <row r="301" spans="2:14" ht="24.9" customHeight="1" x14ac:dyDescent="0.3">
      <c r="B301" s="311" t="s">
        <v>363</v>
      </c>
      <c r="C301" s="311">
        <v>6</v>
      </c>
      <c r="D301" s="317" t="s">
        <v>743</v>
      </c>
      <c r="E301" s="313">
        <v>32045977</v>
      </c>
      <c r="F301" s="323" t="s">
        <v>744</v>
      </c>
      <c r="G301" s="315" t="s">
        <v>745</v>
      </c>
      <c r="H301" s="316">
        <v>32188125</v>
      </c>
      <c r="I301" s="316">
        <f>Table5[[#This Row],[ÁREA]]</f>
        <v>6</v>
      </c>
      <c r="J301" s="317" t="s">
        <v>777</v>
      </c>
      <c r="K301" s="319" t="s">
        <v>778</v>
      </c>
      <c r="L301" s="318">
        <v>14</v>
      </c>
      <c r="M301" s="317" t="s">
        <v>743</v>
      </c>
      <c r="N301" s="312" t="s">
        <v>779</v>
      </c>
    </row>
    <row r="302" spans="2:14" ht="24.9" customHeight="1" x14ac:dyDescent="0.3">
      <c r="B302" s="351" t="s">
        <v>363</v>
      </c>
      <c r="C302" s="311">
        <v>6</v>
      </c>
      <c r="D302" s="317" t="s">
        <v>780</v>
      </c>
      <c r="E302" s="313">
        <v>32168009</v>
      </c>
      <c r="F302" s="323" t="s">
        <v>781</v>
      </c>
      <c r="G302" s="334" t="s">
        <v>782</v>
      </c>
      <c r="H302" s="316">
        <v>32043943</v>
      </c>
      <c r="I302" s="316">
        <f>Table5[[#This Row],[ÁREA]]</f>
        <v>6</v>
      </c>
      <c r="J302" s="317" t="s">
        <v>783</v>
      </c>
      <c r="K302" s="319" t="s">
        <v>784</v>
      </c>
      <c r="L302" s="318">
        <v>16</v>
      </c>
      <c r="M302" s="317" t="s">
        <v>780</v>
      </c>
      <c r="N302" s="312" t="s">
        <v>779</v>
      </c>
    </row>
    <row r="303" spans="2:14" ht="24.9" customHeight="1" x14ac:dyDescent="0.3">
      <c r="B303" s="351" t="s">
        <v>363</v>
      </c>
      <c r="C303" s="311">
        <v>6</v>
      </c>
      <c r="D303" s="317" t="s">
        <v>780</v>
      </c>
      <c r="E303" s="313">
        <v>32168009</v>
      </c>
      <c r="F303" s="323" t="s">
        <v>781</v>
      </c>
      <c r="G303" s="315" t="s">
        <v>782</v>
      </c>
      <c r="H303" s="316">
        <v>32044354</v>
      </c>
      <c r="I303" s="316">
        <f>Table5[[#This Row],[ÁREA]]</f>
        <v>6</v>
      </c>
      <c r="J303" s="317" t="s">
        <v>785</v>
      </c>
      <c r="K303" s="315" t="s">
        <v>786</v>
      </c>
      <c r="L303" s="318">
        <v>16</v>
      </c>
      <c r="M303" s="317" t="s">
        <v>780</v>
      </c>
      <c r="N303" s="312" t="s">
        <v>481</v>
      </c>
    </row>
    <row r="304" spans="2:14" ht="24.9" customHeight="1" x14ac:dyDescent="0.3">
      <c r="B304" s="311" t="s">
        <v>363</v>
      </c>
      <c r="C304" s="311">
        <v>6</v>
      </c>
      <c r="D304" s="317" t="s">
        <v>780</v>
      </c>
      <c r="E304" s="313">
        <v>32168009</v>
      </c>
      <c r="F304" s="323" t="s">
        <v>781</v>
      </c>
      <c r="G304" s="315" t="s">
        <v>782</v>
      </c>
      <c r="H304" s="316">
        <v>32044444</v>
      </c>
      <c r="I304" s="316">
        <f>Table5[[#This Row],[ÁREA]]</f>
        <v>6</v>
      </c>
      <c r="J304" s="317" t="s">
        <v>787</v>
      </c>
      <c r="K304" s="319" t="s">
        <v>788</v>
      </c>
      <c r="L304" s="318">
        <v>16</v>
      </c>
      <c r="M304" s="317" t="s">
        <v>780</v>
      </c>
      <c r="N304" s="312" t="s">
        <v>666</v>
      </c>
    </row>
    <row r="305" spans="2:14" ht="24.9" customHeight="1" x14ac:dyDescent="0.3">
      <c r="B305" s="311" t="s">
        <v>363</v>
      </c>
      <c r="C305" s="311">
        <v>6</v>
      </c>
      <c r="D305" s="317" t="s">
        <v>780</v>
      </c>
      <c r="E305" s="313">
        <v>32168009</v>
      </c>
      <c r="F305" s="323" t="s">
        <v>781</v>
      </c>
      <c r="G305" s="334" t="s">
        <v>782</v>
      </c>
      <c r="H305" s="316">
        <v>32044622</v>
      </c>
      <c r="I305" s="316">
        <f>Table5[[#This Row],[ÁREA]]</f>
        <v>6</v>
      </c>
      <c r="J305" s="317" t="s">
        <v>789</v>
      </c>
      <c r="K305" s="322" t="s">
        <v>790</v>
      </c>
      <c r="L305" s="318">
        <v>16</v>
      </c>
      <c r="M305" s="317" t="s">
        <v>780</v>
      </c>
      <c r="N305" s="312" t="s">
        <v>467</v>
      </c>
    </row>
    <row r="306" spans="2:14" ht="24.9" customHeight="1" x14ac:dyDescent="0.3">
      <c r="B306" s="351" t="s">
        <v>363</v>
      </c>
      <c r="C306" s="311">
        <v>6</v>
      </c>
      <c r="D306" s="317" t="s">
        <v>780</v>
      </c>
      <c r="E306" s="357">
        <v>32168009</v>
      </c>
      <c r="F306" s="326" t="s">
        <v>781</v>
      </c>
      <c r="G306" s="334" t="s">
        <v>782</v>
      </c>
      <c r="H306" s="316">
        <v>32044703</v>
      </c>
      <c r="I306" s="316">
        <f>Table5[[#This Row],[ÁREA]]</f>
        <v>6</v>
      </c>
      <c r="J306" s="317" t="s">
        <v>791</v>
      </c>
      <c r="K306" s="319" t="s">
        <v>792</v>
      </c>
      <c r="L306" s="318">
        <v>16</v>
      </c>
      <c r="M306" s="317" t="s">
        <v>780</v>
      </c>
      <c r="N306" s="312" t="s">
        <v>758</v>
      </c>
    </row>
    <row r="307" spans="2:14" ht="24.9" customHeight="1" x14ac:dyDescent="0.3">
      <c r="B307" s="351" t="s">
        <v>363</v>
      </c>
      <c r="C307" s="311">
        <v>6</v>
      </c>
      <c r="D307" s="317" t="s">
        <v>780</v>
      </c>
      <c r="E307" s="318">
        <v>32168009</v>
      </c>
      <c r="F307" s="358" t="s">
        <v>781</v>
      </c>
      <c r="G307" s="315" t="s">
        <v>782</v>
      </c>
      <c r="H307" s="316">
        <v>32044710</v>
      </c>
      <c r="I307" s="316">
        <f>Table5[[#This Row],[ÁREA]]</f>
        <v>6</v>
      </c>
      <c r="J307" s="317" t="s">
        <v>793</v>
      </c>
      <c r="K307" s="319" t="s">
        <v>794</v>
      </c>
      <c r="L307" s="318">
        <v>16</v>
      </c>
      <c r="M307" s="317" t="s">
        <v>780</v>
      </c>
      <c r="N307" s="312" t="s">
        <v>447</v>
      </c>
    </row>
    <row r="308" spans="2:14" ht="24.9" customHeight="1" x14ac:dyDescent="0.3">
      <c r="B308" s="351" t="s">
        <v>363</v>
      </c>
      <c r="C308" s="311">
        <v>6</v>
      </c>
      <c r="D308" s="317" t="s">
        <v>780</v>
      </c>
      <c r="E308" s="318">
        <v>32168009</v>
      </c>
      <c r="F308" s="326" t="s">
        <v>781</v>
      </c>
      <c r="G308" s="315" t="s">
        <v>782</v>
      </c>
      <c r="H308" s="316">
        <v>32044745</v>
      </c>
      <c r="I308" s="316">
        <f>Table5[[#This Row],[ÁREA]]</f>
        <v>6</v>
      </c>
      <c r="J308" s="317" t="s">
        <v>795</v>
      </c>
      <c r="K308" s="319" t="s">
        <v>796</v>
      </c>
      <c r="L308" s="318">
        <v>16</v>
      </c>
      <c r="M308" s="317" t="s">
        <v>780</v>
      </c>
      <c r="N308" s="312" t="s">
        <v>464</v>
      </c>
    </row>
    <row r="309" spans="2:14" ht="24.9" customHeight="1" x14ac:dyDescent="0.3">
      <c r="B309" s="351" t="s">
        <v>363</v>
      </c>
      <c r="C309" s="311">
        <v>6</v>
      </c>
      <c r="D309" s="317" t="s">
        <v>780</v>
      </c>
      <c r="E309" s="313">
        <v>32168009</v>
      </c>
      <c r="F309" s="323" t="s">
        <v>781</v>
      </c>
      <c r="G309" s="315" t="s">
        <v>782</v>
      </c>
      <c r="H309" s="316">
        <v>32045551</v>
      </c>
      <c r="I309" s="316">
        <f>Table5[[#This Row],[ÁREA]]</f>
        <v>6</v>
      </c>
      <c r="J309" s="317" t="s">
        <v>797</v>
      </c>
      <c r="K309" s="315" t="s">
        <v>798</v>
      </c>
      <c r="L309" s="318">
        <v>16</v>
      </c>
      <c r="M309" s="317" t="s">
        <v>780</v>
      </c>
      <c r="N309" s="312" t="s">
        <v>651</v>
      </c>
    </row>
    <row r="310" spans="2:14" ht="24.9" customHeight="1" x14ac:dyDescent="0.3">
      <c r="B310" s="351" t="s">
        <v>363</v>
      </c>
      <c r="C310" s="311">
        <v>6</v>
      </c>
      <c r="D310" s="317" t="s">
        <v>780</v>
      </c>
      <c r="E310" s="313">
        <v>32168009</v>
      </c>
      <c r="F310" s="323" t="s">
        <v>781</v>
      </c>
      <c r="G310" s="315" t="s">
        <v>782</v>
      </c>
      <c r="H310" s="316">
        <v>32045623</v>
      </c>
      <c r="I310" s="316">
        <f>Table5[[#This Row],[ÁREA]]</f>
        <v>6</v>
      </c>
      <c r="J310" s="317" t="s">
        <v>799</v>
      </c>
      <c r="K310" s="319" t="s">
        <v>800</v>
      </c>
      <c r="L310" s="318">
        <v>16</v>
      </c>
      <c r="M310" s="317" t="s">
        <v>780</v>
      </c>
      <c r="N310" s="312" t="s">
        <v>705</v>
      </c>
    </row>
    <row r="311" spans="2:14" ht="24.9" customHeight="1" x14ac:dyDescent="0.3">
      <c r="B311" s="351" t="s">
        <v>363</v>
      </c>
      <c r="C311" s="311">
        <v>6</v>
      </c>
      <c r="D311" s="317" t="s">
        <v>780</v>
      </c>
      <c r="E311" s="313">
        <v>32168009</v>
      </c>
      <c r="F311" s="323" t="s">
        <v>781</v>
      </c>
      <c r="G311" s="315" t="s">
        <v>782</v>
      </c>
      <c r="H311" s="316">
        <v>32056899</v>
      </c>
      <c r="I311" s="316">
        <f>Table5[[#This Row],[ÁREA]]</f>
        <v>6</v>
      </c>
      <c r="J311" s="317" t="s">
        <v>801</v>
      </c>
      <c r="K311" s="319" t="s">
        <v>802</v>
      </c>
      <c r="L311" s="318">
        <v>16</v>
      </c>
      <c r="M311" s="317" t="s">
        <v>780</v>
      </c>
      <c r="N311" s="312" t="s">
        <v>564</v>
      </c>
    </row>
    <row r="312" spans="2:14" ht="24.9" customHeight="1" x14ac:dyDescent="0.3">
      <c r="B312" s="351" t="s">
        <v>363</v>
      </c>
      <c r="C312" s="311">
        <v>6</v>
      </c>
      <c r="D312" s="317" t="s">
        <v>780</v>
      </c>
      <c r="E312" s="313">
        <v>32168009</v>
      </c>
      <c r="F312" s="323" t="s">
        <v>781</v>
      </c>
      <c r="G312" s="315" t="s">
        <v>782</v>
      </c>
      <c r="H312" s="316">
        <v>32058093</v>
      </c>
      <c r="I312" s="316">
        <f>Table5[[#This Row],[ÁREA]]</f>
        <v>6</v>
      </c>
      <c r="J312" s="317" t="s">
        <v>803</v>
      </c>
      <c r="K312" s="319" t="s">
        <v>804</v>
      </c>
      <c r="L312" s="318">
        <v>16</v>
      </c>
      <c r="M312" s="317" t="s">
        <v>780</v>
      </c>
      <c r="N312" s="312" t="s">
        <v>481</v>
      </c>
    </row>
    <row r="313" spans="2:14" ht="24.9" customHeight="1" x14ac:dyDescent="0.3">
      <c r="B313" s="351" t="s">
        <v>363</v>
      </c>
      <c r="C313" s="311">
        <v>6</v>
      </c>
      <c r="D313" s="317" t="s">
        <v>780</v>
      </c>
      <c r="E313" s="320">
        <v>32168009</v>
      </c>
      <c r="F313" s="324" t="s">
        <v>781</v>
      </c>
      <c r="G313" s="315" t="s">
        <v>782</v>
      </c>
      <c r="H313" s="316">
        <v>32067156</v>
      </c>
      <c r="I313" s="316">
        <f>Table5[[#This Row],[ÁREA]]</f>
        <v>6</v>
      </c>
      <c r="J313" s="317" t="s">
        <v>805</v>
      </c>
      <c r="K313" s="319" t="s">
        <v>806</v>
      </c>
      <c r="L313" s="318">
        <v>16</v>
      </c>
      <c r="M313" s="317" t="s">
        <v>780</v>
      </c>
      <c r="N313" s="312" t="s">
        <v>807</v>
      </c>
    </row>
    <row r="314" spans="2:14" ht="24.9" customHeight="1" x14ac:dyDescent="0.3">
      <c r="B314" s="351" t="s">
        <v>363</v>
      </c>
      <c r="C314" s="311">
        <v>6</v>
      </c>
      <c r="D314" s="317" t="s">
        <v>780</v>
      </c>
      <c r="E314" s="320">
        <v>32168009</v>
      </c>
      <c r="F314" s="324" t="s">
        <v>781</v>
      </c>
      <c r="G314" s="315" t="s">
        <v>782</v>
      </c>
      <c r="H314" s="316">
        <v>32067180</v>
      </c>
      <c r="I314" s="316">
        <f>Table5[[#This Row],[ÁREA]]</f>
        <v>6</v>
      </c>
      <c r="J314" s="317" t="s">
        <v>808</v>
      </c>
      <c r="K314" s="315" t="s">
        <v>809</v>
      </c>
      <c r="L314" s="318">
        <v>16</v>
      </c>
      <c r="M314" s="317" t="s">
        <v>780</v>
      </c>
      <c r="N314" s="312" t="s">
        <v>461</v>
      </c>
    </row>
    <row r="315" spans="2:14" ht="24.9" customHeight="1" x14ac:dyDescent="0.3">
      <c r="B315" s="351" t="s">
        <v>363</v>
      </c>
      <c r="C315" s="311">
        <v>6</v>
      </c>
      <c r="D315" s="317" t="s">
        <v>780</v>
      </c>
      <c r="E315" s="320">
        <v>32168009</v>
      </c>
      <c r="F315" s="324" t="s">
        <v>781</v>
      </c>
      <c r="G315" s="315" t="s">
        <v>782</v>
      </c>
      <c r="H315" s="316">
        <v>32132588</v>
      </c>
      <c r="I315" s="316">
        <f>Table5[[#This Row],[ÁREA]]</f>
        <v>6</v>
      </c>
      <c r="J315" s="317" t="s">
        <v>810</v>
      </c>
      <c r="K315" s="319" t="s">
        <v>811</v>
      </c>
      <c r="L315" s="318">
        <v>16</v>
      </c>
      <c r="M315" s="317" t="s">
        <v>780</v>
      </c>
      <c r="N315" s="312" t="s">
        <v>812</v>
      </c>
    </row>
    <row r="316" spans="2:14" ht="24.9" customHeight="1" x14ac:dyDescent="0.3">
      <c r="B316" s="351" t="s">
        <v>363</v>
      </c>
      <c r="C316" s="311">
        <v>6</v>
      </c>
      <c r="D316" s="317" t="s">
        <v>780</v>
      </c>
      <c r="E316" s="313">
        <v>32168009</v>
      </c>
      <c r="F316" s="323" t="s">
        <v>781</v>
      </c>
      <c r="G316" s="315" t="s">
        <v>782</v>
      </c>
      <c r="H316" s="316">
        <v>32155905</v>
      </c>
      <c r="I316" s="316">
        <f>Table5[[#This Row],[ÁREA]]</f>
        <v>6</v>
      </c>
      <c r="J316" s="317" t="s">
        <v>813</v>
      </c>
      <c r="K316" s="319" t="s">
        <v>814</v>
      </c>
      <c r="L316" s="318">
        <v>16</v>
      </c>
      <c r="M316" s="317" t="s">
        <v>780</v>
      </c>
      <c r="N316" s="312" t="s">
        <v>456</v>
      </c>
    </row>
    <row r="317" spans="2:14" ht="24.9" customHeight="1" x14ac:dyDescent="0.3">
      <c r="B317" s="351" t="s">
        <v>363</v>
      </c>
      <c r="C317" s="311">
        <v>6</v>
      </c>
      <c r="D317" s="317" t="s">
        <v>780</v>
      </c>
      <c r="E317" s="313">
        <v>32168009</v>
      </c>
      <c r="F317" s="323" t="s">
        <v>781</v>
      </c>
      <c r="G317" s="315" t="s">
        <v>782</v>
      </c>
      <c r="H317" s="316">
        <v>32171445</v>
      </c>
      <c r="I317" s="316">
        <f>Table5[[#This Row],[ÁREA]]</f>
        <v>6</v>
      </c>
      <c r="J317" s="317" t="s">
        <v>815</v>
      </c>
      <c r="K317" s="328" t="s">
        <v>61</v>
      </c>
      <c r="L317" s="318">
        <v>16</v>
      </c>
      <c r="M317" s="317" t="s">
        <v>780</v>
      </c>
      <c r="N317" s="312" t="s">
        <v>666</v>
      </c>
    </row>
    <row r="318" spans="2:14" ht="24.9" customHeight="1" x14ac:dyDescent="0.3">
      <c r="B318" s="351" t="s">
        <v>363</v>
      </c>
      <c r="C318" s="311">
        <v>6</v>
      </c>
      <c r="D318" s="318" t="s">
        <v>816</v>
      </c>
      <c r="E318" s="330">
        <v>32147381</v>
      </c>
      <c r="F318" s="314" t="s">
        <v>817</v>
      </c>
      <c r="G318" s="331" t="s">
        <v>818</v>
      </c>
      <c r="H318" s="316">
        <v>32044100</v>
      </c>
      <c r="I318" s="316">
        <f>Table5[[#This Row],[ÁREA]]</f>
        <v>6</v>
      </c>
      <c r="J318" s="317" t="s">
        <v>819</v>
      </c>
      <c r="K318" s="319" t="s">
        <v>820</v>
      </c>
      <c r="L318" s="318">
        <v>15</v>
      </c>
      <c r="M318" s="317" t="s">
        <v>816</v>
      </c>
      <c r="N318" s="312" t="s">
        <v>651</v>
      </c>
    </row>
    <row r="319" spans="2:14" ht="24.9" customHeight="1" x14ac:dyDescent="0.3">
      <c r="B319" s="351" t="s">
        <v>363</v>
      </c>
      <c r="C319" s="311">
        <v>6</v>
      </c>
      <c r="D319" s="318" t="s">
        <v>816</v>
      </c>
      <c r="E319" s="330">
        <v>32147381</v>
      </c>
      <c r="F319" s="314" t="s">
        <v>817</v>
      </c>
      <c r="G319" s="334" t="s">
        <v>818</v>
      </c>
      <c r="H319" s="316">
        <v>32044705</v>
      </c>
      <c r="I319" s="316">
        <f>Table5[[#This Row],[ÁREA]]</f>
        <v>6</v>
      </c>
      <c r="J319" s="317" t="s">
        <v>821</v>
      </c>
      <c r="K319" s="319" t="s">
        <v>822</v>
      </c>
      <c r="L319" s="318">
        <v>15</v>
      </c>
      <c r="M319" s="317" t="s">
        <v>816</v>
      </c>
      <c r="N319" s="312" t="s">
        <v>779</v>
      </c>
    </row>
    <row r="320" spans="2:14" ht="24.9" customHeight="1" x14ac:dyDescent="0.3">
      <c r="B320" s="351" t="s">
        <v>363</v>
      </c>
      <c r="C320" s="352">
        <v>6</v>
      </c>
      <c r="D320" s="318" t="s">
        <v>816</v>
      </c>
      <c r="E320" s="329">
        <v>32147381</v>
      </c>
      <c r="F320" s="321" t="s">
        <v>817</v>
      </c>
      <c r="G320" s="315" t="s">
        <v>818</v>
      </c>
      <c r="H320" s="353">
        <v>32045074</v>
      </c>
      <c r="I320" s="353">
        <f>Table5[[#This Row],[ÁREA]]</f>
        <v>6</v>
      </c>
      <c r="J320" s="338" t="s">
        <v>823</v>
      </c>
      <c r="K320" s="319" t="s">
        <v>824</v>
      </c>
      <c r="L320" s="354">
        <v>15</v>
      </c>
      <c r="M320" s="338" t="s">
        <v>816</v>
      </c>
      <c r="N320" s="355" t="s">
        <v>807</v>
      </c>
    </row>
    <row r="321" spans="2:14" ht="24.9" customHeight="1" x14ac:dyDescent="0.3">
      <c r="B321" s="351" t="s">
        <v>363</v>
      </c>
      <c r="C321" s="311">
        <v>6</v>
      </c>
      <c r="D321" s="318" t="s">
        <v>816</v>
      </c>
      <c r="E321" s="330">
        <v>32147381</v>
      </c>
      <c r="F321" s="314" t="s">
        <v>817</v>
      </c>
      <c r="G321" s="325" t="s">
        <v>818</v>
      </c>
      <c r="H321" s="316">
        <v>32045584</v>
      </c>
      <c r="I321" s="316">
        <f>Table5[[#This Row],[ÁREA]]</f>
        <v>6</v>
      </c>
      <c r="J321" s="317" t="s">
        <v>825</v>
      </c>
      <c r="K321" s="319" t="s">
        <v>826</v>
      </c>
      <c r="L321" s="318">
        <v>15</v>
      </c>
      <c r="M321" s="317" t="s">
        <v>816</v>
      </c>
      <c r="N321" s="312" t="s">
        <v>666</v>
      </c>
    </row>
    <row r="322" spans="2:14" ht="24.9" customHeight="1" x14ac:dyDescent="0.3">
      <c r="B322" s="351" t="s">
        <v>363</v>
      </c>
      <c r="C322" s="311">
        <v>6</v>
      </c>
      <c r="D322" s="318" t="s">
        <v>816</v>
      </c>
      <c r="E322" s="330">
        <v>32147381</v>
      </c>
      <c r="F322" s="314" t="s">
        <v>817</v>
      </c>
      <c r="G322" s="315" t="s">
        <v>818</v>
      </c>
      <c r="H322" s="316">
        <v>32046011</v>
      </c>
      <c r="I322" s="316">
        <f>Table5[[#This Row],[ÁREA]]</f>
        <v>6</v>
      </c>
      <c r="J322" s="317" t="s">
        <v>827</v>
      </c>
      <c r="K322" s="319" t="s">
        <v>828</v>
      </c>
      <c r="L322" s="318">
        <v>15</v>
      </c>
      <c r="M322" s="317" t="s">
        <v>816</v>
      </c>
      <c r="N322" s="312" t="s">
        <v>758</v>
      </c>
    </row>
    <row r="323" spans="2:14" ht="24.9" customHeight="1" x14ac:dyDescent="0.3">
      <c r="B323" s="351" t="s">
        <v>363</v>
      </c>
      <c r="C323" s="311">
        <v>6</v>
      </c>
      <c r="D323" s="318" t="s">
        <v>816</v>
      </c>
      <c r="E323" s="330">
        <v>32147381</v>
      </c>
      <c r="F323" s="314" t="s">
        <v>817</v>
      </c>
      <c r="G323" s="315" t="s">
        <v>818</v>
      </c>
      <c r="H323" s="316">
        <v>32046234</v>
      </c>
      <c r="I323" s="316">
        <f>Table5[[#This Row],[ÁREA]]</f>
        <v>6</v>
      </c>
      <c r="J323" s="317" t="s">
        <v>829</v>
      </c>
      <c r="K323" s="319" t="s">
        <v>830</v>
      </c>
      <c r="L323" s="318">
        <v>15</v>
      </c>
      <c r="M323" s="317" t="s">
        <v>816</v>
      </c>
      <c r="N323" s="312" t="s">
        <v>447</v>
      </c>
    </row>
    <row r="324" spans="2:14" ht="24.9" customHeight="1" x14ac:dyDescent="0.3">
      <c r="B324" s="351" t="s">
        <v>363</v>
      </c>
      <c r="C324" s="352">
        <v>6</v>
      </c>
      <c r="D324" s="318" t="s">
        <v>816</v>
      </c>
      <c r="E324" s="329">
        <v>32147381</v>
      </c>
      <c r="F324" s="321" t="s">
        <v>817</v>
      </c>
      <c r="G324" s="315" t="s">
        <v>818</v>
      </c>
      <c r="H324" s="353">
        <v>32046441</v>
      </c>
      <c r="I324" s="353">
        <f>Table5[[#This Row],[ÁREA]]</f>
        <v>6</v>
      </c>
      <c r="J324" s="338" t="s">
        <v>831</v>
      </c>
      <c r="K324" s="319" t="s">
        <v>832</v>
      </c>
      <c r="L324" s="354">
        <v>15</v>
      </c>
      <c r="M324" s="338" t="s">
        <v>816</v>
      </c>
      <c r="N324" s="355" t="s">
        <v>705</v>
      </c>
    </row>
    <row r="325" spans="2:14" ht="24.9" customHeight="1" x14ac:dyDescent="0.3">
      <c r="B325" s="351" t="s">
        <v>363</v>
      </c>
      <c r="C325" s="311">
        <v>6</v>
      </c>
      <c r="D325" s="318" t="s">
        <v>816</v>
      </c>
      <c r="E325" s="329">
        <v>32147381</v>
      </c>
      <c r="F325" s="321" t="s">
        <v>817</v>
      </c>
      <c r="G325" s="315" t="s">
        <v>818</v>
      </c>
      <c r="H325" s="316">
        <v>32067362</v>
      </c>
      <c r="I325" s="316">
        <f>Table5[[#This Row],[ÁREA]]</f>
        <v>6</v>
      </c>
      <c r="J325" s="317" t="s">
        <v>833</v>
      </c>
      <c r="K325" s="319" t="s">
        <v>834</v>
      </c>
      <c r="L325" s="318">
        <v>15</v>
      </c>
      <c r="M325" s="317" t="s">
        <v>816</v>
      </c>
      <c r="N325" s="312" t="s">
        <v>461</v>
      </c>
    </row>
    <row r="326" spans="2:14" ht="24.9" customHeight="1" x14ac:dyDescent="0.3">
      <c r="B326" s="351" t="s">
        <v>363</v>
      </c>
      <c r="C326" s="311">
        <v>6</v>
      </c>
      <c r="D326" s="318" t="s">
        <v>816</v>
      </c>
      <c r="E326" s="330">
        <v>32147381</v>
      </c>
      <c r="F326" s="314" t="s">
        <v>817</v>
      </c>
      <c r="G326" s="315" t="s">
        <v>818</v>
      </c>
      <c r="H326" s="316">
        <v>32110718</v>
      </c>
      <c r="I326" s="316">
        <f>Table5[[#This Row],[ÁREA]]</f>
        <v>6</v>
      </c>
      <c r="J326" s="317" t="s">
        <v>835</v>
      </c>
      <c r="K326" s="322" t="s">
        <v>836</v>
      </c>
      <c r="L326" s="318">
        <v>15</v>
      </c>
      <c r="M326" s="317" t="s">
        <v>816</v>
      </c>
      <c r="N326" s="312" t="s">
        <v>765</v>
      </c>
    </row>
    <row r="327" spans="2:14" ht="24.9" customHeight="1" x14ac:dyDescent="0.3">
      <c r="B327" s="351" t="s">
        <v>363</v>
      </c>
      <c r="C327" s="311">
        <v>6</v>
      </c>
      <c r="D327" s="318" t="s">
        <v>816</v>
      </c>
      <c r="E327" s="330">
        <v>32147381</v>
      </c>
      <c r="F327" s="314" t="s">
        <v>817</v>
      </c>
      <c r="G327" s="315" t="s">
        <v>818</v>
      </c>
      <c r="H327" s="316">
        <v>32143044</v>
      </c>
      <c r="I327" s="316">
        <f>Table5[[#This Row],[ÁREA]]</f>
        <v>6</v>
      </c>
      <c r="J327" s="317" t="s">
        <v>837</v>
      </c>
      <c r="K327" s="319" t="s">
        <v>838</v>
      </c>
      <c r="L327" s="318">
        <v>15</v>
      </c>
      <c r="M327" s="317" t="s">
        <v>816</v>
      </c>
      <c r="N327" s="312" t="s">
        <v>719</v>
      </c>
    </row>
    <row r="328" spans="2:14" ht="24.9" customHeight="1" x14ac:dyDescent="0.3">
      <c r="B328" s="351" t="s">
        <v>363</v>
      </c>
      <c r="C328" s="311">
        <v>6</v>
      </c>
      <c r="D328" s="318" t="s">
        <v>816</v>
      </c>
      <c r="E328" s="330">
        <v>32147381</v>
      </c>
      <c r="F328" s="314" t="s">
        <v>817</v>
      </c>
      <c r="G328" s="315" t="s">
        <v>818</v>
      </c>
      <c r="H328" s="316">
        <v>32143273</v>
      </c>
      <c r="I328" s="316">
        <f>Table5[[#This Row],[ÁREA]]</f>
        <v>6</v>
      </c>
      <c r="J328" s="317" t="s">
        <v>839</v>
      </c>
      <c r="K328" s="328" t="s">
        <v>840</v>
      </c>
      <c r="L328" s="318">
        <v>15</v>
      </c>
      <c r="M328" s="317" t="s">
        <v>816</v>
      </c>
      <c r="N328" s="312" t="s">
        <v>467</v>
      </c>
    </row>
    <row r="329" spans="2:14" ht="24.9" customHeight="1" x14ac:dyDescent="0.3">
      <c r="B329" s="351" t="s">
        <v>363</v>
      </c>
      <c r="C329" s="311">
        <v>6</v>
      </c>
      <c r="D329" s="318" t="s">
        <v>816</v>
      </c>
      <c r="E329" s="330">
        <v>32147381</v>
      </c>
      <c r="F329" s="314" t="s">
        <v>817</v>
      </c>
      <c r="G329" s="315" t="s">
        <v>818</v>
      </c>
      <c r="H329" s="316">
        <v>32154115</v>
      </c>
      <c r="I329" s="316">
        <f>Table5[[#This Row],[ÁREA]]</f>
        <v>6</v>
      </c>
      <c r="J329" s="317" t="s">
        <v>841</v>
      </c>
      <c r="K329" s="328" t="s">
        <v>61</v>
      </c>
      <c r="L329" s="318">
        <v>15</v>
      </c>
      <c r="M329" s="317" t="s">
        <v>816</v>
      </c>
      <c r="N329" s="312" t="s">
        <v>456</v>
      </c>
    </row>
    <row r="330" spans="2:14" ht="24.9" customHeight="1" x14ac:dyDescent="0.3">
      <c r="B330" s="351" t="s">
        <v>363</v>
      </c>
      <c r="C330" s="311">
        <v>6</v>
      </c>
      <c r="D330" s="318" t="s">
        <v>816</v>
      </c>
      <c r="E330" s="330">
        <v>32147381</v>
      </c>
      <c r="F330" s="314" t="s">
        <v>817</v>
      </c>
      <c r="G330" s="315" t="s">
        <v>818</v>
      </c>
      <c r="H330" s="316">
        <v>32171437</v>
      </c>
      <c r="I330" s="316">
        <f>Table5[[#This Row],[ÁREA]]</f>
        <v>6</v>
      </c>
      <c r="J330" s="317" t="s">
        <v>842</v>
      </c>
      <c r="K330" s="319" t="s">
        <v>843</v>
      </c>
      <c r="L330" s="318">
        <v>15</v>
      </c>
      <c r="M330" s="317" t="s">
        <v>816</v>
      </c>
      <c r="N330" s="312" t="s">
        <v>481</v>
      </c>
    </row>
    <row r="331" spans="2:14" ht="24.9" customHeight="1" x14ac:dyDescent="0.3">
      <c r="B331" s="351" t="s">
        <v>363</v>
      </c>
      <c r="C331" s="311">
        <v>6</v>
      </c>
      <c r="D331" s="318" t="s">
        <v>816</v>
      </c>
      <c r="E331" s="330">
        <v>32147381</v>
      </c>
      <c r="F331" s="314" t="s">
        <v>817</v>
      </c>
      <c r="G331" s="315" t="s">
        <v>818</v>
      </c>
      <c r="H331" s="316">
        <v>32171438</v>
      </c>
      <c r="I331" s="316">
        <f>Table5[[#This Row],[ÁREA]]</f>
        <v>6</v>
      </c>
      <c r="J331" s="317" t="s">
        <v>844</v>
      </c>
      <c r="K331" s="315" t="s">
        <v>845</v>
      </c>
      <c r="L331" s="318">
        <v>15</v>
      </c>
      <c r="M331" s="317" t="s">
        <v>816</v>
      </c>
      <c r="N331" s="312" t="s">
        <v>564</v>
      </c>
    </row>
    <row r="332" spans="2:14" ht="24.9" customHeight="1" x14ac:dyDescent="0.3">
      <c r="B332" s="351" t="s">
        <v>363</v>
      </c>
      <c r="C332" s="311">
        <v>6</v>
      </c>
      <c r="D332" s="318" t="s">
        <v>816</v>
      </c>
      <c r="E332" s="330">
        <v>32147381</v>
      </c>
      <c r="F332" s="314" t="s">
        <v>817</v>
      </c>
      <c r="G332" s="315" t="s">
        <v>818</v>
      </c>
      <c r="H332" s="316">
        <v>32202291</v>
      </c>
      <c r="I332" s="316">
        <f>Table5[[#This Row],[ÁREA]]</f>
        <v>6</v>
      </c>
      <c r="J332" s="317" t="s">
        <v>846</v>
      </c>
      <c r="K332" s="328" t="s">
        <v>61</v>
      </c>
      <c r="L332" s="318">
        <v>15</v>
      </c>
      <c r="M332" s="317" t="s">
        <v>816</v>
      </c>
      <c r="N332" s="312" t="s">
        <v>461</v>
      </c>
    </row>
    <row r="333" spans="2:14" ht="24.9" customHeight="1" x14ac:dyDescent="0.3">
      <c r="B333" s="351" t="s">
        <v>363</v>
      </c>
      <c r="C333" s="352">
        <v>7</v>
      </c>
      <c r="D333" s="318" t="s">
        <v>847</v>
      </c>
      <c r="E333" s="330">
        <v>32147381</v>
      </c>
      <c r="F333" s="314" t="s">
        <v>817</v>
      </c>
      <c r="G333" s="315" t="s">
        <v>818</v>
      </c>
      <c r="H333" s="353">
        <v>32043822</v>
      </c>
      <c r="I333" s="353">
        <f>Table5[[#This Row],[ÁREA]]</f>
        <v>7</v>
      </c>
      <c r="J333" s="338" t="s">
        <v>848</v>
      </c>
      <c r="K333" s="319" t="s">
        <v>849</v>
      </c>
      <c r="L333" s="354">
        <v>15</v>
      </c>
      <c r="M333" s="338" t="s">
        <v>847</v>
      </c>
      <c r="N333" s="355" t="s">
        <v>461</v>
      </c>
    </row>
    <row r="334" spans="2:14" ht="24.9" customHeight="1" x14ac:dyDescent="0.3">
      <c r="B334" s="311" t="s">
        <v>363</v>
      </c>
      <c r="C334" s="311">
        <v>7</v>
      </c>
      <c r="D334" s="318" t="s">
        <v>847</v>
      </c>
      <c r="E334" s="330">
        <v>32147381</v>
      </c>
      <c r="F334" s="314" t="s">
        <v>817</v>
      </c>
      <c r="G334" s="315" t="s">
        <v>818</v>
      </c>
      <c r="H334" s="316">
        <v>32043910</v>
      </c>
      <c r="I334" s="316">
        <f>Table5[[#This Row],[ÁREA]]</f>
        <v>7</v>
      </c>
      <c r="J334" s="317" t="s">
        <v>850</v>
      </c>
      <c r="K334" s="319" t="s">
        <v>851</v>
      </c>
      <c r="L334" s="354">
        <v>15</v>
      </c>
      <c r="M334" s="317" t="s">
        <v>847</v>
      </c>
      <c r="N334" s="312" t="s">
        <v>651</v>
      </c>
    </row>
    <row r="335" spans="2:14" ht="24.9" customHeight="1" x14ac:dyDescent="0.3">
      <c r="B335" s="351" t="s">
        <v>363</v>
      </c>
      <c r="C335" s="311">
        <v>7</v>
      </c>
      <c r="D335" s="318" t="s">
        <v>847</v>
      </c>
      <c r="E335" s="330">
        <v>32147381</v>
      </c>
      <c r="F335" s="314" t="s">
        <v>817</v>
      </c>
      <c r="G335" s="325" t="s">
        <v>818</v>
      </c>
      <c r="H335" s="316">
        <v>32044014</v>
      </c>
      <c r="I335" s="316">
        <f>Table5[[#This Row],[ÁREA]]</f>
        <v>7</v>
      </c>
      <c r="J335" s="317" t="s">
        <v>852</v>
      </c>
      <c r="K335" s="328" t="s">
        <v>61</v>
      </c>
      <c r="L335" s="354">
        <v>15</v>
      </c>
      <c r="M335" s="317" t="s">
        <v>847</v>
      </c>
      <c r="N335" s="312" t="s">
        <v>499</v>
      </c>
    </row>
    <row r="336" spans="2:14" ht="24.9" customHeight="1" x14ac:dyDescent="0.3">
      <c r="B336" s="351" t="s">
        <v>363</v>
      </c>
      <c r="C336" s="311">
        <v>7</v>
      </c>
      <c r="D336" s="318" t="s">
        <v>847</v>
      </c>
      <c r="E336" s="330">
        <v>32147381</v>
      </c>
      <c r="F336" s="314" t="s">
        <v>817</v>
      </c>
      <c r="G336" s="315" t="s">
        <v>818</v>
      </c>
      <c r="H336" s="316">
        <v>32044326</v>
      </c>
      <c r="I336" s="316">
        <f>Table5[[#This Row],[ÁREA]]</f>
        <v>7</v>
      </c>
      <c r="J336" s="317" t="s">
        <v>853</v>
      </c>
      <c r="K336" s="328" t="s">
        <v>61</v>
      </c>
      <c r="L336" s="354">
        <v>15</v>
      </c>
      <c r="M336" s="317" t="s">
        <v>847</v>
      </c>
      <c r="N336" s="312" t="s">
        <v>481</v>
      </c>
    </row>
    <row r="337" spans="2:14" ht="24.9" customHeight="1" x14ac:dyDescent="0.3">
      <c r="B337" s="351" t="s">
        <v>363</v>
      </c>
      <c r="C337" s="311">
        <v>7</v>
      </c>
      <c r="D337" s="318" t="s">
        <v>847</v>
      </c>
      <c r="E337" s="334">
        <v>32147381</v>
      </c>
      <c r="F337" s="327" t="s">
        <v>817</v>
      </c>
      <c r="G337" s="315" t="s">
        <v>818</v>
      </c>
      <c r="H337" s="316">
        <v>32044451</v>
      </c>
      <c r="I337" s="316">
        <f>Table5[[#This Row],[ÁREA]]</f>
        <v>7</v>
      </c>
      <c r="J337" s="317" t="s">
        <v>854</v>
      </c>
      <c r="K337" s="319" t="s">
        <v>855</v>
      </c>
      <c r="L337" s="354">
        <v>15</v>
      </c>
      <c r="M337" s="317" t="s">
        <v>847</v>
      </c>
      <c r="N337" s="312" t="s">
        <v>705</v>
      </c>
    </row>
    <row r="338" spans="2:14" ht="24.9" customHeight="1" x14ac:dyDescent="0.3">
      <c r="B338" s="351" t="s">
        <v>363</v>
      </c>
      <c r="C338" s="311">
        <v>7</v>
      </c>
      <c r="D338" s="318" t="s">
        <v>847</v>
      </c>
      <c r="E338" s="315">
        <v>32147381</v>
      </c>
      <c r="F338" s="327" t="s">
        <v>817</v>
      </c>
      <c r="G338" s="315" t="s">
        <v>818</v>
      </c>
      <c r="H338" s="316">
        <v>32045614</v>
      </c>
      <c r="I338" s="316">
        <f>Table5[[#This Row],[ÁREA]]</f>
        <v>7</v>
      </c>
      <c r="J338" s="317" t="s">
        <v>856</v>
      </c>
      <c r="K338" s="328" t="s">
        <v>61</v>
      </c>
      <c r="L338" s="354">
        <v>15</v>
      </c>
      <c r="M338" s="317" t="s">
        <v>847</v>
      </c>
      <c r="N338" s="312" t="s">
        <v>456</v>
      </c>
    </row>
    <row r="339" spans="2:14" ht="24.9" customHeight="1" x14ac:dyDescent="0.3">
      <c r="B339" s="351" t="s">
        <v>363</v>
      </c>
      <c r="C339" s="311">
        <v>7</v>
      </c>
      <c r="D339" s="318" t="s">
        <v>847</v>
      </c>
      <c r="E339" s="329">
        <v>32147381</v>
      </c>
      <c r="F339" s="321" t="s">
        <v>817</v>
      </c>
      <c r="G339" s="315" t="s">
        <v>818</v>
      </c>
      <c r="H339" s="316">
        <v>32045785</v>
      </c>
      <c r="I339" s="316">
        <f>Table5[[#This Row],[ÁREA]]</f>
        <v>7</v>
      </c>
      <c r="J339" s="317" t="s">
        <v>857</v>
      </c>
      <c r="K339" s="319" t="s">
        <v>858</v>
      </c>
      <c r="L339" s="354">
        <v>15</v>
      </c>
      <c r="M339" s="317" t="s">
        <v>847</v>
      </c>
      <c r="N339" s="312" t="s">
        <v>453</v>
      </c>
    </row>
    <row r="340" spans="2:14" ht="24.9" customHeight="1" x14ac:dyDescent="0.3">
      <c r="B340" s="351" t="s">
        <v>363</v>
      </c>
      <c r="C340" s="352">
        <v>7</v>
      </c>
      <c r="D340" s="318" t="s">
        <v>847</v>
      </c>
      <c r="E340" s="315">
        <v>32147381</v>
      </c>
      <c r="F340" s="359" t="s">
        <v>817</v>
      </c>
      <c r="G340" s="315" t="s">
        <v>818</v>
      </c>
      <c r="H340" s="353">
        <v>32143045</v>
      </c>
      <c r="I340" s="353">
        <f>Table5[[#This Row],[ÁREA]]</f>
        <v>7</v>
      </c>
      <c r="J340" s="338" t="s">
        <v>859</v>
      </c>
      <c r="K340" s="331" t="s">
        <v>860</v>
      </c>
      <c r="L340" s="354">
        <v>15</v>
      </c>
      <c r="M340" s="338" t="s">
        <v>847</v>
      </c>
      <c r="N340" s="355" t="s">
        <v>464</v>
      </c>
    </row>
    <row r="341" spans="2:14" ht="24.9" customHeight="1" x14ac:dyDescent="0.3">
      <c r="B341" s="351" t="s">
        <v>363</v>
      </c>
      <c r="C341" s="352">
        <v>7</v>
      </c>
      <c r="D341" s="318" t="s">
        <v>847</v>
      </c>
      <c r="E341" s="315">
        <v>32147381</v>
      </c>
      <c r="F341" s="359" t="s">
        <v>817</v>
      </c>
      <c r="G341" s="315" t="s">
        <v>818</v>
      </c>
      <c r="H341" s="353">
        <v>32143283</v>
      </c>
      <c r="I341" s="353">
        <f>Table5[[#This Row],[ÁREA]]</f>
        <v>7</v>
      </c>
      <c r="J341" s="338" t="s">
        <v>861</v>
      </c>
      <c r="K341" s="319" t="s">
        <v>862</v>
      </c>
      <c r="L341" s="354">
        <v>15</v>
      </c>
      <c r="M341" s="338" t="s">
        <v>847</v>
      </c>
      <c r="N341" s="312" t="s">
        <v>863</v>
      </c>
    </row>
    <row r="342" spans="2:14" ht="24.9" customHeight="1" x14ac:dyDescent="0.3">
      <c r="B342" s="351" t="s">
        <v>363</v>
      </c>
      <c r="C342" s="311">
        <v>7</v>
      </c>
      <c r="D342" s="318" t="s">
        <v>847</v>
      </c>
      <c r="E342" s="315">
        <v>32147381</v>
      </c>
      <c r="F342" s="327" t="s">
        <v>817</v>
      </c>
      <c r="G342" s="315" t="s">
        <v>818</v>
      </c>
      <c r="H342" s="316">
        <v>32149065</v>
      </c>
      <c r="I342" s="316">
        <f>Table5[[#This Row],[ÁREA]]</f>
        <v>7</v>
      </c>
      <c r="J342" s="317" t="s">
        <v>864</v>
      </c>
      <c r="K342" s="319" t="s">
        <v>865</v>
      </c>
      <c r="L342" s="354">
        <v>15</v>
      </c>
      <c r="M342" s="317" t="s">
        <v>847</v>
      </c>
      <c r="N342" s="312" t="s">
        <v>473</v>
      </c>
    </row>
    <row r="343" spans="2:14" ht="24.9" customHeight="1" x14ac:dyDescent="0.3">
      <c r="B343" s="351" t="s">
        <v>363</v>
      </c>
      <c r="C343" s="311">
        <v>7</v>
      </c>
      <c r="D343" s="318" t="s">
        <v>847</v>
      </c>
      <c r="E343" s="329">
        <v>32147381</v>
      </c>
      <c r="F343" s="321" t="s">
        <v>817</v>
      </c>
      <c r="G343" s="315" t="s">
        <v>818</v>
      </c>
      <c r="H343" s="316">
        <v>32155886</v>
      </c>
      <c r="I343" s="316">
        <f>Table5[[#This Row],[ÁREA]]</f>
        <v>7</v>
      </c>
      <c r="J343" s="317" t="s">
        <v>866</v>
      </c>
      <c r="K343" s="328" t="s">
        <v>61</v>
      </c>
      <c r="L343" s="354">
        <v>15</v>
      </c>
      <c r="M343" s="317" t="s">
        <v>847</v>
      </c>
      <c r="N343" s="312" t="s">
        <v>779</v>
      </c>
    </row>
    <row r="344" spans="2:14" ht="24.9" customHeight="1" x14ac:dyDescent="0.3">
      <c r="B344" s="351" t="s">
        <v>363</v>
      </c>
      <c r="C344" s="311">
        <v>7</v>
      </c>
      <c r="D344" s="318" t="s">
        <v>847</v>
      </c>
      <c r="E344" s="329">
        <v>32147381</v>
      </c>
      <c r="F344" s="321" t="s">
        <v>817</v>
      </c>
      <c r="G344" s="315" t="s">
        <v>818</v>
      </c>
      <c r="H344" s="316">
        <v>32155903</v>
      </c>
      <c r="I344" s="316">
        <f>Table5[[#This Row],[ÁREA]]</f>
        <v>7</v>
      </c>
      <c r="J344" s="317" t="s">
        <v>867</v>
      </c>
      <c r="K344" s="319" t="s">
        <v>868</v>
      </c>
      <c r="L344" s="354">
        <v>15</v>
      </c>
      <c r="M344" s="317" t="s">
        <v>847</v>
      </c>
      <c r="N344" s="312" t="s">
        <v>807</v>
      </c>
    </row>
    <row r="345" spans="2:14" ht="24.9" customHeight="1" x14ac:dyDescent="0.3">
      <c r="B345" s="351" t="s">
        <v>363</v>
      </c>
      <c r="C345" s="311">
        <v>7</v>
      </c>
      <c r="D345" s="318" t="s">
        <v>847</v>
      </c>
      <c r="E345" s="329">
        <v>32147381</v>
      </c>
      <c r="F345" s="321" t="s">
        <v>817</v>
      </c>
      <c r="G345" s="315" t="s">
        <v>818</v>
      </c>
      <c r="H345" s="316">
        <v>32177944</v>
      </c>
      <c r="I345" s="316">
        <f>Table5[[#This Row],[ÁREA]]</f>
        <v>7</v>
      </c>
      <c r="J345" s="317" t="s">
        <v>869</v>
      </c>
      <c r="K345" s="331" t="s">
        <v>870</v>
      </c>
      <c r="L345" s="354">
        <v>15</v>
      </c>
      <c r="M345" s="317" t="s">
        <v>847</v>
      </c>
      <c r="N345" s="312" t="s">
        <v>564</v>
      </c>
    </row>
    <row r="346" spans="2:14" ht="24.9" customHeight="1" x14ac:dyDescent="0.3">
      <c r="B346" s="351" t="s">
        <v>363</v>
      </c>
      <c r="C346" s="352">
        <v>7</v>
      </c>
      <c r="D346" s="318" t="s">
        <v>847</v>
      </c>
      <c r="E346" s="329">
        <v>32147381</v>
      </c>
      <c r="F346" s="321" t="s">
        <v>817</v>
      </c>
      <c r="G346" s="315" t="s">
        <v>818</v>
      </c>
      <c r="H346" s="353">
        <v>32197887</v>
      </c>
      <c r="I346" s="360">
        <f>Table5[[#This Row],[ÁREA]]</f>
        <v>7</v>
      </c>
      <c r="J346" s="361" t="s">
        <v>871</v>
      </c>
      <c r="K346" s="319" t="s">
        <v>872</v>
      </c>
      <c r="L346" s="354">
        <v>15</v>
      </c>
      <c r="M346" s="338" t="s">
        <v>847</v>
      </c>
      <c r="N346" s="312" t="s">
        <v>467</v>
      </c>
    </row>
    <row r="347" spans="2:14" ht="24.9" customHeight="1" x14ac:dyDescent="0.3">
      <c r="B347" s="351" t="s">
        <v>363</v>
      </c>
      <c r="C347" s="311">
        <v>7</v>
      </c>
      <c r="D347" s="318" t="s">
        <v>847</v>
      </c>
      <c r="E347" s="315">
        <v>32147381</v>
      </c>
      <c r="F347" s="327" t="s">
        <v>817</v>
      </c>
      <c r="G347" s="315" t="s">
        <v>818</v>
      </c>
      <c r="H347" s="316">
        <v>32197919</v>
      </c>
      <c r="I347" s="362">
        <f>Table5[[#This Row],[ÁREA]]</f>
        <v>7</v>
      </c>
      <c r="J347" s="361" t="s">
        <v>873</v>
      </c>
      <c r="K347" s="319" t="s">
        <v>874</v>
      </c>
      <c r="L347" s="318">
        <v>15</v>
      </c>
      <c r="M347" s="317" t="s">
        <v>847</v>
      </c>
      <c r="N347" s="363" t="s">
        <v>564</v>
      </c>
    </row>
    <row r="348" spans="2:14" ht="24.9" customHeight="1" x14ac:dyDescent="0.3">
      <c r="B348" s="311" t="s">
        <v>363</v>
      </c>
      <c r="C348" s="311">
        <v>7</v>
      </c>
      <c r="D348" s="318" t="s">
        <v>875</v>
      </c>
      <c r="E348" s="318">
        <v>32045977</v>
      </c>
      <c r="F348" s="326" t="s">
        <v>744</v>
      </c>
      <c r="G348" s="315" t="s">
        <v>745</v>
      </c>
      <c r="H348" s="316">
        <v>32043866</v>
      </c>
      <c r="I348" s="362">
        <f>Table5[[#This Row],[ÁREA]]</f>
        <v>7</v>
      </c>
      <c r="J348" s="361" t="s">
        <v>876</v>
      </c>
      <c r="K348" s="319" t="s">
        <v>877</v>
      </c>
      <c r="L348" s="318">
        <v>14</v>
      </c>
      <c r="M348" s="317" t="s">
        <v>875</v>
      </c>
      <c r="N348" s="312" t="s">
        <v>456</v>
      </c>
    </row>
    <row r="349" spans="2:14" ht="24.9" customHeight="1" x14ac:dyDescent="0.3">
      <c r="B349" s="351" t="s">
        <v>363</v>
      </c>
      <c r="C349" s="311">
        <v>7</v>
      </c>
      <c r="D349" s="318" t="s">
        <v>875</v>
      </c>
      <c r="E349" s="320">
        <v>32045977</v>
      </c>
      <c r="F349" s="324" t="s">
        <v>744</v>
      </c>
      <c r="G349" s="315" t="s">
        <v>745</v>
      </c>
      <c r="H349" s="316">
        <v>32043894</v>
      </c>
      <c r="I349" s="362">
        <f>Table5[[#This Row],[ÁREA]]</f>
        <v>7</v>
      </c>
      <c r="J349" s="361" t="s">
        <v>878</v>
      </c>
      <c r="K349" s="364" t="s">
        <v>879</v>
      </c>
      <c r="L349" s="318">
        <v>14</v>
      </c>
      <c r="M349" s="317" t="s">
        <v>875</v>
      </c>
      <c r="N349" s="312" t="s">
        <v>467</v>
      </c>
    </row>
    <row r="350" spans="2:14" ht="24.9" customHeight="1" x14ac:dyDescent="0.3">
      <c r="B350" s="311" t="s">
        <v>363</v>
      </c>
      <c r="C350" s="311">
        <v>7</v>
      </c>
      <c r="D350" s="318" t="s">
        <v>875</v>
      </c>
      <c r="E350" s="340">
        <v>32045977</v>
      </c>
      <c r="F350" s="343" t="s">
        <v>744</v>
      </c>
      <c r="G350" s="315" t="s">
        <v>745</v>
      </c>
      <c r="H350" s="316">
        <v>32044281</v>
      </c>
      <c r="I350" s="316">
        <f>Table5[[#This Row],[ÁREA]]</f>
        <v>7</v>
      </c>
      <c r="J350" s="317" t="s">
        <v>880</v>
      </c>
      <c r="K350" s="319" t="s">
        <v>881</v>
      </c>
      <c r="L350" s="318">
        <v>14</v>
      </c>
      <c r="M350" s="317" t="s">
        <v>875</v>
      </c>
      <c r="N350" s="312" t="s">
        <v>651</v>
      </c>
    </row>
    <row r="351" spans="2:14" ht="24.9" customHeight="1" x14ac:dyDescent="0.3">
      <c r="B351" s="351" t="s">
        <v>363</v>
      </c>
      <c r="C351" s="352">
        <v>7</v>
      </c>
      <c r="D351" s="318" t="s">
        <v>875</v>
      </c>
      <c r="E351" s="318">
        <v>32045977</v>
      </c>
      <c r="F351" s="326" t="s">
        <v>744</v>
      </c>
      <c r="G351" s="315" t="s">
        <v>745</v>
      </c>
      <c r="H351" s="353">
        <v>32044285</v>
      </c>
      <c r="I351" s="353">
        <f>Table5[[#This Row],[ÁREA]]</f>
        <v>7</v>
      </c>
      <c r="J351" s="317" t="s">
        <v>882</v>
      </c>
      <c r="K351" s="319" t="s">
        <v>883</v>
      </c>
      <c r="L351" s="318">
        <v>14</v>
      </c>
      <c r="M351" s="317" t="s">
        <v>875</v>
      </c>
      <c r="N351" s="355" t="s">
        <v>719</v>
      </c>
    </row>
    <row r="352" spans="2:14" ht="24.9" customHeight="1" x14ac:dyDescent="0.3">
      <c r="B352" s="351" t="s">
        <v>363</v>
      </c>
      <c r="C352" s="311">
        <v>7</v>
      </c>
      <c r="D352" s="318" t="s">
        <v>875</v>
      </c>
      <c r="E352" s="318">
        <v>32045977</v>
      </c>
      <c r="F352" s="326" t="s">
        <v>744</v>
      </c>
      <c r="G352" s="331" t="s">
        <v>745</v>
      </c>
      <c r="H352" s="316">
        <v>32044618</v>
      </c>
      <c r="I352" s="316">
        <f>Table5[[#This Row],[ÁREA]]</f>
        <v>7</v>
      </c>
      <c r="J352" s="317" t="s">
        <v>884</v>
      </c>
      <c r="K352" s="319" t="s">
        <v>885</v>
      </c>
      <c r="L352" s="318">
        <v>14</v>
      </c>
      <c r="M352" s="317" t="s">
        <v>875</v>
      </c>
      <c r="N352" s="312" t="s">
        <v>886</v>
      </c>
    </row>
    <row r="353" spans="2:14" ht="24.9" customHeight="1" x14ac:dyDescent="0.3">
      <c r="B353" s="351" t="s">
        <v>363</v>
      </c>
      <c r="C353" s="311">
        <v>7</v>
      </c>
      <c r="D353" s="318" t="s">
        <v>875</v>
      </c>
      <c r="E353" s="320">
        <v>32045977</v>
      </c>
      <c r="F353" s="324" t="s">
        <v>744</v>
      </c>
      <c r="G353" s="315" t="s">
        <v>745</v>
      </c>
      <c r="H353" s="316">
        <v>32044901</v>
      </c>
      <c r="I353" s="316">
        <f>Table5[[#This Row],[ÁREA]]</f>
        <v>7</v>
      </c>
      <c r="J353" s="317" t="s">
        <v>887</v>
      </c>
      <c r="K353" s="317" t="s">
        <v>61</v>
      </c>
      <c r="L353" s="318">
        <v>14</v>
      </c>
      <c r="M353" s="317" t="s">
        <v>875</v>
      </c>
      <c r="N353" s="312" t="s">
        <v>481</v>
      </c>
    </row>
    <row r="354" spans="2:14" ht="24.9" customHeight="1" x14ac:dyDescent="0.3">
      <c r="B354" s="351" t="s">
        <v>363</v>
      </c>
      <c r="C354" s="311">
        <v>7</v>
      </c>
      <c r="D354" s="317" t="s">
        <v>875</v>
      </c>
      <c r="E354" s="318">
        <v>32045977</v>
      </c>
      <c r="F354" s="326" t="s">
        <v>744</v>
      </c>
      <c r="G354" s="334" t="s">
        <v>752</v>
      </c>
      <c r="H354" s="316">
        <v>32045393</v>
      </c>
      <c r="I354" s="316">
        <v>7</v>
      </c>
      <c r="J354" s="317" t="s">
        <v>888</v>
      </c>
      <c r="K354" s="315" t="s">
        <v>889</v>
      </c>
      <c r="L354" s="318">
        <v>15</v>
      </c>
      <c r="M354" s="318" t="s">
        <v>875</v>
      </c>
      <c r="N354" s="312" t="s">
        <v>890</v>
      </c>
    </row>
    <row r="355" spans="2:14" ht="24.9" customHeight="1" x14ac:dyDescent="0.3">
      <c r="B355" s="351" t="s">
        <v>363</v>
      </c>
      <c r="C355" s="311">
        <v>7</v>
      </c>
      <c r="D355" s="318" t="s">
        <v>875</v>
      </c>
      <c r="E355" s="318">
        <v>32045977</v>
      </c>
      <c r="F355" s="326" t="s">
        <v>744</v>
      </c>
      <c r="G355" s="315" t="s">
        <v>745</v>
      </c>
      <c r="H355" s="316">
        <v>32045740</v>
      </c>
      <c r="I355" s="316">
        <f>Table5[[#This Row],[ÁREA]]</f>
        <v>7</v>
      </c>
      <c r="J355" s="317" t="s">
        <v>891</v>
      </c>
      <c r="K355" s="319" t="s">
        <v>892</v>
      </c>
      <c r="L355" s="318">
        <v>14</v>
      </c>
      <c r="M355" s="317" t="s">
        <v>875</v>
      </c>
      <c r="N355" s="312" t="s">
        <v>481</v>
      </c>
    </row>
    <row r="356" spans="2:14" ht="24.9" customHeight="1" x14ac:dyDescent="0.3">
      <c r="B356" s="351" t="s">
        <v>363</v>
      </c>
      <c r="C356" s="311">
        <v>7</v>
      </c>
      <c r="D356" s="318" t="s">
        <v>875</v>
      </c>
      <c r="E356" s="318">
        <v>32045977</v>
      </c>
      <c r="F356" s="326" t="s">
        <v>744</v>
      </c>
      <c r="G356" s="315" t="s">
        <v>745</v>
      </c>
      <c r="H356" s="316">
        <v>32046346</v>
      </c>
      <c r="I356" s="316">
        <f>Table5[[#This Row],[ÁREA]]</f>
        <v>7</v>
      </c>
      <c r="J356" s="317" t="s">
        <v>893</v>
      </c>
      <c r="K356" s="328" t="s">
        <v>61</v>
      </c>
      <c r="L356" s="318">
        <v>14</v>
      </c>
      <c r="M356" s="317" t="s">
        <v>875</v>
      </c>
      <c r="N356" s="312" t="s">
        <v>894</v>
      </c>
    </row>
    <row r="357" spans="2:14" ht="24.9" customHeight="1" x14ac:dyDescent="0.3">
      <c r="B357" s="311" t="s">
        <v>363</v>
      </c>
      <c r="C357" s="311">
        <v>7</v>
      </c>
      <c r="D357" s="318" t="s">
        <v>875</v>
      </c>
      <c r="E357" s="318">
        <v>32045977</v>
      </c>
      <c r="F357" s="326" t="s">
        <v>744</v>
      </c>
      <c r="G357" s="315" t="s">
        <v>745</v>
      </c>
      <c r="H357" s="316">
        <v>32046481</v>
      </c>
      <c r="I357" s="316">
        <f>Table5[[#This Row],[ÁREA]]</f>
        <v>7</v>
      </c>
      <c r="J357" s="317" t="s">
        <v>895</v>
      </c>
      <c r="K357" s="322" t="s">
        <v>896</v>
      </c>
      <c r="L357" s="318">
        <v>14</v>
      </c>
      <c r="M357" s="317" t="s">
        <v>875</v>
      </c>
      <c r="N357" s="312" t="s">
        <v>473</v>
      </c>
    </row>
    <row r="358" spans="2:14" ht="24.9" customHeight="1" x14ac:dyDescent="0.3">
      <c r="B358" s="351" t="s">
        <v>363</v>
      </c>
      <c r="C358" s="311">
        <v>7</v>
      </c>
      <c r="D358" s="318" t="s">
        <v>875</v>
      </c>
      <c r="E358" s="320">
        <v>32045977</v>
      </c>
      <c r="F358" s="324" t="s">
        <v>744</v>
      </c>
      <c r="G358" s="315" t="s">
        <v>748</v>
      </c>
      <c r="H358" s="316">
        <v>32061461</v>
      </c>
      <c r="I358" s="316">
        <v>7</v>
      </c>
      <c r="J358" s="317" t="s">
        <v>897</v>
      </c>
      <c r="K358" s="319" t="s">
        <v>898</v>
      </c>
      <c r="L358" s="318">
        <v>16</v>
      </c>
      <c r="M358" s="318" t="s">
        <v>875</v>
      </c>
      <c r="N358" s="312" t="s">
        <v>899</v>
      </c>
    </row>
    <row r="359" spans="2:14" ht="24.9" customHeight="1" x14ac:dyDescent="0.3">
      <c r="B359" s="351" t="s">
        <v>363</v>
      </c>
      <c r="C359" s="311">
        <v>7</v>
      </c>
      <c r="D359" s="318" t="s">
        <v>875</v>
      </c>
      <c r="E359" s="320">
        <v>32045977</v>
      </c>
      <c r="F359" s="324" t="s">
        <v>744</v>
      </c>
      <c r="G359" s="315"/>
      <c r="H359" s="316">
        <v>32177849</v>
      </c>
      <c r="I359" s="316">
        <v>7</v>
      </c>
      <c r="J359" s="317" t="s">
        <v>900</v>
      </c>
      <c r="L359" s="318"/>
      <c r="M359" s="318" t="s">
        <v>875</v>
      </c>
      <c r="N359" s="312" t="s">
        <v>41</v>
      </c>
    </row>
    <row r="360" spans="2:14" ht="24.9" customHeight="1" x14ac:dyDescent="0.3">
      <c r="B360" s="351" t="s">
        <v>363</v>
      </c>
      <c r="C360" s="311">
        <v>7</v>
      </c>
      <c r="D360" s="318" t="s">
        <v>875</v>
      </c>
      <c r="E360" s="320">
        <v>32045977</v>
      </c>
      <c r="F360" s="324" t="s">
        <v>744</v>
      </c>
      <c r="G360" s="315" t="s">
        <v>745</v>
      </c>
      <c r="H360" s="316">
        <v>32142977</v>
      </c>
      <c r="I360" s="316">
        <f>Table5[[#This Row],[ÁREA]]</f>
        <v>7</v>
      </c>
      <c r="J360" s="317" t="s">
        <v>901</v>
      </c>
      <c r="K360" s="319" t="s">
        <v>902</v>
      </c>
      <c r="L360" s="318">
        <v>14</v>
      </c>
      <c r="M360" s="317" t="s">
        <v>875</v>
      </c>
      <c r="N360" s="312" t="s">
        <v>564</v>
      </c>
    </row>
    <row r="361" spans="2:14" ht="24.9" customHeight="1" x14ac:dyDescent="0.3">
      <c r="B361" s="351" t="s">
        <v>363</v>
      </c>
      <c r="C361" s="311">
        <v>7</v>
      </c>
      <c r="D361" s="318" t="s">
        <v>875</v>
      </c>
      <c r="E361" s="320">
        <v>32045977</v>
      </c>
      <c r="F361" s="324" t="s">
        <v>744</v>
      </c>
      <c r="G361" s="315" t="s">
        <v>745</v>
      </c>
      <c r="H361" s="316">
        <v>32148624</v>
      </c>
      <c r="I361" s="316">
        <f>Table5[[#This Row],[ÁREA]]</f>
        <v>7</v>
      </c>
      <c r="J361" s="317" t="s">
        <v>903</v>
      </c>
      <c r="K361" s="319" t="s">
        <v>904</v>
      </c>
      <c r="L361" s="318">
        <v>14</v>
      </c>
      <c r="M361" s="317" t="s">
        <v>875</v>
      </c>
      <c r="N361" s="312" t="s">
        <v>863</v>
      </c>
    </row>
    <row r="362" spans="2:14" ht="24.9" customHeight="1" x14ac:dyDescent="0.3">
      <c r="B362" s="351" t="s">
        <v>363</v>
      </c>
      <c r="C362" s="352">
        <v>7</v>
      </c>
      <c r="D362" s="318" t="s">
        <v>875</v>
      </c>
      <c r="E362" s="320">
        <v>32045977</v>
      </c>
      <c r="F362" s="324" t="s">
        <v>744</v>
      </c>
      <c r="G362" s="315" t="s">
        <v>745</v>
      </c>
      <c r="H362" s="353">
        <v>32148627</v>
      </c>
      <c r="I362" s="353">
        <f>Table5[[#This Row],[ÁREA]]</f>
        <v>7</v>
      </c>
      <c r="J362" s="338" t="s">
        <v>905</v>
      </c>
      <c r="K362" s="350" t="s">
        <v>906</v>
      </c>
      <c r="L362" s="318">
        <v>14</v>
      </c>
      <c r="M362" s="338" t="s">
        <v>875</v>
      </c>
      <c r="N362" s="355" t="s">
        <v>470</v>
      </c>
    </row>
    <row r="363" spans="2:14" ht="24.9" customHeight="1" x14ac:dyDescent="0.3">
      <c r="B363" s="351" t="s">
        <v>363</v>
      </c>
      <c r="C363" s="311">
        <v>7</v>
      </c>
      <c r="D363" s="318" t="s">
        <v>907</v>
      </c>
      <c r="E363" s="320">
        <v>32168009</v>
      </c>
      <c r="F363" s="324" t="s">
        <v>781</v>
      </c>
      <c r="G363" s="315" t="s">
        <v>782</v>
      </c>
      <c r="H363" s="316">
        <v>32043889</v>
      </c>
      <c r="I363" s="316">
        <f>Table5[[#This Row],[ÁREA]]</f>
        <v>7</v>
      </c>
      <c r="J363" s="317" t="s">
        <v>908</v>
      </c>
      <c r="K363" s="319" t="s">
        <v>909</v>
      </c>
      <c r="L363" s="318">
        <v>15</v>
      </c>
      <c r="M363" s="317" t="s">
        <v>907</v>
      </c>
      <c r="N363" s="312" t="s">
        <v>447</v>
      </c>
    </row>
    <row r="364" spans="2:14" ht="24.9" customHeight="1" x14ac:dyDescent="0.3">
      <c r="B364" s="351" t="s">
        <v>363</v>
      </c>
      <c r="C364" s="311">
        <v>7</v>
      </c>
      <c r="D364" s="318" t="s">
        <v>907</v>
      </c>
      <c r="E364" s="318">
        <v>32168009</v>
      </c>
      <c r="F364" s="326" t="s">
        <v>781</v>
      </c>
      <c r="G364" s="315" t="s">
        <v>782</v>
      </c>
      <c r="H364" s="316">
        <v>32043978</v>
      </c>
      <c r="I364" s="316">
        <f>Table5[[#This Row],[ÁREA]]</f>
        <v>7</v>
      </c>
      <c r="J364" s="317" t="s">
        <v>910</v>
      </c>
      <c r="K364" s="328" t="s">
        <v>61</v>
      </c>
      <c r="L364" s="318">
        <v>15</v>
      </c>
      <c r="M364" s="317" t="s">
        <v>907</v>
      </c>
      <c r="N364" s="312" t="s">
        <v>467</v>
      </c>
    </row>
    <row r="365" spans="2:14" ht="24.9" customHeight="1" x14ac:dyDescent="0.3">
      <c r="B365" s="351" t="s">
        <v>363</v>
      </c>
      <c r="C365" s="311">
        <v>7</v>
      </c>
      <c r="D365" s="318" t="s">
        <v>907</v>
      </c>
      <c r="E365" s="318">
        <v>32168009</v>
      </c>
      <c r="F365" s="326" t="s">
        <v>781</v>
      </c>
      <c r="G365" s="315" t="s">
        <v>782</v>
      </c>
      <c r="H365" s="316">
        <v>32044074</v>
      </c>
      <c r="I365" s="316">
        <f>Table5[[#This Row],[ÁREA]]</f>
        <v>7</v>
      </c>
      <c r="J365" s="317" t="s">
        <v>911</v>
      </c>
      <c r="K365" s="328" t="s">
        <v>61</v>
      </c>
      <c r="L365" s="318">
        <v>15</v>
      </c>
      <c r="M365" s="317" t="s">
        <v>907</v>
      </c>
      <c r="N365" s="312" t="s">
        <v>564</v>
      </c>
    </row>
    <row r="366" spans="2:14" ht="24.9" customHeight="1" x14ac:dyDescent="0.3">
      <c r="B366" s="351" t="s">
        <v>363</v>
      </c>
      <c r="C366" s="311">
        <v>7</v>
      </c>
      <c r="D366" s="318" t="s">
        <v>907</v>
      </c>
      <c r="E366" s="318">
        <v>32168009</v>
      </c>
      <c r="F366" s="326" t="s">
        <v>781</v>
      </c>
      <c r="G366" s="315" t="s">
        <v>782</v>
      </c>
      <c r="H366" s="316">
        <v>32044167</v>
      </c>
      <c r="I366" s="316">
        <f>Table5[[#This Row],[ÁREA]]</f>
        <v>7</v>
      </c>
      <c r="J366" s="317" t="s">
        <v>912</v>
      </c>
      <c r="K366" s="319" t="s">
        <v>913</v>
      </c>
      <c r="L366" s="318">
        <v>15</v>
      </c>
      <c r="M366" s="317" t="s">
        <v>907</v>
      </c>
      <c r="N366" s="312" t="s">
        <v>481</v>
      </c>
    </row>
    <row r="367" spans="2:14" ht="24.9" customHeight="1" x14ac:dyDescent="0.3">
      <c r="B367" s="351" t="s">
        <v>363</v>
      </c>
      <c r="C367" s="311">
        <v>7</v>
      </c>
      <c r="D367" s="318" t="s">
        <v>907</v>
      </c>
      <c r="E367" s="318">
        <v>32168009</v>
      </c>
      <c r="F367" s="326" t="s">
        <v>781</v>
      </c>
      <c r="G367" s="315" t="s">
        <v>782</v>
      </c>
      <c r="H367" s="316">
        <v>32044169</v>
      </c>
      <c r="I367" s="316">
        <f>Table5[[#This Row],[ÁREA]]</f>
        <v>7</v>
      </c>
      <c r="J367" s="317" t="s">
        <v>914</v>
      </c>
      <c r="K367" s="319" t="s">
        <v>915</v>
      </c>
      <c r="L367" s="318">
        <v>15</v>
      </c>
      <c r="M367" s="317" t="s">
        <v>907</v>
      </c>
      <c r="N367" s="312" t="s">
        <v>776</v>
      </c>
    </row>
    <row r="368" spans="2:14" ht="24.9" customHeight="1" x14ac:dyDescent="0.3">
      <c r="B368" s="351" t="s">
        <v>363</v>
      </c>
      <c r="C368" s="311">
        <v>7</v>
      </c>
      <c r="D368" s="318" t="s">
        <v>907</v>
      </c>
      <c r="E368" s="318">
        <v>32168009</v>
      </c>
      <c r="F368" s="326" t="s">
        <v>781</v>
      </c>
      <c r="G368" s="315" t="s">
        <v>782</v>
      </c>
      <c r="H368" s="316">
        <v>32046401</v>
      </c>
      <c r="I368" s="316">
        <f>Table5[[#This Row],[ÁREA]]</f>
        <v>7</v>
      </c>
      <c r="J368" s="317" t="s">
        <v>916</v>
      </c>
      <c r="K368" s="319" t="s">
        <v>917</v>
      </c>
      <c r="L368" s="318">
        <v>15</v>
      </c>
      <c r="M368" s="317" t="s">
        <v>907</v>
      </c>
      <c r="N368" s="312" t="s">
        <v>765</v>
      </c>
    </row>
    <row r="369" spans="2:14" ht="24.9" customHeight="1" x14ac:dyDescent="0.3">
      <c r="B369" s="351" t="s">
        <v>363</v>
      </c>
      <c r="C369" s="311">
        <v>7</v>
      </c>
      <c r="D369" s="318" t="s">
        <v>907</v>
      </c>
      <c r="E369" s="318">
        <v>32168009</v>
      </c>
      <c r="F369" s="326" t="s">
        <v>781</v>
      </c>
      <c r="G369" s="315" t="s">
        <v>782</v>
      </c>
      <c r="H369" s="316">
        <v>32046414</v>
      </c>
      <c r="I369" s="316">
        <f>Table5[[#This Row],[ÁREA]]</f>
        <v>7</v>
      </c>
      <c r="J369" s="317" t="s">
        <v>918</v>
      </c>
      <c r="K369" s="322" t="s">
        <v>919</v>
      </c>
      <c r="L369" s="318">
        <v>15</v>
      </c>
      <c r="M369" s="317" t="s">
        <v>907</v>
      </c>
      <c r="N369" s="312" t="s">
        <v>651</v>
      </c>
    </row>
    <row r="370" spans="2:14" ht="24.9" customHeight="1" x14ac:dyDescent="0.3">
      <c r="B370" s="351" t="s">
        <v>363</v>
      </c>
      <c r="C370" s="311">
        <v>7</v>
      </c>
      <c r="D370" s="318" t="s">
        <v>907</v>
      </c>
      <c r="E370" s="318">
        <v>32168009</v>
      </c>
      <c r="F370" s="326" t="s">
        <v>781</v>
      </c>
      <c r="G370" s="315" t="s">
        <v>782</v>
      </c>
      <c r="H370" s="316">
        <v>32046478</v>
      </c>
      <c r="I370" s="316">
        <f>Table5[[#This Row],[ÁREA]]</f>
        <v>7</v>
      </c>
      <c r="J370" s="317" t="s">
        <v>920</v>
      </c>
      <c r="K370" s="328" t="s">
        <v>61</v>
      </c>
      <c r="L370" s="318">
        <v>15</v>
      </c>
      <c r="M370" s="317" t="s">
        <v>907</v>
      </c>
      <c r="N370" s="312" t="s">
        <v>807</v>
      </c>
    </row>
    <row r="371" spans="2:14" ht="24.9" customHeight="1" x14ac:dyDescent="0.3">
      <c r="B371" s="351" t="s">
        <v>363</v>
      </c>
      <c r="C371" s="311">
        <v>7</v>
      </c>
      <c r="D371" s="318" t="s">
        <v>907</v>
      </c>
      <c r="E371" s="318">
        <v>32168009</v>
      </c>
      <c r="F371" s="333" t="s">
        <v>781</v>
      </c>
      <c r="G371" s="315" t="s">
        <v>782</v>
      </c>
      <c r="H371" s="316">
        <v>32067174</v>
      </c>
      <c r="I371" s="316">
        <f>Table5[[#This Row],[ÁREA]]</f>
        <v>7</v>
      </c>
      <c r="J371" s="317" t="s">
        <v>921</v>
      </c>
      <c r="K371" s="328" t="s">
        <v>61</v>
      </c>
      <c r="L371" s="318">
        <v>15</v>
      </c>
      <c r="M371" s="317" t="s">
        <v>907</v>
      </c>
      <c r="N371" s="312" t="s">
        <v>473</v>
      </c>
    </row>
    <row r="372" spans="2:14" ht="24.9" customHeight="1" x14ac:dyDescent="0.3">
      <c r="B372" s="351" t="s">
        <v>363</v>
      </c>
      <c r="C372" s="311">
        <v>7</v>
      </c>
      <c r="D372" s="318" t="s">
        <v>907</v>
      </c>
      <c r="E372" s="318">
        <v>32168009</v>
      </c>
      <c r="F372" s="333" t="s">
        <v>781</v>
      </c>
      <c r="G372" s="315" t="s">
        <v>782</v>
      </c>
      <c r="H372" s="316">
        <v>32067183</v>
      </c>
      <c r="I372" s="316">
        <f>Table5[[#This Row],[ÁREA]]</f>
        <v>7</v>
      </c>
      <c r="J372" s="317" t="s">
        <v>922</v>
      </c>
      <c r="K372" s="319" t="s">
        <v>923</v>
      </c>
      <c r="L372" s="318">
        <v>15</v>
      </c>
      <c r="M372" s="317" t="s">
        <v>907</v>
      </c>
      <c r="N372" s="312" t="s">
        <v>886</v>
      </c>
    </row>
    <row r="373" spans="2:14" ht="24.9" customHeight="1" x14ac:dyDescent="0.3">
      <c r="B373" s="351" t="s">
        <v>363</v>
      </c>
      <c r="C373" s="311">
        <v>7</v>
      </c>
      <c r="D373" s="318" t="s">
        <v>907</v>
      </c>
      <c r="E373" s="320">
        <v>32168009</v>
      </c>
      <c r="F373" s="333" t="s">
        <v>781</v>
      </c>
      <c r="G373" s="315" t="s">
        <v>782</v>
      </c>
      <c r="H373" s="316">
        <v>32072429</v>
      </c>
      <c r="I373" s="316">
        <f>Table5[[#This Row],[ÁREA]]</f>
        <v>7</v>
      </c>
      <c r="J373" s="317" t="s">
        <v>924</v>
      </c>
      <c r="K373" s="319" t="s">
        <v>925</v>
      </c>
      <c r="L373" s="318">
        <v>15</v>
      </c>
      <c r="M373" s="317" t="s">
        <v>907</v>
      </c>
      <c r="N373" s="312" t="s">
        <v>481</v>
      </c>
    </row>
    <row r="374" spans="2:14" ht="24.9" customHeight="1" x14ac:dyDescent="0.3">
      <c r="B374" s="351" t="s">
        <v>363</v>
      </c>
      <c r="C374" s="311">
        <v>7</v>
      </c>
      <c r="D374" s="318" t="s">
        <v>907</v>
      </c>
      <c r="E374" s="320">
        <v>32168009</v>
      </c>
      <c r="F374" s="333" t="s">
        <v>781</v>
      </c>
      <c r="G374" s="315" t="s">
        <v>782</v>
      </c>
      <c r="H374" s="316">
        <v>32132056</v>
      </c>
      <c r="I374" s="316">
        <f>Table5[[#This Row],[ÁREA]]</f>
        <v>7</v>
      </c>
      <c r="J374" s="317" t="s">
        <v>926</v>
      </c>
      <c r="K374" s="319" t="s">
        <v>927</v>
      </c>
      <c r="L374" s="318">
        <v>15</v>
      </c>
      <c r="M374" s="317" t="s">
        <v>907</v>
      </c>
      <c r="N374" s="312" t="s">
        <v>456</v>
      </c>
    </row>
    <row r="375" spans="2:14" ht="24.9" customHeight="1" x14ac:dyDescent="0.3">
      <c r="B375" s="351" t="s">
        <v>363</v>
      </c>
      <c r="C375" s="311">
        <v>7</v>
      </c>
      <c r="D375" s="318" t="s">
        <v>907</v>
      </c>
      <c r="E375" s="318">
        <v>32168009</v>
      </c>
      <c r="F375" s="333" t="s">
        <v>781</v>
      </c>
      <c r="G375" s="315" t="s">
        <v>782</v>
      </c>
      <c r="H375" s="316">
        <v>32143691</v>
      </c>
      <c r="I375" s="316">
        <f>Table5[[#This Row],[ÁREA]]</f>
        <v>7</v>
      </c>
      <c r="J375" s="317" t="s">
        <v>928</v>
      </c>
      <c r="K375" s="319" t="s">
        <v>929</v>
      </c>
      <c r="L375" s="318">
        <v>15</v>
      </c>
      <c r="M375" s="317" t="s">
        <v>907</v>
      </c>
      <c r="N375" s="312" t="s">
        <v>719</v>
      </c>
    </row>
    <row r="376" spans="2:14" ht="24.9" customHeight="1" x14ac:dyDescent="0.3">
      <c r="B376" s="351" t="s">
        <v>363</v>
      </c>
      <c r="C376" s="311">
        <v>7</v>
      </c>
      <c r="D376" s="318" t="s">
        <v>907</v>
      </c>
      <c r="E376" s="320">
        <v>32168009</v>
      </c>
      <c r="F376" s="333" t="s">
        <v>781</v>
      </c>
      <c r="G376" s="315" t="s">
        <v>782</v>
      </c>
      <c r="H376" s="316">
        <v>32145330</v>
      </c>
      <c r="I376" s="316">
        <f>Table5[[#This Row],[ÁREA]]</f>
        <v>7</v>
      </c>
      <c r="J376" s="317" t="s">
        <v>930</v>
      </c>
      <c r="K376" s="328" t="s">
        <v>61</v>
      </c>
      <c r="L376" s="318">
        <v>15</v>
      </c>
      <c r="M376" s="317" t="s">
        <v>907</v>
      </c>
      <c r="N376" s="312" t="s">
        <v>779</v>
      </c>
    </row>
    <row r="377" spans="2:14" ht="24.9" customHeight="1" x14ac:dyDescent="0.3">
      <c r="B377" s="351" t="s">
        <v>363</v>
      </c>
      <c r="C377" s="352">
        <v>7</v>
      </c>
      <c r="D377" s="318" t="s">
        <v>907</v>
      </c>
      <c r="E377" s="318">
        <v>32168009</v>
      </c>
      <c r="F377" s="333" t="s">
        <v>781</v>
      </c>
      <c r="G377" s="315" t="s">
        <v>782</v>
      </c>
      <c r="H377" s="353">
        <v>32187989</v>
      </c>
      <c r="I377" s="353">
        <f>Table5[[#This Row],[ÁREA]]</f>
        <v>7</v>
      </c>
      <c r="J377" s="338" t="s">
        <v>931</v>
      </c>
      <c r="K377" s="319" t="s">
        <v>932</v>
      </c>
      <c r="L377" s="318">
        <v>15</v>
      </c>
      <c r="M377" s="338" t="s">
        <v>907</v>
      </c>
      <c r="N377" s="355" t="s">
        <v>758</v>
      </c>
    </row>
    <row r="378" spans="2:14" ht="24.9" customHeight="1" x14ac:dyDescent="0.3">
      <c r="B378" s="351" t="s">
        <v>363</v>
      </c>
      <c r="C378" s="311">
        <v>9</v>
      </c>
      <c r="D378" s="318" t="s">
        <v>933</v>
      </c>
      <c r="E378" s="318">
        <v>32199121</v>
      </c>
      <c r="F378" s="333" t="s">
        <v>934</v>
      </c>
      <c r="G378" s="315" t="s">
        <v>748</v>
      </c>
      <c r="H378" s="316">
        <v>32044101</v>
      </c>
      <c r="I378" s="316">
        <f>Table5[[#This Row],[ÁREA]]</f>
        <v>9</v>
      </c>
      <c r="J378" s="317" t="s">
        <v>935</v>
      </c>
      <c r="K378" s="319" t="s">
        <v>936</v>
      </c>
      <c r="L378" s="318">
        <v>14</v>
      </c>
      <c r="M378" s="317" t="s">
        <v>933</v>
      </c>
      <c r="N378" s="312" t="s">
        <v>937</v>
      </c>
    </row>
    <row r="379" spans="2:14" ht="24.9" customHeight="1" x14ac:dyDescent="0.3">
      <c r="B379" s="351" t="s">
        <v>363</v>
      </c>
      <c r="C379" s="311">
        <v>9</v>
      </c>
      <c r="D379" s="318" t="s">
        <v>933</v>
      </c>
      <c r="E379" s="313">
        <v>32199121</v>
      </c>
      <c r="F379" s="333" t="s">
        <v>934</v>
      </c>
      <c r="G379" s="315" t="s">
        <v>748</v>
      </c>
      <c r="H379" s="316">
        <v>32044601</v>
      </c>
      <c r="I379" s="316">
        <f>Table5[[#This Row],[ÁREA]]</f>
        <v>9</v>
      </c>
      <c r="J379" s="317" t="s">
        <v>938</v>
      </c>
      <c r="K379" s="319" t="s">
        <v>939</v>
      </c>
      <c r="L379" s="318">
        <v>14</v>
      </c>
      <c r="M379" s="317" t="s">
        <v>933</v>
      </c>
      <c r="N379" s="312" t="s">
        <v>618</v>
      </c>
    </row>
    <row r="380" spans="2:14" ht="24.9" customHeight="1" x14ac:dyDescent="0.3">
      <c r="B380" s="351" t="s">
        <v>363</v>
      </c>
      <c r="C380" s="311">
        <v>9</v>
      </c>
      <c r="D380" s="318" t="s">
        <v>933</v>
      </c>
      <c r="E380" s="320">
        <v>32199121</v>
      </c>
      <c r="F380" s="333" t="s">
        <v>934</v>
      </c>
      <c r="G380" s="315" t="s">
        <v>748</v>
      </c>
      <c r="H380" s="316">
        <v>32044746</v>
      </c>
      <c r="I380" s="316">
        <f>Table5[[#This Row],[ÁREA]]</f>
        <v>9</v>
      </c>
      <c r="J380" s="317" t="s">
        <v>940</v>
      </c>
      <c r="K380" s="322" t="s">
        <v>941</v>
      </c>
      <c r="L380" s="318">
        <v>14</v>
      </c>
      <c r="M380" s="317" t="s">
        <v>933</v>
      </c>
      <c r="N380" s="312" t="s">
        <v>581</v>
      </c>
    </row>
    <row r="381" spans="2:14" ht="24.9" customHeight="1" x14ac:dyDescent="0.3">
      <c r="B381" s="351" t="s">
        <v>363</v>
      </c>
      <c r="C381" s="311">
        <v>9</v>
      </c>
      <c r="D381" s="318" t="s">
        <v>933</v>
      </c>
      <c r="E381" s="320">
        <v>32199121</v>
      </c>
      <c r="F381" s="333" t="s">
        <v>934</v>
      </c>
      <c r="G381" s="315" t="s">
        <v>748</v>
      </c>
      <c r="H381" s="316">
        <v>32044964</v>
      </c>
      <c r="I381" s="316">
        <f>Table5[[#This Row],[ÁREA]]</f>
        <v>9</v>
      </c>
      <c r="J381" s="317" t="s">
        <v>942</v>
      </c>
      <c r="K381" s="319" t="s">
        <v>943</v>
      </c>
      <c r="L381" s="318">
        <v>16</v>
      </c>
      <c r="M381" s="318" t="s">
        <v>933</v>
      </c>
      <c r="N381" s="312" t="s">
        <v>944</v>
      </c>
    </row>
    <row r="382" spans="2:14" ht="24.9" customHeight="1" x14ac:dyDescent="0.3">
      <c r="B382" s="351" t="s">
        <v>363</v>
      </c>
      <c r="C382" s="311">
        <v>9</v>
      </c>
      <c r="D382" s="318" t="s">
        <v>933</v>
      </c>
      <c r="E382" s="318">
        <v>32199121</v>
      </c>
      <c r="F382" s="326" t="s">
        <v>934</v>
      </c>
      <c r="G382" s="315" t="s">
        <v>748</v>
      </c>
      <c r="H382" s="316">
        <v>32045013</v>
      </c>
      <c r="I382" s="316">
        <f>Table5[[#This Row],[ÁREA]]</f>
        <v>9</v>
      </c>
      <c r="J382" s="317" t="s">
        <v>945</v>
      </c>
      <c r="K382" s="315" t="s">
        <v>946</v>
      </c>
      <c r="L382" s="318">
        <v>14</v>
      </c>
      <c r="M382" s="317" t="s">
        <v>933</v>
      </c>
      <c r="N382" s="312" t="s">
        <v>755</v>
      </c>
    </row>
    <row r="383" spans="2:14" ht="24.9" customHeight="1" x14ac:dyDescent="0.3">
      <c r="B383" s="311" t="s">
        <v>363</v>
      </c>
      <c r="C383" s="311">
        <v>9</v>
      </c>
      <c r="D383" s="318" t="s">
        <v>933</v>
      </c>
      <c r="E383" s="318">
        <v>32199121</v>
      </c>
      <c r="F383" s="326" t="s">
        <v>934</v>
      </c>
      <c r="G383" s="315" t="s">
        <v>748</v>
      </c>
      <c r="H383" s="316">
        <v>32046500</v>
      </c>
      <c r="I383" s="316">
        <f>Table5[[#This Row],[ÁREA]]</f>
        <v>9</v>
      </c>
      <c r="J383" s="317" t="s">
        <v>947</v>
      </c>
      <c r="K383" s="319" t="s">
        <v>948</v>
      </c>
      <c r="L383" s="318">
        <v>14</v>
      </c>
      <c r="M383" s="317" t="s">
        <v>933</v>
      </c>
      <c r="N383" s="312" t="s">
        <v>899</v>
      </c>
    </row>
    <row r="384" spans="2:14" ht="24.9" customHeight="1" x14ac:dyDescent="0.3">
      <c r="B384" s="351" t="s">
        <v>363</v>
      </c>
      <c r="C384" s="311">
        <v>9</v>
      </c>
      <c r="D384" s="318" t="s">
        <v>933</v>
      </c>
      <c r="E384" s="318">
        <v>32199121</v>
      </c>
      <c r="F384" s="326" t="s">
        <v>934</v>
      </c>
      <c r="G384" s="315" t="s">
        <v>748</v>
      </c>
      <c r="H384" s="316">
        <v>32046535</v>
      </c>
      <c r="I384" s="316">
        <f>Table5[[#This Row],[ÁREA]]</f>
        <v>9</v>
      </c>
      <c r="J384" s="317" t="s">
        <v>949</v>
      </c>
      <c r="K384" s="319" t="s">
        <v>950</v>
      </c>
      <c r="L384" s="318">
        <v>14</v>
      </c>
      <c r="M384" s="317" t="s">
        <v>933</v>
      </c>
      <c r="N384" s="312" t="s">
        <v>951</v>
      </c>
    </row>
    <row r="385" spans="2:14" ht="24.9" customHeight="1" x14ac:dyDescent="0.3">
      <c r="B385" s="351" t="s">
        <v>363</v>
      </c>
      <c r="C385" s="311">
        <v>9</v>
      </c>
      <c r="D385" s="318" t="s">
        <v>933</v>
      </c>
      <c r="E385" s="318">
        <v>32199121</v>
      </c>
      <c r="F385" s="326" t="s">
        <v>934</v>
      </c>
      <c r="G385" s="315" t="s">
        <v>748</v>
      </c>
      <c r="H385" s="316">
        <v>32046642</v>
      </c>
      <c r="I385" s="316">
        <f>Table5[[#This Row],[ÁREA]]</f>
        <v>9</v>
      </c>
      <c r="J385" s="317" t="s">
        <v>952</v>
      </c>
      <c r="K385" s="319" t="s">
        <v>953</v>
      </c>
      <c r="L385" s="318">
        <v>16</v>
      </c>
      <c r="M385" s="318" t="s">
        <v>933</v>
      </c>
      <c r="N385" s="312" t="s">
        <v>651</v>
      </c>
    </row>
    <row r="386" spans="2:14" ht="24.9" customHeight="1" x14ac:dyDescent="0.3">
      <c r="B386" s="351" t="s">
        <v>363</v>
      </c>
      <c r="C386" s="311">
        <v>9</v>
      </c>
      <c r="D386" s="318" t="s">
        <v>933</v>
      </c>
      <c r="E386" s="318">
        <v>32199121</v>
      </c>
      <c r="F386" s="326" t="s">
        <v>934</v>
      </c>
      <c r="G386" s="315" t="s">
        <v>748</v>
      </c>
      <c r="H386" s="316">
        <v>32136494</v>
      </c>
      <c r="I386" s="316">
        <f>Table5[[#This Row],[ÁREA]]</f>
        <v>9</v>
      </c>
      <c r="J386" s="317" t="s">
        <v>954</v>
      </c>
      <c r="K386" s="315" t="s">
        <v>955</v>
      </c>
      <c r="L386" s="318">
        <v>14</v>
      </c>
      <c r="M386" s="317" t="s">
        <v>933</v>
      </c>
      <c r="N386" s="312" t="s">
        <v>719</v>
      </c>
    </row>
    <row r="387" spans="2:14" ht="24.9" customHeight="1" x14ac:dyDescent="0.3">
      <c r="B387" s="351" t="s">
        <v>363</v>
      </c>
      <c r="C387" s="311">
        <v>9</v>
      </c>
      <c r="D387" s="318" t="s">
        <v>933</v>
      </c>
      <c r="E387" s="318">
        <v>32199121</v>
      </c>
      <c r="F387" s="326" t="s">
        <v>934</v>
      </c>
      <c r="G387" s="315" t="s">
        <v>748</v>
      </c>
      <c r="H387" s="316">
        <v>32143306</v>
      </c>
      <c r="I387" s="316">
        <f>Table5[[#This Row],[ÁREA]]</f>
        <v>9</v>
      </c>
      <c r="J387" s="317" t="s">
        <v>956</v>
      </c>
      <c r="K387" s="319" t="s">
        <v>957</v>
      </c>
      <c r="L387" s="318">
        <v>16</v>
      </c>
      <c r="M387" s="318" t="s">
        <v>933</v>
      </c>
      <c r="N387" s="312" t="s">
        <v>958</v>
      </c>
    </row>
    <row r="388" spans="2:14" ht="24.9" customHeight="1" x14ac:dyDescent="0.3">
      <c r="B388" s="311" t="s">
        <v>363</v>
      </c>
      <c r="C388" s="311">
        <v>9</v>
      </c>
      <c r="D388" s="318" t="s">
        <v>933</v>
      </c>
      <c r="E388" s="340">
        <v>32199121</v>
      </c>
      <c r="F388" s="343" t="s">
        <v>934</v>
      </c>
      <c r="G388" s="315" t="s">
        <v>748</v>
      </c>
      <c r="H388" s="316">
        <v>32143308</v>
      </c>
      <c r="I388" s="316">
        <f>Table5[[#This Row],[ÁREA]]</f>
        <v>9</v>
      </c>
      <c r="J388" s="317" t="s">
        <v>959</v>
      </c>
      <c r="K388" s="322" t="s">
        <v>960</v>
      </c>
      <c r="L388" s="318">
        <v>14</v>
      </c>
      <c r="M388" s="317" t="s">
        <v>933</v>
      </c>
      <c r="N388" s="312" t="s">
        <v>890</v>
      </c>
    </row>
    <row r="389" spans="2:14" ht="24.9" customHeight="1" x14ac:dyDescent="0.3">
      <c r="B389" s="351" t="s">
        <v>363</v>
      </c>
      <c r="C389" s="311">
        <v>9</v>
      </c>
      <c r="D389" s="318" t="s">
        <v>933</v>
      </c>
      <c r="E389" s="318">
        <v>32199121</v>
      </c>
      <c r="F389" s="326" t="s">
        <v>934</v>
      </c>
      <c r="G389" s="315" t="s">
        <v>748</v>
      </c>
      <c r="H389" s="316">
        <v>32143605</v>
      </c>
      <c r="I389" s="316">
        <f>Table5[[#This Row],[ÁREA]]</f>
        <v>9</v>
      </c>
      <c r="J389" s="317" t="s">
        <v>961</v>
      </c>
      <c r="K389" s="328" t="s">
        <v>962</v>
      </c>
      <c r="L389" s="318">
        <v>14</v>
      </c>
      <c r="M389" s="317" t="s">
        <v>933</v>
      </c>
      <c r="N389" s="312" t="s">
        <v>958</v>
      </c>
    </row>
    <row r="390" spans="2:14" ht="24.9" customHeight="1" x14ac:dyDescent="0.3">
      <c r="B390" s="351" t="s">
        <v>363</v>
      </c>
      <c r="C390" s="311">
        <v>9</v>
      </c>
      <c r="D390" s="318" t="s">
        <v>933</v>
      </c>
      <c r="E390" s="318">
        <v>32199121</v>
      </c>
      <c r="F390" s="326" t="s">
        <v>934</v>
      </c>
      <c r="G390" s="315" t="s">
        <v>748</v>
      </c>
      <c r="H390" s="316">
        <v>32150523</v>
      </c>
      <c r="I390" s="316">
        <f>Table5[[#This Row],[ÁREA]]</f>
        <v>9</v>
      </c>
      <c r="J390" s="317" t="s">
        <v>963</v>
      </c>
      <c r="K390" s="328" t="s">
        <v>61</v>
      </c>
      <c r="L390" s="318">
        <v>16</v>
      </c>
      <c r="M390" s="318" t="s">
        <v>933</v>
      </c>
      <c r="N390" s="312" t="s">
        <v>755</v>
      </c>
    </row>
    <row r="391" spans="2:14" ht="24.9" customHeight="1" x14ac:dyDescent="0.3">
      <c r="B391" s="351" t="s">
        <v>363</v>
      </c>
      <c r="C391" s="352">
        <v>9</v>
      </c>
      <c r="D391" s="318" t="s">
        <v>933</v>
      </c>
      <c r="E391" s="318">
        <v>32199121</v>
      </c>
      <c r="F391" s="326" t="s">
        <v>934</v>
      </c>
      <c r="G391" s="315" t="s">
        <v>748</v>
      </c>
      <c r="H391" s="353">
        <v>32197857</v>
      </c>
      <c r="I391" s="353">
        <f>Table5[[#This Row],[ÁREA]]</f>
        <v>9</v>
      </c>
      <c r="J391" s="338" t="s">
        <v>964</v>
      </c>
      <c r="K391" s="319" t="s">
        <v>965</v>
      </c>
      <c r="L391" s="318">
        <v>14</v>
      </c>
      <c r="M391" s="338" t="s">
        <v>933</v>
      </c>
      <c r="N391" s="355" t="s">
        <v>966</v>
      </c>
    </row>
    <row r="392" spans="2:14" ht="24.9" customHeight="1" x14ac:dyDescent="0.3">
      <c r="B392" s="351" t="s">
        <v>363</v>
      </c>
      <c r="C392" s="311">
        <v>9</v>
      </c>
      <c r="D392" s="318" t="s">
        <v>933</v>
      </c>
      <c r="E392" s="318">
        <v>32199121</v>
      </c>
      <c r="F392" s="326" t="s">
        <v>934</v>
      </c>
      <c r="G392" s="315" t="s">
        <v>748</v>
      </c>
      <c r="H392" s="316">
        <v>32202287</v>
      </c>
      <c r="I392" s="316">
        <f>Table5[[#This Row],[ÁREA]]</f>
        <v>9</v>
      </c>
      <c r="J392" s="317" t="s">
        <v>967</v>
      </c>
      <c r="K392" s="319" t="s">
        <v>968</v>
      </c>
      <c r="L392" s="318">
        <v>14</v>
      </c>
      <c r="M392" s="338" t="s">
        <v>933</v>
      </c>
      <c r="N392" s="312" t="s">
        <v>714</v>
      </c>
    </row>
    <row r="393" spans="2:14" ht="24.9" customHeight="1" x14ac:dyDescent="0.3">
      <c r="B393" s="351" t="s">
        <v>363</v>
      </c>
      <c r="C393" s="311">
        <v>9</v>
      </c>
      <c r="D393" s="317" t="s">
        <v>969</v>
      </c>
      <c r="E393" s="318">
        <v>32045820</v>
      </c>
      <c r="F393" s="326" t="s">
        <v>970</v>
      </c>
      <c r="G393" s="315" t="s">
        <v>520</v>
      </c>
      <c r="H393" s="316">
        <v>32046469</v>
      </c>
      <c r="I393" s="316">
        <v>9</v>
      </c>
      <c r="J393" s="317" t="s">
        <v>971</v>
      </c>
      <c r="K393" s="319" t="s">
        <v>972</v>
      </c>
      <c r="L393" s="318">
        <v>15</v>
      </c>
      <c r="M393" s="338" t="s">
        <v>969</v>
      </c>
      <c r="N393" s="312" t="s">
        <v>973</v>
      </c>
    </row>
    <row r="394" spans="2:14" ht="24.9" customHeight="1" x14ac:dyDescent="0.3">
      <c r="B394" s="351" t="s">
        <v>363</v>
      </c>
      <c r="C394" s="311">
        <v>9</v>
      </c>
      <c r="D394" s="317" t="s">
        <v>974</v>
      </c>
      <c r="E394" s="318">
        <v>32045820</v>
      </c>
      <c r="F394" s="326" t="s">
        <v>975</v>
      </c>
      <c r="G394" s="315" t="s">
        <v>752</v>
      </c>
      <c r="H394" s="316">
        <v>32044009</v>
      </c>
      <c r="I394" s="316">
        <f>Table5[[#This Row],[ÁREA]]</f>
        <v>9</v>
      </c>
      <c r="J394" s="317" t="s">
        <v>976</v>
      </c>
      <c r="K394" s="319" t="s">
        <v>977</v>
      </c>
      <c r="L394" s="318">
        <v>13</v>
      </c>
      <c r="M394" s="338" t="s">
        <v>974</v>
      </c>
      <c r="N394" s="312" t="s">
        <v>958</v>
      </c>
    </row>
    <row r="395" spans="2:14" ht="24.9" customHeight="1" x14ac:dyDescent="0.3">
      <c r="B395" s="351" t="s">
        <v>363</v>
      </c>
      <c r="C395" s="311">
        <v>9</v>
      </c>
      <c r="D395" s="317" t="s">
        <v>974</v>
      </c>
      <c r="E395" s="318">
        <v>32045820</v>
      </c>
      <c r="F395" s="326" t="s">
        <v>975</v>
      </c>
      <c r="G395" s="315" t="s">
        <v>752</v>
      </c>
      <c r="H395" s="316">
        <v>32044117</v>
      </c>
      <c r="I395" s="316">
        <f>Table5[[#This Row],[ÁREA]]</f>
        <v>9</v>
      </c>
      <c r="J395" s="317" t="s">
        <v>978</v>
      </c>
      <c r="K395" s="315" t="s">
        <v>979</v>
      </c>
      <c r="L395" s="318">
        <v>15</v>
      </c>
      <c r="M395" s="354" t="s">
        <v>974</v>
      </c>
      <c r="N395" s="312" t="s">
        <v>937</v>
      </c>
    </row>
    <row r="396" spans="2:14" ht="24.9" customHeight="1" x14ac:dyDescent="0.3">
      <c r="B396" s="351" t="s">
        <v>363</v>
      </c>
      <c r="C396" s="311">
        <v>9</v>
      </c>
      <c r="D396" s="317" t="s">
        <v>974</v>
      </c>
      <c r="E396" s="313">
        <v>32045820</v>
      </c>
      <c r="F396" s="323" t="s">
        <v>975</v>
      </c>
      <c r="G396" s="315" t="s">
        <v>752</v>
      </c>
      <c r="H396" s="316">
        <v>32044772</v>
      </c>
      <c r="I396" s="316">
        <f>Table5[[#This Row],[ÁREA]]</f>
        <v>9</v>
      </c>
      <c r="J396" s="317" t="s">
        <v>980</v>
      </c>
      <c r="K396" s="328" t="s">
        <v>61</v>
      </c>
      <c r="L396" s="318">
        <v>15</v>
      </c>
      <c r="M396" s="318" t="s">
        <v>974</v>
      </c>
      <c r="N396" s="312" t="s">
        <v>602</v>
      </c>
    </row>
    <row r="397" spans="2:14" ht="24.9" customHeight="1" x14ac:dyDescent="0.3">
      <c r="B397" s="351" t="s">
        <v>363</v>
      </c>
      <c r="C397" s="311">
        <v>9</v>
      </c>
      <c r="D397" s="317" t="s">
        <v>974</v>
      </c>
      <c r="E397" s="313">
        <v>32045820</v>
      </c>
      <c r="F397" s="323" t="s">
        <v>975</v>
      </c>
      <c r="G397" s="315" t="s">
        <v>752</v>
      </c>
      <c r="H397" s="316">
        <v>32044869</v>
      </c>
      <c r="I397" s="316">
        <f>Table5[[#This Row],[ÁREA]]</f>
        <v>9</v>
      </c>
      <c r="J397" s="317" t="s">
        <v>981</v>
      </c>
      <c r="K397" s="328" t="s">
        <v>61</v>
      </c>
      <c r="L397" s="318">
        <v>13</v>
      </c>
      <c r="M397" s="317" t="s">
        <v>974</v>
      </c>
      <c r="N397" s="312" t="s">
        <v>651</v>
      </c>
    </row>
    <row r="398" spans="2:14" ht="24.9" customHeight="1" x14ac:dyDescent="0.3">
      <c r="B398" s="351" t="s">
        <v>363</v>
      </c>
      <c r="C398" s="311">
        <v>9</v>
      </c>
      <c r="D398" s="317" t="s">
        <v>974</v>
      </c>
      <c r="E398" s="313">
        <v>32045820</v>
      </c>
      <c r="F398" s="323" t="s">
        <v>975</v>
      </c>
      <c r="G398" s="331" t="s">
        <v>752</v>
      </c>
      <c r="H398" s="316">
        <v>32044919</v>
      </c>
      <c r="I398" s="316">
        <f>Table5[[#This Row],[ÁREA]]</f>
        <v>9</v>
      </c>
      <c r="J398" s="317" t="s">
        <v>982</v>
      </c>
      <c r="K398" s="319" t="s">
        <v>983</v>
      </c>
      <c r="L398" s="318">
        <v>13</v>
      </c>
      <c r="M398" s="317" t="s">
        <v>974</v>
      </c>
      <c r="N398" s="312" t="s">
        <v>755</v>
      </c>
    </row>
    <row r="399" spans="2:14" ht="24.9" customHeight="1" x14ac:dyDescent="0.3">
      <c r="B399" s="351" t="s">
        <v>363</v>
      </c>
      <c r="C399" s="311">
        <v>9</v>
      </c>
      <c r="D399" s="317" t="s">
        <v>974</v>
      </c>
      <c r="E399" s="313">
        <v>32045820</v>
      </c>
      <c r="F399" s="323" t="s">
        <v>975</v>
      </c>
      <c r="G399" s="315" t="s">
        <v>752</v>
      </c>
      <c r="H399" s="316">
        <v>32046156</v>
      </c>
      <c r="I399" s="316">
        <f>Table5[[#This Row],[ÁREA]]</f>
        <v>9</v>
      </c>
      <c r="J399" s="317" t="s">
        <v>984</v>
      </c>
      <c r="K399" s="315" t="s">
        <v>985</v>
      </c>
      <c r="L399" s="318">
        <v>15</v>
      </c>
      <c r="M399" s="318" t="s">
        <v>974</v>
      </c>
      <c r="N399" s="312" t="s">
        <v>602</v>
      </c>
    </row>
    <row r="400" spans="2:14" ht="24.9" customHeight="1" x14ac:dyDescent="0.3">
      <c r="B400" s="351" t="s">
        <v>363</v>
      </c>
      <c r="C400" s="311">
        <v>9</v>
      </c>
      <c r="D400" s="317" t="s">
        <v>974</v>
      </c>
      <c r="E400" s="313">
        <v>32045820</v>
      </c>
      <c r="F400" s="323" t="s">
        <v>975</v>
      </c>
      <c r="G400" s="325" t="s">
        <v>752</v>
      </c>
      <c r="H400" s="316">
        <v>32046584</v>
      </c>
      <c r="I400" s="316">
        <f>Table5[[#This Row],[ÁREA]]</f>
        <v>9</v>
      </c>
      <c r="J400" s="317" t="s">
        <v>986</v>
      </c>
      <c r="K400" s="328" t="s">
        <v>61</v>
      </c>
      <c r="L400" s="318">
        <v>13</v>
      </c>
      <c r="M400" s="317" t="s">
        <v>974</v>
      </c>
      <c r="N400" s="312" t="s">
        <v>714</v>
      </c>
    </row>
    <row r="401" spans="2:14" ht="24.9" customHeight="1" x14ac:dyDescent="0.3">
      <c r="B401" s="311" t="s">
        <v>363</v>
      </c>
      <c r="C401" s="311">
        <v>9</v>
      </c>
      <c r="D401" s="317" t="s">
        <v>974</v>
      </c>
      <c r="E401" s="313">
        <v>32045820</v>
      </c>
      <c r="F401" s="323" t="s">
        <v>975</v>
      </c>
      <c r="G401" s="315" t="s">
        <v>752</v>
      </c>
      <c r="H401" s="316">
        <v>32046585</v>
      </c>
      <c r="I401" s="316">
        <f>Table5[[#This Row],[ÁREA]]</f>
        <v>9</v>
      </c>
      <c r="J401" s="317" t="s">
        <v>987</v>
      </c>
      <c r="K401" s="319" t="s">
        <v>988</v>
      </c>
      <c r="L401" s="318">
        <v>13</v>
      </c>
      <c r="M401" s="317" t="s">
        <v>974</v>
      </c>
      <c r="N401" s="312" t="s">
        <v>899</v>
      </c>
    </row>
    <row r="402" spans="2:14" ht="24.9" customHeight="1" x14ac:dyDescent="0.3">
      <c r="B402" s="351" t="s">
        <v>363</v>
      </c>
      <c r="C402" s="311">
        <v>9</v>
      </c>
      <c r="D402" s="317" t="s">
        <v>974</v>
      </c>
      <c r="E402" s="318">
        <v>32045820</v>
      </c>
      <c r="F402" s="326" t="s">
        <v>975</v>
      </c>
      <c r="G402" s="334" t="s">
        <v>752</v>
      </c>
      <c r="H402" s="316">
        <v>32046602</v>
      </c>
      <c r="I402" s="316">
        <f>Table5[[#This Row],[ÁREA]]</f>
        <v>9</v>
      </c>
      <c r="J402" s="317" t="s">
        <v>989</v>
      </c>
      <c r="K402" s="319" t="s">
        <v>990</v>
      </c>
      <c r="L402" s="318">
        <v>13</v>
      </c>
      <c r="M402" s="317" t="s">
        <v>974</v>
      </c>
      <c r="N402" s="312" t="s">
        <v>937</v>
      </c>
    </row>
    <row r="403" spans="2:14" ht="24.9" customHeight="1" x14ac:dyDescent="0.3">
      <c r="B403" s="351" t="s">
        <v>363</v>
      </c>
      <c r="C403" s="311">
        <v>9</v>
      </c>
      <c r="D403" s="317" t="s">
        <v>974</v>
      </c>
      <c r="E403" s="313">
        <v>32045820</v>
      </c>
      <c r="F403" s="323" t="s">
        <v>975</v>
      </c>
      <c r="G403" s="315" t="s">
        <v>752</v>
      </c>
      <c r="H403" s="316">
        <v>32061474</v>
      </c>
      <c r="I403" s="316">
        <f>Table5[[#This Row],[ÁREA]]</f>
        <v>9</v>
      </c>
      <c r="J403" s="317" t="s">
        <v>991</v>
      </c>
      <c r="K403" s="319" t="s">
        <v>992</v>
      </c>
      <c r="L403" s="318">
        <v>13</v>
      </c>
      <c r="M403" s="317" t="s">
        <v>974</v>
      </c>
      <c r="N403" s="312" t="s">
        <v>890</v>
      </c>
    </row>
    <row r="404" spans="2:14" ht="24.9" customHeight="1" x14ac:dyDescent="0.3">
      <c r="B404" s="311" t="s">
        <v>363</v>
      </c>
      <c r="C404" s="352">
        <v>9</v>
      </c>
      <c r="D404" s="317" t="s">
        <v>974</v>
      </c>
      <c r="E404" s="313">
        <v>32045820</v>
      </c>
      <c r="F404" s="323" t="s">
        <v>975</v>
      </c>
      <c r="G404" s="315" t="s">
        <v>752</v>
      </c>
      <c r="H404" s="353">
        <v>32067168</v>
      </c>
      <c r="I404" s="353">
        <f>Table5[[#This Row],[ÁREA]]</f>
        <v>9</v>
      </c>
      <c r="J404" s="338" t="s">
        <v>993</v>
      </c>
      <c r="K404" s="328" t="s">
        <v>61</v>
      </c>
      <c r="L404" s="318">
        <v>13</v>
      </c>
      <c r="M404" s="338" t="s">
        <v>974</v>
      </c>
      <c r="N404" s="355" t="s">
        <v>951</v>
      </c>
    </row>
    <row r="405" spans="2:14" ht="24.9" customHeight="1" x14ac:dyDescent="0.3">
      <c r="B405" s="351" t="s">
        <v>363</v>
      </c>
      <c r="C405" s="311">
        <v>9</v>
      </c>
      <c r="D405" s="317" t="s">
        <v>974</v>
      </c>
      <c r="E405" s="313">
        <v>32045820</v>
      </c>
      <c r="F405" s="323" t="s">
        <v>975</v>
      </c>
      <c r="G405" s="315" t="s">
        <v>752</v>
      </c>
      <c r="H405" s="316">
        <v>32067739</v>
      </c>
      <c r="I405" s="316">
        <f>Table5[[#This Row],[ÁREA]]</f>
        <v>9</v>
      </c>
      <c r="J405" s="317" t="s">
        <v>994</v>
      </c>
      <c r="K405" s="319" t="s">
        <v>995</v>
      </c>
      <c r="L405" s="318">
        <v>13</v>
      </c>
      <c r="M405" s="317" t="s">
        <v>974</v>
      </c>
      <c r="N405" s="312" t="s">
        <v>519</v>
      </c>
    </row>
    <row r="406" spans="2:14" ht="24.9" customHeight="1" x14ac:dyDescent="0.3">
      <c r="B406" s="351" t="s">
        <v>363</v>
      </c>
      <c r="C406" s="311">
        <v>9</v>
      </c>
      <c r="D406" s="317" t="s">
        <v>974</v>
      </c>
      <c r="E406" s="320">
        <v>32045820</v>
      </c>
      <c r="F406" s="324" t="s">
        <v>975</v>
      </c>
      <c r="G406" s="331" t="s">
        <v>752</v>
      </c>
      <c r="H406" s="316">
        <v>32068002</v>
      </c>
      <c r="I406" s="316">
        <f>Table5[[#This Row],[ÁREA]]</f>
        <v>9</v>
      </c>
      <c r="J406" s="317" t="s">
        <v>996</v>
      </c>
      <c r="K406" s="319" t="s">
        <v>997</v>
      </c>
      <c r="L406" s="318">
        <v>15</v>
      </c>
      <c r="M406" s="318" t="s">
        <v>974</v>
      </c>
      <c r="N406" s="312" t="s">
        <v>998</v>
      </c>
    </row>
    <row r="407" spans="2:14" ht="24.9" customHeight="1" x14ac:dyDescent="0.3">
      <c r="B407" s="351" t="s">
        <v>363</v>
      </c>
      <c r="C407" s="311">
        <v>9</v>
      </c>
      <c r="D407" s="317" t="s">
        <v>974</v>
      </c>
      <c r="E407" s="320">
        <v>32045820</v>
      </c>
      <c r="F407" s="333" t="s">
        <v>975</v>
      </c>
      <c r="G407" s="315" t="s">
        <v>752</v>
      </c>
      <c r="H407" s="316">
        <v>32148854</v>
      </c>
      <c r="I407" s="316">
        <f>Table5[[#This Row],[ÁREA]]</f>
        <v>9</v>
      </c>
      <c r="J407" s="317" t="s">
        <v>999</v>
      </c>
      <c r="K407" s="328" t="s">
        <v>61</v>
      </c>
      <c r="L407" s="318">
        <v>13</v>
      </c>
      <c r="M407" s="317" t="s">
        <v>974</v>
      </c>
      <c r="N407" s="312" t="s">
        <v>581</v>
      </c>
    </row>
    <row r="408" spans="2:14" ht="24.9" customHeight="1" x14ac:dyDescent="0.3">
      <c r="B408" s="351" t="s">
        <v>363</v>
      </c>
      <c r="C408" s="311">
        <v>9</v>
      </c>
      <c r="D408" s="317" t="s">
        <v>974</v>
      </c>
      <c r="E408" s="320">
        <v>32045820</v>
      </c>
      <c r="F408" s="333" t="s">
        <v>975</v>
      </c>
      <c r="G408" s="334" t="s">
        <v>752</v>
      </c>
      <c r="H408" s="316">
        <v>32148854</v>
      </c>
      <c r="I408" s="316">
        <f>Table5[[#This Row],[ÁREA]]</f>
        <v>9</v>
      </c>
      <c r="J408" s="317" t="s">
        <v>1000</v>
      </c>
      <c r="K408" s="319" t="s">
        <v>1001</v>
      </c>
      <c r="L408" s="318">
        <v>13</v>
      </c>
      <c r="M408" s="317" t="s">
        <v>974</v>
      </c>
      <c r="N408" s="312" t="s">
        <v>719</v>
      </c>
    </row>
    <row r="409" spans="2:14" ht="24.9" customHeight="1" x14ac:dyDescent="0.3">
      <c r="B409" s="351" t="s">
        <v>363</v>
      </c>
      <c r="C409" s="311">
        <v>9</v>
      </c>
      <c r="D409" s="317" t="s">
        <v>974</v>
      </c>
      <c r="E409" s="320">
        <v>32045820</v>
      </c>
      <c r="F409" s="333" t="s">
        <v>975</v>
      </c>
      <c r="G409" s="331" t="s">
        <v>752</v>
      </c>
      <c r="H409" s="316">
        <v>32202288</v>
      </c>
      <c r="I409" s="316">
        <f>Table5[[#This Row],[ÁREA]]</f>
        <v>9</v>
      </c>
      <c r="J409" s="317" t="s">
        <v>1002</v>
      </c>
      <c r="K409" s="328" t="s">
        <v>61</v>
      </c>
      <c r="L409" s="318">
        <v>13</v>
      </c>
      <c r="M409" s="317" t="s">
        <v>974</v>
      </c>
      <c r="N409" s="312" t="s">
        <v>618</v>
      </c>
    </row>
    <row r="410" spans="2:14" ht="24.9" customHeight="1" x14ac:dyDescent="0.3">
      <c r="B410" s="351" t="s">
        <v>363</v>
      </c>
      <c r="C410" s="311">
        <v>9</v>
      </c>
      <c r="D410" s="317" t="s">
        <v>1003</v>
      </c>
      <c r="E410" s="320">
        <v>32148202</v>
      </c>
      <c r="F410" s="333" t="s">
        <v>1004</v>
      </c>
      <c r="G410" s="331" t="s">
        <v>752</v>
      </c>
      <c r="H410" s="316">
        <v>32044265</v>
      </c>
      <c r="I410" s="316">
        <f>Table5[[#This Row],[ÁREA]]</f>
        <v>9</v>
      </c>
      <c r="J410" s="317" t="s">
        <v>1005</v>
      </c>
      <c r="K410" s="319" t="s">
        <v>1006</v>
      </c>
      <c r="L410" s="318">
        <v>15</v>
      </c>
      <c r="M410" s="318" t="s">
        <v>1003</v>
      </c>
      <c r="N410" s="312" t="s">
        <v>1007</v>
      </c>
    </row>
    <row r="411" spans="2:14" ht="24.9" customHeight="1" x14ac:dyDescent="0.3">
      <c r="B411" s="311" t="s">
        <v>363</v>
      </c>
      <c r="C411" s="311">
        <v>9</v>
      </c>
      <c r="D411" s="318" t="s">
        <v>1003</v>
      </c>
      <c r="E411" s="320">
        <v>32148202</v>
      </c>
      <c r="F411" s="333" t="s">
        <v>1004</v>
      </c>
      <c r="G411" s="315" t="s">
        <v>541</v>
      </c>
      <c r="H411" s="316">
        <v>32045040</v>
      </c>
      <c r="I411" s="316">
        <f>Table5[[#This Row],[ÁREA]]</f>
        <v>9</v>
      </c>
      <c r="J411" s="317" t="s">
        <v>1008</v>
      </c>
      <c r="K411" s="315" t="s">
        <v>1009</v>
      </c>
      <c r="L411" s="318">
        <v>14</v>
      </c>
      <c r="M411" s="318" t="s">
        <v>1003</v>
      </c>
      <c r="N411" s="312" t="s">
        <v>714</v>
      </c>
    </row>
    <row r="412" spans="2:14" ht="24.9" customHeight="1" x14ac:dyDescent="0.3">
      <c r="B412" s="351" t="s">
        <v>363</v>
      </c>
      <c r="C412" s="311">
        <v>9</v>
      </c>
      <c r="D412" s="318" t="s">
        <v>1003</v>
      </c>
      <c r="E412" s="320">
        <v>32148202</v>
      </c>
      <c r="F412" s="333" t="s">
        <v>1004</v>
      </c>
      <c r="G412" s="325" t="s">
        <v>541</v>
      </c>
      <c r="H412" s="316">
        <v>32045959</v>
      </c>
      <c r="I412" s="316">
        <f>Table5[[#This Row],[ÁREA]]</f>
        <v>9</v>
      </c>
      <c r="J412" s="317" t="s">
        <v>1010</v>
      </c>
      <c r="K412" s="319" t="s">
        <v>1011</v>
      </c>
      <c r="L412" s="318">
        <v>14</v>
      </c>
      <c r="M412" s="317" t="s">
        <v>1003</v>
      </c>
      <c r="N412" s="312" t="s">
        <v>1012</v>
      </c>
    </row>
    <row r="413" spans="2:14" ht="24.9" customHeight="1" x14ac:dyDescent="0.3">
      <c r="B413" s="351" t="s">
        <v>363</v>
      </c>
      <c r="C413" s="311">
        <v>9</v>
      </c>
      <c r="D413" s="318" t="s">
        <v>1003</v>
      </c>
      <c r="E413" s="320">
        <v>32148202</v>
      </c>
      <c r="F413" s="333" t="s">
        <v>1004</v>
      </c>
      <c r="G413" s="315" t="s">
        <v>541</v>
      </c>
      <c r="H413" s="316">
        <v>32046073</v>
      </c>
      <c r="I413" s="316">
        <f>Table5[[#This Row],[ÁREA]]</f>
        <v>9</v>
      </c>
      <c r="J413" s="317" t="s">
        <v>1013</v>
      </c>
      <c r="K413" s="319" t="s">
        <v>1014</v>
      </c>
      <c r="L413" s="318">
        <v>14</v>
      </c>
      <c r="M413" s="317" t="s">
        <v>1003</v>
      </c>
      <c r="N413" s="312" t="s">
        <v>544</v>
      </c>
    </row>
    <row r="414" spans="2:14" ht="24.9" customHeight="1" x14ac:dyDescent="0.3">
      <c r="B414" s="351" t="s">
        <v>363</v>
      </c>
      <c r="C414" s="311">
        <v>9</v>
      </c>
      <c r="D414" s="317" t="s">
        <v>1003</v>
      </c>
      <c r="E414" s="329">
        <v>32045820</v>
      </c>
      <c r="F414" s="315" t="s">
        <v>1004</v>
      </c>
      <c r="G414" s="334" t="s">
        <v>565</v>
      </c>
      <c r="H414" s="316">
        <v>32046149</v>
      </c>
      <c r="I414" s="316">
        <v>9</v>
      </c>
      <c r="J414" s="317" t="s">
        <v>1015</v>
      </c>
      <c r="K414" s="322" t="s">
        <v>1016</v>
      </c>
      <c r="L414" s="318">
        <v>14</v>
      </c>
      <c r="M414" s="317" t="s">
        <v>1003</v>
      </c>
      <c r="N414" s="312" t="s">
        <v>1017</v>
      </c>
    </row>
    <row r="415" spans="2:14" ht="24.9" customHeight="1" x14ac:dyDescent="0.3">
      <c r="B415" s="351" t="s">
        <v>363</v>
      </c>
      <c r="C415" s="311">
        <v>9</v>
      </c>
      <c r="D415" s="318" t="s">
        <v>1003</v>
      </c>
      <c r="E415" s="313">
        <v>32148202</v>
      </c>
      <c r="F415" s="323" t="s">
        <v>1004</v>
      </c>
      <c r="G415" s="315" t="s">
        <v>541</v>
      </c>
      <c r="H415" s="316">
        <v>32046201</v>
      </c>
      <c r="I415" s="316">
        <f>Table5[[#This Row],[ÁREA]]</f>
        <v>9</v>
      </c>
      <c r="J415" s="317" t="s">
        <v>1018</v>
      </c>
      <c r="K415" s="322" t="s">
        <v>1019</v>
      </c>
      <c r="L415" s="318">
        <v>14</v>
      </c>
      <c r="M415" s="318" t="s">
        <v>1003</v>
      </c>
      <c r="N415" s="312" t="s">
        <v>1020</v>
      </c>
    </row>
    <row r="416" spans="2:14" ht="24.9" customHeight="1" x14ac:dyDescent="0.3">
      <c r="B416" s="351" t="s">
        <v>363</v>
      </c>
      <c r="C416" s="311">
        <v>9</v>
      </c>
      <c r="D416" s="318" t="s">
        <v>1003</v>
      </c>
      <c r="E416" s="313">
        <v>32148202</v>
      </c>
      <c r="F416" s="323" t="s">
        <v>1004</v>
      </c>
      <c r="G416" s="315" t="s">
        <v>541</v>
      </c>
      <c r="H416" s="316">
        <v>32046230</v>
      </c>
      <c r="I416" s="316">
        <f>Table5[[#This Row],[ÁREA]]</f>
        <v>9</v>
      </c>
      <c r="J416" s="317" t="s">
        <v>1021</v>
      </c>
      <c r="K416" s="319" t="s">
        <v>1022</v>
      </c>
      <c r="L416" s="318">
        <v>14</v>
      </c>
      <c r="M416" s="317" t="s">
        <v>1003</v>
      </c>
      <c r="N416" s="312" t="s">
        <v>1023</v>
      </c>
    </row>
    <row r="417" spans="2:14" ht="24.9" customHeight="1" x14ac:dyDescent="0.3">
      <c r="B417" s="351" t="s">
        <v>363</v>
      </c>
      <c r="C417" s="311">
        <v>9</v>
      </c>
      <c r="D417" s="318" t="s">
        <v>1003</v>
      </c>
      <c r="E417" s="313">
        <v>32148202</v>
      </c>
      <c r="F417" s="323" t="s">
        <v>1004</v>
      </c>
      <c r="G417" s="315" t="s">
        <v>541</v>
      </c>
      <c r="H417" s="316">
        <v>32046386</v>
      </c>
      <c r="I417" s="316">
        <f>Table5[[#This Row],[ÁREA]]</f>
        <v>9</v>
      </c>
      <c r="J417" s="317" t="s">
        <v>1024</v>
      </c>
      <c r="K417" s="322" t="s">
        <v>1025</v>
      </c>
      <c r="L417" s="318">
        <v>14</v>
      </c>
      <c r="M417" s="317" t="s">
        <v>1003</v>
      </c>
      <c r="N417" s="312" t="s">
        <v>1026</v>
      </c>
    </row>
    <row r="418" spans="2:14" ht="24.9" customHeight="1" x14ac:dyDescent="0.3">
      <c r="B418" s="351" t="s">
        <v>363</v>
      </c>
      <c r="C418" s="311">
        <v>9</v>
      </c>
      <c r="D418" s="318" t="s">
        <v>1003</v>
      </c>
      <c r="E418" s="313">
        <v>32148202</v>
      </c>
      <c r="F418" s="323" t="s">
        <v>1004</v>
      </c>
      <c r="G418" s="315" t="s">
        <v>541</v>
      </c>
      <c r="H418" s="316">
        <v>32046394</v>
      </c>
      <c r="I418" s="316">
        <f>Table5[[#This Row],[ÁREA]]</f>
        <v>9</v>
      </c>
      <c r="J418" s="317" t="s">
        <v>1027</v>
      </c>
      <c r="K418" s="328" t="s">
        <v>1028</v>
      </c>
      <c r="L418" s="318">
        <v>14</v>
      </c>
      <c r="M418" s="318" t="s">
        <v>1003</v>
      </c>
      <c r="N418" s="312" t="s">
        <v>1029</v>
      </c>
    </row>
    <row r="419" spans="2:14" ht="24.9" customHeight="1" x14ac:dyDescent="0.3">
      <c r="B419" s="351" t="s">
        <v>363</v>
      </c>
      <c r="C419" s="311">
        <v>9</v>
      </c>
      <c r="D419" s="318" t="s">
        <v>1003</v>
      </c>
      <c r="E419" s="313">
        <v>32148202</v>
      </c>
      <c r="F419" s="323" t="s">
        <v>1004</v>
      </c>
      <c r="G419" s="315" t="s">
        <v>541</v>
      </c>
      <c r="H419" s="316">
        <v>32046415</v>
      </c>
      <c r="I419" s="316">
        <f>Table5[[#This Row],[ÁREA]]</f>
        <v>9</v>
      </c>
      <c r="J419" s="317" t="s">
        <v>1030</v>
      </c>
      <c r="K419" s="319" t="s">
        <v>1031</v>
      </c>
      <c r="L419" s="318">
        <v>14</v>
      </c>
      <c r="M419" s="317" t="s">
        <v>1003</v>
      </c>
      <c r="N419" s="312" t="s">
        <v>714</v>
      </c>
    </row>
    <row r="420" spans="2:14" ht="24.9" customHeight="1" x14ac:dyDescent="0.3">
      <c r="B420" s="351" t="s">
        <v>363</v>
      </c>
      <c r="C420" s="311">
        <v>9</v>
      </c>
      <c r="D420" s="318" t="s">
        <v>1003</v>
      </c>
      <c r="E420" s="313">
        <v>32148202</v>
      </c>
      <c r="F420" s="323" t="s">
        <v>1004</v>
      </c>
      <c r="G420" s="315" t="s">
        <v>541</v>
      </c>
      <c r="H420" s="316">
        <v>32046558</v>
      </c>
      <c r="I420" s="316">
        <f>Table5[[#This Row],[ÁREA]]</f>
        <v>9</v>
      </c>
      <c r="J420" s="317" t="s">
        <v>1032</v>
      </c>
      <c r="K420" s="319" t="s">
        <v>1033</v>
      </c>
      <c r="L420" s="318">
        <v>14</v>
      </c>
      <c r="M420" s="317" t="s">
        <v>1003</v>
      </c>
      <c r="N420" s="312" t="s">
        <v>461</v>
      </c>
    </row>
    <row r="421" spans="2:14" ht="24.9" customHeight="1" x14ac:dyDescent="0.3">
      <c r="B421" s="351" t="s">
        <v>363</v>
      </c>
      <c r="C421" s="311">
        <v>9</v>
      </c>
      <c r="D421" s="318" t="s">
        <v>1003</v>
      </c>
      <c r="E421" s="313">
        <v>32148202</v>
      </c>
      <c r="F421" s="323" t="s">
        <v>1004</v>
      </c>
      <c r="G421" s="325" t="s">
        <v>541</v>
      </c>
      <c r="H421" s="316">
        <v>32060919</v>
      </c>
      <c r="I421" s="316">
        <f>Table5[[#This Row],[ÁREA]]</f>
        <v>9</v>
      </c>
      <c r="J421" s="317" t="s">
        <v>1034</v>
      </c>
      <c r="K421" s="322" t="s">
        <v>1035</v>
      </c>
      <c r="L421" s="318">
        <v>14</v>
      </c>
      <c r="M421" s="317" t="s">
        <v>1003</v>
      </c>
      <c r="N421" s="312" t="s">
        <v>1036</v>
      </c>
    </row>
    <row r="422" spans="2:14" ht="24.9" customHeight="1" x14ac:dyDescent="0.3">
      <c r="B422" s="351" t="s">
        <v>363</v>
      </c>
      <c r="C422" s="311">
        <v>9</v>
      </c>
      <c r="D422" s="318" t="s">
        <v>1003</v>
      </c>
      <c r="E422" s="313">
        <v>32148202</v>
      </c>
      <c r="F422" s="323" t="s">
        <v>1004</v>
      </c>
      <c r="G422" s="315" t="s">
        <v>541</v>
      </c>
      <c r="H422" s="316">
        <v>32061941</v>
      </c>
      <c r="I422" s="316">
        <f>Table5[[#This Row],[ÁREA]]</f>
        <v>9</v>
      </c>
      <c r="J422" s="317" t="s">
        <v>1037</v>
      </c>
      <c r="K422" s="319" t="s">
        <v>1038</v>
      </c>
      <c r="L422" s="318">
        <v>14</v>
      </c>
      <c r="M422" s="318" t="s">
        <v>1003</v>
      </c>
      <c r="N422" s="312" t="s">
        <v>1039</v>
      </c>
    </row>
    <row r="423" spans="2:14" ht="24.9" customHeight="1" x14ac:dyDescent="0.3">
      <c r="B423" s="351" t="s">
        <v>363</v>
      </c>
      <c r="C423" s="311">
        <v>9</v>
      </c>
      <c r="D423" s="318" t="s">
        <v>1003</v>
      </c>
      <c r="E423" s="313">
        <v>32148202</v>
      </c>
      <c r="F423" s="323" t="s">
        <v>1004</v>
      </c>
      <c r="G423" s="315" t="s">
        <v>541</v>
      </c>
      <c r="H423" s="316">
        <v>32149860</v>
      </c>
      <c r="I423" s="316">
        <f>Table5[[#This Row],[ÁREA]]</f>
        <v>9</v>
      </c>
      <c r="J423" s="317" t="s">
        <v>1040</v>
      </c>
      <c r="K423" s="319" t="s">
        <v>1041</v>
      </c>
      <c r="L423" s="318">
        <v>14</v>
      </c>
      <c r="M423" s="317" t="s">
        <v>1003</v>
      </c>
      <c r="N423" s="312" t="s">
        <v>1042</v>
      </c>
    </row>
    <row r="424" spans="2:14" ht="24.9" customHeight="1" x14ac:dyDescent="0.3">
      <c r="B424" s="351" t="s">
        <v>363</v>
      </c>
      <c r="C424" s="311">
        <v>9</v>
      </c>
      <c r="D424" s="318" t="s">
        <v>1003</v>
      </c>
      <c r="E424" s="318">
        <v>32148202</v>
      </c>
      <c r="F424" s="326" t="s">
        <v>1004</v>
      </c>
      <c r="G424" s="315" t="s">
        <v>541</v>
      </c>
      <c r="H424" s="316">
        <v>32149877</v>
      </c>
      <c r="I424" s="316">
        <f>Table5[[#This Row],[ÁREA]]</f>
        <v>9</v>
      </c>
      <c r="J424" s="317" t="s">
        <v>1043</v>
      </c>
      <c r="K424" s="315" t="s">
        <v>1044</v>
      </c>
      <c r="L424" s="318">
        <v>14</v>
      </c>
      <c r="M424" s="317" t="s">
        <v>1003</v>
      </c>
      <c r="N424" s="312" t="s">
        <v>547</v>
      </c>
    </row>
    <row r="425" spans="2:14" ht="24.9" customHeight="1" x14ac:dyDescent="0.3">
      <c r="B425" s="351" t="s">
        <v>363</v>
      </c>
      <c r="C425" s="311">
        <v>9</v>
      </c>
      <c r="D425" s="318" t="s">
        <v>1003</v>
      </c>
      <c r="E425" s="318">
        <v>32148202</v>
      </c>
      <c r="F425" s="326" t="s">
        <v>1004</v>
      </c>
      <c r="G425" s="315" t="s">
        <v>541</v>
      </c>
      <c r="H425" s="316">
        <v>32153095</v>
      </c>
      <c r="I425" s="316">
        <f>Table5[[#This Row],[ÁREA]]</f>
        <v>9</v>
      </c>
      <c r="J425" s="317" t="s">
        <v>1045</v>
      </c>
      <c r="K425" s="315" t="s">
        <v>1046</v>
      </c>
      <c r="L425" s="318">
        <v>14</v>
      </c>
      <c r="M425" s="317" t="s">
        <v>1003</v>
      </c>
      <c r="N425" s="312" t="s">
        <v>1047</v>
      </c>
    </row>
    <row r="426" spans="2:14" ht="24.9" customHeight="1" x14ac:dyDescent="0.3">
      <c r="B426" s="351" t="s">
        <v>363</v>
      </c>
      <c r="C426" s="311">
        <v>9</v>
      </c>
      <c r="D426" s="318" t="s">
        <v>1003</v>
      </c>
      <c r="E426" s="318">
        <v>32148202</v>
      </c>
      <c r="F426" s="326" t="s">
        <v>1004</v>
      </c>
      <c r="G426" s="315" t="s">
        <v>541</v>
      </c>
      <c r="H426" s="316">
        <v>32180198</v>
      </c>
      <c r="I426" s="316">
        <f>Table5[[#This Row],[ÁREA]]</f>
        <v>9</v>
      </c>
      <c r="J426" s="317" t="s">
        <v>1048</v>
      </c>
      <c r="K426" s="319" t="s">
        <v>1049</v>
      </c>
      <c r="L426" s="318">
        <v>14</v>
      </c>
      <c r="M426" s="317" t="s">
        <v>1003</v>
      </c>
      <c r="N426" s="312" t="s">
        <v>1050</v>
      </c>
    </row>
    <row r="427" spans="2:14" ht="24.9" customHeight="1" x14ac:dyDescent="0.3">
      <c r="B427" s="351" t="s">
        <v>363</v>
      </c>
      <c r="C427" s="352">
        <v>10</v>
      </c>
      <c r="D427" s="318" t="s">
        <v>1051</v>
      </c>
      <c r="E427" s="329">
        <v>32231001</v>
      </c>
      <c r="F427" s="321" t="s">
        <v>1052</v>
      </c>
      <c r="G427" s="325" t="s">
        <v>1053</v>
      </c>
      <c r="H427" s="353">
        <v>32044475</v>
      </c>
      <c r="I427" s="353">
        <f>Table5[[#This Row],[ÁREA]]</f>
        <v>10</v>
      </c>
      <c r="J427" s="338" t="s">
        <v>1054</v>
      </c>
      <c r="K427" s="331" t="s">
        <v>1055</v>
      </c>
      <c r="L427" s="318">
        <v>10</v>
      </c>
      <c r="M427" s="338" t="s">
        <v>1051</v>
      </c>
      <c r="N427" s="355" t="s">
        <v>1056</v>
      </c>
    </row>
    <row r="428" spans="2:14" ht="24.9" customHeight="1" x14ac:dyDescent="0.3">
      <c r="B428" s="351" t="s">
        <v>363</v>
      </c>
      <c r="C428" s="311">
        <v>10</v>
      </c>
      <c r="D428" s="318" t="s">
        <v>1051</v>
      </c>
      <c r="E428" s="315">
        <v>32231001</v>
      </c>
      <c r="F428" s="327" t="s">
        <v>1052</v>
      </c>
      <c r="G428" s="315" t="s">
        <v>1053</v>
      </c>
      <c r="H428" s="316">
        <v>32044881</v>
      </c>
      <c r="I428" s="316">
        <f>Table5[[#This Row],[ÁREA]]</f>
        <v>10</v>
      </c>
      <c r="J428" s="317" t="s">
        <v>1057</v>
      </c>
      <c r="K428" s="315" t="s">
        <v>1058</v>
      </c>
      <c r="L428" s="318">
        <v>10</v>
      </c>
      <c r="M428" s="317" t="s">
        <v>1051</v>
      </c>
      <c r="N428" s="312" t="s">
        <v>973</v>
      </c>
    </row>
    <row r="429" spans="2:14" ht="24.9" customHeight="1" x14ac:dyDescent="0.3">
      <c r="B429" s="351" t="s">
        <v>363</v>
      </c>
      <c r="C429" s="311">
        <v>10</v>
      </c>
      <c r="D429" s="318" t="s">
        <v>1051</v>
      </c>
      <c r="E429" s="315">
        <v>32231001</v>
      </c>
      <c r="F429" s="327" t="s">
        <v>1052</v>
      </c>
      <c r="G429" s="315" t="s">
        <v>1053</v>
      </c>
      <c r="H429" s="316">
        <v>32046256</v>
      </c>
      <c r="I429" s="316">
        <f>Table5[[#This Row],[ÁREA]]</f>
        <v>10</v>
      </c>
      <c r="J429" s="317" t="s">
        <v>1059</v>
      </c>
      <c r="K429" s="319" t="s">
        <v>1060</v>
      </c>
      <c r="L429" s="318">
        <v>10</v>
      </c>
      <c r="M429" s="317" t="s">
        <v>1051</v>
      </c>
      <c r="N429" s="312" t="s">
        <v>447</v>
      </c>
    </row>
    <row r="430" spans="2:14" ht="24.9" customHeight="1" x14ac:dyDescent="0.3">
      <c r="B430" s="351" t="s">
        <v>363</v>
      </c>
      <c r="C430" s="311">
        <v>10</v>
      </c>
      <c r="D430" s="318" t="s">
        <v>1051</v>
      </c>
      <c r="E430" s="315">
        <v>32231001</v>
      </c>
      <c r="F430" s="327" t="s">
        <v>1052</v>
      </c>
      <c r="G430" s="315" t="s">
        <v>1053</v>
      </c>
      <c r="H430" s="316">
        <v>32046338</v>
      </c>
      <c r="I430" s="316">
        <f>Table5[[#This Row],[ÁREA]]</f>
        <v>10</v>
      </c>
      <c r="J430" s="317" t="s">
        <v>1061</v>
      </c>
      <c r="K430" s="315" t="s">
        <v>1062</v>
      </c>
      <c r="L430" s="318">
        <v>10</v>
      </c>
      <c r="M430" s="317" t="s">
        <v>1051</v>
      </c>
      <c r="N430" s="312" t="s">
        <v>461</v>
      </c>
    </row>
    <row r="431" spans="2:14" ht="24.9" customHeight="1" x14ac:dyDescent="0.3">
      <c r="B431" s="351" t="s">
        <v>363</v>
      </c>
      <c r="C431" s="311">
        <v>10</v>
      </c>
      <c r="D431" s="318" t="s">
        <v>1051</v>
      </c>
      <c r="E431" s="315">
        <v>32231001</v>
      </c>
      <c r="F431" s="327" t="s">
        <v>1052</v>
      </c>
      <c r="G431" s="325" t="s">
        <v>1053</v>
      </c>
      <c r="H431" s="316">
        <v>32058105</v>
      </c>
      <c r="I431" s="316">
        <f>Table5[[#This Row],[ÁREA]]</f>
        <v>10</v>
      </c>
      <c r="J431" s="317" t="s">
        <v>1063</v>
      </c>
      <c r="K431" s="328" t="s">
        <v>1064</v>
      </c>
      <c r="L431" s="318">
        <v>10</v>
      </c>
      <c r="M431" s="317" t="s">
        <v>1051</v>
      </c>
      <c r="N431" s="312" t="s">
        <v>711</v>
      </c>
    </row>
    <row r="432" spans="2:14" ht="24.9" customHeight="1" x14ac:dyDescent="0.3">
      <c r="B432" s="351" t="s">
        <v>363</v>
      </c>
      <c r="C432" s="311">
        <v>10</v>
      </c>
      <c r="D432" s="318" t="s">
        <v>1051</v>
      </c>
      <c r="E432" s="329">
        <v>32231001</v>
      </c>
      <c r="F432" s="321" t="s">
        <v>1052</v>
      </c>
      <c r="G432" s="334" t="s">
        <v>1053</v>
      </c>
      <c r="H432" s="316">
        <v>32059341</v>
      </c>
      <c r="I432" s="316">
        <f>Table5[[#This Row],[ÁREA]]</f>
        <v>10</v>
      </c>
      <c r="J432" s="317" t="s">
        <v>1065</v>
      </c>
      <c r="K432" s="319" t="s">
        <v>1066</v>
      </c>
      <c r="L432" s="318">
        <v>10</v>
      </c>
      <c r="M432" s="317" t="s">
        <v>1051</v>
      </c>
      <c r="N432" s="312" t="s">
        <v>453</v>
      </c>
    </row>
    <row r="433" spans="2:14" ht="24.9" customHeight="1" x14ac:dyDescent="0.3">
      <c r="B433" s="351" t="s">
        <v>363</v>
      </c>
      <c r="C433" s="311">
        <v>10</v>
      </c>
      <c r="D433" s="318" t="s">
        <v>1051</v>
      </c>
      <c r="E433" s="315">
        <v>32231001</v>
      </c>
      <c r="F433" s="327" t="s">
        <v>1052</v>
      </c>
      <c r="G433" s="315" t="s">
        <v>1053</v>
      </c>
      <c r="H433" s="316">
        <v>32132224</v>
      </c>
      <c r="I433" s="316">
        <f>Table5[[#This Row],[ÁREA]]</f>
        <v>10</v>
      </c>
      <c r="J433" s="317" t="s">
        <v>1067</v>
      </c>
      <c r="K433" s="322" t="s">
        <v>1068</v>
      </c>
      <c r="L433" s="318">
        <v>10</v>
      </c>
      <c r="M433" s="317" t="s">
        <v>1051</v>
      </c>
      <c r="N433" s="312" t="s">
        <v>1069</v>
      </c>
    </row>
    <row r="434" spans="2:14" ht="24.9" customHeight="1" x14ac:dyDescent="0.3">
      <c r="B434" s="351" t="s">
        <v>363</v>
      </c>
      <c r="C434" s="311">
        <v>10</v>
      </c>
      <c r="D434" s="318" t="s">
        <v>1051</v>
      </c>
      <c r="E434" s="315">
        <v>32231001</v>
      </c>
      <c r="F434" s="327" t="s">
        <v>1052</v>
      </c>
      <c r="G434" s="315" t="s">
        <v>1053</v>
      </c>
      <c r="H434" s="316">
        <v>32143043</v>
      </c>
      <c r="I434" s="316">
        <f>Table5[[#This Row],[ÁREA]]</f>
        <v>10</v>
      </c>
      <c r="J434" s="317" t="s">
        <v>1070</v>
      </c>
      <c r="K434" s="319" t="s">
        <v>1071</v>
      </c>
      <c r="L434" s="318">
        <v>10</v>
      </c>
      <c r="M434" s="317" t="s">
        <v>1051</v>
      </c>
      <c r="N434" s="312" t="s">
        <v>456</v>
      </c>
    </row>
    <row r="435" spans="2:14" ht="24.9" customHeight="1" x14ac:dyDescent="0.3">
      <c r="B435" s="351" t="s">
        <v>363</v>
      </c>
      <c r="C435" s="311">
        <v>10</v>
      </c>
      <c r="D435" s="318" t="s">
        <v>1051</v>
      </c>
      <c r="E435" s="315">
        <v>32231001</v>
      </c>
      <c r="F435" s="327" t="s">
        <v>1052</v>
      </c>
      <c r="G435" s="315" t="s">
        <v>1053</v>
      </c>
      <c r="H435" s="316">
        <v>32144347</v>
      </c>
      <c r="I435" s="316">
        <f>Table5[[#This Row],[ÁREA]]</f>
        <v>10</v>
      </c>
      <c r="J435" s="317" t="s">
        <v>1072</v>
      </c>
      <c r="K435" s="319" t="s">
        <v>1073</v>
      </c>
      <c r="L435" s="318">
        <v>10</v>
      </c>
      <c r="M435" s="317" t="s">
        <v>1051</v>
      </c>
      <c r="N435" s="312" t="s">
        <v>1074</v>
      </c>
    </row>
    <row r="436" spans="2:14" ht="24.9" customHeight="1" x14ac:dyDescent="0.3">
      <c r="B436" s="351" t="s">
        <v>363</v>
      </c>
      <c r="C436" s="311">
        <v>10</v>
      </c>
      <c r="D436" s="318" t="s">
        <v>1051</v>
      </c>
      <c r="E436" s="315">
        <v>32231001</v>
      </c>
      <c r="F436" s="327" t="s">
        <v>1052</v>
      </c>
      <c r="G436" s="315" t="s">
        <v>1053</v>
      </c>
      <c r="H436" s="316">
        <v>32149078</v>
      </c>
      <c r="I436" s="316">
        <f>Table5[[#This Row],[ÁREA]]</f>
        <v>10</v>
      </c>
      <c r="J436" s="317" t="s">
        <v>1075</v>
      </c>
      <c r="K436" s="319" t="s">
        <v>1076</v>
      </c>
      <c r="L436" s="318">
        <v>10</v>
      </c>
      <c r="M436" s="317" t="s">
        <v>1051</v>
      </c>
      <c r="N436" s="312" t="s">
        <v>1077</v>
      </c>
    </row>
    <row r="437" spans="2:14" ht="24.9" customHeight="1" x14ac:dyDescent="0.3">
      <c r="B437" s="351" t="s">
        <v>363</v>
      </c>
      <c r="C437" s="311">
        <v>10</v>
      </c>
      <c r="D437" s="317" t="s">
        <v>1078</v>
      </c>
      <c r="E437" s="329">
        <v>32231920</v>
      </c>
      <c r="F437" s="321" t="s">
        <v>1079</v>
      </c>
      <c r="G437" s="315" t="s">
        <v>51</v>
      </c>
      <c r="H437" s="316">
        <v>32044026</v>
      </c>
      <c r="I437" s="316">
        <f>Table5[[#This Row],[ÁREA]]</f>
        <v>10</v>
      </c>
      <c r="J437" s="317" t="s">
        <v>1080</v>
      </c>
      <c r="K437" s="328" t="s">
        <v>61</v>
      </c>
      <c r="L437" s="318">
        <v>10</v>
      </c>
      <c r="M437" s="317" t="s">
        <v>1078</v>
      </c>
      <c r="N437" s="312" t="s">
        <v>447</v>
      </c>
    </row>
    <row r="438" spans="2:14" ht="24.9" customHeight="1" x14ac:dyDescent="0.3">
      <c r="B438" s="351" t="s">
        <v>363</v>
      </c>
      <c r="C438" s="311">
        <v>10</v>
      </c>
      <c r="D438" s="317" t="s">
        <v>1078</v>
      </c>
      <c r="E438" s="315">
        <v>32231920</v>
      </c>
      <c r="F438" s="327" t="s">
        <v>1079</v>
      </c>
      <c r="G438" s="315" t="s">
        <v>1081</v>
      </c>
      <c r="H438" s="316">
        <v>32044280</v>
      </c>
      <c r="I438" s="316">
        <f>Table5[[#This Row],[ÁREA]]</f>
        <v>10</v>
      </c>
      <c r="J438" s="317" t="s">
        <v>1082</v>
      </c>
      <c r="K438" s="319" t="s">
        <v>1083</v>
      </c>
      <c r="L438" s="318">
        <v>10</v>
      </c>
      <c r="M438" s="317" t="s">
        <v>1078</v>
      </c>
      <c r="N438" s="312" t="s">
        <v>461</v>
      </c>
    </row>
    <row r="439" spans="2:14" ht="24.9" customHeight="1" x14ac:dyDescent="0.3">
      <c r="B439" s="351" t="s">
        <v>363</v>
      </c>
      <c r="C439" s="311">
        <v>10</v>
      </c>
      <c r="D439" s="317" t="s">
        <v>1078</v>
      </c>
      <c r="E439" s="315">
        <v>32231920</v>
      </c>
      <c r="F439" s="327" t="s">
        <v>1079</v>
      </c>
      <c r="G439" s="315" t="s">
        <v>51</v>
      </c>
      <c r="H439" s="316">
        <v>32045447</v>
      </c>
      <c r="I439" s="316">
        <f>Table5[[#This Row],[ÁREA]]</f>
        <v>10</v>
      </c>
      <c r="J439" s="317" t="s">
        <v>1084</v>
      </c>
      <c r="K439" s="322" t="s">
        <v>1085</v>
      </c>
      <c r="L439" s="318">
        <v>10</v>
      </c>
      <c r="M439" s="317" t="s">
        <v>1078</v>
      </c>
      <c r="N439" s="312" t="s">
        <v>456</v>
      </c>
    </row>
    <row r="440" spans="2:14" ht="24.9" customHeight="1" x14ac:dyDescent="0.3">
      <c r="B440" s="351" t="s">
        <v>363</v>
      </c>
      <c r="C440" s="311">
        <v>10</v>
      </c>
      <c r="D440" s="317" t="s">
        <v>1078</v>
      </c>
      <c r="E440" s="315">
        <v>32231920</v>
      </c>
      <c r="F440" s="327" t="s">
        <v>1079</v>
      </c>
      <c r="G440" s="315" t="s">
        <v>1081</v>
      </c>
      <c r="H440" s="316">
        <v>32046327</v>
      </c>
      <c r="I440" s="316">
        <f>Table5[[#This Row],[ÁREA]]</f>
        <v>10</v>
      </c>
      <c r="J440" s="317" t="s">
        <v>1086</v>
      </c>
      <c r="K440" s="319" t="s">
        <v>1087</v>
      </c>
      <c r="L440" s="318">
        <v>10</v>
      </c>
      <c r="M440" s="317" t="s">
        <v>1078</v>
      </c>
      <c r="N440" s="312" t="s">
        <v>1069</v>
      </c>
    </row>
    <row r="441" spans="2:14" ht="24.9" customHeight="1" x14ac:dyDescent="0.3">
      <c r="B441" s="351" t="s">
        <v>363</v>
      </c>
      <c r="C441" s="352">
        <v>10</v>
      </c>
      <c r="D441" s="317" t="s">
        <v>1078</v>
      </c>
      <c r="E441" s="315">
        <v>32231920</v>
      </c>
      <c r="F441" s="327" t="s">
        <v>1079</v>
      </c>
      <c r="G441" s="315" t="s">
        <v>1081</v>
      </c>
      <c r="H441" s="353">
        <v>32046635</v>
      </c>
      <c r="I441" s="353">
        <f>Table5[[#This Row],[ÁREA]]</f>
        <v>10</v>
      </c>
      <c r="J441" s="338" t="s">
        <v>1088</v>
      </c>
      <c r="K441" s="319" t="s">
        <v>1089</v>
      </c>
      <c r="L441" s="318">
        <v>10</v>
      </c>
      <c r="M441" s="338" t="s">
        <v>1078</v>
      </c>
      <c r="N441" s="355" t="s">
        <v>453</v>
      </c>
    </row>
    <row r="442" spans="2:14" ht="24.9" customHeight="1" x14ac:dyDescent="0.3">
      <c r="B442" s="351" t="s">
        <v>363</v>
      </c>
      <c r="C442" s="311">
        <v>10</v>
      </c>
      <c r="D442" s="317" t="s">
        <v>1078</v>
      </c>
      <c r="E442" s="315">
        <v>32231920</v>
      </c>
      <c r="F442" s="327" t="s">
        <v>1079</v>
      </c>
      <c r="G442" s="315" t="s">
        <v>51</v>
      </c>
      <c r="H442" s="316">
        <v>32142776</v>
      </c>
      <c r="I442" s="316">
        <f>Table5[[#This Row],[ÁREA]]</f>
        <v>10</v>
      </c>
      <c r="J442" s="317" t="s">
        <v>1090</v>
      </c>
      <c r="K442" s="322" t="s">
        <v>950</v>
      </c>
      <c r="L442" s="318">
        <v>10</v>
      </c>
      <c r="M442" s="317" t="s">
        <v>1078</v>
      </c>
      <c r="N442" s="312" t="s">
        <v>711</v>
      </c>
    </row>
    <row r="443" spans="2:14" ht="24.9" customHeight="1" x14ac:dyDescent="0.3">
      <c r="B443" s="351" t="s">
        <v>363</v>
      </c>
      <c r="C443" s="311">
        <v>10</v>
      </c>
      <c r="D443" s="317" t="s">
        <v>1078</v>
      </c>
      <c r="E443" s="315">
        <v>32231920</v>
      </c>
      <c r="F443" s="359" t="s">
        <v>1079</v>
      </c>
      <c r="G443" s="315" t="s">
        <v>1081</v>
      </c>
      <c r="H443" s="316">
        <v>32142784</v>
      </c>
      <c r="I443" s="316">
        <f>Table5[[#This Row],[ÁREA]]</f>
        <v>10</v>
      </c>
      <c r="J443" s="317" t="s">
        <v>1091</v>
      </c>
      <c r="K443" s="319" t="s">
        <v>1092</v>
      </c>
      <c r="L443" s="318">
        <v>10</v>
      </c>
      <c r="M443" s="317" t="s">
        <v>1078</v>
      </c>
      <c r="N443" s="312" t="s">
        <v>1077</v>
      </c>
    </row>
    <row r="444" spans="2:14" ht="24.9" customHeight="1" x14ac:dyDescent="0.3">
      <c r="B444" s="351" t="s">
        <v>363</v>
      </c>
      <c r="C444" s="311">
        <v>10</v>
      </c>
      <c r="D444" s="318" t="s">
        <v>1093</v>
      </c>
      <c r="E444" s="315">
        <v>32096563</v>
      </c>
      <c r="F444" s="327" t="s">
        <v>1094</v>
      </c>
      <c r="G444" s="315" t="s">
        <v>51</v>
      </c>
      <c r="H444" s="316">
        <v>32043930</v>
      </c>
      <c r="I444" s="316">
        <f>Table5[[#This Row],[ÁREA]]</f>
        <v>10</v>
      </c>
      <c r="J444" s="317" t="s">
        <v>1095</v>
      </c>
      <c r="K444" s="319" t="s">
        <v>1096</v>
      </c>
      <c r="L444" s="318">
        <v>9</v>
      </c>
      <c r="M444" s="317" t="s">
        <v>1093</v>
      </c>
      <c r="N444" s="312" t="s">
        <v>453</v>
      </c>
    </row>
    <row r="445" spans="2:14" ht="24.9" customHeight="1" x14ac:dyDescent="0.3">
      <c r="B445" s="351" t="s">
        <v>363</v>
      </c>
      <c r="C445" s="311">
        <v>10</v>
      </c>
      <c r="D445" s="318" t="s">
        <v>1093</v>
      </c>
      <c r="E445" s="315">
        <v>32096563</v>
      </c>
      <c r="F445" s="327" t="s">
        <v>1094</v>
      </c>
      <c r="G445" s="325" t="s">
        <v>1097</v>
      </c>
      <c r="H445" s="316">
        <v>32043993</v>
      </c>
      <c r="I445" s="316">
        <f>Table5[[#This Row],[ÁREA]]</f>
        <v>10</v>
      </c>
      <c r="J445" s="317" t="s">
        <v>1098</v>
      </c>
      <c r="K445" s="319" t="s">
        <v>1099</v>
      </c>
      <c r="L445" s="318">
        <v>9</v>
      </c>
      <c r="M445" s="317" t="s">
        <v>1093</v>
      </c>
      <c r="N445" s="312" t="s">
        <v>447</v>
      </c>
    </row>
    <row r="446" spans="2:14" ht="24.9" customHeight="1" x14ac:dyDescent="0.3">
      <c r="B446" s="351" t="s">
        <v>363</v>
      </c>
      <c r="C446" s="311">
        <v>10</v>
      </c>
      <c r="D446" s="318" t="s">
        <v>1093</v>
      </c>
      <c r="E446" s="329">
        <v>32096563</v>
      </c>
      <c r="F446" s="321" t="s">
        <v>1094</v>
      </c>
      <c r="G446" s="325" t="s">
        <v>1097</v>
      </c>
      <c r="H446" s="316">
        <v>32044861</v>
      </c>
      <c r="I446" s="316">
        <f>Table5[[#This Row],[ÁREA]]</f>
        <v>10</v>
      </c>
      <c r="J446" s="317" t="s">
        <v>1100</v>
      </c>
      <c r="K446" s="319" t="s">
        <v>1101</v>
      </c>
      <c r="L446" s="318">
        <v>9</v>
      </c>
      <c r="M446" s="317" t="s">
        <v>1093</v>
      </c>
      <c r="N446" s="312" t="s">
        <v>1074</v>
      </c>
    </row>
    <row r="447" spans="2:14" ht="24.9" customHeight="1" x14ac:dyDescent="0.3">
      <c r="B447" s="351" t="s">
        <v>363</v>
      </c>
      <c r="C447" s="311">
        <v>10</v>
      </c>
      <c r="D447" s="318" t="s">
        <v>1093</v>
      </c>
      <c r="E447" s="315">
        <v>32096563</v>
      </c>
      <c r="F447" s="327" t="s">
        <v>1094</v>
      </c>
      <c r="G447" s="315" t="s">
        <v>1097</v>
      </c>
      <c r="H447" s="316">
        <v>32045995</v>
      </c>
      <c r="I447" s="316">
        <f>Table5[[#This Row],[ÁREA]]</f>
        <v>10</v>
      </c>
      <c r="J447" s="317" t="s">
        <v>1102</v>
      </c>
      <c r="K447" s="319" t="s">
        <v>1103</v>
      </c>
      <c r="L447" s="318">
        <v>9</v>
      </c>
      <c r="M447" s="317" t="s">
        <v>1093</v>
      </c>
      <c r="N447" s="312" t="s">
        <v>1056</v>
      </c>
    </row>
    <row r="448" spans="2:14" ht="24.9" customHeight="1" x14ac:dyDescent="0.3">
      <c r="B448" s="351" t="s">
        <v>363</v>
      </c>
      <c r="C448" s="311">
        <v>10</v>
      </c>
      <c r="D448" s="318" t="s">
        <v>1093</v>
      </c>
      <c r="E448" s="329">
        <v>32096563</v>
      </c>
      <c r="F448" s="321" t="s">
        <v>1094</v>
      </c>
      <c r="G448" s="325" t="s">
        <v>1097</v>
      </c>
      <c r="H448" s="316">
        <v>32046126</v>
      </c>
      <c r="I448" s="316">
        <f>Table5[[#This Row],[ÁREA]]</f>
        <v>10</v>
      </c>
      <c r="J448" s="317" t="s">
        <v>1104</v>
      </c>
      <c r="K448" s="322" t="s">
        <v>1105</v>
      </c>
      <c r="L448" s="318">
        <v>9</v>
      </c>
      <c r="M448" s="317" t="s">
        <v>1093</v>
      </c>
      <c r="N448" s="312" t="s">
        <v>461</v>
      </c>
    </row>
    <row r="449" spans="2:14" ht="24.9" customHeight="1" x14ac:dyDescent="0.3">
      <c r="B449" s="351" t="s">
        <v>363</v>
      </c>
      <c r="C449" s="311">
        <v>10</v>
      </c>
      <c r="D449" s="317" t="s">
        <v>1093</v>
      </c>
      <c r="E449" s="315">
        <v>32096563</v>
      </c>
      <c r="F449" s="327" t="s">
        <v>1094</v>
      </c>
      <c r="G449" s="315" t="s">
        <v>1106</v>
      </c>
      <c r="H449" s="316">
        <v>32046387</v>
      </c>
      <c r="I449" s="316">
        <v>10</v>
      </c>
      <c r="J449" s="317" t="s">
        <v>1107</v>
      </c>
      <c r="K449" s="328" t="s">
        <v>61</v>
      </c>
      <c r="L449" s="318">
        <v>13</v>
      </c>
      <c r="M449" s="317" t="s">
        <v>1093</v>
      </c>
      <c r="N449" s="312" t="s">
        <v>719</v>
      </c>
    </row>
    <row r="450" spans="2:14" ht="24.9" customHeight="1" x14ac:dyDescent="0.3">
      <c r="B450" s="351" t="s">
        <v>363</v>
      </c>
      <c r="C450" s="311">
        <v>10</v>
      </c>
      <c r="D450" s="318" t="s">
        <v>1093</v>
      </c>
      <c r="E450" s="315">
        <v>32096563</v>
      </c>
      <c r="F450" s="327" t="s">
        <v>1094</v>
      </c>
      <c r="G450" s="315" t="s">
        <v>1097</v>
      </c>
      <c r="H450" s="316">
        <v>32046509</v>
      </c>
      <c r="I450" s="316">
        <f>Table5[[#This Row],[ÁREA]]</f>
        <v>10</v>
      </c>
      <c r="J450" s="317" t="s">
        <v>1108</v>
      </c>
      <c r="K450" s="315" t="s">
        <v>1109</v>
      </c>
      <c r="L450" s="318">
        <v>9</v>
      </c>
      <c r="M450" s="317" t="s">
        <v>1093</v>
      </c>
      <c r="N450" s="312" t="s">
        <v>711</v>
      </c>
    </row>
    <row r="451" spans="2:14" ht="24.9" customHeight="1" x14ac:dyDescent="0.3">
      <c r="B451" s="351" t="s">
        <v>363</v>
      </c>
      <c r="C451" s="311">
        <v>10</v>
      </c>
      <c r="D451" s="318" t="s">
        <v>1093</v>
      </c>
      <c r="E451" s="315">
        <v>32096563</v>
      </c>
      <c r="F451" s="327" t="s">
        <v>1094</v>
      </c>
      <c r="G451" s="315" t="s">
        <v>1097</v>
      </c>
      <c r="H451" s="316">
        <v>32058108</v>
      </c>
      <c r="I451" s="316">
        <f>Table5[[#This Row],[ÁREA]]</f>
        <v>10</v>
      </c>
      <c r="J451" s="317" t="s">
        <v>1110</v>
      </c>
      <c r="K451" s="322" t="s">
        <v>1111</v>
      </c>
      <c r="L451" s="318">
        <v>9</v>
      </c>
      <c r="M451" s="317" t="s">
        <v>1093</v>
      </c>
      <c r="N451" s="312" t="s">
        <v>456</v>
      </c>
    </row>
    <row r="452" spans="2:14" ht="24.9" customHeight="1" x14ac:dyDescent="0.3">
      <c r="B452" s="311" t="s">
        <v>363</v>
      </c>
      <c r="C452" s="311">
        <v>10</v>
      </c>
      <c r="D452" s="318" t="s">
        <v>1093</v>
      </c>
      <c r="E452" s="348">
        <v>32096563</v>
      </c>
      <c r="F452" s="348" t="s">
        <v>1094</v>
      </c>
      <c r="G452" s="348" t="s">
        <v>1097</v>
      </c>
      <c r="H452" s="316">
        <v>32132009</v>
      </c>
      <c r="I452" s="316">
        <f>Table5[[#This Row],[ÁREA]]</f>
        <v>10</v>
      </c>
      <c r="J452" s="317" t="s">
        <v>1112</v>
      </c>
      <c r="K452" s="319" t="s">
        <v>1113</v>
      </c>
      <c r="L452" s="318">
        <v>9</v>
      </c>
      <c r="M452" s="317" t="s">
        <v>1093</v>
      </c>
      <c r="N452" s="312" t="s">
        <v>1077</v>
      </c>
    </row>
    <row r="453" spans="2:14" ht="24.9" customHeight="1" x14ac:dyDescent="0.3">
      <c r="B453" s="351" t="s">
        <v>363</v>
      </c>
      <c r="C453" s="311">
        <v>10</v>
      </c>
      <c r="D453" s="318" t="s">
        <v>1093</v>
      </c>
      <c r="E453" s="315">
        <v>32096563</v>
      </c>
      <c r="F453" s="327" t="s">
        <v>1094</v>
      </c>
      <c r="G453" s="315" t="s">
        <v>1097</v>
      </c>
      <c r="H453" s="335">
        <v>32132170</v>
      </c>
      <c r="I453" s="335">
        <f>Table5[[#This Row],[ÁREA]]</f>
        <v>10</v>
      </c>
      <c r="J453" s="317" t="s">
        <v>1114</v>
      </c>
      <c r="K453" s="319" t="s">
        <v>1115</v>
      </c>
      <c r="L453" s="318">
        <v>9</v>
      </c>
      <c r="M453" s="317" t="s">
        <v>1093</v>
      </c>
      <c r="N453" s="312" t="s">
        <v>973</v>
      </c>
    </row>
    <row r="454" spans="2:14" ht="24.9" customHeight="1" x14ac:dyDescent="0.3">
      <c r="B454" s="351" t="s">
        <v>363</v>
      </c>
      <c r="C454" s="311">
        <v>11</v>
      </c>
      <c r="D454" s="318" t="s">
        <v>1116</v>
      </c>
      <c r="E454" s="315">
        <v>32231920</v>
      </c>
      <c r="F454" s="327" t="s">
        <v>1079</v>
      </c>
      <c r="G454" s="315" t="s">
        <v>1081</v>
      </c>
      <c r="H454" s="316">
        <v>32044172</v>
      </c>
      <c r="I454" s="316">
        <f>Table5[[#This Row],[ÁREA]]</f>
        <v>11</v>
      </c>
      <c r="J454" s="317" t="s">
        <v>1117</v>
      </c>
      <c r="K454" s="319" t="s">
        <v>1118</v>
      </c>
      <c r="L454" s="318">
        <v>11</v>
      </c>
      <c r="M454" s="317" t="s">
        <v>1116</v>
      </c>
      <c r="N454" s="312" t="s">
        <v>1074</v>
      </c>
    </row>
    <row r="455" spans="2:14" ht="24.9" customHeight="1" x14ac:dyDescent="0.3">
      <c r="B455" s="351" t="s">
        <v>363</v>
      </c>
      <c r="C455" s="352">
        <v>11</v>
      </c>
      <c r="D455" s="318" t="s">
        <v>1116</v>
      </c>
      <c r="E455" s="315">
        <v>32231920</v>
      </c>
      <c r="F455" s="327" t="s">
        <v>1079</v>
      </c>
      <c r="G455" s="315" t="s">
        <v>1081</v>
      </c>
      <c r="H455" s="353">
        <v>32044809</v>
      </c>
      <c r="I455" s="353">
        <f>Table5[[#This Row],[ÁREA]]</f>
        <v>11</v>
      </c>
      <c r="J455" s="338" t="s">
        <v>1119</v>
      </c>
      <c r="K455" s="322" t="s">
        <v>1120</v>
      </c>
      <c r="L455" s="318">
        <v>11</v>
      </c>
      <c r="M455" s="338" t="s">
        <v>1116</v>
      </c>
      <c r="N455" s="355" t="s">
        <v>456</v>
      </c>
    </row>
    <row r="456" spans="2:14" ht="24.9" customHeight="1" x14ac:dyDescent="0.3">
      <c r="B456" s="351" t="s">
        <v>363</v>
      </c>
      <c r="C456" s="311">
        <v>11</v>
      </c>
      <c r="D456" s="318" t="s">
        <v>1116</v>
      </c>
      <c r="E456" s="315">
        <v>32231920</v>
      </c>
      <c r="F456" s="327" t="s">
        <v>1079</v>
      </c>
      <c r="G456" s="325" t="s">
        <v>1081</v>
      </c>
      <c r="H456" s="316">
        <v>32045052</v>
      </c>
      <c r="I456" s="316">
        <f>Table5[[#This Row],[ÁREA]]</f>
        <v>11</v>
      </c>
      <c r="J456" s="317" t="s">
        <v>1121</v>
      </c>
      <c r="K456" s="322" t="s">
        <v>1122</v>
      </c>
      <c r="L456" s="318">
        <v>11</v>
      </c>
      <c r="M456" s="317" t="s">
        <v>1116</v>
      </c>
      <c r="N456" s="312" t="s">
        <v>711</v>
      </c>
    </row>
    <row r="457" spans="2:14" ht="24.9" customHeight="1" x14ac:dyDescent="0.3">
      <c r="B457" s="351" t="s">
        <v>363</v>
      </c>
      <c r="C457" s="311">
        <v>11</v>
      </c>
      <c r="D457" s="318" t="s">
        <v>1116</v>
      </c>
      <c r="E457" s="315">
        <v>32231920</v>
      </c>
      <c r="F457" s="327" t="s">
        <v>1079</v>
      </c>
      <c r="G457" s="315" t="s">
        <v>1081</v>
      </c>
      <c r="H457" s="316">
        <v>32045219</v>
      </c>
      <c r="I457" s="316">
        <f>Table5[[#This Row],[ÁREA]]</f>
        <v>11</v>
      </c>
      <c r="J457" s="317" t="s">
        <v>1123</v>
      </c>
      <c r="K457" s="342" t="s">
        <v>1124</v>
      </c>
      <c r="L457" s="318">
        <v>11</v>
      </c>
      <c r="M457" s="317" t="s">
        <v>1116</v>
      </c>
      <c r="N457" s="312" t="s">
        <v>461</v>
      </c>
    </row>
    <row r="458" spans="2:14" ht="24.9" customHeight="1" x14ac:dyDescent="0.3">
      <c r="B458" s="351" t="s">
        <v>363</v>
      </c>
      <c r="C458" s="311">
        <v>11</v>
      </c>
      <c r="D458" s="318" t="s">
        <v>1116</v>
      </c>
      <c r="E458" s="315">
        <v>32231920</v>
      </c>
      <c r="F458" s="327" t="s">
        <v>1079</v>
      </c>
      <c r="G458" s="315" t="s">
        <v>1081</v>
      </c>
      <c r="H458" s="316">
        <v>32046009</v>
      </c>
      <c r="I458" s="316">
        <f>Table5[[#This Row],[ÁREA]]</f>
        <v>11</v>
      </c>
      <c r="J458" s="317" t="s">
        <v>1125</v>
      </c>
      <c r="K458" s="322" t="s">
        <v>1126</v>
      </c>
      <c r="L458" s="318">
        <v>11</v>
      </c>
      <c r="M458" s="317" t="s">
        <v>1116</v>
      </c>
      <c r="N458" s="312" t="s">
        <v>973</v>
      </c>
    </row>
    <row r="459" spans="2:14" ht="24.9" customHeight="1" x14ac:dyDescent="0.3">
      <c r="B459" s="351" t="s">
        <v>363</v>
      </c>
      <c r="C459" s="311">
        <v>11</v>
      </c>
      <c r="D459" s="318" t="s">
        <v>1116</v>
      </c>
      <c r="E459" s="329">
        <v>32231920</v>
      </c>
      <c r="F459" s="321" t="s">
        <v>1079</v>
      </c>
      <c r="G459" s="331" t="s">
        <v>1081</v>
      </c>
      <c r="H459" s="316">
        <v>32046022</v>
      </c>
      <c r="I459" s="316">
        <f>Table5[[#This Row],[ÁREA]]</f>
        <v>11</v>
      </c>
      <c r="J459" s="317" t="s">
        <v>1127</v>
      </c>
      <c r="K459" s="319" t="s">
        <v>1128</v>
      </c>
      <c r="L459" s="318">
        <v>11</v>
      </c>
      <c r="M459" s="317" t="s">
        <v>1116</v>
      </c>
      <c r="N459" s="312" t="s">
        <v>447</v>
      </c>
    </row>
    <row r="460" spans="2:14" ht="24.9" customHeight="1" x14ac:dyDescent="0.3">
      <c r="B460" s="351" t="s">
        <v>363</v>
      </c>
      <c r="C460" s="311">
        <v>11</v>
      </c>
      <c r="D460" s="318" t="s">
        <v>1116</v>
      </c>
      <c r="E460" s="329">
        <v>32231920</v>
      </c>
      <c r="F460" s="321" t="s">
        <v>1079</v>
      </c>
      <c r="G460" s="315" t="s">
        <v>1081</v>
      </c>
      <c r="H460" s="316">
        <v>32046379</v>
      </c>
      <c r="I460" s="316">
        <f>Table5[[#This Row],[ÁREA]]</f>
        <v>11</v>
      </c>
      <c r="J460" s="317" t="s">
        <v>1129</v>
      </c>
      <c r="K460" s="322" t="s">
        <v>1130</v>
      </c>
      <c r="L460" s="318">
        <v>11</v>
      </c>
      <c r="M460" s="317" t="s">
        <v>1116</v>
      </c>
      <c r="N460" s="312" t="s">
        <v>453</v>
      </c>
    </row>
    <row r="461" spans="2:14" ht="24.9" customHeight="1" x14ac:dyDescent="0.3">
      <c r="B461" s="351" t="s">
        <v>363</v>
      </c>
      <c r="C461" s="311">
        <v>11</v>
      </c>
      <c r="D461" s="318" t="s">
        <v>1116</v>
      </c>
      <c r="E461" s="329">
        <v>32231920</v>
      </c>
      <c r="F461" s="321" t="s">
        <v>1079</v>
      </c>
      <c r="G461" s="334" t="s">
        <v>1081</v>
      </c>
      <c r="H461" s="316">
        <v>32132226</v>
      </c>
      <c r="I461" s="316">
        <f>Table5[[#This Row],[ÁREA]]</f>
        <v>11</v>
      </c>
      <c r="J461" s="317" t="s">
        <v>1131</v>
      </c>
      <c r="K461" s="322" t="s">
        <v>1132</v>
      </c>
      <c r="L461" s="318">
        <v>11</v>
      </c>
      <c r="M461" s="317" t="s">
        <v>1116</v>
      </c>
      <c r="N461" s="312" t="s">
        <v>1077</v>
      </c>
    </row>
    <row r="462" spans="2:14" ht="24.9" customHeight="1" x14ac:dyDescent="0.3">
      <c r="B462" s="351" t="s">
        <v>363</v>
      </c>
      <c r="C462" s="311">
        <v>11</v>
      </c>
      <c r="D462" s="318" t="s">
        <v>1116</v>
      </c>
      <c r="E462" s="329">
        <v>32231920</v>
      </c>
      <c r="F462" s="321" t="s">
        <v>1079</v>
      </c>
      <c r="G462" s="315" t="s">
        <v>1081</v>
      </c>
      <c r="H462" s="316">
        <v>32138048</v>
      </c>
      <c r="I462" s="316">
        <f>Table5[[#This Row],[ÁREA]]</f>
        <v>11</v>
      </c>
      <c r="J462" s="317" t="s">
        <v>1133</v>
      </c>
      <c r="K462" s="319" t="s">
        <v>1134</v>
      </c>
      <c r="L462" s="318">
        <v>11</v>
      </c>
      <c r="M462" s="317" t="s">
        <v>1116</v>
      </c>
      <c r="N462" s="312" t="s">
        <v>1056</v>
      </c>
    </row>
    <row r="463" spans="2:14" ht="24.9" customHeight="1" x14ac:dyDescent="0.3">
      <c r="B463" s="351" t="s">
        <v>363</v>
      </c>
      <c r="C463" s="311">
        <v>11</v>
      </c>
      <c r="D463" s="318" t="s">
        <v>1116</v>
      </c>
      <c r="E463" s="329">
        <v>32231920</v>
      </c>
      <c r="F463" s="321" t="s">
        <v>1079</v>
      </c>
      <c r="G463" s="315" t="s">
        <v>1081</v>
      </c>
      <c r="H463" s="316">
        <v>32148858</v>
      </c>
      <c r="I463" s="316">
        <f>Table5[[#This Row],[ÁREA]]</f>
        <v>11</v>
      </c>
      <c r="J463" s="317" t="s">
        <v>1135</v>
      </c>
      <c r="K463" s="319" t="s">
        <v>1136</v>
      </c>
      <c r="L463" s="318">
        <v>11</v>
      </c>
      <c r="M463" s="317" t="s">
        <v>1116</v>
      </c>
      <c r="N463" s="312" t="s">
        <v>1069</v>
      </c>
    </row>
    <row r="464" spans="2:14" ht="24.9" customHeight="1" x14ac:dyDescent="0.3">
      <c r="B464" s="351" t="s">
        <v>363</v>
      </c>
      <c r="C464" s="311">
        <v>11</v>
      </c>
      <c r="D464" s="318" t="s">
        <v>1137</v>
      </c>
      <c r="E464" s="320">
        <v>32231001</v>
      </c>
      <c r="F464" s="321" t="s">
        <v>1052</v>
      </c>
      <c r="G464" s="315" t="s">
        <v>1053</v>
      </c>
      <c r="H464" s="316">
        <v>32044476</v>
      </c>
      <c r="I464" s="316">
        <f>Table5[[#This Row],[ÁREA]]</f>
        <v>11</v>
      </c>
      <c r="J464" s="317" t="s">
        <v>1138</v>
      </c>
      <c r="K464" s="322" t="s">
        <v>1139</v>
      </c>
      <c r="L464" s="318">
        <v>12</v>
      </c>
      <c r="M464" s="317" t="s">
        <v>1137</v>
      </c>
      <c r="N464" s="312" t="s">
        <v>481</v>
      </c>
    </row>
    <row r="465" spans="2:14" ht="24.9" customHeight="1" x14ac:dyDescent="0.3">
      <c r="B465" s="351" t="s">
        <v>363</v>
      </c>
      <c r="C465" s="311">
        <v>11</v>
      </c>
      <c r="D465" s="318" t="s">
        <v>1137</v>
      </c>
      <c r="E465" s="320">
        <v>32231001</v>
      </c>
      <c r="F465" s="321" t="s">
        <v>1052</v>
      </c>
      <c r="G465" s="331" t="s">
        <v>1053</v>
      </c>
      <c r="H465" s="316">
        <v>32044522</v>
      </c>
      <c r="I465" s="316">
        <f>Table5[[#This Row],[ÁREA]]</f>
        <v>11</v>
      </c>
      <c r="J465" s="317" t="s">
        <v>1140</v>
      </c>
      <c r="K465" s="319" t="s">
        <v>1141</v>
      </c>
      <c r="L465" s="318">
        <v>12</v>
      </c>
      <c r="M465" s="317" t="s">
        <v>1137</v>
      </c>
      <c r="N465" s="312" t="s">
        <v>1056</v>
      </c>
    </row>
    <row r="466" spans="2:14" ht="24.9" customHeight="1" x14ac:dyDescent="0.3">
      <c r="B466" s="351" t="s">
        <v>363</v>
      </c>
      <c r="C466" s="311">
        <v>11</v>
      </c>
      <c r="D466" s="318" t="s">
        <v>1137</v>
      </c>
      <c r="E466" s="320">
        <v>32231001</v>
      </c>
      <c r="F466" s="321" t="s">
        <v>1052</v>
      </c>
      <c r="G466" s="315" t="s">
        <v>1053</v>
      </c>
      <c r="H466" s="316">
        <v>32044641</v>
      </c>
      <c r="I466" s="316">
        <f>Table5[[#This Row],[ÁREA]]</f>
        <v>11</v>
      </c>
      <c r="J466" s="317" t="s">
        <v>1142</v>
      </c>
      <c r="K466" s="319" t="s">
        <v>1143</v>
      </c>
      <c r="L466" s="318">
        <v>12</v>
      </c>
      <c r="M466" s="317" t="s">
        <v>1137</v>
      </c>
      <c r="N466" s="312" t="s">
        <v>711</v>
      </c>
    </row>
    <row r="467" spans="2:14" ht="24.9" customHeight="1" x14ac:dyDescent="0.3">
      <c r="B467" s="351" t="s">
        <v>363</v>
      </c>
      <c r="C467" s="311">
        <v>11</v>
      </c>
      <c r="D467" s="318" t="s">
        <v>1137</v>
      </c>
      <c r="E467" s="320">
        <v>32231001</v>
      </c>
      <c r="F467" s="321" t="s">
        <v>1052</v>
      </c>
      <c r="G467" s="334" t="s">
        <v>1053</v>
      </c>
      <c r="H467" s="316">
        <v>32044836</v>
      </c>
      <c r="I467" s="316">
        <f>Table5[[#This Row],[ÁREA]]</f>
        <v>11</v>
      </c>
      <c r="J467" s="317" t="s">
        <v>1144</v>
      </c>
      <c r="K467" s="319" t="s">
        <v>1145</v>
      </c>
      <c r="L467" s="318">
        <v>12</v>
      </c>
      <c r="M467" s="317" t="s">
        <v>1137</v>
      </c>
      <c r="N467" s="312" t="s">
        <v>705</v>
      </c>
    </row>
    <row r="468" spans="2:14" ht="24.9" customHeight="1" x14ac:dyDescent="0.3">
      <c r="B468" s="351" t="s">
        <v>363</v>
      </c>
      <c r="C468" s="311">
        <v>11</v>
      </c>
      <c r="D468" s="318" t="s">
        <v>1137</v>
      </c>
      <c r="E468" s="320">
        <v>32231001</v>
      </c>
      <c r="F468" s="321" t="s">
        <v>1052</v>
      </c>
      <c r="G468" s="334" t="s">
        <v>1053</v>
      </c>
      <c r="H468" s="316">
        <v>32057057</v>
      </c>
      <c r="I468" s="316">
        <f>Table5[[#This Row],[ÁREA]]</f>
        <v>11</v>
      </c>
      <c r="J468" s="317" t="s">
        <v>1146</v>
      </c>
      <c r="K468" s="315" t="s">
        <v>1147</v>
      </c>
      <c r="L468" s="318">
        <v>12</v>
      </c>
      <c r="M468" s="317" t="s">
        <v>1137</v>
      </c>
      <c r="N468" s="312" t="s">
        <v>1069</v>
      </c>
    </row>
    <row r="469" spans="2:14" ht="24.9" customHeight="1" x14ac:dyDescent="0.3">
      <c r="B469" s="351" t="s">
        <v>363</v>
      </c>
      <c r="C469" s="311">
        <v>11</v>
      </c>
      <c r="D469" s="318" t="s">
        <v>1137</v>
      </c>
      <c r="E469" s="320">
        <v>32231001</v>
      </c>
      <c r="F469" s="321" t="s">
        <v>1052</v>
      </c>
      <c r="G469" s="331" t="s">
        <v>1053</v>
      </c>
      <c r="H469" s="316">
        <v>32132018</v>
      </c>
      <c r="I469" s="316">
        <f>Table5[[#This Row],[ÁREA]]</f>
        <v>11</v>
      </c>
      <c r="J469" s="317" t="s">
        <v>1148</v>
      </c>
      <c r="K469" s="322" t="s">
        <v>1149</v>
      </c>
      <c r="L469" s="318">
        <v>12</v>
      </c>
      <c r="M469" s="317" t="s">
        <v>1137</v>
      </c>
      <c r="N469" s="312" t="s">
        <v>461</v>
      </c>
    </row>
    <row r="470" spans="2:14" ht="24.9" customHeight="1" x14ac:dyDescent="0.3">
      <c r="B470" s="351" t="s">
        <v>363</v>
      </c>
      <c r="C470" s="352">
        <v>11</v>
      </c>
      <c r="D470" s="318" t="s">
        <v>1137</v>
      </c>
      <c r="E470" s="318">
        <v>32231001</v>
      </c>
      <c r="F470" s="359" t="s">
        <v>1052</v>
      </c>
      <c r="G470" s="315" t="s">
        <v>1053</v>
      </c>
      <c r="H470" s="353">
        <v>32132049</v>
      </c>
      <c r="I470" s="353">
        <f>Table5[[#This Row],[ÁREA]]</f>
        <v>11</v>
      </c>
      <c r="J470" s="338" t="s">
        <v>1150</v>
      </c>
      <c r="K470" s="319" t="s">
        <v>1151</v>
      </c>
      <c r="L470" s="318">
        <v>12</v>
      </c>
      <c r="M470" s="338" t="s">
        <v>1137</v>
      </c>
      <c r="N470" s="355" t="s">
        <v>453</v>
      </c>
    </row>
    <row r="471" spans="2:14" ht="24.9" customHeight="1" x14ac:dyDescent="0.3">
      <c r="B471" s="351" t="s">
        <v>363</v>
      </c>
      <c r="C471" s="311">
        <v>11</v>
      </c>
      <c r="D471" s="318" t="s">
        <v>1137</v>
      </c>
      <c r="E471" s="318">
        <v>32231001</v>
      </c>
      <c r="F471" s="327" t="s">
        <v>1052</v>
      </c>
      <c r="G471" s="315" t="s">
        <v>1053</v>
      </c>
      <c r="H471" s="316">
        <v>32132181</v>
      </c>
      <c r="I471" s="316">
        <f>Table5[[#This Row],[ÁREA]]</f>
        <v>11</v>
      </c>
      <c r="J471" s="317" t="s">
        <v>1152</v>
      </c>
      <c r="K471" s="319" t="s">
        <v>1153</v>
      </c>
      <c r="L471" s="318">
        <v>12</v>
      </c>
      <c r="M471" s="317" t="s">
        <v>1137</v>
      </c>
      <c r="N471" s="312" t="s">
        <v>447</v>
      </c>
    </row>
    <row r="472" spans="2:14" ht="24.9" customHeight="1" x14ac:dyDescent="0.3">
      <c r="B472" s="351" t="s">
        <v>363</v>
      </c>
      <c r="C472" s="311">
        <v>11</v>
      </c>
      <c r="D472" s="318" t="s">
        <v>1137</v>
      </c>
      <c r="E472" s="318">
        <v>32231001</v>
      </c>
      <c r="F472" s="327" t="s">
        <v>1052</v>
      </c>
      <c r="G472" s="325" t="s">
        <v>1053</v>
      </c>
      <c r="H472" s="316">
        <v>32132236</v>
      </c>
      <c r="I472" s="316">
        <f>Table5[[#This Row],[ÁREA]]</f>
        <v>11</v>
      </c>
      <c r="J472" s="317" t="s">
        <v>1154</v>
      </c>
      <c r="K472" s="322" t="s">
        <v>1155</v>
      </c>
      <c r="L472" s="318">
        <v>12</v>
      </c>
      <c r="M472" s="317" t="s">
        <v>1137</v>
      </c>
      <c r="N472" s="312" t="s">
        <v>1077</v>
      </c>
    </row>
    <row r="473" spans="2:14" ht="24.9" customHeight="1" x14ac:dyDescent="0.3">
      <c r="B473" s="351" t="s">
        <v>363</v>
      </c>
      <c r="C473" s="311">
        <v>11</v>
      </c>
      <c r="D473" s="317" t="s">
        <v>1156</v>
      </c>
      <c r="E473" s="329">
        <v>32096563</v>
      </c>
      <c r="F473" s="321" t="s">
        <v>1094</v>
      </c>
      <c r="G473" s="331" t="s">
        <v>1097</v>
      </c>
      <c r="H473" s="316">
        <v>32044327</v>
      </c>
      <c r="I473" s="316">
        <f>Table5[[#This Row],[ÁREA]]</f>
        <v>11</v>
      </c>
      <c r="J473" s="317" t="s">
        <v>1157</v>
      </c>
      <c r="K473" s="319" t="s">
        <v>1158</v>
      </c>
      <c r="L473" s="318">
        <v>7</v>
      </c>
      <c r="M473" s="317" t="s">
        <v>1156</v>
      </c>
      <c r="N473" s="312" t="s">
        <v>1069</v>
      </c>
    </row>
    <row r="474" spans="2:14" ht="24.9" customHeight="1" x14ac:dyDescent="0.3">
      <c r="B474" s="351" t="s">
        <v>363</v>
      </c>
      <c r="C474" s="311">
        <v>11</v>
      </c>
      <c r="D474" s="317" t="s">
        <v>1156</v>
      </c>
      <c r="E474" s="329">
        <v>32096563</v>
      </c>
      <c r="F474" s="321" t="s">
        <v>1094</v>
      </c>
      <c r="G474" s="315" t="s">
        <v>1097</v>
      </c>
      <c r="H474" s="316">
        <v>32044973</v>
      </c>
      <c r="I474" s="316">
        <f>Table5[[#This Row],[ÁREA]]</f>
        <v>11</v>
      </c>
      <c r="J474" s="317" t="s">
        <v>1159</v>
      </c>
      <c r="K474" s="319" t="s">
        <v>1160</v>
      </c>
      <c r="L474" s="318">
        <v>7</v>
      </c>
      <c r="M474" s="317" t="s">
        <v>1156</v>
      </c>
      <c r="N474" s="312" t="s">
        <v>481</v>
      </c>
    </row>
    <row r="475" spans="2:14" ht="24.9" customHeight="1" x14ac:dyDescent="0.3">
      <c r="B475" s="351" t="s">
        <v>363</v>
      </c>
      <c r="C475" s="311">
        <v>11</v>
      </c>
      <c r="D475" s="317" t="s">
        <v>1156</v>
      </c>
      <c r="E475" s="329">
        <v>32096563</v>
      </c>
      <c r="F475" s="321" t="s">
        <v>1094</v>
      </c>
      <c r="G475" s="334" t="s">
        <v>1097</v>
      </c>
      <c r="H475" s="316">
        <v>32045145</v>
      </c>
      <c r="I475" s="316">
        <f>Table5[[#This Row],[ÁREA]]</f>
        <v>11</v>
      </c>
      <c r="J475" s="317" t="s">
        <v>1161</v>
      </c>
      <c r="K475" s="319" t="s">
        <v>1162</v>
      </c>
      <c r="L475" s="318">
        <v>7</v>
      </c>
      <c r="M475" s="317" t="s">
        <v>1156</v>
      </c>
      <c r="N475" s="312" t="s">
        <v>1077</v>
      </c>
    </row>
    <row r="476" spans="2:14" ht="24.9" customHeight="1" x14ac:dyDescent="0.3">
      <c r="B476" s="311" t="s">
        <v>363</v>
      </c>
      <c r="C476" s="311">
        <v>11</v>
      </c>
      <c r="D476" s="317" t="s">
        <v>1156</v>
      </c>
      <c r="E476" s="315">
        <v>32096563</v>
      </c>
      <c r="F476" s="327" t="s">
        <v>1094</v>
      </c>
      <c r="G476" s="331" t="s">
        <v>1097</v>
      </c>
      <c r="H476" s="316">
        <v>32045611</v>
      </c>
      <c r="I476" s="316">
        <f>Table5[[#This Row],[ÁREA]]</f>
        <v>11</v>
      </c>
      <c r="J476" s="317" t="s">
        <v>1163</v>
      </c>
      <c r="K476" s="322" t="s">
        <v>1164</v>
      </c>
      <c r="L476" s="318">
        <v>7</v>
      </c>
      <c r="M476" s="317" t="s">
        <v>1156</v>
      </c>
      <c r="N476" s="312" t="s">
        <v>511</v>
      </c>
    </row>
    <row r="477" spans="2:14" ht="24.9" customHeight="1" x14ac:dyDescent="0.3">
      <c r="B477" s="351" t="s">
        <v>363</v>
      </c>
      <c r="C477" s="311">
        <v>11</v>
      </c>
      <c r="D477" s="317" t="s">
        <v>1156</v>
      </c>
      <c r="E477" s="329">
        <v>32096563</v>
      </c>
      <c r="F477" s="321" t="s">
        <v>1094</v>
      </c>
      <c r="G477" s="315" t="s">
        <v>1097</v>
      </c>
      <c r="H477" s="316">
        <v>32045813</v>
      </c>
      <c r="I477" s="316">
        <f>Table5[[#This Row],[ÁREA]]</f>
        <v>11</v>
      </c>
      <c r="J477" s="317" t="s">
        <v>1165</v>
      </c>
      <c r="K477" s="319" t="s">
        <v>1166</v>
      </c>
      <c r="L477" s="318">
        <v>7</v>
      </c>
      <c r="M477" s="317" t="s">
        <v>1156</v>
      </c>
      <c r="N477" s="312" t="s">
        <v>453</v>
      </c>
    </row>
    <row r="478" spans="2:14" ht="24.9" customHeight="1" x14ac:dyDescent="0.3">
      <c r="B478" s="351" t="s">
        <v>363</v>
      </c>
      <c r="C478" s="311">
        <v>11</v>
      </c>
      <c r="D478" s="317" t="s">
        <v>1156</v>
      </c>
      <c r="E478" s="315">
        <v>32096563</v>
      </c>
      <c r="F478" s="327" t="s">
        <v>1094</v>
      </c>
      <c r="G478" s="334" t="s">
        <v>1097</v>
      </c>
      <c r="H478" s="316">
        <v>32155922</v>
      </c>
      <c r="I478" s="316">
        <f>Table5[[#This Row],[ÁREA]]</f>
        <v>11</v>
      </c>
      <c r="J478" s="317" t="s">
        <v>1167</v>
      </c>
      <c r="K478" s="319" t="s">
        <v>1168</v>
      </c>
      <c r="L478" s="318">
        <v>7</v>
      </c>
      <c r="M478" s="317" t="s">
        <v>1156</v>
      </c>
      <c r="N478" s="312" t="s">
        <v>447</v>
      </c>
    </row>
    <row r="479" spans="2:14" ht="24.9" customHeight="1" x14ac:dyDescent="0.3">
      <c r="B479" s="351" t="s">
        <v>363</v>
      </c>
      <c r="C479" s="311">
        <v>11</v>
      </c>
      <c r="D479" s="318" t="s">
        <v>1156</v>
      </c>
      <c r="E479" s="315">
        <v>32096563</v>
      </c>
      <c r="F479" s="327" t="s">
        <v>1094</v>
      </c>
      <c r="G479" s="315" t="s">
        <v>1106</v>
      </c>
      <c r="H479" s="316">
        <v>32067361</v>
      </c>
      <c r="I479" s="316">
        <v>11</v>
      </c>
      <c r="J479" s="317" t="s">
        <v>1169</v>
      </c>
      <c r="K479" s="319" t="s">
        <v>1170</v>
      </c>
      <c r="L479" s="318">
        <v>14</v>
      </c>
      <c r="M479" s="317" t="s">
        <v>1156</v>
      </c>
      <c r="N479" s="312" t="s">
        <v>711</v>
      </c>
    </row>
    <row r="480" spans="2:14" ht="24.9" customHeight="1" x14ac:dyDescent="0.3">
      <c r="B480" s="351" t="s">
        <v>363</v>
      </c>
      <c r="C480" s="311">
        <v>12</v>
      </c>
      <c r="D480" s="318" t="s">
        <v>1171</v>
      </c>
      <c r="E480" s="315">
        <v>32096563</v>
      </c>
      <c r="F480" s="327" t="s">
        <v>1094</v>
      </c>
      <c r="G480" s="315" t="s">
        <v>1097</v>
      </c>
      <c r="H480" s="316">
        <v>32043890</v>
      </c>
      <c r="I480" s="316">
        <f>Table5[[#This Row],[ÁREA]]</f>
        <v>12</v>
      </c>
      <c r="J480" s="317" t="s">
        <v>1172</v>
      </c>
      <c r="K480" s="319" t="s">
        <v>1173</v>
      </c>
      <c r="L480" s="318">
        <v>10</v>
      </c>
      <c r="M480" s="317" t="s">
        <v>1171</v>
      </c>
      <c r="N480" s="312" t="s">
        <v>1074</v>
      </c>
    </row>
    <row r="481" spans="2:14" ht="24.9" customHeight="1" x14ac:dyDescent="0.3">
      <c r="B481" s="351" t="s">
        <v>363</v>
      </c>
      <c r="C481" s="311">
        <v>12</v>
      </c>
      <c r="D481" s="317" t="s">
        <v>1171</v>
      </c>
      <c r="E481" s="315">
        <v>32096563</v>
      </c>
      <c r="F481" s="327" t="s">
        <v>1094</v>
      </c>
      <c r="G481" s="315" t="s">
        <v>51</v>
      </c>
      <c r="H481" s="316">
        <v>32044156</v>
      </c>
      <c r="I481" s="316">
        <f>Table5[[#This Row],[ÁREA]]</f>
        <v>12</v>
      </c>
      <c r="J481" s="317" t="s">
        <v>1174</v>
      </c>
      <c r="K481" s="319" t="s">
        <v>1175</v>
      </c>
      <c r="L481" s="318">
        <v>13</v>
      </c>
      <c r="M481" s="317" t="s">
        <v>1171</v>
      </c>
      <c r="N481" s="312" t="s">
        <v>719</v>
      </c>
    </row>
    <row r="482" spans="2:14" ht="24.9" customHeight="1" x14ac:dyDescent="0.3">
      <c r="B482" s="351" t="s">
        <v>363</v>
      </c>
      <c r="C482" s="311">
        <v>12</v>
      </c>
      <c r="D482" s="318" t="s">
        <v>1171</v>
      </c>
      <c r="E482" s="329">
        <v>32096563</v>
      </c>
      <c r="F482" s="321" t="s">
        <v>1094</v>
      </c>
      <c r="G482" s="325" t="s">
        <v>1097</v>
      </c>
      <c r="H482" s="316">
        <v>32044228</v>
      </c>
      <c r="I482" s="316">
        <f>Table5[[#This Row],[ÁREA]]</f>
        <v>12</v>
      </c>
      <c r="J482" s="317" t="s">
        <v>1176</v>
      </c>
      <c r="K482" s="319" t="s">
        <v>1177</v>
      </c>
      <c r="L482" s="318">
        <v>10</v>
      </c>
      <c r="M482" s="317" t="s">
        <v>1171</v>
      </c>
      <c r="N482" s="312" t="s">
        <v>1069</v>
      </c>
    </row>
    <row r="483" spans="2:14" ht="24.9" customHeight="1" x14ac:dyDescent="0.3">
      <c r="B483" s="351" t="s">
        <v>363</v>
      </c>
      <c r="C483" s="352">
        <v>12</v>
      </c>
      <c r="D483" s="318" t="s">
        <v>1171</v>
      </c>
      <c r="E483" s="315">
        <v>32096563</v>
      </c>
      <c r="F483" s="359" t="s">
        <v>1094</v>
      </c>
      <c r="G483" s="331" t="s">
        <v>1097</v>
      </c>
      <c r="H483" s="353">
        <v>32045179</v>
      </c>
      <c r="I483" s="353">
        <f>Table5[[#This Row],[ÁREA]]</f>
        <v>12</v>
      </c>
      <c r="J483" s="338" t="s">
        <v>1178</v>
      </c>
      <c r="K483" s="319" t="s">
        <v>1179</v>
      </c>
      <c r="L483" s="318">
        <v>10</v>
      </c>
      <c r="M483" s="338" t="s">
        <v>1171</v>
      </c>
      <c r="N483" s="355" t="s">
        <v>564</v>
      </c>
    </row>
    <row r="484" spans="2:14" ht="24.9" customHeight="1" x14ac:dyDescent="0.3">
      <c r="B484" s="351" t="s">
        <v>363</v>
      </c>
      <c r="C484" s="311">
        <v>12</v>
      </c>
      <c r="D484" s="318" t="s">
        <v>1171</v>
      </c>
      <c r="E484" s="315">
        <v>32096563</v>
      </c>
      <c r="F484" s="327" t="s">
        <v>1094</v>
      </c>
      <c r="G484" s="315" t="s">
        <v>1097</v>
      </c>
      <c r="H484" s="316">
        <v>32045392</v>
      </c>
      <c r="I484" s="316">
        <f>Table5[[#This Row],[ÁREA]]</f>
        <v>12</v>
      </c>
      <c r="J484" s="317" t="s">
        <v>1180</v>
      </c>
      <c r="K484" s="319" t="s">
        <v>1181</v>
      </c>
      <c r="L484" s="318">
        <v>10</v>
      </c>
      <c r="M484" s="317" t="s">
        <v>1171</v>
      </c>
      <c r="N484" s="312" t="s">
        <v>481</v>
      </c>
    </row>
    <row r="485" spans="2:14" ht="24.9" customHeight="1" x14ac:dyDescent="0.3">
      <c r="B485" s="351" t="s">
        <v>363</v>
      </c>
      <c r="C485" s="311">
        <v>12</v>
      </c>
      <c r="D485" s="318" t="s">
        <v>1171</v>
      </c>
      <c r="E485" s="315">
        <v>32096563</v>
      </c>
      <c r="F485" s="327" t="s">
        <v>1094</v>
      </c>
      <c r="G485" s="325" t="s">
        <v>1097</v>
      </c>
      <c r="H485" s="316">
        <v>32045643</v>
      </c>
      <c r="I485" s="316">
        <f>Table5[[#This Row],[ÁREA]]</f>
        <v>12</v>
      </c>
      <c r="J485" s="317" t="s">
        <v>1182</v>
      </c>
      <c r="K485" s="328" t="s">
        <v>61</v>
      </c>
      <c r="L485" s="318">
        <v>10</v>
      </c>
      <c r="M485" s="317" t="s">
        <v>1171</v>
      </c>
      <c r="N485" s="312" t="s">
        <v>711</v>
      </c>
    </row>
    <row r="486" spans="2:14" ht="24.9" customHeight="1" x14ac:dyDescent="0.3">
      <c r="B486" s="311" t="s">
        <v>363</v>
      </c>
      <c r="C486" s="311">
        <v>12</v>
      </c>
      <c r="D486" s="318" t="s">
        <v>1171</v>
      </c>
      <c r="E486" s="348">
        <v>32096563</v>
      </c>
      <c r="F486" s="341" t="s">
        <v>1094</v>
      </c>
      <c r="G486" s="315" t="s">
        <v>1097</v>
      </c>
      <c r="H486" s="316">
        <v>32046089</v>
      </c>
      <c r="I486" s="316">
        <f>Table5[[#This Row],[ÁREA]]</f>
        <v>12</v>
      </c>
      <c r="J486" s="317" t="s">
        <v>1183</v>
      </c>
      <c r="K486" s="319" t="s">
        <v>1184</v>
      </c>
      <c r="L486" s="318">
        <v>10</v>
      </c>
      <c r="M486" s="317" t="s">
        <v>1171</v>
      </c>
      <c r="N486" s="312" t="s">
        <v>461</v>
      </c>
    </row>
    <row r="487" spans="2:14" ht="24.9" customHeight="1" x14ac:dyDescent="0.3">
      <c r="B487" s="351" t="s">
        <v>363</v>
      </c>
      <c r="C487" s="311">
        <v>12</v>
      </c>
      <c r="D487" s="318" t="s">
        <v>1171</v>
      </c>
      <c r="E487" s="315">
        <v>32096563</v>
      </c>
      <c r="F487" s="327" t="s">
        <v>1094</v>
      </c>
      <c r="G487" s="334" t="s">
        <v>1097</v>
      </c>
      <c r="H487" s="316">
        <v>32046515</v>
      </c>
      <c r="I487" s="316">
        <f>Table5[[#This Row],[ÁREA]]</f>
        <v>12</v>
      </c>
      <c r="J487" s="317" t="s">
        <v>1185</v>
      </c>
      <c r="K487" s="319" t="s">
        <v>1186</v>
      </c>
      <c r="L487" s="318">
        <v>10</v>
      </c>
      <c r="M487" s="317" t="s">
        <v>1171</v>
      </c>
      <c r="N487" s="312" t="s">
        <v>456</v>
      </c>
    </row>
    <row r="488" spans="2:14" ht="24.9" customHeight="1" x14ac:dyDescent="0.3">
      <c r="B488" s="351" t="s">
        <v>363</v>
      </c>
      <c r="C488" s="311">
        <v>12</v>
      </c>
      <c r="D488" s="318" t="s">
        <v>1171</v>
      </c>
      <c r="E488" s="315">
        <v>32096563</v>
      </c>
      <c r="F488" s="327" t="s">
        <v>1094</v>
      </c>
      <c r="G488" s="315" t="s">
        <v>1097</v>
      </c>
      <c r="H488" s="316">
        <v>32057876</v>
      </c>
      <c r="I488" s="316">
        <f>Table5[[#This Row],[ÁREA]]</f>
        <v>12</v>
      </c>
      <c r="J488" s="317" t="s">
        <v>1187</v>
      </c>
      <c r="K488" s="322" t="s">
        <v>1188</v>
      </c>
      <c r="L488" s="318">
        <v>10</v>
      </c>
      <c r="M488" s="317" t="s">
        <v>1171</v>
      </c>
      <c r="N488" s="312" t="s">
        <v>453</v>
      </c>
    </row>
    <row r="489" spans="2:14" ht="24.9" customHeight="1" x14ac:dyDescent="0.3">
      <c r="B489" s="351" t="s">
        <v>363</v>
      </c>
      <c r="C489" s="311">
        <v>12</v>
      </c>
      <c r="D489" s="318" t="s">
        <v>1171</v>
      </c>
      <c r="E489" s="329">
        <v>32096563</v>
      </c>
      <c r="F489" s="321" t="s">
        <v>1094</v>
      </c>
      <c r="G489" s="315" t="s">
        <v>1097</v>
      </c>
      <c r="H489" s="316">
        <v>32108994</v>
      </c>
      <c r="I489" s="316">
        <f>Table5[[#This Row],[ÁREA]]</f>
        <v>12</v>
      </c>
      <c r="J489" s="317" t="s">
        <v>1189</v>
      </c>
      <c r="K489" s="322" t="s">
        <v>1190</v>
      </c>
      <c r="L489" s="318">
        <v>10</v>
      </c>
      <c r="M489" s="317" t="s">
        <v>1171</v>
      </c>
      <c r="N489" s="312" t="s">
        <v>1077</v>
      </c>
    </row>
    <row r="490" spans="2:14" ht="24.9" customHeight="1" x14ac:dyDescent="0.3">
      <c r="B490" s="351" t="s">
        <v>363</v>
      </c>
      <c r="C490" s="311">
        <v>12</v>
      </c>
      <c r="D490" s="318" t="s">
        <v>1171</v>
      </c>
      <c r="E490" s="329">
        <v>32096563</v>
      </c>
      <c r="F490" s="321" t="s">
        <v>1094</v>
      </c>
      <c r="G490" s="315" t="s">
        <v>1097</v>
      </c>
      <c r="H490" s="316">
        <v>32132048</v>
      </c>
      <c r="I490" s="316">
        <f>Table5[[#This Row],[ÁREA]]</f>
        <v>12</v>
      </c>
      <c r="J490" s="317" t="s">
        <v>1191</v>
      </c>
      <c r="K490" s="317" t="s">
        <v>61</v>
      </c>
      <c r="L490" s="318">
        <v>10</v>
      </c>
      <c r="M490" s="317" t="s">
        <v>1171</v>
      </c>
      <c r="N490" s="312" t="s">
        <v>447</v>
      </c>
    </row>
    <row r="491" spans="2:14" ht="24.9" customHeight="1" x14ac:dyDescent="0.3">
      <c r="B491" s="351" t="s">
        <v>363</v>
      </c>
      <c r="C491" s="311">
        <v>12</v>
      </c>
      <c r="D491" s="317" t="s">
        <v>1192</v>
      </c>
      <c r="E491" s="315">
        <v>32231920</v>
      </c>
      <c r="F491" s="327" t="s">
        <v>1079</v>
      </c>
      <c r="G491" s="315" t="s">
        <v>51</v>
      </c>
      <c r="H491" s="316">
        <v>32044075</v>
      </c>
      <c r="I491" s="316">
        <f>Table5[[#This Row],[ÁREA]]</f>
        <v>12</v>
      </c>
      <c r="J491" s="317" t="s">
        <v>1193</v>
      </c>
      <c r="K491" s="319" t="s">
        <v>1194</v>
      </c>
      <c r="L491" s="318">
        <v>13</v>
      </c>
      <c r="M491" s="317" t="s">
        <v>1192</v>
      </c>
      <c r="N491" s="312" t="s">
        <v>564</v>
      </c>
    </row>
    <row r="492" spans="2:14" ht="24.9" customHeight="1" x14ac:dyDescent="0.3">
      <c r="B492" s="351" t="s">
        <v>363</v>
      </c>
      <c r="C492" s="311">
        <v>12</v>
      </c>
      <c r="D492" s="317" t="s">
        <v>1192</v>
      </c>
      <c r="E492" s="315">
        <v>32231920</v>
      </c>
      <c r="F492" s="327" t="s">
        <v>1079</v>
      </c>
      <c r="G492" s="315" t="s">
        <v>51</v>
      </c>
      <c r="H492" s="316">
        <v>32044370</v>
      </c>
      <c r="I492" s="316">
        <f>Table5[[#This Row],[ÁREA]]</f>
        <v>12</v>
      </c>
      <c r="J492" s="317" t="s">
        <v>1195</v>
      </c>
      <c r="K492" s="322" t="s">
        <v>1196</v>
      </c>
      <c r="L492" s="318">
        <v>13</v>
      </c>
      <c r="M492" s="317" t="s">
        <v>1192</v>
      </c>
      <c r="N492" s="312" t="s">
        <v>456</v>
      </c>
    </row>
    <row r="493" spans="2:14" ht="24.9" customHeight="1" x14ac:dyDescent="0.3">
      <c r="B493" s="351" t="s">
        <v>363</v>
      </c>
      <c r="C493" s="311">
        <v>12</v>
      </c>
      <c r="D493" s="317" t="s">
        <v>1192</v>
      </c>
      <c r="E493" s="315">
        <v>32231920</v>
      </c>
      <c r="F493" s="327" t="s">
        <v>1079</v>
      </c>
      <c r="G493" s="315" t="s">
        <v>51</v>
      </c>
      <c r="H493" s="316">
        <v>32044561</v>
      </c>
      <c r="I493" s="316">
        <f>Table5[[#This Row],[ÁREA]]</f>
        <v>12</v>
      </c>
      <c r="J493" s="317" t="s">
        <v>1197</v>
      </c>
      <c r="K493" s="319" t="s">
        <v>1198</v>
      </c>
      <c r="L493" s="318">
        <v>13</v>
      </c>
      <c r="M493" s="317" t="s">
        <v>1192</v>
      </c>
      <c r="N493" s="312" t="s">
        <v>711</v>
      </c>
    </row>
    <row r="494" spans="2:14" ht="24.9" customHeight="1" x14ac:dyDescent="0.3">
      <c r="B494" s="351" t="s">
        <v>363</v>
      </c>
      <c r="C494" s="311">
        <v>12</v>
      </c>
      <c r="D494" s="317" t="s">
        <v>1192</v>
      </c>
      <c r="E494" s="315">
        <v>32231920</v>
      </c>
      <c r="F494" s="327" t="s">
        <v>1079</v>
      </c>
      <c r="G494" s="315" t="s">
        <v>51</v>
      </c>
      <c r="H494" s="316">
        <v>32046159</v>
      </c>
      <c r="I494" s="316">
        <f>Table5[[#This Row],[ÁREA]]</f>
        <v>12</v>
      </c>
      <c r="J494" s="317" t="s">
        <v>1199</v>
      </c>
      <c r="K494" s="319" t="s">
        <v>1200</v>
      </c>
      <c r="L494" s="318">
        <v>13</v>
      </c>
      <c r="M494" s="317" t="s">
        <v>1192</v>
      </c>
      <c r="N494" s="312" t="s">
        <v>705</v>
      </c>
    </row>
    <row r="495" spans="2:14" ht="24.9" customHeight="1" x14ac:dyDescent="0.3">
      <c r="B495" s="351" t="s">
        <v>363</v>
      </c>
      <c r="C495" s="311">
        <v>12</v>
      </c>
      <c r="D495" s="317" t="s">
        <v>1192</v>
      </c>
      <c r="E495" s="315">
        <v>32231920</v>
      </c>
      <c r="F495" s="327" t="s">
        <v>1079</v>
      </c>
      <c r="G495" s="315" t="s">
        <v>51</v>
      </c>
      <c r="H495" s="316">
        <v>32046355</v>
      </c>
      <c r="I495" s="316">
        <f>Table5[[#This Row],[ÁREA]]</f>
        <v>12</v>
      </c>
      <c r="J495" s="317" t="s">
        <v>1201</v>
      </c>
      <c r="K495" s="322" t="s">
        <v>1202</v>
      </c>
      <c r="L495" s="318">
        <v>13</v>
      </c>
      <c r="M495" s="317" t="s">
        <v>1192</v>
      </c>
      <c r="N495" s="312" t="s">
        <v>481</v>
      </c>
    </row>
    <row r="496" spans="2:14" ht="24.9" customHeight="1" x14ac:dyDescent="0.3">
      <c r="B496" s="351" t="s">
        <v>363</v>
      </c>
      <c r="C496" s="311">
        <v>12</v>
      </c>
      <c r="D496" s="317" t="s">
        <v>1192</v>
      </c>
      <c r="E496" s="315">
        <v>32231920</v>
      </c>
      <c r="F496" s="327" t="s">
        <v>1079</v>
      </c>
      <c r="G496" s="315" t="s">
        <v>51</v>
      </c>
      <c r="H496" s="316">
        <v>32046569</v>
      </c>
      <c r="I496" s="316">
        <f>Table5[[#This Row],[ÁREA]]</f>
        <v>12</v>
      </c>
      <c r="J496" s="317" t="s">
        <v>1203</v>
      </c>
      <c r="K496" s="319" t="s">
        <v>1204</v>
      </c>
      <c r="L496" s="318">
        <v>13</v>
      </c>
      <c r="M496" s="317" t="s">
        <v>1192</v>
      </c>
      <c r="N496" s="312" t="s">
        <v>1069</v>
      </c>
    </row>
    <row r="497" spans="2:14" ht="24.9" customHeight="1" x14ac:dyDescent="0.3">
      <c r="B497" s="351" t="s">
        <v>363</v>
      </c>
      <c r="C497" s="311">
        <v>12</v>
      </c>
      <c r="D497" s="317" t="s">
        <v>1192</v>
      </c>
      <c r="E497" s="329">
        <v>32231920</v>
      </c>
      <c r="F497" s="321" t="s">
        <v>1079</v>
      </c>
      <c r="G497" s="325" t="s">
        <v>51</v>
      </c>
      <c r="H497" s="316">
        <v>32046671</v>
      </c>
      <c r="I497" s="316">
        <f>Table5[[#This Row],[ÁREA]]</f>
        <v>12</v>
      </c>
      <c r="J497" s="317" t="s">
        <v>1205</v>
      </c>
      <c r="K497" s="322" t="s">
        <v>1206</v>
      </c>
      <c r="L497" s="318">
        <v>13</v>
      </c>
      <c r="M497" s="317" t="s">
        <v>1192</v>
      </c>
      <c r="N497" s="312" t="s">
        <v>453</v>
      </c>
    </row>
    <row r="498" spans="2:14" ht="24.9" customHeight="1" x14ac:dyDescent="0.3">
      <c r="B498" s="351" t="s">
        <v>363</v>
      </c>
      <c r="C498" s="311">
        <v>12</v>
      </c>
      <c r="D498" s="317" t="s">
        <v>1192</v>
      </c>
      <c r="E498" s="315">
        <v>32231920</v>
      </c>
      <c r="F498" s="327" t="s">
        <v>1079</v>
      </c>
      <c r="G498" s="315" t="s">
        <v>51</v>
      </c>
      <c r="H498" s="316">
        <v>32140576</v>
      </c>
      <c r="I498" s="316">
        <f>Table5[[#This Row],[ÁREA]]</f>
        <v>12</v>
      </c>
      <c r="J498" s="317" t="s">
        <v>1207</v>
      </c>
      <c r="K498" s="322" t="s">
        <v>1208</v>
      </c>
      <c r="L498" s="318">
        <v>13</v>
      </c>
      <c r="M498" s="317" t="s">
        <v>1192</v>
      </c>
      <c r="N498" s="312" t="s">
        <v>1077</v>
      </c>
    </row>
    <row r="499" spans="2:14" ht="24.9" customHeight="1" x14ac:dyDescent="0.3">
      <c r="B499" s="351" t="s">
        <v>363</v>
      </c>
      <c r="C499" s="352">
        <v>12</v>
      </c>
      <c r="D499" s="317" t="s">
        <v>1192</v>
      </c>
      <c r="E499" s="315">
        <v>32231920</v>
      </c>
      <c r="F499" s="359" t="s">
        <v>1079</v>
      </c>
      <c r="G499" s="315" t="s">
        <v>51</v>
      </c>
      <c r="H499" s="353">
        <v>32143625</v>
      </c>
      <c r="I499" s="353">
        <f>Table5[[#This Row],[ÁREA]]</f>
        <v>12</v>
      </c>
      <c r="J499" s="338" t="s">
        <v>1209</v>
      </c>
      <c r="K499" s="322" t="s">
        <v>1210</v>
      </c>
      <c r="L499" s="318">
        <v>13</v>
      </c>
      <c r="M499" s="338" t="s">
        <v>1192</v>
      </c>
      <c r="N499" s="355" t="s">
        <v>447</v>
      </c>
    </row>
    <row r="500" spans="2:14" ht="24.9" customHeight="1" x14ac:dyDescent="0.3">
      <c r="B500" s="351" t="s">
        <v>363</v>
      </c>
      <c r="C500" s="311">
        <v>12</v>
      </c>
      <c r="D500" s="317" t="s">
        <v>1192</v>
      </c>
      <c r="E500" s="315">
        <v>32231920</v>
      </c>
      <c r="F500" s="327" t="s">
        <v>1079</v>
      </c>
      <c r="G500" s="331" t="s">
        <v>51</v>
      </c>
      <c r="H500" s="316">
        <v>32143665</v>
      </c>
      <c r="I500" s="316">
        <f>Table5[[#This Row],[ÁREA]]</f>
        <v>12</v>
      </c>
      <c r="J500" s="317" t="s">
        <v>1211</v>
      </c>
      <c r="K500" s="322" t="s">
        <v>1212</v>
      </c>
      <c r="L500" s="318">
        <v>13</v>
      </c>
      <c r="M500" s="317" t="s">
        <v>1192</v>
      </c>
      <c r="N500" s="312" t="s">
        <v>1056</v>
      </c>
    </row>
    <row r="501" spans="2:14" ht="24.9" customHeight="1" x14ac:dyDescent="0.3">
      <c r="B501" s="351" t="s">
        <v>363</v>
      </c>
      <c r="C501" s="311">
        <v>12</v>
      </c>
      <c r="D501" s="317" t="s">
        <v>1192</v>
      </c>
      <c r="E501" s="315">
        <v>32231920</v>
      </c>
      <c r="F501" s="327" t="s">
        <v>1079</v>
      </c>
      <c r="G501" s="315" t="s">
        <v>51</v>
      </c>
      <c r="H501" s="316">
        <v>32150657</v>
      </c>
      <c r="I501" s="316">
        <f>Table5[[#This Row],[ÁREA]]</f>
        <v>12</v>
      </c>
      <c r="J501" s="317" t="s">
        <v>1213</v>
      </c>
      <c r="K501" s="322" t="s">
        <v>1214</v>
      </c>
      <c r="L501" s="318">
        <v>13</v>
      </c>
      <c r="M501" s="317" t="s">
        <v>1192</v>
      </c>
      <c r="N501" s="312" t="s">
        <v>1074</v>
      </c>
    </row>
    <row r="502" spans="2:14" ht="24.9" customHeight="1" x14ac:dyDescent="0.3">
      <c r="B502" s="351" t="s">
        <v>363</v>
      </c>
      <c r="C502" s="311">
        <v>12</v>
      </c>
      <c r="D502" s="317" t="s">
        <v>1215</v>
      </c>
      <c r="E502" s="318">
        <v>32231001</v>
      </c>
      <c r="F502" s="327" t="s">
        <v>1052</v>
      </c>
      <c r="G502" s="315" t="s">
        <v>1053</v>
      </c>
      <c r="H502" s="316">
        <v>32043920</v>
      </c>
      <c r="I502" s="316">
        <f>Table5[[#This Row],[ÁREA]]</f>
        <v>12</v>
      </c>
      <c r="J502" s="317" t="s">
        <v>1216</v>
      </c>
      <c r="K502" s="319" t="s">
        <v>1217</v>
      </c>
      <c r="L502" s="318">
        <v>11</v>
      </c>
      <c r="M502" s="317" t="s">
        <v>1215</v>
      </c>
      <c r="N502" s="312" t="s">
        <v>461</v>
      </c>
    </row>
    <row r="503" spans="2:14" ht="24.9" customHeight="1" x14ac:dyDescent="0.3">
      <c r="B503" s="351" t="s">
        <v>363</v>
      </c>
      <c r="C503" s="311">
        <v>12</v>
      </c>
      <c r="D503" s="317" t="s">
        <v>1215</v>
      </c>
      <c r="E503" s="320">
        <v>32231001</v>
      </c>
      <c r="F503" s="321" t="s">
        <v>1052</v>
      </c>
      <c r="G503" s="331" t="s">
        <v>1053</v>
      </c>
      <c r="H503" s="316">
        <v>32044051</v>
      </c>
      <c r="I503" s="316">
        <f>Table5[[#This Row],[ÁREA]]</f>
        <v>12</v>
      </c>
      <c r="J503" s="317" t="s">
        <v>1218</v>
      </c>
      <c r="K503" s="319" t="s">
        <v>1219</v>
      </c>
      <c r="L503" s="318">
        <v>11</v>
      </c>
      <c r="M503" s="317" t="s">
        <v>1215</v>
      </c>
      <c r="N503" s="312" t="s">
        <v>456</v>
      </c>
    </row>
    <row r="504" spans="2:14" ht="24.9" customHeight="1" x14ac:dyDescent="0.3">
      <c r="B504" s="351" t="s">
        <v>363</v>
      </c>
      <c r="C504" s="311">
        <v>12</v>
      </c>
      <c r="D504" s="317" t="s">
        <v>1215</v>
      </c>
      <c r="E504" s="318">
        <v>32231001</v>
      </c>
      <c r="F504" s="327" t="s">
        <v>1052</v>
      </c>
      <c r="G504" s="315" t="s">
        <v>1053</v>
      </c>
      <c r="H504" s="316">
        <v>32044164</v>
      </c>
      <c r="I504" s="316">
        <f>Table5[[#This Row],[ÁREA]]</f>
        <v>12</v>
      </c>
      <c r="J504" s="317" t="s">
        <v>1220</v>
      </c>
      <c r="K504" s="319" t="s">
        <v>1221</v>
      </c>
      <c r="L504" s="318">
        <v>11</v>
      </c>
      <c r="M504" s="317" t="s">
        <v>1215</v>
      </c>
      <c r="N504" s="312" t="s">
        <v>1069</v>
      </c>
    </row>
    <row r="505" spans="2:14" ht="24.9" customHeight="1" x14ac:dyDescent="0.3">
      <c r="B505" s="351" t="s">
        <v>363</v>
      </c>
      <c r="C505" s="311">
        <v>12</v>
      </c>
      <c r="D505" s="317" t="s">
        <v>1215</v>
      </c>
      <c r="E505" s="320">
        <v>32231001</v>
      </c>
      <c r="F505" s="321" t="s">
        <v>1052</v>
      </c>
      <c r="G505" s="334" t="s">
        <v>1053</v>
      </c>
      <c r="H505" s="316">
        <v>32044644</v>
      </c>
      <c r="I505" s="316">
        <f>Table5[[#This Row],[ÁREA]]</f>
        <v>12</v>
      </c>
      <c r="J505" s="317" t="s">
        <v>1222</v>
      </c>
      <c r="K505" s="328" t="s">
        <v>61</v>
      </c>
      <c r="L505" s="318">
        <v>11</v>
      </c>
      <c r="M505" s="317" t="s">
        <v>1215</v>
      </c>
      <c r="N505" s="312" t="s">
        <v>711</v>
      </c>
    </row>
    <row r="506" spans="2:14" ht="24.9" customHeight="1" x14ac:dyDescent="0.3">
      <c r="B506" s="351" t="s">
        <v>363</v>
      </c>
      <c r="C506" s="311">
        <v>12</v>
      </c>
      <c r="D506" s="317" t="s">
        <v>1215</v>
      </c>
      <c r="E506" s="318">
        <v>32231001</v>
      </c>
      <c r="F506" s="327" t="s">
        <v>1052</v>
      </c>
      <c r="G506" s="315" t="s">
        <v>1053</v>
      </c>
      <c r="H506" s="316">
        <v>32044852</v>
      </c>
      <c r="I506" s="316">
        <f>Table5[[#This Row],[ÁREA]]</f>
        <v>12</v>
      </c>
      <c r="J506" s="317" t="s">
        <v>1223</v>
      </c>
      <c r="K506" s="319" t="s">
        <v>1224</v>
      </c>
      <c r="L506" s="318">
        <v>11</v>
      </c>
      <c r="M506" s="317" t="s">
        <v>1215</v>
      </c>
      <c r="N506" s="312" t="s">
        <v>453</v>
      </c>
    </row>
    <row r="507" spans="2:14" ht="24.9" customHeight="1" x14ac:dyDescent="0.3">
      <c r="B507" s="351" t="s">
        <v>363</v>
      </c>
      <c r="C507" s="311">
        <v>12</v>
      </c>
      <c r="D507" s="317" t="s">
        <v>1215</v>
      </c>
      <c r="E507" s="320">
        <v>32231001</v>
      </c>
      <c r="F507" s="321" t="s">
        <v>1052</v>
      </c>
      <c r="G507" s="315" t="s">
        <v>1053</v>
      </c>
      <c r="H507" s="316">
        <v>32045140</v>
      </c>
      <c r="I507" s="316">
        <f>Table5[[#This Row],[ÁREA]]</f>
        <v>12</v>
      </c>
      <c r="J507" s="317" t="s">
        <v>1225</v>
      </c>
      <c r="K507" s="322" t="s">
        <v>1226</v>
      </c>
      <c r="L507" s="318">
        <v>11</v>
      </c>
      <c r="M507" s="317" t="s">
        <v>1215</v>
      </c>
      <c r="N507" s="312" t="s">
        <v>1074</v>
      </c>
    </row>
    <row r="508" spans="2:14" ht="24.9" customHeight="1" x14ac:dyDescent="0.3">
      <c r="B508" s="351" t="s">
        <v>363</v>
      </c>
      <c r="C508" s="311">
        <v>12</v>
      </c>
      <c r="D508" s="317" t="s">
        <v>1215</v>
      </c>
      <c r="E508" s="320">
        <v>32231001</v>
      </c>
      <c r="F508" s="314" t="s">
        <v>1052</v>
      </c>
      <c r="G508" s="315" t="s">
        <v>1053</v>
      </c>
      <c r="H508" s="316">
        <v>32046657</v>
      </c>
      <c r="I508" s="316">
        <f>Table5[[#This Row],[ÁREA]]</f>
        <v>12</v>
      </c>
      <c r="J508" s="317" t="s">
        <v>1227</v>
      </c>
      <c r="K508" s="315" t="s">
        <v>1228</v>
      </c>
      <c r="L508" s="318">
        <v>11</v>
      </c>
      <c r="M508" s="317" t="s">
        <v>1215</v>
      </c>
      <c r="N508" s="312" t="s">
        <v>705</v>
      </c>
    </row>
    <row r="509" spans="2:14" ht="24.9" customHeight="1" x14ac:dyDescent="0.3">
      <c r="B509" s="351" t="s">
        <v>363</v>
      </c>
      <c r="C509" s="311">
        <v>12</v>
      </c>
      <c r="D509" s="317" t="s">
        <v>1215</v>
      </c>
      <c r="E509" s="318">
        <v>32231001</v>
      </c>
      <c r="F509" s="314" t="s">
        <v>1052</v>
      </c>
      <c r="G509" s="315" t="s">
        <v>1053</v>
      </c>
      <c r="H509" s="316">
        <v>32106989</v>
      </c>
      <c r="I509" s="316">
        <f>Table5[[#This Row],[ÁREA]]</f>
        <v>12</v>
      </c>
      <c r="J509" s="317" t="s">
        <v>1229</v>
      </c>
      <c r="K509" s="319" t="s">
        <v>1230</v>
      </c>
      <c r="L509" s="318">
        <v>11</v>
      </c>
      <c r="M509" s="317" t="s">
        <v>1215</v>
      </c>
      <c r="N509" s="312" t="s">
        <v>447</v>
      </c>
    </row>
    <row r="510" spans="2:14" ht="24.9" customHeight="1" x14ac:dyDescent="0.3">
      <c r="B510" s="351" t="s">
        <v>363</v>
      </c>
      <c r="C510" s="311">
        <v>12</v>
      </c>
      <c r="D510" s="317" t="s">
        <v>1215</v>
      </c>
      <c r="E510" s="320">
        <v>32231001</v>
      </c>
      <c r="F510" s="314" t="s">
        <v>1052</v>
      </c>
      <c r="G510" s="315"/>
      <c r="H510" s="316">
        <v>32045140</v>
      </c>
      <c r="I510" s="316">
        <v>12</v>
      </c>
      <c r="J510" s="317" t="s">
        <v>1231</v>
      </c>
      <c r="L510" s="318"/>
      <c r="M510" s="317" t="s">
        <v>1215</v>
      </c>
      <c r="N510" s="312" t="s">
        <v>41</v>
      </c>
    </row>
    <row r="511" spans="2:14" ht="24.9" customHeight="1" x14ac:dyDescent="0.3">
      <c r="B511" s="351" t="s">
        <v>363</v>
      </c>
      <c r="C511" s="311">
        <v>12</v>
      </c>
      <c r="D511" s="317" t="s">
        <v>1215</v>
      </c>
      <c r="E511" s="318">
        <v>32231001</v>
      </c>
      <c r="F511" s="314" t="s">
        <v>1052</v>
      </c>
      <c r="G511" s="315" t="s">
        <v>1053</v>
      </c>
      <c r="H511" s="316">
        <v>32132186</v>
      </c>
      <c r="I511" s="316">
        <f>Table5[[#This Row],[ÁREA]]</f>
        <v>12</v>
      </c>
      <c r="J511" s="317" t="s">
        <v>1232</v>
      </c>
      <c r="K511" s="315" t="s">
        <v>1233</v>
      </c>
      <c r="L511" s="318">
        <v>11</v>
      </c>
      <c r="M511" s="317" t="s">
        <v>1215</v>
      </c>
      <c r="N511" s="312" t="s">
        <v>1077</v>
      </c>
    </row>
    <row r="512" spans="2:14" ht="24.9" customHeight="1" x14ac:dyDescent="0.3">
      <c r="B512" s="351" t="s">
        <v>363</v>
      </c>
      <c r="C512" s="311">
        <v>12</v>
      </c>
      <c r="D512" s="317" t="s">
        <v>1215</v>
      </c>
      <c r="E512" s="320">
        <v>32231001</v>
      </c>
      <c r="F512" s="314" t="s">
        <v>1052</v>
      </c>
      <c r="G512" s="315" t="s">
        <v>1053</v>
      </c>
      <c r="H512" s="316">
        <v>32132193</v>
      </c>
      <c r="I512" s="316">
        <f>Table5[[#This Row],[ÁREA]]</f>
        <v>12</v>
      </c>
      <c r="J512" s="317" t="s">
        <v>1234</v>
      </c>
      <c r="K512" s="322" t="s">
        <v>1235</v>
      </c>
      <c r="L512" s="318">
        <v>11</v>
      </c>
      <c r="M512" s="317" t="s">
        <v>1215</v>
      </c>
      <c r="N512" s="312" t="s">
        <v>1056</v>
      </c>
    </row>
    <row r="513" spans="2:14" ht="24.9" customHeight="1" x14ac:dyDescent="0.3">
      <c r="B513" s="351" t="s">
        <v>363</v>
      </c>
      <c r="C513" s="311">
        <v>13</v>
      </c>
      <c r="D513" s="318" t="s">
        <v>1236</v>
      </c>
      <c r="E513" s="320">
        <v>32143096</v>
      </c>
      <c r="F513" s="323" t="s">
        <v>1237</v>
      </c>
      <c r="G513" s="331" t="s">
        <v>1238</v>
      </c>
      <c r="H513" s="316">
        <v>32044243</v>
      </c>
      <c r="I513" s="316">
        <f>Table5[[#This Row],[ÁREA]]</f>
        <v>13</v>
      </c>
      <c r="J513" s="317" t="s">
        <v>1239</v>
      </c>
      <c r="K513" s="319" t="s">
        <v>1240</v>
      </c>
      <c r="L513" s="318">
        <v>14</v>
      </c>
      <c r="M513" s="317" t="s">
        <v>1236</v>
      </c>
      <c r="N513" s="312" t="s">
        <v>481</v>
      </c>
    </row>
    <row r="514" spans="2:14" ht="24.9" customHeight="1" x14ac:dyDescent="0.3">
      <c r="B514" s="351" t="s">
        <v>363</v>
      </c>
      <c r="C514" s="352">
        <v>13</v>
      </c>
      <c r="D514" s="318" t="s">
        <v>1236</v>
      </c>
      <c r="E514" s="318">
        <v>32143096</v>
      </c>
      <c r="F514" s="323" t="s">
        <v>1237</v>
      </c>
      <c r="G514" s="315" t="s">
        <v>1238</v>
      </c>
      <c r="H514" s="353">
        <v>32044487</v>
      </c>
      <c r="I514" s="353">
        <f>Table5[[#This Row],[ÁREA]]</f>
        <v>13</v>
      </c>
      <c r="J514" s="338" t="s">
        <v>1241</v>
      </c>
      <c r="K514" s="319" t="s">
        <v>1242</v>
      </c>
      <c r="L514" s="318">
        <v>14</v>
      </c>
      <c r="M514" s="338" t="s">
        <v>1236</v>
      </c>
      <c r="N514" s="355" t="s">
        <v>719</v>
      </c>
    </row>
    <row r="515" spans="2:14" ht="24.9" customHeight="1" x14ac:dyDescent="0.3">
      <c r="B515" s="351" t="s">
        <v>363</v>
      </c>
      <c r="C515" s="311">
        <v>13</v>
      </c>
      <c r="D515" s="318" t="s">
        <v>1236</v>
      </c>
      <c r="E515" s="318">
        <v>32143096</v>
      </c>
      <c r="F515" s="323" t="s">
        <v>1237</v>
      </c>
      <c r="G515" s="334" t="s">
        <v>1238</v>
      </c>
      <c r="H515" s="316">
        <v>32044722</v>
      </c>
      <c r="I515" s="316">
        <f>Table5[[#This Row],[ÁREA]]</f>
        <v>13</v>
      </c>
      <c r="J515" s="317" t="s">
        <v>1243</v>
      </c>
      <c r="K515" s="319" t="s">
        <v>1244</v>
      </c>
      <c r="L515" s="318">
        <v>14</v>
      </c>
      <c r="M515" s="317" t="s">
        <v>1236</v>
      </c>
      <c r="N515" s="312" t="s">
        <v>1245</v>
      </c>
    </row>
    <row r="516" spans="2:14" ht="24.9" customHeight="1" x14ac:dyDescent="0.3">
      <c r="B516" s="351" t="s">
        <v>363</v>
      </c>
      <c r="C516" s="311">
        <v>13</v>
      </c>
      <c r="D516" s="318" t="s">
        <v>1236</v>
      </c>
      <c r="E516" s="318">
        <v>32143096</v>
      </c>
      <c r="F516" s="323" t="s">
        <v>1237</v>
      </c>
      <c r="G516" s="315" t="s">
        <v>1238</v>
      </c>
      <c r="H516" s="316">
        <v>32044993</v>
      </c>
      <c r="I516" s="316">
        <f>Table5[[#This Row],[ÁREA]]</f>
        <v>13</v>
      </c>
      <c r="J516" s="317" t="s">
        <v>1246</v>
      </c>
      <c r="K516" s="319" t="s">
        <v>1247</v>
      </c>
      <c r="L516" s="318">
        <v>14</v>
      </c>
      <c r="M516" s="317" t="s">
        <v>1236</v>
      </c>
      <c r="N516" s="312" t="s">
        <v>453</v>
      </c>
    </row>
    <row r="517" spans="2:14" ht="24.9" customHeight="1" x14ac:dyDescent="0.3">
      <c r="B517" s="351" t="s">
        <v>363</v>
      </c>
      <c r="C517" s="311">
        <v>13</v>
      </c>
      <c r="D517" s="318" t="s">
        <v>1236</v>
      </c>
      <c r="E517" s="320">
        <v>32143096</v>
      </c>
      <c r="F517" s="323" t="s">
        <v>1237</v>
      </c>
      <c r="G517" s="315" t="s">
        <v>1238</v>
      </c>
      <c r="H517" s="316">
        <v>32045601</v>
      </c>
      <c r="I517" s="316">
        <f>Table5[[#This Row],[ÁREA]]</f>
        <v>13</v>
      </c>
      <c r="J517" s="317" t="s">
        <v>1248</v>
      </c>
      <c r="K517" s="319" t="s">
        <v>1249</v>
      </c>
      <c r="L517" s="318">
        <v>14</v>
      </c>
      <c r="M517" s="317" t="s">
        <v>1236</v>
      </c>
      <c r="N517" s="312" t="s">
        <v>447</v>
      </c>
    </row>
    <row r="518" spans="2:14" ht="24.9" customHeight="1" x14ac:dyDescent="0.3">
      <c r="B518" s="351" t="s">
        <v>363</v>
      </c>
      <c r="C518" s="311">
        <v>13</v>
      </c>
      <c r="D518" s="318" t="s">
        <v>1236</v>
      </c>
      <c r="E518" s="318">
        <v>32143096</v>
      </c>
      <c r="F518" s="326" t="s">
        <v>1237</v>
      </c>
      <c r="G518" s="315" t="s">
        <v>1238</v>
      </c>
      <c r="H518" s="316">
        <v>32045798</v>
      </c>
      <c r="I518" s="316">
        <f>Table5[[#This Row],[ÁREA]]</f>
        <v>13</v>
      </c>
      <c r="J518" s="317" t="s">
        <v>1250</v>
      </c>
      <c r="K518" s="328" t="s">
        <v>1251</v>
      </c>
      <c r="L518" s="318">
        <v>14</v>
      </c>
      <c r="M518" s="317" t="s">
        <v>1236</v>
      </c>
      <c r="N518" s="312" t="s">
        <v>511</v>
      </c>
    </row>
    <row r="519" spans="2:14" ht="24.9" customHeight="1" x14ac:dyDescent="0.3">
      <c r="B519" s="351" t="s">
        <v>363</v>
      </c>
      <c r="C519" s="311">
        <v>13</v>
      </c>
      <c r="D519" s="318" t="s">
        <v>1236</v>
      </c>
      <c r="E519" s="318">
        <v>32143096</v>
      </c>
      <c r="F519" s="326" t="s">
        <v>1237</v>
      </c>
      <c r="G519" s="325" t="s">
        <v>1238</v>
      </c>
      <c r="H519" s="316">
        <v>32067154</v>
      </c>
      <c r="I519" s="316">
        <f>Table5[[#This Row],[ÁREA]]</f>
        <v>13</v>
      </c>
      <c r="J519" s="317" t="s">
        <v>1252</v>
      </c>
      <c r="K519" s="315" t="s">
        <v>1253</v>
      </c>
      <c r="L519" s="318">
        <v>14</v>
      </c>
      <c r="M519" s="317" t="s">
        <v>1236</v>
      </c>
      <c r="N519" s="312" t="s">
        <v>564</v>
      </c>
    </row>
    <row r="520" spans="2:14" ht="24.9" customHeight="1" x14ac:dyDescent="0.3">
      <c r="B520" s="351" t="s">
        <v>363</v>
      </c>
      <c r="C520" s="311">
        <v>13</v>
      </c>
      <c r="D520" s="318" t="s">
        <v>1236</v>
      </c>
      <c r="E520" s="318">
        <v>32143096</v>
      </c>
      <c r="F520" s="326" t="s">
        <v>1237</v>
      </c>
      <c r="G520" s="315" t="s">
        <v>1238</v>
      </c>
      <c r="H520" s="316">
        <v>32111144</v>
      </c>
      <c r="I520" s="316">
        <f>Table5[[#This Row],[ÁREA]]</f>
        <v>13</v>
      </c>
      <c r="J520" s="317" t="s">
        <v>1254</v>
      </c>
      <c r="K520" s="319" t="s">
        <v>1255</v>
      </c>
      <c r="L520" s="318">
        <v>14</v>
      </c>
      <c r="M520" s="317" t="s">
        <v>1236</v>
      </c>
      <c r="N520" s="312" t="s">
        <v>179</v>
      </c>
    </row>
    <row r="521" spans="2:14" ht="24.9" customHeight="1" x14ac:dyDescent="0.3">
      <c r="B521" s="351" t="s">
        <v>363</v>
      </c>
      <c r="C521" s="311">
        <v>13</v>
      </c>
      <c r="D521" s="318" t="s">
        <v>1236</v>
      </c>
      <c r="E521" s="318">
        <v>32143096</v>
      </c>
      <c r="F521" s="326" t="s">
        <v>1237</v>
      </c>
      <c r="G521" s="315" t="s">
        <v>1238</v>
      </c>
      <c r="H521" s="316">
        <v>32132047</v>
      </c>
      <c r="I521" s="316">
        <f>Table5[[#This Row],[ÁREA]]</f>
        <v>13</v>
      </c>
      <c r="J521" s="317" t="s">
        <v>1256</v>
      </c>
      <c r="K521" s="319" t="s">
        <v>1257</v>
      </c>
      <c r="L521" s="318">
        <v>14</v>
      </c>
      <c r="M521" s="317" t="s">
        <v>1236</v>
      </c>
      <c r="N521" s="312" t="s">
        <v>779</v>
      </c>
    </row>
    <row r="522" spans="2:14" ht="24.9" customHeight="1" x14ac:dyDescent="0.3">
      <c r="B522" s="351" t="s">
        <v>363</v>
      </c>
      <c r="C522" s="311">
        <v>13</v>
      </c>
      <c r="D522" s="318" t="s">
        <v>1236</v>
      </c>
      <c r="E522" s="318">
        <v>32143096</v>
      </c>
      <c r="F522" s="326" t="s">
        <v>1237</v>
      </c>
      <c r="G522" s="325" t="s">
        <v>1238</v>
      </c>
      <c r="H522" s="316">
        <v>32132604</v>
      </c>
      <c r="I522" s="316">
        <f>Table5[[#This Row],[ÁREA]]</f>
        <v>13</v>
      </c>
      <c r="J522" s="317" t="s">
        <v>1258</v>
      </c>
      <c r="K522" s="319" t="s">
        <v>1259</v>
      </c>
      <c r="L522" s="318">
        <v>14</v>
      </c>
      <c r="M522" s="317" t="s">
        <v>1236</v>
      </c>
      <c r="N522" s="312" t="s">
        <v>464</v>
      </c>
    </row>
    <row r="523" spans="2:14" ht="24.9" customHeight="1" x14ac:dyDescent="0.3">
      <c r="B523" s="351" t="s">
        <v>363</v>
      </c>
      <c r="C523" s="311">
        <v>13</v>
      </c>
      <c r="D523" s="318" t="s">
        <v>1236</v>
      </c>
      <c r="E523" s="320">
        <v>32143096</v>
      </c>
      <c r="F523" s="324" t="s">
        <v>1237</v>
      </c>
      <c r="G523" s="315" t="s">
        <v>1238</v>
      </c>
      <c r="H523" s="316">
        <v>32186050</v>
      </c>
      <c r="I523" s="316">
        <f>Table5[[#This Row],[ÁREA]]</f>
        <v>13</v>
      </c>
      <c r="J523" s="317" t="s">
        <v>1260</v>
      </c>
      <c r="K523" s="319" t="s">
        <v>1261</v>
      </c>
      <c r="L523" s="318">
        <v>14</v>
      </c>
      <c r="M523" s="317" t="s">
        <v>1236</v>
      </c>
      <c r="N523" s="312" t="s">
        <v>456</v>
      </c>
    </row>
    <row r="524" spans="2:14" ht="24.9" customHeight="1" x14ac:dyDescent="0.3">
      <c r="B524" s="351" t="s">
        <v>363</v>
      </c>
      <c r="C524" s="311">
        <v>13</v>
      </c>
      <c r="D524" s="318" t="s">
        <v>1236</v>
      </c>
      <c r="E524" s="318">
        <v>32143096</v>
      </c>
      <c r="F524" s="326" t="s">
        <v>1237</v>
      </c>
      <c r="G524" s="315" t="s">
        <v>1238</v>
      </c>
      <c r="H524" s="316">
        <v>32197873</v>
      </c>
      <c r="I524" s="316">
        <f>Table5[[#This Row],[ÁREA]]</f>
        <v>13</v>
      </c>
      <c r="J524" s="317" t="s">
        <v>1262</v>
      </c>
      <c r="K524" s="319" t="s">
        <v>1263</v>
      </c>
      <c r="L524" s="318">
        <v>14</v>
      </c>
      <c r="M524" s="317" t="s">
        <v>1236</v>
      </c>
      <c r="N524" s="312" t="s">
        <v>511</v>
      </c>
    </row>
    <row r="525" spans="2:14" ht="24.9" customHeight="1" x14ac:dyDescent="0.3">
      <c r="B525" s="351" t="s">
        <v>363</v>
      </c>
      <c r="C525" s="311">
        <v>13</v>
      </c>
      <c r="D525" s="318" t="s">
        <v>1264</v>
      </c>
      <c r="E525" s="318">
        <v>32060808</v>
      </c>
      <c r="F525" s="327" t="s">
        <v>1265</v>
      </c>
      <c r="G525" s="315" t="s">
        <v>366</v>
      </c>
      <c r="H525" s="316">
        <v>32199334</v>
      </c>
      <c r="I525" s="316">
        <v>13</v>
      </c>
      <c r="J525" s="317" t="s">
        <v>1266</v>
      </c>
      <c r="L525" s="318">
        <v>6</v>
      </c>
      <c r="M525" s="317" t="s">
        <v>1264</v>
      </c>
      <c r="N525" s="312" t="s">
        <v>47</v>
      </c>
    </row>
    <row r="526" spans="2:14" ht="24.9" customHeight="1" x14ac:dyDescent="0.3">
      <c r="B526" s="351" t="s">
        <v>363</v>
      </c>
      <c r="C526" s="311">
        <v>13</v>
      </c>
      <c r="D526" s="317" t="s">
        <v>1264</v>
      </c>
      <c r="E526" s="320">
        <v>32060808</v>
      </c>
      <c r="F526" s="324" t="s">
        <v>1265</v>
      </c>
      <c r="G526" s="331" t="s">
        <v>1267</v>
      </c>
      <c r="H526" s="316">
        <v>32043942</v>
      </c>
      <c r="I526" s="316">
        <f>Table5[[#This Row],[ÁREA]]</f>
        <v>13</v>
      </c>
      <c r="J526" s="317" t="s">
        <v>1268</v>
      </c>
      <c r="K526" s="319" t="s">
        <v>1269</v>
      </c>
      <c r="L526" s="318">
        <v>13</v>
      </c>
      <c r="M526" s="317" t="s">
        <v>1264</v>
      </c>
      <c r="N526" s="312" t="s">
        <v>47</v>
      </c>
    </row>
    <row r="527" spans="2:14" ht="24.9" customHeight="1" x14ac:dyDescent="0.3">
      <c r="B527" s="311" t="s">
        <v>363</v>
      </c>
      <c r="C527" s="311">
        <v>13</v>
      </c>
      <c r="D527" s="317" t="s">
        <v>1264</v>
      </c>
      <c r="E527" s="340">
        <v>32060808</v>
      </c>
      <c r="F527" s="343" t="s">
        <v>1265</v>
      </c>
      <c r="G527" s="315" t="s">
        <v>1267</v>
      </c>
      <c r="H527" s="316">
        <v>32044067</v>
      </c>
      <c r="I527" s="316">
        <f>Table5[[#This Row],[ÁREA]]</f>
        <v>13</v>
      </c>
      <c r="J527" s="317" t="s">
        <v>1270</v>
      </c>
      <c r="K527" s="319" t="s">
        <v>1271</v>
      </c>
      <c r="L527" s="318">
        <v>13</v>
      </c>
      <c r="M527" s="317" t="s">
        <v>1264</v>
      </c>
      <c r="N527" s="355" t="s">
        <v>38</v>
      </c>
    </row>
    <row r="528" spans="2:14" ht="24.9" customHeight="1" x14ac:dyDescent="0.3">
      <c r="B528" s="351" t="s">
        <v>363</v>
      </c>
      <c r="C528" s="311">
        <v>13</v>
      </c>
      <c r="D528" s="317" t="s">
        <v>1264</v>
      </c>
      <c r="E528" s="320">
        <v>32060808</v>
      </c>
      <c r="F528" s="324" t="s">
        <v>1265</v>
      </c>
      <c r="G528" s="334" t="s">
        <v>1267</v>
      </c>
      <c r="H528" s="316">
        <v>32044682</v>
      </c>
      <c r="I528" s="316">
        <f>Table5[[#This Row],[ÁREA]]</f>
        <v>13</v>
      </c>
      <c r="J528" s="317" t="s">
        <v>1272</v>
      </c>
      <c r="K528" s="319" t="s">
        <v>1273</v>
      </c>
      <c r="L528" s="318">
        <v>13</v>
      </c>
      <c r="M528" s="317" t="s">
        <v>1264</v>
      </c>
      <c r="N528" s="312" t="s">
        <v>38</v>
      </c>
    </row>
    <row r="529" spans="2:14" ht="24.9" customHeight="1" x14ac:dyDescent="0.3">
      <c r="B529" s="351" t="s">
        <v>363</v>
      </c>
      <c r="C529" s="352">
        <v>13</v>
      </c>
      <c r="D529" s="317" t="s">
        <v>1264</v>
      </c>
      <c r="E529" s="318">
        <v>32060808</v>
      </c>
      <c r="F529" s="356" t="s">
        <v>1265</v>
      </c>
      <c r="G529" s="315" t="s">
        <v>1267</v>
      </c>
      <c r="H529" s="353">
        <v>32045180</v>
      </c>
      <c r="I529" s="353">
        <f>Table5[[#This Row],[ÁREA]]</f>
        <v>13</v>
      </c>
      <c r="J529" s="338" t="s">
        <v>1274</v>
      </c>
      <c r="K529" s="331" t="s">
        <v>1275</v>
      </c>
      <c r="L529" s="318">
        <v>13</v>
      </c>
      <c r="M529" s="338" t="s">
        <v>1264</v>
      </c>
      <c r="N529" s="355" t="s">
        <v>35</v>
      </c>
    </row>
    <row r="530" spans="2:14" ht="24.9" customHeight="1" x14ac:dyDescent="0.3">
      <c r="B530" s="351" t="s">
        <v>363</v>
      </c>
      <c r="C530" s="311">
        <v>13</v>
      </c>
      <c r="D530" s="317" t="s">
        <v>1264</v>
      </c>
      <c r="E530" s="320">
        <v>32060808</v>
      </c>
      <c r="F530" s="324" t="s">
        <v>1265</v>
      </c>
      <c r="G530" s="315" t="s">
        <v>1267</v>
      </c>
      <c r="H530" s="316">
        <v>32045538</v>
      </c>
      <c r="I530" s="316">
        <f>Table5[[#This Row],[ÁREA]]</f>
        <v>13</v>
      </c>
      <c r="J530" s="317" t="s">
        <v>1276</v>
      </c>
      <c r="K530" s="319" t="s">
        <v>1277</v>
      </c>
      <c r="L530" s="318">
        <v>13</v>
      </c>
      <c r="M530" s="317" t="s">
        <v>1264</v>
      </c>
      <c r="N530" s="312" t="s">
        <v>44</v>
      </c>
    </row>
    <row r="531" spans="2:14" ht="24.9" customHeight="1" x14ac:dyDescent="0.3">
      <c r="B531" s="351" t="s">
        <v>363</v>
      </c>
      <c r="C531" s="311">
        <v>13</v>
      </c>
      <c r="D531" s="317" t="s">
        <v>1264</v>
      </c>
      <c r="E531" s="318">
        <v>32060808</v>
      </c>
      <c r="F531" s="326" t="s">
        <v>1265</v>
      </c>
      <c r="G531" s="315" t="s">
        <v>1267</v>
      </c>
      <c r="H531" s="316">
        <v>32046268</v>
      </c>
      <c r="I531" s="316">
        <f>Table5[[#This Row],[ÁREA]]</f>
        <v>13</v>
      </c>
      <c r="J531" s="317" t="s">
        <v>1278</v>
      </c>
      <c r="K531" s="319" t="s">
        <v>1279</v>
      </c>
      <c r="L531" s="318">
        <v>13</v>
      </c>
      <c r="M531" s="317" t="s">
        <v>1264</v>
      </c>
      <c r="N531" s="312" t="s">
        <v>179</v>
      </c>
    </row>
    <row r="532" spans="2:14" ht="24.9" customHeight="1" x14ac:dyDescent="0.3">
      <c r="B532" s="351" t="s">
        <v>363</v>
      </c>
      <c r="C532" s="311">
        <v>13</v>
      </c>
      <c r="D532" s="317" t="s">
        <v>1264</v>
      </c>
      <c r="E532" s="318">
        <v>32060808</v>
      </c>
      <c r="F532" s="326" t="s">
        <v>1265</v>
      </c>
      <c r="G532" s="315" t="s">
        <v>1267</v>
      </c>
      <c r="H532" s="316">
        <v>32136709</v>
      </c>
      <c r="I532" s="316">
        <f>Table5[[#This Row],[ÁREA]]</f>
        <v>13</v>
      </c>
      <c r="J532" s="317" t="s">
        <v>1280</v>
      </c>
      <c r="K532" s="315" t="s">
        <v>1281</v>
      </c>
      <c r="L532" s="318">
        <v>13</v>
      </c>
      <c r="M532" s="317" t="s">
        <v>1264</v>
      </c>
      <c r="N532" s="312" t="s">
        <v>44</v>
      </c>
    </row>
    <row r="533" spans="2:14" ht="24.9" customHeight="1" x14ac:dyDescent="0.3">
      <c r="B533" s="351" t="s">
        <v>363</v>
      </c>
      <c r="C533" s="311">
        <v>13</v>
      </c>
      <c r="D533" s="317" t="s">
        <v>1264</v>
      </c>
      <c r="E533" s="320">
        <v>32060808</v>
      </c>
      <c r="F533" s="324" t="s">
        <v>1265</v>
      </c>
      <c r="G533" s="315" t="s">
        <v>1267</v>
      </c>
      <c r="H533" s="316">
        <v>32138052</v>
      </c>
      <c r="I533" s="316">
        <f>Table5[[#This Row],[ÁREA]]</f>
        <v>13</v>
      </c>
      <c r="J533" s="317" t="s">
        <v>1282</v>
      </c>
      <c r="K533" s="319" t="s">
        <v>1283</v>
      </c>
      <c r="L533" s="318">
        <v>13</v>
      </c>
      <c r="M533" s="317" t="s">
        <v>1264</v>
      </c>
      <c r="N533" s="312" t="s">
        <v>47</v>
      </c>
    </row>
    <row r="534" spans="2:14" ht="24.9" customHeight="1" x14ac:dyDescent="0.3">
      <c r="B534" s="351" t="s">
        <v>363</v>
      </c>
      <c r="C534" s="311">
        <v>13</v>
      </c>
      <c r="D534" s="317" t="s">
        <v>1264</v>
      </c>
      <c r="E534" s="318">
        <v>32060808</v>
      </c>
      <c r="F534" s="326" t="s">
        <v>1265</v>
      </c>
      <c r="G534" s="315" t="s">
        <v>1267</v>
      </c>
      <c r="H534" s="316">
        <v>32140577</v>
      </c>
      <c r="I534" s="316">
        <f>Table5[[#This Row],[ÁREA]]</f>
        <v>13</v>
      </c>
      <c r="J534" s="317" t="s">
        <v>1284</v>
      </c>
      <c r="K534" s="315" t="s">
        <v>1285</v>
      </c>
      <c r="L534" s="318">
        <v>13</v>
      </c>
      <c r="M534" s="317" t="s">
        <v>1264</v>
      </c>
      <c r="N534" s="312" t="s">
        <v>41</v>
      </c>
    </row>
    <row r="535" spans="2:14" ht="24.9" customHeight="1" x14ac:dyDescent="0.3">
      <c r="B535" s="351" t="s">
        <v>363</v>
      </c>
      <c r="C535" s="311">
        <v>13</v>
      </c>
      <c r="D535" s="317" t="s">
        <v>1264</v>
      </c>
      <c r="E535" s="320">
        <v>32060808</v>
      </c>
      <c r="F535" s="324" t="s">
        <v>1265</v>
      </c>
      <c r="G535" s="315" t="s">
        <v>1267</v>
      </c>
      <c r="H535" s="316">
        <v>32198229</v>
      </c>
      <c r="I535" s="316">
        <f>Table5[[#This Row],[ÁREA]]</f>
        <v>13</v>
      </c>
      <c r="J535" s="317" t="s">
        <v>1286</v>
      </c>
      <c r="L535" s="318">
        <v>13</v>
      </c>
      <c r="M535" s="317" t="s">
        <v>1264</v>
      </c>
      <c r="N535" s="312" t="s">
        <v>179</v>
      </c>
    </row>
    <row r="536" spans="2:14" ht="24.9" customHeight="1" x14ac:dyDescent="0.3">
      <c r="B536" s="351" t="s">
        <v>363</v>
      </c>
      <c r="C536" s="311">
        <v>13</v>
      </c>
      <c r="D536" s="317" t="s">
        <v>1264</v>
      </c>
      <c r="E536" s="320">
        <v>32060808</v>
      </c>
      <c r="F536" s="324" t="s">
        <v>1265</v>
      </c>
      <c r="G536" s="325" t="s">
        <v>1267</v>
      </c>
      <c r="H536" s="316">
        <v>32142965</v>
      </c>
      <c r="I536" s="316">
        <f>Table5[[#This Row],[ÁREA]]</f>
        <v>13</v>
      </c>
      <c r="J536" s="317" t="s">
        <v>1287</v>
      </c>
      <c r="K536" s="319" t="s">
        <v>1288</v>
      </c>
      <c r="L536" s="318">
        <v>13</v>
      </c>
      <c r="M536" s="317" t="s">
        <v>1264</v>
      </c>
      <c r="N536" s="312" t="s">
        <v>35</v>
      </c>
    </row>
    <row r="537" spans="2:14" ht="24.9" customHeight="1" x14ac:dyDescent="0.3">
      <c r="B537" s="351" t="s">
        <v>363</v>
      </c>
      <c r="C537" s="311">
        <v>13</v>
      </c>
      <c r="D537" s="317" t="s">
        <v>1264</v>
      </c>
      <c r="E537" s="318">
        <v>32060808</v>
      </c>
      <c r="F537" s="326" t="s">
        <v>1265</v>
      </c>
      <c r="G537" s="315" t="s">
        <v>1267</v>
      </c>
      <c r="H537" s="316">
        <v>32142975</v>
      </c>
      <c r="I537" s="316">
        <f>Table5[[#This Row],[ÁREA]]</f>
        <v>13</v>
      </c>
      <c r="J537" s="317" t="s">
        <v>1289</v>
      </c>
      <c r="K537" s="322" t="s">
        <v>1290</v>
      </c>
      <c r="L537" s="318">
        <v>13</v>
      </c>
      <c r="M537" s="317" t="s">
        <v>1264</v>
      </c>
      <c r="N537" s="312" t="s">
        <v>35</v>
      </c>
    </row>
    <row r="538" spans="2:14" ht="24.9" customHeight="1" x14ac:dyDescent="0.3">
      <c r="B538" s="351" t="s">
        <v>363</v>
      </c>
      <c r="C538" s="311">
        <v>13</v>
      </c>
      <c r="D538" s="318" t="s">
        <v>1291</v>
      </c>
      <c r="E538" s="318">
        <v>32046695</v>
      </c>
      <c r="F538" s="326" t="s">
        <v>1292</v>
      </c>
      <c r="G538" s="315" t="s">
        <v>1293</v>
      </c>
      <c r="H538" s="316">
        <v>32045021</v>
      </c>
      <c r="I538" s="316">
        <f>Table5[[#This Row],[ÁREA]]</f>
        <v>13</v>
      </c>
      <c r="J538" s="317" t="s">
        <v>1294</v>
      </c>
      <c r="K538" s="319" t="s">
        <v>1295</v>
      </c>
      <c r="L538" s="318">
        <v>14</v>
      </c>
      <c r="M538" s="317" t="s">
        <v>1291</v>
      </c>
      <c r="N538" s="312" t="s">
        <v>711</v>
      </c>
    </row>
    <row r="539" spans="2:14" ht="24.9" customHeight="1" x14ac:dyDescent="0.3">
      <c r="B539" s="351" t="s">
        <v>363</v>
      </c>
      <c r="C539" s="311">
        <v>13</v>
      </c>
      <c r="D539" s="318" t="s">
        <v>1291</v>
      </c>
      <c r="E539" s="318">
        <v>32046695</v>
      </c>
      <c r="F539" s="326" t="s">
        <v>1292</v>
      </c>
      <c r="G539" s="315" t="s">
        <v>1293</v>
      </c>
      <c r="H539" s="316">
        <v>32045059</v>
      </c>
      <c r="I539" s="316">
        <f>Table5[[#This Row],[ÁREA]]</f>
        <v>13</v>
      </c>
      <c r="J539" s="317" t="s">
        <v>1296</v>
      </c>
      <c r="K539" s="319" t="s">
        <v>1297</v>
      </c>
      <c r="L539" s="318">
        <v>14</v>
      </c>
      <c r="M539" s="317" t="s">
        <v>1291</v>
      </c>
      <c r="N539" s="312" t="s">
        <v>564</v>
      </c>
    </row>
    <row r="540" spans="2:14" ht="24.9" customHeight="1" x14ac:dyDescent="0.3">
      <c r="B540" s="351" t="s">
        <v>363</v>
      </c>
      <c r="C540" s="311">
        <v>13</v>
      </c>
      <c r="D540" s="318" t="s">
        <v>1291</v>
      </c>
      <c r="E540" s="320">
        <v>32046695</v>
      </c>
      <c r="F540" s="324" t="s">
        <v>1292</v>
      </c>
      <c r="G540" s="315" t="s">
        <v>1293</v>
      </c>
      <c r="H540" s="316">
        <v>32045060</v>
      </c>
      <c r="I540" s="316">
        <f>Table5[[#This Row],[ÁREA]]</f>
        <v>13</v>
      </c>
      <c r="J540" s="317" t="s">
        <v>1298</v>
      </c>
      <c r="K540" s="315" t="s">
        <v>1299</v>
      </c>
      <c r="L540" s="318">
        <v>14</v>
      </c>
      <c r="M540" s="317" t="s">
        <v>1291</v>
      </c>
      <c r="N540" s="312" t="s">
        <v>1300</v>
      </c>
    </row>
    <row r="541" spans="2:14" ht="24.9" customHeight="1" x14ac:dyDescent="0.3">
      <c r="B541" s="351" t="s">
        <v>363</v>
      </c>
      <c r="C541" s="311">
        <v>13</v>
      </c>
      <c r="D541" s="318" t="s">
        <v>1291</v>
      </c>
      <c r="E541" s="318">
        <v>32046695</v>
      </c>
      <c r="F541" s="326" t="s">
        <v>1292</v>
      </c>
      <c r="G541" s="315" t="s">
        <v>1293</v>
      </c>
      <c r="H541" s="316">
        <v>32045364</v>
      </c>
      <c r="I541" s="316">
        <f>Table5[[#This Row],[ÁREA]]</f>
        <v>13</v>
      </c>
      <c r="J541" s="317" t="s">
        <v>1301</v>
      </c>
      <c r="K541" s="328" t="s">
        <v>61</v>
      </c>
      <c r="L541" s="318">
        <v>14</v>
      </c>
      <c r="M541" s="317" t="s">
        <v>1291</v>
      </c>
      <c r="N541" s="312" t="s">
        <v>525</v>
      </c>
    </row>
    <row r="542" spans="2:14" ht="24.9" customHeight="1" x14ac:dyDescent="0.3">
      <c r="B542" s="351" t="s">
        <v>363</v>
      </c>
      <c r="C542" s="311">
        <v>13</v>
      </c>
      <c r="D542" s="318" t="s">
        <v>1291</v>
      </c>
      <c r="E542" s="313">
        <v>32046695</v>
      </c>
      <c r="F542" s="323" t="s">
        <v>1292</v>
      </c>
      <c r="G542" s="315" t="s">
        <v>1293</v>
      </c>
      <c r="H542" s="316">
        <v>32045585</v>
      </c>
      <c r="I542" s="316">
        <f>Table5[[#This Row],[ÁREA]]</f>
        <v>13</v>
      </c>
      <c r="J542" s="317" t="s">
        <v>1302</v>
      </c>
      <c r="K542" s="315" t="s">
        <v>1303</v>
      </c>
      <c r="L542" s="318">
        <v>14</v>
      </c>
      <c r="M542" s="317" t="s">
        <v>1291</v>
      </c>
      <c r="N542" s="312" t="s">
        <v>651</v>
      </c>
    </row>
    <row r="543" spans="2:14" ht="24.9" customHeight="1" x14ac:dyDescent="0.3">
      <c r="B543" s="351" t="s">
        <v>363</v>
      </c>
      <c r="C543" s="311">
        <v>13</v>
      </c>
      <c r="D543" s="318" t="s">
        <v>1291</v>
      </c>
      <c r="E543" s="313">
        <v>32046695</v>
      </c>
      <c r="F543" s="323" t="s">
        <v>1292</v>
      </c>
      <c r="G543" s="331" t="s">
        <v>1293</v>
      </c>
      <c r="H543" s="316">
        <v>32046006</v>
      </c>
      <c r="I543" s="316">
        <f>Table5[[#This Row],[ÁREA]]</f>
        <v>13</v>
      </c>
      <c r="J543" s="317" t="s">
        <v>1304</v>
      </c>
      <c r="K543" s="319" t="s">
        <v>1305</v>
      </c>
      <c r="L543" s="318">
        <v>14</v>
      </c>
      <c r="M543" s="317" t="s">
        <v>1291</v>
      </c>
      <c r="N543" s="312" t="s">
        <v>470</v>
      </c>
    </row>
    <row r="544" spans="2:14" ht="24.9" customHeight="1" x14ac:dyDescent="0.3">
      <c r="B544" s="351" t="s">
        <v>363</v>
      </c>
      <c r="C544" s="311">
        <v>13</v>
      </c>
      <c r="D544" s="318" t="s">
        <v>1291</v>
      </c>
      <c r="E544" s="313">
        <v>32046695</v>
      </c>
      <c r="F544" s="323" t="s">
        <v>1292</v>
      </c>
      <c r="G544" s="315" t="s">
        <v>1293</v>
      </c>
      <c r="H544" s="316">
        <v>32046316</v>
      </c>
      <c r="I544" s="316">
        <f>Table5[[#This Row],[ÁREA]]</f>
        <v>13</v>
      </c>
      <c r="J544" s="317" t="s">
        <v>1306</v>
      </c>
      <c r="K544" s="319" t="s">
        <v>1307</v>
      </c>
      <c r="L544" s="318">
        <v>14</v>
      </c>
      <c r="M544" s="317" t="s">
        <v>1291</v>
      </c>
      <c r="N544" s="312" t="s">
        <v>719</v>
      </c>
    </row>
    <row r="545" spans="2:14" ht="24.9" customHeight="1" x14ac:dyDescent="0.3">
      <c r="B545" s="351" t="s">
        <v>363</v>
      </c>
      <c r="C545" s="311">
        <v>13</v>
      </c>
      <c r="D545" s="318" t="s">
        <v>1291</v>
      </c>
      <c r="E545" s="340">
        <v>32046695</v>
      </c>
      <c r="F545" s="365" t="s">
        <v>1292</v>
      </c>
      <c r="G545" s="348" t="s">
        <v>1293</v>
      </c>
      <c r="H545" s="316">
        <v>32061304</v>
      </c>
      <c r="I545" s="316">
        <f>Table5[[#This Row],[ÁREA]]</f>
        <v>13</v>
      </c>
      <c r="J545" s="317" t="s">
        <v>1308</v>
      </c>
      <c r="K545" s="322" t="s">
        <v>1309</v>
      </c>
      <c r="L545" s="318">
        <v>14</v>
      </c>
      <c r="M545" s="317" t="s">
        <v>1291</v>
      </c>
      <c r="N545" s="312" t="s">
        <v>1069</v>
      </c>
    </row>
    <row r="546" spans="2:14" ht="24.9" customHeight="1" x14ac:dyDescent="0.3">
      <c r="B546" s="351" t="s">
        <v>363</v>
      </c>
      <c r="C546" s="311">
        <v>13</v>
      </c>
      <c r="D546" s="318" t="s">
        <v>1291</v>
      </c>
      <c r="E546" s="340">
        <v>32046695</v>
      </c>
      <c r="F546" s="365" t="s">
        <v>1292</v>
      </c>
      <c r="G546" s="348" t="s">
        <v>1293</v>
      </c>
      <c r="H546" s="316">
        <v>32108864</v>
      </c>
      <c r="I546" s="316">
        <f>Table5[[#This Row],[ÁREA]]</f>
        <v>13</v>
      </c>
      <c r="J546" s="317" t="s">
        <v>1310</v>
      </c>
      <c r="K546" s="331" t="s">
        <v>1311</v>
      </c>
      <c r="L546" s="318">
        <v>14</v>
      </c>
      <c r="M546" s="317" t="s">
        <v>1291</v>
      </c>
      <c r="N546" s="312" t="s">
        <v>705</v>
      </c>
    </row>
    <row r="547" spans="2:14" ht="24.9" customHeight="1" x14ac:dyDescent="0.3">
      <c r="B547" s="351" t="s">
        <v>363</v>
      </c>
      <c r="C547" s="311">
        <v>13</v>
      </c>
      <c r="D547" s="318" t="s">
        <v>1291</v>
      </c>
      <c r="E547" s="340">
        <v>32046695</v>
      </c>
      <c r="F547" s="365" t="s">
        <v>1292</v>
      </c>
      <c r="G547" s="348" t="s">
        <v>1293</v>
      </c>
      <c r="H547" s="316">
        <v>32142988</v>
      </c>
      <c r="I547" s="316">
        <f>Table5[[#This Row],[ÁREA]]</f>
        <v>13</v>
      </c>
      <c r="J547" s="317" t="s">
        <v>1312</v>
      </c>
      <c r="K547" s="331" t="s">
        <v>1313</v>
      </c>
      <c r="L547" s="318">
        <v>14</v>
      </c>
      <c r="M547" s="317" t="s">
        <v>1291</v>
      </c>
      <c r="N547" s="312" t="s">
        <v>456</v>
      </c>
    </row>
    <row r="548" spans="2:14" ht="24.9" customHeight="1" x14ac:dyDescent="0.3">
      <c r="B548" s="351" t="s">
        <v>363</v>
      </c>
      <c r="C548" s="311">
        <v>13</v>
      </c>
      <c r="D548" s="318" t="s">
        <v>1291</v>
      </c>
      <c r="E548" s="340">
        <v>32046695</v>
      </c>
      <c r="F548" s="365" t="s">
        <v>1292</v>
      </c>
      <c r="G548" s="348" t="s">
        <v>1293</v>
      </c>
      <c r="H548" s="316">
        <v>32148864</v>
      </c>
      <c r="I548" s="316">
        <f>Table5[[#This Row],[ÁREA]]</f>
        <v>13</v>
      </c>
      <c r="J548" s="317" t="s">
        <v>1314</v>
      </c>
      <c r="K548" s="331" t="s">
        <v>1315</v>
      </c>
      <c r="L548" s="318">
        <v>14</v>
      </c>
      <c r="M548" s="317" t="s">
        <v>1291</v>
      </c>
      <c r="N548" s="312" t="s">
        <v>453</v>
      </c>
    </row>
    <row r="549" spans="2:14" ht="24.9" customHeight="1" x14ac:dyDescent="0.3">
      <c r="B549" s="351" t="s">
        <v>363</v>
      </c>
      <c r="C549" s="311">
        <v>13</v>
      </c>
      <c r="D549" s="318" t="s">
        <v>1291</v>
      </c>
      <c r="E549" s="357">
        <v>32046695</v>
      </c>
      <c r="F549" s="333" t="s">
        <v>1292</v>
      </c>
      <c r="G549" s="315" t="s">
        <v>1293</v>
      </c>
      <c r="H549" s="316">
        <v>32149074</v>
      </c>
      <c r="I549" s="316">
        <f>Table5[[#This Row],[ÁREA]]</f>
        <v>13</v>
      </c>
      <c r="J549" s="317" t="s">
        <v>1316</v>
      </c>
      <c r="K549" s="319" t="s">
        <v>1317</v>
      </c>
      <c r="L549" s="318">
        <v>14</v>
      </c>
      <c r="M549" s="317" t="s">
        <v>1291</v>
      </c>
      <c r="N549" s="312" t="s">
        <v>464</v>
      </c>
    </row>
    <row r="550" spans="2:14" ht="24.9" customHeight="1" x14ac:dyDescent="0.3">
      <c r="B550" s="351" t="s">
        <v>363</v>
      </c>
      <c r="C550" s="311">
        <v>13</v>
      </c>
      <c r="D550" s="318" t="s">
        <v>1291</v>
      </c>
      <c r="E550" s="357">
        <v>32046695</v>
      </c>
      <c r="F550" s="333" t="s">
        <v>1292</v>
      </c>
      <c r="G550" s="315" t="s">
        <v>1293</v>
      </c>
      <c r="H550" s="316">
        <v>32153534</v>
      </c>
      <c r="I550" s="316">
        <f>Table5[[#This Row],[ÁREA]]</f>
        <v>13</v>
      </c>
      <c r="J550" s="317" t="s">
        <v>1318</v>
      </c>
      <c r="K550" s="319" t="s">
        <v>1319</v>
      </c>
      <c r="L550" s="318">
        <v>14</v>
      </c>
      <c r="M550" s="317" t="s">
        <v>1291</v>
      </c>
      <c r="N550" s="312" t="s">
        <v>779</v>
      </c>
    </row>
    <row r="551" spans="2:14" ht="24.9" customHeight="1" x14ac:dyDescent="0.3">
      <c r="B551" s="351" t="s">
        <v>363</v>
      </c>
      <c r="C551" s="311">
        <v>14</v>
      </c>
      <c r="D551" s="318" t="s">
        <v>1320</v>
      </c>
      <c r="E551" s="357">
        <v>32046695</v>
      </c>
      <c r="F551" s="333" t="s">
        <v>1292</v>
      </c>
      <c r="G551" s="315" t="s">
        <v>1293</v>
      </c>
      <c r="H551" s="316">
        <v>32202290</v>
      </c>
      <c r="I551" s="316">
        <f>Table5[[#This Row],[ÁREA]]</f>
        <v>14</v>
      </c>
      <c r="J551" s="317" t="s">
        <v>1321</v>
      </c>
      <c r="K551" s="319" t="s">
        <v>1322</v>
      </c>
      <c r="L551" s="318">
        <v>12</v>
      </c>
      <c r="M551" s="317" t="s">
        <v>1320</v>
      </c>
      <c r="N551" s="312" t="s">
        <v>464</v>
      </c>
    </row>
    <row r="552" spans="2:14" ht="24.9" customHeight="1" x14ac:dyDescent="0.3">
      <c r="B552" s="351" t="s">
        <v>363</v>
      </c>
      <c r="C552" s="311">
        <v>14</v>
      </c>
      <c r="D552" s="318" t="s">
        <v>1320</v>
      </c>
      <c r="E552" s="320">
        <v>32046695</v>
      </c>
      <c r="F552" s="333" t="s">
        <v>1292</v>
      </c>
      <c r="G552" s="315" t="s">
        <v>1293</v>
      </c>
      <c r="H552" s="316">
        <v>32132234</v>
      </c>
      <c r="I552" s="316">
        <f>Table5[[#This Row],[ÁREA]]</f>
        <v>14</v>
      </c>
      <c r="J552" s="317" t="s">
        <v>1323</v>
      </c>
      <c r="K552" s="315" t="s">
        <v>1324</v>
      </c>
      <c r="L552" s="318">
        <v>12</v>
      </c>
      <c r="M552" s="317" t="s">
        <v>1320</v>
      </c>
      <c r="N552" s="312" t="s">
        <v>456</v>
      </c>
    </row>
    <row r="553" spans="2:14" ht="24.9" customHeight="1" x14ac:dyDescent="0.3">
      <c r="B553" s="311" t="s">
        <v>363</v>
      </c>
      <c r="C553" s="311">
        <v>14</v>
      </c>
      <c r="D553" s="318" t="s">
        <v>1320</v>
      </c>
      <c r="E553" s="340">
        <v>32046695</v>
      </c>
      <c r="F553" s="333" t="s">
        <v>1292</v>
      </c>
      <c r="G553" s="315" t="s">
        <v>1293</v>
      </c>
      <c r="H553" s="316">
        <v>32046080</v>
      </c>
      <c r="I553" s="316">
        <f>Table5[[#This Row],[ÁREA]]</f>
        <v>14</v>
      </c>
      <c r="J553" s="317" t="s">
        <v>1325</v>
      </c>
      <c r="K553" s="315" t="s">
        <v>1326</v>
      </c>
      <c r="L553" s="318">
        <v>12</v>
      </c>
      <c r="M553" s="317" t="s">
        <v>1320</v>
      </c>
      <c r="N553" s="312" t="s">
        <v>470</v>
      </c>
    </row>
    <row r="554" spans="2:14" ht="24.9" customHeight="1" x14ac:dyDescent="0.3">
      <c r="B554" s="351" t="s">
        <v>363</v>
      </c>
      <c r="C554" s="311">
        <v>14</v>
      </c>
      <c r="D554" s="318" t="s">
        <v>1320</v>
      </c>
      <c r="E554" s="318">
        <v>32046695</v>
      </c>
      <c r="F554" s="333" t="s">
        <v>1292</v>
      </c>
      <c r="G554" s="315" t="s">
        <v>1293</v>
      </c>
      <c r="H554" s="316">
        <v>32044865</v>
      </c>
      <c r="I554" s="316">
        <f>Table5[[#This Row],[ÁREA]]</f>
        <v>14</v>
      </c>
      <c r="J554" s="317" t="s">
        <v>1327</v>
      </c>
      <c r="K554" s="319" t="s">
        <v>1328</v>
      </c>
      <c r="L554" s="318">
        <v>12</v>
      </c>
      <c r="M554" s="317" t="s">
        <v>1320</v>
      </c>
      <c r="N554" s="312" t="s">
        <v>564</v>
      </c>
    </row>
    <row r="555" spans="2:14" ht="24.9" customHeight="1" x14ac:dyDescent="0.3">
      <c r="B555" s="351" t="s">
        <v>363</v>
      </c>
      <c r="C555" s="311">
        <v>14</v>
      </c>
      <c r="D555" s="318" t="s">
        <v>1320</v>
      </c>
      <c r="E555" s="318">
        <v>32046695</v>
      </c>
      <c r="F555" s="333" t="s">
        <v>1292</v>
      </c>
      <c r="G555" s="315" t="s">
        <v>1293</v>
      </c>
      <c r="H555" s="316">
        <v>32045206</v>
      </c>
      <c r="I555" s="316">
        <f>Table5[[#This Row],[ÁREA]]</f>
        <v>14</v>
      </c>
      <c r="J555" s="317" t="s">
        <v>1329</v>
      </c>
      <c r="K555" s="315" t="s">
        <v>1330</v>
      </c>
      <c r="L555" s="318">
        <v>12</v>
      </c>
      <c r="M555" s="317" t="s">
        <v>1320</v>
      </c>
      <c r="N555" s="312" t="s">
        <v>467</v>
      </c>
    </row>
    <row r="556" spans="2:14" ht="24.9" customHeight="1" x14ac:dyDescent="0.3">
      <c r="B556" s="351" t="s">
        <v>363</v>
      </c>
      <c r="C556" s="352">
        <v>14</v>
      </c>
      <c r="D556" s="318" t="s">
        <v>1320</v>
      </c>
      <c r="E556" s="313">
        <v>32046695</v>
      </c>
      <c r="F556" s="356" t="s">
        <v>1292</v>
      </c>
      <c r="G556" s="315" t="s">
        <v>1293</v>
      </c>
      <c r="H556" s="353">
        <v>32132046</v>
      </c>
      <c r="I556" s="353">
        <f>Table5[[#This Row],[ÁREA]]</f>
        <v>14</v>
      </c>
      <c r="J556" s="338" t="s">
        <v>1331</v>
      </c>
      <c r="K556" s="331" t="s">
        <v>1332</v>
      </c>
      <c r="L556" s="318">
        <v>12</v>
      </c>
      <c r="M556" s="338" t="s">
        <v>1320</v>
      </c>
      <c r="N556" s="355" t="s">
        <v>1300</v>
      </c>
    </row>
    <row r="557" spans="2:14" ht="24.9" customHeight="1" x14ac:dyDescent="0.3">
      <c r="B557" s="351" t="s">
        <v>363</v>
      </c>
      <c r="C557" s="352">
        <v>14</v>
      </c>
      <c r="D557" s="318" t="s">
        <v>1320</v>
      </c>
      <c r="E557" s="313">
        <v>32046695</v>
      </c>
      <c r="F557" s="356" t="s">
        <v>1292</v>
      </c>
      <c r="G557" s="315" t="s">
        <v>1293</v>
      </c>
      <c r="H557" s="353">
        <v>32045237</v>
      </c>
      <c r="I557" s="353">
        <f>Table5[[#This Row],[ÁREA]]</f>
        <v>14</v>
      </c>
      <c r="J557" s="338" t="s">
        <v>1333</v>
      </c>
      <c r="K557" s="331" t="s">
        <v>1334</v>
      </c>
      <c r="L557" s="318">
        <v>12</v>
      </c>
      <c r="M557" s="338" t="s">
        <v>1320</v>
      </c>
      <c r="N557" s="355" t="s">
        <v>651</v>
      </c>
    </row>
    <row r="558" spans="2:14" ht="24.9" customHeight="1" x14ac:dyDescent="0.3">
      <c r="B558" s="351" t="s">
        <v>363</v>
      </c>
      <c r="C558" s="352">
        <v>14</v>
      </c>
      <c r="D558" s="318" t="s">
        <v>1320</v>
      </c>
      <c r="E558" s="313">
        <v>32046695</v>
      </c>
      <c r="F558" s="356" t="s">
        <v>1292</v>
      </c>
      <c r="G558" s="315" t="s">
        <v>1293</v>
      </c>
      <c r="H558" s="353">
        <v>32046217</v>
      </c>
      <c r="I558" s="353">
        <f>Table5[[#This Row],[ÁREA]]</f>
        <v>14</v>
      </c>
      <c r="J558" s="338" t="s">
        <v>1335</v>
      </c>
      <c r="K558" s="331" t="s">
        <v>1336</v>
      </c>
      <c r="L558" s="318">
        <v>12</v>
      </c>
      <c r="M558" s="338" t="s">
        <v>1320</v>
      </c>
      <c r="N558" s="355" t="s">
        <v>719</v>
      </c>
    </row>
    <row r="559" spans="2:14" ht="24.9" customHeight="1" x14ac:dyDescent="0.3">
      <c r="B559" s="351" t="s">
        <v>363</v>
      </c>
      <c r="C559" s="352">
        <v>14</v>
      </c>
      <c r="D559" s="318" t="s">
        <v>1320</v>
      </c>
      <c r="E559" s="313">
        <v>32046695</v>
      </c>
      <c r="F559" s="356" t="s">
        <v>1292</v>
      </c>
      <c r="G559" s="315" t="s">
        <v>1293</v>
      </c>
      <c r="H559" s="353">
        <v>32044731</v>
      </c>
      <c r="I559" s="353">
        <f>Table5[[#This Row],[ÁREA]]</f>
        <v>14</v>
      </c>
      <c r="J559" s="338" t="s">
        <v>1337</v>
      </c>
      <c r="K559" s="331" t="s">
        <v>1338</v>
      </c>
      <c r="L559" s="318">
        <v>12</v>
      </c>
      <c r="M559" s="338" t="s">
        <v>1320</v>
      </c>
      <c r="N559" s="355" t="s">
        <v>973</v>
      </c>
    </row>
    <row r="560" spans="2:14" ht="24.9" customHeight="1" x14ac:dyDescent="0.3">
      <c r="B560" s="366" t="s">
        <v>363</v>
      </c>
      <c r="C560" s="367">
        <v>14</v>
      </c>
      <c r="D560" s="357" t="s">
        <v>1320</v>
      </c>
      <c r="E560" s="368">
        <v>32046695</v>
      </c>
      <c r="F560" s="369" t="s">
        <v>1292</v>
      </c>
      <c r="G560" s="325" t="s">
        <v>1293</v>
      </c>
      <c r="H560" s="362">
        <v>32044729</v>
      </c>
      <c r="I560" s="362">
        <f>Table5[[#This Row],[ÁREA]]</f>
        <v>14</v>
      </c>
      <c r="J560" s="370" t="s">
        <v>1339</v>
      </c>
      <c r="K560" s="319" t="s">
        <v>1340</v>
      </c>
      <c r="L560" s="357">
        <v>12</v>
      </c>
      <c r="M560" s="370" t="s">
        <v>1320</v>
      </c>
      <c r="N560" s="371" t="s">
        <v>447</v>
      </c>
    </row>
    <row r="561" spans="2:14" ht="24.9" customHeight="1" x14ac:dyDescent="0.3">
      <c r="B561" s="311" t="s">
        <v>363</v>
      </c>
      <c r="C561" s="311">
        <v>14</v>
      </c>
      <c r="D561" s="318" t="s">
        <v>1320</v>
      </c>
      <c r="E561" s="340">
        <v>32046695</v>
      </c>
      <c r="F561" s="343" t="s">
        <v>1292</v>
      </c>
      <c r="G561" s="315" t="s">
        <v>1293</v>
      </c>
      <c r="H561" s="316">
        <v>32044915</v>
      </c>
      <c r="I561" s="316">
        <f>Table5[[#This Row],[ÁREA]]</f>
        <v>14</v>
      </c>
      <c r="J561" s="317" t="s">
        <v>1341</v>
      </c>
      <c r="K561" s="319" t="s">
        <v>1342</v>
      </c>
      <c r="L561" s="318">
        <v>12</v>
      </c>
      <c r="M561" s="317" t="s">
        <v>1320</v>
      </c>
      <c r="N561" s="312" t="s">
        <v>1069</v>
      </c>
    </row>
    <row r="562" spans="2:14" ht="24.9" customHeight="1" x14ac:dyDescent="0.3">
      <c r="B562" s="351" t="s">
        <v>363</v>
      </c>
      <c r="C562" s="311">
        <v>14</v>
      </c>
      <c r="D562" s="372" t="s">
        <v>1343</v>
      </c>
      <c r="E562" s="313">
        <v>32060808</v>
      </c>
      <c r="F562" s="323" t="s">
        <v>1265</v>
      </c>
      <c r="G562" s="334" t="s">
        <v>1267</v>
      </c>
      <c r="H562" s="316">
        <v>32136509</v>
      </c>
      <c r="I562" s="316">
        <f>Table5[[#This Row],[ÁREA]]</f>
        <v>14</v>
      </c>
      <c r="J562" s="317" t="s">
        <v>1344</v>
      </c>
      <c r="K562" s="315" t="s">
        <v>1345</v>
      </c>
      <c r="L562" s="318">
        <v>12</v>
      </c>
      <c r="M562" s="317" t="s">
        <v>1343</v>
      </c>
      <c r="N562" s="312" t="s">
        <v>369</v>
      </c>
    </row>
    <row r="563" spans="2:14" ht="24.9" customHeight="1" x14ac:dyDescent="0.3">
      <c r="B563" s="351" t="s">
        <v>363</v>
      </c>
      <c r="C563" s="311">
        <v>14</v>
      </c>
      <c r="D563" s="372" t="s">
        <v>1343</v>
      </c>
      <c r="E563" s="320">
        <v>32060808</v>
      </c>
      <c r="F563" s="324" t="s">
        <v>1265</v>
      </c>
      <c r="G563" s="315" t="s">
        <v>1267</v>
      </c>
      <c r="H563" s="316">
        <v>32131879</v>
      </c>
      <c r="I563" s="316">
        <f>Table5[[#This Row],[ÁREA]]</f>
        <v>14</v>
      </c>
      <c r="J563" s="317" t="s">
        <v>1346</v>
      </c>
      <c r="K563" s="315" t="s">
        <v>1347</v>
      </c>
      <c r="L563" s="318">
        <v>12</v>
      </c>
      <c r="M563" s="317" t="s">
        <v>1343</v>
      </c>
      <c r="N563" s="312" t="s">
        <v>1348</v>
      </c>
    </row>
    <row r="564" spans="2:14" ht="24.9" customHeight="1" x14ac:dyDescent="0.3">
      <c r="B564" s="351" t="s">
        <v>363</v>
      </c>
      <c r="C564" s="311">
        <v>14</v>
      </c>
      <c r="D564" s="372" t="s">
        <v>1343</v>
      </c>
      <c r="E564" s="313">
        <v>32060808</v>
      </c>
      <c r="F564" s="323" t="s">
        <v>1265</v>
      </c>
      <c r="G564" s="315" t="s">
        <v>1267</v>
      </c>
      <c r="H564" s="316">
        <v>32045523</v>
      </c>
      <c r="I564" s="316">
        <f>Table5[[#This Row],[ÁREA]]</f>
        <v>14</v>
      </c>
      <c r="J564" s="317" t="s">
        <v>1349</v>
      </c>
      <c r="K564" s="319" t="s">
        <v>1350</v>
      </c>
      <c r="L564" s="318">
        <v>12</v>
      </c>
      <c r="M564" s="317" t="s">
        <v>1343</v>
      </c>
      <c r="N564" s="312" t="s">
        <v>375</v>
      </c>
    </row>
    <row r="565" spans="2:14" ht="24.9" customHeight="1" x14ac:dyDescent="0.3">
      <c r="B565" s="351" t="s">
        <v>363</v>
      </c>
      <c r="C565" s="311">
        <v>14</v>
      </c>
      <c r="D565" s="372" t="s">
        <v>1343</v>
      </c>
      <c r="E565" s="313">
        <v>32060808</v>
      </c>
      <c r="F565" s="323" t="s">
        <v>1265</v>
      </c>
      <c r="G565" s="315" t="s">
        <v>1267</v>
      </c>
      <c r="H565" s="316">
        <v>32187990</v>
      </c>
      <c r="I565" s="316">
        <f>Table5[[#This Row],[ÁREA]]</f>
        <v>14</v>
      </c>
      <c r="J565" s="317" t="s">
        <v>1351</v>
      </c>
      <c r="K565" s="319" t="s">
        <v>1352</v>
      </c>
      <c r="L565" s="318">
        <v>12</v>
      </c>
      <c r="M565" s="317" t="s">
        <v>1343</v>
      </c>
      <c r="N565" s="312" t="s">
        <v>375</v>
      </c>
    </row>
    <row r="566" spans="2:14" ht="24.9" customHeight="1" x14ac:dyDescent="0.3">
      <c r="B566" s="311" t="s">
        <v>363</v>
      </c>
      <c r="C566" s="311">
        <v>14</v>
      </c>
      <c r="D566" s="317" t="s">
        <v>1343</v>
      </c>
      <c r="E566" s="320">
        <v>32060808</v>
      </c>
      <c r="F566" s="324" t="s">
        <v>1265</v>
      </c>
      <c r="G566" s="315" t="s">
        <v>1267</v>
      </c>
      <c r="H566" s="316">
        <v>32044961</v>
      </c>
      <c r="I566" s="316">
        <f>Table5[[#This Row],[ÁREA]]</f>
        <v>14</v>
      </c>
      <c r="J566" s="317" t="s">
        <v>1353</v>
      </c>
      <c r="K566" s="319" t="s">
        <v>1354</v>
      </c>
      <c r="L566" s="318">
        <v>12</v>
      </c>
      <c r="M566" s="317" t="s">
        <v>1343</v>
      </c>
      <c r="N566" s="312" t="s">
        <v>372</v>
      </c>
    </row>
    <row r="567" spans="2:14" ht="24.9" customHeight="1" x14ac:dyDescent="0.3">
      <c r="B567" s="351" t="s">
        <v>363</v>
      </c>
      <c r="C567" s="311">
        <v>14</v>
      </c>
      <c r="D567" s="317" t="s">
        <v>1343</v>
      </c>
      <c r="E567" s="320">
        <v>32060808</v>
      </c>
      <c r="F567" s="324" t="s">
        <v>1265</v>
      </c>
      <c r="G567" s="315" t="s">
        <v>1267</v>
      </c>
      <c r="H567" s="316">
        <v>32138049</v>
      </c>
      <c r="I567" s="316">
        <f>Table5[[#This Row],[ÁREA]]</f>
        <v>14</v>
      </c>
      <c r="J567" s="317" t="s">
        <v>1355</v>
      </c>
      <c r="K567" s="315" t="s">
        <v>1356</v>
      </c>
      <c r="L567" s="318">
        <v>12</v>
      </c>
      <c r="M567" s="317" t="s">
        <v>1343</v>
      </c>
      <c r="N567" s="312" t="s">
        <v>1357</v>
      </c>
    </row>
    <row r="568" spans="2:14" ht="24.9" customHeight="1" x14ac:dyDescent="0.3">
      <c r="B568" s="351" t="s">
        <v>363</v>
      </c>
      <c r="C568" s="352">
        <v>14</v>
      </c>
      <c r="D568" s="338" t="s">
        <v>1343</v>
      </c>
      <c r="E568" s="318">
        <v>32060808</v>
      </c>
      <c r="F568" s="356" t="s">
        <v>1265</v>
      </c>
      <c r="G568" s="315" t="s">
        <v>1267</v>
      </c>
      <c r="H568" s="353">
        <v>32102190</v>
      </c>
      <c r="I568" s="353">
        <f>Table5[[#This Row],[ÁREA]]</f>
        <v>14</v>
      </c>
      <c r="J568" s="338" t="s">
        <v>1358</v>
      </c>
      <c r="K568" s="331" t="s">
        <v>1359</v>
      </c>
      <c r="L568" s="318">
        <v>12</v>
      </c>
      <c r="M568" s="338" t="s">
        <v>1343</v>
      </c>
      <c r="N568" s="355" t="s">
        <v>372</v>
      </c>
    </row>
    <row r="569" spans="2:14" ht="24.9" customHeight="1" x14ac:dyDescent="0.3">
      <c r="B569" s="351" t="s">
        <v>363</v>
      </c>
      <c r="C569" s="311">
        <v>14</v>
      </c>
      <c r="D569" s="317" t="s">
        <v>1343</v>
      </c>
      <c r="E569" s="318">
        <v>32060808</v>
      </c>
      <c r="F569" s="326" t="s">
        <v>1265</v>
      </c>
      <c r="G569" s="315" t="s">
        <v>1267</v>
      </c>
      <c r="H569" s="316">
        <v>32148861</v>
      </c>
      <c r="I569" s="316">
        <f>Table5[[#This Row],[ÁREA]]</f>
        <v>14</v>
      </c>
      <c r="J569" s="317" t="s">
        <v>1360</v>
      </c>
      <c r="K569" s="319" t="s">
        <v>1361</v>
      </c>
      <c r="L569" s="318">
        <v>12</v>
      </c>
      <c r="M569" s="317" t="s">
        <v>1343</v>
      </c>
      <c r="N569" s="312" t="s">
        <v>384</v>
      </c>
    </row>
    <row r="570" spans="2:14" ht="24.9" customHeight="1" x14ac:dyDescent="0.3">
      <c r="B570" s="351" t="s">
        <v>363</v>
      </c>
      <c r="C570" s="311">
        <v>14</v>
      </c>
      <c r="D570" s="317" t="s">
        <v>1343</v>
      </c>
      <c r="E570" s="354">
        <v>32060808</v>
      </c>
      <c r="F570" s="326" t="s">
        <v>1265</v>
      </c>
      <c r="G570" s="331" t="s">
        <v>1267</v>
      </c>
      <c r="H570" s="316">
        <v>32046352</v>
      </c>
      <c r="I570" s="316">
        <f>Table5[[#This Row],[ÁREA]]</f>
        <v>14</v>
      </c>
      <c r="J570" s="317" t="s">
        <v>1362</v>
      </c>
      <c r="K570" s="319" t="s">
        <v>1363</v>
      </c>
      <c r="L570" s="318">
        <v>12</v>
      </c>
      <c r="M570" s="317" t="s">
        <v>1343</v>
      </c>
      <c r="N570" s="312" t="s">
        <v>381</v>
      </c>
    </row>
    <row r="571" spans="2:14" ht="24.9" customHeight="1" x14ac:dyDescent="0.3">
      <c r="B571" s="351" t="s">
        <v>363</v>
      </c>
      <c r="C571" s="311">
        <v>14</v>
      </c>
      <c r="D571" s="372" t="s">
        <v>1343</v>
      </c>
      <c r="E571" s="313">
        <v>32060808</v>
      </c>
      <c r="F571" s="323" t="s">
        <v>1265</v>
      </c>
      <c r="G571" s="315" t="s">
        <v>1267</v>
      </c>
      <c r="H571" s="316">
        <v>32046367</v>
      </c>
      <c r="I571" s="316">
        <f>Table5[[#This Row],[ÁREA]]</f>
        <v>14</v>
      </c>
      <c r="J571" s="317" t="s">
        <v>1364</v>
      </c>
      <c r="K571" s="319" t="s">
        <v>1365</v>
      </c>
      <c r="L571" s="318">
        <v>12</v>
      </c>
      <c r="M571" s="317" t="s">
        <v>1343</v>
      </c>
      <c r="N571" s="355" t="s">
        <v>1366</v>
      </c>
    </row>
    <row r="572" spans="2:14" ht="24.9" customHeight="1" x14ac:dyDescent="0.3">
      <c r="B572" s="351" t="s">
        <v>363</v>
      </c>
      <c r="C572" s="311">
        <v>14</v>
      </c>
      <c r="D572" s="372" t="s">
        <v>1343</v>
      </c>
      <c r="E572" s="313">
        <v>32060808</v>
      </c>
      <c r="F572" s="323" t="s">
        <v>1265</v>
      </c>
      <c r="G572" s="334" t="s">
        <v>1267</v>
      </c>
      <c r="H572" s="316">
        <v>32107030</v>
      </c>
      <c r="I572" s="316">
        <f>Table5[[#This Row],[ÁREA]]</f>
        <v>14</v>
      </c>
      <c r="J572" s="317" t="s">
        <v>1367</v>
      </c>
      <c r="K572" s="319" t="s">
        <v>1368</v>
      </c>
      <c r="L572" s="318">
        <v>12</v>
      </c>
      <c r="M572" s="317" t="s">
        <v>1343</v>
      </c>
      <c r="N572" s="355" t="s">
        <v>1348</v>
      </c>
    </row>
    <row r="573" spans="2:14" ht="24.9" customHeight="1" x14ac:dyDescent="0.3">
      <c r="B573" s="351" t="s">
        <v>363</v>
      </c>
      <c r="C573" s="311">
        <v>14</v>
      </c>
      <c r="D573" s="312" t="s">
        <v>1369</v>
      </c>
      <c r="E573" s="320">
        <v>32143096</v>
      </c>
      <c r="F573" s="324" t="s">
        <v>1237</v>
      </c>
      <c r="G573" s="315" t="s">
        <v>1238</v>
      </c>
      <c r="H573" s="316">
        <v>32044903</v>
      </c>
      <c r="I573" s="316">
        <f>Table5[[#This Row],[ÁREA]]</f>
        <v>14</v>
      </c>
      <c r="J573" s="317" t="s">
        <v>1370</v>
      </c>
      <c r="K573" s="315" t="s">
        <v>1371</v>
      </c>
      <c r="L573" s="318">
        <v>11</v>
      </c>
      <c r="M573" s="317" t="s">
        <v>1369</v>
      </c>
      <c r="N573" s="355" t="s">
        <v>453</v>
      </c>
    </row>
    <row r="574" spans="2:14" ht="24.9" customHeight="1" x14ac:dyDescent="0.3">
      <c r="B574" s="351" t="s">
        <v>363</v>
      </c>
      <c r="C574" s="311">
        <v>14</v>
      </c>
      <c r="D574" s="312" t="s">
        <v>1369</v>
      </c>
      <c r="E574" s="320">
        <v>32143096</v>
      </c>
      <c r="F574" s="324" t="s">
        <v>1237</v>
      </c>
      <c r="G574" s="315" t="s">
        <v>1238</v>
      </c>
      <c r="H574" s="316">
        <v>32046340</v>
      </c>
      <c r="I574" s="316">
        <f>Table5[[#This Row],[ÁREA]]</f>
        <v>14</v>
      </c>
      <c r="J574" s="317" t="s">
        <v>1372</v>
      </c>
      <c r="K574" s="315" t="s">
        <v>1373</v>
      </c>
      <c r="L574" s="318">
        <v>11</v>
      </c>
      <c r="M574" s="317" t="s">
        <v>1369</v>
      </c>
      <c r="N574" s="312" t="s">
        <v>1374</v>
      </c>
    </row>
    <row r="575" spans="2:14" ht="24.9" customHeight="1" x14ac:dyDescent="0.3">
      <c r="B575" s="351" t="s">
        <v>363</v>
      </c>
      <c r="C575" s="311">
        <v>14</v>
      </c>
      <c r="D575" s="312" t="s">
        <v>1369</v>
      </c>
      <c r="E575" s="320">
        <v>32143096</v>
      </c>
      <c r="F575" s="324" t="s">
        <v>1237</v>
      </c>
      <c r="G575" s="315" t="s">
        <v>1238</v>
      </c>
      <c r="H575" s="316">
        <v>32045791</v>
      </c>
      <c r="I575" s="316">
        <f>Table5[[#This Row],[ÁREA]]</f>
        <v>14</v>
      </c>
      <c r="J575" s="317" t="s">
        <v>1375</v>
      </c>
      <c r="K575" s="315" t="s">
        <v>1376</v>
      </c>
      <c r="L575" s="318">
        <v>11</v>
      </c>
      <c r="M575" s="317" t="s">
        <v>1369</v>
      </c>
      <c r="N575" s="355" t="s">
        <v>461</v>
      </c>
    </row>
    <row r="576" spans="2:14" ht="24.9" customHeight="1" x14ac:dyDescent="0.3">
      <c r="B576" s="351" t="s">
        <v>363</v>
      </c>
      <c r="C576" s="311">
        <v>14</v>
      </c>
      <c r="D576" s="312" t="s">
        <v>1369</v>
      </c>
      <c r="E576" s="320">
        <v>32143096</v>
      </c>
      <c r="F576" s="324" t="s">
        <v>1237</v>
      </c>
      <c r="G576" s="315" t="s">
        <v>1238</v>
      </c>
      <c r="H576" s="316">
        <v>32045962</v>
      </c>
      <c r="I576" s="316">
        <v>14</v>
      </c>
      <c r="J576" s="317" t="s">
        <v>1377</v>
      </c>
      <c r="K576" s="319" t="s">
        <v>1378</v>
      </c>
      <c r="L576" s="318">
        <v>14</v>
      </c>
      <c r="M576" s="317" t="s">
        <v>1369</v>
      </c>
      <c r="N576" s="312" t="s">
        <v>499</v>
      </c>
    </row>
    <row r="577" spans="2:14" ht="24.9" customHeight="1" x14ac:dyDescent="0.3">
      <c r="B577" s="351" t="s">
        <v>363</v>
      </c>
      <c r="C577" s="311">
        <v>14</v>
      </c>
      <c r="D577" s="312" t="s">
        <v>1369</v>
      </c>
      <c r="E577" s="313">
        <v>32143096</v>
      </c>
      <c r="F577" s="323" t="s">
        <v>1237</v>
      </c>
      <c r="G577" s="315" t="s">
        <v>1238</v>
      </c>
      <c r="H577" s="316">
        <v>32148856</v>
      </c>
      <c r="I577" s="316">
        <f>Table5[[#This Row],[ÁREA]]</f>
        <v>14</v>
      </c>
      <c r="J577" s="317" t="s">
        <v>1379</v>
      </c>
      <c r="K577" s="319" t="s">
        <v>1380</v>
      </c>
      <c r="L577" s="318">
        <v>11</v>
      </c>
      <c r="M577" s="317" t="s">
        <v>1369</v>
      </c>
      <c r="N577" s="312" t="s">
        <v>464</v>
      </c>
    </row>
    <row r="578" spans="2:14" ht="24.9" customHeight="1" x14ac:dyDescent="0.3">
      <c r="B578" s="351" t="s">
        <v>363</v>
      </c>
      <c r="C578" s="311">
        <v>14</v>
      </c>
      <c r="D578" s="312" t="s">
        <v>1369</v>
      </c>
      <c r="E578" s="320">
        <v>32143096</v>
      </c>
      <c r="F578" s="324" t="s">
        <v>1237</v>
      </c>
      <c r="G578" s="315" t="s">
        <v>1238</v>
      </c>
      <c r="H578" s="316">
        <v>32044462</v>
      </c>
      <c r="I578" s="316">
        <f>Table5[[#This Row],[ÁREA]]</f>
        <v>14</v>
      </c>
      <c r="J578" s="317" t="s">
        <v>1381</v>
      </c>
      <c r="K578" s="319" t="s">
        <v>1382</v>
      </c>
      <c r="L578" s="318">
        <v>11</v>
      </c>
      <c r="M578" s="317" t="s">
        <v>1369</v>
      </c>
      <c r="N578" s="312" t="s">
        <v>564</v>
      </c>
    </row>
    <row r="579" spans="2:14" ht="24.9" customHeight="1" x14ac:dyDescent="0.3">
      <c r="B579" s="351" t="s">
        <v>363</v>
      </c>
      <c r="C579" s="352">
        <v>14</v>
      </c>
      <c r="D579" s="355" t="s">
        <v>1369</v>
      </c>
      <c r="E579" s="320">
        <v>32143096</v>
      </c>
      <c r="F579" s="326" t="s">
        <v>1237</v>
      </c>
      <c r="G579" s="315" t="s">
        <v>1238</v>
      </c>
      <c r="H579" s="353">
        <v>32046372</v>
      </c>
      <c r="I579" s="353">
        <f>Table5[[#This Row],[ÁREA]]</f>
        <v>14</v>
      </c>
      <c r="J579" s="338" t="s">
        <v>1383</v>
      </c>
      <c r="K579" s="319" t="s">
        <v>1384</v>
      </c>
      <c r="L579" s="318">
        <v>11</v>
      </c>
      <c r="M579" s="338" t="s">
        <v>1369</v>
      </c>
      <c r="N579" s="355" t="s">
        <v>1385</v>
      </c>
    </row>
    <row r="580" spans="2:14" ht="24.9" customHeight="1" x14ac:dyDescent="0.3">
      <c r="B580" s="351" t="s">
        <v>363</v>
      </c>
      <c r="C580" s="311">
        <v>14</v>
      </c>
      <c r="D580" s="312" t="s">
        <v>1369</v>
      </c>
      <c r="E580" s="320">
        <v>32143096</v>
      </c>
      <c r="F580" s="326" t="s">
        <v>1237</v>
      </c>
      <c r="G580" s="315" t="s">
        <v>1238</v>
      </c>
      <c r="H580" s="316">
        <v>32044998</v>
      </c>
      <c r="I580" s="316">
        <f>Table5[[#This Row],[ÁREA]]</f>
        <v>14</v>
      </c>
      <c r="J580" s="317" t="s">
        <v>1386</v>
      </c>
      <c r="K580" s="315" t="s">
        <v>1387</v>
      </c>
      <c r="L580" s="318">
        <v>11</v>
      </c>
      <c r="M580" s="317" t="s">
        <v>1369</v>
      </c>
      <c r="N580" s="312" t="s">
        <v>447</v>
      </c>
    </row>
    <row r="581" spans="2:14" ht="24.9" customHeight="1" x14ac:dyDescent="0.3">
      <c r="B581" s="311" t="s">
        <v>363</v>
      </c>
      <c r="C581" s="311">
        <v>14</v>
      </c>
      <c r="D581" s="312" t="s">
        <v>1369</v>
      </c>
      <c r="E581" s="313">
        <v>32143096</v>
      </c>
      <c r="F581" s="326" t="s">
        <v>1237</v>
      </c>
      <c r="G581" s="315" t="s">
        <v>1238</v>
      </c>
      <c r="H581" s="316">
        <v>32046176</v>
      </c>
      <c r="I581" s="316">
        <f>Table5[[#This Row],[ÁREA]]</f>
        <v>14</v>
      </c>
      <c r="J581" s="317" t="s">
        <v>1388</v>
      </c>
      <c r="K581" s="319" t="s">
        <v>1389</v>
      </c>
      <c r="L581" s="318">
        <v>11</v>
      </c>
      <c r="M581" s="317" t="s">
        <v>1369</v>
      </c>
      <c r="N581" s="312" t="s">
        <v>779</v>
      </c>
    </row>
    <row r="582" spans="2:14" ht="24.9" customHeight="1" x14ac:dyDescent="0.3">
      <c r="B582" s="351" t="s">
        <v>363</v>
      </c>
      <c r="C582" s="311">
        <v>14</v>
      </c>
      <c r="D582" s="318" t="s">
        <v>1369</v>
      </c>
      <c r="E582" s="357">
        <v>32143096</v>
      </c>
      <c r="F582" s="326" t="s">
        <v>1237</v>
      </c>
      <c r="G582" s="315" t="s">
        <v>1238</v>
      </c>
      <c r="H582" s="316">
        <v>32044466</v>
      </c>
      <c r="I582" s="316">
        <f>Table5[[#This Row],[ÁREA]]</f>
        <v>14</v>
      </c>
      <c r="J582" s="317" t="s">
        <v>1390</v>
      </c>
      <c r="K582" s="319" t="s">
        <v>1391</v>
      </c>
      <c r="L582" s="318">
        <v>11</v>
      </c>
      <c r="M582" s="317" t="s">
        <v>1369</v>
      </c>
      <c r="N582" s="312" t="s">
        <v>511</v>
      </c>
    </row>
    <row r="583" spans="2:14" ht="24.9" customHeight="1" x14ac:dyDescent="0.3">
      <c r="B583" s="351" t="s">
        <v>363</v>
      </c>
      <c r="C583" s="311" t="s">
        <v>1392</v>
      </c>
      <c r="D583" s="318" t="s">
        <v>1393</v>
      </c>
      <c r="E583" s="334">
        <v>32146685</v>
      </c>
      <c r="F583" s="327" t="s">
        <v>1394</v>
      </c>
      <c r="G583" s="315" t="s">
        <v>1106</v>
      </c>
      <c r="H583" s="316">
        <v>32044841</v>
      </c>
      <c r="I583" s="316" t="str">
        <f>Table5[[#This Row],[ÁREA]]</f>
        <v>MIXTO 11-12</v>
      </c>
      <c r="J583" s="317" t="s">
        <v>1395</v>
      </c>
      <c r="K583" s="317" t="s">
        <v>61</v>
      </c>
      <c r="L583" s="318">
        <v>14</v>
      </c>
      <c r="M583" s="317" t="s">
        <v>1393</v>
      </c>
      <c r="N583" s="312" t="s">
        <v>973</v>
      </c>
    </row>
    <row r="584" spans="2:14" ht="24.9" customHeight="1" x14ac:dyDescent="0.3">
      <c r="B584" s="351" t="s">
        <v>363</v>
      </c>
      <c r="C584" s="311" t="s">
        <v>1392</v>
      </c>
      <c r="D584" s="318" t="s">
        <v>1393</v>
      </c>
      <c r="E584" s="334">
        <v>32146685</v>
      </c>
      <c r="F584" s="327" t="s">
        <v>1394</v>
      </c>
      <c r="G584" s="315" t="s">
        <v>1106</v>
      </c>
      <c r="H584" s="316">
        <v>32045850</v>
      </c>
      <c r="I584" s="316" t="str">
        <f>Table5[[#This Row],[ÁREA]]</f>
        <v>MIXTO 11-12</v>
      </c>
      <c r="J584" s="317" t="s">
        <v>1396</v>
      </c>
      <c r="K584" s="315" t="s">
        <v>1397</v>
      </c>
      <c r="L584" s="318">
        <v>14</v>
      </c>
      <c r="M584" s="317" t="s">
        <v>1393</v>
      </c>
      <c r="N584" s="312" t="s">
        <v>1077</v>
      </c>
    </row>
    <row r="585" spans="2:14" ht="24.9" customHeight="1" x14ac:dyDescent="0.3">
      <c r="B585" s="311" t="s">
        <v>363</v>
      </c>
      <c r="C585" s="311" t="s">
        <v>1392</v>
      </c>
      <c r="D585" s="318" t="s">
        <v>1393</v>
      </c>
      <c r="E585" s="334">
        <v>32146685</v>
      </c>
      <c r="F585" s="327" t="s">
        <v>1394</v>
      </c>
      <c r="G585" s="315" t="s">
        <v>1106</v>
      </c>
      <c r="H585" s="316">
        <v>32046145</v>
      </c>
      <c r="I585" s="316" t="str">
        <f>Table5[[#This Row],[ÁREA]]</f>
        <v>MIXTO 11-12</v>
      </c>
      <c r="J585" s="317" t="s">
        <v>1398</v>
      </c>
      <c r="K585" s="315" t="s">
        <v>1399</v>
      </c>
      <c r="L585" s="318">
        <v>14</v>
      </c>
      <c r="M585" s="317" t="s">
        <v>1393</v>
      </c>
      <c r="N585" s="312" t="s">
        <v>456</v>
      </c>
    </row>
    <row r="586" spans="2:14" ht="24.9" customHeight="1" x14ac:dyDescent="0.3">
      <c r="B586" s="351" t="s">
        <v>363</v>
      </c>
      <c r="C586" s="311" t="s">
        <v>1392</v>
      </c>
      <c r="D586" s="318" t="s">
        <v>1393</v>
      </c>
      <c r="E586" s="334">
        <v>32146685</v>
      </c>
      <c r="F586" s="327" t="s">
        <v>1394</v>
      </c>
      <c r="G586" s="315" t="s">
        <v>1106</v>
      </c>
      <c r="H586" s="316">
        <v>32046218</v>
      </c>
      <c r="I586" s="316" t="str">
        <f>Table5[[#This Row],[ÁREA]]</f>
        <v>MIXTO 11-12</v>
      </c>
      <c r="J586" s="317" t="s">
        <v>1400</v>
      </c>
      <c r="K586" s="315" t="s">
        <v>1401</v>
      </c>
      <c r="L586" s="318">
        <v>14</v>
      </c>
      <c r="M586" s="317" t="s">
        <v>1393</v>
      </c>
      <c r="N586" s="312" t="s">
        <v>564</v>
      </c>
    </row>
    <row r="587" spans="2:14" ht="24.9" customHeight="1" x14ac:dyDescent="0.3">
      <c r="B587" s="351" t="s">
        <v>363</v>
      </c>
      <c r="C587" s="311" t="s">
        <v>1392</v>
      </c>
      <c r="D587" s="318" t="s">
        <v>1393</v>
      </c>
      <c r="E587" s="334">
        <v>32146685</v>
      </c>
      <c r="F587" s="327" t="s">
        <v>1394</v>
      </c>
      <c r="G587" s="315" t="s">
        <v>1106</v>
      </c>
      <c r="H587" s="316">
        <v>32061469</v>
      </c>
      <c r="I587" s="316" t="str">
        <f>Table5[[#This Row],[ÁREA]]</f>
        <v>MIXTO 11-12</v>
      </c>
      <c r="J587" s="317" t="s">
        <v>1402</v>
      </c>
      <c r="K587" s="319" t="s">
        <v>1403</v>
      </c>
      <c r="L587" s="318">
        <v>14</v>
      </c>
      <c r="M587" s="317" t="s">
        <v>1393</v>
      </c>
      <c r="N587" s="312" t="s">
        <v>1069</v>
      </c>
    </row>
    <row r="588" spans="2:14" ht="24.9" customHeight="1" x14ac:dyDescent="0.3">
      <c r="B588" s="311" t="s">
        <v>363</v>
      </c>
      <c r="C588" s="352" t="s">
        <v>1392</v>
      </c>
      <c r="D588" s="354" t="s">
        <v>1393</v>
      </c>
      <c r="E588" s="334">
        <v>32146685</v>
      </c>
      <c r="F588" s="327" t="s">
        <v>1394</v>
      </c>
      <c r="G588" s="315" t="s">
        <v>1106</v>
      </c>
      <c r="H588" s="353">
        <v>32107143</v>
      </c>
      <c r="I588" s="353" t="str">
        <f>Table5[[#This Row],[ÁREA]]</f>
        <v>MIXTO 11-12</v>
      </c>
      <c r="J588" s="338" t="s">
        <v>1404</v>
      </c>
      <c r="K588" s="319" t="s">
        <v>1405</v>
      </c>
      <c r="L588" s="318">
        <v>14</v>
      </c>
      <c r="M588" s="338" t="s">
        <v>1393</v>
      </c>
      <c r="N588" s="355" t="s">
        <v>453</v>
      </c>
    </row>
    <row r="589" spans="2:14" ht="24.9" customHeight="1" x14ac:dyDescent="0.3">
      <c r="B589" s="351" t="s">
        <v>363</v>
      </c>
      <c r="C589" s="311" t="s">
        <v>1392</v>
      </c>
      <c r="D589" s="318" t="s">
        <v>1393</v>
      </c>
      <c r="E589" s="334">
        <v>32146685</v>
      </c>
      <c r="F589" s="327" t="s">
        <v>1394</v>
      </c>
      <c r="G589" s="315" t="s">
        <v>1106</v>
      </c>
      <c r="H589" s="316">
        <v>32131834</v>
      </c>
      <c r="I589" s="316" t="str">
        <f>Table5[[#This Row],[ÁREA]]</f>
        <v>MIXTO 11-12</v>
      </c>
      <c r="J589" s="317" t="s">
        <v>1406</v>
      </c>
      <c r="K589" s="315" t="s">
        <v>1407</v>
      </c>
      <c r="L589" s="318">
        <v>14</v>
      </c>
      <c r="M589" s="317" t="s">
        <v>1393</v>
      </c>
      <c r="N589" s="312" t="s">
        <v>1074</v>
      </c>
    </row>
    <row r="590" spans="2:14" ht="24.9" customHeight="1" x14ac:dyDescent="0.3">
      <c r="B590" s="351" t="s">
        <v>363</v>
      </c>
      <c r="C590" s="311" t="s">
        <v>1392</v>
      </c>
      <c r="D590" s="318" t="s">
        <v>1393</v>
      </c>
      <c r="E590" s="334">
        <v>32146685</v>
      </c>
      <c r="F590" s="327" t="s">
        <v>1394</v>
      </c>
      <c r="G590" s="315" t="s">
        <v>1106</v>
      </c>
      <c r="H590" s="316">
        <v>32132594</v>
      </c>
      <c r="I590" s="316" t="str">
        <f>Table5[[#This Row],[ÁREA]]</f>
        <v>MIXTO 11-12</v>
      </c>
      <c r="J590" s="317" t="s">
        <v>1408</v>
      </c>
      <c r="K590" s="315" t="s">
        <v>1409</v>
      </c>
      <c r="L590" s="318">
        <v>14</v>
      </c>
      <c r="M590" s="317" t="s">
        <v>1393</v>
      </c>
      <c r="N590" s="312" t="s">
        <v>719</v>
      </c>
    </row>
    <row r="591" spans="2:14" ht="24.9" customHeight="1" x14ac:dyDescent="0.3">
      <c r="B591" s="351" t="s">
        <v>363</v>
      </c>
      <c r="C591" s="311" t="s">
        <v>1392</v>
      </c>
      <c r="D591" s="318" t="s">
        <v>1393</v>
      </c>
      <c r="E591" s="334">
        <v>32146685</v>
      </c>
      <c r="F591" s="327" t="s">
        <v>1394</v>
      </c>
      <c r="G591" s="315" t="s">
        <v>1106</v>
      </c>
      <c r="H591" s="316">
        <v>32142771</v>
      </c>
      <c r="I591" s="316" t="str">
        <f>Table5[[#This Row],[ÁREA]]</f>
        <v>MIXTO 11-12</v>
      </c>
      <c r="J591" s="317" t="s">
        <v>1410</v>
      </c>
      <c r="K591" s="315" t="s">
        <v>1411</v>
      </c>
      <c r="L591" s="318">
        <v>14</v>
      </c>
      <c r="M591" s="317" t="s">
        <v>1393</v>
      </c>
      <c r="N591" s="312" t="s">
        <v>1056</v>
      </c>
    </row>
    <row r="592" spans="2:14" ht="24.9" customHeight="1" x14ac:dyDescent="0.3">
      <c r="B592" s="351" t="s">
        <v>363</v>
      </c>
      <c r="C592" s="311" t="s">
        <v>1392</v>
      </c>
      <c r="D592" s="318" t="s">
        <v>1393</v>
      </c>
      <c r="E592" s="334">
        <v>32146685</v>
      </c>
      <c r="F592" s="327" t="s">
        <v>1394</v>
      </c>
      <c r="G592" s="315" t="s">
        <v>1106</v>
      </c>
      <c r="H592" s="316">
        <v>32143627</v>
      </c>
      <c r="I592" s="316" t="str">
        <f>Table5[[#This Row],[ÁREA]]</f>
        <v>MIXTO 11-12</v>
      </c>
      <c r="J592" s="317" t="s">
        <v>1412</v>
      </c>
      <c r="K592" s="319" t="s">
        <v>1413</v>
      </c>
      <c r="L592" s="318">
        <v>14</v>
      </c>
      <c r="M592" s="317" t="s">
        <v>1393</v>
      </c>
      <c r="N592" s="312" t="s">
        <v>447</v>
      </c>
    </row>
    <row r="593" spans="2:14" ht="24.9" customHeight="1" x14ac:dyDescent="0.3">
      <c r="B593" s="351" t="s">
        <v>363</v>
      </c>
      <c r="C593" s="311" t="s">
        <v>1392</v>
      </c>
      <c r="D593" s="318" t="s">
        <v>1393</v>
      </c>
      <c r="E593" s="334">
        <v>32146685</v>
      </c>
      <c r="F593" s="327" t="s">
        <v>1394</v>
      </c>
      <c r="G593" s="325" t="s">
        <v>1106</v>
      </c>
      <c r="H593" s="316">
        <v>32178729</v>
      </c>
      <c r="I593" s="316" t="str">
        <f>Table5[[#This Row],[ÁREA]]</f>
        <v>MIXTO 11-12</v>
      </c>
      <c r="J593" s="317" t="s">
        <v>1414</v>
      </c>
      <c r="K593" s="319" t="s">
        <v>1415</v>
      </c>
      <c r="L593" s="318">
        <v>14</v>
      </c>
      <c r="M593" s="317" t="s">
        <v>1393</v>
      </c>
      <c r="N593" s="312" t="s">
        <v>461</v>
      </c>
    </row>
    <row r="594" spans="2:14" ht="24.9" customHeight="1" x14ac:dyDescent="0.3">
      <c r="B594" s="351" t="s">
        <v>363</v>
      </c>
      <c r="C594" s="311" t="s">
        <v>1416</v>
      </c>
      <c r="D594" s="318" t="s">
        <v>1417</v>
      </c>
      <c r="E594" s="334">
        <v>32168008</v>
      </c>
      <c r="F594" s="327" t="s">
        <v>1418</v>
      </c>
      <c r="G594" s="315" t="s">
        <v>1106</v>
      </c>
      <c r="H594" s="316">
        <v>32188121</v>
      </c>
      <c r="I594" s="316" t="s">
        <v>1416</v>
      </c>
      <c r="J594" s="317" t="s">
        <v>1419</v>
      </c>
      <c r="K594" s="319" t="s">
        <v>1420</v>
      </c>
      <c r="L594" s="318">
        <v>14</v>
      </c>
      <c r="M594" s="317" t="s">
        <v>1417</v>
      </c>
      <c r="N594" s="312" t="s">
        <v>807</v>
      </c>
    </row>
    <row r="595" spans="2:14" ht="24.9" customHeight="1" x14ac:dyDescent="0.3">
      <c r="B595" s="351" t="s">
        <v>363</v>
      </c>
      <c r="C595" s="311" t="s">
        <v>1416</v>
      </c>
      <c r="D595" s="318" t="s">
        <v>1417</v>
      </c>
      <c r="E595" s="315">
        <v>32168008</v>
      </c>
      <c r="F595" s="327" t="s">
        <v>1418</v>
      </c>
      <c r="G595" s="315" t="s">
        <v>411</v>
      </c>
      <c r="H595" s="316">
        <v>32061471</v>
      </c>
      <c r="I595" s="316" t="str">
        <f>Table5[[#This Row],[ÁREA]]</f>
        <v>MIXTO 1-2</v>
      </c>
      <c r="J595" s="317" t="s">
        <v>1421</v>
      </c>
      <c r="K595" s="331" t="s">
        <v>1422</v>
      </c>
      <c r="L595" s="318">
        <v>7</v>
      </c>
      <c r="M595" s="317" t="s">
        <v>1417</v>
      </c>
      <c r="N595" s="312" t="s">
        <v>384</v>
      </c>
    </row>
    <row r="596" spans="2:14" ht="24.9" customHeight="1" x14ac:dyDescent="0.3">
      <c r="B596" s="351" t="s">
        <v>363</v>
      </c>
      <c r="C596" s="311" t="s">
        <v>1416</v>
      </c>
      <c r="D596" s="318" t="s">
        <v>1417</v>
      </c>
      <c r="E596" s="329">
        <v>32168008</v>
      </c>
      <c r="F596" s="321" t="s">
        <v>1418</v>
      </c>
      <c r="G596" s="315" t="s">
        <v>411</v>
      </c>
      <c r="H596" s="316">
        <v>32060912</v>
      </c>
      <c r="I596" s="316" t="str">
        <f>Table5[[#This Row],[ÁREA]]</f>
        <v>MIXTO 1-2</v>
      </c>
      <c r="J596" s="317" t="s">
        <v>1423</v>
      </c>
      <c r="K596" s="315" t="s">
        <v>1424</v>
      </c>
      <c r="L596" s="318">
        <v>7</v>
      </c>
      <c r="M596" s="317" t="s">
        <v>1417</v>
      </c>
      <c r="N596" s="312" t="s">
        <v>372</v>
      </c>
    </row>
    <row r="597" spans="2:14" ht="24.9" customHeight="1" x14ac:dyDescent="0.3">
      <c r="B597" s="351" t="s">
        <v>363</v>
      </c>
      <c r="C597" s="311" t="s">
        <v>1416</v>
      </c>
      <c r="D597" s="318" t="s">
        <v>1417</v>
      </c>
      <c r="E597" s="315">
        <v>32168008</v>
      </c>
      <c r="F597" s="327" t="s">
        <v>1418</v>
      </c>
      <c r="G597" s="315" t="s">
        <v>411</v>
      </c>
      <c r="H597" s="316">
        <v>32197846</v>
      </c>
      <c r="I597" s="316" t="str">
        <f>Table5[[#This Row],[ÁREA]]</f>
        <v>MIXTO 1-2</v>
      </c>
      <c r="J597" s="317" t="s">
        <v>1425</v>
      </c>
      <c r="K597" s="328" t="s">
        <v>61</v>
      </c>
      <c r="L597" s="318">
        <v>7</v>
      </c>
      <c r="M597" s="317" t="s">
        <v>1417</v>
      </c>
      <c r="N597" s="312" t="s">
        <v>1426</v>
      </c>
    </row>
    <row r="598" spans="2:14" ht="24.9" customHeight="1" x14ac:dyDescent="0.3">
      <c r="B598" s="351" t="s">
        <v>363</v>
      </c>
      <c r="C598" s="352" t="s">
        <v>1416</v>
      </c>
      <c r="D598" s="354" t="s">
        <v>1417</v>
      </c>
      <c r="E598" s="329">
        <v>32168008</v>
      </c>
      <c r="F598" s="321" t="s">
        <v>1418</v>
      </c>
      <c r="G598" s="315" t="s">
        <v>411</v>
      </c>
      <c r="H598" s="353">
        <v>32067355</v>
      </c>
      <c r="I598" s="353" t="str">
        <f>Table5[[#This Row],[ÁREA]]</f>
        <v>MIXTO 1-2</v>
      </c>
      <c r="J598" s="338" t="s">
        <v>1427</v>
      </c>
      <c r="K598" s="331" t="s">
        <v>1428</v>
      </c>
      <c r="L598" s="318">
        <v>7</v>
      </c>
      <c r="M598" s="338" t="s">
        <v>1417</v>
      </c>
      <c r="N598" s="355" t="s">
        <v>369</v>
      </c>
    </row>
    <row r="599" spans="2:14" ht="24.9" customHeight="1" x14ac:dyDescent="0.3">
      <c r="B599" s="351" t="s">
        <v>363</v>
      </c>
      <c r="C599" s="311" t="s">
        <v>1416</v>
      </c>
      <c r="D599" s="318" t="s">
        <v>1417</v>
      </c>
      <c r="E599" s="315">
        <v>32168008</v>
      </c>
      <c r="F599" s="327" t="s">
        <v>1418</v>
      </c>
      <c r="G599" s="315" t="s">
        <v>411</v>
      </c>
      <c r="H599" s="316">
        <v>32044535</v>
      </c>
      <c r="I599" s="316" t="str">
        <f>Table5[[#This Row],[ÁREA]]</f>
        <v>MIXTO 1-2</v>
      </c>
      <c r="J599" s="317" t="s">
        <v>1429</v>
      </c>
      <c r="K599" s="319" t="s">
        <v>1430</v>
      </c>
      <c r="L599" s="318">
        <v>7</v>
      </c>
      <c r="M599" s="317" t="s">
        <v>1417</v>
      </c>
      <c r="N599" s="312" t="s">
        <v>375</v>
      </c>
    </row>
    <row r="600" spans="2:14" ht="24.9" customHeight="1" x14ac:dyDescent="0.3">
      <c r="B600" s="351" t="s">
        <v>363</v>
      </c>
      <c r="C600" s="311" t="s">
        <v>1431</v>
      </c>
      <c r="D600" s="317" t="s">
        <v>1432</v>
      </c>
      <c r="E600" s="320">
        <v>32146685</v>
      </c>
      <c r="F600" s="324" t="s">
        <v>1394</v>
      </c>
      <c r="G600" s="315" t="s">
        <v>1433</v>
      </c>
      <c r="H600" s="316">
        <v>32044002</v>
      </c>
      <c r="I600" s="316" t="str">
        <f>Table5[[#This Row],[ÁREA]]</f>
        <v>MIXTO 13-14</v>
      </c>
      <c r="J600" s="317" t="s">
        <v>1434</v>
      </c>
      <c r="K600" s="315" t="s">
        <v>1435</v>
      </c>
      <c r="L600" s="318">
        <v>14</v>
      </c>
      <c r="M600" s="317" t="s">
        <v>1432</v>
      </c>
      <c r="N600" s="312" t="s">
        <v>375</v>
      </c>
    </row>
    <row r="601" spans="2:14" ht="24.9" customHeight="1" x14ac:dyDescent="0.3">
      <c r="B601" s="351" t="s">
        <v>363</v>
      </c>
      <c r="C601" s="311" t="s">
        <v>1431</v>
      </c>
      <c r="D601" s="317" t="s">
        <v>1432</v>
      </c>
      <c r="E601" s="320">
        <v>32146685</v>
      </c>
      <c r="F601" s="324" t="s">
        <v>1394</v>
      </c>
      <c r="G601" s="331" t="s">
        <v>1433</v>
      </c>
      <c r="H601" s="316">
        <v>32064299</v>
      </c>
      <c r="I601" s="316" t="str">
        <f>Table5[[#This Row],[ÁREA]]</f>
        <v>MIXTO 13-14</v>
      </c>
      <c r="J601" s="317" t="s">
        <v>1436</v>
      </c>
      <c r="K601" s="322" t="s">
        <v>1437</v>
      </c>
      <c r="L601" s="318">
        <v>14</v>
      </c>
      <c r="M601" s="317" t="s">
        <v>1432</v>
      </c>
      <c r="N601" s="312" t="s">
        <v>381</v>
      </c>
    </row>
    <row r="602" spans="2:14" ht="24.9" customHeight="1" x14ac:dyDescent="0.3">
      <c r="B602" s="311" t="s">
        <v>363</v>
      </c>
      <c r="C602" s="311" t="s">
        <v>1431</v>
      </c>
      <c r="D602" s="317" t="s">
        <v>1432</v>
      </c>
      <c r="E602" s="320">
        <v>32146685</v>
      </c>
      <c r="F602" s="324" t="s">
        <v>1394</v>
      </c>
      <c r="G602" s="315" t="s">
        <v>1433</v>
      </c>
      <c r="H602" s="316">
        <v>32045806</v>
      </c>
      <c r="I602" s="316" t="str">
        <f>Table5[[#This Row],[ÁREA]]</f>
        <v>MIXTO 13-14</v>
      </c>
      <c r="J602" s="317" t="s">
        <v>1438</v>
      </c>
      <c r="K602" s="319" t="s">
        <v>1439</v>
      </c>
      <c r="L602" s="318">
        <v>14</v>
      </c>
      <c r="M602" s="317" t="s">
        <v>1432</v>
      </c>
      <c r="N602" s="312" t="s">
        <v>378</v>
      </c>
    </row>
    <row r="603" spans="2:14" ht="24.9" customHeight="1" x14ac:dyDescent="0.3">
      <c r="B603" s="351" t="s">
        <v>363</v>
      </c>
      <c r="C603" s="311" t="s">
        <v>1431</v>
      </c>
      <c r="D603" s="317" t="s">
        <v>1432</v>
      </c>
      <c r="E603" s="320">
        <v>32146685</v>
      </c>
      <c r="F603" s="324" t="s">
        <v>1394</v>
      </c>
      <c r="G603" s="334" t="s">
        <v>1433</v>
      </c>
      <c r="H603" s="316">
        <v>32045507</v>
      </c>
      <c r="I603" s="316" t="str">
        <f>Table5[[#This Row],[ÁREA]]</f>
        <v>MIXTO 13-14</v>
      </c>
      <c r="J603" s="317" t="s">
        <v>1440</v>
      </c>
      <c r="K603" s="319" t="s">
        <v>1441</v>
      </c>
      <c r="L603" s="318">
        <v>14</v>
      </c>
      <c r="M603" s="317" t="s">
        <v>1432</v>
      </c>
      <c r="N603" s="312" t="s">
        <v>372</v>
      </c>
    </row>
    <row r="604" spans="2:14" ht="24.9" customHeight="1" x14ac:dyDescent="0.3">
      <c r="B604" s="351" t="s">
        <v>363</v>
      </c>
      <c r="C604" s="311" t="s">
        <v>1431</v>
      </c>
      <c r="D604" s="317" t="s">
        <v>1432</v>
      </c>
      <c r="E604" s="318">
        <v>32146685</v>
      </c>
      <c r="F604" s="326" t="s">
        <v>1394</v>
      </c>
      <c r="G604" s="315" t="s">
        <v>1433</v>
      </c>
      <c r="H604" s="316">
        <v>32143053</v>
      </c>
      <c r="I604" s="316" t="str">
        <f>Table5[[#This Row],[ÁREA]]</f>
        <v>MIXTO 13-14</v>
      </c>
      <c r="J604" s="317" t="s">
        <v>1442</v>
      </c>
      <c r="K604" s="319" t="s">
        <v>1443</v>
      </c>
      <c r="L604" s="318">
        <v>14</v>
      </c>
      <c r="M604" s="317" t="s">
        <v>1432</v>
      </c>
      <c r="N604" s="312" t="s">
        <v>1444</v>
      </c>
    </row>
    <row r="605" spans="2:14" ht="24.9" customHeight="1" x14ac:dyDescent="0.3">
      <c r="B605" s="351" t="s">
        <v>363</v>
      </c>
      <c r="C605" s="311" t="s">
        <v>1431</v>
      </c>
      <c r="D605" s="317" t="s">
        <v>1432</v>
      </c>
      <c r="E605" s="318">
        <v>32146685</v>
      </c>
      <c r="F605" s="326" t="s">
        <v>1394</v>
      </c>
      <c r="G605" s="315" t="s">
        <v>1433</v>
      </c>
      <c r="H605" s="316">
        <v>32132051</v>
      </c>
      <c r="I605" s="316" t="str">
        <f>Table5[[#This Row],[ÁREA]]</f>
        <v>MIXTO 13-14</v>
      </c>
      <c r="J605" s="317" t="s">
        <v>1445</v>
      </c>
      <c r="K605" s="315" t="s">
        <v>1446</v>
      </c>
      <c r="L605" s="318">
        <v>14</v>
      </c>
      <c r="M605" s="317" t="s">
        <v>1432</v>
      </c>
      <c r="N605" s="312" t="s">
        <v>1447</v>
      </c>
    </row>
    <row r="606" spans="2:14" ht="24.9" customHeight="1" x14ac:dyDescent="0.3">
      <c r="B606" s="351" t="s">
        <v>363</v>
      </c>
      <c r="C606" s="311" t="s">
        <v>1431</v>
      </c>
      <c r="D606" s="317" t="s">
        <v>1432</v>
      </c>
      <c r="E606" s="320">
        <v>32146685</v>
      </c>
      <c r="F606" s="324" t="s">
        <v>1394</v>
      </c>
      <c r="H606" s="316">
        <v>32218790</v>
      </c>
      <c r="I606" s="316" t="s">
        <v>1431</v>
      </c>
      <c r="J606" s="317" t="s">
        <v>1448</v>
      </c>
      <c r="L606" s="318"/>
      <c r="M606" s="317" t="s">
        <v>1432</v>
      </c>
      <c r="N606" s="312" t="s">
        <v>676</v>
      </c>
    </row>
    <row r="607" spans="2:14" ht="24.9" customHeight="1" x14ac:dyDescent="0.3">
      <c r="B607" s="311" t="s">
        <v>363</v>
      </c>
      <c r="C607" s="352" t="s">
        <v>1431</v>
      </c>
      <c r="D607" s="338" t="s">
        <v>1432</v>
      </c>
      <c r="E607" s="340">
        <v>32146685</v>
      </c>
      <c r="F607" s="343" t="s">
        <v>1394</v>
      </c>
      <c r="G607" s="315" t="s">
        <v>1433</v>
      </c>
      <c r="H607" s="353">
        <v>32046016</v>
      </c>
      <c r="I607" s="353" t="str">
        <f>Table5[[#This Row],[ÁREA]]</f>
        <v>MIXTO 13-14</v>
      </c>
      <c r="J607" s="338" t="s">
        <v>1449</v>
      </c>
      <c r="K607" s="319" t="s">
        <v>1450</v>
      </c>
      <c r="L607" s="318">
        <v>14</v>
      </c>
      <c r="M607" s="338" t="s">
        <v>1432</v>
      </c>
      <c r="N607" s="355" t="s">
        <v>1451</v>
      </c>
    </row>
    <row r="608" spans="2:14" ht="24.9" customHeight="1" x14ac:dyDescent="0.3">
      <c r="B608" s="351" t="s">
        <v>363</v>
      </c>
      <c r="C608" s="311" t="s">
        <v>1431</v>
      </c>
      <c r="D608" s="317" t="s">
        <v>1432</v>
      </c>
      <c r="E608" s="318">
        <v>32146685</v>
      </c>
      <c r="F608" s="326" t="s">
        <v>1394</v>
      </c>
      <c r="G608" s="334" t="s">
        <v>1433</v>
      </c>
      <c r="H608" s="316">
        <v>32143052</v>
      </c>
      <c r="I608" s="316" t="str">
        <f>Table5[[#This Row],[ÁREA]]</f>
        <v>MIXTO 13-14</v>
      </c>
      <c r="J608" s="317" t="s">
        <v>1452</v>
      </c>
      <c r="K608" s="319" t="s">
        <v>1453</v>
      </c>
      <c r="L608" s="318">
        <v>14</v>
      </c>
      <c r="M608" s="317" t="s">
        <v>1432</v>
      </c>
      <c r="N608" s="312" t="s">
        <v>1454</v>
      </c>
    </row>
    <row r="609" spans="2:14" ht="24.9" customHeight="1" x14ac:dyDescent="0.3">
      <c r="B609" s="351" t="s">
        <v>363</v>
      </c>
      <c r="C609" s="311" t="s">
        <v>1431</v>
      </c>
      <c r="D609" s="317" t="s">
        <v>1432</v>
      </c>
      <c r="E609" s="318">
        <v>32146685</v>
      </c>
      <c r="F609" s="326" t="s">
        <v>1394</v>
      </c>
      <c r="G609" s="315" t="s">
        <v>1433</v>
      </c>
      <c r="H609" s="316">
        <v>32132587</v>
      </c>
      <c r="I609" s="316" t="str">
        <f>Table5[[#This Row],[ÁREA]]</f>
        <v>MIXTO 13-14</v>
      </c>
      <c r="J609" s="317" t="s">
        <v>1455</v>
      </c>
      <c r="K609" s="319" t="s">
        <v>1456</v>
      </c>
      <c r="L609" s="318">
        <v>14</v>
      </c>
      <c r="M609" s="317" t="s">
        <v>1432</v>
      </c>
      <c r="N609" s="312" t="s">
        <v>369</v>
      </c>
    </row>
    <row r="610" spans="2:14" ht="24.9" customHeight="1" x14ac:dyDescent="0.3">
      <c r="B610" s="351" t="s">
        <v>363</v>
      </c>
      <c r="C610" s="311" t="s">
        <v>1431</v>
      </c>
      <c r="D610" s="317" t="s">
        <v>1432</v>
      </c>
      <c r="E610" s="318">
        <v>32146685</v>
      </c>
      <c r="F610" s="326" t="s">
        <v>1394</v>
      </c>
      <c r="G610" s="315" t="s">
        <v>1433</v>
      </c>
      <c r="H610" s="316">
        <v>32044543</v>
      </c>
      <c r="I610" s="316" t="str">
        <f>Table5[[#This Row],[ÁREA]]</f>
        <v>MIXTO 13-14</v>
      </c>
      <c r="J610" s="317" t="s">
        <v>1457</v>
      </c>
      <c r="K610" s="319" t="s">
        <v>1458</v>
      </c>
      <c r="L610" s="318">
        <v>14</v>
      </c>
      <c r="M610" s="317" t="s">
        <v>1432</v>
      </c>
      <c r="N610" s="312" t="s">
        <v>384</v>
      </c>
    </row>
    <row r="611" spans="2:14" ht="24.9" customHeight="1" x14ac:dyDescent="0.3">
      <c r="B611" s="351" t="s">
        <v>363</v>
      </c>
      <c r="C611" s="311" t="s">
        <v>1431</v>
      </c>
      <c r="D611" s="317" t="s">
        <v>1432</v>
      </c>
      <c r="E611" s="373">
        <v>32146685</v>
      </c>
      <c r="F611" s="349" t="s">
        <v>1394</v>
      </c>
      <c r="G611" s="315" t="s">
        <v>1433</v>
      </c>
      <c r="H611" s="316">
        <v>32197897</v>
      </c>
      <c r="I611" s="316" t="str">
        <f>Table5[[#This Row],[ÁREA]]</f>
        <v>MIXTO 13-14</v>
      </c>
      <c r="J611" s="317" t="s">
        <v>1459</v>
      </c>
      <c r="K611" s="319" t="s">
        <v>1460</v>
      </c>
      <c r="L611" s="318">
        <v>14</v>
      </c>
      <c r="M611" s="317" t="s">
        <v>1432</v>
      </c>
      <c r="N611" s="312" t="s">
        <v>1461</v>
      </c>
    </row>
    <row r="612" spans="2:14" ht="24.9" customHeight="1" x14ac:dyDescent="0.3">
      <c r="B612" s="351" t="s">
        <v>363</v>
      </c>
      <c r="C612" s="311" t="s">
        <v>1431</v>
      </c>
      <c r="D612" s="317" t="s">
        <v>1432</v>
      </c>
      <c r="E612" s="320">
        <v>32146685</v>
      </c>
      <c r="F612" s="324" t="s">
        <v>1394</v>
      </c>
      <c r="G612" s="315" t="s">
        <v>1433</v>
      </c>
      <c r="H612" s="316">
        <v>32046553</v>
      </c>
      <c r="I612" s="316" t="str">
        <f>Table5[[#This Row],[ÁREA]]</f>
        <v>MIXTO 13-14</v>
      </c>
      <c r="J612" s="317" t="s">
        <v>1462</v>
      </c>
      <c r="K612" s="315" t="s">
        <v>1463</v>
      </c>
      <c r="L612" s="318">
        <v>14</v>
      </c>
      <c r="M612" s="317" t="s">
        <v>1432</v>
      </c>
      <c r="N612" s="312" t="s">
        <v>676</v>
      </c>
    </row>
    <row r="613" spans="2:14" ht="24.9" customHeight="1" x14ac:dyDescent="0.3">
      <c r="B613" s="351" t="s">
        <v>363</v>
      </c>
      <c r="C613" s="311" t="s">
        <v>1464</v>
      </c>
      <c r="D613" s="318" t="s">
        <v>1465</v>
      </c>
      <c r="E613" s="318">
        <v>32231917</v>
      </c>
      <c r="F613" s="327" t="s">
        <v>1466</v>
      </c>
      <c r="G613" s="315" t="s">
        <v>450</v>
      </c>
      <c r="H613" s="316">
        <v>32197860</v>
      </c>
      <c r="I613" s="316" t="s">
        <v>1464</v>
      </c>
      <c r="J613" s="317" t="s">
        <v>1467</v>
      </c>
      <c r="K613" s="315" t="s">
        <v>1468</v>
      </c>
      <c r="L613" s="318">
        <v>9</v>
      </c>
      <c r="M613" s="317" t="s">
        <v>1465</v>
      </c>
      <c r="N613" s="312" t="s">
        <v>481</v>
      </c>
    </row>
    <row r="614" spans="2:14" ht="24.9" customHeight="1" x14ac:dyDescent="0.3">
      <c r="B614" s="351" t="s">
        <v>363</v>
      </c>
      <c r="C614" s="374" t="s">
        <v>1464</v>
      </c>
      <c r="D614" s="354" t="s">
        <v>1465</v>
      </c>
      <c r="E614" s="320">
        <v>32231917</v>
      </c>
      <c r="F614" s="321" t="s">
        <v>1466</v>
      </c>
      <c r="G614" s="315" t="s">
        <v>607</v>
      </c>
      <c r="H614" s="353">
        <v>32197876</v>
      </c>
      <c r="I614" s="353" t="s">
        <v>1464</v>
      </c>
      <c r="J614" s="338" t="s">
        <v>1469</v>
      </c>
      <c r="K614" s="319" t="s">
        <v>1470</v>
      </c>
      <c r="L614" s="318">
        <v>14</v>
      </c>
      <c r="M614" s="338" t="s">
        <v>1465</v>
      </c>
      <c r="N614" s="355" t="s">
        <v>1047</v>
      </c>
    </row>
    <row r="615" spans="2:14" ht="24.9" customHeight="1" x14ac:dyDescent="0.3">
      <c r="B615" s="351" t="s">
        <v>363</v>
      </c>
      <c r="C615" s="311" t="s">
        <v>1464</v>
      </c>
      <c r="D615" s="317" t="s">
        <v>1465</v>
      </c>
      <c r="E615" s="329">
        <v>32231917</v>
      </c>
      <c r="F615" s="321" t="s">
        <v>1466</v>
      </c>
      <c r="G615" s="315" t="s">
        <v>607</v>
      </c>
      <c r="H615" s="316">
        <v>32044553</v>
      </c>
      <c r="I615" s="316" t="str">
        <f>Table5[[#This Row],[ÁREA]]</f>
        <v>MIXTO 3-4</v>
      </c>
      <c r="J615" s="375" t="s">
        <v>1471</v>
      </c>
      <c r="K615" s="319" t="s">
        <v>1472</v>
      </c>
      <c r="L615" s="318">
        <v>14</v>
      </c>
      <c r="M615" s="317" t="s">
        <v>1465</v>
      </c>
      <c r="N615" s="312" t="s">
        <v>378</v>
      </c>
    </row>
    <row r="616" spans="2:14" ht="24.9" customHeight="1" x14ac:dyDescent="0.3">
      <c r="B616" s="351" t="s">
        <v>363</v>
      </c>
      <c r="C616" s="311" t="s">
        <v>1464</v>
      </c>
      <c r="D616" s="317" t="s">
        <v>1465</v>
      </c>
      <c r="E616" s="315">
        <v>32231917</v>
      </c>
      <c r="F616" s="327" t="s">
        <v>1466</v>
      </c>
      <c r="G616" s="315" t="s">
        <v>607</v>
      </c>
      <c r="H616" s="316">
        <v>32046209</v>
      </c>
      <c r="I616" s="316" t="str">
        <f>Table5[[#This Row],[ÁREA]]</f>
        <v>MIXTO 3-4</v>
      </c>
      <c r="J616" s="317" t="s">
        <v>1473</v>
      </c>
      <c r="K616" s="319" t="s">
        <v>1474</v>
      </c>
      <c r="L616" s="318">
        <v>14</v>
      </c>
      <c r="M616" s="317" t="s">
        <v>1465</v>
      </c>
      <c r="N616" s="312" t="s">
        <v>384</v>
      </c>
    </row>
    <row r="617" spans="2:14" ht="24.9" customHeight="1" x14ac:dyDescent="0.3">
      <c r="B617" s="351" t="s">
        <v>363</v>
      </c>
      <c r="C617" s="311" t="s">
        <v>1464</v>
      </c>
      <c r="D617" s="317" t="s">
        <v>1465</v>
      </c>
      <c r="E617" s="315">
        <v>32231917</v>
      </c>
      <c r="F617" s="327" t="s">
        <v>1466</v>
      </c>
      <c r="G617" s="325" t="s">
        <v>607</v>
      </c>
      <c r="H617" s="316">
        <v>32044871</v>
      </c>
      <c r="I617" s="316" t="str">
        <f>Table5[[#This Row],[ÁREA]]</f>
        <v>MIXTO 3-4</v>
      </c>
      <c r="J617" s="317" t="s">
        <v>1475</v>
      </c>
      <c r="K617" s="319" t="s">
        <v>1476</v>
      </c>
      <c r="L617" s="318">
        <v>14</v>
      </c>
      <c r="M617" s="317" t="s">
        <v>1465</v>
      </c>
      <c r="N617" s="312" t="s">
        <v>1451</v>
      </c>
    </row>
    <row r="618" spans="2:14" ht="24.9" customHeight="1" x14ac:dyDescent="0.3">
      <c r="B618" s="351" t="s">
        <v>363</v>
      </c>
      <c r="C618" s="311" t="s">
        <v>1464</v>
      </c>
      <c r="D618" s="317" t="s">
        <v>1465</v>
      </c>
      <c r="E618" s="315">
        <v>32231917</v>
      </c>
      <c r="F618" s="327" t="s">
        <v>1466</v>
      </c>
      <c r="G618" s="315" t="s">
        <v>607</v>
      </c>
      <c r="H618" s="316">
        <v>32045621</v>
      </c>
      <c r="I618" s="316" t="str">
        <f>Table5[[#This Row],[ÁREA]]</f>
        <v>MIXTO 3-4</v>
      </c>
      <c r="J618" s="317" t="s">
        <v>1477</v>
      </c>
      <c r="K618" s="319" t="s">
        <v>1478</v>
      </c>
      <c r="L618" s="318">
        <v>14</v>
      </c>
      <c r="M618" s="317" t="s">
        <v>1465</v>
      </c>
      <c r="N618" s="312" t="s">
        <v>1479</v>
      </c>
    </row>
    <row r="619" spans="2:14" ht="24.9" customHeight="1" x14ac:dyDescent="0.3">
      <c r="B619" s="351" t="s">
        <v>363</v>
      </c>
      <c r="C619" s="311" t="s">
        <v>1464</v>
      </c>
      <c r="D619" s="317" t="s">
        <v>1465</v>
      </c>
      <c r="E619" s="315">
        <v>32231917</v>
      </c>
      <c r="F619" s="327" t="s">
        <v>1466</v>
      </c>
      <c r="G619" s="315" t="s">
        <v>607</v>
      </c>
      <c r="H619" s="316">
        <v>32044454</v>
      </c>
      <c r="I619" s="316" t="str">
        <f>Table5[[#This Row],[ÁREA]]</f>
        <v>MIXTO 3-4</v>
      </c>
      <c r="J619" s="317" t="s">
        <v>1480</v>
      </c>
      <c r="K619" s="319" t="s">
        <v>1481</v>
      </c>
      <c r="L619" s="318">
        <v>16</v>
      </c>
      <c r="M619" s="318" t="s">
        <v>1465</v>
      </c>
      <c r="N619" s="312" t="s">
        <v>530</v>
      </c>
    </row>
    <row r="620" spans="2:14" ht="24.9" customHeight="1" x14ac:dyDescent="0.3">
      <c r="B620" s="351" t="s">
        <v>363</v>
      </c>
      <c r="C620" s="311" t="s">
        <v>1464</v>
      </c>
      <c r="D620" s="317" t="s">
        <v>1465</v>
      </c>
      <c r="E620" s="315">
        <v>32231917</v>
      </c>
      <c r="F620" s="327" t="s">
        <v>1466</v>
      </c>
      <c r="G620" s="325" t="s">
        <v>516</v>
      </c>
      <c r="H620" s="316">
        <v>32132603</v>
      </c>
      <c r="I620" s="316" t="str">
        <f>Table5[[#This Row],[ÁREA]]</f>
        <v>MIXTO 3-4</v>
      </c>
      <c r="J620" s="317" t="s">
        <v>1482</v>
      </c>
      <c r="K620" s="319" t="s">
        <v>1483</v>
      </c>
      <c r="L620" s="318">
        <v>14</v>
      </c>
      <c r="M620" s="317" t="s">
        <v>1465</v>
      </c>
      <c r="N620" s="312" t="s">
        <v>1447</v>
      </c>
    </row>
    <row r="621" spans="2:14" ht="24.9" customHeight="1" x14ac:dyDescent="0.3">
      <c r="B621" s="351" t="s">
        <v>363</v>
      </c>
      <c r="C621" s="311" t="s">
        <v>1464</v>
      </c>
      <c r="D621" s="317" t="s">
        <v>1465</v>
      </c>
      <c r="E621" s="329">
        <v>32231917</v>
      </c>
      <c r="F621" s="321" t="s">
        <v>1466</v>
      </c>
      <c r="G621" s="315" t="s">
        <v>516</v>
      </c>
      <c r="H621" s="316">
        <v>32149603</v>
      </c>
      <c r="I621" s="316" t="str">
        <f>Table5[[#This Row],[ÁREA]]</f>
        <v>MIXTO 3-4</v>
      </c>
      <c r="J621" s="317" t="s">
        <v>1484</v>
      </c>
      <c r="K621" s="319" t="s">
        <v>1485</v>
      </c>
      <c r="L621" s="318">
        <v>14</v>
      </c>
      <c r="M621" s="317" t="s">
        <v>1465</v>
      </c>
      <c r="N621" s="312" t="s">
        <v>1454</v>
      </c>
    </row>
    <row r="622" spans="2:14" ht="24.9" customHeight="1" x14ac:dyDescent="0.3">
      <c r="B622" s="351" t="s">
        <v>363</v>
      </c>
      <c r="C622" s="311" t="s">
        <v>1486</v>
      </c>
      <c r="D622" s="317" t="s">
        <v>1465</v>
      </c>
      <c r="E622" s="315">
        <v>32231917</v>
      </c>
      <c r="F622" s="327" t="s">
        <v>1466</v>
      </c>
      <c r="G622" s="315" t="s">
        <v>516</v>
      </c>
      <c r="H622" s="316">
        <v>32198294</v>
      </c>
      <c r="I622" s="316" t="str">
        <f>Table5[[#This Row],[ÁREA]]</f>
        <v>Mixto 3-4</v>
      </c>
      <c r="J622" s="317" t="s">
        <v>1487</v>
      </c>
      <c r="K622" s="319" t="s">
        <v>1488</v>
      </c>
      <c r="L622" s="318">
        <v>14</v>
      </c>
      <c r="M622" s="317" t="s">
        <v>1465</v>
      </c>
      <c r="N622" s="312" t="s">
        <v>481</v>
      </c>
    </row>
    <row r="623" spans="2:14" ht="24.9" customHeight="1" x14ac:dyDescent="0.3">
      <c r="B623" s="311" t="s">
        <v>363</v>
      </c>
      <c r="C623" s="311" t="s">
        <v>1464</v>
      </c>
      <c r="D623" s="317" t="s">
        <v>1465</v>
      </c>
      <c r="E623" s="329">
        <v>32231917</v>
      </c>
      <c r="F623" s="321" t="s">
        <v>1466</v>
      </c>
      <c r="G623" s="315" t="s">
        <v>516</v>
      </c>
      <c r="H623" s="316">
        <v>32107323</v>
      </c>
      <c r="I623" s="316" t="str">
        <f>Table5[[#This Row],[ÁREA]]</f>
        <v>MIXTO 3-4</v>
      </c>
      <c r="J623" s="317" t="s">
        <v>1489</v>
      </c>
      <c r="K623" s="322" t="s">
        <v>1490</v>
      </c>
      <c r="L623" s="318">
        <v>14</v>
      </c>
      <c r="M623" s="318" t="s">
        <v>1465</v>
      </c>
      <c r="N623" s="312" t="s">
        <v>1491</v>
      </c>
    </row>
    <row r="624" spans="2:14" ht="24.9" customHeight="1" x14ac:dyDescent="0.3">
      <c r="B624" s="351" t="s">
        <v>363</v>
      </c>
      <c r="C624" s="311" t="s">
        <v>1464</v>
      </c>
      <c r="D624" s="317" t="s">
        <v>1465</v>
      </c>
      <c r="E624" s="329">
        <v>32231917</v>
      </c>
      <c r="F624" s="321" t="s">
        <v>1466</v>
      </c>
      <c r="G624" s="315" t="s">
        <v>516</v>
      </c>
      <c r="H624" s="316">
        <v>32149609</v>
      </c>
      <c r="I624" s="316" t="str">
        <f>Table5[[#This Row],[ÁREA]]</f>
        <v>MIXTO 3-4</v>
      </c>
      <c r="J624" s="317" t="s">
        <v>1492</v>
      </c>
      <c r="K624" s="319" t="s">
        <v>1493</v>
      </c>
      <c r="L624" s="318">
        <v>14</v>
      </c>
      <c r="M624" s="317" t="s">
        <v>1465</v>
      </c>
      <c r="N624" s="312" t="s">
        <v>1444</v>
      </c>
    </row>
    <row r="625" spans="2:14" ht="24.9" customHeight="1" x14ac:dyDescent="0.3">
      <c r="B625" s="351" t="s">
        <v>363</v>
      </c>
      <c r="C625" s="311" t="s">
        <v>1464</v>
      </c>
      <c r="D625" s="317" t="s">
        <v>1465</v>
      </c>
      <c r="E625" s="330">
        <v>32231917</v>
      </c>
      <c r="F625" s="314" t="s">
        <v>1466</v>
      </c>
      <c r="G625" s="315" t="s">
        <v>516</v>
      </c>
      <c r="H625" s="316">
        <v>32148616</v>
      </c>
      <c r="I625" s="316" t="str">
        <f>Table5[[#This Row],[ÁREA]]</f>
        <v>MIXTO 3-4</v>
      </c>
      <c r="J625" s="317" t="s">
        <v>1494</v>
      </c>
      <c r="K625" s="319" t="s">
        <v>1495</v>
      </c>
      <c r="L625" s="318">
        <v>14</v>
      </c>
      <c r="M625" s="317" t="s">
        <v>1465</v>
      </c>
      <c r="N625" s="312" t="s">
        <v>369</v>
      </c>
    </row>
    <row r="626" spans="2:14" ht="24.9" customHeight="1" x14ac:dyDescent="0.3">
      <c r="B626" s="351" t="s">
        <v>363</v>
      </c>
      <c r="C626" s="352" t="s">
        <v>1464</v>
      </c>
      <c r="D626" s="338" t="s">
        <v>1465</v>
      </c>
      <c r="E626" s="329">
        <v>32231917</v>
      </c>
      <c r="F626" s="321" t="s">
        <v>1466</v>
      </c>
      <c r="G626" s="315" t="s">
        <v>516</v>
      </c>
      <c r="H626" s="353">
        <v>32132174</v>
      </c>
      <c r="I626" s="353" t="str">
        <f>Table5[[#This Row],[ÁREA]]</f>
        <v>MIXTO 3-4</v>
      </c>
      <c r="J626" s="338" t="s">
        <v>1496</v>
      </c>
      <c r="K626" s="319" t="s">
        <v>1497</v>
      </c>
      <c r="L626" s="318">
        <v>14</v>
      </c>
      <c r="M626" s="338" t="s">
        <v>1465</v>
      </c>
      <c r="N626" s="355" t="s">
        <v>381</v>
      </c>
    </row>
    <row r="627" spans="2:14" ht="24.9" customHeight="1" x14ac:dyDescent="0.3">
      <c r="B627" s="311" t="s">
        <v>363</v>
      </c>
      <c r="C627" s="311" t="s">
        <v>1464</v>
      </c>
      <c r="D627" s="317" t="s">
        <v>1465</v>
      </c>
      <c r="E627" s="329">
        <v>32231917</v>
      </c>
      <c r="F627" s="321" t="s">
        <v>1466</v>
      </c>
      <c r="G627" s="325" t="s">
        <v>516</v>
      </c>
      <c r="H627" s="316">
        <v>32045535</v>
      </c>
      <c r="I627" s="316" t="str">
        <f>Table5[[#This Row],[ÁREA]]</f>
        <v>MIXTO 3-4</v>
      </c>
      <c r="J627" s="317" t="s">
        <v>1498</v>
      </c>
      <c r="K627" s="322" t="s">
        <v>1499</v>
      </c>
      <c r="L627" s="318">
        <v>14</v>
      </c>
      <c r="M627" s="317" t="s">
        <v>1465</v>
      </c>
      <c r="N627" s="312" t="s">
        <v>375</v>
      </c>
    </row>
    <row r="628" spans="2:14" ht="24.9" customHeight="1" x14ac:dyDescent="0.3">
      <c r="B628" s="351" t="s">
        <v>363</v>
      </c>
      <c r="C628" s="311" t="s">
        <v>1464</v>
      </c>
      <c r="D628" s="317" t="s">
        <v>1465</v>
      </c>
      <c r="E628" s="329">
        <v>32231917</v>
      </c>
      <c r="F628" s="321" t="s">
        <v>1466</v>
      </c>
      <c r="G628" s="315" t="s">
        <v>516</v>
      </c>
      <c r="H628" s="316">
        <v>32060942</v>
      </c>
      <c r="I628" s="316" t="str">
        <f>Table5[[#This Row],[ÁREA]]</f>
        <v>MIXTO 3-4</v>
      </c>
      <c r="J628" s="375" t="s">
        <v>1500</v>
      </c>
      <c r="K628" s="315" t="s">
        <v>1501</v>
      </c>
      <c r="L628" s="318">
        <v>14</v>
      </c>
      <c r="M628" s="317" t="s">
        <v>1465</v>
      </c>
      <c r="N628" s="312" t="s">
        <v>372</v>
      </c>
    </row>
    <row r="629" spans="2:14" ht="24.9" customHeight="1" x14ac:dyDescent="0.3">
      <c r="B629" s="351" t="s">
        <v>363</v>
      </c>
      <c r="C629" s="311" t="s">
        <v>1502</v>
      </c>
      <c r="D629" s="318" t="s">
        <v>1503</v>
      </c>
      <c r="E629" s="320">
        <v>32223878</v>
      </c>
      <c r="F629" s="324" t="s">
        <v>1504</v>
      </c>
      <c r="G629" s="315" t="s">
        <v>1505</v>
      </c>
      <c r="H629" s="316">
        <v>32044082</v>
      </c>
      <c r="I629" s="316" t="str">
        <f>Table5[[#This Row],[ÁREA]]</f>
        <v>MIXTO 5-7</v>
      </c>
      <c r="J629" s="317" t="s">
        <v>1506</v>
      </c>
      <c r="K629" s="319" t="s">
        <v>1507</v>
      </c>
      <c r="L629" s="318">
        <v>12</v>
      </c>
      <c r="M629" s="317" t="s">
        <v>1503</v>
      </c>
      <c r="N629" s="312" t="s">
        <v>467</v>
      </c>
    </row>
    <row r="630" spans="2:14" ht="24.9" customHeight="1" x14ac:dyDescent="0.3">
      <c r="B630" s="351" t="s">
        <v>363</v>
      </c>
      <c r="C630" s="311" t="s">
        <v>1502</v>
      </c>
      <c r="D630" s="318" t="s">
        <v>1503</v>
      </c>
      <c r="E630" s="320">
        <v>32223878</v>
      </c>
      <c r="F630" s="324" t="s">
        <v>1504</v>
      </c>
      <c r="G630" s="315" t="s">
        <v>1505</v>
      </c>
      <c r="H630" s="316">
        <v>32044094</v>
      </c>
      <c r="I630" s="316" t="str">
        <f>Table5[[#This Row],[ÁREA]]</f>
        <v>MIXTO 5-7</v>
      </c>
      <c r="J630" s="317" t="s">
        <v>1508</v>
      </c>
      <c r="K630" s="319" t="s">
        <v>1509</v>
      </c>
      <c r="L630" s="318">
        <v>12</v>
      </c>
      <c r="M630" s="317" t="s">
        <v>1503</v>
      </c>
      <c r="N630" s="312" t="s">
        <v>779</v>
      </c>
    </row>
    <row r="631" spans="2:14" ht="24.9" customHeight="1" x14ac:dyDescent="0.3">
      <c r="B631" s="351" t="s">
        <v>363</v>
      </c>
      <c r="C631" s="311" t="s">
        <v>1502</v>
      </c>
      <c r="D631" s="318" t="s">
        <v>1503</v>
      </c>
      <c r="E631" s="320">
        <v>32223878</v>
      </c>
      <c r="F631" s="324" t="s">
        <v>1504</v>
      </c>
      <c r="G631" s="315" t="s">
        <v>1505</v>
      </c>
      <c r="H631" s="316">
        <v>32044873</v>
      </c>
      <c r="I631" s="316" t="str">
        <f>Table5[[#This Row],[ÁREA]]</f>
        <v>MIXTO 5-7</v>
      </c>
      <c r="J631" s="317" t="s">
        <v>1510</v>
      </c>
      <c r="K631" s="315" t="s">
        <v>1511</v>
      </c>
      <c r="L631" s="318">
        <v>12</v>
      </c>
      <c r="M631" s="317" t="s">
        <v>1503</v>
      </c>
      <c r="N631" s="312" t="s">
        <v>461</v>
      </c>
    </row>
    <row r="632" spans="2:14" ht="24.9" customHeight="1" x14ac:dyDescent="0.3">
      <c r="B632" s="351" t="s">
        <v>363</v>
      </c>
      <c r="C632" s="311" t="s">
        <v>1502</v>
      </c>
      <c r="D632" s="318" t="s">
        <v>1503</v>
      </c>
      <c r="E632" s="320">
        <v>32223878</v>
      </c>
      <c r="F632" s="324" t="s">
        <v>1504</v>
      </c>
      <c r="G632" s="315" t="s">
        <v>1505</v>
      </c>
      <c r="H632" s="316">
        <v>32046248</v>
      </c>
      <c r="I632" s="316" t="str">
        <f>Table5[[#This Row],[ÁREA]]</f>
        <v>MIXTO 5-7</v>
      </c>
      <c r="J632" s="317" t="s">
        <v>1512</v>
      </c>
      <c r="K632" s="317" t="s">
        <v>61</v>
      </c>
      <c r="L632" s="318">
        <v>12</v>
      </c>
      <c r="M632" s="317" t="s">
        <v>1503</v>
      </c>
      <c r="N632" s="312" t="s">
        <v>473</v>
      </c>
    </row>
    <row r="633" spans="2:14" ht="24.9" customHeight="1" x14ac:dyDescent="0.3">
      <c r="B633" s="351" t="s">
        <v>363</v>
      </c>
      <c r="C633" s="352" t="s">
        <v>1502</v>
      </c>
      <c r="D633" s="354" t="s">
        <v>1503</v>
      </c>
      <c r="E633" s="320">
        <v>32223878</v>
      </c>
      <c r="F633" s="324" t="s">
        <v>1504</v>
      </c>
      <c r="G633" s="315" t="s">
        <v>1505</v>
      </c>
      <c r="H633" s="353">
        <v>32046391</v>
      </c>
      <c r="I633" s="353" t="str">
        <f>Table5[[#This Row],[ÁREA]]</f>
        <v>MIXTO 5-7</v>
      </c>
      <c r="J633" s="338" t="s">
        <v>1513</v>
      </c>
      <c r="K633" s="319" t="s">
        <v>1514</v>
      </c>
      <c r="L633" s="318">
        <v>12</v>
      </c>
      <c r="M633" s="338" t="s">
        <v>1503</v>
      </c>
      <c r="N633" s="355" t="s">
        <v>456</v>
      </c>
    </row>
    <row r="634" spans="2:14" ht="24.9" customHeight="1" x14ac:dyDescent="0.3">
      <c r="B634" s="351" t="s">
        <v>363</v>
      </c>
      <c r="C634" s="311" t="s">
        <v>1502</v>
      </c>
      <c r="D634" s="318" t="s">
        <v>1503</v>
      </c>
      <c r="E634" s="320">
        <v>32223878</v>
      </c>
      <c r="F634" s="324" t="s">
        <v>1504</v>
      </c>
      <c r="G634" s="315" t="s">
        <v>1505</v>
      </c>
      <c r="H634" s="316">
        <v>32046570</v>
      </c>
      <c r="I634" s="316" t="str">
        <f>Table5[[#This Row],[ÁREA]]</f>
        <v>MIXTO 5-7</v>
      </c>
      <c r="J634" s="317" t="s">
        <v>1515</v>
      </c>
      <c r="K634" s="322" t="s">
        <v>1516</v>
      </c>
      <c r="L634" s="318">
        <v>12</v>
      </c>
      <c r="M634" s="317" t="s">
        <v>1503</v>
      </c>
      <c r="N634" s="312" t="s">
        <v>447</v>
      </c>
    </row>
    <row r="635" spans="2:14" ht="24.9" customHeight="1" x14ac:dyDescent="0.3">
      <c r="B635" s="351" t="s">
        <v>363</v>
      </c>
      <c r="C635" s="311" t="s">
        <v>1502</v>
      </c>
      <c r="D635" s="318" t="s">
        <v>1503</v>
      </c>
      <c r="E635" s="318">
        <v>32223878</v>
      </c>
      <c r="F635" s="324" t="s">
        <v>1504</v>
      </c>
      <c r="G635" s="315" t="s">
        <v>1505</v>
      </c>
      <c r="H635" s="316">
        <v>32132050</v>
      </c>
      <c r="I635" s="316" t="str">
        <f>Table5[[#This Row],[ÁREA]]</f>
        <v>MIXTO 5-7</v>
      </c>
      <c r="J635" s="317" t="s">
        <v>1517</v>
      </c>
      <c r="K635" s="319" t="s">
        <v>1518</v>
      </c>
      <c r="L635" s="318">
        <v>12</v>
      </c>
      <c r="M635" s="317" t="s">
        <v>1503</v>
      </c>
      <c r="N635" s="312" t="s">
        <v>812</v>
      </c>
    </row>
    <row r="636" spans="2:14" ht="24.9" customHeight="1" x14ac:dyDescent="0.3">
      <c r="B636" s="351" t="s">
        <v>363</v>
      </c>
      <c r="C636" s="311" t="s">
        <v>1502</v>
      </c>
      <c r="D636" s="318" t="s">
        <v>1503</v>
      </c>
      <c r="E636" s="318">
        <v>32223878</v>
      </c>
      <c r="F636" s="326" t="s">
        <v>1504</v>
      </c>
      <c r="G636" s="315" t="s">
        <v>1505</v>
      </c>
      <c r="H636" s="316">
        <v>32132238</v>
      </c>
      <c r="I636" s="316" t="str">
        <f>Table5[[#This Row],[ÁREA]]</f>
        <v>MIXTO 5-7</v>
      </c>
      <c r="J636" s="317" t="s">
        <v>1519</v>
      </c>
      <c r="K636" s="319" t="s">
        <v>1520</v>
      </c>
      <c r="L636" s="318">
        <v>12</v>
      </c>
      <c r="M636" s="317" t="s">
        <v>1503</v>
      </c>
      <c r="N636" s="312" t="s">
        <v>807</v>
      </c>
    </row>
    <row r="637" spans="2:14" ht="24.9" customHeight="1" x14ac:dyDescent="0.3">
      <c r="B637" s="351" t="s">
        <v>363</v>
      </c>
      <c r="C637" s="311" t="s">
        <v>1502</v>
      </c>
      <c r="D637" s="318" t="s">
        <v>1503</v>
      </c>
      <c r="E637" s="318">
        <v>32223878</v>
      </c>
      <c r="F637" s="326" t="s">
        <v>1504</v>
      </c>
      <c r="G637" s="315" t="s">
        <v>1505</v>
      </c>
      <c r="H637" s="316">
        <v>32139710</v>
      </c>
      <c r="I637" s="316" t="str">
        <f>Table5[[#This Row],[ÁREA]]</f>
        <v>MIXTO 5-7</v>
      </c>
      <c r="J637" s="317" t="s">
        <v>1521</v>
      </c>
      <c r="K637" s="319" t="s">
        <v>1522</v>
      </c>
      <c r="L637" s="318">
        <v>12</v>
      </c>
      <c r="M637" s="317" t="s">
        <v>1503</v>
      </c>
      <c r="N637" s="312" t="s">
        <v>547</v>
      </c>
    </row>
    <row r="638" spans="2:14" ht="24.9" customHeight="1" x14ac:dyDescent="0.3">
      <c r="B638" s="351" t="s">
        <v>363</v>
      </c>
      <c r="C638" s="311" t="s">
        <v>1502</v>
      </c>
      <c r="D638" s="318" t="s">
        <v>1503</v>
      </c>
      <c r="E638" s="318">
        <v>32223878</v>
      </c>
      <c r="F638" s="326" t="s">
        <v>1504</v>
      </c>
      <c r="G638" s="315" t="s">
        <v>1505</v>
      </c>
      <c r="H638" s="316">
        <v>32149250</v>
      </c>
      <c r="I638" s="316" t="str">
        <f>Table5[[#This Row],[ÁREA]]</f>
        <v>MIXTO 5-7</v>
      </c>
      <c r="J638" s="317" t="s">
        <v>1523</v>
      </c>
      <c r="K638" s="319" t="s">
        <v>1524</v>
      </c>
      <c r="L638" s="318">
        <v>12</v>
      </c>
      <c r="M638" s="317" t="s">
        <v>1503</v>
      </c>
      <c r="N638" s="312" t="s">
        <v>765</v>
      </c>
    </row>
    <row r="639" spans="2:14" ht="24.9" customHeight="1" x14ac:dyDescent="0.3">
      <c r="B639" s="351" t="s">
        <v>363</v>
      </c>
      <c r="C639" s="311" t="s">
        <v>1502</v>
      </c>
      <c r="D639" s="318" t="s">
        <v>1503</v>
      </c>
      <c r="E639" s="318">
        <v>32223878</v>
      </c>
      <c r="F639" s="326" t="s">
        <v>1504</v>
      </c>
      <c r="G639" s="315" t="s">
        <v>1505</v>
      </c>
      <c r="H639" s="316">
        <v>32149861</v>
      </c>
      <c r="I639" s="316" t="str">
        <f>Table5[[#This Row],[ÁREA]]</f>
        <v>MIXTO 5-7</v>
      </c>
      <c r="J639" s="317" t="s">
        <v>1525</v>
      </c>
      <c r="K639" s="315" t="s">
        <v>1526</v>
      </c>
      <c r="L639" s="318">
        <v>12</v>
      </c>
      <c r="M639" s="317" t="s">
        <v>1503</v>
      </c>
      <c r="N639" s="312" t="s">
        <v>525</v>
      </c>
    </row>
    <row r="640" spans="2:14" ht="24.9" customHeight="1" x14ac:dyDescent="0.3">
      <c r="B640" s="351" t="s">
        <v>363</v>
      </c>
      <c r="C640" s="311" t="s">
        <v>1502</v>
      </c>
      <c r="D640" s="318" t="s">
        <v>1503</v>
      </c>
      <c r="E640" s="318">
        <v>32223878</v>
      </c>
      <c r="F640" s="326" t="s">
        <v>1504</v>
      </c>
      <c r="G640" s="315" t="s">
        <v>1505</v>
      </c>
      <c r="H640" s="316">
        <v>32197895</v>
      </c>
      <c r="I640" s="316" t="str">
        <f>Table5[[#This Row],[ÁREA]]</f>
        <v>MIXTO 5-7</v>
      </c>
      <c r="J640" s="317" t="s">
        <v>1527</v>
      </c>
      <c r="K640" s="319" t="s">
        <v>1528</v>
      </c>
      <c r="L640" s="318">
        <v>12</v>
      </c>
      <c r="M640" s="317" t="s">
        <v>1503</v>
      </c>
      <c r="N640" s="312" t="s">
        <v>651</v>
      </c>
    </row>
    <row r="641" spans="2:14" ht="24.9" customHeight="1" x14ac:dyDescent="0.3">
      <c r="B641" s="351" t="s">
        <v>363</v>
      </c>
      <c r="C641" s="352" t="s">
        <v>1529</v>
      </c>
      <c r="D641" s="354" t="s">
        <v>1530</v>
      </c>
      <c r="E641" s="318">
        <v>32223878</v>
      </c>
      <c r="F641" s="356" t="s">
        <v>1504</v>
      </c>
      <c r="G641" s="315" t="s">
        <v>1531</v>
      </c>
      <c r="H641" s="353">
        <v>32045186</v>
      </c>
      <c r="I641" s="353" t="str">
        <f>Table5[[#This Row],[ÁREA]]</f>
        <v>MIXTO 6-9</v>
      </c>
      <c r="J641" s="376" t="s">
        <v>1532</v>
      </c>
      <c r="K641" s="331" t="s">
        <v>1533</v>
      </c>
      <c r="L641" s="318">
        <v>19</v>
      </c>
      <c r="M641" s="338" t="s">
        <v>1530</v>
      </c>
      <c r="N641" s="355" t="s">
        <v>937</v>
      </c>
    </row>
    <row r="642" spans="2:14" ht="24.9" customHeight="1" x14ac:dyDescent="0.3">
      <c r="B642" s="351" t="s">
        <v>363</v>
      </c>
      <c r="C642" s="311" t="s">
        <v>1529</v>
      </c>
      <c r="D642" s="318" t="s">
        <v>1530</v>
      </c>
      <c r="E642" s="313">
        <v>32223878</v>
      </c>
      <c r="F642" s="323" t="s">
        <v>1504</v>
      </c>
      <c r="G642" s="315" t="s">
        <v>1531</v>
      </c>
      <c r="H642" s="316">
        <v>32045625</v>
      </c>
      <c r="I642" s="316" t="str">
        <f>Table5[[#This Row],[ÁREA]]</f>
        <v>MIXTO 6-9</v>
      </c>
      <c r="J642" s="333" t="s">
        <v>1534</v>
      </c>
      <c r="K642" s="315" t="s">
        <v>1535</v>
      </c>
      <c r="L642" s="318">
        <v>19</v>
      </c>
      <c r="M642" s="317" t="s">
        <v>1530</v>
      </c>
      <c r="N642" s="312" t="s">
        <v>1026</v>
      </c>
    </row>
    <row r="643" spans="2:14" ht="24.9" customHeight="1" x14ac:dyDescent="0.3">
      <c r="B643" s="351" t="s">
        <v>363</v>
      </c>
      <c r="C643" s="311" t="s">
        <v>1529</v>
      </c>
      <c r="D643" s="318" t="s">
        <v>1530</v>
      </c>
      <c r="E643" s="313">
        <v>32223878</v>
      </c>
      <c r="F643" s="323" t="s">
        <v>1504</v>
      </c>
      <c r="G643" s="315" t="s">
        <v>1531</v>
      </c>
      <c r="H643" s="316">
        <v>32045964</v>
      </c>
      <c r="I643" s="316" t="str">
        <f>Table5[[#This Row],[ÁREA]]</f>
        <v>MIXTO 6-9</v>
      </c>
      <c r="J643" s="333" t="s">
        <v>1536</v>
      </c>
      <c r="K643" s="319" t="s">
        <v>1537</v>
      </c>
      <c r="L643" s="318">
        <v>19</v>
      </c>
      <c r="M643" s="317" t="s">
        <v>1530</v>
      </c>
      <c r="N643" s="312" t="s">
        <v>705</v>
      </c>
    </row>
    <row r="644" spans="2:14" ht="24.9" customHeight="1" x14ac:dyDescent="0.3">
      <c r="B644" s="351" t="s">
        <v>363</v>
      </c>
      <c r="C644" s="311" t="s">
        <v>1529</v>
      </c>
      <c r="D644" s="318" t="s">
        <v>1530</v>
      </c>
      <c r="E644" s="313">
        <v>32223878</v>
      </c>
      <c r="F644" s="323" t="s">
        <v>1504</v>
      </c>
      <c r="G644" s="315" t="s">
        <v>1531</v>
      </c>
      <c r="H644" s="316">
        <v>32046048</v>
      </c>
      <c r="I644" s="316" t="str">
        <f>Table5[[#This Row],[ÁREA]]</f>
        <v>MIXTO 6-9</v>
      </c>
      <c r="J644" s="333" t="s">
        <v>1538</v>
      </c>
      <c r="K644" s="319" t="s">
        <v>1539</v>
      </c>
      <c r="L644" s="318">
        <v>19</v>
      </c>
      <c r="M644" s="317" t="s">
        <v>1530</v>
      </c>
      <c r="N644" s="312" t="s">
        <v>564</v>
      </c>
    </row>
    <row r="645" spans="2:14" ht="24.9" customHeight="1" x14ac:dyDescent="0.3">
      <c r="B645" s="351" t="s">
        <v>363</v>
      </c>
      <c r="C645" s="311" t="s">
        <v>1529</v>
      </c>
      <c r="D645" s="318" t="s">
        <v>1530</v>
      </c>
      <c r="E645" s="313">
        <v>32223878</v>
      </c>
      <c r="F645" s="323" t="s">
        <v>1504</v>
      </c>
      <c r="G645" s="315" t="s">
        <v>1531</v>
      </c>
      <c r="H645" s="316">
        <v>32046494</v>
      </c>
      <c r="I645" s="316" t="str">
        <f>Table5[[#This Row],[ÁREA]]</f>
        <v>MIXTO 6-9</v>
      </c>
      <c r="J645" s="333" t="s">
        <v>1540</v>
      </c>
      <c r="K645" s="322" t="s">
        <v>1541</v>
      </c>
      <c r="L645" s="318">
        <v>19</v>
      </c>
      <c r="M645" s="317" t="s">
        <v>1530</v>
      </c>
      <c r="N645" s="312" t="s">
        <v>456</v>
      </c>
    </row>
    <row r="646" spans="2:14" ht="24.9" customHeight="1" x14ac:dyDescent="0.3">
      <c r="B646" s="351" t="s">
        <v>363</v>
      </c>
      <c r="C646" s="311" t="s">
        <v>1529</v>
      </c>
      <c r="D646" s="318" t="s">
        <v>1530</v>
      </c>
      <c r="E646" s="320">
        <v>32223878</v>
      </c>
      <c r="F646" s="324" t="s">
        <v>1504</v>
      </c>
      <c r="G646" s="325" t="s">
        <v>1531</v>
      </c>
      <c r="H646" s="316">
        <v>32132180</v>
      </c>
      <c r="I646" s="316" t="str">
        <f>Table5[[#This Row],[ÁREA]]</f>
        <v>MIXTO 6-9</v>
      </c>
      <c r="J646" s="333" t="s">
        <v>1542</v>
      </c>
      <c r="K646" s="349" t="s">
        <v>61</v>
      </c>
      <c r="L646" s="318">
        <v>19</v>
      </c>
      <c r="M646" s="317" t="s">
        <v>1530</v>
      </c>
      <c r="N646" s="312" t="s">
        <v>958</v>
      </c>
    </row>
    <row r="647" spans="2:14" ht="24.9" customHeight="1" x14ac:dyDescent="0.3">
      <c r="B647" s="351" t="s">
        <v>363</v>
      </c>
      <c r="C647" s="311" t="s">
        <v>1529</v>
      </c>
      <c r="D647" s="318" t="s">
        <v>1530</v>
      </c>
      <c r="E647" s="320">
        <v>32223878</v>
      </c>
      <c r="F647" s="324" t="s">
        <v>1504</v>
      </c>
      <c r="G647" s="325" t="s">
        <v>1531</v>
      </c>
      <c r="H647" s="316">
        <v>32136718</v>
      </c>
      <c r="I647" s="316" t="str">
        <f>Table5[[#This Row],[ÁREA]]</f>
        <v>MIXTO 6-9</v>
      </c>
      <c r="J647" s="333" t="s">
        <v>1543</v>
      </c>
      <c r="K647" s="349" t="s">
        <v>61</v>
      </c>
      <c r="L647" s="318">
        <v>19</v>
      </c>
      <c r="M647" s="317" t="s">
        <v>1530</v>
      </c>
      <c r="N647" s="312" t="s">
        <v>714</v>
      </c>
    </row>
    <row r="648" spans="2:14" ht="24.9" customHeight="1" x14ac:dyDescent="0.3">
      <c r="B648" s="311" t="s">
        <v>363</v>
      </c>
      <c r="C648" s="311" t="s">
        <v>1529</v>
      </c>
      <c r="D648" s="318" t="s">
        <v>1530</v>
      </c>
      <c r="E648" s="340">
        <v>32223878</v>
      </c>
      <c r="F648" s="343" t="s">
        <v>1504</v>
      </c>
      <c r="G648" s="315" t="s">
        <v>1531</v>
      </c>
      <c r="H648" s="316">
        <v>32148867</v>
      </c>
      <c r="I648" s="316" t="str">
        <f>Table5[[#This Row],[ÁREA]]</f>
        <v>MIXTO 6-9</v>
      </c>
      <c r="J648" s="333" t="s">
        <v>1544</v>
      </c>
      <c r="K648" s="319" t="s">
        <v>1545</v>
      </c>
      <c r="L648" s="318">
        <v>19</v>
      </c>
      <c r="M648" s="317" t="s">
        <v>1530</v>
      </c>
      <c r="N648" s="312" t="s">
        <v>765</v>
      </c>
    </row>
    <row r="649" spans="2:14" ht="24.9" customHeight="1" x14ac:dyDescent="0.3">
      <c r="B649" s="311" t="s">
        <v>363</v>
      </c>
      <c r="C649" s="311" t="s">
        <v>1529</v>
      </c>
      <c r="D649" s="318" t="s">
        <v>1530</v>
      </c>
      <c r="E649" s="313">
        <v>32223878</v>
      </c>
      <c r="F649" s="377" t="s">
        <v>1504</v>
      </c>
      <c r="G649" s="334" t="s">
        <v>1531</v>
      </c>
      <c r="H649" s="378">
        <v>32153098</v>
      </c>
      <c r="I649" s="379" t="str">
        <f>Table5[[#This Row],[ÁREA]]</f>
        <v>MIXTO 6-9</v>
      </c>
      <c r="J649" s="333" t="s">
        <v>1546</v>
      </c>
      <c r="K649" s="319" t="s">
        <v>1547</v>
      </c>
      <c r="L649" s="318">
        <v>19</v>
      </c>
      <c r="M649" s="317" t="s">
        <v>1530</v>
      </c>
      <c r="N649" s="312" t="s">
        <v>1548</v>
      </c>
    </row>
    <row r="650" spans="2:14" ht="24.9" customHeight="1" x14ac:dyDescent="0.3">
      <c r="B650" s="351" t="s">
        <v>363</v>
      </c>
      <c r="C650" s="311" t="s">
        <v>1529</v>
      </c>
      <c r="D650" s="318" t="s">
        <v>1530</v>
      </c>
      <c r="E650" s="313">
        <v>32223878</v>
      </c>
      <c r="F650" s="377" t="s">
        <v>1504</v>
      </c>
      <c r="G650" s="315" t="s">
        <v>1531</v>
      </c>
      <c r="H650" s="380">
        <v>32171442</v>
      </c>
      <c r="I650" s="379" t="str">
        <f>Table5[[#This Row],[ÁREA]]</f>
        <v>MIXTO 6-9</v>
      </c>
      <c r="J650" s="333" t="s">
        <v>1549</v>
      </c>
      <c r="K650" s="315" t="s">
        <v>1550</v>
      </c>
      <c r="L650" s="318">
        <v>19</v>
      </c>
      <c r="M650" s="317" t="s">
        <v>1530</v>
      </c>
      <c r="N650" s="312" t="s">
        <v>711</v>
      </c>
    </row>
    <row r="651" spans="2:14" ht="24.9" customHeight="1" x14ac:dyDescent="0.3">
      <c r="B651" s="351" t="s">
        <v>363</v>
      </c>
      <c r="C651" s="311" t="s">
        <v>1529</v>
      </c>
      <c r="D651" s="318" t="s">
        <v>1530</v>
      </c>
      <c r="E651" s="313">
        <v>32223878</v>
      </c>
      <c r="F651" s="377" t="s">
        <v>1504</v>
      </c>
      <c r="G651" s="315" t="s">
        <v>1531</v>
      </c>
      <c r="H651" s="380">
        <v>32197853</v>
      </c>
      <c r="I651" s="379" t="str">
        <f>Table5[[#This Row],[ÁREA]]</f>
        <v>MIXTO 6-9</v>
      </c>
      <c r="J651" s="333" t="s">
        <v>1551</v>
      </c>
      <c r="K651" s="315" t="s">
        <v>1552</v>
      </c>
      <c r="L651" s="318">
        <v>19</v>
      </c>
      <c r="M651" s="317" t="s">
        <v>1530</v>
      </c>
      <c r="N651" s="312" t="s">
        <v>973</v>
      </c>
    </row>
    <row r="652" spans="2:14" ht="24.9" customHeight="1" x14ac:dyDescent="0.3">
      <c r="B652" s="351" t="s">
        <v>363</v>
      </c>
      <c r="C652" s="311" t="s">
        <v>1529</v>
      </c>
      <c r="D652" s="318" t="s">
        <v>1530</v>
      </c>
      <c r="E652" s="313">
        <v>32223878</v>
      </c>
      <c r="F652" s="377" t="s">
        <v>1504</v>
      </c>
      <c r="G652" s="315" t="s">
        <v>1531</v>
      </c>
      <c r="H652" s="380">
        <v>32197855</v>
      </c>
      <c r="I652" s="379" t="str">
        <f>Table5[[#This Row],[ÁREA]]</f>
        <v>MIXTO 6-9</v>
      </c>
      <c r="J652" s="333" t="s">
        <v>1553</v>
      </c>
      <c r="K652" s="319" t="s">
        <v>1554</v>
      </c>
      <c r="L652" s="318">
        <v>19</v>
      </c>
      <c r="M652" s="317" t="s">
        <v>1530</v>
      </c>
      <c r="N652" s="312" t="s">
        <v>564</v>
      </c>
    </row>
    <row r="653" spans="2:14" ht="24.9" customHeight="1" x14ac:dyDescent="0.3">
      <c r="B653" s="351" t="s">
        <v>363</v>
      </c>
      <c r="C653" s="352" t="s">
        <v>1529</v>
      </c>
      <c r="D653" s="354" t="s">
        <v>1530</v>
      </c>
      <c r="E653" s="313">
        <v>32223878</v>
      </c>
      <c r="F653" s="377" t="s">
        <v>1504</v>
      </c>
      <c r="G653" s="315" t="s">
        <v>1531</v>
      </c>
      <c r="H653" s="380">
        <v>32197863</v>
      </c>
      <c r="I653" s="379" t="str">
        <f>Table5[[#This Row],[ÁREA]]</f>
        <v>MIXTO 6-9</v>
      </c>
      <c r="J653" s="333" t="s">
        <v>1555</v>
      </c>
      <c r="K653" s="328" t="s">
        <v>61</v>
      </c>
      <c r="L653" s="318">
        <v>19</v>
      </c>
      <c r="M653" s="317" t="s">
        <v>1530</v>
      </c>
      <c r="N653" s="355" t="s">
        <v>973</v>
      </c>
    </row>
    <row r="654" spans="2:14" ht="24.9" customHeight="1" x14ac:dyDescent="0.3">
      <c r="B654" s="351" t="s">
        <v>363</v>
      </c>
      <c r="C654" s="311" t="s">
        <v>1529</v>
      </c>
      <c r="D654" s="318" t="s">
        <v>1530</v>
      </c>
      <c r="E654" s="313">
        <v>32223878</v>
      </c>
      <c r="F654" s="377" t="s">
        <v>1504</v>
      </c>
      <c r="G654" s="315" t="s">
        <v>1531</v>
      </c>
      <c r="H654" s="380">
        <v>32197892</v>
      </c>
      <c r="I654" s="379" t="str">
        <f>Table5[[#This Row],[ÁREA]]</f>
        <v>MIXTO 6-9</v>
      </c>
      <c r="J654" s="333" t="s">
        <v>1556</v>
      </c>
      <c r="K654" s="319" t="s">
        <v>1557</v>
      </c>
      <c r="L654" s="318">
        <v>19</v>
      </c>
      <c r="M654" s="317" t="s">
        <v>1530</v>
      </c>
      <c r="N654" s="312" t="s">
        <v>666</v>
      </c>
    </row>
    <row r="655" spans="2:14" ht="24.9" customHeight="1" x14ac:dyDescent="0.3">
      <c r="B655" s="351" t="s">
        <v>363</v>
      </c>
      <c r="C655" s="311" t="s">
        <v>1529</v>
      </c>
      <c r="D655" s="318" t="s">
        <v>1530</v>
      </c>
      <c r="E655" s="313">
        <v>32223878</v>
      </c>
      <c r="F655" s="377" t="s">
        <v>1504</v>
      </c>
      <c r="G655" s="325" t="s">
        <v>1531</v>
      </c>
      <c r="H655" s="380">
        <v>32198298</v>
      </c>
      <c r="I655" s="379" t="str">
        <f>Table5[[#This Row],[ÁREA]]</f>
        <v>MIXTO 6-9</v>
      </c>
      <c r="J655" s="333" t="s">
        <v>1558</v>
      </c>
      <c r="K655" s="319" t="s">
        <v>1559</v>
      </c>
      <c r="L655" s="318">
        <v>19</v>
      </c>
      <c r="M655" s="317" t="s">
        <v>1530</v>
      </c>
      <c r="N655" s="312" t="s">
        <v>890</v>
      </c>
    </row>
    <row r="656" spans="2:14" ht="24.9" customHeight="1" x14ac:dyDescent="0.3">
      <c r="B656" s="351" t="s">
        <v>363</v>
      </c>
      <c r="C656" s="311" t="s">
        <v>1560</v>
      </c>
      <c r="D656" s="317" t="s">
        <v>1561</v>
      </c>
      <c r="E656" s="330">
        <v>32231920</v>
      </c>
      <c r="F656" s="330" t="s">
        <v>1079</v>
      </c>
      <c r="G656" s="325" t="s">
        <v>1106</v>
      </c>
      <c r="H656" s="380">
        <v>32045984</v>
      </c>
      <c r="I656" s="379" t="str">
        <f>Table5[[#This Row],[ÁREA]]</f>
        <v>MIXTO 9-10</v>
      </c>
      <c r="J656" s="317" t="s">
        <v>1562</v>
      </c>
      <c r="K656" s="328" t="s">
        <v>61</v>
      </c>
      <c r="L656" s="318">
        <v>13</v>
      </c>
      <c r="M656" s="317" t="s">
        <v>1561</v>
      </c>
      <c r="N656" s="312" t="s">
        <v>705</v>
      </c>
    </row>
    <row r="657" spans="2:14" ht="24.9" customHeight="1" x14ac:dyDescent="0.3">
      <c r="B657" s="351" t="s">
        <v>363</v>
      </c>
      <c r="C657" s="311" t="s">
        <v>1560</v>
      </c>
      <c r="D657" s="317" t="s">
        <v>1561</v>
      </c>
      <c r="E657" s="330">
        <v>32231920</v>
      </c>
      <c r="F657" s="330" t="s">
        <v>1079</v>
      </c>
      <c r="G657" s="331" t="s">
        <v>1106</v>
      </c>
      <c r="H657" s="380">
        <v>32046029</v>
      </c>
      <c r="I657" s="379" t="str">
        <f>Table5[[#This Row],[ÁREA]]</f>
        <v>MIXTO 9-10</v>
      </c>
      <c r="J657" s="317" t="s">
        <v>1563</v>
      </c>
      <c r="K657" s="315" t="s">
        <v>1564</v>
      </c>
      <c r="L657" s="318">
        <v>13</v>
      </c>
      <c r="M657" s="317" t="s">
        <v>1561</v>
      </c>
      <c r="N657" s="312" t="s">
        <v>711</v>
      </c>
    </row>
    <row r="658" spans="2:14" ht="24.9" customHeight="1" x14ac:dyDescent="0.3">
      <c r="B658" s="311" t="s">
        <v>363</v>
      </c>
      <c r="C658" s="311" t="s">
        <v>1560</v>
      </c>
      <c r="D658" s="317" t="s">
        <v>1561</v>
      </c>
      <c r="E658" s="348">
        <v>32231920</v>
      </c>
      <c r="F658" s="341" t="s">
        <v>1079</v>
      </c>
      <c r="G658" s="315" t="s">
        <v>1106</v>
      </c>
      <c r="H658" s="380">
        <v>32046154</v>
      </c>
      <c r="I658" s="381" t="str">
        <f>Table5[[#This Row],[ÁREA]]</f>
        <v>MIXTO 9-10</v>
      </c>
      <c r="J658" s="382" t="s">
        <v>1565</v>
      </c>
      <c r="K658" s="319" t="s">
        <v>1566</v>
      </c>
      <c r="L658" s="318">
        <v>13</v>
      </c>
      <c r="M658" s="317" t="s">
        <v>1561</v>
      </c>
      <c r="N658" s="312" t="s">
        <v>461</v>
      </c>
    </row>
    <row r="659" spans="2:14" ht="24.9" customHeight="1" x14ac:dyDescent="0.3">
      <c r="B659" s="351" t="s">
        <v>363</v>
      </c>
      <c r="C659" s="311" t="s">
        <v>1560</v>
      </c>
      <c r="D659" s="318" t="s">
        <v>1561</v>
      </c>
      <c r="E659" s="348">
        <v>32231920</v>
      </c>
      <c r="F659" s="341" t="s">
        <v>1079</v>
      </c>
      <c r="G659" s="334" t="s">
        <v>541</v>
      </c>
      <c r="H659" s="380">
        <v>32046198</v>
      </c>
      <c r="I659" s="381" t="s">
        <v>1560</v>
      </c>
      <c r="J659" s="382" t="s">
        <v>1567</v>
      </c>
      <c r="K659" s="328" t="s">
        <v>61</v>
      </c>
      <c r="L659" s="318">
        <v>19</v>
      </c>
      <c r="M659" s="318" t="s">
        <v>1561</v>
      </c>
      <c r="N659" s="312" t="s">
        <v>651</v>
      </c>
    </row>
    <row r="660" spans="2:14" ht="24.9" customHeight="1" x14ac:dyDescent="0.3">
      <c r="B660" s="351" t="s">
        <v>363</v>
      </c>
      <c r="C660" s="311" t="s">
        <v>1560</v>
      </c>
      <c r="D660" s="317" t="s">
        <v>1561</v>
      </c>
      <c r="E660" s="330">
        <v>32231920</v>
      </c>
      <c r="F660" s="314" t="s">
        <v>1079</v>
      </c>
      <c r="G660" s="315" t="s">
        <v>1106</v>
      </c>
      <c r="H660" s="316">
        <v>32046310</v>
      </c>
      <c r="I660" s="316" t="str">
        <f>Table5[[#This Row],[ÁREA]]</f>
        <v>MIXTO 9-10</v>
      </c>
      <c r="J660" s="317" t="s">
        <v>1568</v>
      </c>
      <c r="K660" s="315" t="s">
        <v>1569</v>
      </c>
      <c r="L660" s="318">
        <v>13</v>
      </c>
      <c r="M660" s="317" t="s">
        <v>1561</v>
      </c>
      <c r="N660" s="312" t="s">
        <v>453</v>
      </c>
    </row>
    <row r="661" spans="2:14" ht="24.9" customHeight="1" x14ac:dyDescent="0.3">
      <c r="B661" s="351" t="s">
        <v>363</v>
      </c>
      <c r="C661" s="311" t="s">
        <v>1560</v>
      </c>
      <c r="D661" s="317" t="s">
        <v>1561</v>
      </c>
      <c r="E661" s="329">
        <v>32231920</v>
      </c>
      <c r="F661" s="321" t="s">
        <v>1079</v>
      </c>
      <c r="G661" s="315" t="s">
        <v>1106</v>
      </c>
      <c r="H661" s="316">
        <v>32046348</v>
      </c>
      <c r="I661" s="316" t="str">
        <f>Table5[[#This Row],[ÁREA]]</f>
        <v>MIXTO 9-10</v>
      </c>
      <c r="J661" s="317" t="s">
        <v>1570</v>
      </c>
      <c r="K661" s="315" t="s">
        <v>1571</v>
      </c>
      <c r="L661" s="318">
        <v>13</v>
      </c>
      <c r="M661" s="317" t="s">
        <v>1561</v>
      </c>
      <c r="N661" s="312" t="s">
        <v>456</v>
      </c>
    </row>
    <row r="662" spans="2:14" ht="24.9" customHeight="1" x14ac:dyDescent="0.3">
      <c r="B662" s="351" t="s">
        <v>363</v>
      </c>
      <c r="C662" s="311" t="s">
        <v>1560</v>
      </c>
      <c r="D662" s="317" t="s">
        <v>1561</v>
      </c>
      <c r="E662" s="330">
        <v>32231920</v>
      </c>
      <c r="F662" s="314" t="s">
        <v>1079</v>
      </c>
      <c r="G662" s="315" t="s">
        <v>1106</v>
      </c>
      <c r="H662" s="316">
        <v>32046503</v>
      </c>
      <c r="I662" s="316" t="str">
        <f>Table5[[#This Row],[ÁREA]]</f>
        <v>MIXTO 9-10</v>
      </c>
      <c r="J662" s="317" t="s">
        <v>1572</v>
      </c>
      <c r="K662" s="319" t="s">
        <v>1573</v>
      </c>
      <c r="L662" s="318">
        <v>13</v>
      </c>
      <c r="M662" s="317" t="s">
        <v>1561</v>
      </c>
      <c r="N662" s="312" t="s">
        <v>447</v>
      </c>
    </row>
    <row r="663" spans="2:14" ht="24.9" customHeight="1" x14ac:dyDescent="0.3">
      <c r="B663" s="351" t="s">
        <v>363</v>
      </c>
      <c r="C663" s="311" t="s">
        <v>1560</v>
      </c>
      <c r="D663" s="317" t="s">
        <v>1561</v>
      </c>
      <c r="E663" s="330">
        <v>32231920</v>
      </c>
      <c r="F663" s="314" t="s">
        <v>1079</v>
      </c>
      <c r="G663" s="315" t="s">
        <v>1106</v>
      </c>
      <c r="H663" s="316">
        <v>32046591</v>
      </c>
      <c r="I663" s="316" t="str">
        <f>Table5[[#This Row],[ÁREA]]</f>
        <v>MIXTO 9-10</v>
      </c>
      <c r="J663" s="317" t="s">
        <v>1574</v>
      </c>
      <c r="K663" s="319" t="s">
        <v>1575</v>
      </c>
      <c r="L663" s="318">
        <v>13</v>
      </c>
      <c r="M663" s="317" t="s">
        <v>1561</v>
      </c>
      <c r="N663" s="312" t="s">
        <v>1074</v>
      </c>
    </row>
    <row r="664" spans="2:14" ht="24.9" customHeight="1" x14ac:dyDescent="0.3">
      <c r="B664" s="351" t="s">
        <v>363</v>
      </c>
      <c r="C664" s="352" t="s">
        <v>1560</v>
      </c>
      <c r="D664" s="338" t="s">
        <v>1561</v>
      </c>
      <c r="E664" s="330">
        <v>32231920</v>
      </c>
      <c r="F664" s="314" t="s">
        <v>1079</v>
      </c>
      <c r="G664" s="315" t="s">
        <v>1106</v>
      </c>
      <c r="H664" s="353">
        <v>32132599</v>
      </c>
      <c r="I664" s="353" t="str">
        <f>Table5[[#This Row],[ÁREA]]</f>
        <v>MIXTO 9-10</v>
      </c>
      <c r="J664" s="338" t="s">
        <v>1576</v>
      </c>
      <c r="K664" s="322" t="s">
        <v>1577</v>
      </c>
      <c r="L664" s="318">
        <v>13</v>
      </c>
      <c r="M664" s="338" t="s">
        <v>1561</v>
      </c>
      <c r="N664" s="355" t="s">
        <v>1056</v>
      </c>
    </row>
    <row r="665" spans="2:14" ht="24.9" customHeight="1" x14ac:dyDescent="0.3">
      <c r="B665" s="351" t="s">
        <v>363</v>
      </c>
      <c r="C665" s="311" t="s">
        <v>1560</v>
      </c>
      <c r="D665" s="318" t="s">
        <v>1561</v>
      </c>
      <c r="E665" s="348">
        <v>32231920</v>
      </c>
      <c r="F665" s="341" t="s">
        <v>1079</v>
      </c>
      <c r="G665" s="315" t="s">
        <v>541</v>
      </c>
      <c r="H665" s="316">
        <v>32148632</v>
      </c>
      <c r="I665" s="316" t="s">
        <v>1560</v>
      </c>
      <c r="J665" s="317" t="s">
        <v>1578</v>
      </c>
      <c r="K665" s="317" t="s">
        <v>61</v>
      </c>
      <c r="L665" s="318">
        <v>14</v>
      </c>
      <c r="M665" s="317" t="s">
        <v>1561</v>
      </c>
      <c r="N665" s="312" t="s">
        <v>1579</v>
      </c>
    </row>
    <row r="666" spans="2:14" ht="24.9" customHeight="1" x14ac:dyDescent="0.3">
      <c r="B666" s="351" t="s">
        <v>363</v>
      </c>
      <c r="C666" s="311" t="s">
        <v>1560</v>
      </c>
      <c r="D666" s="317" t="s">
        <v>1561</v>
      </c>
      <c r="E666" s="329">
        <v>32231920</v>
      </c>
      <c r="F666" s="321" t="s">
        <v>1079</v>
      </c>
      <c r="G666" s="315" t="s">
        <v>1106</v>
      </c>
      <c r="H666" s="316">
        <v>32149071</v>
      </c>
      <c r="I666" s="316" t="str">
        <f>Table5[[#This Row],[ÁREA]]</f>
        <v>MIXTO 9-10</v>
      </c>
      <c r="J666" s="317" t="s">
        <v>1580</v>
      </c>
      <c r="K666" s="319" t="s">
        <v>1581</v>
      </c>
      <c r="L666" s="318">
        <v>13</v>
      </c>
      <c r="M666" s="317" t="s">
        <v>1561</v>
      </c>
      <c r="N666" s="312" t="s">
        <v>1069</v>
      </c>
    </row>
    <row r="667" spans="2:14" ht="24.9" customHeight="1" x14ac:dyDescent="0.3">
      <c r="B667" s="351" t="s">
        <v>363</v>
      </c>
      <c r="C667" s="311" t="s">
        <v>1560</v>
      </c>
      <c r="D667" s="317" t="s">
        <v>1561</v>
      </c>
      <c r="E667" s="330">
        <v>32231920</v>
      </c>
      <c r="F667" s="314" t="s">
        <v>1079</v>
      </c>
      <c r="G667" s="331" t="s">
        <v>1106</v>
      </c>
      <c r="H667" s="316">
        <v>32186046</v>
      </c>
      <c r="I667" s="316" t="str">
        <f>Table5[[#This Row],[ÁREA]]</f>
        <v>MIXTO 9-10</v>
      </c>
      <c r="J667" s="317" t="s">
        <v>1582</v>
      </c>
      <c r="K667" s="319" t="s">
        <v>1583</v>
      </c>
      <c r="L667" s="318">
        <v>13</v>
      </c>
      <c r="M667" s="317" t="s">
        <v>1561</v>
      </c>
      <c r="N667" s="312" t="s">
        <v>973</v>
      </c>
    </row>
    <row r="668" spans="2:14" ht="24.9" customHeight="1" x14ac:dyDescent="0.3">
      <c r="B668" s="351" t="s">
        <v>1584</v>
      </c>
      <c r="C668" s="311" t="s">
        <v>1585</v>
      </c>
      <c r="D668" s="318" t="s">
        <v>1586</v>
      </c>
      <c r="E668" s="329">
        <v>32198469</v>
      </c>
      <c r="F668" s="321" t="s">
        <v>1587</v>
      </c>
      <c r="G668" s="315" t="s">
        <v>51</v>
      </c>
      <c r="H668" s="383">
        <v>32178734</v>
      </c>
      <c r="I668" s="383" t="str">
        <f>Table5[[#This Row],[ÁREA]]</f>
        <v>ANDENES</v>
      </c>
      <c r="J668" s="315" t="s">
        <v>1588</v>
      </c>
      <c r="K668" s="322"/>
      <c r="L668" s="318">
        <v>11</v>
      </c>
      <c r="M668" s="318" t="s">
        <v>1586</v>
      </c>
      <c r="N668" s="312" t="s">
        <v>1584</v>
      </c>
    </row>
    <row r="669" spans="2:14" ht="24.9" customHeight="1" x14ac:dyDescent="0.3">
      <c r="B669" s="351" t="s">
        <v>1584</v>
      </c>
      <c r="C669" s="311" t="s">
        <v>1589</v>
      </c>
      <c r="D669" s="318" t="s">
        <v>1590</v>
      </c>
      <c r="E669" s="329">
        <v>32173125</v>
      </c>
      <c r="F669" s="321" t="s">
        <v>1591</v>
      </c>
      <c r="G669" s="334" t="s">
        <v>1592</v>
      </c>
      <c r="H669" s="316">
        <v>32198244</v>
      </c>
      <c r="I669" s="316" t="str">
        <f>Table5[[#This Row],[ÁREA]]</f>
        <v xml:space="preserve">ALMACEN ALTERNO </v>
      </c>
      <c r="J669" s="317" t="s">
        <v>1593</v>
      </c>
      <c r="K669" s="315" t="s">
        <v>1594</v>
      </c>
      <c r="L669" s="318">
        <v>5</v>
      </c>
      <c r="M669" s="318" t="s">
        <v>1590</v>
      </c>
      <c r="N669" s="312" t="s">
        <v>47</v>
      </c>
    </row>
    <row r="670" spans="2:14" ht="24.9" customHeight="1" x14ac:dyDescent="0.3">
      <c r="B670" s="351" t="s">
        <v>1584</v>
      </c>
      <c r="C670" s="311" t="s">
        <v>1589</v>
      </c>
      <c r="D670" s="318" t="s">
        <v>1590</v>
      </c>
      <c r="E670" s="329">
        <v>32173125</v>
      </c>
      <c r="F670" s="321" t="s">
        <v>1591</v>
      </c>
      <c r="G670" s="325" t="s">
        <v>1592</v>
      </c>
      <c r="H670" s="316">
        <v>32198252</v>
      </c>
      <c r="I670" s="316" t="str">
        <f>Table5[[#This Row],[ÁREA]]</f>
        <v xml:space="preserve">ALMACEN ALTERNO </v>
      </c>
      <c r="J670" s="317" t="s">
        <v>1595</v>
      </c>
      <c r="K670" s="328" t="s">
        <v>61</v>
      </c>
      <c r="L670" s="318">
        <v>5</v>
      </c>
      <c r="M670" s="318" t="s">
        <v>1590</v>
      </c>
      <c r="N670" s="312" t="s">
        <v>35</v>
      </c>
    </row>
    <row r="671" spans="2:14" ht="24.9" customHeight="1" x14ac:dyDescent="0.3">
      <c r="B671" s="351" t="s">
        <v>1584</v>
      </c>
      <c r="C671" s="311" t="s">
        <v>1589</v>
      </c>
      <c r="D671" s="318" t="s">
        <v>1590</v>
      </c>
      <c r="E671" s="329">
        <v>32173125</v>
      </c>
      <c r="F671" s="321" t="s">
        <v>1591</v>
      </c>
      <c r="G671" s="325" t="s">
        <v>1592</v>
      </c>
      <c r="H671" s="316">
        <v>32197852</v>
      </c>
      <c r="I671" s="316" t="str">
        <f>Table5[[#This Row],[ÁREA]]</f>
        <v xml:space="preserve">ALMACEN ALTERNO </v>
      </c>
      <c r="J671" s="317" t="s">
        <v>1596</v>
      </c>
      <c r="K671" s="315" t="s">
        <v>1597</v>
      </c>
      <c r="L671" s="318">
        <v>5</v>
      </c>
      <c r="M671" s="318" t="s">
        <v>1590</v>
      </c>
      <c r="N671" s="312" t="s">
        <v>44</v>
      </c>
    </row>
    <row r="672" spans="2:14" ht="24.9" customHeight="1" x14ac:dyDescent="0.3">
      <c r="B672" s="311" t="s">
        <v>1584</v>
      </c>
      <c r="C672" s="311" t="s">
        <v>1589</v>
      </c>
      <c r="D672" s="318" t="s">
        <v>1590</v>
      </c>
      <c r="E672" s="315">
        <v>32173125</v>
      </c>
      <c r="F672" s="327" t="s">
        <v>1591</v>
      </c>
      <c r="G672" s="315" t="s">
        <v>1592</v>
      </c>
      <c r="H672" s="316">
        <v>32198260</v>
      </c>
      <c r="I672" s="316" t="str">
        <f>Table5[[#This Row],[ÁREA]]</f>
        <v xml:space="preserve">ALMACEN ALTERNO </v>
      </c>
      <c r="J672" s="317" t="s">
        <v>1598</v>
      </c>
      <c r="K672" s="319" t="s">
        <v>1599</v>
      </c>
      <c r="L672" s="318">
        <v>5</v>
      </c>
      <c r="M672" s="318" t="s">
        <v>1590</v>
      </c>
      <c r="N672" s="312" t="s">
        <v>260</v>
      </c>
    </row>
    <row r="673" spans="2:14" ht="24.9" customHeight="1" x14ac:dyDescent="0.3">
      <c r="B673" s="351" t="s">
        <v>1584</v>
      </c>
      <c r="C673" s="311" t="s">
        <v>1600</v>
      </c>
      <c r="D673" s="318" t="s">
        <v>1601</v>
      </c>
      <c r="E673" s="318">
        <v>32043728</v>
      </c>
      <c r="F673" s="326" t="s">
        <v>1602</v>
      </c>
      <c r="G673" s="334" t="s">
        <v>1603</v>
      </c>
      <c r="H673" s="384">
        <v>32216501</v>
      </c>
      <c r="I673" s="384" t="str">
        <f>Table5[[#This Row],[ÁREA]]</f>
        <v xml:space="preserve">EXPORTACION </v>
      </c>
      <c r="J673" s="333" t="s">
        <v>1604</v>
      </c>
      <c r="L673" s="318">
        <v>9</v>
      </c>
      <c r="M673" s="318" t="s">
        <v>1601</v>
      </c>
      <c r="N673" s="312" t="s">
        <v>47</v>
      </c>
    </row>
    <row r="674" spans="2:14" ht="24.9" customHeight="1" x14ac:dyDescent="0.3">
      <c r="B674" s="351" t="s">
        <v>1584</v>
      </c>
      <c r="C674" s="311" t="s">
        <v>1600</v>
      </c>
      <c r="D674" s="318" t="s">
        <v>1601</v>
      </c>
      <c r="E674" s="318">
        <v>32043728</v>
      </c>
      <c r="F674" s="326" t="s">
        <v>1602</v>
      </c>
      <c r="G674" s="331" t="s">
        <v>1603</v>
      </c>
      <c r="H674" s="384">
        <v>32210326</v>
      </c>
      <c r="I674" s="384" t="str">
        <f>Table5[[#This Row],[ÁREA]]</f>
        <v xml:space="preserve">EXPORTACION </v>
      </c>
      <c r="J674" s="333" t="s">
        <v>1605</v>
      </c>
      <c r="K674" s="342"/>
      <c r="L674" s="318">
        <v>9</v>
      </c>
      <c r="M674" s="318" t="s">
        <v>1601</v>
      </c>
      <c r="N674" s="312" t="s">
        <v>35</v>
      </c>
    </row>
    <row r="675" spans="2:14" ht="24.9" customHeight="1" x14ac:dyDescent="0.3">
      <c r="B675" s="351" t="s">
        <v>1584</v>
      </c>
      <c r="C675" s="311" t="s">
        <v>1600</v>
      </c>
      <c r="D675" s="318" t="s">
        <v>1601</v>
      </c>
      <c r="E675" s="320">
        <v>32043728</v>
      </c>
      <c r="F675" s="324" t="s">
        <v>1602</v>
      </c>
      <c r="G675" s="315" t="s">
        <v>1603</v>
      </c>
      <c r="H675" s="384">
        <v>32045650</v>
      </c>
      <c r="I675" s="384" t="str">
        <f>Table5[[#This Row],[ÁREA]]</f>
        <v xml:space="preserve">EXPORTACION </v>
      </c>
      <c r="J675" s="333" t="s">
        <v>1606</v>
      </c>
      <c r="K675" s="322"/>
      <c r="L675" s="318">
        <v>9</v>
      </c>
      <c r="M675" s="318" t="s">
        <v>1601</v>
      </c>
      <c r="N675" s="312" t="s">
        <v>1</v>
      </c>
    </row>
    <row r="676" spans="2:14" ht="24.9" customHeight="1" x14ac:dyDescent="0.3">
      <c r="B676" s="351" t="s">
        <v>1584</v>
      </c>
      <c r="C676" s="311" t="s">
        <v>1600</v>
      </c>
      <c r="D676" s="318" t="s">
        <v>1601</v>
      </c>
      <c r="E676" s="318">
        <v>32043728</v>
      </c>
      <c r="F676" s="326" t="s">
        <v>1602</v>
      </c>
      <c r="G676" s="334" t="s">
        <v>1603</v>
      </c>
      <c r="H676" s="384">
        <v>32045830</v>
      </c>
      <c r="I676" s="384" t="str">
        <f>Table5[[#This Row],[ÁREA]]</f>
        <v xml:space="preserve">EXPORTACION </v>
      </c>
      <c r="J676" s="333" t="s">
        <v>1607</v>
      </c>
      <c r="K676" s="322"/>
      <c r="L676" s="318">
        <v>9</v>
      </c>
      <c r="M676" s="318" t="s">
        <v>1601</v>
      </c>
      <c r="N676" s="312" t="s">
        <v>44</v>
      </c>
    </row>
    <row r="677" spans="2:14" ht="24.9" customHeight="1" x14ac:dyDescent="0.3">
      <c r="B677" s="351" t="s">
        <v>1584</v>
      </c>
      <c r="C677" s="352" t="s">
        <v>1600</v>
      </c>
      <c r="D677" s="354" t="s">
        <v>1601</v>
      </c>
      <c r="E677" s="318">
        <v>32043728</v>
      </c>
      <c r="F677" s="326" t="s">
        <v>1602</v>
      </c>
      <c r="G677" s="315" t="s">
        <v>1603</v>
      </c>
      <c r="H677" s="385">
        <v>32218618</v>
      </c>
      <c r="I677" s="385" t="str">
        <f>Table5[[#This Row],[ÁREA]]</f>
        <v xml:space="preserve">EXPORTACION </v>
      </c>
      <c r="J677" s="376" t="s">
        <v>1608</v>
      </c>
      <c r="K677" s="350"/>
      <c r="L677" s="318">
        <v>9</v>
      </c>
      <c r="M677" s="354" t="s">
        <v>1601</v>
      </c>
      <c r="N677" s="355" t="s">
        <v>44</v>
      </c>
    </row>
    <row r="678" spans="2:14" ht="24.9" customHeight="1" x14ac:dyDescent="0.3">
      <c r="B678" s="351" t="s">
        <v>1584</v>
      </c>
      <c r="C678" s="311" t="s">
        <v>1600</v>
      </c>
      <c r="D678" s="318" t="s">
        <v>1601</v>
      </c>
      <c r="E678" s="320">
        <v>32043728</v>
      </c>
      <c r="F678" s="324" t="s">
        <v>1602</v>
      </c>
      <c r="G678" s="315" t="s">
        <v>1603</v>
      </c>
      <c r="H678" s="384">
        <v>32211557</v>
      </c>
      <c r="I678" s="384" t="str">
        <f>Table5[[#This Row],[ÁREA]]</f>
        <v xml:space="preserve">EXPORTACION </v>
      </c>
      <c r="J678" s="333" t="s">
        <v>1609</v>
      </c>
      <c r="K678" s="322"/>
      <c r="L678" s="318">
        <v>9</v>
      </c>
      <c r="M678" s="318" t="s">
        <v>1601</v>
      </c>
      <c r="N678" s="312" t="s">
        <v>1610</v>
      </c>
    </row>
    <row r="679" spans="2:14" ht="24.9" customHeight="1" x14ac:dyDescent="0.3">
      <c r="B679" s="351" t="s">
        <v>1584</v>
      </c>
      <c r="C679" s="311" t="s">
        <v>1600</v>
      </c>
      <c r="D679" s="318" t="s">
        <v>1601</v>
      </c>
      <c r="E679" s="318">
        <v>32043728</v>
      </c>
      <c r="F679" s="326" t="s">
        <v>1602</v>
      </c>
      <c r="G679" s="315" t="s">
        <v>1603</v>
      </c>
      <c r="H679" s="384">
        <v>32045688</v>
      </c>
      <c r="I679" s="384" t="str">
        <f>Table5[[#This Row],[ÁREA]]</f>
        <v xml:space="preserve">EXPORTACION </v>
      </c>
      <c r="J679" s="333" t="s">
        <v>1611</v>
      </c>
      <c r="K679" s="322"/>
      <c r="L679" s="318">
        <v>9</v>
      </c>
      <c r="M679" s="318" t="s">
        <v>1601</v>
      </c>
      <c r="N679" s="312" t="s">
        <v>56</v>
      </c>
    </row>
    <row r="680" spans="2:14" ht="24.9" customHeight="1" x14ac:dyDescent="0.3">
      <c r="B680" s="351" t="s">
        <v>1584</v>
      </c>
      <c r="C680" s="311" t="s">
        <v>1600</v>
      </c>
      <c r="D680" s="318" t="s">
        <v>1601</v>
      </c>
      <c r="E680" s="318">
        <v>32043728</v>
      </c>
      <c r="F680" s="326" t="s">
        <v>1602</v>
      </c>
      <c r="G680" s="315" t="s">
        <v>1603</v>
      </c>
      <c r="H680" s="384">
        <v>32072461</v>
      </c>
      <c r="I680" s="384" t="str">
        <f>Table5[[#This Row],[ÁREA]]</f>
        <v xml:space="preserve">EXPORTACION </v>
      </c>
      <c r="J680" s="333" t="s">
        <v>1612</v>
      </c>
      <c r="L680" s="318">
        <v>9</v>
      </c>
      <c r="M680" s="318" t="s">
        <v>1601</v>
      </c>
      <c r="N680" s="312" t="s">
        <v>260</v>
      </c>
    </row>
    <row r="681" spans="2:14" ht="24.9" customHeight="1" x14ac:dyDescent="0.3">
      <c r="B681" s="351" t="s">
        <v>1584</v>
      </c>
      <c r="C681" s="311" t="s">
        <v>1600</v>
      </c>
      <c r="D681" s="318" t="s">
        <v>1601</v>
      </c>
      <c r="E681" s="318">
        <v>32043728</v>
      </c>
      <c r="F681" s="326" t="s">
        <v>1602</v>
      </c>
      <c r="G681" s="315" t="s">
        <v>1603</v>
      </c>
      <c r="H681" s="384">
        <v>32227735</v>
      </c>
      <c r="I681" s="384" t="str">
        <f>Table5[[#This Row],[ÁREA]]</f>
        <v xml:space="preserve">EXPORTACION </v>
      </c>
      <c r="J681" s="333" t="s">
        <v>1613</v>
      </c>
      <c r="L681" s="318">
        <v>9</v>
      </c>
      <c r="M681" s="318" t="s">
        <v>1601</v>
      </c>
      <c r="N681" s="312" t="s">
        <v>56</v>
      </c>
    </row>
    <row r="682" spans="2:14" ht="24.9" customHeight="1" x14ac:dyDescent="0.3">
      <c r="B682" s="351" t="s">
        <v>1584</v>
      </c>
      <c r="C682" s="311" t="s">
        <v>1614</v>
      </c>
      <c r="D682" s="318" t="s">
        <v>1615</v>
      </c>
      <c r="E682" s="320">
        <v>32199317</v>
      </c>
      <c r="F682" s="324" t="s">
        <v>1616</v>
      </c>
      <c r="G682" s="315" t="s">
        <v>1617</v>
      </c>
      <c r="H682" s="316">
        <v>32064295</v>
      </c>
      <c r="I682" s="316" t="str">
        <f>Table5[[#This Row],[ÁREA]]</f>
        <v>LINEAS</v>
      </c>
      <c r="J682" s="335" t="s">
        <v>1618</v>
      </c>
      <c r="K682" s="315"/>
      <c r="L682" s="318">
        <v>16</v>
      </c>
      <c r="M682" s="318" t="s">
        <v>1615</v>
      </c>
      <c r="N682" s="386" t="s">
        <v>1619</v>
      </c>
    </row>
    <row r="683" spans="2:14" ht="24.9" customHeight="1" x14ac:dyDescent="0.3">
      <c r="B683" s="351" t="s">
        <v>1584</v>
      </c>
      <c r="C683" s="311" t="s">
        <v>1614</v>
      </c>
      <c r="D683" s="318" t="s">
        <v>1615</v>
      </c>
      <c r="E683" s="320">
        <v>32199317</v>
      </c>
      <c r="F683" s="324" t="s">
        <v>1616</v>
      </c>
      <c r="G683" s="315" t="s">
        <v>1617</v>
      </c>
      <c r="H683" s="316">
        <v>32198224</v>
      </c>
      <c r="I683" s="316" t="str">
        <f>Table5[[#This Row],[ÁREA]]</f>
        <v>LINEAS</v>
      </c>
      <c r="J683" s="335" t="s">
        <v>1620</v>
      </c>
      <c r="K683" s="342"/>
      <c r="L683" s="318">
        <v>16</v>
      </c>
      <c r="M683" s="318" t="s">
        <v>1615</v>
      </c>
      <c r="N683" s="386" t="s">
        <v>1621</v>
      </c>
    </row>
    <row r="684" spans="2:14" ht="24.9" customHeight="1" x14ac:dyDescent="0.3">
      <c r="B684" s="311" t="s">
        <v>1584</v>
      </c>
      <c r="C684" s="311" t="s">
        <v>1614</v>
      </c>
      <c r="D684" s="318" t="s">
        <v>1615</v>
      </c>
      <c r="E684" s="318">
        <v>32199317</v>
      </c>
      <c r="F684" s="326" t="s">
        <v>1616</v>
      </c>
      <c r="G684" s="334" t="s">
        <v>1617</v>
      </c>
      <c r="H684" s="378">
        <v>32046185</v>
      </c>
      <c r="I684" s="379" t="str">
        <f>Table5[[#This Row],[ÁREA]]</f>
        <v>LINEAS</v>
      </c>
      <c r="J684" s="344" t="s">
        <v>1622</v>
      </c>
      <c r="K684" s="322"/>
      <c r="L684" s="318">
        <v>16</v>
      </c>
      <c r="M684" s="318" t="s">
        <v>1615</v>
      </c>
      <c r="N684" s="386" t="s">
        <v>1623</v>
      </c>
    </row>
    <row r="685" spans="2:14" ht="24.9" customHeight="1" x14ac:dyDescent="0.3">
      <c r="B685" s="351" t="s">
        <v>1584</v>
      </c>
      <c r="C685" s="311" t="s">
        <v>1614</v>
      </c>
      <c r="D685" s="318" t="s">
        <v>1615</v>
      </c>
      <c r="E685" s="320">
        <v>32199317</v>
      </c>
      <c r="F685" s="324" t="s">
        <v>1616</v>
      </c>
      <c r="G685" s="315" t="s">
        <v>1617</v>
      </c>
      <c r="H685" s="378">
        <v>32058883</v>
      </c>
      <c r="I685" s="379" t="str">
        <f>Table5[[#This Row],[ÁREA]]</f>
        <v>LINEAS</v>
      </c>
      <c r="J685" s="344" t="s">
        <v>1624</v>
      </c>
      <c r="L685" s="318">
        <v>16</v>
      </c>
      <c r="M685" s="318" t="s">
        <v>1615</v>
      </c>
      <c r="N685" s="386" t="s">
        <v>375</v>
      </c>
    </row>
    <row r="686" spans="2:14" ht="24.9" customHeight="1" x14ac:dyDescent="0.3">
      <c r="B686" s="351" t="s">
        <v>1584</v>
      </c>
      <c r="C686" s="311" t="s">
        <v>1614</v>
      </c>
      <c r="D686" s="318" t="s">
        <v>1615</v>
      </c>
      <c r="E686" s="320">
        <v>32199317</v>
      </c>
      <c r="F686" s="324" t="s">
        <v>1616</v>
      </c>
      <c r="G686" s="319" t="s">
        <v>1617</v>
      </c>
      <c r="H686" s="378">
        <v>32197843</v>
      </c>
      <c r="I686" s="379" t="str">
        <f>Table5[[#This Row],[ÁREA]]</f>
        <v>LINEAS</v>
      </c>
      <c r="J686" s="344" t="s">
        <v>1625</v>
      </c>
      <c r="K686" s="322"/>
      <c r="L686" s="318">
        <v>16</v>
      </c>
      <c r="M686" s="318" t="s">
        <v>1615</v>
      </c>
      <c r="N686" s="386" t="s">
        <v>1623</v>
      </c>
    </row>
    <row r="687" spans="2:14" ht="24.9" customHeight="1" x14ac:dyDescent="0.3">
      <c r="B687" s="351" t="s">
        <v>1584</v>
      </c>
      <c r="C687" s="311" t="s">
        <v>1614</v>
      </c>
      <c r="D687" s="318" t="s">
        <v>1615</v>
      </c>
      <c r="E687" s="320">
        <v>32199317</v>
      </c>
      <c r="F687" s="324" t="s">
        <v>1616</v>
      </c>
      <c r="G687" s="319" t="s">
        <v>1617</v>
      </c>
      <c r="H687" s="378">
        <v>32044255</v>
      </c>
      <c r="I687" s="379" t="str">
        <f>Table5[[#This Row],[ÁREA]]</f>
        <v>LINEAS</v>
      </c>
      <c r="J687" s="344" t="s">
        <v>1626</v>
      </c>
      <c r="K687" s="350"/>
      <c r="L687" s="318">
        <v>16</v>
      </c>
      <c r="M687" s="318" t="s">
        <v>1615</v>
      </c>
      <c r="N687" s="386" t="s">
        <v>1621</v>
      </c>
    </row>
    <row r="688" spans="2:14" ht="24.9" customHeight="1" x14ac:dyDescent="0.3">
      <c r="B688" s="351" t="s">
        <v>1584</v>
      </c>
      <c r="C688" s="311" t="s">
        <v>1614</v>
      </c>
      <c r="D688" s="318" t="s">
        <v>1615</v>
      </c>
      <c r="E688" s="320">
        <v>32199317</v>
      </c>
      <c r="F688" s="324" t="s">
        <v>1616</v>
      </c>
      <c r="G688" s="319" t="s">
        <v>1617</v>
      </c>
      <c r="H688" s="378">
        <v>32217098</v>
      </c>
      <c r="I688" s="379" t="str">
        <f>Table5[[#This Row],[ÁREA]]</f>
        <v>LINEAS</v>
      </c>
      <c r="J688" s="344" t="s">
        <v>1627</v>
      </c>
      <c r="K688" s="331"/>
      <c r="L688" s="318">
        <v>16</v>
      </c>
      <c r="M688" s="318" t="s">
        <v>1615</v>
      </c>
      <c r="N688" s="386" t="s">
        <v>1621</v>
      </c>
    </row>
    <row r="689" spans="2:14" ht="24.9" customHeight="1" x14ac:dyDescent="0.3">
      <c r="B689" s="351" t="s">
        <v>1584</v>
      </c>
      <c r="C689" s="311" t="s">
        <v>1614</v>
      </c>
      <c r="D689" s="318" t="s">
        <v>1615</v>
      </c>
      <c r="E689" s="320">
        <v>32199317</v>
      </c>
      <c r="F689" s="324" t="s">
        <v>1616</v>
      </c>
      <c r="G689" s="331" t="s">
        <v>1617</v>
      </c>
      <c r="H689" s="378">
        <v>32055892</v>
      </c>
      <c r="I689" s="379" t="str">
        <f>Table5[[#This Row],[ÁREA]]</f>
        <v>LINEAS</v>
      </c>
      <c r="J689" s="344" t="s">
        <v>1628</v>
      </c>
      <c r="K689" s="322"/>
      <c r="L689" s="318">
        <v>16</v>
      </c>
      <c r="M689" s="318" t="s">
        <v>1615</v>
      </c>
      <c r="N689" s="386" t="s">
        <v>1629</v>
      </c>
    </row>
    <row r="690" spans="2:14" ht="24.9" customHeight="1" x14ac:dyDescent="0.3">
      <c r="B690" s="311" t="s">
        <v>1584</v>
      </c>
      <c r="C690" s="311" t="s">
        <v>1614</v>
      </c>
      <c r="D690" s="318" t="s">
        <v>1615</v>
      </c>
      <c r="E690" s="340">
        <v>32199317</v>
      </c>
      <c r="F690" s="343" t="s">
        <v>1616</v>
      </c>
      <c r="G690" s="315" t="s">
        <v>1617</v>
      </c>
      <c r="H690" s="378">
        <v>32044062</v>
      </c>
      <c r="I690" s="379" t="str">
        <f>Table5[[#This Row],[ÁREA]]</f>
        <v>LINEAS</v>
      </c>
      <c r="J690" s="344" t="s">
        <v>1630</v>
      </c>
      <c r="K690" s="342"/>
      <c r="L690" s="318">
        <v>16</v>
      </c>
      <c r="M690" s="318" t="s">
        <v>1615</v>
      </c>
      <c r="N690" s="386" t="s">
        <v>1631</v>
      </c>
    </row>
    <row r="691" spans="2:14" ht="24.9" customHeight="1" x14ac:dyDescent="0.3">
      <c r="B691" s="351" t="s">
        <v>1584</v>
      </c>
      <c r="C691" s="311" t="s">
        <v>1614</v>
      </c>
      <c r="D691" s="318" t="s">
        <v>1615</v>
      </c>
      <c r="E691" s="320">
        <v>32199317</v>
      </c>
      <c r="F691" s="324" t="s">
        <v>1616</v>
      </c>
      <c r="G691" s="334" t="s">
        <v>1617</v>
      </c>
      <c r="H691" s="378">
        <v>32046212</v>
      </c>
      <c r="I691" s="379" t="str">
        <f>Table5[[#This Row],[ÁREA]]</f>
        <v>LINEAS</v>
      </c>
      <c r="J691" s="344" t="s">
        <v>1632</v>
      </c>
      <c r="K691" s="322"/>
      <c r="L691" s="318">
        <v>16</v>
      </c>
      <c r="M691" s="318" t="s">
        <v>1615</v>
      </c>
      <c r="N691" s="386" t="s">
        <v>369</v>
      </c>
    </row>
    <row r="692" spans="2:14" ht="24.9" customHeight="1" x14ac:dyDescent="0.3">
      <c r="B692" s="351" t="s">
        <v>1584</v>
      </c>
      <c r="C692" s="311" t="s">
        <v>1614</v>
      </c>
      <c r="D692" s="318" t="s">
        <v>1615</v>
      </c>
      <c r="E692" s="318">
        <v>32199317</v>
      </c>
      <c r="F692" s="326" t="s">
        <v>1616</v>
      </c>
      <c r="G692" s="315" t="s">
        <v>1617</v>
      </c>
      <c r="H692" s="378">
        <v>32044337</v>
      </c>
      <c r="I692" s="379" t="str">
        <f>Table5[[#This Row],[ÁREA]]</f>
        <v>LINEAS</v>
      </c>
      <c r="J692" s="344" t="s">
        <v>1633</v>
      </c>
      <c r="K692" s="315"/>
      <c r="L692" s="318">
        <v>16</v>
      </c>
      <c r="M692" s="318" t="s">
        <v>1615</v>
      </c>
      <c r="N692" s="386" t="s">
        <v>369</v>
      </c>
    </row>
    <row r="693" spans="2:14" ht="24.9" customHeight="1" x14ac:dyDescent="0.3">
      <c r="B693" s="351" t="s">
        <v>1584</v>
      </c>
      <c r="C693" s="311" t="s">
        <v>1614</v>
      </c>
      <c r="D693" s="354" t="s">
        <v>1615</v>
      </c>
      <c r="E693" s="318">
        <v>32199317</v>
      </c>
      <c r="F693" s="326" t="s">
        <v>1616</v>
      </c>
      <c r="G693" s="315" t="s">
        <v>1617</v>
      </c>
      <c r="H693" s="378">
        <v>32046085</v>
      </c>
      <c r="I693" s="379" t="str">
        <f>Table5[[#This Row],[ÁREA]]</f>
        <v>LINEAS</v>
      </c>
      <c r="J693" s="344" t="s">
        <v>1634</v>
      </c>
      <c r="L693" s="318">
        <v>16</v>
      </c>
      <c r="M693" s="318" t="s">
        <v>1615</v>
      </c>
      <c r="N693" s="387" t="s">
        <v>375</v>
      </c>
    </row>
    <row r="694" spans="2:14" ht="24.9" customHeight="1" x14ac:dyDescent="0.3">
      <c r="B694" s="351" t="s">
        <v>1584</v>
      </c>
      <c r="C694" s="311" t="s">
        <v>1614</v>
      </c>
      <c r="D694" s="318" t="s">
        <v>1615</v>
      </c>
      <c r="E694" s="320">
        <v>32199317</v>
      </c>
      <c r="F694" s="324" t="s">
        <v>1616</v>
      </c>
      <c r="G694" s="331" t="s">
        <v>1617</v>
      </c>
      <c r="H694" s="316">
        <v>32045631</v>
      </c>
      <c r="I694" s="316" t="str">
        <f>Table5[[#This Row],[ÁREA]]</f>
        <v>LINEAS</v>
      </c>
      <c r="J694" s="335" t="s">
        <v>1635</v>
      </c>
      <c r="K694" s="322"/>
      <c r="L694" s="318">
        <v>16</v>
      </c>
      <c r="M694" s="318" t="s">
        <v>1615</v>
      </c>
      <c r="N694" s="386" t="s">
        <v>1629</v>
      </c>
    </row>
    <row r="695" spans="2:14" ht="24.9" customHeight="1" x14ac:dyDescent="0.3">
      <c r="B695" s="351" t="s">
        <v>1584</v>
      </c>
      <c r="C695" s="311" t="s">
        <v>1614</v>
      </c>
      <c r="D695" s="318" t="s">
        <v>1615</v>
      </c>
      <c r="E695" s="320">
        <v>32199317</v>
      </c>
      <c r="F695" s="324" t="s">
        <v>1616</v>
      </c>
      <c r="G695" s="315" t="s">
        <v>1617</v>
      </c>
      <c r="H695" s="316">
        <v>32197851</v>
      </c>
      <c r="I695" s="316" t="str">
        <f>Table5[[#This Row],[ÁREA]]</f>
        <v>LINEAS</v>
      </c>
      <c r="J695" s="335" t="s">
        <v>1636</v>
      </c>
      <c r="K695" s="317"/>
      <c r="L695" s="318">
        <v>16</v>
      </c>
      <c r="M695" s="318" t="s">
        <v>1615</v>
      </c>
      <c r="N695" s="386" t="s">
        <v>1631</v>
      </c>
    </row>
    <row r="696" spans="2:14" ht="24.9" customHeight="1" x14ac:dyDescent="0.3">
      <c r="B696" s="351" t="s">
        <v>1584</v>
      </c>
      <c r="C696" s="311" t="s">
        <v>1614</v>
      </c>
      <c r="D696" s="318" t="s">
        <v>1615</v>
      </c>
      <c r="E696" s="318">
        <v>32199317</v>
      </c>
      <c r="F696" s="326" t="s">
        <v>1616</v>
      </c>
      <c r="G696" s="325" t="s">
        <v>1617</v>
      </c>
      <c r="H696" s="316">
        <v>32045439</v>
      </c>
      <c r="I696" s="316" t="str">
        <f>Table5[[#This Row],[ÁREA]]</f>
        <v>LINEAS</v>
      </c>
      <c r="J696" s="335" t="s">
        <v>1637</v>
      </c>
      <c r="L696" s="318">
        <v>16</v>
      </c>
      <c r="M696" s="318" t="s">
        <v>1615</v>
      </c>
      <c r="N696" s="386" t="s">
        <v>1621</v>
      </c>
    </row>
    <row r="697" spans="2:14" ht="24.9" customHeight="1" x14ac:dyDescent="0.3">
      <c r="B697" s="351" t="s">
        <v>1584</v>
      </c>
      <c r="C697" s="311" t="s">
        <v>1614</v>
      </c>
      <c r="D697" s="318" t="s">
        <v>1615</v>
      </c>
      <c r="E697" s="320">
        <v>32199317</v>
      </c>
      <c r="F697" s="324" t="s">
        <v>1616</v>
      </c>
      <c r="G697" s="315" t="s">
        <v>1617</v>
      </c>
      <c r="H697" s="316">
        <v>32209494</v>
      </c>
      <c r="I697" s="316" t="str">
        <f>Table5[[#This Row],[ÁREA]]</f>
        <v>LINEAS</v>
      </c>
      <c r="J697" s="335" t="s">
        <v>1638</v>
      </c>
      <c r="L697" s="318">
        <v>16</v>
      </c>
      <c r="M697" s="318" t="s">
        <v>1615</v>
      </c>
      <c r="N697" s="386" t="s">
        <v>1619</v>
      </c>
    </row>
    <row r="698" spans="2:14" ht="24.9" customHeight="1" x14ac:dyDescent="0.3">
      <c r="B698" s="311" t="s">
        <v>1584</v>
      </c>
      <c r="C698" s="311" t="s">
        <v>1639</v>
      </c>
      <c r="D698" s="317" t="s">
        <v>1640</v>
      </c>
      <c r="E698" s="318">
        <v>32172282</v>
      </c>
      <c r="F698" s="312" t="s">
        <v>1641</v>
      </c>
      <c r="G698" s="357" t="s">
        <v>1642</v>
      </c>
      <c r="H698" s="316">
        <v>32227720</v>
      </c>
      <c r="I698" s="316" t="str">
        <f>Table5[[#This Row],[ÁREA]]</f>
        <v>CANAL MODERNO</v>
      </c>
      <c r="J698" s="317" t="s">
        <v>1643</v>
      </c>
      <c r="K698" s="317"/>
      <c r="L698" s="318">
        <v>5</v>
      </c>
      <c r="M698" s="317" t="s">
        <v>1640</v>
      </c>
      <c r="N698" s="312" t="s">
        <v>369</v>
      </c>
    </row>
    <row r="699" spans="2:14" ht="24.9" customHeight="1" x14ac:dyDescent="0.3">
      <c r="B699" s="351" t="s">
        <v>1584</v>
      </c>
      <c r="C699" s="311" t="s">
        <v>1639</v>
      </c>
      <c r="D699" s="317" t="s">
        <v>1640</v>
      </c>
      <c r="E699" s="318">
        <v>32172282</v>
      </c>
      <c r="F699" s="312" t="s">
        <v>1641</v>
      </c>
      <c r="G699" s="357" t="s">
        <v>1642</v>
      </c>
      <c r="H699" s="316">
        <v>32197848</v>
      </c>
      <c r="I699" s="316" t="str">
        <f>Table5[[#This Row],[ÁREA]]</f>
        <v>CANAL MODERNO</v>
      </c>
      <c r="J699" s="317" t="s">
        <v>1644</v>
      </c>
      <c r="K699" s="328"/>
      <c r="L699" s="318">
        <v>5</v>
      </c>
      <c r="M699" s="317" t="s">
        <v>1640</v>
      </c>
      <c r="N699" s="312" t="s">
        <v>1629</v>
      </c>
    </row>
    <row r="700" spans="2:14" ht="24.9" customHeight="1" x14ac:dyDescent="0.3">
      <c r="B700" s="351" t="s">
        <v>1584</v>
      </c>
      <c r="C700" s="311" t="s">
        <v>1639</v>
      </c>
      <c r="D700" s="317" t="s">
        <v>1640</v>
      </c>
      <c r="E700" s="318">
        <v>32172282</v>
      </c>
      <c r="F700" s="312" t="s">
        <v>1641</v>
      </c>
      <c r="G700" s="318" t="s">
        <v>1642</v>
      </c>
      <c r="H700" s="316">
        <v>32187878</v>
      </c>
      <c r="I700" s="316" t="str">
        <f>Table5[[#This Row],[ÁREA]]</f>
        <v>CANAL MODERNO</v>
      </c>
      <c r="J700" s="317" t="s">
        <v>1645</v>
      </c>
      <c r="K700" s="328"/>
      <c r="L700" s="318">
        <v>5</v>
      </c>
      <c r="M700" s="317" t="s">
        <v>1640</v>
      </c>
      <c r="N700" s="312" t="s">
        <v>1619</v>
      </c>
    </row>
    <row r="701" spans="2:14" ht="24.9" customHeight="1" x14ac:dyDescent="0.3">
      <c r="B701" s="351" t="s">
        <v>1584</v>
      </c>
      <c r="C701" s="311" t="s">
        <v>1639</v>
      </c>
      <c r="D701" s="317" t="s">
        <v>1640</v>
      </c>
      <c r="E701" s="318">
        <v>32172282</v>
      </c>
      <c r="F701" s="312" t="s">
        <v>1641</v>
      </c>
      <c r="G701" s="318" t="s">
        <v>1642</v>
      </c>
      <c r="H701" s="316">
        <v>32044581</v>
      </c>
      <c r="I701" s="316" t="str">
        <f>Table5[[#This Row],[ÁREA]]</f>
        <v>CANAL MODERNO</v>
      </c>
      <c r="J701" s="317" t="s">
        <v>1646</v>
      </c>
      <c r="K701" s="317"/>
      <c r="L701" s="318">
        <v>5</v>
      </c>
      <c r="M701" s="317" t="s">
        <v>1640</v>
      </c>
      <c r="N701" s="312" t="s">
        <v>1621</v>
      </c>
    </row>
    <row r="702" spans="2:14" ht="24.9" customHeight="1" x14ac:dyDescent="0.3">
      <c r="B702" s="351" t="s">
        <v>1584</v>
      </c>
      <c r="C702" s="311" t="s">
        <v>1639</v>
      </c>
      <c r="D702" s="317" t="s">
        <v>1640</v>
      </c>
      <c r="E702" s="318">
        <v>32172282</v>
      </c>
      <c r="F702" s="312" t="s">
        <v>1641</v>
      </c>
      <c r="G702" s="318" t="s">
        <v>1642</v>
      </c>
      <c r="H702" s="316">
        <v>32188000</v>
      </c>
      <c r="I702" s="316" t="str">
        <f>Table5[[#This Row],[ÁREA]]</f>
        <v>CANAL MODERNO</v>
      </c>
      <c r="J702" s="317" t="s">
        <v>1647</v>
      </c>
      <c r="K702" s="317"/>
      <c r="L702" s="318">
        <v>5</v>
      </c>
      <c r="M702" s="317" t="s">
        <v>1640</v>
      </c>
      <c r="N702" s="312" t="s">
        <v>378</v>
      </c>
    </row>
    <row r="703" spans="2:14" ht="24.9" customHeight="1" x14ac:dyDescent="0.3">
      <c r="B703" s="351" t="s">
        <v>1584</v>
      </c>
      <c r="C703" s="311" t="s">
        <v>1648</v>
      </c>
      <c r="D703" s="318" t="s">
        <v>1649</v>
      </c>
      <c r="E703" s="318">
        <v>32217529</v>
      </c>
      <c r="F703" s="312" t="s">
        <v>1650</v>
      </c>
      <c r="G703" s="315" t="s">
        <v>1651</v>
      </c>
      <c r="H703" s="383">
        <v>32043715</v>
      </c>
      <c r="I703" s="383" t="str">
        <f>Table5[[#This Row],[ÁREA]]</f>
        <v xml:space="preserve">NACIONAL </v>
      </c>
      <c r="J703" s="315" t="s">
        <v>1652</v>
      </c>
      <c r="K703" s="315"/>
      <c r="L703" s="318">
        <v>10</v>
      </c>
      <c r="M703" s="318" t="s">
        <v>1649</v>
      </c>
      <c r="N703" s="312" t="s">
        <v>1</v>
      </c>
    </row>
    <row r="704" spans="2:14" ht="24.9" customHeight="1" x14ac:dyDescent="0.3">
      <c r="B704" s="351" t="s">
        <v>1584</v>
      </c>
      <c r="C704" s="311" t="s">
        <v>1648</v>
      </c>
      <c r="D704" s="318" t="s">
        <v>1649</v>
      </c>
      <c r="E704" s="320">
        <v>32217529</v>
      </c>
      <c r="F704" s="388" t="s">
        <v>1650</v>
      </c>
      <c r="G704" s="315" t="s">
        <v>1651</v>
      </c>
      <c r="H704" s="383">
        <v>32046166</v>
      </c>
      <c r="I704" s="383" t="str">
        <f>Table5[[#This Row],[ÁREA]]</f>
        <v xml:space="preserve">NACIONAL </v>
      </c>
      <c r="J704" s="315" t="s">
        <v>1653</v>
      </c>
      <c r="L704" s="318">
        <v>10</v>
      </c>
      <c r="M704" s="318" t="s">
        <v>1649</v>
      </c>
      <c r="N704" s="312" t="s">
        <v>62</v>
      </c>
    </row>
    <row r="705" spans="2:14" ht="24.9" customHeight="1" x14ac:dyDescent="0.3">
      <c r="B705" s="351" t="s">
        <v>1584</v>
      </c>
      <c r="C705" s="311" t="s">
        <v>1648</v>
      </c>
      <c r="D705" s="318" t="s">
        <v>1649</v>
      </c>
      <c r="E705" s="320">
        <v>32217529</v>
      </c>
      <c r="F705" s="388" t="s">
        <v>1650</v>
      </c>
      <c r="G705" s="315" t="s">
        <v>1651</v>
      </c>
      <c r="H705" s="383">
        <v>32057881</v>
      </c>
      <c r="I705" s="383" t="str">
        <f>Table5[[#This Row],[ÁREA]]</f>
        <v xml:space="preserve">NACIONAL </v>
      </c>
      <c r="J705" s="315" t="s">
        <v>1654</v>
      </c>
      <c r="L705" s="318">
        <v>10</v>
      </c>
      <c r="M705" s="318" t="s">
        <v>1649</v>
      </c>
      <c r="N705" s="312" t="s">
        <v>260</v>
      </c>
    </row>
    <row r="706" spans="2:14" ht="24.9" customHeight="1" x14ac:dyDescent="0.3">
      <c r="B706" s="351" t="s">
        <v>1584</v>
      </c>
      <c r="C706" s="311" t="s">
        <v>1648</v>
      </c>
      <c r="D706" s="318" t="s">
        <v>1649</v>
      </c>
      <c r="E706" s="320">
        <v>32217529</v>
      </c>
      <c r="F706" s="388" t="s">
        <v>1650</v>
      </c>
      <c r="G706" s="315" t="s">
        <v>1651</v>
      </c>
      <c r="H706" s="383">
        <v>32044576</v>
      </c>
      <c r="I706" s="383" t="str">
        <f>Table5[[#This Row],[ÁREA]]</f>
        <v xml:space="preserve">NACIONAL </v>
      </c>
      <c r="J706" s="315" t="s">
        <v>1655</v>
      </c>
      <c r="L706" s="318">
        <v>10</v>
      </c>
      <c r="M706" s="318" t="s">
        <v>1649</v>
      </c>
      <c r="N706" s="312" t="s">
        <v>44</v>
      </c>
    </row>
    <row r="707" spans="2:14" ht="24.9" customHeight="1" x14ac:dyDescent="0.3">
      <c r="B707" s="351" t="s">
        <v>1584</v>
      </c>
      <c r="C707" s="311" t="s">
        <v>1648</v>
      </c>
      <c r="D707" s="318" t="s">
        <v>1649</v>
      </c>
      <c r="E707" s="320">
        <v>32217529</v>
      </c>
      <c r="F707" s="388" t="s">
        <v>1650</v>
      </c>
      <c r="G707" s="315" t="s">
        <v>1651</v>
      </c>
      <c r="H707" s="389">
        <v>32046425</v>
      </c>
      <c r="I707" s="389" t="str">
        <f>Table5[[#This Row],[ÁREA]]</f>
        <v xml:space="preserve">NACIONAL </v>
      </c>
      <c r="J707" s="331" t="s">
        <v>1656</v>
      </c>
      <c r="K707" s="328"/>
      <c r="L707" s="318">
        <v>10</v>
      </c>
      <c r="M707" s="354" t="s">
        <v>1649</v>
      </c>
      <c r="N707" s="355" t="s">
        <v>1584</v>
      </c>
    </row>
    <row r="708" spans="2:14" ht="24.9" customHeight="1" x14ac:dyDescent="0.3">
      <c r="B708" s="351" t="s">
        <v>1584</v>
      </c>
      <c r="C708" s="311" t="s">
        <v>1648</v>
      </c>
      <c r="D708" s="318" t="s">
        <v>1649</v>
      </c>
      <c r="E708" s="318">
        <v>32217529</v>
      </c>
      <c r="F708" s="312" t="s">
        <v>1650</v>
      </c>
      <c r="G708" s="315" t="s">
        <v>1651</v>
      </c>
      <c r="H708" s="383">
        <v>32046191</v>
      </c>
      <c r="I708" s="383" t="str">
        <f>Table5[[#This Row],[ÁREA]]</f>
        <v xml:space="preserve">NACIONAL </v>
      </c>
      <c r="J708" s="315" t="s">
        <v>1657</v>
      </c>
      <c r="K708" s="317"/>
      <c r="L708" s="318">
        <v>10</v>
      </c>
      <c r="M708" s="318" t="s">
        <v>1649</v>
      </c>
      <c r="N708" s="312" t="s">
        <v>1</v>
      </c>
    </row>
    <row r="709" spans="2:14" ht="24.9" customHeight="1" x14ac:dyDescent="0.3">
      <c r="B709" s="351" t="s">
        <v>1584</v>
      </c>
      <c r="C709" s="311" t="s">
        <v>1648</v>
      </c>
      <c r="D709" s="318" t="s">
        <v>1649</v>
      </c>
      <c r="E709" s="318">
        <v>32217529</v>
      </c>
      <c r="F709" s="390" t="s">
        <v>1650</v>
      </c>
      <c r="G709" s="315" t="s">
        <v>1651</v>
      </c>
      <c r="H709" s="383">
        <v>32046444</v>
      </c>
      <c r="I709" s="383" t="str">
        <f>Table5[[#This Row],[ÁREA]]</f>
        <v xml:space="preserve">NACIONAL </v>
      </c>
      <c r="J709" s="315" t="s">
        <v>1658</v>
      </c>
      <c r="K709" s="328"/>
      <c r="L709" s="318">
        <v>10</v>
      </c>
      <c r="M709" s="318" t="s">
        <v>1649</v>
      </c>
      <c r="N709" s="312" t="s">
        <v>47</v>
      </c>
    </row>
    <row r="710" spans="2:14" ht="24.9" customHeight="1" x14ac:dyDescent="0.3">
      <c r="B710" s="351" t="s">
        <v>1584</v>
      </c>
      <c r="C710" s="311" t="s">
        <v>1648</v>
      </c>
      <c r="D710" s="318" t="s">
        <v>1649</v>
      </c>
      <c r="E710" s="318">
        <v>32217529</v>
      </c>
      <c r="F710" s="390" t="s">
        <v>1650</v>
      </c>
      <c r="G710" s="315" t="s">
        <v>1651</v>
      </c>
      <c r="H710" s="383">
        <v>32045981</v>
      </c>
      <c r="I710" s="383" t="str">
        <f>Table5[[#This Row],[ÁREA]]</f>
        <v xml:space="preserve">NACIONAL </v>
      </c>
      <c r="J710" s="315" t="s">
        <v>1659</v>
      </c>
      <c r="L710" s="318">
        <v>10</v>
      </c>
      <c r="M710" s="318" t="s">
        <v>1649</v>
      </c>
      <c r="N710" s="312" t="s">
        <v>35</v>
      </c>
    </row>
    <row r="711" spans="2:14" ht="24.9" customHeight="1" x14ac:dyDescent="0.3">
      <c r="B711" s="351" t="s">
        <v>1584</v>
      </c>
      <c r="C711" s="311" t="s">
        <v>1648</v>
      </c>
      <c r="D711" s="318" t="s">
        <v>1649</v>
      </c>
      <c r="E711" s="320">
        <v>32217529</v>
      </c>
      <c r="F711" s="388" t="s">
        <v>1650</v>
      </c>
      <c r="G711" s="315" t="s">
        <v>1651</v>
      </c>
      <c r="H711" s="391">
        <v>32045252</v>
      </c>
      <c r="I711" s="392" t="str">
        <f>Table5[[#This Row],[ÁREA]]</f>
        <v xml:space="preserve">NACIONAL </v>
      </c>
      <c r="J711" s="327" t="s">
        <v>1660</v>
      </c>
      <c r="L711" s="318">
        <v>10</v>
      </c>
      <c r="M711" s="318" t="s">
        <v>1649</v>
      </c>
      <c r="N711" s="312" t="s">
        <v>260</v>
      </c>
    </row>
    <row r="712" spans="2:14" ht="24.9" customHeight="1" x14ac:dyDescent="0.3">
      <c r="B712" s="351" t="s">
        <v>1584</v>
      </c>
      <c r="C712" s="311" t="s">
        <v>1585</v>
      </c>
      <c r="D712" s="318" t="s">
        <v>1586</v>
      </c>
      <c r="E712" s="315">
        <v>32198469</v>
      </c>
      <c r="F712" s="314" t="s">
        <v>1587</v>
      </c>
      <c r="G712" s="315" t="s">
        <v>51</v>
      </c>
      <c r="H712" s="393">
        <v>32057882</v>
      </c>
      <c r="I712" s="392" t="str">
        <f>Table5[[#This Row],[ÁREA]]</f>
        <v>ANDENES</v>
      </c>
      <c r="J712" s="327" t="s">
        <v>1661</v>
      </c>
      <c r="L712" s="318">
        <v>11</v>
      </c>
      <c r="M712" s="318" t="s">
        <v>1586</v>
      </c>
      <c r="N712" s="312" t="s">
        <v>1</v>
      </c>
    </row>
    <row r="713" spans="2:14" ht="24.9" customHeight="1" x14ac:dyDescent="0.3">
      <c r="B713" s="351" t="s">
        <v>1584</v>
      </c>
      <c r="C713" s="311" t="s">
        <v>1585</v>
      </c>
      <c r="D713" s="318" t="s">
        <v>1586</v>
      </c>
      <c r="E713" s="315">
        <v>32198469</v>
      </c>
      <c r="F713" s="327" t="s">
        <v>1587</v>
      </c>
      <c r="G713" s="315" t="s">
        <v>51</v>
      </c>
      <c r="H713" s="393">
        <v>32178732</v>
      </c>
      <c r="I713" s="392" t="str">
        <f>Table5[[#This Row],[ÁREA]]</f>
        <v>ANDENES</v>
      </c>
      <c r="J713" s="327" t="s">
        <v>1662</v>
      </c>
      <c r="K713" s="322"/>
      <c r="L713" s="318">
        <v>11</v>
      </c>
      <c r="M713" s="318" t="s">
        <v>1586</v>
      </c>
      <c r="N713" s="312" t="s">
        <v>62</v>
      </c>
    </row>
    <row r="714" spans="2:14" ht="24.9" customHeight="1" x14ac:dyDescent="0.3">
      <c r="B714" s="351" t="s">
        <v>1584</v>
      </c>
      <c r="C714" s="311" t="s">
        <v>1585</v>
      </c>
      <c r="D714" s="318" t="s">
        <v>1586</v>
      </c>
      <c r="E714" s="315">
        <v>32198469</v>
      </c>
      <c r="F714" s="327" t="s">
        <v>1587</v>
      </c>
      <c r="G714" s="315" t="s">
        <v>51</v>
      </c>
      <c r="H714" s="393">
        <v>32061297</v>
      </c>
      <c r="I714" s="392" t="str">
        <f>Table5[[#This Row],[ÁREA]]</f>
        <v>ANDENES</v>
      </c>
      <c r="J714" s="327" t="s">
        <v>1663</v>
      </c>
      <c r="K714" s="328"/>
      <c r="L714" s="318">
        <v>11</v>
      </c>
      <c r="M714" s="318" t="s">
        <v>1586</v>
      </c>
      <c r="N714" s="312" t="s">
        <v>1584</v>
      </c>
    </row>
    <row r="715" spans="2:14" ht="24.9" customHeight="1" x14ac:dyDescent="0.3">
      <c r="B715" s="351" t="s">
        <v>1584</v>
      </c>
      <c r="C715" s="311" t="s">
        <v>1585</v>
      </c>
      <c r="D715" s="318" t="s">
        <v>1586</v>
      </c>
      <c r="E715" s="315">
        <v>32198469</v>
      </c>
      <c r="F715" s="327" t="s">
        <v>1587</v>
      </c>
      <c r="G715" s="331" t="s">
        <v>51</v>
      </c>
      <c r="H715" s="393">
        <v>32046276</v>
      </c>
      <c r="I715" s="392" t="str">
        <f>Table5[[#This Row],[ÁREA]]</f>
        <v>ANDENES</v>
      </c>
      <c r="J715" s="327" t="s">
        <v>1664</v>
      </c>
      <c r="K715" s="328"/>
      <c r="L715" s="318">
        <v>11</v>
      </c>
      <c r="M715" s="318" t="s">
        <v>1586</v>
      </c>
      <c r="N715" s="312" t="s">
        <v>260</v>
      </c>
    </row>
    <row r="716" spans="2:14" ht="24.9" customHeight="1" x14ac:dyDescent="0.3">
      <c r="B716" s="351" t="s">
        <v>1584</v>
      </c>
      <c r="C716" s="311" t="s">
        <v>1585</v>
      </c>
      <c r="D716" s="318" t="s">
        <v>1586</v>
      </c>
      <c r="E716" s="315">
        <v>32198469</v>
      </c>
      <c r="F716" s="327" t="s">
        <v>1587</v>
      </c>
      <c r="G716" s="315" t="s">
        <v>51</v>
      </c>
      <c r="H716" s="393">
        <v>32217092</v>
      </c>
      <c r="I716" s="392" t="str">
        <f>Table5[[#This Row],[ÁREA]]</f>
        <v>ANDENES</v>
      </c>
      <c r="J716" s="327" t="s">
        <v>1665</v>
      </c>
      <c r="K716" s="328"/>
      <c r="L716" s="318">
        <v>11</v>
      </c>
      <c r="M716" s="318" t="s">
        <v>1586</v>
      </c>
      <c r="N716" s="312" t="s">
        <v>44</v>
      </c>
    </row>
    <row r="717" spans="2:14" ht="24.9" customHeight="1" x14ac:dyDescent="0.3">
      <c r="B717" s="351" t="s">
        <v>1584</v>
      </c>
      <c r="C717" s="352" t="s">
        <v>1585</v>
      </c>
      <c r="D717" s="318" t="s">
        <v>1586</v>
      </c>
      <c r="E717" s="315">
        <v>32198469</v>
      </c>
      <c r="F717" s="359" t="s">
        <v>1587</v>
      </c>
      <c r="G717" s="334" t="s">
        <v>51</v>
      </c>
      <c r="H717" s="393">
        <v>32044359</v>
      </c>
      <c r="I717" s="392" t="str">
        <f>Table5[[#This Row],[ÁREA]]</f>
        <v>ANDENES</v>
      </c>
      <c r="J717" s="327" t="s">
        <v>1666</v>
      </c>
      <c r="L717" s="318">
        <v>11</v>
      </c>
      <c r="M717" s="354" t="s">
        <v>1586</v>
      </c>
      <c r="N717" s="355" t="s">
        <v>35</v>
      </c>
    </row>
    <row r="718" spans="2:14" ht="24.9" customHeight="1" x14ac:dyDescent="0.3">
      <c r="B718" s="311" t="s">
        <v>1584</v>
      </c>
      <c r="C718" s="311" t="s">
        <v>1585</v>
      </c>
      <c r="D718" s="318" t="s">
        <v>1586</v>
      </c>
      <c r="E718" s="348">
        <v>32198469</v>
      </c>
      <c r="F718" s="341" t="s">
        <v>1587</v>
      </c>
      <c r="G718" s="315" t="s">
        <v>51</v>
      </c>
      <c r="H718" s="393">
        <v>32046393</v>
      </c>
      <c r="I718" s="392" t="str">
        <f>Table5[[#This Row],[ÁREA]]</f>
        <v>ANDENES</v>
      </c>
      <c r="J718" s="327" t="s">
        <v>1667</v>
      </c>
      <c r="K718" s="322"/>
      <c r="L718" s="318">
        <v>11</v>
      </c>
      <c r="M718" s="318" t="s">
        <v>1586</v>
      </c>
      <c r="N718" s="312" t="s">
        <v>260</v>
      </c>
    </row>
    <row r="719" spans="2:14" ht="24.9" customHeight="1" x14ac:dyDescent="0.3">
      <c r="B719" s="351" t="s">
        <v>1584</v>
      </c>
      <c r="C719" s="311" t="s">
        <v>1585</v>
      </c>
      <c r="D719" s="318" t="s">
        <v>1586</v>
      </c>
      <c r="E719" s="329">
        <v>32198469</v>
      </c>
      <c r="F719" s="321" t="s">
        <v>1587</v>
      </c>
      <c r="G719" s="315" t="s">
        <v>51</v>
      </c>
      <c r="H719" s="393">
        <v>32230188</v>
      </c>
      <c r="I719" s="392" t="str">
        <f>Table5[[#This Row],[ÁREA]]</f>
        <v>ANDENES</v>
      </c>
      <c r="J719" s="327" t="s">
        <v>1668</v>
      </c>
      <c r="K719" s="315"/>
      <c r="L719" s="318">
        <v>11</v>
      </c>
      <c r="M719" s="318" t="s">
        <v>1586</v>
      </c>
      <c r="N719" s="312" t="s">
        <v>44</v>
      </c>
    </row>
    <row r="720" spans="2:14" ht="24.9" customHeight="1" x14ac:dyDescent="0.3">
      <c r="B720" s="351" t="s">
        <v>1584</v>
      </c>
      <c r="C720" s="311" t="s">
        <v>1585</v>
      </c>
      <c r="D720" s="318" t="s">
        <v>1586</v>
      </c>
      <c r="E720" s="315">
        <v>32198469</v>
      </c>
      <c r="F720" s="327" t="s">
        <v>1587</v>
      </c>
      <c r="G720" s="315" t="s">
        <v>51</v>
      </c>
      <c r="H720" s="391">
        <v>32045010</v>
      </c>
      <c r="I720" s="392" t="str">
        <f>Table5[[#This Row],[ÁREA]]</f>
        <v>ANDENES</v>
      </c>
      <c r="J720" s="321" t="s">
        <v>1669</v>
      </c>
      <c r="L720" s="318">
        <v>11</v>
      </c>
      <c r="M720" s="318" t="s">
        <v>1586</v>
      </c>
      <c r="N720" s="312" t="s">
        <v>47</v>
      </c>
    </row>
    <row r="721" spans="2:14" ht="24.9" customHeight="1" x14ac:dyDescent="0.3">
      <c r="B721" s="351" t="s">
        <v>1584</v>
      </c>
      <c r="C721" s="311" t="s">
        <v>1585</v>
      </c>
      <c r="D721" s="318" t="s">
        <v>1586</v>
      </c>
      <c r="E721" s="315">
        <v>32198469</v>
      </c>
      <c r="F721" s="327" t="s">
        <v>1587</v>
      </c>
      <c r="G721" s="315" t="s">
        <v>51</v>
      </c>
      <c r="H721" s="394">
        <v>32063478</v>
      </c>
      <c r="I721" s="394" t="str">
        <f>Table5[[#This Row],[ÁREA]]</f>
        <v>ANDENES</v>
      </c>
      <c r="J721" s="321" t="s">
        <v>1670</v>
      </c>
      <c r="L721" s="318">
        <v>11</v>
      </c>
      <c r="M721" s="318" t="s">
        <v>1586</v>
      </c>
      <c r="N721" s="312" t="s">
        <v>35</v>
      </c>
    </row>
    <row r="722" spans="2:14" ht="24.9" customHeight="1" x14ac:dyDescent="0.3">
      <c r="B722" s="351" t="s">
        <v>1584</v>
      </c>
      <c r="C722" s="311" t="s">
        <v>1671</v>
      </c>
      <c r="D722" s="318" t="s">
        <v>1672</v>
      </c>
      <c r="E722" s="318">
        <v>32174892</v>
      </c>
      <c r="F722" s="326" t="s">
        <v>1673</v>
      </c>
      <c r="G722" s="315" t="s">
        <v>1674</v>
      </c>
      <c r="H722" s="344">
        <v>32046210</v>
      </c>
      <c r="I722" s="344" t="str">
        <f>Table5[[#This Row],[ÁREA]]</f>
        <v xml:space="preserve">TAPANCO </v>
      </c>
      <c r="J722" s="345" t="s">
        <v>1675</v>
      </c>
      <c r="K722" s="322" t="s">
        <v>1676</v>
      </c>
      <c r="L722" s="318">
        <v>6</v>
      </c>
      <c r="M722" s="317" t="s">
        <v>1677</v>
      </c>
      <c r="N722" s="312"/>
    </row>
    <row r="723" spans="2:14" ht="24.9" customHeight="1" x14ac:dyDescent="0.3">
      <c r="B723" s="351" t="s">
        <v>1584</v>
      </c>
      <c r="C723" s="311" t="s">
        <v>1671</v>
      </c>
      <c r="D723" s="318" t="s">
        <v>1672</v>
      </c>
      <c r="E723" s="318">
        <v>32174892</v>
      </c>
      <c r="F723" s="326" t="s">
        <v>1673</v>
      </c>
      <c r="G723" s="315" t="s">
        <v>1674</v>
      </c>
      <c r="H723" s="344">
        <v>32044876</v>
      </c>
      <c r="I723" s="344" t="str">
        <f>Table5[[#This Row],[ÁREA]]</f>
        <v xml:space="preserve">TAPANCO </v>
      </c>
      <c r="J723" s="345" t="s">
        <v>1678</v>
      </c>
      <c r="K723" s="319" t="s">
        <v>1679</v>
      </c>
      <c r="L723" s="318">
        <v>6</v>
      </c>
      <c r="M723" s="317" t="s">
        <v>1677</v>
      </c>
      <c r="N723" s="312" t="s">
        <v>217</v>
      </c>
    </row>
    <row r="724" spans="2:14" ht="24.9" customHeight="1" x14ac:dyDescent="0.3">
      <c r="B724" s="351" t="s">
        <v>1584</v>
      </c>
      <c r="C724" s="352" t="s">
        <v>1671</v>
      </c>
      <c r="D724" s="354" t="s">
        <v>1672</v>
      </c>
      <c r="E724" s="320">
        <v>32174892</v>
      </c>
      <c r="F724" s="324" t="s">
        <v>1673</v>
      </c>
      <c r="G724" s="315" t="s">
        <v>1674</v>
      </c>
      <c r="H724" s="344">
        <v>32045800</v>
      </c>
      <c r="I724" s="344" t="str">
        <f>Table5[[#This Row],[ÁREA]]</f>
        <v xml:space="preserve">TAPANCO </v>
      </c>
      <c r="J724" s="345" t="s">
        <v>1680</v>
      </c>
      <c r="K724" s="322" t="s">
        <v>1681</v>
      </c>
      <c r="L724" s="318">
        <v>6</v>
      </c>
      <c r="M724" s="338" t="s">
        <v>1677</v>
      </c>
      <c r="N724" s="355" t="s">
        <v>260</v>
      </c>
    </row>
    <row r="725" spans="2:14" ht="24.9" customHeight="1" x14ac:dyDescent="0.3">
      <c r="B725" s="351" t="s">
        <v>1584</v>
      </c>
      <c r="C725" s="311" t="s">
        <v>1671</v>
      </c>
      <c r="D725" s="318" t="s">
        <v>1672</v>
      </c>
      <c r="E725" s="320">
        <v>32174892</v>
      </c>
      <c r="F725" s="324" t="s">
        <v>1673</v>
      </c>
      <c r="G725" s="315" t="s">
        <v>1674</v>
      </c>
      <c r="H725" s="344">
        <v>32045381</v>
      </c>
      <c r="I725" s="344" t="str">
        <f>Table5[[#This Row],[ÁREA]]</f>
        <v xml:space="preserve">TAPANCO </v>
      </c>
      <c r="J725" s="345" t="s">
        <v>1682</v>
      </c>
      <c r="K725" s="322" t="s">
        <v>1683</v>
      </c>
      <c r="L725" s="318">
        <v>6</v>
      </c>
      <c r="M725" s="317" t="s">
        <v>1677</v>
      </c>
      <c r="N725" s="312" t="s">
        <v>1684</v>
      </c>
    </row>
    <row r="726" spans="2:14" ht="24.9" customHeight="1" x14ac:dyDescent="0.3">
      <c r="B726" s="351" t="s">
        <v>1584</v>
      </c>
      <c r="C726" s="311" t="s">
        <v>1671</v>
      </c>
      <c r="D726" s="318" t="s">
        <v>1672</v>
      </c>
      <c r="E726" s="320">
        <v>32174892</v>
      </c>
      <c r="F726" s="324" t="s">
        <v>1673</v>
      </c>
      <c r="G726" s="315" t="s">
        <v>1674</v>
      </c>
      <c r="H726" s="344">
        <v>32045992</v>
      </c>
      <c r="I726" s="344" t="str">
        <f>Table5[[#This Row],[ÁREA]]</f>
        <v xml:space="preserve">TAPANCO </v>
      </c>
      <c r="J726" s="345" t="s">
        <v>1685</v>
      </c>
      <c r="K726" s="319" t="s">
        <v>1686</v>
      </c>
      <c r="L726" s="318">
        <v>6</v>
      </c>
      <c r="M726" s="317" t="s">
        <v>1677</v>
      </c>
      <c r="N726" s="312" t="s">
        <v>44</v>
      </c>
    </row>
    <row r="727" spans="2:14" ht="24.9" customHeight="1" x14ac:dyDescent="0.3">
      <c r="B727" s="311" t="s">
        <v>1584</v>
      </c>
      <c r="C727" s="311" t="s">
        <v>1671</v>
      </c>
      <c r="D727" s="318" t="s">
        <v>1672</v>
      </c>
      <c r="E727" s="340">
        <v>32174892</v>
      </c>
      <c r="F727" s="343" t="s">
        <v>1673</v>
      </c>
      <c r="G727" s="319" t="s">
        <v>1674</v>
      </c>
      <c r="H727" s="344">
        <v>32229412</v>
      </c>
      <c r="I727" s="344" t="str">
        <f>Table5[[#This Row],[ÁREA]]</f>
        <v xml:space="preserve">TAPANCO </v>
      </c>
      <c r="J727" s="345" t="s">
        <v>1687</v>
      </c>
      <c r="K727" s="322" t="s">
        <v>1688</v>
      </c>
      <c r="L727" s="318">
        <v>6</v>
      </c>
      <c r="M727" s="317" t="s">
        <v>1677</v>
      </c>
      <c r="N727" s="312" t="s">
        <v>1610</v>
      </c>
    </row>
    <row r="728" spans="2:14" ht="24.9" customHeight="1" x14ac:dyDescent="0.3">
      <c r="B728" s="311" t="s">
        <v>1584</v>
      </c>
      <c r="C728" s="311" t="s">
        <v>1648</v>
      </c>
      <c r="D728" s="318" t="s">
        <v>1689</v>
      </c>
      <c r="E728" s="318">
        <v>32217868</v>
      </c>
      <c r="F728" s="326" t="s">
        <v>1690</v>
      </c>
      <c r="G728" s="315" t="s">
        <v>51</v>
      </c>
      <c r="H728" s="394">
        <v>32045005</v>
      </c>
      <c r="I728" s="394" t="str">
        <f>Table5[[#This Row],[ÁREA]]</f>
        <v xml:space="preserve">NACIONAL </v>
      </c>
      <c r="J728" s="324" t="s">
        <v>1691</v>
      </c>
      <c r="L728" s="318">
        <v>9</v>
      </c>
      <c r="M728" s="318" t="s">
        <v>1689</v>
      </c>
      <c r="N728" s="312" t="s">
        <v>1584</v>
      </c>
    </row>
    <row r="729" spans="2:14" ht="24.9" customHeight="1" x14ac:dyDescent="0.3">
      <c r="B729" s="351" t="s">
        <v>1584</v>
      </c>
      <c r="C729" s="311" t="s">
        <v>1648</v>
      </c>
      <c r="D729" s="318" t="s">
        <v>1689</v>
      </c>
      <c r="E729" s="318">
        <v>32217868</v>
      </c>
      <c r="F729" s="326" t="s">
        <v>1690</v>
      </c>
      <c r="G729" s="315" t="s">
        <v>51</v>
      </c>
      <c r="H729" s="394">
        <v>32217065</v>
      </c>
      <c r="I729" s="394" t="str">
        <f>Table5[[#This Row],[ÁREA]]</f>
        <v xml:space="preserve">NACIONAL </v>
      </c>
      <c r="J729" s="324" t="s">
        <v>1692</v>
      </c>
      <c r="K729" s="328"/>
      <c r="L729" s="318">
        <v>9</v>
      </c>
      <c r="M729" s="318" t="s">
        <v>1689</v>
      </c>
      <c r="N729" s="312" t="s">
        <v>260</v>
      </c>
    </row>
    <row r="730" spans="2:14" ht="24.9" customHeight="1" x14ac:dyDescent="0.3">
      <c r="B730" s="351" t="s">
        <v>1584</v>
      </c>
      <c r="C730" s="311" t="s">
        <v>1648</v>
      </c>
      <c r="D730" s="318" t="s">
        <v>1689</v>
      </c>
      <c r="E730" s="318">
        <v>32217868</v>
      </c>
      <c r="F730" s="326" t="s">
        <v>1690</v>
      </c>
      <c r="G730" s="315" t="s">
        <v>51</v>
      </c>
      <c r="H730" s="394">
        <v>32044690</v>
      </c>
      <c r="I730" s="394" t="str">
        <f>Table5[[#This Row],[ÁREA]]</f>
        <v xml:space="preserve">NACIONAL </v>
      </c>
      <c r="J730" s="324" t="s">
        <v>1693</v>
      </c>
      <c r="K730" s="322"/>
      <c r="L730" s="318">
        <v>9</v>
      </c>
      <c r="M730" s="318" t="s">
        <v>1689</v>
      </c>
      <c r="N730" s="312" t="s">
        <v>62</v>
      </c>
    </row>
    <row r="731" spans="2:14" ht="24.9" customHeight="1" x14ac:dyDescent="0.3">
      <c r="B731" s="311" t="s">
        <v>1584</v>
      </c>
      <c r="C731" s="311" t="s">
        <v>1648</v>
      </c>
      <c r="D731" s="318" t="s">
        <v>1689</v>
      </c>
      <c r="E731" s="340">
        <v>32217868</v>
      </c>
      <c r="F731" s="343" t="s">
        <v>1690</v>
      </c>
      <c r="G731" s="315" t="s">
        <v>51</v>
      </c>
      <c r="H731" s="394">
        <v>32137228</v>
      </c>
      <c r="I731" s="394" t="str">
        <f>Table5[[#This Row],[ÁREA]]</f>
        <v xml:space="preserve">NACIONAL </v>
      </c>
      <c r="J731" s="324" t="s">
        <v>1694</v>
      </c>
      <c r="K731" s="395"/>
      <c r="L731" s="318">
        <v>9</v>
      </c>
      <c r="M731" s="318" t="s">
        <v>1689</v>
      </c>
      <c r="N731" s="312" t="s">
        <v>1</v>
      </c>
    </row>
    <row r="732" spans="2:14" ht="24.9" customHeight="1" x14ac:dyDescent="0.3">
      <c r="B732" s="351" t="s">
        <v>1584</v>
      </c>
      <c r="C732" s="311" t="s">
        <v>1648</v>
      </c>
      <c r="D732" s="318" t="s">
        <v>1689</v>
      </c>
      <c r="E732" s="320">
        <v>32217868</v>
      </c>
      <c r="F732" s="324" t="s">
        <v>1690</v>
      </c>
      <c r="G732" s="315" t="s">
        <v>51</v>
      </c>
      <c r="H732" s="394">
        <v>32046180</v>
      </c>
      <c r="I732" s="394" t="str">
        <f>Table5[[#This Row],[ÁREA]]</f>
        <v xml:space="preserve">NACIONAL </v>
      </c>
      <c r="J732" s="324" t="s">
        <v>1695</v>
      </c>
      <c r="L732" s="318">
        <v>9</v>
      </c>
      <c r="M732" s="318" t="s">
        <v>1689</v>
      </c>
      <c r="N732" s="312" t="s">
        <v>44</v>
      </c>
    </row>
    <row r="733" spans="2:14" ht="24.9" customHeight="1" x14ac:dyDescent="0.3">
      <c r="B733" s="351" t="s">
        <v>1584</v>
      </c>
      <c r="C733" s="311" t="s">
        <v>1648</v>
      </c>
      <c r="D733" s="318" t="s">
        <v>1689</v>
      </c>
      <c r="E733" s="320">
        <v>32217868</v>
      </c>
      <c r="F733" s="324" t="s">
        <v>1690</v>
      </c>
      <c r="G733" s="315" t="s">
        <v>51</v>
      </c>
      <c r="H733" s="394">
        <v>32187874</v>
      </c>
      <c r="I733" s="394" t="str">
        <f>Table5[[#This Row],[ÁREA]]</f>
        <v xml:space="preserve">NACIONAL </v>
      </c>
      <c r="J733" s="324" t="s">
        <v>1696</v>
      </c>
      <c r="L733" s="318">
        <v>9</v>
      </c>
      <c r="M733" s="318" t="s">
        <v>1689</v>
      </c>
      <c r="N733" s="312" t="s">
        <v>62</v>
      </c>
    </row>
    <row r="734" spans="2:14" ht="24.9" customHeight="1" x14ac:dyDescent="0.3">
      <c r="B734" s="351" t="s">
        <v>1584</v>
      </c>
      <c r="C734" s="311" t="s">
        <v>1697</v>
      </c>
      <c r="D734" s="318" t="s">
        <v>1689</v>
      </c>
      <c r="E734" s="320">
        <v>32217868</v>
      </c>
      <c r="F734" s="324" t="s">
        <v>1690</v>
      </c>
      <c r="G734" s="315" t="s">
        <v>51</v>
      </c>
      <c r="H734" s="394">
        <v>32180379</v>
      </c>
      <c r="I734" s="394" t="str">
        <f>Table5[[#This Row],[ÁREA]]</f>
        <v xml:space="preserve">EXPORTACION /ALTERNO </v>
      </c>
      <c r="J734" s="324" t="s">
        <v>1698</v>
      </c>
      <c r="L734" s="318">
        <v>9</v>
      </c>
      <c r="M734" s="318" t="s">
        <v>1689</v>
      </c>
      <c r="N734" s="312" t="s">
        <v>44</v>
      </c>
    </row>
    <row r="735" spans="2:14" ht="24.9" customHeight="1" x14ac:dyDescent="0.3">
      <c r="B735" s="351" t="s">
        <v>1584</v>
      </c>
      <c r="C735" s="311" t="s">
        <v>1648</v>
      </c>
      <c r="D735" s="318" t="s">
        <v>1689</v>
      </c>
      <c r="E735" s="318">
        <v>32217868</v>
      </c>
      <c r="F735" s="326" t="s">
        <v>1690</v>
      </c>
      <c r="G735" s="315" t="s">
        <v>51</v>
      </c>
      <c r="H735" s="394">
        <v>32187877</v>
      </c>
      <c r="I735" s="394" t="str">
        <f>Table5[[#This Row],[ÁREA]]</f>
        <v xml:space="preserve">NACIONAL </v>
      </c>
      <c r="J735" s="324" t="s">
        <v>1699</v>
      </c>
      <c r="L735" s="318">
        <v>9</v>
      </c>
      <c r="M735" s="318" t="s">
        <v>1689</v>
      </c>
      <c r="N735" s="312" t="s">
        <v>35</v>
      </c>
    </row>
    <row r="736" spans="2:14" ht="24.9" customHeight="1" x14ac:dyDescent="0.3">
      <c r="B736" s="351" t="s">
        <v>1584</v>
      </c>
      <c r="C736" s="311" t="s">
        <v>1648</v>
      </c>
      <c r="D736" s="318" t="s">
        <v>1689</v>
      </c>
      <c r="E736" s="318">
        <v>32217868</v>
      </c>
      <c r="F736" s="326" t="s">
        <v>1690</v>
      </c>
      <c r="G736" s="315" t="s">
        <v>51</v>
      </c>
      <c r="H736" s="394">
        <v>32045088</v>
      </c>
      <c r="I736" s="394" t="str">
        <f>Table5[[#This Row],[ÁREA]]</f>
        <v xml:space="preserve">NACIONAL </v>
      </c>
      <c r="J736" s="324" t="s">
        <v>1700</v>
      </c>
      <c r="K736" s="315"/>
      <c r="L736" s="318">
        <v>9</v>
      </c>
      <c r="M736" s="318" t="s">
        <v>1689</v>
      </c>
      <c r="N736" s="312" t="s">
        <v>260</v>
      </c>
    </row>
    <row r="737" spans="2:14" ht="24.9" customHeight="1" x14ac:dyDescent="0.3">
      <c r="B737" s="351" t="s">
        <v>1584</v>
      </c>
      <c r="C737" s="311" t="s">
        <v>1614</v>
      </c>
      <c r="D737" s="318" t="s">
        <v>1701</v>
      </c>
      <c r="E737" s="315">
        <v>32178853</v>
      </c>
      <c r="F737" s="327" t="s">
        <v>1702</v>
      </c>
      <c r="G737" s="331" t="s">
        <v>51</v>
      </c>
      <c r="H737" s="394">
        <v>32044785</v>
      </c>
      <c r="I737" s="394" t="str">
        <f>Table5[[#This Row],[ÁREA]]</f>
        <v>LINEAS</v>
      </c>
      <c r="J737" s="321" t="s">
        <v>1703</v>
      </c>
      <c r="K737" s="322"/>
      <c r="L737" s="318">
        <v>18</v>
      </c>
      <c r="M737" s="318" t="s">
        <v>1701</v>
      </c>
      <c r="N737" s="312" t="s">
        <v>62</v>
      </c>
    </row>
    <row r="738" spans="2:14" ht="24.9" customHeight="1" x14ac:dyDescent="0.3">
      <c r="B738" s="332" t="s">
        <v>1584</v>
      </c>
      <c r="C738" s="311" t="s">
        <v>1614</v>
      </c>
      <c r="D738" s="318" t="s">
        <v>1701</v>
      </c>
      <c r="E738" s="315">
        <v>32178853</v>
      </c>
      <c r="F738" s="327" t="s">
        <v>1702</v>
      </c>
      <c r="G738" s="315" t="s">
        <v>51</v>
      </c>
      <c r="H738" s="396">
        <v>32229593</v>
      </c>
      <c r="I738" s="396" t="str">
        <f>Table5[[#This Row],[ÁREA]]</f>
        <v>LINEAS</v>
      </c>
      <c r="J738" s="315" t="s">
        <v>1704</v>
      </c>
      <c r="K738" s="342"/>
      <c r="L738" s="318">
        <v>18</v>
      </c>
      <c r="M738" s="318" t="s">
        <v>1701</v>
      </c>
      <c r="N738" s="312" t="s">
        <v>260</v>
      </c>
    </row>
    <row r="739" spans="2:14" ht="24.9" customHeight="1" x14ac:dyDescent="0.3">
      <c r="B739" s="366" t="s">
        <v>1584</v>
      </c>
      <c r="C739" s="311" t="s">
        <v>1614</v>
      </c>
      <c r="D739" s="318" t="s">
        <v>1701</v>
      </c>
      <c r="E739" s="315">
        <v>32178853</v>
      </c>
      <c r="F739" s="327" t="s">
        <v>1702</v>
      </c>
      <c r="G739" s="334" t="s">
        <v>51</v>
      </c>
      <c r="H739" s="396">
        <v>32056674</v>
      </c>
      <c r="I739" s="396" t="str">
        <f>Table5[[#This Row],[ÁREA]]</f>
        <v>LINEAS</v>
      </c>
      <c r="J739" s="315" t="s">
        <v>1705</v>
      </c>
      <c r="L739" s="318">
        <v>18</v>
      </c>
      <c r="M739" s="318" t="s">
        <v>1701</v>
      </c>
      <c r="N739" s="312" t="s">
        <v>1</v>
      </c>
    </row>
    <row r="740" spans="2:14" ht="24.9" customHeight="1" x14ac:dyDescent="0.3">
      <c r="B740" s="351" t="s">
        <v>1584</v>
      </c>
      <c r="C740" s="311" t="s">
        <v>1614</v>
      </c>
      <c r="D740" s="318" t="s">
        <v>1701</v>
      </c>
      <c r="E740" s="315">
        <v>32178853</v>
      </c>
      <c r="F740" s="327" t="s">
        <v>1702</v>
      </c>
      <c r="G740" s="315" t="s">
        <v>51</v>
      </c>
      <c r="H740" s="396">
        <v>32046576</v>
      </c>
      <c r="I740" s="396" t="str">
        <f>Table5[[#This Row],[ÁREA]]</f>
        <v>LINEAS</v>
      </c>
      <c r="J740" s="315" t="s">
        <v>1706</v>
      </c>
      <c r="L740" s="318">
        <v>18</v>
      </c>
      <c r="M740" s="318" t="s">
        <v>1701</v>
      </c>
      <c r="N740" s="312" t="s">
        <v>62</v>
      </c>
    </row>
    <row r="741" spans="2:14" ht="24.9" customHeight="1" x14ac:dyDescent="0.3">
      <c r="B741" s="351" t="s">
        <v>1584</v>
      </c>
      <c r="C741" s="311" t="s">
        <v>1614</v>
      </c>
      <c r="D741" s="318" t="s">
        <v>1701</v>
      </c>
      <c r="E741" s="329">
        <v>32178853</v>
      </c>
      <c r="F741" s="321" t="s">
        <v>1702</v>
      </c>
      <c r="G741" s="315" t="s">
        <v>51</v>
      </c>
      <c r="H741" s="396">
        <v>32136857</v>
      </c>
      <c r="I741" s="396" t="str">
        <f>Table5[[#This Row],[ÁREA]]</f>
        <v>LINEAS</v>
      </c>
      <c r="J741" s="315" t="s">
        <v>1707</v>
      </c>
      <c r="L741" s="318">
        <v>18</v>
      </c>
      <c r="M741" s="318" t="s">
        <v>1701</v>
      </c>
      <c r="N741" s="312" t="s">
        <v>260</v>
      </c>
    </row>
    <row r="742" spans="2:14" ht="24.9" customHeight="1" x14ac:dyDescent="0.3">
      <c r="B742" s="351" t="s">
        <v>1584</v>
      </c>
      <c r="C742" s="311" t="s">
        <v>1614</v>
      </c>
      <c r="D742" s="318" t="s">
        <v>1701</v>
      </c>
      <c r="E742" s="315">
        <v>32178853</v>
      </c>
      <c r="F742" s="327" t="s">
        <v>1702</v>
      </c>
      <c r="G742" s="319" t="s">
        <v>51</v>
      </c>
      <c r="H742" s="396">
        <v>32046249</v>
      </c>
      <c r="I742" s="396" t="str">
        <f>Table5[[#This Row],[ÁREA]]</f>
        <v>LINEAS</v>
      </c>
      <c r="J742" s="315" t="s">
        <v>1708</v>
      </c>
      <c r="K742" s="315"/>
      <c r="L742" s="318">
        <v>18</v>
      </c>
      <c r="M742" s="318" t="s">
        <v>1701</v>
      </c>
      <c r="N742" s="312" t="s">
        <v>44</v>
      </c>
    </row>
    <row r="743" spans="2:14" ht="24.9" customHeight="1" x14ac:dyDescent="0.3">
      <c r="B743" s="351" t="s">
        <v>1584</v>
      </c>
      <c r="C743" s="311" t="s">
        <v>1614</v>
      </c>
      <c r="D743" s="318" t="s">
        <v>1701</v>
      </c>
      <c r="E743" s="315">
        <v>32178853</v>
      </c>
      <c r="F743" s="327" t="s">
        <v>1702</v>
      </c>
      <c r="G743" s="315" t="s">
        <v>51</v>
      </c>
      <c r="H743" s="396">
        <v>32043937</v>
      </c>
      <c r="I743" s="396" t="str">
        <f>Table5[[#This Row],[ÁREA]]</f>
        <v>LINEAS</v>
      </c>
      <c r="J743" s="315" t="s">
        <v>1709</v>
      </c>
      <c r="K743" s="315"/>
      <c r="L743" s="318">
        <v>18</v>
      </c>
      <c r="M743" s="318" t="s">
        <v>1701</v>
      </c>
      <c r="N743" s="312" t="s">
        <v>44</v>
      </c>
    </row>
    <row r="744" spans="2:14" ht="24.9" customHeight="1" x14ac:dyDescent="0.3">
      <c r="B744" s="351" t="s">
        <v>1584</v>
      </c>
      <c r="C744" s="311" t="s">
        <v>1614</v>
      </c>
      <c r="D744" s="318" t="s">
        <v>1701</v>
      </c>
      <c r="E744" s="329">
        <v>32178853</v>
      </c>
      <c r="F744" s="321" t="s">
        <v>1702</v>
      </c>
      <c r="G744" s="315" t="s">
        <v>51</v>
      </c>
      <c r="H744" s="396">
        <v>32043912</v>
      </c>
      <c r="I744" s="396" t="str">
        <f>Table5[[#This Row],[ÁREA]]</f>
        <v>LINEAS</v>
      </c>
      <c r="J744" s="315" t="s">
        <v>1710</v>
      </c>
      <c r="K744" s="322"/>
      <c r="L744" s="318">
        <v>18</v>
      </c>
      <c r="M744" s="318" t="s">
        <v>1701</v>
      </c>
      <c r="N744" s="312" t="s">
        <v>47</v>
      </c>
    </row>
    <row r="745" spans="2:14" ht="24.9" customHeight="1" x14ac:dyDescent="0.3">
      <c r="B745" s="351" t="s">
        <v>1584</v>
      </c>
      <c r="C745" s="311" t="s">
        <v>1614</v>
      </c>
      <c r="D745" s="318" t="s">
        <v>1701</v>
      </c>
      <c r="E745" s="315">
        <v>32178853</v>
      </c>
      <c r="F745" s="327" t="s">
        <v>1702</v>
      </c>
      <c r="G745" s="319" t="s">
        <v>51</v>
      </c>
      <c r="H745" s="396">
        <v>32136861</v>
      </c>
      <c r="I745" s="396" t="str">
        <f>Table5[[#This Row],[ÁREA]]</f>
        <v>LINEAS</v>
      </c>
      <c r="J745" s="315" t="s">
        <v>1711</v>
      </c>
      <c r="L745" s="318">
        <v>18</v>
      </c>
      <c r="M745" s="318" t="s">
        <v>1701</v>
      </c>
      <c r="N745" s="312" t="s">
        <v>62</v>
      </c>
    </row>
    <row r="746" spans="2:14" ht="24.9" customHeight="1" x14ac:dyDescent="0.3">
      <c r="B746" s="351" t="s">
        <v>1584</v>
      </c>
      <c r="C746" s="311" t="s">
        <v>1614</v>
      </c>
      <c r="D746" s="318" t="s">
        <v>1701</v>
      </c>
      <c r="E746" s="315">
        <v>32178853</v>
      </c>
      <c r="F746" s="327" t="s">
        <v>1702</v>
      </c>
      <c r="G746" s="315" t="s">
        <v>51</v>
      </c>
      <c r="H746" s="396">
        <v>32046040</v>
      </c>
      <c r="I746" s="396" t="str">
        <f>Table5[[#This Row],[ÁREA]]</f>
        <v>LINEAS</v>
      </c>
      <c r="J746" s="315" t="s">
        <v>1712</v>
      </c>
      <c r="K746" s="315"/>
      <c r="L746" s="318">
        <v>18</v>
      </c>
      <c r="M746" s="318" t="s">
        <v>1701</v>
      </c>
      <c r="N746" s="312" t="s">
        <v>35</v>
      </c>
    </row>
    <row r="747" spans="2:14" ht="24.9" customHeight="1" x14ac:dyDescent="0.3">
      <c r="B747" s="351" t="s">
        <v>1584</v>
      </c>
      <c r="C747" s="311" t="s">
        <v>1614</v>
      </c>
      <c r="D747" s="318" t="s">
        <v>1701</v>
      </c>
      <c r="E747" s="329">
        <v>32178853</v>
      </c>
      <c r="F747" s="321" t="s">
        <v>1702</v>
      </c>
      <c r="G747" s="315" t="s">
        <v>51</v>
      </c>
      <c r="H747" s="396">
        <v>32056896</v>
      </c>
      <c r="I747" s="396" t="str">
        <f>Table5[[#This Row],[ÁREA]]</f>
        <v>LINEAS</v>
      </c>
      <c r="J747" s="315" t="s">
        <v>1713</v>
      </c>
      <c r="L747" s="318">
        <v>18</v>
      </c>
      <c r="M747" s="318" t="s">
        <v>1701</v>
      </c>
      <c r="N747" s="312" t="s">
        <v>260</v>
      </c>
    </row>
    <row r="748" spans="2:14" ht="24.9" customHeight="1" x14ac:dyDescent="0.3">
      <c r="B748" s="351" t="s">
        <v>1584</v>
      </c>
      <c r="C748" s="311" t="s">
        <v>1614</v>
      </c>
      <c r="D748" s="318" t="s">
        <v>1701</v>
      </c>
      <c r="E748" s="315">
        <v>32178853</v>
      </c>
      <c r="F748" s="327" t="s">
        <v>1702</v>
      </c>
      <c r="G748" s="315" t="s">
        <v>51</v>
      </c>
      <c r="H748" s="396">
        <v>32044139</v>
      </c>
      <c r="I748" s="396" t="str">
        <f>Table5[[#This Row],[ÁREA]]</f>
        <v>LINEAS</v>
      </c>
      <c r="J748" s="315" t="s">
        <v>1714</v>
      </c>
      <c r="L748" s="318">
        <v>18</v>
      </c>
      <c r="M748" s="318" t="s">
        <v>1701</v>
      </c>
      <c r="N748" s="312" t="s">
        <v>260</v>
      </c>
    </row>
    <row r="749" spans="2:14" ht="24.9" customHeight="1" x14ac:dyDescent="0.3">
      <c r="B749" s="351" t="s">
        <v>1584</v>
      </c>
      <c r="C749" s="311" t="s">
        <v>1614</v>
      </c>
      <c r="D749" s="318" t="s">
        <v>1701</v>
      </c>
      <c r="E749" s="329">
        <v>32178853</v>
      </c>
      <c r="F749" s="321" t="s">
        <v>1702</v>
      </c>
      <c r="G749" s="315" t="s">
        <v>51</v>
      </c>
      <c r="H749" s="396">
        <v>32178730</v>
      </c>
      <c r="I749" s="396" t="str">
        <f>Table5[[#This Row],[ÁREA]]</f>
        <v>LINEAS</v>
      </c>
      <c r="J749" s="315" t="s">
        <v>1715</v>
      </c>
      <c r="L749" s="318">
        <v>18</v>
      </c>
      <c r="M749" s="318" t="s">
        <v>1701</v>
      </c>
      <c r="N749" s="312" t="s">
        <v>1</v>
      </c>
    </row>
    <row r="750" spans="2:14" ht="24.9" customHeight="1" x14ac:dyDescent="0.3">
      <c r="B750" s="351" t="s">
        <v>1584</v>
      </c>
      <c r="C750" s="311" t="s">
        <v>1614</v>
      </c>
      <c r="D750" s="318" t="s">
        <v>1701</v>
      </c>
      <c r="E750" s="329">
        <v>32178853</v>
      </c>
      <c r="F750" s="321" t="s">
        <v>1702</v>
      </c>
      <c r="G750" s="315" t="s">
        <v>51</v>
      </c>
      <c r="H750" s="396">
        <v>32045661</v>
      </c>
      <c r="I750" s="396" t="str">
        <f>Table5[[#This Row],[ÁREA]]</f>
        <v>LINEAS</v>
      </c>
      <c r="J750" s="315" t="s">
        <v>1716</v>
      </c>
      <c r="L750" s="318">
        <v>18</v>
      </c>
      <c r="M750" s="318" t="s">
        <v>1701</v>
      </c>
      <c r="N750" s="312" t="s">
        <v>44</v>
      </c>
    </row>
    <row r="751" spans="2:14" ht="24.9" customHeight="1" x14ac:dyDescent="0.3">
      <c r="B751" s="351" t="s">
        <v>1584</v>
      </c>
      <c r="C751" s="311" t="s">
        <v>1614</v>
      </c>
      <c r="D751" s="318" t="s">
        <v>1701</v>
      </c>
      <c r="E751" s="329">
        <v>32178853</v>
      </c>
      <c r="F751" s="321" t="s">
        <v>1702</v>
      </c>
      <c r="G751" s="315" t="s">
        <v>51</v>
      </c>
      <c r="H751" s="396">
        <v>32060913</v>
      </c>
      <c r="I751" s="396" t="str">
        <f>Table5[[#This Row],[ÁREA]]</f>
        <v>LINEAS</v>
      </c>
      <c r="J751" s="315" t="s">
        <v>1717</v>
      </c>
      <c r="L751" s="318">
        <v>18</v>
      </c>
      <c r="M751" s="318" t="s">
        <v>1701</v>
      </c>
      <c r="N751" s="312" t="s">
        <v>1584</v>
      </c>
    </row>
    <row r="752" spans="2:14" ht="24.9" customHeight="1" x14ac:dyDescent="0.3">
      <c r="B752" s="351" t="s">
        <v>1584</v>
      </c>
      <c r="C752" s="311" t="s">
        <v>1614</v>
      </c>
      <c r="D752" s="318" t="s">
        <v>1701</v>
      </c>
      <c r="E752" s="315">
        <v>32178853</v>
      </c>
      <c r="F752" s="327" t="s">
        <v>1702</v>
      </c>
      <c r="G752" s="315" t="s">
        <v>51</v>
      </c>
      <c r="H752" s="396">
        <v>32055315</v>
      </c>
      <c r="I752" s="396" t="str">
        <f>Table5[[#This Row],[ÁREA]]</f>
        <v>LINEAS</v>
      </c>
      <c r="J752" s="315" t="s">
        <v>1718</v>
      </c>
      <c r="K752" s="315"/>
      <c r="L752" s="318">
        <v>18</v>
      </c>
      <c r="M752" s="318" t="s">
        <v>1701</v>
      </c>
      <c r="N752" s="312" t="s">
        <v>1584</v>
      </c>
    </row>
    <row r="753" spans="2:14" ht="24.9" customHeight="1" x14ac:dyDescent="0.3">
      <c r="B753" s="351" t="s">
        <v>1584</v>
      </c>
      <c r="C753" s="311" t="s">
        <v>1614</v>
      </c>
      <c r="D753" s="318" t="s">
        <v>1701</v>
      </c>
      <c r="E753" s="315">
        <v>32178853</v>
      </c>
      <c r="F753" s="327" t="s">
        <v>1702</v>
      </c>
      <c r="G753" s="315" t="s">
        <v>51</v>
      </c>
      <c r="H753" s="396">
        <v>32046470</v>
      </c>
      <c r="I753" s="396" t="str">
        <f>Table5[[#This Row],[ÁREA]]</f>
        <v>LINEAS</v>
      </c>
      <c r="J753" s="315" t="s">
        <v>1719</v>
      </c>
      <c r="K753" s="322"/>
      <c r="L753" s="318">
        <v>18</v>
      </c>
      <c r="M753" s="318" t="s">
        <v>1701</v>
      </c>
      <c r="N753" s="312" t="s">
        <v>35</v>
      </c>
    </row>
    <row r="754" spans="2:14" ht="24.9" customHeight="1" x14ac:dyDescent="0.3">
      <c r="B754" s="351" t="s">
        <v>1584</v>
      </c>
      <c r="C754" s="311" t="s">
        <v>1614</v>
      </c>
      <c r="D754" s="318" t="s">
        <v>1701</v>
      </c>
      <c r="E754" s="315">
        <v>32178853</v>
      </c>
      <c r="F754" s="327" t="s">
        <v>1702</v>
      </c>
      <c r="G754" s="315" t="s">
        <v>51</v>
      </c>
      <c r="H754" s="396">
        <v>32096550</v>
      </c>
      <c r="I754" s="396" t="str">
        <f>Table5[[#This Row],[ÁREA]]</f>
        <v>LINEAS</v>
      </c>
      <c r="J754" s="315" t="s">
        <v>1720</v>
      </c>
      <c r="L754" s="318">
        <v>18</v>
      </c>
      <c r="M754" s="318" t="s">
        <v>1701</v>
      </c>
      <c r="N754" s="312" t="s">
        <v>47</v>
      </c>
    </row>
    <row r="755" spans="2:14" ht="24.9" customHeight="1" x14ac:dyDescent="0.3">
      <c r="B755" s="351" t="s">
        <v>1584</v>
      </c>
      <c r="C755" s="311" t="s">
        <v>1721</v>
      </c>
      <c r="D755" s="318" t="s">
        <v>1722</v>
      </c>
      <c r="E755" s="318">
        <v>32045834</v>
      </c>
      <c r="F755" s="326" t="s">
        <v>1723</v>
      </c>
      <c r="G755" s="315" t="s">
        <v>1724</v>
      </c>
      <c r="H755" s="316">
        <v>32044254</v>
      </c>
      <c r="I755" s="316" t="str">
        <f>Table5[[#This Row],[ÁREA]]</f>
        <v>PYR</v>
      </c>
      <c r="J755" s="317" t="s">
        <v>1725</v>
      </c>
      <c r="K755" s="315" t="s">
        <v>1726</v>
      </c>
      <c r="L755" s="318">
        <v>7</v>
      </c>
      <c r="M755" s="318" t="s">
        <v>1722</v>
      </c>
      <c r="N755" s="312" t="s">
        <v>1</v>
      </c>
    </row>
    <row r="756" spans="2:14" ht="24.9" customHeight="1" x14ac:dyDescent="0.3">
      <c r="B756" s="351" t="s">
        <v>1584</v>
      </c>
      <c r="C756" s="311" t="s">
        <v>1721</v>
      </c>
      <c r="D756" s="318" t="s">
        <v>1722</v>
      </c>
      <c r="E756" s="320">
        <v>32045834</v>
      </c>
      <c r="F756" s="324" t="s">
        <v>1723</v>
      </c>
      <c r="G756" s="315" t="s">
        <v>1724</v>
      </c>
      <c r="H756" s="316">
        <v>32045689</v>
      </c>
      <c r="I756" s="316" t="str">
        <f>Table5[[#This Row],[ÁREA]]</f>
        <v>PYR</v>
      </c>
      <c r="J756" s="317" t="s">
        <v>1727</v>
      </c>
      <c r="K756" s="315" t="s">
        <v>1728</v>
      </c>
      <c r="L756" s="318">
        <v>7</v>
      </c>
      <c r="M756" s="318" t="s">
        <v>1722</v>
      </c>
      <c r="N756" s="312" t="s">
        <v>1584</v>
      </c>
    </row>
    <row r="757" spans="2:14" ht="24.9" customHeight="1" x14ac:dyDescent="0.3">
      <c r="B757" s="351" t="s">
        <v>1584</v>
      </c>
      <c r="C757" s="311" t="s">
        <v>1721</v>
      </c>
      <c r="D757" s="318" t="s">
        <v>1722</v>
      </c>
      <c r="E757" s="318">
        <v>32045834</v>
      </c>
      <c r="F757" s="326" t="s">
        <v>1723</v>
      </c>
      <c r="G757" s="315" t="s">
        <v>1724</v>
      </c>
      <c r="H757" s="316">
        <v>32044362</v>
      </c>
      <c r="I757" s="316" t="str">
        <f>Table5[[#This Row],[ÁREA]]</f>
        <v>PYR</v>
      </c>
      <c r="J757" s="317" t="s">
        <v>1729</v>
      </c>
      <c r="K757" s="315" t="s">
        <v>1730</v>
      </c>
      <c r="L757" s="318">
        <v>7</v>
      </c>
      <c r="M757" s="318" t="s">
        <v>1722</v>
      </c>
      <c r="N757" s="312" t="s">
        <v>44</v>
      </c>
    </row>
    <row r="758" spans="2:14" ht="24.9" customHeight="1" x14ac:dyDescent="0.3">
      <c r="B758" s="351" t="s">
        <v>1584</v>
      </c>
      <c r="C758" s="311" t="s">
        <v>1721</v>
      </c>
      <c r="D758" s="318" t="s">
        <v>1722</v>
      </c>
      <c r="E758" s="320">
        <v>32045834</v>
      </c>
      <c r="F758" s="324" t="s">
        <v>1723</v>
      </c>
      <c r="G758" s="315" t="s">
        <v>1724</v>
      </c>
      <c r="H758" s="316">
        <v>32044024</v>
      </c>
      <c r="I758" s="316" t="str">
        <f>Table5[[#This Row],[ÁREA]]</f>
        <v>PYR</v>
      </c>
      <c r="J758" s="317" t="s">
        <v>1731</v>
      </c>
      <c r="K758" s="319" t="s">
        <v>1732</v>
      </c>
      <c r="L758" s="318">
        <v>7</v>
      </c>
      <c r="M758" s="318" t="s">
        <v>1722</v>
      </c>
      <c r="N758" s="312" t="s">
        <v>35</v>
      </c>
    </row>
    <row r="759" spans="2:14" ht="24.9" customHeight="1" x14ac:dyDescent="0.3">
      <c r="B759" s="351" t="s">
        <v>1584</v>
      </c>
      <c r="C759" s="311" t="s">
        <v>1721</v>
      </c>
      <c r="D759" s="318" t="s">
        <v>1722</v>
      </c>
      <c r="E759" s="318">
        <v>32045834</v>
      </c>
      <c r="F759" s="326" t="s">
        <v>1723</v>
      </c>
      <c r="G759" s="315" t="s">
        <v>1724</v>
      </c>
      <c r="H759" s="316">
        <v>32057497</v>
      </c>
      <c r="I759" s="316" t="str">
        <f>Table5[[#This Row],[ÁREA]]</f>
        <v>PYR</v>
      </c>
      <c r="J759" s="317" t="s">
        <v>1733</v>
      </c>
      <c r="K759" s="319" t="s">
        <v>1734</v>
      </c>
      <c r="L759" s="318">
        <v>7</v>
      </c>
      <c r="M759" s="318" t="s">
        <v>1722</v>
      </c>
      <c r="N759" s="312" t="s">
        <v>260</v>
      </c>
    </row>
    <row r="760" spans="2:14" ht="24.9" customHeight="1" x14ac:dyDescent="0.3">
      <c r="B760" s="351" t="s">
        <v>1584</v>
      </c>
      <c r="C760" s="311" t="s">
        <v>1735</v>
      </c>
      <c r="D760" s="318" t="s">
        <v>1736</v>
      </c>
      <c r="E760" s="397">
        <v>32225725</v>
      </c>
      <c r="F760" s="327" t="s">
        <v>1737</v>
      </c>
      <c r="G760" s="315" t="s">
        <v>1738</v>
      </c>
      <c r="H760" s="398">
        <v>32216902</v>
      </c>
      <c r="I760" s="379" t="str">
        <f>Table5[[#This Row],[ÁREA]]</f>
        <v>ALTERNO/TAPANCO</v>
      </c>
      <c r="J760" s="399" t="s">
        <v>1739</v>
      </c>
      <c r="K760" s="319" t="s">
        <v>1740</v>
      </c>
      <c r="L760" s="318">
        <v>8</v>
      </c>
      <c r="M760" s="318" t="s">
        <v>1741</v>
      </c>
      <c r="N760" s="312" t="s">
        <v>44</v>
      </c>
    </row>
    <row r="761" spans="2:14" ht="24.9" customHeight="1" x14ac:dyDescent="0.3">
      <c r="B761" s="549"/>
      <c r="C761" s="229"/>
      <c r="D761" s="234"/>
      <c r="E761" s="234"/>
      <c r="F761" s="282"/>
      <c r="G761" s="550"/>
      <c r="H761" s="233"/>
      <c r="I761" s="551">
        <f>Table5[[#This Row],[ÁREA]]</f>
        <v>0</v>
      </c>
      <c r="J761" s="230"/>
      <c r="K761" s="552"/>
      <c r="L761" s="234"/>
      <c r="M761" s="234"/>
      <c r="N761" s="295"/>
    </row>
    <row r="762" spans="2:14" ht="24.9" customHeight="1" x14ac:dyDescent="0.3">
      <c r="B762" s="351" t="s">
        <v>1584</v>
      </c>
      <c r="C762" s="311" t="s">
        <v>1735</v>
      </c>
      <c r="D762" s="318" t="s">
        <v>1736</v>
      </c>
      <c r="E762" s="397">
        <v>32225725</v>
      </c>
      <c r="F762" s="327" t="s">
        <v>1737</v>
      </c>
      <c r="G762" s="319" t="s">
        <v>1738</v>
      </c>
      <c r="H762" s="316">
        <v>32045325</v>
      </c>
      <c r="I762" s="316" t="str">
        <f>Table5[[#This Row],[ÁREA]]</f>
        <v>ALTERNO/TAPANCO</v>
      </c>
      <c r="J762" s="317" t="s">
        <v>1742</v>
      </c>
      <c r="K762" s="319" t="s">
        <v>1743</v>
      </c>
      <c r="L762" s="318">
        <v>8</v>
      </c>
      <c r="M762" s="318" t="s">
        <v>1741</v>
      </c>
      <c r="N762" s="312" t="s">
        <v>1</v>
      </c>
    </row>
    <row r="763" spans="2:14" ht="24.9" customHeight="1" x14ac:dyDescent="0.3">
      <c r="B763" s="311" t="s">
        <v>1584</v>
      </c>
      <c r="C763" s="311" t="s">
        <v>1735</v>
      </c>
      <c r="D763" s="318" t="s">
        <v>1736</v>
      </c>
      <c r="E763" s="397">
        <v>32225725</v>
      </c>
      <c r="F763" s="327" t="s">
        <v>1737</v>
      </c>
      <c r="G763" s="315" t="s">
        <v>1738</v>
      </c>
      <c r="H763" s="316">
        <v>32045068</v>
      </c>
      <c r="I763" s="316" t="str">
        <f>Table5[[#This Row],[ÁREA]]</f>
        <v>ALTERNO/TAPANCO</v>
      </c>
      <c r="J763" s="317" t="s">
        <v>1744</v>
      </c>
      <c r="K763" s="315" t="s">
        <v>1745</v>
      </c>
      <c r="L763" s="318">
        <v>8</v>
      </c>
      <c r="M763" s="318" t="s">
        <v>1741</v>
      </c>
      <c r="N763" s="355" t="s">
        <v>47</v>
      </c>
    </row>
    <row r="764" spans="2:14" ht="24.9" customHeight="1" x14ac:dyDescent="0.3">
      <c r="B764" s="311" t="s">
        <v>1584</v>
      </c>
      <c r="C764" s="311" t="s">
        <v>1735</v>
      </c>
      <c r="D764" s="318" t="s">
        <v>1736</v>
      </c>
      <c r="E764" s="397">
        <v>32225725</v>
      </c>
      <c r="F764" s="327" t="s">
        <v>1737</v>
      </c>
      <c r="G764" s="315" t="s">
        <v>1738</v>
      </c>
      <c r="H764" s="316">
        <v>32046004</v>
      </c>
      <c r="I764" s="316" t="str">
        <f>Table5[[#This Row],[ÁREA]]</f>
        <v>ALTERNO/TAPANCO</v>
      </c>
      <c r="J764" s="317" t="s">
        <v>1746</v>
      </c>
      <c r="K764" s="319" t="s">
        <v>1747</v>
      </c>
      <c r="L764" s="318">
        <v>8</v>
      </c>
      <c r="M764" s="318" t="s">
        <v>1741</v>
      </c>
      <c r="N764" s="312" t="s">
        <v>260</v>
      </c>
    </row>
    <row r="765" spans="2:14" ht="24.9" customHeight="1" x14ac:dyDescent="0.3">
      <c r="B765" s="351" t="s">
        <v>1584</v>
      </c>
      <c r="C765" s="311" t="s">
        <v>1735</v>
      </c>
      <c r="D765" s="318" t="s">
        <v>1736</v>
      </c>
      <c r="E765" s="397">
        <v>32225725</v>
      </c>
      <c r="F765" s="327" t="s">
        <v>1737</v>
      </c>
      <c r="G765" s="315" t="s">
        <v>1738</v>
      </c>
      <c r="H765" s="316">
        <v>32046598</v>
      </c>
      <c r="I765" s="316" t="str">
        <f>Table5[[#This Row],[ÁREA]]</f>
        <v>ALTERNO/TAPANCO</v>
      </c>
      <c r="J765" s="317" t="s">
        <v>1748</v>
      </c>
      <c r="K765" s="319" t="s">
        <v>1749</v>
      </c>
      <c r="L765" s="318">
        <v>8</v>
      </c>
      <c r="M765" s="318" t="s">
        <v>1741</v>
      </c>
      <c r="N765" s="312" t="s">
        <v>62</v>
      </c>
    </row>
    <row r="766" spans="2:14" ht="24.9" customHeight="1" x14ac:dyDescent="0.3">
      <c r="B766" s="351" t="s">
        <v>1584</v>
      </c>
      <c r="C766" s="311" t="s">
        <v>1735</v>
      </c>
      <c r="D766" s="318" t="s">
        <v>1736</v>
      </c>
      <c r="E766" s="400">
        <v>32225725</v>
      </c>
      <c r="F766" s="321" t="s">
        <v>1737</v>
      </c>
      <c r="G766" s="319" t="s">
        <v>1738</v>
      </c>
      <c r="H766" s="316">
        <v>32044358</v>
      </c>
      <c r="I766" s="316" t="str">
        <f>Table5[[#This Row],[ÁREA]]</f>
        <v>ALTERNO/TAPANCO</v>
      </c>
      <c r="J766" s="317" t="s">
        <v>1750</v>
      </c>
      <c r="K766" s="315" t="s">
        <v>1751</v>
      </c>
      <c r="L766" s="318">
        <v>8</v>
      </c>
      <c r="M766" s="318" t="s">
        <v>1741</v>
      </c>
      <c r="N766" s="312" t="s">
        <v>1</v>
      </c>
    </row>
    <row r="767" spans="2:14" ht="24.9" customHeight="1" x14ac:dyDescent="0.3">
      <c r="B767" s="351" t="s">
        <v>1584</v>
      </c>
      <c r="C767" s="352" t="s">
        <v>1735</v>
      </c>
      <c r="D767" s="354" t="s">
        <v>1736</v>
      </c>
      <c r="E767" s="397">
        <v>32225725</v>
      </c>
      <c r="F767" s="327" t="s">
        <v>1737</v>
      </c>
      <c r="G767" s="315" t="s">
        <v>1738</v>
      </c>
      <c r="H767" s="353">
        <v>32046184</v>
      </c>
      <c r="I767" s="353" t="str">
        <f>Table5[[#This Row],[ÁREA]]</f>
        <v>ALTERNO/TAPANCO</v>
      </c>
      <c r="J767" s="317" t="s">
        <v>1752</v>
      </c>
      <c r="K767" s="315" t="s">
        <v>1753</v>
      </c>
      <c r="L767" s="318">
        <v>8</v>
      </c>
      <c r="M767" s="354" t="s">
        <v>1741</v>
      </c>
      <c r="N767" s="355" t="s">
        <v>260</v>
      </c>
    </row>
    <row r="768" spans="2:14" ht="24.9" customHeight="1" x14ac:dyDescent="0.3">
      <c r="B768" s="311" t="s">
        <v>1584</v>
      </c>
      <c r="C768" s="352" t="s">
        <v>1589</v>
      </c>
      <c r="D768" s="354" t="s">
        <v>1754</v>
      </c>
      <c r="E768" s="315">
        <v>32218550</v>
      </c>
      <c r="F768" s="327" t="s">
        <v>1755</v>
      </c>
      <c r="G768" s="315" t="s">
        <v>51</v>
      </c>
      <c r="H768" s="389">
        <v>32229375</v>
      </c>
      <c r="I768" s="389" t="str">
        <f>Table5[[#This Row],[ÁREA]]</f>
        <v xml:space="preserve">ALMACEN ALTERNO </v>
      </c>
      <c r="J768" s="317" t="s">
        <v>1756</v>
      </c>
      <c r="K768" s="328" t="s">
        <v>61</v>
      </c>
      <c r="L768" s="318">
        <v>5</v>
      </c>
      <c r="M768" s="354" t="s">
        <v>1754</v>
      </c>
      <c r="N768" s="355" t="s">
        <v>260</v>
      </c>
    </row>
    <row r="769" spans="2:14" ht="24.9" customHeight="1" x14ac:dyDescent="0.3">
      <c r="B769" s="351" t="s">
        <v>1584</v>
      </c>
      <c r="C769" s="352" t="s">
        <v>1589</v>
      </c>
      <c r="D769" s="354" t="s">
        <v>1754</v>
      </c>
      <c r="E769" s="315">
        <v>32218550</v>
      </c>
      <c r="F769" s="327" t="s">
        <v>1755</v>
      </c>
      <c r="G769" s="315" t="s">
        <v>51</v>
      </c>
      <c r="H769" s="389">
        <v>32044057</v>
      </c>
      <c r="I769" s="389" t="str">
        <f>Table5[[#This Row],[ÁREA]]</f>
        <v xml:space="preserve">ALMACEN ALTERNO </v>
      </c>
      <c r="J769" s="317" t="s">
        <v>1757</v>
      </c>
      <c r="K769" s="317" t="s">
        <v>61</v>
      </c>
      <c r="L769" s="318">
        <v>5</v>
      </c>
      <c r="M769" s="354" t="s">
        <v>1754</v>
      </c>
      <c r="N769" s="355" t="s">
        <v>35</v>
      </c>
    </row>
    <row r="770" spans="2:14" ht="24.9" customHeight="1" x14ac:dyDescent="0.3">
      <c r="B770" s="351" t="s">
        <v>1584</v>
      </c>
      <c r="C770" s="352" t="s">
        <v>1589</v>
      </c>
      <c r="D770" s="354" t="s">
        <v>1754</v>
      </c>
      <c r="E770" s="315">
        <v>32218550</v>
      </c>
      <c r="F770" s="327" t="s">
        <v>1755</v>
      </c>
      <c r="G770" s="315" t="s">
        <v>51</v>
      </c>
      <c r="H770" s="389">
        <v>32180190</v>
      </c>
      <c r="I770" s="389" t="str">
        <f>Table5[[#This Row],[ÁREA]]</f>
        <v xml:space="preserve">ALMACEN ALTERNO </v>
      </c>
      <c r="J770" s="317" t="s">
        <v>1758</v>
      </c>
      <c r="K770" s="317" t="s">
        <v>61</v>
      </c>
      <c r="L770" s="318">
        <v>5</v>
      </c>
      <c r="M770" s="354" t="s">
        <v>1754</v>
      </c>
      <c r="N770" s="355" t="s">
        <v>47</v>
      </c>
    </row>
    <row r="771" spans="2:14" ht="24.9" customHeight="1" x14ac:dyDescent="0.3">
      <c r="B771" s="351" t="s">
        <v>1584</v>
      </c>
      <c r="C771" s="352" t="s">
        <v>1589</v>
      </c>
      <c r="D771" s="354" t="s">
        <v>1754</v>
      </c>
      <c r="E771" s="329">
        <v>32218550</v>
      </c>
      <c r="F771" s="321" t="s">
        <v>1755</v>
      </c>
      <c r="G771" s="331" t="s">
        <v>51</v>
      </c>
      <c r="H771" s="389">
        <v>32227711</v>
      </c>
      <c r="I771" s="389" t="str">
        <f>Table5[[#This Row],[ÁREA]]</f>
        <v xml:space="preserve">ALMACEN ALTERNO </v>
      </c>
      <c r="J771" s="317" t="s">
        <v>1759</v>
      </c>
      <c r="K771" s="328" t="s">
        <v>61</v>
      </c>
      <c r="L771" s="318">
        <v>5</v>
      </c>
      <c r="M771" s="318" t="s">
        <v>1754</v>
      </c>
      <c r="N771" s="355" t="s">
        <v>1</v>
      </c>
    </row>
    <row r="772" spans="2:14" ht="24.9" customHeight="1" x14ac:dyDescent="0.3">
      <c r="B772" s="351" t="s">
        <v>1584</v>
      </c>
      <c r="C772" s="352" t="s">
        <v>1589</v>
      </c>
      <c r="D772" s="354" t="s">
        <v>1754</v>
      </c>
      <c r="E772" s="315">
        <v>32218550</v>
      </c>
      <c r="F772" s="327" t="s">
        <v>1755</v>
      </c>
      <c r="G772" s="315" t="s">
        <v>51</v>
      </c>
      <c r="H772" s="389">
        <v>32057886</v>
      </c>
      <c r="I772" s="389" t="str">
        <f>Table5[[#This Row],[ÁREA]]</f>
        <v xml:space="preserve">ALMACEN ALTERNO </v>
      </c>
      <c r="J772" s="317" t="s">
        <v>1760</v>
      </c>
      <c r="K772" s="328" t="s">
        <v>61</v>
      </c>
      <c r="L772" s="318">
        <v>5</v>
      </c>
      <c r="M772" s="318" t="s">
        <v>1754</v>
      </c>
      <c r="N772" s="355" t="s">
        <v>44</v>
      </c>
    </row>
    <row r="773" spans="2:14" ht="24.9" customHeight="1" x14ac:dyDescent="0.3">
      <c r="B773" s="351" t="s">
        <v>1584</v>
      </c>
      <c r="C773" s="352" t="s">
        <v>1614</v>
      </c>
      <c r="D773" s="354" t="s">
        <v>1761</v>
      </c>
      <c r="E773" s="315">
        <v>32155712</v>
      </c>
      <c r="F773" s="327" t="s">
        <v>1762</v>
      </c>
      <c r="G773" s="334" t="s">
        <v>1763</v>
      </c>
      <c r="H773" s="401">
        <v>32045437</v>
      </c>
      <c r="I773" s="401" t="str">
        <f>Table5[[#This Row],[ÁREA]]</f>
        <v>LINEAS</v>
      </c>
      <c r="J773" s="315" t="s">
        <v>1764</v>
      </c>
      <c r="K773" s="317"/>
      <c r="L773" s="318">
        <v>17</v>
      </c>
      <c r="M773" s="318" t="s">
        <v>1761</v>
      </c>
      <c r="N773" s="387" t="s">
        <v>369</v>
      </c>
    </row>
    <row r="774" spans="2:14" ht="24.9" customHeight="1" x14ac:dyDescent="0.3">
      <c r="B774" s="351" t="s">
        <v>1584</v>
      </c>
      <c r="C774" s="352" t="s">
        <v>1614</v>
      </c>
      <c r="D774" s="354" t="s">
        <v>1761</v>
      </c>
      <c r="E774" s="315">
        <v>32155712</v>
      </c>
      <c r="F774" s="327" t="s">
        <v>1762</v>
      </c>
      <c r="G774" s="315" t="s">
        <v>1763</v>
      </c>
      <c r="H774" s="396">
        <v>32198261</v>
      </c>
      <c r="I774" s="402" t="str">
        <f>Table5[[#This Row],[ÁREA]]</f>
        <v>LINEAS</v>
      </c>
      <c r="J774" s="330" t="s">
        <v>1765</v>
      </c>
      <c r="K774" s="328"/>
      <c r="L774" s="318">
        <v>17</v>
      </c>
      <c r="M774" s="354" t="s">
        <v>1761</v>
      </c>
      <c r="N774" s="387" t="s">
        <v>1621</v>
      </c>
    </row>
    <row r="775" spans="2:14" ht="24.9" customHeight="1" x14ac:dyDescent="0.3">
      <c r="B775" s="351" t="s">
        <v>1584</v>
      </c>
      <c r="C775" s="352" t="s">
        <v>1614</v>
      </c>
      <c r="D775" s="354" t="s">
        <v>1761</v>
      </c>
      <c r="E775" s="315">
        <v>32155712</v>
      </c>
      <c r="F775" s="327" t="s">
        <v>1762</v>
      </c>
      <c r="G775" s="315" t="s">
        <v>1763</v>
      </c>
      <c r="H775" s="403">
        <v>32044691</v>
      </c>
      <c r="I775" s="403" t="str">
        <f>Table5[[#This Row],[ÁREA]]</f>
        <v>LINEAS</v>
      </c>
      <c r="J775" s="330" t="s">
        <v>1766</v>
      </c>
      <c r="L775" s="318">
        <v>17</v>
      </c>
      <c r="M775" s="354" t="s">
        <v>1761</v>
      </c>
      <c r="N775" s="387" t="s">
        <v>1621</v>
      </c>
    </row>
    <row r="776" spans="2:14" ht="24.9" customHeight="1" x14ac:dyDescent="0.3">
      <c r="B776" s="351" t="s">
        <v>1584</v>
      </c>
      <c r="C776" s="352" t="s">
        <v>1614</v>
      </c>
      <c r="D776" s="354" t="s">
        <v>1761</v>
      </c>
      <c r="E776" s="315">
        <v>32155712</v>
      </c>
      <c r="F776" s="327" t="s">
        <v>1762</v>
      </c>
      <c r="G776" s="315" t="s">
        <v>1763</v>
      </c>
      <c r="H776" s="403">
        <v>32044151</v>
      </c>
      <c r="I776" s="403" t="str">
        <f>Table5[[#This Row],[ÁREA]]</f>
        <v>LINEAS</v>
      </c>
      <c r="J776" s="330" t="s">
        <v>1767</v>
      </c>
      <c r="K776" s="328"/>
      <c r="L776" s="318">
        <v>17</v>
      </c>
      <c r="M776" s="354" t="s">
        <v>1761</v>
      </c>
      <c r="N776" s="387" t="s">
        <v>1623</v>
      </c>
    </row>
    <row r="777" spans="2:14" ht="24.9" customHeight="1" x14ac:dyDescent="0.3">
      <c r="B777" s="311" t="s">
        <v>1584</v>
      </c>
      <c r="C777" s="352" t="s">
        <v>1614</v>
      </c>
      <c r="D777" s="354" t="s">
        <v>1761</v>
      </c>
      <c r="E777" s="315">
        <v>32155712</v>
      </c>
      <c r="F777" s="327" t="s">
        <v>1762</v>
      </c>
      <c r="G777" s="315" t="s">
        <v>1763</v>
      </c>
      <c r="H777" s="403">
        <v>32180197</v>
      </c>
      <c r="I777" s="403" t="str">
        <f>Table5[[#This Row],[ÁREA]]</f>
        <v>LINEAS</v>
      </c>
      <c r="J777" s="330" t="s">
        <v>1768</v>
      </c>
      <c r="L777" s="318">
        <v>17</v>
      </c>
      <c r="M777" s="354" t="s">
        <v>1761</v>
      </c>
      <c r="N777" s="387" t="s">
        <v>1631</v>
      </c>
    </row>
    <row r="778" spans="2:14" ht="24.9" customHeight="1" x14ac:dyDescent="0.3">
      <c r="B778" s="351" t="s">
        <v>1584</v>
      </c>
      <c r="C778" s="311" t="s">
        <v>1614</v>
      </c>
      <c r="D778" s="318" t="s">
        <v>1761</v>
      </c>
      <c r="E778" s="315">
        <v>32155712</v>
      </c>
      <c r="F778" s="327" t="s">
        <v>1762</v>
      </c>
      <c r="G778" s="315" t="s">
        <v>1763</v>
      </c>
      <c r="H778" s="396">
        <v>32043972</v>
      </c>
      <c r="I778" s="396" t="str">
        <f>Table5[[#This Row],[ÁREA]]</f>
        <v>LINEAS</v>
      </c>
      <c r="J778" s="315" t="s">
        <v>1769</v>
      </c>
      <c r="L778" s="318">
        <v>17</v>
      </c>
      <c r="M778" s="318" t="s">
        <v>1761</v>
      </c>
      <c r="N778" s="386" t="s">
        <v>1619</v>
      </c>
    </row>
    <row r="779" spans="2:14" ht="24.9" customHeight="1" x14ac:dyDescent="0.3">
      <c r="B779" s="351" t="s">
        <v>1584</v>
      </c>
      <c r="C779" s="311" t="s">
        <v>1614</v>
      </c>
      <c r="D779" s="318" t="s">
        <v>1761</v>
      </c>
      <c r="E779" s="315">
        <v>32155712</v>
      </c>
      <c r="F779" s="327" t="s">
        <v>1762</v>
      </c>
      <c r="G779" s="315" t="s">
        <v>1763</v>
      </c>
      <c r="H779" s="396">
        <v>32044712</v>
      </c>
      <c r="I779" s="396" t="str">
        <f>Table5[[#This Row],[ÁREA]]</f>
        <v>LINEAS</v>
      </c>
      <c r="J779" s="315" t="s">
        <v>1770</v>
      </c>
      <c r="K779" s="317"/>
      <c r="L779" s="318">
        <v>17</v>
      </c>
      <c r="M779" s="318" t="s">
        <v>1761</v>
      </c>
      <c r="N779" s="386" t="s">
        <v>1629</v>
      </c>
    </row>
    <row r="780" spans="2:14" ht="24.9" customHeight="1" x14ac:dyDescent="0.3">
      <c r="B780" s="351" t="s">
        <v>1584</v>
      </c>
      <c r="C780" s="311" t="s">
        <v>1614</v>
      </c>
      <c r="D780" s="318" t="s">
        <v>1761</v>
      </c>
      <c r="E780" s="315">
        <v>32155712</v>
      </c>
      <c r="F780" s="327" t="s">
        <v>1762</v>
      </c>
      <c r="G780" s="315" t="s">
        <v>1763</v>
      </c>
      <c r="H780" s="396">
        <v>32070294</v>
      </c>
      <c r="I780" s="396" t="str">
        <f>Table5[[#This Row],[ÁREA]]</f>
        <v>LINEAS</v>
      </c>
      <c r="J780" s="315" t="s">
        <v>1771</v>
      </c>
      <c r="L780" s="318">
        <v>17</v>
      </c>
      <c r="M780" s="318" t="s">
        <v>1761</v>
      </c>
      <c r="N780" s="386" t="s">
        <v>375</v>
      </c>
    </row>
    <row r="781" spans="2:14" ht="24.9" customHeight="1" x14ac:dyDescent="0.3">
      <c r="B781" s="311" t="s">
        <v>1584</v>
      </c>
      <c r="C781" s="311" t="s">
        <v>1614</v>
      </c>
      <c r="D781" s="318" t="s">
        <v>1761</v>
      </c>
      <c r="E781" s="315">
        <v>32155712</v>
      </c>
      <c r="F781" s="327" t="s">
        <v>1762</v>
      </c>
      <c r="G781" s="315" t="s">
        <v>1763</v>
      </c>
      <c r="H781" s="396">
        <v>32217095</v>
      </c>
      <c r="I781" s="396" t="str">
        <f>Table5[[#This Row],[ÁREA]]</f>
        <v>LINEAS</v>
      </c>
      <c r="J781" s="315" t="s">
        <v>1772</v>
      </c>
      <c r="L781" s="318">
        <v>17</v>
      </c>
      <c r="M781" s="318" t="s">
        <v>1761</v>
      </c>
      <c r="N781" s="386" t="s">
        <v>369</v>
      </c>
    </row>
    <row r="782" spans="2:14" ht="24.9" customHeight="1" x14ac:dyDescent="0.3">
      <c r="B782" s="311" t="s">
        <v>1584</v>
      </c>
      <c r="C782" s="311" t="s">
        <v>1614</v>
      </c>
      <c r="D782" s="318" t="s">
        <v>1761</v>
      </c>
      <c r="E782" s="348">
        <v>32155712</v>
      </c>
      <c r="F782" s="341" t="s">
        <v>1762</v>
      </c>
      <c r="G782" s="315" t="s">
        <v>1763</v>
      </c>
      <c r="H782" s="396">
        <v>32045488</v>
      </c>
      <c r="I782" s="396" t="str">
        <f>Table5[[#This Row],[ÁREA]]</f>
        <v>LINEAS</v>
      </c>
      <c r="J782" s="315" t="s">
        <v>1773</v>
      </c>
      <c r="K782" s="342"/>
      <c r="L782" s="318">
        <v>17</v>
      </c>
      <c r="M782" s="318" t="s">
        <v>1761</v>
      </c>
      <c r="N782" s="386" t="s">
        <v>1631</v>
      </c>
    </row>
    <row r="783" spans="2:14" ht="24.9" customHeight="1" x14ac:dyDescent="0.3">
      <c r="B783" s="351" t="s">
        <v>1584</v>
      </c>
      <c r="C783" s="311" t="s">
        <v>1614</v>
      </c>
      <c r="D783" s="318" t="s">
        <v>1761</v>
      </c>
      <c r="E783" s="348">
        <v>32155712</v>
      </c>
      <c r="F783" s="341" t="s">
        <v>1762</v>
      </c>
      <c r="G783" s="315" t="s">
        <v>1763</v>
      </c>
      <c r="H783" s="396">
        <v>32046463</v>
      </c>
      <c r="I783" s="396" t="str">
        <f>Table5[[#This Row],[ÁREA]]</f>
        <v>LINEAS</v>
      </c>
      <c r="J783" s="315" t="s">
        <v>1774</v>
      </c>
      <c r="K783" s="328"/>
      <c r="L783" s="318">
        <v>17</v>
      </c>
      <c r="M783" s="318" t="s">
        <v>1761</v>
      </c>
      <c r="N783" s="386" t="s">
        <v>1623</v>
      </c>
    </row>
    <row r="784" spans="2:14" ht="24.9" customHeight="1" x14ac:dyDescent="0.3">
      <c r="B784" s="351" t="s">
        <v>1584</v>
      </c>
      <c r="C784" s="311" t="s">
        <v>1614</v>
      </c>
      <c r="D784" s="318" t="s">
        <v>1761</v>
      </c>
      <c r="E784" s="348">
        <v>32155712</v>
      </c>
      <c r="F784" s="341" t="s">
        <v>1762</v>
      </c>
      <c r="G784" s="315" t="s">
        <v>1763</v>
      </c>
      <c r="H784" s="396">
        <v>32229420</v>
      </c>
      <c r="I784" s="396" t="str">
        <f>Table5[[#This Row],[ÁREA]]</f>
        <v>LINEAS</v>
      </c>
      <c r="J784" s="315" t="s">
        <v>1775</v>
      </c>
      <c r="K784" s="322"/>
      <c r="L784" s="318">
        <v>17</v>
      </c>
      <c r="M784" s="318" t="s">
        <v>1761</v>
      </c>
      <c r="N784" s="386" t="s">
        <v>375</v>
      </c>
    </row>
    <row r="785" spans="2:14" ht="24.9" customHeight="1" x14ac:dyDescent="0.3">
      <c r="B785" s="351" t="s">
        <v>1584</v>
      </c>
      <c r="C785" s="311" t="s">
        <v>1614</v>
      </c>
      <c r="D785" s="318" t="s">
        <v>1761</v>
      </c>
      <c r="E785" s="348">
        <v>32155712</v>
      </c>
      <c r="F785" s="341" t="s">
        <v>1762</v>
      </c>
      <c r="G785" s="315" t="s">
        <v>1763</v>
      </c>
      <c r="H785" s="396">
        <v>32213362</v>
      </c>
      <c r="I785" s="396" t="str">
        <f>Table5[[#This Row],[ÁREA]]</f>
        <v>LINEAS</v>
      </c>
      <c r="J785" s="315" t="s">
        <v>1776</v>
      </c>
      <c r="K785" s="322"/>
      <c r="L785" s="318">
        <v>17</v>
      </c>
      <c r="M785" s="318" t="s">
        <v>1761</v>
      </c>
      <c r="N785" s="386" t="s">
        <v>369</v>
      </c>
    </row>
    <row r="786" spans="2:14" ht="24.9" customHeight="1" x14ac:dyDescent="0.3">
      <c r="B786" s="351" t="s">
        <v>1584</v>
      </c>
      <c r="C786" s="311" t="s">
        <v>1614</v>
      </c>
      <c r="D786" s="318" t="s">
        <v>1761</v>
      </c>
      <c r="E786" s="348">
        <v>32155712</v>
      </c>
      <c r="F786" s="341" t="s">
        <v>1762</v>
      </c>
      <c r="G786" s="315" t="s">
        <v>1763</v>
      </c>
      <c r="H786" s="396">
        <v>32199319</v>
      </c>
      <c r="I786" s="396" t="str">
        <f>Table5[[#This Row],[ÁREA]]</f>
        <v>LINEAS</v>
      </c>
      <c r="J786" s="315" t="s">
        <v>1777</v>
      </c>
      <c r="L786" s="318">
        <v>17</v>
      </c>
      <c r="M786" s="318" t="s">
        <v>1761</v>
      </c>
      <c r="N786" s="386" t="s">
        <v>1631</v>
      </c>
    </row>
    <row r="787" spans="2:14" ht="24.9" customHeight="1" x14ac:dyDescent="0.3">
      <c r="B787" s="351" t="s">
        <v>1584</v>
      </c>
      <c r="C787" s="311" t="s">
        <v>1614</v>
      </c>
      <c r="D787" s="318" t="s">
        <v>1761</v>
      </c>
      <c r="E787" s="348">
        <v>32155712</v>
      </c>
      <c r="F787" s="341" t="s">
        <v>1762</v>
      </c>
      <c r="G787" s="331" t="s">
        <v>1763</v>
      </c>
      <c r="H787" s="396">
        <v>32046614</v>
      </c>
      <c r="I787" s="396" t="str">
        <f>Table5[[#This Row],[ÁREA]]</f>
        <v>LINEAS</v>
      </c>
      <c r="J787" s="315" t="s">
        <v>1778</v>
      </c>
      <c r="L787" s="318">
        <v>17</v>
      </c>
      <c r="M787" s="318" t="s">
        <v>1761</v>
      </c>
      <c r="N787" s="386" t="s">
        <v>1623</v>
      </c>
    </row>
    <row r="788" spans="2:14" ht="24.9" customHeight="1" x14ac:dyDescent="0.3">
      <c r="B788" s="311" t="s">
        <v>1584</v>
      </c>
      <c r="C788" s="311" t="s">
        <v>1614</v>
      </c>
      <c r="D788" s="318" t="s">
        <v>1761</v>
      </c>
      <c r="E788" s="348">
        <v>32155712</v>
      </c>
      <c r="F788" s="341" t="s">
        <v>1762</v>
      </c>
      <c r="G788" s="315" t="s">
        <v>1763</v>
      </c>
      <c r="H788" s="396">
        <v>32227678</v>
      </c>
      <c r="I788" s="396" t="str">
        <f>Table5[[#This Row],[ÁREA]]</f>
        <v>LINEAS</v>
      </c>
      <c r="J788" s="315" t="s">
        <v>1779</v>
      </c>
      <c r="K788" s="342"/>
      <c r="L788" s="318">
        <v>17</v>
      </c>
      <c r="M788" s="318" t="s">
        <v>1761</v>
      </c>
      <c r="N788" s="386" t="s">
        <v>1619</v>
      </c>
    </row>
    <row r="789" spans="2:14" ht="24.9" customHeight="1" x14ac:dyDescent="0.3">
      <c r="B789" s="351" t="s">
        <v>1584</v>
      </c>
      <c r="C789" s="311" t="s">
        <v>1614</v>
      </c>
      <c r="D789" s="318" t="s">
        <v>1761</v>
      </c>
      <c r="E789" s="348">
        <v>32155712</v>
      </c>
      <c r="F789" s="341" t="s">
        <v>1762</v>
      </c>
      <c r="G789" s="334" t="s">
        <v>1763</v>
      </c>
      <c r="H789" s="396">
        <v>32187986</v>
      </c>
      <c r="I789" s="396" t="str">
        <f>Table5[[#This Row],[ÁREA]]</f>
        <v>LINEAS</v>
      </c>
      <c r="J789" s="315" t="s">
        <v>1780</v>
      </c>
      <c r="K789" s="317"/>
      <c r="L789" s="318">
        <v>17</v>
      </c>
      <c r="M789" s="318" t="s">
        <v>1761</v>
      </c>
      <c r="N789" s="386" t="s">
        <v>1629</v>
      </c>
    </row>
    <row r="790" spans="2:14" ht="24.9" customHeight="1" x14ac:dyDescent="0.3">
      <c r="B790" s="351" t="s">
        <v>1584</v>
      </c>
      <c r="C790" s="352" t="s">
        <v>1781</v>
      </c>
      <c r="D790" s="318" t="s">
        <v>1782</v>
      </c>
      <c r="E790" s="348">
        <v>32214584</v>
      </c>
      <c r="F790" s="341" t="s">
        <v>1783</v>
      </c>
      <c r="G790" s="397"/>
      <c r="H790" s="353">
        <v>32180199</v>
      </c>
      <c r="I790" s="353" t="str">
        <f>Table5[[#This Row],[ÁREA]]</f>
        <v xml:space="preserve">ALTERNO </v>
      </c>
      <c r="J790" s="317" t="s">
        <v>1784</v>
      </c>
      <c r="K790" s="317"/>
      <c r="L790" s="318">
        <v>6</v>
      </c>
      <c r="M790" s="317" t="s">
        <v>1782</v>
      </c>
      <c r="N790" s="355" t="s">
        <v>44</v>
      </c>
    </row>
    <row r="791" spans="2:14" ht="24.9" customHeight="1" x14ac:dyDescent="0.3">
      <c r="B791" s="351" t="s">
        <v>1584</v>
      </c>
      <c r="C791" s="311" t="s">
        <v>1781</v>
      </c>
      <c r="D791" s="318" t="s">
        <v>1782</v>
      </c>
      <c r="E791" s="348">
        <v>32214584</v>
      </c>
      <c r="F791" s="341" t="s">
        <v>1783</v>
      </c>
      <c r="G791" s="397"/>
      <c r="H791" s="316">
        <v>32180202</v>
      </c>
      <c r="I791" s="316" t="str">
        <f>Table5[[#This Row],[ÁREA]]</f>
        <v xml:space="preserve">ALTERNO </v>
      </c>
      <c r="J791" s="317" t="s">
        <v>1785</v>
      </c>
      <c r="K791" s="317"/>
      <c r="L791" s="318">
        <v>6</v>
      </c>
      <c r="M791" s="317" t="s">
        <v>1782</v>
      </c>
      <c r="N791" s="312" t="s">
        <v>217</v>
      </c>
    </row>
    <row r="792" spans="2:14" ht="24.9" customHeight="1" x14ac:dyDescent="0.3">
      <c r="B792" s="351" t="s">
        <v>1584</v>
      </c>
      <c r="C792" s="311" t="s">
        <v>1781</v>
      </c>
      <c r="D792" s="318" t="s">
        <v>1782</v>
      </c>
      <c r="E792" s="348">
        <v>32214584</v>
      </c>
      <c r="F792" s="341" t="s">
        <v>1783</v>
      </c>
      <c r="G792" s="397"/>
      <c r="H792" s="353">
        <v>32180384</v>
      </c>
      <c r="I792" s="353" t="str">
        <f>Table5[[#This Row],[ÁREA]]</f>
        <v xml:space="preserve">ALTERNO </v>
      </c>
      <c r="J792" s="338" t="s">
        <v>1786</v>
      </c>
      <c r="K792" s="328"/>
      <c r="L792" s="318">
        <v>6</v>
      </c>
      <c r="M792" s="317" t="s">
        <v>1782</v>
      </c>
      <c r="N792" s="312" t="s">
        <v>1787</v>
      </c>
    </row>
    <row r="793" spans="2:14" ht="24.9" customHeight="1" x14ac:dyDescent="0.3">
      <c r="B793" s="351" t="s">
        <v>1584</v>
      </c>
      <c r="C793" s="311" t="s">
        <v>1781</v>
      </c>
      <c r="D793" s="318" t="s">
        <v>1782</v>
      </c>
      <c r="E793" s="348">
        <v>32214584</v>
      </c>
      <c r="F793" s="341" t="s">
        <v>1783</v>
      </c>
      <c r="G793" s="397"/>
      <c r="H793" s="316">
        <v>32230187</v>
      </c>
      <c r="I793" s="316" t="str">
        <f>Table5[[#This Row],[ÁREA]]</f>
        <v xml:space="preserve">ALTERNO </v>
      </c>
      <c r="J793" s="317" t="s">
        <v>1788</v>
      </c>
      <c r="K793" s="328"/>
      <c r="L793" s="318">
        <v>6</v>
      </c>
      <c r="M793" s="317" t="s">
        <v>1782</v>
      </c>
      <c r="N793" s="312" t="s">
        <v>1789</v>
      </c>
    </row>
    <row r="794" spans="2:14" ht="24.9" customHeight="1" x14ac:dyDescent="0.3">
      <c r="B794" s="351" t="s">
        <v>1584</v>
      </c>
      <c r="C794" s="311" t="s">
        <v>1781</v>
      </c>
      <c r="D794" s="318" t="s">
        <v>1782</v>
      </c>
      <c r="E794" s="348">
        <v>32214584</v>
      </c>
      <c r="F794" s="341" t="s">
        <v>1783</v>
      </c>
      <c r="G794" s="397"/>
      <c r="H794" s="316">
        <v>32046625</v>
      </c>
      <c r="I794" s="316" t="str">
        <f>Table5[[#This Row],[ÁREA]]</f>
        <v xml:space="preserve">ALTERNO </v>
      </c>
      <c r="J794" s="317" t="s">
        <v>1790</v>
      </c>
      <c r="K794" s="317"/>
      <c r="L794" s="318">
        <v>6</v>
      </c>
      <c r="M794" s="317" t="s">
        <v>1782</v>
      </c>
      <c r="N794" s="312" t="s">
        <v>1610</v>
      </c>
    </row>
    <row r="795" spans="2:14" ht="24.9" customHeight="1" x14ac:dyDescent="0.3">
      <c r="B795" s="351" t="s">
        <v>1584</v>
      </c>
      <c r="C795" s="311" t="s">
        <v>1781</v>
      </c>
      <c r="D795" s="318" t="s">
        <v>1782</v>
      </c>
      <c r="E795" s="315">
        <v>32214584</v>
      </c>
      <c r="F795" s="327" t="s">
        <v>1783</v>
      </c>
      <c r="G795" s="404"/>
      <c r="H795" s="316">
        <v>32180206</v>
      </c>
      <c r="I795" s="316" t="str">
        <f>Table5[[#This Row],[ÁREA]]</f>
        <v xml:space="preserve">ALTERNO </v>
      </c>
      <c r="J795" s="317" t="s">
        <v>1791</v>
      </c>
      <c r="K795" s="317"/>
      <c r="L795" s="318">
        <v>6</v>
      </c>
      <c r="M795" s="317" t="s">
        <v>1782</v>
      </c>
      <c r="N795" s="312" t="s">
        <v>47</v>
      </c>
    </row>
    <row r="796" spans="2:14" ht="24.9" customHeight="1" x14ac:dyDescent="0.3">
      <c r="B796" s="311" t="s">
        <v>1584</v>
      </c>
      <c r="C796" s="311" t="s">
        <v>1792</v>
      </c>
      <c r="D796" s="318" t="s">
        <v>1793</v>
      </c>
      <c r="E796" s="340">
        <v>32225725</v>
      </c>
      <c r="F796" s="343" t="s">
        <v>1737</v>
      </c>
      <c r="G796" s="397"/>
      <c r="H796" s="316">
        <v>32046498</v>
      </c>
      <c r="I796" s="316" t="str">
        <f>Table5[[#This Row],[ÁREA]]</f>
        <v>ALTERNO</v>
      </c>
      <c r="J796" s="317" t="s">
        <v>1794</v>
      </c>
      <c r="K796" s="317"/>
      <c r="L796" s="318">
        <v>8</v>
      </c>
      <c r="M796" s="318" t="s">
        <v>1793</v>
      </c>
      <c r="N796" s="386" t="s">
        <v>1631</v>
      </c>
    </row>
    <row r="797" spans="2:14" ht="24.9" customHeight="1" x14ac:dyDescent="0.3">
      <c r="B797" s="351" t="s">
        <v>1584</v>
      </c>
      <c r="C797" s="311" t="s">
        <v>1792</v>
      </c>
      <c r="D797" s="318" t="s">
        <v>1793</v>
      </c>
      <c r="E797" s="318">
        <v>32225725</v>
      </c>
      <c r="F797" s="326" t="s">
        <v>1737</v>
      </c>
      <c r="G797" s="336"/>
      <c r="H797" s="316">
        <v>32211553</v>
      </c>
      <c r="I797" s="316" t="str">
        <f>Table5[[#This Row],[ÁREA]]</f>
        <v>ALTERNO</v>
      </c>
      <c r="J797" s="317" t="s">
        <v>1795</v>
      </c>
      <c r="K797" s="328"/>
      <c r="L797" s="318">
        <v>8</v>
      </c>
      <c r="M797" s="318" t="s">
        <v>1793</v>
      </c>
      <c r="N797" s="386" t="s">
        <v>1623</v>
      </c>
    </row>
    <row r="798" spans="2:14" ht="24.9" customHeight="1" x14ac:dyDescent="0.3">
      <c r="B798" s="351" t="s">
        <v>1584</v>
      </c>
      <c r="C798" s="352" t="s">
        <v>1792</v>
      </c>
      <c r="D798" s="354" t="s">
        <v>1793</v>
      </c>
      <c r="E798" s="318">
        <v>32225725</v>
      </c>
      <c r="F798" s="326" t="s">
        <v>1737</v>
      </c>
      <c r="G798" s="397"/>
      <c r="H798" s="353">
        <v>32180380</v>
      </c>
      <c r="I798" s="353" t="str">
        <f>Table5[[#This Row],[ÁREA]]</f>
        <v>ALTERNO</v>
      </c>
      <c r="J798" s="338" t="s">
        <v>1796</v>
      </c>
      <c r="K798" s="328"/>
      <c r="L798" s="318">
        <v>8</v>
      </c>
      <c r="M798" s="354" t="s">
        <v>1793</v>
      </c>
      <c r="N798" s="387" t="s">
        <v>1619</v>
      </c>
    </row>
    <row r="799" spans="2:14" ht="24.9" customHeight="1" x14ac:dyDescent="0.3">
      <c r="B799" s="311" t="s">
        <v>1584</v>
      </c>
      <c r="C799" s="311" t="s">
        <v>1792</v>
      </c>
      <c r="D799" s="318" t="s">
        <v>1793</v>
      </c>
      <c r="E799" s="318">
        <v>32225725</v>
      </c>
      <c r="F799" s="326" t="s">
        <v>1737</v>
      </c>
      <c r="G799" s="397"/>
      <c r="H799" s="316">
        <v>32230181</v>
      </c>
      <c r="I799" s="316" t="str">
        <f>Table5[[#This Row],[ÁREA]]</f>
        <v>ALTERNO</v>
      </c>
      <c r="J799" s="317" t="s">
        <v>1797</v>
      </c>
      <c r="K799" s="317"/>
      <c r="L799" s="318">
        <v>8</v>
      </c>
      <c r="M799" s="318" t="s">
        <v>1793</v>
      </c>
      <c r="N799" s="386" t="s">
        <v>1629</v>
      </c>
    </row>
    <row r="800" spans="2:14" ht="24.9" customHeight="1" x14ac:dyDescent="0.3">
      <c r="B800" s="351" t="s">
        <v>1584</v>
      </c>
      <c r="C800" s="311" t="s">
        <v>1792</v>
      </c>
      <c r="D800" s="318" t="s">
        <v>1793</v>
      </c>
      <c r="E800" s="318">
        <v>32225725</v>
      </c>
      <c r="F800" s="326" t="s">
        <v>1737</v>
      </c>
      <c r="G800" s="397"/>
      <c r="H800" s="316">
        <v>32180192</v>
      </c>
      <c r="I800" s="316" t="str">
        <f>Table5[[#This Row],[ÁREA]]</f>
        <v>ALTERNO</v>
      </c>
      <c r="J800" s="317" t="s">
        <v>1798</v>
      </c>
      <c r="K800" s="317"/>
      <c r="L800" s="318">
        <v>8</v>
      </c>
      <c r="M800" s="318" t="s">
        <v>1793</v>
      </c>
      <c r="N800" s="386" t="s">
        <v>1629</v>
      </c>
    </row>
    <row r="801" spans="2:14" ht="24.9" customHeight="1" x14ac:dyDescent="0.3">
      <c r="B801" s="351" t="s">
        <v>1584</v>
      </c>
      <c r="C801" s="311" t="s">
        <v>1585</v>
      </c>
      <c r="D801" s="318" t="s">
        <v>1799</v>
      </c>
      <c r="E801" s="318">
        <v>32068459</v>
      </c>
      <c r="F801" s="312" t="s">
        <v>1800</v>
      </c>
      <c r="G801" s="397"/>
      <c r="H801" s="405">
        <v>32227660</v>
      </c>
      <c r="I801" s="405" t="str">
        <f>Table5[[#This Row],[ÁREA]]</f>
        <v>ANDENES</v>
      </c>
      <c r="J801" s="318" t="s">
        <v>1801</v>
      </c>
      <c r="K801" s="328"/>
      <c r="L801" s="318">
        <v>9</v>
      </c>
      <c r="M801" s="317" t="s">
        <v>1802</v>
      </c>
      <c r="N801" s="312" t="s">
        <v>1803</v>
      </c>
    </row>
    <row r="802" spans="2:14" ht="24.9" customHeight="1" x14ac:dyDescent="0.3">
      <c r="B802" s="351" t="s">
        <v>1584</v>
      </c>
      <c r="C802" s="311" t="s">
        <v>1585</v>
      </c>
      <c r="D802" s="318" t="s">
        <v>1799</v>
      </c>
      <c r="E802" s="318">
        <v>32068459</v>
      </c>
      <c r="F802" s="312" t="s">
        <v>1800</v>
      </c>
      <c r="G802" s="397"/>
      <c r="H802" s="405">
        <v>32046512</v>
      </c>
      <c r="I802" s="405" t="str">
        <f>Table5[[#This Row],[ÁREA]]</f>
        <v>ANDENES</v>
      </c>
      <c r="J802" s="318" t="s">
        <v>1804</v>
      </c>
      <c r="K802" s="328"/>
      <c r="L802" s="318">
        <v>9</v>
      </c>
      <c r="M802" s="317" t="s">
        <v>1802</v>
      </c>
      <c r="N802" s="312" t="s">
        <v>1803</v>
      </c>
    </row>
    <row r="803" spans="2:14" ht="24.9" customHeight="1" x14ac:dyDescent="0.3">
      <c r="B803" s="351" t="s">
        <v>1584</v>
      </c>
      <c r="C803" s="311" t="s">
        <v>1585</v>
      </c>
      <c r="D803" s="318" t="s">
        <v>1799</v>
      </c>
      <c r="E803" s="318">
        <v>32068459</v>
      </c>
      <c r="F803" s="312" t="s">
        <v>1800</v>
      </c>
      <c r="G803" s="397"/>
      <c r="H803" s="405">
        <v>32044661</v>
      </c>
      <c r="I803" s="405" t="str">
        <f>Table5[[#This Row],[ÁREA]]</f>
        <v>ANDENES</v>
      </c>
      <c r="J803" s="318" t="s">
        <v>1805</v>
      </c>
      <c r="K803" s="328"/>
      <c r="L803" s="318">
        <v>9</v>
      </c>
      <c r="M803" s="317" t="s">
        <v>1802</v>
      </c>
      <c r="N803" s="312" t="s">
        <v>1806</v>
      </c>
    </row>
    <row r="804" spans="2:14" ht="24.9" customHeight="1" x14ac:dyDescent="0.3">
      <c r="B804" s="351" t="s">
        <v>1584</v>
      </c>
      <c r="C804" s="311" t="s">
        <v>1585</v>
      </c>
      <c r="D804" s="318" t="s">
        <v>1799</v>
      </c>
      <c r="E804" s="320">
        <v>32068459</v>
      </c>
      <c r="F804" s="388" t="s">
        <v>1800</v>
      </c>
      <c r="G804" s="397"/>
      <c r="H804" s="405">
        <v>32043795</v>
      </c>
      <c r="I804" s="405" t="str">
        <f>Table5[[#This Row],[ÁREA]]</f>
        <v>ANDENES</v>
      </c>
      <c r="J804" s="318" t="s">
        <v>1807</v>
      </c>
      <c r="K804" s="328"/>
      <c r="L804" s="318">
        <v>9</v>
      </c>
      <c r="M804" s="317" t="s">
        <v>1802</v>
      </c>
      <c r="N804" s="312" t="s">
        <v>1808</v>
      </c>
    </row>
    <row r="805" spans="2:14" ht="24.9" customHeight="1" x14ac:dyDescent="0.3">
      <c r="B805" s="351" t="s">
        <v>1584</v>
      </c>
      <c r="C805" s="311" t="s">
        <v>1585</v>
      </c>
      <c r="D805" s="318" t="s">
        <v>1799</v>
      </c>
      <c r="E805" s="320">
        <v>32068459</v>
      </c>
      <c r="F805" s="388" t="s">
        <v>1800</v>
      </c>
      <c r="G805" s="397"/>
      <c r="H805" s="405">
        <v>32044555</v>
      </c>
      <c r="I805" s="405" t="str">
        <f>Table5[[#This Row],[ÁREA]]</f>
        <v>ANDENES</v>
      </c>
      <c r="J805" s="318" t="s">
        <v>1809</v>
      </c>
      <c r="K805" s="328"/>
      <c r="L805" s="318">
        <v>9</v>
      </c>
      <c r="M805" s="317" t="s">
        <v>1802</v>
      </c>
      <c r="N805" s="312" t="s">
        <v>1810</v>
      </c>
    </row>
    <row r="806" spans="2:14" ht="24.9" customHeight="1" x14ac:dyDescent="0.3">
      <c r="B806" s="351" t="s">
        <v>1584</v>
      </c>
      <c r="C806" s="311" t="s">
        <v>1585</v>
      </c>
      <c r="D806" s="318" t="s">
        <v>1799</v>
      </c>
      <c r="E806" s="320">
        <v>32068459</v>
      </c>
      <c r="F806" s="388" t="s">
        <v>1800</v>
      </c>
      <c r="G806" s="404"/>
      <c r="H806" s="405">
        <v>32046204</v>
      </c>
      <c r="I806" s="405" t="str">
        <f>Table5[[#This Row],[ÁREA]]</f>
        <v>ANDENES</v>
      </c>
      <c r="J806" s="318" t="s">
        <v>1811</v>
      </c>
      <c r="K806" s="328"/>
      <c r="L806" s="318">
        <v>9</v>
      </c>
      <c r="M806" s="317" t="s">
        <v>1802</v>
      </c>
      <c r="N806" s="312" t="s">
        <v>125</v>
      </c>
    </row>
    <row r="807" spans="2:14" ht="24.9" customHeight="1" x14ac:dyDescent="0.3">
      <c r="B807" s="351" t="s">
        <v>1584</v>
      </c>
      <c r="C807" s="311" t="s">
        <v>1585</v>
      </c>
      <c r="D807" s="318" t="s">
        <v>1799</v>
      </c>
      <c r="E807" s="320">
        <v>32068459</v>
      </c>
      <c r="F807" s="355" t="s">
        <v>1800</v>
      </c>
      <c r="G807" s="397"/>
      <c r="H807" s="405">
        <v>32045696</v>
      </c>
      <c r="I807" s="405" t="str">
        <f>Table5[[#This Row],[ÁREA]]</f>
        <v>ANDENES</v>
      </c>
      <c r="J807" s="318" t="s">
        <v>1812</v>
      </c>
      <c r="K807" s="317"/>
      <c r="L807" s="318">
        <v>9</v>
      </c>
      <c r="M807" s="317" t="s">
        <v>1802</v>
      </c>
      <c r="N807" s="312" t="s">
        <v>1813</v>
      </c>
    </row>
    <row r="808" spans="2:14" ht="24.9" customHeight="1" x14ac:dyDescent="0.3">
      <c r="B808" s="351" t="s">
        <v>1584</v>
      </c>
      <c r="C808" s="311" t="s">
        <v>1585</v>
      </c>
      <c r="D808" s="318" t="s">
        <v>1799</v>
      </c>
      <c r="E808" s="320">
        <v>32068459</v>
      </c>
      <c r="F808" s="355" t="s">
        <v>1800</v>
      </c>
      <c r="G808" s="397"/>
      <c r="H808" s="405">
        <v>32044138</v>
      </c>
      <c r="I808" s="405" t="str">
        <f>Table5[[#This Row],[ÁREA]]</f>
        <v>ANDENES</v>
      </c>
      <c r="J808" s="318" t="s">
        <v>1814</v>
      </c>
      <c r="K808" s="328"/>
      <c r="L808" s="318">
        <v>9</v>
      </c>
      <c r="M808" s="317" t="s">
        <v>1802</v>
      </c>
      <c r="N808" s="312" t="s">
        <v>1815</v>
      </c>
    </row>
    <row r="809" spans="2:14" ht="24.9" customHeight="1" x14ac:dyDescent="0.3">
      <c r="B809" s="351" t="s">
        <v>1584</v>
      </c>
      <c r="C809" s="311" t="s">
        <v>1585</v>
      </c>
      <c r="D809" s="318" t="s">
        <v>1799</v>
      </c>
      <c r="E809" s="320">
        <v>32068459</v>
      </c>
      <c r="F809" s="355" t="s">
        <v>1800</v>
      </c>
      <c r="G809" s="397"/>
      <c r="H809" s="405">
        <v>32045430</v>
      </c>
      <c r="I809" s="405" t="str">
        <f>Table5[[#This Row],[ÁREA]]</f>
        <v>ANDENES</v>
      </c>
      <c r="J809" s="318" t="s">
        <v>1816</v>
      </c>
      <c r="K809" s="328"/>
      <c r="L809" s="318">
        <v>9</v>
      </c>
      <c r="M809" s="317" t="s">
        <v>1802</v>
      </c>
      <c r="N809" s="312" t="s">
        <v>1817</v>
      </c>
    </row>
    <row r="810" spans="2:14" ht="24.9" customHeight="1" x14ac:dyDescent="0.3">
      <c r="B810" s="351" t="s">
        <v>1584</v>
      </c>
      <c r="C810" s="311" t="s">
        <v>1818</v>
      </c>
      <c r="D810" s="318" t="s">
        <v>1819</v>
      </c>
      <c r="E810" s="320">
        <v>32218551</v>
      </c>
      <c r="F810" s="356" t="s">
        <v>1820</v>
      </c>
      <c r="G810" s="406"/>
      <c r="H810" s="384">
        <v>32092191</v>
      </c>
      <c r="I810" s="384" t="str">
        <f>Table5[[#This Row],[ÁREA]]</f>
        <v xml:space="preserve">RECEPCION </v>
      </c>
      <c r="J810" s="333" t="s">
        <v>1821</v>
      </c>
      <c r="K810" s="328"/>
      <c r="L810" s="318">
        <v>10</v>
      </c>
      <c r="M810" s="318" t="s">
        <v>1819</v>
      </c>
      <c r="N810" s="386" t="s">
        <v>369</v>
      </c>
    </row>
    <row r="811" spans="2:14" ht="24.9" customHeight="1" x14ac:dyDescent="0.3">
      <c r="B811" s="311" t="s">
        <v>1584</v>
      </c>
      <c r="C811" s="311" t="s">
        <v>1818</v>
      </c>
      <c r="D811" s="318" t="s">
        <v>1819</v>
      </c>
      <c r="E811" s="320">
        <v>32218551</v>
      </c>
      <c r="F811" s="356" t="s">
        <v>1820</v>
      </c>
      <c r="G811" s="397"/>
      <c r="H811" s="384">
        <v>32068982</v>
      </c>
      <c r="I811" s="384" t="str">
        <f>Table5[[#This Row],[ÁREA]]</f>
        <v xml:space="preserve">RECEPCION </v>
      </c>
      <c r="J811" s="333" t="s">
        <v>1822</v>
      </c>
      <c r="K811" s="328"/>
      <c r="L811" s="318">
        <v>10</v>
      </c>
      <c r="M811" s="318" t="s">
        <v>1819</v>
      </c>
      <c r="N811" s="386" t="s">
        <v>1621</v>
      </c>
    </row>
    <row r="812" spans="2:14" ht="24.9" customHeight="1" x14ac:dyDescent="0.3">
      <c r="B812" s="351" t="s">
        <v>1584</v>
      </c>
      <c r="C812" s="311" t="s">
        <v>1818</v>
      </c>
      <c r="D812" s="318" t="s">
        <v>1819</v>
      </c>
      <c r="E812" s="320">
        <v>32218551</v>
      </c>
      <c r="F812" s="356" t="s">
        <v>1820</v>
      </c>
      <c r="G812" s="336"/>
      <c r="H812" s="384">
        <v>32045738</v>
      </c>
      <c r="I812" s="384" t="str">
        <f>Table5[[#This Row],[ÁREA]]</f>
        <v xml:space="preserve">RECEPCION </v>
      </c>
      <c r="J812" s="333" t="s">
        <v>1823</v>
      </c>
      <c r="K812" s="328"/>
      <c r="L812" s="318">
        <v>10</v>
      </c>
      <c r="M812" s="318" t="s">
        <v>1819</v>
      </c>
      <c r="N812" s="386" t="s">
        <v>1621</v>
      </c>
    </row>
    <row r="813" spans="2:14" ht="24.9" customHeight="1" x14ac:dyDescent="0.3">
      <c r="B813" s="351" t="s">
        <v>1584</v>
      </c>
      <c r="C813" s="352" t="s">
        <v>1818</v>
      </c>
      <c r="D813" s="318" t="s">
        <v>1819</v>
      </c>
      <c r="E813" s="320">
        <v>32218551</v>
      </c>
      <c r="F813" s="356" t="s">
        <v>1820</v>
      </c>
      <c r="G813" s="397"/>
      <c r="H813" s="385">
        <v>32044587</v>
      </c>
      <c r="I813" s="385" t="str">
        <f>Table5[[#This Row],[ÁREA]]</f>
        <v xml:space="preserve">RECEPCION </v>
      </c>
      <c r="J813" s="376" t="s">
        <v>1824</v>
      </c>
      <c r="K813" s="328"/>
      <c r="L813" s="318">
        <v>10</v>
      </c>
      <c r="M813" s="318" t="s">
        <v>1819</v>
      </c>
      <c r="N813" s="387" t="s">
        <v>1623</v>
      </c>
    </row>
    <row r="814" spans="2:14" ht="24.9" customHeight="1" x14ac:dyDescent="0.3">
      <c r="B814" s="351" t="s">
        <v>1584</v>
      </c>
      <c r="C814" s="311" t="s">
        <v>1818</v>
      </c>
      <c r="D814" s="318" t="s">
        <v>1819</v>
      </c>
      <c r="E814" s="320">
        <v>32218551</v>
      </c>
      <c r="F814" s="356" t="s">
        <v>1820</v>
      </c>
      <c r="G814" s="397"/>
      <c r="H814" s="384">
        <v>32044948</v>
      </c>
      <c r="I814" s="384" t="str">
        <f>Table5[[#This Row],[ÁREA]]</f>
        <v xml:space="preserve">RECEPCION </v>
      </c>
      <c r="J814" s="333" t="s">
        <v>1825</v>
      </c>
      <c r="K814" s="317"/>
      <c r="L814" s="318">
        <v>10</v>
      </c>
      <c r="M814" s="318" t="s">
        <v>1819</v>
      </c>
      <c r="N814" s="386" t="s">
        <v>1631</v>
      </c>
    </row>
    <row r="815" spans="2:14" ht="24.9" customHeight="1" x14ac:dyDescent="0.3">
      <c r="B815" s="351" t="s">
        <v>1584</v>
      </c>
      <c r="C815" s="311" t="s">
        <v>1818</v>
      </c>
      <c r="D815" s="318" t="s">
        <v>1819</v>
      </c>
      <c r="E815" s="320">
        <v>32218551</v>
      </c>
      <c r="F815" s="324" t="s">
        <v>1820</v>
      </c>
      <c r="G815" s="404"/>
      <c r="H815" s="384">
        <v>32046091</v>
      </c>
      <c r="I815" s="384" t="str">
        <f>Table5[[#This Row],[ÁREA]]</f>
        <v xml:space="preserve">RECEPCION </v>
      </c>
      <c r="J815" s="333" t="s">
        <v>1826</v>
      </c>
      <c r="K815" s="317"/>
      <c r="L815" s="318">
        <v>10</v>
      </c>
      <c r="M815" s="318" t="s">
        <v>1819</v>
      </c>
      <c r="N815" s="386" t="s">
        <v>1619</v>
      </c>
    </row>
    <row r="816" spans="2:14" ht="24.9" customHeight="1" x14ac:dyDescent="0.3">
      <c r="B816" s="351" t="s">
        <v>1584</v>
      </c>
      <c r="C816" s="311" t="s">
        <v>1818</v>
      </c>
      <c r="D816" s="318" t="s">
        <v>1819</v>
      </c>
      <c r="E816" s="318">
        <v>32218551</v>
      </c>
      <c r="F816" s="326" t="s">
        <v>1820</v>
      </c>
      <c r="G816" s="397"/>
      <c r="H816" s="384">
        <v>32046333</v>
      </c>
      <c r="I816" s="384" t="str">
        <f>Table5[[#This Row],[ÁREA]]</f>
        <v xml:space="preserve">RECEPCION </v>
      </c>
      <c r="J816" s="333" t="s">
        <v>1827</v>
      </c>
      <c r="K816" s="328"/>
      <c r="L816" s="318">
        <v>10</v>
      </c>
      <c r="M816" s="318" t="s">
        <v>1819</v>
      </c>
      <c r="N816" s="386" t="s">
        <v>1629</v>
      </c>
    </row>
    <row r="817" spans="1:14" ht="24.9" customHeight="1" x14ac:dyDescent="0.3">
      <c r="B817" s="351" t="s">
        <v>1584</v>
      </c>
      <c r="C817" s="311" t="s">
        <v>1818</v>
      </c>
      <c r="D817" s="318" t="s">
        <v>1819</v>
      </c>
      <c r="E817" s="320">
        <v>32218551</v>
      </c>
      <c r="F817" s="324" t="s">
        <v>1820</v>
      </c>
      <c r="G817" s="397"/>
      <c r="H817" s="384">
        <v>32046427</v>
      </c>
      <c r="I817" s="384" t="str">
        <f>Table5[[#This Row],[ÁREA]]</f>
        <v xml:space="preserve">RECEPCION </v>
      </c>
      <c r="J817" s="333" t="s">
        <v>1828</v>
      </c>
      <c r="K817" s="328"/>
      <c r="L817" s="318">
        <v>10</v>
      </c>
      <c r="M817" s="318" t="s">
        <v>1819</v>
      </c>
      <c r="N817" s="386" t="s">
        <v>375</v>
      </c>
    </row>
    <row r="818" spans="1:14" ht="24.9" customHeight="1" x14ac:dyDescent="0.3">
      <c r="B818" s="351" t="s">
        <v>1584</v>
      </c>
      <c r="C818" s="311" t="s">
        <v>1818</v>
      </c>
      <c r="D818" s="318" t="s">
        <v>1819</v>
      </c>
      <c r="E818" s="318">
        <v>32218551</v>
      </c>
      <c r="F818" s="326" t="s">
        <v>1820</v>
      </c>
      <c r="G818" s="406"/>
      <c r="H818" s="384">
        <v>32091768</v>
      </c>
      <c r="I818" s="384" t="str">
        <f>Table5[[#This Row],[ÁREA]]</f>
        <v xml:space="preserve">RECEPCION </v>
      </c>
      <c r="J818" s="333" t="s">
        <v>1829</v>
      </c>
      <c r="K818" s="317"/>
      <c r="L818" s="318">
        <v>10</v>
      </c>
      <c r="M818" s="318" t="s">
        <v>1819</v>
      </c>
      <c r="N818" s="386" t="s">
        <v>369</v>
      </c>
    </row>
    <row r="819" spans="1:14" ht="24.9" customHeight="1" x14ac:dyDescent="0.3">
      <c r="B819" s="351" t="s">
        <v>1584</v>
      </c>
      <c r="C819" s="311" t="s">
        <v>1818</v>
      </c>
      <c r="D819" s="318" t="s">
        <v>1819</v>
      </c>
      <c r="E819" s="318">
        <v>32218551</v>
      </c>
      <c r="F819" s="326" t="s">
        <v>1820</v>
      </c>
      <c r="G819" s="397"/>
      <c r="H819" s="384">
        <v>32044598</v>
      </c>
      <c r="I819" s="384" t="str">
        <f>Table5[[#This Row],[ÁREA]]</f>
        <v xml:space="preserve">RECEPCION </v>
      </c>
      <c r="J819" s="333" t="s">
        <v>1830</v>
      </c>
      <c r="K819" s="328"/>
      <c r="L819" s="318">
        <v>10</v>
      </c>
      <c r="M819" s="318" t="s">
        <v>1819</v>
      </c>
      <c r="N819" s="387" t="s">
        <v>1631</v>
      </c>
    </row>
    <row r="820" spans="1:14" ht="24.9" customHeight="1" x14ac:dyDescent="0.3">
      <c r="B820" s="351" t="s">
        <v>1584</v>
      </c>
      <c r="C820" s="311" t="s">
        <v>1831</v>
      </c>
      <c r="D820" s="318" t="s">
        <v>1832</v>
      </c>
      <c r="E820" s="318">
        <v>32195392</v>
      </c>
      <c r="F820" s="312" t="s">
        <v>1833</v>
      </c>
      <c r="G820" s="336"/>
      <c r="H820" s="384">
        <v>32230863</v>
      </c>
      <c r="I820" s="384" t="str">
        <f>Table5[[#This Row],[ÁREA]]</f>
        <v xml:space="preserve">PNC </v>
      </c>
      <c r="J820" s="333" t="s">
        <v>1834</v>
      </c>
      <c r="K820" s="317"/>
      <c r="L820" s="318">
        <v>4</v>
      </c>
      <c r="M820" s="317" t="s">
        <v>1832</v>
      </c>
      <c r="N820" s="355" t="s">
        <v>47</v>
      </c>
    </row>
    <row r="821" spans="1:14" ht="24.9" customHeight="1" x14ac:dyDescent="0.3">
      <c r="B821" s="351" t="s">
        <v>1584</v>
      </c>
      <c r="C821" s="311" t="s">
        <v>1831</v>
      </c>
      <c r="D821" s="318" t="s">
        <v>1832</v>
      </c>
      <c r="E821" s="318">
        <v>32195392</v>
      </c>
      <c r="F821" s="312" t="s">
        <v>1833</v>
      </c>
      <c r="G821" s="397"/>
      <c r="H821" s="384">
        <v>32046447</v>
      </c>
      <c r="I821" s="384" t="str">
        <f>Table5[[#This Row],[ÁREA]]</f>
        <v xml:space="preserve">PNC </v>
      </c>
      <c r="J821" s="333" t="s">
        <v>1835</v>
      </c>
      <c r="K821" s="328"/>
      <c r="L821" s="318">
        <v>4</v>
      </c>
      <c r="M821" s="317" t="s">
        <v>1832</v>
      </c>
      <c r="N821" s="355" t="s">
        <v>1610</v>
      </c>
    </row>
    <row r="822" spans="1:14" ht="24.9" customHeight="1" x14ac:dyDescent="0.3">
      <c r="B822" s="351" t="s">
        <v>1584</v>
      </c>
      <c r="C822" s="311" t="s">
        <v>1831</v>
      </c>
      <c r="D822" s="318" t="s">
        <v>1832</v>
      </c>
      <c r="E822" s="318">
        <v>32195392</v>
      </c>
      <c r="F822" s="312" t="s">
        <v>1833</v>
      </c>
      <c r="G822" s="397"/>
      <c r="H822" s="384">
        <v>32197845</v>
      </c>
      <c r="I822" s="384" t="str">
        <f>Table5[[#This Row],[ÁREA]]</f>
        <v xml:space="preserve">PNC </v>
      </c>
      <c r="J822" s="333" t="s">
        <v>1836</v>
      </c>
      <c r="K822" s="328"/>
      <c r="L822" s="318">
        <v>4</v>
      </c>
      <c r="M822" s="317" t="s">
        <v>1832</v>
      </c>
      <c r="N822" s="312" t="s">
        <v>1837</v>
      </c>
    </row>
    <row r="823" spans="1:14" ht="24.9" customHeight="1" x14ac:dyDescent="0.3">
      <c r="B823" s="351" t="s">
        <v>1584</v>
      </c>
      <c r="C823" s="311" t="s">
        <v>1831</v>
      </c>
      <c r="D823" s="318" t="s">
        <v>1832</v>
      </c>
      <c r="E823" s="318">
        <v>32195392</v>
      </c>
      <c r="F823" s="312" t="s">
        <v>1833</v>
      </c>
      <c r="G823" s="397"/>
      <c r="H823" s="384">
        <v>32044906</v>
      </c>
      <c r="I823" s="384" t="str">
        <f>Table5[[#This Row],[ÁREA]]</f>
        <v xml:space="preserve">PNC </v>
      </c>
      <c r="J823" s="333" t="s">
        <v>1838</v>
      </c>
      <c r="K823" s="328"/>
      <c r="L823" s="318">
        <v>4</v>
      </c>
      <c r="M823" s="317" t="s">
        <v>1832</v>
      </c>
      <c r="N823" s="355" t="s">
        <v>1684</v>
      </c>
    </row>
    <row r="824" spans="1:14" ht="24.9" customHeight="1" x14ac:dyDescent="0.3">
      <c r="B824" s="351" t="s">
        <v>1584</v>
      </c>
      <c r="C824" s="311" t="s">
        <v>1671</v>
      </c>
      <c r="D824" s="311" t="s">
        <v>1839</v>
      </c>
      <c r="E824" s="318">
        <v>32156000</v>
      </c>
      <c r="F824" s="312" t="s">
        <v>1840</v>
      </c>
      <c r="G824" s="397"/>
      <c r="H824" s="316">
        <v>32044842</v>
      </c>
      <c r="I824" s="316" t="str">
        <f>Table5[[#This Row],[ÁREA]]</f>
        <v xml:space="preserve">TAPANCO </v>
      </c>
      <c r="J824" s="317" t="s">
        <v>1841</v>
      </c>
      <c r="K824" s="328"/>
      <c r="L824" s="318">
        <v>6</v>
      </c>
      <c r="M824" s="317" t="s">
        <v>1839</v>
      </c>
      <c r="N824" s="312" t="s">
        <v>44</v>
      </c>
    </row>
    <row r="825" spans="1:14" ht="24.9" customHeight="1" x14ac:dyDescent="0.3">
      <c r="B825" s="351" t="s">
        <v>1584</v>
      </c>
      <c r="C825" s="352" t="s">
        <v>1671</v>
      </c>
      <c r="D825" s="352" t="s">
        <v>1839</v>
      </c>
      <c r="E825" s="318">
        <v>32156000</v>
      </c>
      <c r="F825" s="312" t="s">
        <v>1840</v>
      </c>
      <c r="G825" s="397"/>
      <c r="H825" s="353">
        <v>32229394</v>
      </c>
      <c r="I825" s="353" t="str">
        <f>Table5[[#This Row],[ÁREA]]</f>
        <v xml:space="preserve">TAPANCO </v>
      </c>
      <c r="J825" s="338" t="s">
        <v>1842</v>
      </c>
      <c r="K825" s="328"/>
      <c r="L825" s="318">
        <v>6</v>
      </c>
      <c r="M825" s="338" t="s">
        <v>1839</v>
      </c>
      <c r="N825" s="355" t="s">
        <v>217</v>
      </c>
    </row>
    <row r="826" spans="1:14" ht="24.9" customHeight="1" x14ac:dyDescent="0.3">
      <c r="B826" s="311" t="s">
        <v>1584</v>
      </c>
      <c r="C826" s="352" t="s">
        <v>1671</v>
      </c>
      <c r="D826" s="352" t="s">
        <v>1839</v>
      </c>
      <c r="E826" s="318">
        <v>32156000</v>
      </c>
      <c r="F826" s="312" t="s">
        <v>1840</v>
      </c>
      <c r="G826" s="397"/>
      <c r="H826" s="353">
        <v>32045640</v>
      </c>
      <c r="I826" s="379" t="str">
        <f>Table5[[#This Row],[ÁREA]]</f>
        <v xml:space="preserve">TAPANCO </v>
      </c>
      <c r="J826" s="407" t="s">
        <v>1843</v>
      </c>
      <c r="K826" s="328"/>
      <c r="L826" s="318">
        <v>6</v>
      </c>
      <c r="M826" s="338" t="s">
        <v>1839</v>
      </c>
      <c r="N826" s="355" t="s">
        <v>1610</v>
      </c>
    </row>
    <row r="827" spans="1:14" ht="24.9" customHeight="1" x14ac:dyDescent="0.3">
      <c r="B827" s="311" t="s">
        <v>1584</v>
      </c>
      <c r="C827" s="352" t="s">
        <v>1671</v>
      </c>
      <c r="D827" s="352" t="s">
        <v>1839</v>
      </c>
      <c r="E827" s="318">
        <v>32156000</v>
      </c>
      <c r="F827" s="312" t="s">
        <v>1840</v>
      </c>
      <c r="G827" s="406"/>
      <c r="H827" s="353">
        <v>32060734</v>
      </c>
      <c r="I827" s="353" t="str">
        <f>Table5[[#This Row],[ÁREA]]</f>
        <v xml:space="preserve">TAPANCO </v>
      </c>
      <c r="J827" s="317" t="s">
        <v>1844</v>
      </c>
      <c r="K827" s="328"/>
      <c r="L827" s="318">
        <v>6</v>
      </c>
      <c r="M827" s="338" t="s">
        <v>1839</v>
      </c>
      <c r="N827" s="312" t="s">
        <v>47</v>
      </c>
    </row>
    <row r="828" spans="1:14" ht="24.9" customHeight="1" x14ac:dyDescent="0.3">
      <c r="B828" s="311" t="s">
        <v>1584</v>
      </c>
      <c r="C828" s="352" t="s">
        <v>1671</v>
      </c>
      <c r="D828" s="352" t="s">
        <v>1839</v>
      </c>
      <c r="E828" s="318">
        <v>32156000</v>
      </c>
      <c r="F828" s="312" t="s">
        <v>1840</v>
      </c>
      <c r="G828" s="397"/>
      <c r="H828" s="353">
        <v>32045616</v>
      </c>
      <c r="I828" s="353" t="str">
        <f>Table5[[#This Row],[ÁREA]]</f>
        <v xml:space="preserve">TAPANCO </v>
      </c>
      <c r="J828" s="317" t="s">
        <v>1845</v>
      </c>
      <c r="K828" s="328"/>
      <c r="L828" s="318">
        <v>6</v>
      </c>
      <c r="M828" s="338" t="s">
        <v>1839</v>
      </c>
      <c r="N828" s="312" t="s">
        <v>1789</v>
      </c>
    </row>
    <row r="829" spans="1:14" ht="24.9" customHeight="1" x14ac:dyDescent="0.3">
      <c r="B829" s="311" t="s">
        <v>1584</v>
      </c>
      <c r="C829" s="352" t="s">
        <v>1671</v>
      </c>
      <c r="D829" s="352" t="s">
        <v>1839</v>
      </c>
      <c r="E829" s="318">
        <v>32156000</v>
      </c>
      <c r="F829" s="312" t="s">
        <v>1840</v>
      </c>
      <c r="G829" s="336"/>
      <c r="H829" s="353">
        <v>32198257</v>
      </c>
      <c r="I829" s="353" t="str">
        <f>Table5[[#This Row],[ÁREA]]</f>
        <v xml:space="preserve">TAPANCO </v>
      </c>
      <c r="J829" s="317" t="s">
        <v>1846</v>
      </c>
      <c r="K829" s="328"/>
      <c r="L829" s="318">
        <v>6</v>
      </c>
      <c r="M829" s="338" t="s">
        <v>1839</v>
      </c>
      <c r="N829" s="312" t="s">
        <v>260</v>
      </c>
    </row>
    <row r="830" spans="1:14" ht="24.9" customHeight="1" x14ac:dyDescent="0.3">
      <c r="B830" s="311" t="s">
        <v>1584</v>
      </c>
      <c r="C830" s="352" t="s">
        <v>1792</v>
      </c>
      <c r="D830" s="354" t="s">
        <v>1793</v>
      </c>
      <c r="E830" s="318">
        <v>32225725</v>
      </c>
      <c r="F830" s="356" t="s">
        <v>1737</v>
      </c>
      <c r="G830" s="397"/>
      <c r="H830" s="408">
        <v>32217100</v>
      </c>
      <c r="I830" s="408" t="str">
        <f>Table5[[#This Row],[ÁREA]]</f>
        <v>ALTERNO</v>
      </c>
      <c r="J830" s="317" t="s">
        <v>1847</v>
      </c>
      <c r="K830" s="328"/>
      <c r="L830" s="318">
        <v>8</v>
      </c>
      <c r="M830" s="354" t="s">
        <v>1793</v>
      </c>
      <c r="N830" s="312"/>
    </row>
    <row r="831" spans="1:14" ht="24.9" customHeight="1" x14ac:dyDescent="0.3">
      <c r="A831" s="319" t="s">
        <v>1848</v>
      </c>
      <c r="B831" s="311" t="s">
        <v>1584</v>
      </c>
      <c r="C831" s="352" t="s">
        <v>1792</v>
      </c>
      <c r="D831" s="354" t="s">
        <v>1793</v>
      </c>
      <c r="E831" s="320">
        <v>32225725</v>
      </c>
      <c r="F831" s="324" t="s">
        <v>1737</v>
      </c>
      <c r="G831" s="397"/>
      <c r="H831" s="408">
        <v>32198245</v>
      </c>
      <c r="I831" s="408" t="str">
        <f>Table5[[#This Row],[ÁREA]]</f>
        <v>ALTERNO</v>
      </c>
      <c r="J831" s="317" t="s">
        <v>1849</v>
      </c>
      <c r="K831" s="328"/>
      <c r="L831" s="318">
        <v>8</v>
      </c>
      <c r="M831" s="354" t="s">
        <v>1793</v>
      </c>
      <c r="N831" s="312"/>
    </row>
    <row r="832" spans="1:14" ht="15.9" customHeight="1" x14ac:dyDescent="0.3">
      <c r="B832" s="311" t="s">
        <v>1584</v>
      </c>
      <c r="C832" s="352" t="s">
        <v>1792</v>
      </c>
      <c r="D832" s="354" t="s">
        <v>1793</v>
      </c>
      <c r="E832" s="340">
        <v>32225725</v>
      </c>
      <c r="F832" s="341" t="s">
        <v>558</v>
      </c>
      <c r="G832" s="397"/>
      <c r="H832" s="339">
        <v>32209481</v>
      </c>
      <c r="I832" s="339" t="str">
        <f>Table5[[#This Row],[ÁREA]]</f>
        <v>ALTERNO</v>
      </c>
      <c r="J832" s="317" t="s">
        <v>1850</v>
      </c>
      <c r="K832" s="328"/>
      <c r="L832" s="318">
        <v>8</v>
      </c>
      <c r="M832" s="354" t="s">
        <v>1793</v>
      </c>
      <c r="N832" s="312"/>
    </row>
    <row r="833" spans="2:14" ht="15.9" customHeight="1" x14ac:dyDescent="0.3">
      <c r="B833" s="311" t="s">
        <v>35</v>
      </c>
      <c r="C833" s="352"/>
      <c r="D833" s="354" t="s">
        <v>1851</v>
      </c>
      <c r="E833" s="340">
        <v>32043852</v>
      </c>
      <c r="F833" s="409" t="s">
        <v>1852</v>
      </c>
      <c r="G833" s="315" t="s">
        <v>1853</v>
      </c>
      <c r="H833" s="316">
        <v>32045104</v>
      </c>
      <c r="I833" s="316">
        <f>Table5[[#This Row],[ÁREA]]</f>
        <v>0</v>
      </c>
      <c r="J833" s="317" t="s">
        <v>1854</v>
      </c>
      <c r="K833" s="319" t="s">
        <v>1855</v>
      </c>
      <c r="L833" s="318">
        <v>7</v>
      </c>
      <c r="M833" s="354" t="s">
        <v>1851</v>
      </c>
      <c r="N833" s="377" t="s">
        <v>38</v>
      </c>
    </row>
    <row r="834" spans="2:14" ht="15.9" customHeight="1" x14ac:dyDescent="0.3">
      <c r="B834" s="311" t="s">
        <v>35</v>
      </c>
      <c r="C834" s="352"/>
      <c r="D834" s="354" t="s">
        <v>1851</v>
      </c>
      <c r="E834" s="340">
        <v>32043852</v>
      </c>
      <c r="F834" s="409" t="s">
        <v>1852</v>
      </c>
      <c r="G834" s="319" t="s">
        <v>1853</v>
      </c>
      <c r="H834" s="316">
        <v>32044318</v>
      </c>
      <c r="I834" s="316">
        <f>Table5[[#This Row],[ÁREA]]</f>
        <v>0</v>
      </c>
      <c r="J834" s="317" t="s">
        <v>1856</v>
      </c>
      <c r="K834" s="319" t="s">
        <v>1857</v>
      </c>
      <c r="L834" s="318">
        <v>7</v>
      </c>
      <c r="M834" s="354" t="s">
        <v>1851</v>
      </c>
      <c r="N834" s="377" t="s">
        <v>1858</v>
      </c>
    </row>
    <row r="835" spans="2:14" ht="15.9" customHeight="1" x14ac:dyDescent="0.3">
      <c r="B835" s="351" t="s">
        <v>35</v>
      </c>
      <c r="C835" s="352"/>
      <c r="D835" s="354" t="s">
        <v>1851</v>
      </c>
      <c r="E835" s="320">
        <v>32043852</v>
      </c>
      <c r="F835" s="345" t="s">
        <v>1852</v>
      </c>
      <c r="G835" s="315" t="s">
        <v>1853</v>
      </c>
      <c r="H835" s="353">
        <v>32043740</v>
      </c>
      <c r="I835" s="353">
        <f>Table5[[#This Row],[ÁREA]]</f>
        <v>0</v>
      </c>
      <c r="J835" s="338" t="s">
        <v>1859</v>
      </c>
      <c r="K835" s="322" t="s">
        <v>1860</v>
      </c>
      <c r="L835" s="354">
        <v>7</v>
      </c>
      <c r="M835" s="354" t="s">
        <v>1851</v>
      </c>
      <c r="N835" s="377" t="s">
        <v>1858</v>
      </c>
    </row>
    <row r="836" spans="2:14" ht="15.9" customHeight="1" x14ac:dyDescent="0.3">
      <c r="B836" s="332" t="s">
        <v>35</v>
      </c>
      <c r="C836" s="352"/>
      <c r="D836" s="354" t="s">
        <v>1851</v>
      </c>
      <c r="E836" s="320">
        <v>32043852</v>
      </c>
      <c r="F836" s="345" t="s">
        <v>1852</v>
      </c>
      <c r="G836" s="315" t="s">
        <v>1853</v>
      </c>
      <c r="H836" s="316">
        <v>32043636</v>
      </c>
      <c r="I836" s="316">
        <f>Table5[[#This Row],[ÁREA]]</f>
        <v>0</v>
      </c>
      <c r="J836" s="317" t="s">
        <v>1861</v>
      </c>
      <c r="K836" s="328" t="s">
        <v>1862</v>
      </c>
      <c r="L836" s="318">
        <v>7</v>
      </c>
      <c r="M836" s="354" t="s">
        <v>1851</v>
      </c>
      <c r="N836" s="377" t="s">
        <v>38</v>
      </c>
    </row>
    <row r="837" spans="2:14" ht="15.9" customHeight="1" x14ac:dyDescent="0.3">
      <c r="B837" s="332" t="s">
        <v>35</v>
      </c>
      <c r="C837" s="352"/>
      <c r="D837" s="354" t="s">
        <v>1851</v>
      </c>
      <c r="E837" s="354">
        <v>32043852</v>
      </c>
      <c r="F837" s="410" t="s">
        <v>1852</v>
      </c>
      <c r="G837" s="315" t="s">
        <v>1853</v>
      </c>
      <c r="H837" s="316">
        <v>32045126</v>
      </c>
      <c r="I837" s="316">
        <f>Table5[[#This Row],[ÁREA]]</f>
        <v>0</v>
      </c>
      <c r="J837" s="317" t="s">
        <v>1863</v>
      </c>
      <c r="K837" s="315" t="s">
        <v>1864</v>
      </c>
      <c r="L837" s="318">
        <v>7</v>
      </c>
      <c r="M837" s="354" t="s">
        <v>1851</v>
      </c>
      <c r="N837" s="377" t="s">
        <v>35</v>
      </c>
    </row>
    <row r="838" spans="2:14" ht="15.9" customHeight="1" x14ac:dyDescent="0.3">
      <c r="B838" s="332" t="s">
        <v>35</v>
      </c>
      <c r="C838" s="352"/>
      <c r="D838" s="354" t="s">
        <v>1851</v>
      </c>
      <c r="E838" s="318">
        <v>32043852</v>
      </c>
      <c r="F838" s="372" t="s">
        <v>1852</v>
      </c>
      <c r="G838" s="315" t="s">
        <v>1853</v>
      </c>
      <c r="H838" s="316">
        <v>32043806</v>
      </c>
      <c r="I838" s="316">
        <f>Table5[[#This Row],[ÁREA]]</f>
        <v>0</v>
      </c>
      <c r="J838" s="317" t="s">
        <v>1865</v>
      </c>
      <c r="K838" s="319" t="s">
        <v>1866</v>
      </c>
      <c r="L838" s="318">
        <v>7</v>
      </c>
      <c r="M838" s="318" t="s">
        <v>1851</v>
      </c>
      <c r="N838" s="377" t="s">
        <v>47</v>
      </c>
    </row>
    <row r="839" spans="2:14" ht="15.9" customHeight="1" x14ac:dyDescent="0.3">
      <c r="B839" s="351" t="s">
        <v>35</v>
      </c>
      <c r="C839" s="352"/>
      <c r="D839" s="354" t="s">
        <v>1851</v>
      </c>
      <c r="E839" s="318">
        <v>32043852</v>
      </c>
      <c r="F839" s="372" t="s">
        <v>1852</v>
      </c>
      <c r="G839" s="315" t="s">
        <v>1853</v>
      </c>
      <c r="H839" s="353">
        <v>32045787</v>
      </c>
      <c r="I839" s="353">
        <f>Table5[[#This Row],[ÁREA]]</f>
        <v>0</v>
      </c>
      <c r="J839" s="338" t="s">
        <v>1867</v>
      </c>
      <c r="K839" s="319" t="s">
        <v>1868</v>
      </c>
      <c r="L839" s="354">
        <v>7</v>
      </c>
      <c r="M839" s="318" t="s">
        <v>1851</v>
      </c>
      <c r="N839" s="377" t="s">
        <v>44</v>
      </c>
    </row>
    <row r="840" spans="2:14" ht="15.9" customHeight="1" x14ac:dyDescent="0.3">
      <c r="B840" s="351" t="s">
        <v>35</v>
      </c>
      <c r="C840" s="352"/>
      <c r="D840" s="354" t="s">
        <v>1869</v>
      </c>
      <c r="E840" s="318">
        <v>32172003</v>
      </c>
      <c r="F840" s="326" t="s">
        <v>1870</v>
      </c>
      <c r="G840" s="315" t="s">
        <v>1871</v>
      </c>
      <c r="H840" s="405">
        <v>32044171</v>
      </c>
      <c r="I840" s="405">
        <f>Table5[[#This Row],[ÁREA]]</f>
        <v>0</v>
      </c>
      <c r="J840" s="317" t="s">
        <v>1872</v>
      </c>
      <c r="K840" s="319" t="s">
        <v>1873</v>
      </c>
      <c r="L840" s="318">
        <v>11</v>
      </c>
      <c r="M840" s="318" t="s">
        <v>1869</v>
      </c>
      <c r="N840" s="377" t="s">
        <v>38</v>
      </c>
    </row>
    <row r="841" spans="2:14" ht="15.9" customHeight="1" x14ac:dyDescent="0.3">
      <c r="B841" s="351" t="s">
        <v>35</v>
      </c>
      <c r="C841" s="352"/>
      <c r="D841" s="354" t="s">
        <v>1869</v>
      </c>
      <c r="E841" s="354">
        <v>32172003</v>
      </c>
      <c r="F841" s="356" t="s">
        <v>1870</v>
      </c>
      <c r="G841" s="315" t="s">
        <v>1871</v>
      </c>
      <c r="H841" s="411">
        <v>32222294</v>
      </c>
      <c r="I841" s="411">
        <f>Table5[[#This Row],[ÁREA]]</f>
        <v>0</v>
      </c>
      <c r="J841" s="354" t="s">
        <v>1874</v>
      </c>
      <c r="K841" s="319" t="s">
        <v>1875</v>
      </c>
      <c r="L841" s="318">
        <v>11</v>
      </c>
      <c r="M841" s="354" t="s">
        <v>1869</v>
      </c>
      <c r="N841" s="377" t="s">
        <v>47</v>
      </c>
    </row>
    <row r="842" spans="2:14" ht="15.9" customHeight="1" x14ac:dyDescent="0.3">
      <c r="B842" s="351" t="s">
        <v>35</v>
      </c>
      <c r="C842" s="352"/>
      <c r="D842" s="354" t="s">
        <v>1869</v>
      </c>
      <c r="E842" s="354">
        <v>32172003</v>
      </c>
      <c r="F842" s="356" t="s">
        <v>1870</v>
      </c>
      <c r="G842" s="315" t="s">
        <v>1871</v>
      </c>
      <c r="H842" s="316">
        <v>32173437</v>
      </c>
      <c r="I842" s="316">
        <f>Table5[[#This Row],[ÁREA]]</f>
        <v>0</v>
      </c>
      <c r="J842" s="317" t="s">
        <v>1876</v>
      </c>
      <c r="K842" s="319" t="s">
        <v>1877</v>
      </c>
      <c r="L842" s="318">
        <v>11</v>
      </c>
      <c r="M842" s="354" t="s">
        <v>1869</v>
      </c>
      <c r="N842" s="377" t="s">
        <v>38</v>
      </c>
    </row>
    <row r="843" spans="2:14" ht="15.9" customHeight="1" x14ac:dyDescent="0.3">
      <c r="B843" s="311" t="s">
        <v>35</v>
      </c>
      <c r="C843" s="352"/>
      <c r="D843" s="354" t="s">
        <v>1869</v>
      </c>
      <c r="E843" s="354">
        <v>32172003</v>
      </c>
      <c r="F843" s="356" t="s">
        <v>1870</v>
      </c>
      <c r="G843" s="315" t="s">
        <v>1871</v>
      </c>
      <c r="H843" s="316">
        <v>32132176</v>
      </c>
      <c r="I843" s="316">
        <f>Table5[[#This Row],[ÁREA]]</f>
        <v>0</v>
      </c>
      <c r="J843" s="317" t="s">
        <v>1878</v>
      </c>
      <c r="K843" s="319" t="s">
        <v>1879</v>
      </c>
      <c r="L843" s="318">
        <v>11</v>
      </c>
      <c r="M843" s="354" t="s">
        <v>1869</v>
      </c>
      <c r="N843" s="377" t="s">
        <v>44</v>
      </c>
    </row>
    <row r="844" spans="2:14" ht="15.9" customHeight="1" x14ac:dyDescent="0.3">
      <c r="B844" s="351" t="s">
        <v>35</v>
      </c>
      <c r="C844" s="352"/>
      <c r="D844" s="354" t="s">
        <v>1869</v>
      </c>
      <c r="E844" s="320">
        <v>32172003</v>
      </c>
      <c r="F844" s="324" t="s">
        <v>1870</v>
      </c>
      <c r="G844" s="315" t="s">
        <v>1871</v>
      </c>
      <c r="H844" s="316">
        <v>32136495</v>
      </c>
      <c r="I844" s="316">
        <f>Table5[[#This Row],[ÁREA]]</f>
        <v>0</v>
      </c>
      <c r="J844" s="317" t="s">
        <v>1880</v>
      </c>
      <c r="K844" s="319" t="s">
        <v>1881</v>
      </c>
      <c r="L844" s="318">
        <v>11</v>
      </c>
      <c r="M844" s="354" t="s">
        <v>1869</v>
      </c>
      <c r="N844" s="377" t="s">
        <v>1858</v>
      </c>
    </row>
    <row r="845" spans="2:14" ht="15.9" customHeight="1" x14ac:dyDescent="0.3">
      <c r="B845" s="351" t="s">
        <v>35</v>
      </c>
      <c r="C845" s="352"/>
      <c r="D845" s="354" t="s">
        <v>1869</v>
      </c>
      <c r="E845" s="320">
        <v>32172003</v>
      </c>
      <c r="F845" s="324" t="s">
        <v>1870</v>
      </c>
      <c r="G845" s="315" t="s">
        <v>1871</v>
      </c>
      <c r="H845" s="316">
        <v>32046099</v>
      </c>
      <c r="I845" s="316">
        <f>Table5[[#This Row],[ÁREA]]</f>
        <v>0</v>
      </c>
      <c r="J845" s="317" t="s">
        <v>1882</v>
      </c>
      <c r="K845" s="319" t="s">
        <v>1883</v>
      </c>
      <c r="L845" s="318">
        <v>11</v>
      </c>
      <c r="M845" s="354" t="s">
        <v>1869</v>
      </c>
      <c r="N845" s="377" t="s">
        <v>44</v>
      </c>
    </row>
    <row r="846" spans="2:14" ht="15.9" customHeight="1" x14ac:dyDescent="0.3">
      <c r="B846" s="351" t="s">
        <v>35</v>
      </c>
      <c r="C846" s="352"/>
      <c r="D846" s="354" t="s">
        <v>1869</v>
      </c>
      <c r="E846" s="354">
        <v>32172003</v>
      </c>
      <c r="F846" s="356" t="s">
        <v>1870</v>
      </c>
      <c r="G846" s="315" t="s">
        <v>1871</v>
      </c>
      <c r="H846" s="412">
        <v>32043967</v>
      </c>
      <c r="I846" s="412">
        <f>Table5[[#This Row],[ÁREA]]</f>
        <v>0</v>
      </c>
      <c r="J846" s="318" t="s">
        <v>1884</v>
      </c>
      <c r="K846" s="319" t="s">
        <v>1885</v>
      </c>
      <c r="L846" s="318">
        <v>11</v>
      </c>
      <c r="M846" s="354" t="s">
        <v>1869</v>
      </c>
      <c r="N846" s="377" t="s">
        <v>35</v>
      </c>
    </row>
    <row r="847" spans="2:14" ht="15.9" customHeight="1" x14ac:dyDescent="0.3">
      <c r="B847" s="351" t="s">
        <v>35</v>
      </c>
      <c r="C847" s="352"/>
      <c r="D847" s="354" t="s">
        <v>1869</v>
      </c>
      <c r="E847" s="354">
        <v>32172003</v>
      </c>
      <c r="F847" s="356" t="s">
        <v>1870</v>
      </c>
      <c r="G847" s="315" t="s">
        <v>1871</v>
      </c>
      <c r="H847" s="353">
        <v>32043915</v>
      </c>
      <c r="I847" s="353">
        <f>Table5[[#This Row],[ÁREA]]</f>
        <v>0</v>
      </c>
      <c r="J847" s="338" t="s">
        <v>1886</v>
      </c>
      <c r="K847" s="319" t="s">
        <v>1887</v>
      </c>
      <c r="L847" s="354">
        <v>11</v>
      </c>
      <c r="M847" s="354" t="s">
        <v>1869</v>
      </c>
      <c r="N847" s="377" t="s">
        <v>1858</v>
      </c>
    </row>
    <row r="848" spans="2:14" ht="15.9" customHeight="1" x14ac:dyDescent="0.3">
      <c r="B848" s="351" t="s">
        <v>35</v>
      </c>
      <c r="C848" s="352"/>
      <c r="D848" s="354" t="s">
        <v>1869</v>
      </c>
      <c r="E848" s="355">
        <v>32172003</v>
      </c>
      <c r="F848" s="326" t="s">
        <v>1870</v>
      </c>
      <c r="G848" s="331" t="s">
        <v>1871</v>
      </c>
      <c r="H848" s="316">
        <v>32043745</v>
      </c>
      <c r="I848" s="316">
        <f>Table5[[#This Row],[ÁREA]]</f>
        <v>0</v>
      </c>
      <c r="J848" s="317" t="s">
        <v>1888</v>
      </c>
      <c r="K848" s="322" t="s">
        <v>1889</v>
      </c>
      <c r="L848" s="318">
        <v>11</v>
      </c>
      <c r="M848" s="354" t="s">
        <v>1869</v>
      </c>
      <c r="N848" s="377" t="s">
        <v>47</v>
      </c>
    </row>
    <row r="849" spans="2:14" ht="15.9" customHeight="1" x14ac:dyDescent="0.3">
      <c r="B849" s="351" t="s">
        <v>35</v>
      </c>
      <c r="C849" s="352"/>
      <c r="D849" s="354" t="s">
        <v>1869</v>
      </c>
      <c r="E849" s="320">
        <v>32172003</v>
      </c>
      <c r="F849" s="369" t="s">
        <v>1870</v>
      </c>
      <c r="G849" s="315" t="s">
        <v>1871</v>
      </c>
      <c r="H849" s="316">
        <v>32043836</v>
      </c>
      <c r="I849" s="316">
        <f>Table5[[#This Row],[ÁREA]]</f>
        <v>0</v>
      </c>
      <c r="J849" s="317" t="s">
        <v>1890</v>
      </c>
      <c r="K849" s="319" t="s">
        <v>1891</v>
      </c>
      <c r="L849" s="318">
        <v>11</v>
      </c>
      <c r="M849" s="354" t="s">
        <v>1869</v>
      </c>
      <c r="N849" s="326" t="s">
        <v>1858</v>
      </c>
    </row>
    <row r="850" spans="2:14" ht="15.9" customHeight="1" x14ac:dyDescent="0.3">
      <c r="B850" s="351" t="s">
        <v>35</v>
      </c>
      <c r="C850" s="352"/>
      <c r="D850" s="354" t="s">
        <v>1869</v>
      </c>
      <c r="E850" s="318">
        <v>32172003</v>
      </c>
      <c r="F850" s="326" t="s">
        <v>1870</v>
      </c>
      <c r="G850" s="334" t="s">
        <v>1871</v>
      </c>
      <c r="H850" s="316">
        <v>32043856</v>
      </c>
      <c r="I850" s="316">
        <f>Table5[[#This Row],[ÁREA]]</f>
        <v>0</v>
      </c>
      <c r="J850" s="317" t="s">
        <v>1892</v>
      </c>
      <c r="K850" s="322" t="s">
        <v>1893</v>
      </c>
      <c r="L850" s="318">
        <v>11</v>
      </c>
      <c r="M850" s="354" t="s">
        <v>1869</v>
      </c>
      <c r="N850" s="326" t="s">
        <v>35</v>
      </c>
    </row>
    <row r="851" spans="2:14" ht="15.9" customHeight="1" x14ac:dyDescent="0.3">
      <c r="B851" s="351" t="s">
        <v>35</v>
      </c>
      <c r="C851" s="352"/>
      <c r="D851" s="338" t="s">
        <v>1894</v>
      </c>
      <c r="E851" s="315">
        <v>32164996</v>
      </c>
      <c r="F851" s="327" t="s">
        <v>1895</v>
      </c>
      <c r="G851" s="315" t="s">
        <v>1896</v>
      </c>
      <c r="H851" s="316">
        <v>32044273</v>
      </c>
      <c r="I851" s="316">
        <f>Table5[[#This Row],[ÁREA]]</f>
        <v>0</v>
      </c>
      <c r="J851" s="317" t="s">
        <v>1897</v>
      </c>
      <c r="K851" s="319" t="s">
        <v>1898</v>
      </c>
      <c r="L851" s="318">
        <v>8</v>
      </c>
      <c r="M851" s="354" t="s">
        <v>1894</v>
      </c>
      <c r="N851" s="326" t="s">
        <v>35</v>
      </c>
    </row>
    <row r="852" spans="2:14" ht="15.9" customHeight="1" x14ac:dyDescent="0.3">
      <c r="B852" s="351" t="s">
        <v>35</v>
      </c>
      <c r="C852" s="352"/>
      <c r="D852" s="338" t="s">
        <v>1894</v>
      </c>
      <c r="E852" s="329">
        <v>32164996</v>
      </c>
      <c r="F852" s="321" t="s">
        <v>1895</v>
      </c>
      <c r="G852" s="315" t="s">
        <v>1896</v>
      </c>
      <c r="H852" s="316">
        <v>32044433</v>
      </c>
      <c r="I852" s="316">
        <f>Table5[[#This Row],[ÁREA]]</f>
        <v>0</v>
      </c>
      <c r="J852" s="317" t="s">
        <v>1899</v>
      </c>
      <c r="K852" s="319" t="s">
        <v>1900</v>
      </c>
      <c r="L852" s="318">
        <v>8</v>
      </c>
      <c r="M852" s="354" t="s">
        <v>1894</v>
      </c>
      <c r="N852" s="326" t="s">
        <v>1858</v>
      </c>
    </row>
    <row r="853" spans="2:14" ht="15.9" customHeight="1" x14ac:dyDescent="0.3">
      <c r="B853" s="351" t="s">
        <v>35</v>
      </c>
      <c r="C853" s="352"/>
      <c r="D853" s="317" t="s">
        <v>1894</v>
      </c>
      <c r="E853" s="329">
        <v>32164996</v>
      </c>
      <c r="F853" s="321" t="s">
        <v>1895</v>
      </c>
      <c r="G853" s="315" t="s">
        <v>1896</v>
      </c>
      <c r="H853" s="316">
        <v>32043851</v>
      </c>
      <c r="I853" s="316">
        <f>Table5[[#This Row],[ÁREA]]</f>
        <v>0</v>
      </c>
      <c r="J853" s="317" t="s">
        <v>1901</v>
      </c>
      <c r="K853" s="319" t="s">
        <v>1902</v>
      </c>
      <c r="L853" s="318">
        <v>8</v>
      </c>
      <c r="M853" s="318" t="s">
        <v>1894</v>
      </c>
      <c r="N853" s="326" t="s">
        <v>56</v>
      </c>
    </row>
    <row r="854" spans="2:14" ht="15.9" customHeight="1" x14ac:dyDescent="0.3">
      <c r="B854" s="351" t="s">
        <v>35</v>
      </c>
      <c r="C854" s="352"/>
      <c r="D854" s="317" t="s">
        <v>1894</v>
      </c>
      <c r="E854" s="315">
        <v>32164996</v>
      </c>
      <c r="F854" s="327" t="s">
        <v>1895</v>
      </c>
      <c r="G854" s="315" t="s">
        <v>1896</v>
      </c>
      <c r="H854" s="316">
        <v>32044204</v>
      </c>
      <c r="I854" s="316">
        <f>Table5[[#This Row],[ÁREA]]</f>
        <v>0</v>
      </c>
      <c r="J854" s="317" t="s">
        <v>1903</v>
      </c>
      <c r="K854" s="342" t="s">
        <v>1904</v>
      </c>
      <c r="L854" s="318">
        <v>8</v>
      </c>
      <c r="M854" s="318" t="s">
        <v>1894</v>
      </c>
      <c r="N854" s="326" t="s">
        <v>1858</v>
      </c>
    </row>
    <row r="855" spans="2:14" ht="15.9" customHeight="1" x14ac:dyDescent="0.3">
      <c r="B855" s="351" t="s">
        <v>35</v>
      </c>
      <c r="C855" s="352"/>
      <c r="D855" s="317" t="s">
        <v>1894</v>
      </c>
      <c r="E855" s="331">
        <v>32164996</v>
      </c>
      <c r="F855" s="359" t="s">
        <v>1895</v>
      </c>
      <c r="G855" s="315" t="s">
        <v>1896</v>
      </c>
      <c r="H855" s="316">
        <v>32045864</v>
      </c>
      <c r="I855" s="316">
        <f>Table5[[#This Row],[ÁREA]]</f>
        <v>0</v>
      </c>
      <c r="J855" s="317" t="s">
        <v>1905</v>
      </c>
      <c r="K855" s="322" t="s">
        <v>1906</v>
      </c>
      <c r="L855" s="318">
        <v>8</v>
      </c>
      <c r="M855" s="318" t="s">
        <v>1894</v>
      </c>
      <c r="N855" s="326" t="s">
        <v>38</v>
      </c>
    </row>
    <row r="856" spans="2:14" ht="15.9" customHeight="1" x14ac:dyDescent="0.3">
      <c r="B856" s="351" t="s">
        <v>35</v>
      </c>
      <c r="C856" s="311"/>
      <c r="D856" s="372" t="s">
        <v>1894</v>
      </c>
      <c r="E856" s="330">
        <v>32164996</v>
      </c>
      <c r="F856" s="314" t="s">
        <v>1895</v>
      </c>
      <c r="G856" s="315" t="s">
        <v>1896</v>
      </c>
      <c r="H856" s="353">
        <v>32044888</v>
      </c>
      <c r="I856" s="353">
        <f>Table5[[#This Row],[ÁREA]]</f>
        <v>0</v>
      </c>
      <c r="J856" s="338" t="s">
        <v>1907</v>
      </c>
      <c r="K856" s="319" t="s">
        <v>1908</v>
      </c>
      <c r="L856" s="318">
        <v>8</v>
      </c>
      <c r="M856" s="318" t="s">
        <v>1894</v>
      </c>
      <c r="N856" s="326" t="s">
        <v>44</v>
      </c>
    </row>
    <row r="857" spans="2:14" ht="15.9" customHeight="1" x14ac:dyDescent="0.3">
      <c r="B857" s="351" t="s">
        <v>35</v>
      </c>
      <c r="C857" s="311"/>
      <c r="D857" s="372" t="s">
        <v>1894</v>
      </c>
      <c r="E857" s="330">
        <v>32164996</v>
      </c>
      <c r="F857" s="314" t="s">
        <v>1895</v>
      </c>
      <c r="G857" s="334" t="s">
        <v>1896</v>
      </c>
      <c r="H857" s="353">
        <v>32044303</v>
      </c>
      <c r="I857" s="353">
        <f>Table5[[#This Row],[ÁREA]]</f>
        <v>0</v>
      </c>
      <c r="J857" s="338" t="s">
        <v>1909</v>
      </c>
      <c r="K857" s="322" t="s">
        <v>1910</v>
      </c>
      <c r="L857" s="318">
        <v>8</v>
      </c>
      <c r="M857" s="318" t="s">
        <v>1894</v>
      </c>
      <c r="N857" s="326" t="s">
        <v>47</v>
      </c>
    </row>
    <row r="858" spans="2:14" ht="15.9" customHeight="1" x14ac:dyDescent="0.3">
      <c r="B858" s="351" t="s">
        <v>35</v>
      </c>
      <c r="C858" s="311"/>
      <c r="D858" s="318" t="s">
        <v>1911</v>
      </c>
      <c r="E858" s="335">
        <v>32045053</v>
      </c>
      <c r="F858" s="345" t="s">
        <v>1912</v>
      </c>
      <c r="G858" s="319" t="s">
        <v>1913</v>
      </c>
      <c r="H858" s="378">
        <v>32043834</v>
      </c>
      <c r="I858" s="379">
        <f>Table5[[#This Row],[ÁREA]]</f>
        <v>0</v>
      </c>
      <c r="J858" s="317" t="s">
        <v>1914</v>
      </c>
      <c r="K858" s="319" t="s">
        <v>1915</v>
      </c>
      <c r="L858" s="318">
        <v>10</v>
      </c>
      <c r="M858" s="318" t="s">
        <v>1911</v>
      </c>
      <c r="N858" s="356" t="s">
        <v>44</v>
      </c>
    </row>
    <row r="859" spans="2:14" ht="15.9" customHeight="1" x14ac:dyDescent="0.3">
      <c r="B859" s="351" t="s">
        <v>35</v>
      </c>
      <c r="C859" s="311"/>
      <c r="D859" s="318" t="s">
        <v>1911</v>
      </c>
      <c r="E859" s="335">
        <v>32045053</v>
      </c>
      <c r="F859" s="345" t="s">
        <v>1912</v>
      </c>
      <c r="G859" s="315" t="s">
        <v>1913</v>
      </c>
      <c r="H859" s="380">
        <v>32045336</v>
      </c>
      <c r="I859" s="379">
        <f>Table5[[#This Row],[ÁREA]]</f>
        <v>0</v>
      </c>
      <c r="J859" s="317" t="s">
        <v>1916</v>
      </c>
      <c r="K859" s="319" t="s">
        <v>1917</v>
      </c>
      <c r="L859" s="318">
        <v>10</v>
      </c>
      <c r="M859" s="318" t="s">
        <v>1911</v>
      </c>
      <c r="N859" s="326" t="s">
        <v>38</v>
      </c>
    </row>
    <row r="860" spans="2:14" ht="15.9" customHeight="1" x14ac:dyDescent="0.3">
      <c r="B860" s="332" t="s">
        <v>35</v>
      </c>
      <c r="C860" s="311"/>
      <c r="D860" s="318" t="s">
        <v>1911</v>
      </c>
      <c r="E860" s="335">
        <v>32045053</v>
      </c>
      <c r="F860" s="345" t="s">
        <v>1912</v>
      </c>
      <c r="G860" s="315" t="s">
        <v>1913</v>
      </c>
      <c r="H860" s="380">
        <v>32043751</v>
      </c>
      <c r="I860" s="379">
        <f>Table5[[#This Row],[ÁREA]]</f>
        <v>0</v>
      </c>
      <c r="J860" s="317" t="s">
        <v>1918</v>
      </c>
      <c r="K860" s="315" t="s">
        <v>1919</v>
      </c>
      <c r="L860" s="318">
        <v>10</v>
      </c>
      <c r="M860" s="318" t="s">
        <v>1911</v>
      </c>
      <c r="N860" s="326" t="s">
        <v>1858</v>
      </c>
    </row>
    <row r="861" spans="2:14" ht="15.9" customHeight="1" x14ac:dyDescent="0.3">
      <c r="B861" s="332" t="s">
        <v>35</v>
      </c>
      <c r="C861" s="311"/>
      <c r="D861" s="318" t="s">
        <v>1911</v>
      </c>
      <c r="E861" s="335">
        <v>32045053</v>
      </c>
      <c r="F861" s="345" t="s">
        <v>1912</v>
      </c>
      <c r="G861" s="315" t="s">
        <v>1913</v>
      </c>
      <c r="H861" s="413">
        <v>32045705</v>
      </c>
      <c r="I861" s="414">
        <f>Table5[[#This Row],[ÁREA]]</f>
        <v>0</v>
      </c>
      <c r="J861" s="318" t="s">
        <v>1920</v>
      </c>
      <c r="K861" s="315" t="s">
        <v>1921</v>
      </c>
      <c r="L861" s="318">
        <v>10</v>
      </c>
      <c r="M861" s="318" t="s">
        <v>1911</v>
      </c>
      <c r="N861" s="326" t="s">
        <v>1858</v>
      </c>
    </row>
    <row r="862" spans="2:14" ht="15.9" customHeight="1" x14ac:dyDescent="0.3">
      <c r="B862" s="332" t="s">
        <v>35</v>
      </c>
      <c r="C862" s="311"/>
      <c r="D862" s="318" t="s">
        <v>1911</v>
      </c>
      <c r="E862" s="335">
        <v>32045053</v>
      </c>
      <c r="F862" s="345" t="s">
        <v>1912</v>
      </c>
      <c r="G862" s="331" t="s">
        <v>1913</v>
      </c>
      <c r="H862" s="380">
        <v>32043737</v>
      </c>
      <c r="I862" s="379">
        <f>Table5[[#This Row],[ÁREA]]</f>
        <v>0</v>
      </c>
      <c r="J862" s="317" t="s">
        <v>1922</v>
      </c>
      <c r="K862" s="315" t="s">
        <v>1923</v>
      </c>
      <c r="L862" s="318">
        <v>10</v>
      </c>
      <c r="M862" s="318" t="s">
        <v>1911</v>
      </c>
      <c r="N862" s="326" t="s">
        <v>1858</v>
      </c>
    </row>
    <row r="863" spans="2:14" ht="15.9" customHeight="1" x14ac:dyDescent="0.3">
      <c r="B863" s="311" t="s">
        <v>35</v>
      </c>
      <c r="C863" s="311"/>
      <c r="D863" s="318" t="s">
        <v>1911</v>
      </c>
      <c r="E863" s="415">
        <v>32045053</v>
      </c>
      <c r="F863" s="409" t="s">
        <v>1912</v>
      </c>
      <c r="G863" s="331" t="s">
        <v>1913</v>
      </c>
      <c r="H863" s="316">
        <v>32045786</v>
      </c>
      <c r="I863" s="316">
        <f>Table5[[#This Row],[ÁREA]]</f>
        <v>0</v>
      </c>
      <c r="J863" s="317" t="s">
        <v>1924</v>
      </c>
      <c r="K863" s="319" t="s">
        <v>1925</v>
      </c>
      <c r="L863" s="318">
        <v>10</v>
      </c>
      <c r="M863" s="318" t="s">
        <v>1911</v>
      </c>
      <c r="N863" s="326" t="s">
        <v>35</v>
      </c>
    </row>
    <row r="864" spans="2:14" ht="15.9" customHeight="1" x14ac:dyDescent="0.3">
      <c r="B864" s="311" t="s">
        <v>35</v>
      </c>
      <c r="C864" s="311"/>
      <c r="D864" s="318" t="s">
        <v>1911</v>
      </c>
      <c r="E864" s="415">
        <v>32045053</v>
      </c>
      <c r="F864" s="409" t="s">
        <v>1912</v>
      </c>
      <c r="G864" s="315" t="s">
        <v>1913</v>
      </c>
      <c r="H864" s="316">
        <v>32045497</v>
      </c>
      <c r="I864" s="316">
        <f>Table5[[#This Row],[ÁREA]]</f>
        <v>0</v>
      </c>
      <c r="J864" s="317" t="s">
        <v>1926</v>
      </c>
      <c r="K864" s="319" t="s">
        <v>1927</v>
      </c>
      <c r="L864" s="318">
        <v>10</v>
      </c>
      <c r="M864" s="318" t="s">
        <v>1911</v>
      </c>
      <c r="N864" s="326" t="s">
        <v>1858</v>
      </c>
    </row>
    <row r="865" spans="2:14" ht="15.9" customHeight="1" x14ac:dyDescent="0.3">
      <c r="B865" s="311" t="s">
        <v>35</v>
      </c>
      <c r="C865" s="311"/>
      <c r="D865" s="318" t="s">
        <v>1911</v>
      </c>
      <c r="E865" s="335">
        <v>32045053</v>
      </c>
      <c r="F865" s="372" t="s">
        <v>1912</v>
      </c>
      <c r="G865" s="315" t="s">
        <v>1913</v>
      </c>
      <c r="H865" s="316">
        <v>32094845</v>
      </c>
      <c r="I865" s="316">
        <f>Table5[[#This Row],[ÁREA]]</f>
        <v>0</v>
      </c>
      <c r="J865" s="317" t="s">
        <v>1928</v>
      </c>
      <c r="K865" s="319" t="s">
        <v>1929</v>
      </c>
      <c r="L865" s="318">
        <v>10</v>
      </c>
      <c r="M865" s="318" t="s">
        <v>1911</v>
      </c>
      <c r="N865" s="326" t="s">
        <v>35</v>
      </c>
    </row>
    <row r="866" spans="2:14" ht="15.9" customHeight="1" x14ac:dyDescent="0.3">
      <c r="B866" s="311" t="s">
        <v>35</v>
      </c>
      <c r="C866" s="311"/>
      <c r="D866" s="318" t="s">
        <v>1911</v>
      </c>
      <c r="E866" s="335">
        <v>32045053</v>
      </c>
      <c r="F866" s="372" t="s">
        <v>1912</v>
      </c>
      <c r="G866" s="334" t="s">
        <v>1913</v>
      </c>
      <c r="H866" s="378">
        <v>32044432</v>
      </c>
      <c r="I866" s="379">
        <f>Table5[[#This Row],[ÁREA]]</f>
        <v>0</v>
      </c>
      <c r="J866" s="317" t="s">
        <v>1930</v>
      </c>
      <c r="K866" s="319" t="s">
        <v>1931</v>
      </c>
      <c r="L866" s="318">
        <v>10</v>
      </c>
      <c r="M866" s="318" t="s">
        <v>1911</v>
      </c>
      <c r="N866" s="326" t="s">
        <v>38</v>
      </c>
    </row>
    <row r="867" spans="2:14" ht="15.9" customHeight="1" x14ac:dyDescent="0.3">
      <c r="B867" s="311" t="s">
        <v>35</v>
      </c>
      <c r="C867" s="311"/>
      <c r="D867" s="318" t="s">
        <v>1911</v>
      </c>
      <c r="E867" s="415">
        <v>32045053</v>
      </c>
      <c r="F867" s="409" t="s">
        <v>1912</v>
      </c>
      <c r="G867" s="331" t="s">
        <v>1913</v>
      </c>
      <c r="H867" s="316">
        <v>32044261</v>
      </c>
      <c r="I867" s="316">
        <f>Table5[[#This Row],[ÁREA]]</f>
        <v>0</v>
      </c>
      <c r="J867" s="317" t="s">
        <v>1932</v>
      </c>
      <c r="K867" s="319" t="s">
        <v>1933</v>
      </c>
      <c r="L867" s="318">
        <v>10</v>
      </c>
      <c r="M867" s="318" t="s">
        <v>1911</v>
      </c>
      <c r="N867" s="326" t="s">
        <v>47</v>
      </c>
    </row>
    <row r="868" spans="2:14" ht="15.9" customHeight="1" x14ac:dyDescent="0.3">
      <c r="B868" s="311" t="s">
        <v>35</v>
      </c>
      <c r="C868" s="311"/>
      <c r="D868" s="318" t="s">
        <v>1934</v>
      </c>
      <c r="E868" s="340">
        <v>32045909</v>
      </c>
      <c r="F868" s="409" t="s">
        <v>1935</v>
      </c>
      <c r="G868" s="315" t="s">
        <v>1936</v>
      </c>
      <c r="H868" s="405">
        <v>32043813</v>
      </c>
      <c r="I868" s="405">
        <f>Table5[[#This Row],[ÁREA]]</f>
        <v>0</v>
      </c>
      <c r="J868" s="317" t="s">
        <v>1937</v>
      </c>
      <c r="K868" s="319" t="s">
        <v>1938</v>
      </c>
      <c r="L868" s="318">
        <v>7</v>
      </c>
      <c r="M868" s="318" t="s">
        <v>1934</v>
      </c>
      <c r="N868" s="326" t="s">
        <v>1858</v>
      </c>
    </row>
    <row r="869" spans="2:14" ht="15.9" customHeight="1" x14ac:dyDescent="0.3">
      <c r="B869" s="311" t="s">
        <v>35</v>
      </c>
      <c r="C869" s="311"/>
      <c r="D869" s="318" t="s">
        <v>1934</v>
      </c>
      <c r="E869" s="318">
        <v>32045909</v>
      </c>
      <c r="F869" s="372" t="s">
        <v>1935</v>
      </c>
      <c r="G869" s="315" t="s">
        <v>1936</v>
      </c>
      <c r="H869" s="405">
        <v>32045837</v>
      </c>
      <c r="I869" s="405">
        <f>Table5[[#This Row],[ÁREA]]</f>
        <v>0</v>
      </c>
      <c r="J869" s="317" t="s">
        <v>1939</v>
      </c>
      <c r="K869" s="322" t="s">
        <v>1940</v>
      </c>
      <c r="L869" s="318">
        <v>7</v>
      </c>
      <c r="M869" s="318" t="s">
        <v>1934</v>
      </c>
      <c r="N869" s="326" t="s">
        <v>44</v>
      </c>
    </row>
    <row r="870" spans="2:14" ht="15.9" customHeight="1" x14ac:dyDescent="0.3">
      <c r="B870" s="311" t="s">
        <v>35</v>
      </c>
      <c r="C870" s="311"/>
      <c r="D870" s="318" t="s">
        <v>1934</v>
      </c>
      <c r="E870" s="318">
        <v>32045909</v>
      </c>
      <c r="F870" s="372" t="s">
        <v>1935</v>
      </c>
      <c r="G870" s="325" t="s">
        <v>1936</v>
      </c>
      <c r="H870" s="405">
        <v>32044591</v>
      </c>
      <c r="I870" s="405">
        <f>Table5[[#This Row],[ÁREA]]</f>
        <v>0</v>
      </c>
      <c r="J870" s="317" t="s">
        <v>1941</v>
      </c>
      <c r="K870" s="319" t="s">
        <v>1942</v>
      </c>
      <c r="L870" s="318">
        <v>7</v>
      </c>
      <c r="M870" s="318" t="s">
        <v>1934</v>
      </c>
      <c r="N870" s="326" t="s">
        <v>38</v>
      </c>
    </row>
    <row r="871" spans="2:14" ht="15.9" customHeight="1" x14ac:dyDescent="0.3">
      <c r="B871" s="311" t="s">
        <v>35</v>
      </c>
      <c r="C871" s="311"/>
      <c r="D871" s="318" t="s">
        <v>1934</v>
      </c>
      <c r="E871" s="318">
        <v>32045909</v>
      </c>
      <c r="F871" s="372" t="s">
        <v>1935</v>
      </c>
      <c r="G871" s="315" t="s">
        <v>1936</v>
      </c>
      <c r="H871" s="405">
        <v>32044678</v>
      </c>
      <c r="I871" s="405">
        <f>Table5[[#This Row],[ÁREA]]</f>
        <v>0</v>
      </c>
      <c r="J871" s="317" t="s">
        <v>1943</v>
      </c>
      <c r="K871" s="319" t="s">
        <v>1944</v>
      </c>
      <c r="L871" s="318">
        <v>7</v>
      </c>
      <c r="M871" s="318" t="s">
        <v>1934</v>
      </c>
      <c r="N871" s="326" t="s">
        <v>56</v>
      </c>
    </row>
    <row r="872" spans="2:14" ht="15.9" customHeight="1" x14ac:dyDescent="0.3">
      <c r="B872" s="311" t="s">
        <v>35</v>
      </c>
      <c r="C872" s="311"/>
      <c r="D872" s="318" t="s">
        <v>1934</v>
      </c>
      <c r="E872" s="318">
        <v>32045909</v>
      </c>
      <c r="F872" s="372" t="s">
        <v>1935</v>
      </c>
      <c r="G872" s="315" t="s">
        <v>1936</v>
      </c>
      <c r="H872" s="405">
        <v>32044323</v>
      </c>
      <c r="I872" s="405">
        <f>Table5[[#This Row],[ÁREA]]</f>
        <v>0</v>
      </c>
      <c r="J872" s="317" t="s">
        <v>1945</v>
      </c>
      <c r="K872" s="319" t="s">
        <v>1946</v>
      </c>
      <c r="L872" s="318">
        <v>7</v>
      </c>
      <c r="M872" s="318" t="s">
        <v>1934</v>
      </c>
      <c r="N872" s="326" t="s">
        <v>47</v>
      </c>
    </row>
    <row r="873" spans="2:14" ht="15.9" customHeight="1" x14ac:dyDescent="0.3">
      <c r="B873" s="311" t="s">
        <v>35</v>
      </c>
      <c r="C873" s="311"/>
      <c r="D873" s="318" t="s">
        <v>1934</v>
      </c>
      <c r="E873" s="340">
        <v>32045909</v>
      </c>
      <c r="F873" s="409" t="s">
        <v>1935</v>
      </c>
      <c r="G873" s="315" t="s">
        <v>1936</v>
      </c>
      <c r="H873" s="405">
        <v>32044422</v>
      </c>
      <c r="I873" s="405">
        <f>Table5[[#This Row],[ÁREA]]</f>
        <v>0</v>
      </c>
      <c r="J873" s="317" t="s">
        <v>1947</v>
      </c>
      <c r="K873" s="319" t="s">
        <v>1948</v>
      </c>
      <c r="L873" s="318">
        <v>7</v>
      </c>
      <c r="M873" s="318" t="s">
        <v>1934</v>
      </c>
      <c r="N873" s="326" t="s">
        <v>44</v>
      </c>
    </row>
    <row r="874" spans="2:14" ht="15.9" customHeight="1" x14ac:dyDescent="0.3">
      <c r="B874" s="311" t="s">
        <v>35</v>
      </c>
      <c r="C874" s="311"/>
      <c r="D874" s="318" t="s">
        <v>1934</v>
      </c>
      <c r="E874" s="318">
        <v>32045909</v>
      </c>
      <c r="F874" s="372" t="s">
        <v>1935</v>
      </c>
      <c r="G874" s="315" t="s">
        <v>1936</v>
      </c>
      <c r="H874" s="405">
        <v>32044985</v>
      </c>
      <c r="I874" s="405">
        <f>Table5[[#This Row],[ÁREA]]</f>
        <v>0</v>
      </c>
      <c r="J874" s="317" t="s">
        <v>1949</v>
      </c>
      <c r="K874" s="319" t="s">
        <v>1950</v>
      </c>
      <c r="L874" s="318">
        <v>7</v>
      </c>
      <c r="M874" s="318" t="s">
        <v>1934</v>
      </c>
      <c r="N874" s="326" t="s">
        <v>1858</v>
      </c>
    </row>
    <row r="875" spans="2:14" ht="15.9" customHeight="1" x14ac:dyDescent="0.3">
      <c r="B875" s="311" t="s">
        <v>35</v>
      </c>
      <c r="C875" s="311"/>
      <c r="D875" s="318" t="s">
        <v>1951</v>
      </c>
      <c r="E875" s="340">
        <v>32043787</v>
      </c>
      <c r="F875" s="409" t="s">
        <v>1952</v>
      </c>
      <c r="G875" s="315" t="s">
        <v>1953</v>
      </c>
      <c r="H875" s="412">
        <v>32044566</v>
      </c>
      <c r="I875" s="412">
        <f>Table5[[#This Row],[ÁREA]]</f>
        <v>0</v>
      </c>
      <c r="J875" s="416" t="s">
        <v>1954</v>
      </c>
      <c r="K875" s="319" t="s">
        <v>1955</v>
      </c>
      <c r="L875" s="318">
        <v>5</v>
      </c>
      <c r="M875" s="318" t="s">
        <v>1951</v>
      </c>
      <c r="N875" s="326" t="s">
        <v>1858</v>
      </c>
    </row>
    <row r="876" spans="2:14" ht="15.9" customHeight="1" x14ac:dyDescent="0.3">
      <c r="B876" s="311" t="s">
        <v>35</v>
      </c>
      <c r="C876" s="311"/>
      <c r="D876" s="318" t="s">
        <v>1951</v>
      </c>
      <c r="E876" s="318">
        <v>32043787</v>
      </c>
      <c r="F876" s="372" t="s">
        <v>1952</v>
      </c>
      <c r="G876" s="334" t="s">
        <v>1953</v>
      </c>
      <c r="H876" s="412">
        <v>32043734</v>
      </c>
      <c r="I876" s="412">
        <f>Table5[[#This Row],[ÁREA]]</f>
        <v>0</v>
      </c>
      <c r="J876" s="416" t="s">
        <v>1956</v>
      </c>
      <c r="K876" s="319" t="s">
        <v>1957</v>
      </c>
      <c r="L876" s="318">
        <v>5</v>
      </c>
      <c r="M876" s="318" t="s">
        <v>1951</v>
      </c>
      <c r="N876" s="326" t="s">
        <v>44</v>
      </c>
    </row>
    <row r="877" spans="2:14" ht="15.9" customHeight="1" x14ac:dyDescent="0.3">
      <c r="B877" s="311" t="s">
        <v>35</v>
      </c>
      <c r="C877" s="311"/>
      <c r="D877" s="318" t="s">
        <v>1951</v>
      </c>
      <c r="E877" s="318">
        <v>32043787</v>
      </c>
      <c r="F877" s="372" t="s">
        <v>1952</v>
      </c>
      <c r="G877" s="331" t="s">
        <v>1953</v>
      </c>
      <c r="H877" s="412">
        <v>32043632</v>
      </c>
      <c r="I877" s="412">
        <f>Table5[[#This Row],[ÁREA]]</f>
        <v>0</v>
      </c>
      <c r="J877" s="416" t="s">
        <v>1958</v>
      </c>
      <c r="K877" s="315" t="s">
        <v>1959</v>
      </c>
      <c r="L877" s="318">
        <v>5</v>
      </c>
      <c r="M877" s="318" t="s">
        <v>1951</v>
      </c>
      <c r="N877" s="326" t="s">
        <v>38</v>
      </c>
    </row>
    <row r="878" spans="2:14" ht="15.9" customHeight="1" x14ac:dyDescent="0.3">
      <c r="B878" s="311" t="s">
        <v>35</v>
      </c>
      <c r="C878" s="311"/>
      <c r="D878" s="318" t="s">
        <v>1951</v>
      </c>
      <c r="E878" s="340">
        <v>32043787</v>
      </c>
      <c r="F878" s="409" t="s">
        <v>1952</v>
      </c>
      <c r="G878" s="315" t="s">
        <v>1953</v>
      </c>
      <c r="H878" s="417">
        <v>32045514</v>
      </c>
      <c r="I878" s="417">
        <f>Table5[[#This Row],[ÁREA]]</f>
        <v>0</v>
      </c>
      <c r="J878" s="418" t="s">
        <v>1960</v>
      </c>
      <c r="K878" s="319" t="s">
        <v>1961</v>
      </c>
      <c r="L878" s="318">
        <v>5</v>
      </c>
      <c r="M878" s="318" t="s">
        <v>1951</v>
      </c>
      <c r="N878" s="326" t="s">
        <v>38</v>
      </c>
    </row>
    <row r="879" spans="2:14" ht="15.9" customHeight="1" x14ac:dyDescent="0.3">
      <c r="B879" s="311" t="s">
        <v>35</v>
      </c>
      <c r="C879" s="311"/>
      <c r="D879" s="318" t="s">
        <v>1962</v>
      </c>
      <c r="E879" s="340">
        <v>32045302</v>
      </c>
      <c r="F879" s="409" t="s">
        <v>1963</v>
      </c>
      <c r="G879" s="315" t="s">
        <v>1964</v>
      </c>
      <c r="H879" s="316">
        <v>32045544</v>
      </c>
      <c r="I879" s="316">
        <f>Table5[[#This Row],[ÁREA]]</f>
        <v>0</v>
      </c>
      <c r="J879" s="333" t="s">
        <v>1965</v>
      </c>
      <c r="K879" s="319" t="s">
        <v>1966</v>
      </c>
      <c r="L879" s="318">
        <v>13</v>
      </c>
      <c r="M879" s="318" t="s">
        <v>1962</v>
      </c>
      <c r="N879" s="326" t="s">
        <v>1858</v>
      </c>
    </row>
    <row r="880" spans="2:14" ht="15.9" customHeight="1" x14ac:dyDescent="0.3">
      <c r="B880" s="311" t="s">
        <v>35</v>
      </c>
      <c r="C880" s="311"/>
      <c r="D880" s="318" t="s">
        <v>1962</v>
      </c>
      <c r="E880" s="318">
        <v>32045302</v>
      </c>
      <c r="F880" s="372" t="s">
        <v>1963</v>
      </c>
      <c r="G880" s="334" t="s">
        <v>1964</v>
      </c>
      <c r="H880" s="316">
        <v>32044266</v>
      </c>
      <c r="I880" s="316">
        <f>Table5[[#This Row],[ÁREA]]</f>
        <v>0</v>
      </c>
      <c r="J880" s="333" t="s">
        <v>1967</v>
      </c>
      <c r="K880" s="315" t="s">
        <v>1968</v>
      </c>
      <c r="L880" s="318">
        <v>13</v>
      </c>
      <c r="M880" s="318" t="s">
        <v>1962</v>
      </c>
      <c r="N880" s="326" t="s">
        <v>1858</v>
      </c>
    </row>
    <row r="881" spans="2:14" ht="15.9" customHeight="1" x14ac:dyDescent="0.3">
      <c r="B881" s="311" t="s">
        <v>35</v>
      </c>
      <c r="C881" s="311"/>
      <c r="D881" s="318" t="s">
        <v>1962</v>
      </c>
      <c r="E881" s="318">
        <v>32045492</v>
      </c>
      <c r="F881" s="372" t="s">
        <v>1963</v>
      </c>
      <c r="G881" s="315" t="s">
        <v>1964</v>
      </c>
      <c r="H881" s="316">
        <v>32045442</v>
      </c>
      <c r="I881" s="316">
        <f>Table5[[#This Row],[ÁREA]]</f>
        <v>0</v>
      </c>
      <c r="J881" s="333" t="s">
        <v>1969</v>
      </c>
      <c r="K881" s="319" t="s">
        <v>1970</v>
      </c>
      <c r="L881" s="318">
        <v>13</v>
      </c>
      <c r="M881" s="318" t="s">
        <v>1962</v>
      </c>
      <c r="N881" s="326" t="s">
        <v>1858</v>
      </c>
    </row>
    <row r="882" spans="2:14" ht="15.9" customHeight="1" x14ac:dyDescent="0.3">
      <c r="B882" s="311" t="s">
        <v>35</v>
      </c>
      <c r="C882" s="311"/>
      <c r="D882" s="318" t="s">
        <v>1962</v>
      </c>
      <c r="E882" s="318">
        <v>32045302</v>
      </c>
      <c r="F882" s="372" t="s">
        <v>1963</v>
      </c>
      <c r="G882" s="331" t="s">
        <v>1964</v>
      </c>
      <c r="H882" s="316">
        <v>32045490</v>
      </c>
      <c r="I882" s="316">
        <f>Table5[[#This Row],[ÁREA]]</f>
        <v>0</v>
      </c>
      <c r="J882" s="333" t="s">
        <v>1971</v>
      </c>
      <c r="K882" s="319" t="s">
        <v>1972</v>
      </c>
      <c r="L882" s="318">
        <v>13</v>
      </c>
      <c r="M882" s="318" t="s">
        <v>1962</v>
      </c>
      <c r="N882" s="326" t="s">
        <v>38</v>
      </c>
    </row>
    <row r="883" spans="2:14" ht="15.9" customHeight="1" x14ac:dyDescent="0.3">
      <c r="B883" s="311" t="s">
        <v>35</v>
      </c>
      <c r="C883" s="311"/>
      <c r="D883" s="318" t="s">
        <v>1962</v>
      </c>
      <c r="E883" s="318">
        <v>32045881</v>
      </c>
      <c r="F883" s="372" t="s">
        <v>1963</v>
      </c>
      <c r="G883" s="315" t="s">
        <v>1964</v>
      </c>
      <c r="H883" s="316">
        <v>32045840</v>
      </c>
      <c r="I883" s="316">
        <f>Table5[[#This Row],[ÁREA]]</f>
        <v>0</v>
      </c>
      <c r="J883" s="333" t="s">
        <v>1973</v>
      </c>
      <c r="K883" s="319" t="s">
        <v>1974</v>
      </c>
      <c r="L883" s="318">
        <v>13</v>
      </c>
      <c r="M883" s="318" t="s">
        <v>1962</v>
      </c>
      <c r="N883" s="326" t="s">
        <v>1858</v>
      </c>
    </row>
    <row r="884" spans="2:14" ht="15.9" customHeight="1" x14ac:dyDescent="0.3">
      <c r="B884" s="311" t="s">
        <v>35</v>
      </c>
      <c r="C884" s="311"/>
      <c r="D884" s="318" t="s">
        <v>1962</v>
      </c>
      <c r="E884" s="340">
        <v>32045881</v>
      </c>
      <c r="F884" s="409" t="s">
        <v>1963</v>
      </c>
      <c r="G884" s="325" t="s">
        <v>1964</v>
      </c>
      <c r="H884" s="316">
        <v>32045441</v>
      </c>
      <c r="I884" s="316">
        <f>Table5[[#This Row],[ÁREA]]</f>
        <v>0</v>
      </c>
      <c r="J884" s="333" t="s">
        <v>1975</v>
      </c>
      <c r="K884" s="315" t="s">
        <v>1976</v>
      </c>
      <c r="L884" s="318">
        <v>13</v>
      </c>
      <c r="M884" s="318" t="s">
        <v>1962</v>
      </c>
      <c r="N884" s="326" t="s">
        <v>38</v>
      </c>
    </row>
    <row r="885" spans="2:14" ht="15.9" customHeight="1" x14ac:dyDescent="0.3">
      <c r="B885" s="311" t="s">
        <v>35</v>
      </c>
      <c r="C885" s="311"/>
      <c r="D885" s="318" t="s">
        <v>1962</v>
      </c>
      <c r="E885" s="340">
        <v>32045492</v>
      </c>
      <c r="F885" s="409" t="s">
        <v>1963</v>
      </c>
      <c r="G885" s="315" t="s">
        <v>1964</v>
      </c>
      <c r="H885" s="316">
        <v>32132187</v>
      </c>
      <c r="I885" s="316">
        <f>Table5[[#This Row],[ÁREA]]</f>
        <v>0</v>
      </c>
      <c r="J885" s="333" t="s">
        <v>1977</v>
      </c>
      <c r="K885" s="319" t="s">
        <v>1978</v>
      </c>
      <c r="L885" s="318">
        <v>13</v>
      </c>
      <c r="M885" s="318" t="s">
        <v>1962</v>
      </c>
      <c r="N885" s="326" t="s">
        <v>47</v>
      </c>
    </row>
    <row r="886" spans="2:14" ht="15.9" customHeight="1" x14ac:dyDescent="0.3">
      <c r="B886" s="311" t="s">
        <v>35</v>
      </c>
      <c r="C886" s="311"/>
      <c r="D886" s="318" t="s">
        <v>1962</v>
      </c>
      <c r="E886" s="340">
        <v>32045881</v>
      </c>
      <c r="F886" s="409" t="s">
        <v>1963</v>
      </c>
      <c r="G886" s="319" t="s">
        <v>1964</v>
      </c>
      <c r="H886" s="353">
        <v>32045491</v>
      </c>
      <c r="I886" s="353">
        <f>Table5[[#This Row],[ÁREA]]</f>
        <v>0</v>
      </c>
      <c r="J886" s="376" t="s">
        <v>1979</v>
      </c>
      <c r="K886" s="319" t="s">
        <v>1980</v>
      </c>
      <c r="L886" s="318">
        <v>13</v>
      </c>
      <c r="M886" s="318" t="s">
        <v>1962</v>
      </c>
      <c r="N886" s="326" t="s">
        <v>44</v>
      </c>
    </row>
    <row r="887" spans="2:14" ht="15.9" customHeight="1" x14ac:dyDescent="0.3">
      <c r="B887" s="311" t="s">
        <v>35</v>
      </c>
      <c r="C887" s="311"/>
      <c r="D887" s="318" t="s">
        <v>1962</v>
      </c>
      <c r="E887" s="340">
        <v>32045492</v>
      </c>
      <c r="F887" s="409" t="s">
        <v>1963</v>
      </c>
      <c r="G887" s="315" t="s">
        <v>1964</v>
      </c>
      <c r="H887" s="316">
        <v>32045857</v>
      </c>
      <c r="I887" s="316">
        <f>Table5[[#This Row],[ÁREA]]</f>
        <v>0</v>
      </c>
      <c r="J887" s="333" t="s">
        <v>1981</v>
      </c>
      <c r="K887" s="315" t="s">
        <v>1982</v>
      </c>
      <c r="L887" s="318">
        <v>13</v>
      </c>
      <c r="M887" s="318" t="s">
        <v>1962</v>
      </c>
      <c r="N887" s="326" t="s">
        <v>47</v>
      </c>
    </row>
    <row r="888" spans="2:14" ht="15.9" customHeight="1" x14ac:dyDescent="0.3">
      <c r="B888" s="311" t="s">
        <v>35</v>
      </c>
      <c r="C888" s="311"/>
      <c r="D888" s="318" t="s">
        <v>1962</v>
      </c>
      <c r="E888" s="340">
        <v>32045881</v>
      </c>
      <c r="F888" s="409" t="s">
        <v>1963</v>
      </c>
      <c r="G888" s="315" t="s">
        <v>1964</v>
      </c>
      <c r="H888" s="316">
        <v>32045419</v>
      </c>
      <c r="I888" s="316">
        <f>Table5[[#This Row],[ÁREA]]</f>
        <v>0</v>
      </c>
      <c r="J888" s="333" t="s">
        <v>1983</v>
      </c>
      <c r="K888" s="319" t="s">
        <v>1984</v>
      </c>
      <c r="L888" s="318">
        <v>13</v>
      </c>
      <c r="M888" s="318" t="s">
        <v>1962</v>
      </c>
      <c r="N888" s="326" t="s">
        <v>44</v>
      </c>
    </row>
    <row r="889" spans="2:14" ht="15.9" customHeight="1" x14ac:dyDescent="0.3">
      <c r="B889" s="311" t="s">
        <v>35</v>
      </c>
      <c r="C889" s="311"/>
      <c r="D889" s="318" t="s">
        <v>1962</v>
      </c>
      <c r="E889" s="340">
        <v>32045881</v>
      </c>
      <c r="F889" s="409" t="s">
        <v>1963</v>
      </c>
      <c r="G889" s="334" t="s">
        <v>1964</v>
      </c>
      <c r="H889" s="316">
        <v>32044798</v>
      </c>
      <c r="I889" s="316">
        <f>Table5[[#This Row],[ÁREA]]</f>
        <v>0</v>
      </c>
      <c r="J889" s="333" t="s">
        <v>1985</v>
      </c>
      <c r="K889" s="319" t="s">
        <v>1986</v>
      </c>
      <c r="L889" s="318">
        <v>13</v>
      </c>
      <c r="M889" s="318" t="s">
        <v>1962</v>
      </c>
      <c r="N889" s="326" t="s">
        <v>38</v>
      </c>
    </row>
    <row r="890" spans="2:14" ht="15.9" customHeight="1" x14ac:dyDescent="0.3">
      <c r="B890" s="311" t="s">
        <v>35</v>
      </c>
      <c r="C890" s="311"/>
      <c r="D890" s="318" t="s">
        <v>1962</v>
      </c>
      <c r="E890" s="318">
        <v>32045492</v>
      </c>
      <c r="F890" s="372" t="s">
        <v>1963</v>
      </c>
      <c r="G890" s="331" t="s">
        <v>1964</v>
      </c>
      <c r="H890" s="316">
        <v>32044309</v>
      </c>
      <c r="I890" s="316">
        <f>Table5[[#This Row],[ÁREA]]</f>
        <v>0</v>
      </c>
      <c r="J890" s="333" t="s">
        <v>1987</v>
      </c>
      <c r="K890" s="319" t="s">
        <v>1988</v>
      </c>
      <c r="L890" s="318">
        <v>13</v>
      </c>
      <c r="M890" s="318" t="s">
        <v>1962</v>
      </c>
      <c r="N890" s="326" t="s">
        <v>44</v>
      </c>
    </row>
    <row r="891" spans="2:14" ht="15.9" customHeight="1" x14ac:dyDescent="0.3">
      <c r="B891" s="311" t="s">
        <v>35</v>
      </c>
      <c r="C891" s="311"/>
      <c r="D891" s="318" t="s">
        <v>1962</v>
      </c>
      <c r="E891" s="340">
        <v>32045302</v>
      </c>
      <c r="F891" s="409" t="s">
        <v>1963</v>
      </c>
      <c r="G891" s="315" t="s">
        <v>1964</v>
      </c>
      <c r="H891" s="316">
        <v>32044517</v>
      </c>
      <c r="I891" s="316">
        <f>Table5[[#This Row],[ÁREA]]</f>
        <v>0</v>
      </c>
      <c r="J891" s="333" t="s">
        <v>1989</v>
      </c>
      <c r="K891" s="319" t="s">
        <v>1990</v>
      </c>
      <c r="L891" s="318">
        <v>13</v>
      </c>
      <c r="M891" s="318" t="s">
        <v>1962</v>
      </c>
      <c r="N891" s="326" t="s">
        <v>47</v>
      </c>
    </row>
    <row r="892" spans="2:14" ht="15.9" customHeight="1" x14ac:dyDescent="0.3">
      <c r="B892" s="311" t="s">
        <v>1</v>
      </c>
      <c r="C892" s="311" t="s">
        <v>1991</v>
      </c>
      <c r="D892" s="317" t="s">
        <v>4</v>
      </c>
      <c r="E892" s="340">
        <v>32110715</v>
      </c>
      <c r="F892" s="343" t="s">
        <v>1992</v>
      </c>
      <c r="G892" s="319" t="s">
        <v>1993</v>
      </c>
      <c r="H892" s="316">
        <v>32043758</v>
      </c>
      <c r="I892" s="316" t="str">
        <f>Table5[[#This Row],[ÁREA]]</f>
        <v>TRATOS DE AGUA</v>
      </c>
      <c r="J892" s="419" t="s">
        <v>1994</v>
      </c>
      <c r="K892" s="420" t="s">
        <v>1995</v>
      </c>
      <c r="L892" s="421">
        <v>4</v>
      </c>
      <c r="M892" s="419" t="s">
        <v>4</v>
      </c>
      <c r="N892" s="422" t="s">
        <v>456</v>
      </c>
    </row>
    <row r="893" spans="2:14" ht="15.9" customHeight="1" x14ac:dyDescent="0.3">
      <c r="B893" s="311" t="s">
        <v>1</v>
      </c>
      <c r="C893" s="311" t="s">
        <v>1991</v>
      </c>
      <c r="D893" s="317" t="s">
        <v>4</v>
      </c>
      <c r="E893" s="340">
        <v>32110715</v>
      </c>
      <c r="F893" s="343" t="s">
        <v>1992</v>
      </c>
      <c r="G893" s="315" t="s">
        <v>1993</v>
      </c>
      <c r="H893" s="316">
        <v>32045388</v>
      </c>
      <c r="I893" s="316" t="str">
        <f>Table5[[#This Row],[ÁREA]]</f>
        <v>TRATOS DE AGUA</v>
      </c>
      <c r="J893" s="419" t="s">
        <v>1996</v>
      </c>
      <c r="K893" s="423" t="s">
        <v>1997</v>
      </c>
      <c r="L893" s="421">
        <v>4</v>
      </c>
      <c r="M893" s="419" t="s">
        <v>4</v>
      </c>
      <c r="N893" s="422" t="s">
        <v>464</v>
      </c>
    </row>
    <row r="894" spans="2:14" ht="15.9" customHeight="1" x14ac:dyDescent="0.3">
      <c r="B894" s="311" t="s">
        <v>1</v>
      </c>
      <c r="C894" s="311" t="s">
        <v>1991</v>
      </c>
      <c r="D894" s="317" t="s">
        <v>4</v>
      </c>
      <c r="E894" s="318">
        <v>32110715</v>
      </c>
      <c r="F894" s="326" t="s">
        <v>1992</v>
      </c>
      <c r="G894" s="331" t="s">
        <v>1993</v>
      </c>
      <c r="H894" s="316">
        <v>32045383</v>
      </c>
      <c r="I894" s="316" t="str">
        <f>Table5[[#This Row],[ÁREA]]</f>
        <v>TRATOS DE AGUA</v>
      </c>
      <c r="J894" s="419" t="s">
        <v>1998</v>
      </c>
      <c r="K894" s="420" t="s">
        <v>1999</v>
      </c>
      <c r="L894" s="421">
        <v>4</v>
      </c>
      <c r="M894" s="419" t="s">
        <v>4</v>
      </c>
      <c r="N894" s="422" t="s">
        <v>470</v>
      </c>
    </row>
    <row r="895" spans="2:14" ht="15.9" customHeight="1" x14ac:dyDescent="0.3">
      <c r="B895" s="311" t="s">
        <v>1</v>
      </c>
      <c r="C895" s="311" t="s">
        <v>1991</v>
      </c>
      <c r="D895" s="317" t="s">
        <v>4</v>
      </c>
      <c r="E895" s="318">
        <v>32110715</v>
      </c>
      <c r="F895" s="326" t="s">
        <v>1992</v>
      </c>
      <c r="G895" s="334" t="s">
        <v>1993</v>
      </c>
      <c r="H895" s="316">
        <v>32045143</v>
      </c>
      <c r="I895" s="316" t="str">
        <f>Table5[[#This Row],[ÁREA]]</f>
        <v>TRATOS DE AGUA</v>
      </c>
      <c r="J895" s="419" t="s">
        <v>2000</v>
      </c>
      <c r="K895" s="420" t="s">
        <v>2001</v>
      </c>
      <c r="L895" s="424">
        <v>4</v>
      </c>
      <c r="M895" s="425" t="s">
        <v>4</v>
      </c>
      <c r="N895" s="422" t="s">
        <v>447</v>
      </c>
    </row>
    <row r="896" spans="2:14" ht="15.9" customHeight="1" x14ac:dyDescent="0.3">
      <c r="B896" s="311" t="s">
        <v>1</v>
      </c>
      <c r="C896" s="311" t="s">
        <v>1991</v>
      </c>
      <c r="D896" s="317" t="s">
        <v>6</v>
      </c>
      <c r="E896" s="318">
        <v>32045105</v>
      </c>
      <c r="F896" s="326" t="s">
        <v>7</v>
      </c>
      <c r="G896" s="315" t="s">
        <v>2002</v>
      </c>
      <c r="H896" s="316">
        <v>32150508</v>
      </c>
      <c r="I896" s="316" t="str">
        <f>Table5[[#This Row],[ÁREA]]</f>
        <v>TRATOS DE AGUA</v>
      </c>
      <c r="J896" s="419" t="s">
        <v>2003</v>
      </c>
      <c r="K896" s="420" t="s">
        <v>2004</v>
      </c>
      <c r="L896" s="424">
        <v>5</v>
      </c>
      <c r="M896" s="425" t="s">
        <v>6</v>
      </c>
      <c r="N896" s="422" t="s">
        <v>447</v>
      </c>
    </row>
    <row r="897" spans="2:14" ht="15.9" customHeight="1" x14ac:dyDescent="0.3">
      <c r="B897" s="311" t="s">
        <v>1</v>
      </c>
      <c r="C897" s="352" t="s">
        <v>1991</v>
      </c>
      <c r="D897" s="338" t="s">
        <v>6</v>
      </c>
      <c r="E897" s="340">
        <v>32045105</v>
      </c>
      <c r="F897" s="343" t="s">
        <v>7</v>
      </c>
      <c r="G897" s="319" t="s">
        <v>2002</v>
      </c>
      <c r="H897" s="316">
        <v>32045391</v>
      </c>
      <c r="I897" s="353" t="str">
        <f>Table5[[#This Row],[ÁREA]]</f>
        <v>TRATOS DE AGUA</v>
      </c>
      <c r="J897" s="425" t="s">
        <v>2005</v>
      </c>
      <c r="K897" s="420" t="s">
        <v>2006</v>
      </c>
      <c r="L897" s="424">
        <v>5</v>
      </c>
      <c r="M897" s="425" t="s">
        <v>6</v>
      </c>
      <c r="N897" s="426" t="s">
        <v>470</v>
      </c>
    </row>
    <row r="898" spans="2:14" ht="15.9" customHeight="1" x14ac:dyDescent="0.3">
      <c r="B898" s="332" t="s">
        <v>1</v>
      </c>
      <c r="C898" s="311" t="s">
        <v>1991</v>
      </c>
      <c r="D898" s="427" t="s">
        <v>6</v>
      </c>
      <c r="E898" s="340">
        <v>32045105</v>
      </c>
      <c r="F898" s="343" t="s">
        <v>7</v>
      </c>
      <c r="G898" s="315" t="s">
        <v>2002</v>
      </c>
      <c r="H898" s="316">
        <v>32044248</v>
      </c>
      <c r="I898" s="316" t="str">
        <f>Table5[[#This Row],[ÁREA]]</f>
        <v>TRATOS DE AGUA</v>
      </c>
      <c r="J898" s="419" t="s">
        <v>2007</v>
      </c>
      <c r="K898" s="428" t="s">
        <v>2008</v>
      </c>
      <c r="L898" s="421">
        <v>5</v>
      </c>
      <c r="M898" s="419" t="s">
        <v>6</v>
      </c>
      <c r="N898" s="422" t="s">
        <v>464</v>
      </c>
    </row>
    <row r="899" spans="2:14" ht="15.9" customHeight="1" x14ac:dyDescent="0.3">
      <c r="B899" s="332" t="s">
        <v>1</v>
      </c>
      <c r="C899" s="311" t="s">
        <v>1991</v>
      </c>
      <c r="D899" s="427" t="s">
        <v>6</v>
      </c>
      <c r="E899" s="340">
        <v>32045105</v>
      </c>
      <c r="F899" s="343" t="s">
        <v>7</v>
      </c>
      <c r="G899" s="315" t="s">
        <v>2002</v>
      </c>
      <c r="H899" s="316">
        <v>32043716</v>
      </c>
      <c r="I899" s="316" t="str">
        <f>Table5[[#This Row],[ÁREA]]</f>
        <v>TRATOS DE AGUA</v>
      </c>
      <c r="J899" s="419" t="s">
        <v>2009</v>
      </c>
      <c r="K899" s="429" t="s">
        <v>2010</v>
      </c>
      <c r="L899" s="421">
        <v>5</v>
      </c>
      <c r="M899" s="419" t="s">
        <v>6</v>
      </c>
      <c r="N899" s="422" t="s">
        <v>467</v>
      </c>
    </row>
    <row r="900" spans="2:14" ht="15.9" customHeight="1" x14ac:dyDescent="0.3">
      <c r="B900" s="332" t="s">
        <v>1</v>
      </c>
      <c r="C900" s="311" t="s">
        <v>1991</v>
      </c>
      <c r="D900" s="427" t="s">
        <v>6</v>
      </c>
      <c r="E900" s="340">
        <v>32045105</v>
      </c>
      <c r="F900" s="343" t="s">
        <v>7</v>
      </c>
      <c r="G900" s="315" t="s">
        <v>2002</v>
      </c>
      <c r="H900" s="316">
        <v>32144782</v>
      </c>
      <c r="I900" s="316" t="str">
        <f>Table5[[#This Row],[ÁREA]]</f>
        <v>TRATOS DE AGUA</v>
      </c>
      <c r="J900" s="419" t="s">
        <v>2011</v>
      </c>
      <c r="K900" s="430" t="s">
        <v>2012</v>
      </c>
      <c r="L900" s="421">
        <v>5</v>
      </c>
      <c r="M900" s="419" t="s">
        <v>6</v>
      </c>
      <c r="N900" s="422" t="s">
        <v>2013</v>
      </c>
    </row>
    <row r="901" spans="2:14" ht="15.9" customHeight="1" x14ac:dyDescent="0.3">
      <c r="B901" s="332" t="s">
        <v>1</v>
      </c>
      <c r="C901" s="311" t="s">
        <v>2014</v>
      </c>
      <c r="D901" s="427" t="s">
        <v>12</v>
      </c>
      <c r="E901" s="340">
        <v>32149491</v>
      </c>
      <c r="F901" s="343" t="s">
        <v>13</v>
      </c>
      <c r="G901" s="331"/>
      <c r="H901" s="316">
        <v>32045610</v>
      </c>
      <c r="I901" s="316" t="str">
        <f>Table5[[#This Row],[ÁREA]]</f>
        <v>LEVADURA</v>
      </c>
      <c r="J901" s="317" t="s">
        <v>2015</v>
      </c>
      <c r="K901" s="325" t="s">
        <v>2016</v>
      </c>
      <c r="L901" s="318">
        <v>7</v>
      </c>
      <c r="M901" s="317" t="s">
        <v>12</v>
      </c>
      <c r="N901" s="312" t="s">
        <v>470</v>
      </c>
    </row>
    <row r="902" spans="2:14" ht="15.9" customHeight="1" x14ac:dyDescent="0.3">
      <c r="B902" s="332" t="s">
        <v>1</v>
      </c>
      <c r="C902" s="311" t="s">
        <v>2014</v>
      </c>
      <c r="D902" s="317" t="s">
        <v>12</v>
      </c>
      <c r="E902" s="340">
        <v>32149491</v>
      </c>
      <c r="F902" s="343" t="s">
        <v>13</v>
      </c>
      <c r="H902" s="316">
        <v>32202308</v>
      </c>
      <c r="I902" s="316" t="str">
        <f>Table5[[#This Row],[ÁREA]]</f>
        <v>LEVADURA</v>
      </c>
      <c r="J902" s="317" t="s">
        <v>2017</v>
      </c>
      <c r="K902" s="331" t="s">
        <v>2018</v>
      </c>
      <c r="L902" s="318">
        <v>7</v>
      </c>
      <c r="M902" s="317" t="s">
        <v>12</v>
      </c>
      <c r="N902" s="312" t="s">
        <v>447</v>
      </c>
    </row>
    <row r="903" spans="2:14" ht="15.9" customHeight="1" x14ac:dyDescent="0.3">
      <c r="B903" s="332" t="s">
        <v>1</v>
      </c>
      <c r="C903" s="311" t="s">
        <v>2014</v>
      </c>
      <c r="D903" s="317" t="s">
        <v>12</v>
      </c>
      <c r="E903" s="340">
        <v>32149491</v>
      </c>
      <c r="F903" s="343" t="s">
        <v>13</v>
      </c>
      <c r="H903" s="316">
        <v>32045120</v>
      </c>
      <c r="I903" s="316" t="str">
        <f>Table5[[#This Row],[ÁREA]]</f>
        <v>LEVADURA</v>
      </c>
      <c r="J903" s="317" t="s">
        <v>2019</v>
      </c>
      <c r="K903" s="325" t="s">
        <v>2020</v>
      </c>
      <c r="L903" s="318">
        <v>7</v>
      </c>
      <c r="M903" s="317" t="s">
        <v>12</v>
      </c>
      <c r="N903" s="312" t="s">
        <v>2021</v>
      </c>
    </row>
    <row r="904" spans="2:14" ht="15.9" customHeight="1" x14ac:dyDescent="0.3">
      <c r="B904" s="332" t="s">
        <v>1</v>
      </c>
      <c r="C904" s="311" t="s">
        <v>2014</v>
      </c>
      <c r="D904" s="317" t="s">
        <v>12</v>
      </c>
      <c r="E904" s="340">
        <v>32149491</v>
      </c>
      <c r="F904" s="343" t="s">
        <v>13</v>
      </c>
      <c r="H904" s="316">
        <v>32045931</v>
      </c>
      <c r="I904" s="316" t="str">
        <f>Table5[[#This Row],[ÁREA]]</f>
        <v>LEVADURA</v>
      </c>
      <c r="J904" s="317" t="s">
        <v>2022</v>
      </c>
      <c r="K904" s="325" t="s">
        <v>2023</v>
      </c>
      <c r="L904" s="318">
        <v>7</v>
      </c>
      <c r="M904" s="317" t="s">
        <v>12</v>
      </c>
      <c r="N904" s="312" t="s">
        <v>2024</v>
      </c>
    </row>
    <row r="905" spans="2:14" ht="15.9" customHeight="1" x14ac:dyDescent="0.3">
      <c r="B905" s="332" t="s">
        <v>1</v>
      </c>
      <c r="C905" s="311" t="s">
        <v>2014</v>
      </c>
      <c r="D905" s="317" t="s">
        <v>12</v>
      </c>
      <c r="E905" s="340">
        <v>32149491</v>
      </c>
      <c r="F905" s="343" t="s">
        <v>13</v>
      </c>
      <c r="H905" s="316">
        <v>32044445</v>
      </c>
      <c r="I905" s="316" t="str">
        <f>Table5[[#This Row],[ÁREA]]</f>
        <v>LEVADURA</v>
      </c>
      <c r="J905" s="317" t="s">
        <v>2025</v>
      </c>
      <c r="K905" s="325" t="s">
        <v>2026</v>
      </c>
      <c r="L905" s="318">
        <v>7</v>
      </c>
      <c r="M905" s="317" t="s">
        <v>12</v>
      </c>
      <c r="N905" s="312" t="s">
        <v>473</v>
      </c>
    </row>
    <row r="906" spans="2:14" ht="15.9" customHeight="1" x14ac:dyDescent="0.3">
      <c r="B906" s="332" t="s">
        <v>1</v>
      </c>
      <c r="C906" s="311" t="s">
        <v>2014</v>
      </c>
      <c r="D906" s="317" t="s">
        <v>12</v>
      </c>
      <c r="E906" s="340">
        <v>32149491</v>
      </c>
      <c r="F906" s="343" t="s">
        <v>13</v>
      </c>
      <c r="H906" s="316">
        <v>32045070</v>
      </c>
      <c r="I906" s="316" t="str">
        <f>Table5[[#This Row],[ÁREA]]</f>
        <v>LEVADURA</v>
      </c>
      <c r="J906" s="317" t="s">
        <v>2027</v>
      </c>
      <c r="K906" s="431" t="s">
        <v>2028</v>
      </c>
      <c r="L906" s="318">
        <v>7</v>
      </c>
      <c r="M906" s="317" t="s">
        <v>12</v>
      </c>
      <c r="N906" s="312" t="s">
        <v>464</v>
      </c>
    </row>
    <row r="907" spans="2:14" ht="15.9" customHeight="1" x14ac:dyDescent="0.3">
      <c r="B907" s="351" t="s">
        <v>1</v>
      </c>
      <c r="C907" s="311" t="s">
        <v>2014</v>
      </c>
      <c r="D907" s="317" t="s">
        <v>12</v>
      </c>
      <c r="E907" s="340">
        <v>32149491</v>
      </c>
      <c r="F907" s="343" t="s">
        <v>13</v>
      </c>
      <c r="G907" s="429"/>
      <c r="H907" s="316">
        <v>32236750</v>
      </c>
      <c r="I907" s="316" t="str">
        <f>Table5[[#This Row],[ÁREA]]</f>
        <v>LEVADURA</v>
      </c>
      <c r="J907" s="317" t="s">
        <v>2029</v>
      </c>
      <c r="K907" s="432"/>
      <c r="L907" s="354"/>
      <c r="M907" s="317" t="s">
        <v>12</v>
      </c>
      <c r="N907" s="355" t="s">
        <v>467</v>
      </c>
    </row>
    <row r="908" spans="2:14" ht="15.9" customHeight="1" x14ac:dyDescent="0.3">
      <c r="B908" s="351" t="s">
        <v>1</v>
      </c>
      <c r="C908" s="311" t="s">
        <v>1991</v>
      </c>
      <c r="D908" s="317" t="s">
        <v>2030</v>
      </c>
      <c r="E908" s="421">
        <v>32044637</v>
      </c>
      <c r="F908" s="433" t="s">
        <v>2031</v>
      </c>
      <c r="G908" s="429" t="s">
        <v>2032</v>
      </c>
      <c r="H908" s="434">
        <v>32043794</v>
      </c>
      <c r="I908" s="434" t="str">
        <f>Table5[[#This Row],[ÁREA]]</f>
        <v>TRATOS DE AGUA</v>
      </c>
      <c r="J908" s="419" t="s">
        <v>2033</v>
      </c>
      <c r="K908" s="430" t="s">
        <v>2034</v>
      </c>
      <c r="L908" s="421">
        <v>5</v>
      </c>
      <c r="M908" s="419" t="s">
        <v>2030</v>
      </c>
      <c r="N908" s="422" t="s">
        <v>470</v>
      </c>
    </row>
    <row r="909" spans="2:14" ht="15.9" customHeight="1" x14ac:dyDescent="0.3">
      <c r="B909" s="351" t="s">
        <v>1</v>
      </c>
      <c r="C909" s="311" t="s">
        <v>1991</v>
      </c>
      <c r="D909" s="317" t="s">
        <v>2030</v>
      </c>
      <c r="E909" s="421">
        <v>32044637</v>
      </c>
      <c r="F909" s="433" t="s">
        <v>2031</v>
      </c>
      <c r="G909" s="429" t="s">
        <v>2032</v>
      </c>
      <c r="H909" s="434">
        <v>32181713</v>
      </c>
      <c r="I909" s="434" t="str">
        <f>Table5[[#This Row],[ÁREA]]</f>
        <v>TRATOS DE AGUA</v>
      </c>
      <c r="J909" s="419" t="s">
        <v>2035</v>
      </c>
      <c r="K909" s="429" t="s">
        <v>2036</v>
      </c>
      <c r="L909" s="421">
        <v>5</v>
      </c>
      <c r="M909" s="419" t="s">
        <v>2030</v>
      </c>
      <c r="N909" s="422" t="s">
        <v>456</v>
      </c>
    </row>
    <row r="910" spans="2:14" ht="15.9" customHeight="1" x14ac:dyDescent="0.3">
      <c r="B910" s="351" t="s">
        <v>1</v>
      </c>
      <c r="C910" s="311" t="s">
        <v>1991</v>
      </c>
      <c r="D910" s="317" t="s">
        <v>2030</v>
      </c>
      <c r="E910" s="421">
        <v>32044637</v>
      </c>
      <c r="F910" s="433" t="s">
        <v>2031</v>
      </c>
      <c r="G910" s="429" t="s">
        <v>2032</v>
      </c>
      <c r="H910" s="434">
        <v>32043868</v>
      </c>
      <c r="I910" s="434" t="str">
        <f>Table5[[#This Row],[ÁREA]]</f>
        <v>TRATOS DE AGUA</v>
      </c>
      <c r="J910" s="419" t="s">
        <v>2037</v>
      </c>
      <c r="K910" s="429" t="s">
        <v>2038</v>
      </c>
      <c r="L910" s="421">
        <v>5</v>
      </c>
      <c r="M910" s="419" t="s">
        <v>2030</v>
      </c>
      <c r="N910" s="422" t="s">
        <v>447</v>
      </c>
    </row>
    <row r="911" spans="2:14" ht="15.9" customHeight="1" x14ac:dyDescent="0.3">
      <c r="B911" s="351" t="s">
        <v>1</v>
      </c>
      <c r="C911" s="311" t="s">
        <v>1991</v>
      </c>
      <c r="D911" s="317" t="s">
        <v>2030</v>
      </c>
      <c r="E911" s="421">
        <v>32044637</v>
      </c>
      <c r="F911" s="433" t="s">
        <v>2031</v>
      </c>
      <c r="G911" s="429" t="s">
        <v>2032</v>
      </c>
      <c r="H911" s="434">
        <v>32233422</v>
      </c>
      <c r="I911" s="434" t="str">
        <f>Table5[[#This Row],[ÁREA]]</f>
        <v>TRATOS DE AGUA</v>
      </c>
      <c r="J911" s="419" t="s">
        <v>2039</v>
      </c>
      <c r="K911" s="429" t="s">
        <v>2040</v>
      </c>
      <c r="L911" s="421">
        <v>5</v>
      </c>
      <c r="M911" s="419" t="s">
        <v>2030</v>
      </c>
      <c r="N911" s="422" t="s">
        <v>2041</v>
      </c>
    </row>
    <row r="912" spans="2:14" ht="15.9" customHeight="1" x14ac:dyDescent="0.3">
      <c r="B912" s="351" t="s">
        <v>1</v>
      </c>
      <c r="C912" s="311" t="s">
        <v>1991</v>
      </c>
      <c r="D912" s="338" t="s">
        <v>2042</v>
      </c>
      <c r="E912" s="428">
        <v>32151311</v>
      </c>
      <c r="F912" s="433" t="s">
        <v>2043</v>
      </c>
      <c r="G912" s="429" t="s">
        <v>2044</v>
      </c>
      <c r="H912" s="435">
        <v>32144783</v>
      </c>
      <c r="I912" s="435" t="str">
        <f>Table5[[#This Row],[ÁREA]]</f>
        <v>TRATOS DE AGUA</v>
      </c>
      <c r="J912" s="419" t="s">
        <v>2045</v>
      </c>
      <c r="K912" s="430" t="s">
        <v>2046</v>
      </c>
      <c r="L912" s="421">
        <v>4</v>
      </c>
      <c r="M912" s="419" t="s">
        <v>2042</v>
      </c>
      <c r="N912" s="422" t="s">
        <v>470</v>
      </c>
    </row>
    <row r="913" spans="2:14" ht="15.9" customHeight="1" x14ac:dyDescent="0.3">
      <c r="B913" s="351" t="s">
        <v>1</v>
      </c>
      <c r="C913" s="311" t="s">
        <v>1991</v>
      </c>
      <c r="D913" s="338" t="s">
        <v>2042</v>
      </c>
      <c r="E913" s="428">
        <v>32151311</v>
      </c>
      <c r="F913" s="433" t="s">
        <v>2043</v>
      </c>
      <c r="G913" s="429" t="s">
        <v>2044</v>
      </c>
      <c r="H913" s="435">
        <v>32044335</v>
      </c>
      <c r="I913" s="435" t="str">
        <f>Table5[[#This Row],[ÁREA]]</f>
        <v>TRATOS DE AGUA</v>
      </c>
      <c r="J913" s="419" t="s">
        <v>2047</v>
      </c>
      <c r="K913" s="429" t="s">
        <v>2048</v>
      </c>
      <c r="L913" s="421">
        <v>4</v>
      </c>
      <c r="M913" s="419" t="s">
        <v>2042</v>
      </c>
      <c r="N913" s="422" t="s">
        <v>456</v>
      </c>
    </row>
    <row r="914" spans="2:14" ht="15.9" customHeight="1" x14ac:dyDescent="0.3">
      <c r="B914" s="351" t="s">
        <v>1</v>
      </c>
      <c r="C914" s="311" t="s">
        <v>1991</v>
      </c>
      <c r="D914" s="338" t="s">
        <v>2042</v>
      </c>
      <c r="E914" s="428">
        <v>32151311</v>
      </c>
      <c r="F914" s="433" t="s">
        <v>2043</v>
      </c>
      <c r="G914" s="429" t="s">
        <v>2044</v>
      </c>
      <c r="H914" s="435">
        <v>32045056</v>
      </c>
      <c r="I914" s="435" t="str">
        <f>Table5[[#This Row],[ÁREA]]</f>
        <v>TRATOS DE AGUA</v>
      </c>
      <c r="J914" s="419" t="s">
        <v>2049</v>
      </c>
      <c r="K914" s="429" t="s">
        <v>2050</v>
      </c>
      <c r="L914" s="421">
        <v>4</v>
      </c>
      <c r="M914" s="419" t="s">
        <v>2042</v>
      </c>
      <c r="N914" s="426" t="s">
        <v>464</v>
      </c>
    </row>
    <row r="915" spans="2:14" ht="15.9" customHeight="1" x14ac:dyDescent="0.3">
      <c r="B915" s="351" t="s">
        <v>1</v>
      </c>
      <c r="C915" s="311" t="s">
        <v>1991</v>
      </c>
      <c r="D915" s="338" t="s">
        <v>2042</v>
      </c>
      <c r="E915" s="428">
        <v>32151311</v>
      </c>
      <c r="F915" s="433" t="s">
        <v>2043</v>
      </c>
      <c r="G915" s="429" t="s">
        <v>2044</v>
      </c>
      <c r="H915" s="435">
        <v>32045071</v>
      </c>
      <c r="I915" s="435" t="str">
        <f>Table5[[#This Row],[ÁREA]]</f>
        <v>TRATOS DE AGUA</v>
      </c>
      <c r="J915" s="419" t="s">
        <v>2051</v>
      </c>
      <c r="K915" s="429" t="s">
        <v>2052</v>
      </c>
      <c r="L915" s="421">
        <v>4</v>
      </c>
      <c r="M915" s="419" t="s">
        <v>2042</v>
      </c>
      <c r="N915" s="422" t="s">
        <v>447</v>
      </c>
    </row>
    <row r="916" spans="2:14" ht="15.9" customHeight="1" x14ac:dyDescent="0.3">
      <c r="B916" s="351" t="s">
        <v>2053</v>
      </c>
      <c r="C916" s="311" t="s">
        <v>2054</v>
      </c>
      <c r="D916" s="354" t="s">
        <v>2055</v>
      </c>
      <c r="E916" s="318">
        <v>32231914</v>
      </c>
      <c r="F916" s="333" t="s">
        <v>2056</v>
      </c>
      <c r="G916" s="325" t="s">
        <v>2057</v>
      </c>
      <c r="H916" s="335">
        <v>32043974</v>
      </c>
      <c r="I916" s="335" t="str">
        <f>Table5[[#This Row],[ÁREA]]</f>
        <v>Calderas AP</v>
      </c>
      <c r="J916" s="317" t="s">
        <v>2058</v>
      </c>
      <c r="K916" s="325" t="s">
        <v>2059</v>
      </c>
      <c r="L916" s="318">
        <v>7</v>
      </c>
      <c r="M916" s="318" t="s">
        <v>2055</v>
      </c>
      <c r="N916" s="312" t="s">
        <v>128</v>
      </c>
    </row>
    <row r="917" spans="2:14" ht="15.9" customHeight="1" x14ac:dyDescent="0.3">
      <c r="B917" s="351" t="s">
        <v>2053</v>
      </c>
      <c r="C917" s="311" t="s">
        <v>2060</v>
      </c>
      <c r="D917" s="354" t="s">
        <v>2055</v>
      </c>
      <c r="E917" s="318">
        <v>32231914</v>
      </c>
      <c r="F917" s="333" t="s">
        <v>2056</v>
      </c>
      <c r="G917" s="325" t="s">
        <v>2057</v>
      </c>
      <c r="H917" s="335">
        <v>32045558</v>
      </c>
      <c r="I917" s="335" t="str">
        <f>Table5[[#This Row],[ÁREA]]</f>
        <v>Turbinas</v>
      </c>
      <c r="J917" s="317" t="s">
        <v>2061</v>
      </c>
      <c r="K917" s="431" t="s">
        <v>2062</v>
      </c>
      <c r="L917" s="318">
        <v>7</v>
      </c>
      <c r="M917" s="318" t="s">
        <v>2055</v>
      </c>
      <c r="N917" s="312" t="s">
        <v>125</v>
      </c>
    </row>
    <row r="918" spans="2:14" ht="15.9" customHeight="1" x14ac:dyDescent="0.3">
      <c r="B918" s="351" t="s">
        <v>2053</v>
      </c>
      <c r="C918" s="311" t="s">
        <v>2063</v>
      </c>
      <c r="D918" s="354" t="s">
        <v>2055</v>
      </c>
      <c r="E918" s="318">
        <v>32231914</v>
      </c>
      <c r="F918" s="333" t="s">
        <v>2056</v>
      </c>
      <c r="G918" s="325" t="s">
        <v>2057</v>
      </c>
      <c r="H918" s="335">
        <v>32043847</v>
      </c>
      <c r="I918" s="335" t="str">
        <f>Table5[[#This Row],[ÁREA]]</f>
        <v>Refrigeración</v>
      </c>
      <c r="J918" s="317" t="s">
        <v>2064</v>
      </c>
      <c r="K918" s="325" t="s">
        <v>2065</v>
      </c>
      <c r="L918" s="318">
        <v>7</v>
      </c>
      <c r="M918" s="318" t="s">
        <v>2055</v>
      </c>
      <c r="N918" s="312" t="s">
        <v>1813</v>
      </c>
    </row>
    <row r="919" spans="2:14" ht="15.9" customHeight="1" x14ac:dyDescent="0.3">
      <c r="B919" s="351" t="s">
        <v>2053</v>
      </c>
      <c r="C919" s="311" t="s">
        <v>2066</v>
      </c>
      <c r="D919" s="354" t="s">
        <v>2055</v>
      </c>
      <c r="E919" s="318">
        <v>32231914</v>
      </c>
      <c r="F919" s="333" t="s">
        <v>2056</v>
      </c>
      <c r="G919" s="325" t="s">
        <v>2057</v>
      </c>
      <c r="H919" s="335">
        <v>32044410</v>
      </c>
      <c r="I919" s="335" t="str">
        <f>Table5[[#This Row],[ÁREA]]</f>
        <v>Calderas BP</v>
      </c>
      <c r="J919" s="317" t="s">
        <v>2067</v>
      </c>
      <c r="K919" s="325" t="s">
        <v>2068</v>
      </c>
      <c r="L919" s="354">
        <v>7</v>
      </c>
      <c r="M919" s="318" t="s">
        <v>2055</v>
      </c>
      <c r="N919" s="355" t="s">
        <v>1810</v>
      </c>
    </row>
    <row r="920" spans="2:14" ht="15.9" customHeight="1" x14ac:dyDescent="0.3">
      <c r="B920" s="351" t="s">
        <v>2053</v>
      </c>
      <c r="C920" s="311" t="s">
        <v>2060</v>
      </c>
      <c r="D920" s="354" t="s">
        <v>2055</v>
      </c>
      <c r="E920" s="318">
        <v>32231914</v>
      </c>
      <c r="F920" s="333" t="s">
        <v>2056</v>
      </c>
      <c r="G920" s="325" t="s">
        <v>2057</v>
      </c>
      <c r="H920" s="335">
        <v>32045543</v>
      </c>
      <c r="I920" s="335" t="str">
        <f>Table5[[#This Row],[ÁREA]]</f>
        <v>Turbinas</v>
      </c>
      <c r="J920" s="317" t="s">
        <v>2069</v>
      </c>
      <c r="K920" s="331" t="s">
        <v>2070</v>
      </c>
      <c r="L920" s="318">
        <v>7</v>
      </c>
      <c r="M920" s="354" t="s">
        <v>2055</v>
      </c>
      <c r="N920" s="312" t="s">
        <v>1803</v>
      </c>
    </row>
    <row r="921" spans="2:14" ht="15.9" customHeight="1" x14ac:dyDescent="0.3">
      <c r="B921" s="351" t="s">
        <v>2053</v>
      </c>
      <c r="C921" s="311" t="s">
        <v>2054</v>
      </c>
      <c r="D921" s="354" t="s">
        <v>2071</v>
      </c>
      <c r="E921" s="315">
        <v>32217652</v>
      </c>
      <c r="F921" s="315" t="s">
        <v>2072</v>
      </c>
      <c r="G921" s="325" t="s">
        <v>2073</v>
      </c>
      <c r="H921" s="335">
        <v>32072210</v>
      </c>
      <c r="I921" s="335" t="str">
        <f>Table5[[#This Row],[ÁREA]]</f>
        <v>Calderas AP</v>
      </c>
      <c r="J921" s="317" t="s">
        <v>2074</v>
      </c>
      <c r="K921" s="325" t="s">
        <v>2075</v>
      </c>
      <c r="L921" s="318">
        <v>8</v>
      </c>
      <c r="M921" s="354" t="s">
        <v>2071</v>
      </c>
      <c r="N921" s="312" t="s">
        <v>1806</v>
      </c>
    </row>
    <row r="922" spans="2:14" ht="15.9" customHeight="1" x14ac:dyDescent="0.3">
      <c r="B922" s="351" t="s">
        <v>2053</v>
      </c>
      <c r="C922" s="311" t="s">
        <v>2076</v>
      </c>
      <c r="D922" s="354" t="s">
        <v>2071</v>
      </c>
      <c r="E922" s="315">
        <v>32217652</v>
      </c>
      <c r="F922" s="315" t="s">
        <v>2072</v>
      </c>
      <c r="G922" s="325" t="s">
        <v>2073</v>
      </c>
      <c r="H922" s="335">
        <v>32224379</v>
      </c>
      <c r="I922" s="335" t="str">
        <f>Table5[[#This Row],[ÁREA]]</f>
        <v>CO2</v>
      </c>
      <c r="J922" s="317" t="s">
        <v>2077</v>
      </c>
      <c r="K922" s="432" t="s">
        <v>61</v>
      </c>
      <c r="L922" s="318">
        <v>8</v>
      </c>
      <c r="M922" s="354" t="s">
        <v>2071</v>
      </c>
      <c r="N922" s="312" t="s">
        <v>1806</v>
      </c>
    </row>
    <row r="923" spans="2:14" ht="15.9" customHeight="1" x14ac:dyDescent="0.3">
      <c r="B923" s="351" t="s">
        <v>2053</v>
      </c>
      <c r="C923" s="311" t="s">
        <v>2078</v>
      </c>
      <c r="D923" s="354" t="s">
        <v>2071</v>
      </c>
      <c r="E923" s="315">
        <v>32217652</v>
      </c>
      <c r="F923" s="315" t="s">
        <v>2072</v>
      </c>
      <c r="G923" s="325" t="s">
        <v>2073</v>
      </c>
      <c r="H923" s="335">
        <v>32045559</v>
      </c>
      <c r="I923" s="335" t="str">
        <f>Table5[[#This Row],[ÁREA]]</f>
        <v xml:space="preserve">Refrigeración </v>
      </c>
      <c r="J923" s="317" t="s">
        <v>2079</v>
      </c>
      <c r="K923" s="325" t="s">
        <v>2080</v>
      </c>
      <c r="L923" s="318">
        <v>8</v>
      </c>
      <c r="M923" s="354" t="s">
        <v>2071</v>
      </c>
      <c r="N923" s="312" t="s">
        <v>1808</v>
      </c>
    </row>
    <row r="924" spans="2:14" ht="15.9" customHeight="1" x14ac:dyDescent="0.3">
      <c r="B924" s="351" t="s">
        <v>2053</v>
      </c>
      <c r="C924" s="311" t="s">
        <v>2081</v>
      </c>
      <c r="D924" s="354" t="s">
        <v>2071</v>
      </c>
      <c r="E924" s="315">
        <v>32217652</v>
      </c>
      <c r="F924" s="315" t="s">
        <v>2072</v>
      </c>
      <c r="G924" s="325" t="s">
        <v>2073</v>
      </c>
      <c r="H924" s="335">
        <v>32043914</v>
      </c>
      <c r="I924" s="335" t="str">
        <f>Table5[[#This Row],[ÁREA]]</f>
        <v>Sistema de aíre</v>
      </c>
      <c r="J924" s="317" t="s">
        <v>2082</v>
      </c>
      <c r="K924" s="431" t="s">
        <v>2083</v>
      </c>
      <c r="L924" s="318">
        <v>8</v>
      </c>
      <c r="M924" s="354" t="s">
        <v>2071</v>
      </c>
      <c r="N924" s="312" t="s">
        <v>128</v>
      </c>
    </row>
    <row r="925" spans="2:14" ht="15.9" customHeight="1" x14ac:dyDescent="0.3">
      <c r="B925" s="351" t="s">
        <v>2053</v>
      </c>
      <c r="C925" s="311" t="s">
        <v>2066</v>
      </c>
      <c r="D925" s="354" t="s">
        <v>2071</v>
      </c>
      <c r="E925" s="315">
        <v>32217652</v>
      </c>
      <c r="F925" s="315" t="s">
        <v>2072</v>
      </c>
      <c r="G925" s="325" t="s">
        <v>2073</v>
      </c>
      <c r="H925" s="335">
        <v>32044817</v>
      </c>
      <c r="I925" s="335" t="str">
        <f>Table5[[#This Row],[ÁREA]]</f>
        <v>Calderas BP</v>
      </c>
      <c r="J925" s="317" t="s">
        <v>2084</v>
      </c>
      <c r="K925" s="325" t="s">
        <v>2085</v>
      </c>
      <c r="L925" s="318">
        <v>8</v>
      </c>
      <c r="M925" s="354" t="s">
        <v>2071</v>
      </c>
      <c r="N925" s="312" t="s">
        <v>1803</v>
      </c>
    </row>
    <row r="926" spans="2:14" ht="15.9" customHeight="1" x14ac:dyDescent="0.3">
      <c r="B926" s="351" t="s">
        <v>2053</v>
      </c>
      <c r="C926" s="311" t="s">
        <v>2060</v>
      </c>
      <c r="D926" s="354" t="s">
        <v>2071</v>
      </c>
      <c r="E926" s="315">
        <v>32217652</v>
      </c>
      <c r="F926" s="315" t="s">
        <v>2072</v>
      </c>
      <c r="G926" s="325" t="s">
        <v>2073</v>
      </c>
      <c r="H926" s="335">
        <v>32155923</v>
      </c>
      <c r="I926" s="335" t="str">
        <f>Table5[[#This Row],[ÁREA]]</f>
        <v>Turbinas</v>
      </c>
      <c r="J926" s="317" t="s">
        <v>2086</v>
      </c>
      <c r="K926" s="431" t="s">
        <v>2087</v>
      </c>
      <c r="L926" s="318">
        <v>8</v>
      </c>
      <c r="M926" s="354" t="s">
        <v>2071</v>
      </c>
      <c r="N926" s="312" t="s">
        <v>1813</v>
      </c>
    </row>
    <row r="927" spans="2:14" ht="15.9" customHeight="1" x14ac:dyDescent="0.3">
      <c r="B927" s="351" t="s">
        <v>2053</v>
      </c>
      <c r="C927" s="311" t="s">
        <v>2060</v>
      </c>
      <c r="D927" s="354" t="s">
        <v>2071</v>
      </c>
      <c r="E927" s="315">
        <v>32217652</v>
      </c>
      <c r="F927" s="315" t="s">
        <v>2072</v>
      </c>
      <c r="G927" s="325" t="s">
        <v>2073</v>
      </c>
      <c r="H927" s="335">
        <v>32043736</v>
      </c>
      <c r="I927" s="335" t="str">
        <f>Table5[[#This Row],[ÁREA]]</f>
        <v>Turbinas</v>
      </c>
      <c r="J927" s="317" t="s">
        <v>2088</v>
      </c>
      <c r="K927" s="325" t="s">
        <v>2089</v>
      </c>
      <c r="L927" s="318">
        <v>8</v>
      </c>
      <c r="M927" s="354" t="s">
        <v>2071</v>
      </c>
      <c r="N927" s="312" t="s">
        <v>125</v>
      </c>
    </row>
    <row r="928" spans="2:14" ht="15.9" customHeight="1" x14ac:dyDescent="0.3">
      <c r="B928" s="351" t="s">
        <v>2053</v>
      </c>
      <c r="C928" s="311" t="s">
        <v>2090</v>
      </c>
      <c r="D928" s="338" t="s">
        <v>2091</v>
      </c>
      <c r="E928" s="318">
        <v>32149492</v>
      </c>
      <c r="F928" s="333" t="s">
        <v>2092</v>
      </c>
      <c r="G928" s="325" t="s">
        <v>2057</v>
      </c>
      <c r="H928" s="335">
        <v>32045424</v>
      </c>
      <c r="I928" s="335" t="str">
        <f>Table5[[#This Row],[ÁREA]]</f>
        <v xml:space="preserve">Sistema de aire </v>
      </c>
      <c r="J928" s="317" t="s">
        <v>2093</v>
      </c>
      <c r="K928" s="325" t="s">
        <v>2094</v>
      </c>
      <c r="L928" s="318">
        <v>7</v>
      </c>
      <c r="M928" s="373" t="s">
        <v>2091</v>
      </c>
      <c r="N928" s="312" t="s">
        <v>1806</v>
      </c>
    </row>
    <row r="929" spans="2:14" ht="15.9" customHeight="1" x14ac:dyDescent="0.3">
      <c r="B929" s="351" t="s">
        <v>2053</v>
      </c>
      <c r="C929" s="352" t="s">
        <v>2095</v>
      </c>
      <c r="D929" s="338" t="s">
        <v>2091</v>
      </c>
      <c r="E929" s="318">
        <v>32149492</v>
      </c>
      <c r="F929" s="333" t="s">
        <v>2092</v>
      </c>
      <c r="G929" s="325" t="s">
        <v>2096</v>
      </c>
      <c r="H929" s="335">
        <v>32043646</v>
      </c>
      <c r="I929" s="335" t="str">
        <f>Table5[[#This Row],[ÁREA]]</f>
        <v>Caldera AP</v>
      </c>
      <c r="J929" s="317" t="s">
        <v>2097</v>
      </c>
      <c r="K929" s="331" t="s">
        <v>2098</v>
      </c>
      <c r="L929" s="354">
        <v>6</v>
      </c>
      <c r="M929" s="373" t="s">
        <v>2091</v>
      </c>
      <c r="N929" s="355" t="s">
        <v>125</v>
      </c>
    </row>
    <row r="930" spans="2:14" ht="15.9" customHeight="1" x14ac:dyDescent="0.3">
      <c r="B930" s="351" t="s">
        <v>2053</v>
      </c>
      <c r="C930" s="352" t="s">
        <v>2090</v>
      </c>
      <c r="D930" s="338" t="s">
        <v>2091</v>
      </c>
      <c r="E930" s="318">
        <v>32149492</v>
      </c>
      <c r="F930" s="333" t="s">
        <v>2092</v>
      </c>
      <c r="G930" s="325" t="s">
        <v>2096</v>
      </c>
      <c r="H930" s="335">
        <v>32231913</v>
      </c>
      <c r="I930" s="335" t="str">
        <f>Table5[[#This Row],[ÁREA]]</f>
        <v xml:space="preserve">Sistema de aire </v>
      </c>
      <c r="J930" s="317" t="s">
        <v>2099</v>
      </c>
      <c r="K930" s="331" t="s">
        <v>2100</v>
      </c>
      <c r="L930" s="318">
        <v>6</v>
      </c>
      <c r="M930" s="373" t="s">
        <v>2091</v>
      </c>
      <c r="N930" s="312" t="s">
        <v>1806</v>
      </c>
    </row>
    <row r="931" spans="2:14" ht="15.9" customHeight="1" x14ac:dyDescent="0.3">
      <c r="B931" s="351" t="s">
        <v>2053</v>
      </c>
      <c r="C931" s="352" t="s">
        <v>2101</v>
      </c>
      <c r="D931" s="338" t="s">
        <v>2091</v>
      </c>
      <c r="E931" s="318">
        <v>32149492</v>
      </c>
      <c r="F931" s="333" t="s">
        <v>2092</v>
      </c>
      <c r="G931" s="325" t="s">
        <v>2096</v>
      </c>
      <c r="H931" s="335">
        <v>32044344</v>
      </c>
      <c r="I931" s="335" t="str">
        <f>Table5[[#This Row],[ÁREA]]</f>
        <v>Caldera BP</v>
      </c>
      <c r="J931" s="317" t="s">
        <v>2102</v>
      </c>
      <c r="K931" s="325" t="s">
        <v>2103</v>
      </c>
      <c r="L931" s="318">
        <v>6</v>
      </c>
      <c r="M931" s="373" t="s">
        <v>2091</v>
      </c>
      <c r="N931" s="312" t="s">
        <v>1813</v>
      </c>
    </row>
    <row r="932" spans="2:14" ht="15.9" customHeight="1" x14ac:dyDescent="0.3">
      <c r="B932" s="351" t="s">
        <v>2053</v>
      </c>
      <c r="C932" s="352" t="s">
        <v>2076</v>
      </c>
      <c r="D932" s="338" t="s">
        <v>2091</v>
      </c>
      <c r="E932" s="318">
        <v>32149492</v>
      </c>
      <c r="F932" s="333" t="s">
        <v>2092</v>
      </c>
      <c r="G932" s="325" t="s">
        <v>2096</v>
      </c>
      <c r="H932" s="335">
        <v>32044492</v>
      </c>
      <c r="I932" s="335" t="str">
        <f>Table5[[#This Row],[ÁREA]]</f>
        <v>CO2</v>
      </c>
      <c r="J932" s="317" t="s">
        <v>2104</v>
      </c>
      <c r="K932" s="325" t="s">
        <v>2105</v>
      </c>
      <c r="L932" s="318">
        <v>6</v>
      </c>
      <c r="M932" s="373" t="s">
        <v>2091</v>
      </c>
      <c r="N932" s="312" t="s">
        <v>1803</v>
      </c>
    </row>
    <row r="933" spans="2:14" ht="15.9" customHeight="1" x14ac:dyDescent="0.3">
      <c r="B933" s="351" t="s">
        <v>2053</v>
      </c>
      <c r="C933" s="311" t="s">
        <v>2060</v>
      </c>
      <c r="D933" s="317" t="s">
        <v>2091</v>
      </c>
      <c r="E933" s="318">
        <v>32149492</v>
      </c>
      <c r="F933" s="333" t="s">
        <v>2092</v>
      </c>
      <c r="G933" s="325" t="s">
        <v>2096</v>
      </c>
      <c r="H933" s="335">
        <v>32043771</v>
      </c>
      <c r="I933" s="335" t="str">
        <f>Table5[[#This Row],[ÁREA]]</f>
        <v>Turbinas</v>
      </c>
      <c r="J933" s="317" t="s">
        <v>2106</v>
      </c>
      <c r="K933" s="331" t="s">
        <v>2107</v>
      </c>
      <c r="L933" s="318">
        <v>6</v>
      </c>
      <c r="M933" s="318" t="s">
        <v>2091</v>
      </c>
      <c r="N933" s="312" t="s">
        <v>1808</v>
      </c>
    </row>
    <row r="934" spans="2:14" ht="15.9" customHeight="1" x14ac:dyDescent="0.3">
      <c r="B934" s="351" t="s">
        <v>2053</v>
      </c>
      <c r="C934" s="311" t="s">
        <v>2060</v>
      </c>
      <c r="D934" s="317" t="s">
        <v>2091</v>
      </c>
      <c r="E934" s="318">
        <v>32149492</v>
      </c>
      <c r="F934" s="333" t="s">
        <v>2092</v>
      </c>
      <c r="G934" s="325" t="s">
        <v>2096</v>
      </c>
      <c r="H934" s="335">
        <v>32043979</v>
      </c>
      <c r="I934" s="335" t="str">
        <f>Table5[[#This Row],[ÁREA]]</f>
        <v>Turbinas</v>
      </c>
      <c r="J934" s="317" t="s">
        <v>2108</v>
      </c>
      <c r="K934" s="325" t="s">
        <v>2109</v>
      </c>
      <c r="L934" s="318">
        <v>6</v>
      </c>
      <c r="M934" s="318" t="s">
        <v>2091</v>
      </c>
      <c r="N934" s="312" t="s">
        <v>1810</v>
      </c>
    </row>
    <row r="935" spans="2:14" ht="15.9" customHeight="1" x14ac:dyDescent="0.3">
      <c r="B935" s="351" t="s">
        <v>2053</v>
      </c>
      <c r="C935" s="311" t="s">
        <v>2060</v>
      </c>
      <c r="D935" s="318" t="s">
        <v>2110</v>
      </c>
      <c r="E935" s="315">
        <v>32069642</v>
      </c>
      <c r="F935" s="315" t="s">
        <v>2111</v>
      </c>
      <c r="G935" s="325" t="s">
        <v>2112</v>
      </c>
      <c r="H935" s="335">
        <v>32145467</v>
      </c>
      <c r="I935" s="335" t="str">
        <f>Table5[[#This Row],[ÁREA]]</f>
        <v>Turbinas</v>
      </c>
      <c r="J935" s="317" t="s">
        <v>2113</v>
      </c>
      <c r="K935" s="325" t="s">
        <v>61</v>
      </c>
      <c r="L935" s="318">
        <v>7</v>
      </c>
      <c r="M935" s="318" t="s">
        <v>2110</v>
      </c>
      <c r="N935" s="312" t="s">
        <v>1803</v>
      </c>
    </row>
    <row r="936" spans="2:14" ht="15.9" customHeight="1" x14ac:dyDescent="0.3">
      <c r="B936" s="351" t="s">
        <v>2053</v>
      </c>
      <c r="C936" s="311" t="s">
        <v>2063</v>
      </c>
      <c r="D936" s="318" t="s">
        <v>2110</v>
      </c>
      <c r="E936" s="315">
        <v>32069642</v>
      </c>
      <c r="F936" s="315" t="s">
        <v>2111</v>
      </c>
      <c r="G936" s="325" t="s">
        <v>2112</v>
      </c>
      <c r="H936" s="335">
        <v>32043741</v>
      </c>
      <c r="I936" s="335" t="str">
        <f>Table5[[#This Row],[ÁREA]]</f>
        <v>Refrigeración</v>
      </c>
      <c r="J936" s="317" t="s">
        <v>2114</v>
      </c>
      <c r="K936" s="325" t="s">
        <v>2115</v>
      </c>
      <c r="L936" s="318">
        <v>7</v>
      </c>
      <c r="M936" s="318" t="s">
        <v>2110</v>
      </c>
      <c r="N936" s="312" t="s">
        <v>1803</v>
      </c>
    </row>
    <row r="937" spans="2:14" ht="15.9" customHeight="1" x14ac:dyDescent="0.3">
      <c r="B937" s="351" t="s">
        <v>2053</v>
      </c>
      <c r="C937" s="311" t="s">
        <v>2116</v>
      </c>
      <c r="D937" s="318" t="s">
        <v>2110</v>
      </c>
      <c r="E937" s="315">
        <v>32069642</v>
      </c>
      <c r="F937" s="315" t="s">
        <v>2111</v>
      </c>
      <c r="G937" s="325" t="s">
        <v>2112</v>
      </c>
      <c r="H937" s="335">
        <v>32043799</v>
      </c>
      <c r="I937" s="335" t="str">
        <f>Table5[[#This Row],[ÁREA]]</f>
        <v xml:space="preserve">Turbinas </v>
      </c>
      <c r="J937" s="317" t="s">
        <v>2117</v>
      </c>
      <c r="K937" s="325" t="s">
        <v>2118</v>
      </c>
      <c r="L937" s="318">
        <v>7</v>
      </c>
      <c r="M937" s="318" t="s">
        <v>2110</v>
      </c>
      <c r="N937" s="312" t="s">
        <v>1806</v>
      </c>
    </row>
    <row r="938" spans="2:14" ht="15.9" customHeight="1" x14ac:dyDescent="0.3">
      <c r="B938" s="351" t="s">
        <v>2053</v>
      </c>
      <c r="C938" s="311" t="s">
        <v>2054</v>
      </c>
      <c r="D938" s="318" t="s">
        <v>2110</v>
      </c>
      <c r="E938" s="315">
        <v>32069642</v>
      </c>
      <c r="F938" s="315" t="s">
        <v>2111</v>
      </c>
      <c r="G938" s="325" t="s">
        <v>2112</v>
      </c>
      <c r="H938" s="374">
        <v>32043860</v>
      </c>
      <c r="I938" s="374" t="str">
        <f>Table5[[#This Row],[ÁREA]]</f>
        <v>Calderas AP</v>
      </c>
      <c r="J938" s="338" t="s">
        <v>2119</v>
      </c>
      <c r="K938" s="325" t="s">
        <v>2120</v>
      </c>
      <c r="L938" s="354">
        <v>7</v>
      </c>
      <c r="M938" s="318" t="s">
        <v>2110</v>
      </c>
      <c r="N938" s="355" t="s">
        <v>1808</v>
      </c>
    </row>
    <row r="939" spans="2:14" ht="15.9" customHeight="1" x14ac:dyDescent="0.3">
      <c r="B939" s="351" t="s">
        <v>2053</v>
      </c>
      <c r="C939" s="311" t="s">
        <v>2054</v>
      </c>
      <c r="D939" s="354" t="s">
        <v>2110</v>
      </c>
      <c r="E939" s="315">
        <v>32069642</v>
      </c>
      <c r="F939" s="315" t="s">
        <v>2111</v>
      </c>
      <c r="G939" s="325" t="s">
        <v>2112</v>
      </c>
      <c r="H939" s="374">
        <v>32045871</v>
      </c>
      <c r="I939" s="374" t="str">
        <f>Table5[[#This Row],[ÁREA]]</f>
        <v>Calderas AP</v>
      </c>
      <c r="J939" s="338" t="s">
        <v>2121</v>
      </c>
      <c r="K939" s="331" t="s">
        <v>2122</v>
      </c>
      <c r="L939" s="354">
        <v>7</v>
      </c>
      <c r="M939" s="318" t="s">
        <v>2110</v>
      </c>
      <c r="N939" s="355" t="s">
        <v>1810</v>
      </c>
    </row>
    <row r="940" spans="2:14" ht="15.9" customHeight="1" x14ac:dyDescent="0.3">
      <c r="B940" s="351" t="s">
        <v>2053</v>
      </c>
      <c r="C940" s="311" t="s">
        <v>2076</v>
      </c>
      <c r="D940" s="354" t="s">
        <v>2110</v>
      </c>
      <c r="E940" s="315">
        <v>32069642</v>
      </c>
      <c r="F940" s="315" t="s">
        <v>2111</v>
      </c>
      <c r="G940" s="325" t="s">
        <v>2112</v>
      </c>
      <c r="H940" s="335">
        <v>32043908</v>
      </c>
      <c r="I940" s="335" t="str">
        <f>Table5[[#This Row],[ÁREA]]</f>
        <v>CO2</v>
      </c>
      <c r="J940" s="317" t="s">
        <v>2123</v>
      </c>
      <c r="K940" s="331" t="s">
        <v>2124</v>
      </c>
      <c r="L940" s="318">
        <v>7</v>
      </c>
      <c r="M940" s="318" t="s">
        <v>2110</v>
      </c>
      <c r="N940" s="312" t="s">
        <v>125</v>
      </c>
    </row>
    <row r="941" spans="2:14" ht="15.9" customHeight="1" x14ac:dyDescent="0.3">
      <c r="B941" s="351" t="s">
        <v>2053</v>
      </c>
      <c r="C941" s="311" t="s">
        <v>2076</v>
      </c>
      <c r="D941" s="354" t="s">
        <v>2110</v>
      </c>
      <c r="E941" s="315">
        <v>32069642</v>
      </c>
      <c r="F941" s="436" t="s">
        <v>2111</v>
      </c>
      <c r="G941" s="325" t="s">
        <v>2112</v>
      </c>
      <c r="H941" s="374">
        <v>32043916</v>
      </c>
      <c r="I941" s="374" t="str">
        <f>Table5[[#This Row],[ÁREA]]</f>
        <v>CO2</v>
      </c>
      <c r="J941" s="338" t="s">
        <v>2125</v>
      </c>
      <c r="K941" s="325" t="s">
        <v>2126</v>
      </c>
      <c r="L941" s="354">
        <v>7</v>
      </c>
      <c r="M941" s="318" t="s">
        <v>2110</v>
      </c>
      <c r="N941" s="355" t="s">
        <v>1813</v>
      </c>
    </row>
    <row r="942" spans="2:14" ht="15.9" customHeight="1" x14ac:dyDescent="0.3">
      <c r="B942" s="332" t="s">
        <v>2127</v>
      </c>
      <c r="C942" s="311" t="s">
        <v>2128</v>
      </c>
      <c r="D942" s="318" t="s">
        <v>2129</v>
      </c>
      <c r="E942" s="318">
        <v>32045873</v>
      </c>
      <c r="F942" s="333" t="s">
        <v>2130</v>
      </c>
      <c r="G942" s="437"/>
      <c r="H942" s="438">
        <v>32044330</v>
      </c>
      <c r="I942" s="337" t="s">
        <v>2128</v>
      </c>
      <c r="J942" s="317" t="s">
        <v>2131</v>
      </c>
      <c r="K942" s="338"/>
      <c r="L942" s="318">
        <v>6</v>
      </c>
      <c r="M942" s="338" t="s">
        <v>2129</v>
      </c>
      <c r="N942" s="318" t="s">
        <v>44</v>
      </c>
    </row>
    <row r="943" spans="2:14" ht="15.9" customHeight="1" x14ac:dyDescent="0.3">
      <c r="B943" s="332" t="s">
        <v>2127</v>
      </c>
      <c r="C943" s="311" t="s">
        <v>2128</v>
      </c>
      <c r="D943" s="318" t="s">
        <v>2129</v>
      </c>
      <c r="E943" s="318">
        <v>32045873</v>
      </c>
      <c r="F943" s="333" t="s">
        <v>2130</v>
      </c>
      <c r="G943" s="437"/>
      <c r="H943" s="337">
        <v>32045130</v>
      </c>
      <c r="I943" s="337" t="s">
        <v>2128</v>
      </c>
      <c r="J943" s="317" t="s">
        <v>2132</v>
      </c>
      <c r="K943" s="338"/>
      <c r="L943" s="318">
        <v>6</v>
      </c>
      <c r="M943" s="338" t="s">
        <v>2129</v>
      </c>
      <c r="N943" s="318" t="s">
        <v>179</v>
      </c>
    </row>
    <row r="944" spans="2:14" ht="15.9" customHeight="1" x14ac:dyDescent="0.3">
      <c r="B944" s="332" t="s">
        <v>2127</v>
      </c>
      <c r="C944" s="311" t="s">
        <v>2128</v>
      </c>
      <c r="D944" s="318" t="s">
        <v>2129</v>
      </c>
      <c r="E944" s="318">
        <v>32045873</v>
      </c>
      <c r="F944" s="333" t="s">
        <v>2130</v>
      </c>
      <c r="G944" s="437"/>
      <c r="H944" s="337">
        <v>32045845</v>
      </c>
      <c r="I944" s="337" t="s">
        <v>2128</v>
      </c>
      <c r="J944" s="317" t="s">
        <v>2133</v>
      </c>
      <c r="K944" s="338"/>
      <c r="L944" s="318">
        <v>6</v>
      </c>
      <c r="M944" s="338" t="s">
        <v>2129</v>
      </c>
      <c r="N944" s="318" t="s">
        <v>1</v>
      </c>
    </row>
    <row r="945" spans="2:14" ht="15.9" customHeight="1" x14ac:dyDescent="0.3">
      <c r="B945" s="332" t="s">
        <v>2127</v>
      </c>
      <c r="C945" s="311" t="s">
        <v>2128</v>
      </c>
      <c r="D945" s="318" t="s">
        <v>2129</v>
      </c>
      <c r="E945" s="318">
        <v>32045873</v>
      </c>
      <c r="F945" s="333" t="s">
        <v>2130</v>
      </c>
      <c r="G945" s="437"/>
      <c r="H945" s="337">
        <v>32045921</v>
      </c>
      <c r="I945" s="337" t="s">
        <v>2128</v>
      </c>
      <c r="J945" s="317" t="s">
        <v>2134</v>
      </c>
      <c r="K945" s="338"/>
      <c r="L945" s="318">
        <v>6</v>
      </c>
      <c r="M945" s="338" t="s">
        <v>2129</v>
      </c>
      <c r="N945" s="318" t="s">
        <v>47</v>
      </c>
    </row>
    <row r="946" spans="2:14" ht="15.9" customHeight="1" x14ac:dyDescent="0.3">
      <c r="B946" s="332" t="s">
        <v>2127</v>
      </c>
      <c r="C946" s="311" t="s">
        <v>2128</v>
      </c>
      <c r="D946" s="318" t="s">
        <v>2129</v>
      </c>
      <c r="E946" s="318">
        <v>32045873</v>
      </c>
      <c r="F946" s="333" t="s">
        <v>2130</v>
      </c>
      <c r="G946" s="437"/>
      <c r="H946" s="337">
        <v>32045091</v>
      </c>
      <c r="I946" s="337" t="s">
        <v>2128</v>
      </c>
      <c r="J946" s="317" t="s">
        <v>2135</v>
      </c>
      <c r="K946" s="338"/>
      <c r="L946" s="318">
        <v>6</v>
      </c>
      <c r="M946" s="338" t="s">
        <v>2129</v>
      </c>
      <c r="N946" s="318" t="s">
        <v>35</v>
      </c>
    </row>
    <row r="947" spans="2:14" ht="15.9" customHeight="1" x14ac:dyDescent="0.3">
      <c r="B947" s="332" t="s">
        <v>2127</v>
      </c>
      <c r="C947" s="311" t="s">
        <v>2128</v>
      </c>
      <c r="D947" s="318" t="s">
        <v>2129</v>
      </c>
      <c r="E947" s="318">
        <v>32045873</v>
      </c>
      <c r="F947" s="333" t="s">
        <v>2130</v>
      </c>
      <c r="G947" s="437"/>
      <c r="H947" s="337">
        <v>32044256</v>
      </c>
      <c r="I947" s="337" t="s">
        <v>2128</v>
      </c>
      <c r="J947" s="317" t="s">
        <v>2136</v>
      </c>
      <c r="K947" s="338"/>
      <c r="L947" s="318">
        <v>6</v>
      </c>
      <c r="M947" s="338" t="s">
        <v>2129</v>
      </c>
      <c r="N947" s="318" t="s">
        <v>41</v>
      </c>
    </row>
    <row r="948" spans="2:14" ht="15.9" customHeight="1" x14ac:dyDescent="0.3">
      <c r="B948" s="332" t="s">
        <v>2127</v>
      </c>
      <c r="C948" s="311" t="s">
        <v>2128</v>
      </c>
      <c r="D948" s="318" t="s">
        <v>2137</v>
      </c>
      <c r="E948" s="318">
        <v>32146124</v>
      </c>
      <c r="F948" s="333" t="s">
        <v>2138</v>
      </c>
      <c r="G948" s="437"/>
      <c r="H948" s="337">
        <v>32146675</v>
      </c>
      <c r="I948" s="337" t="s">
        <v>2128</v>
      </c>
      <c r="J948" s="317" t="s">
        <v>2139</v>
      </c>
      <c r="K948" s="338"/>
      <c r="L948" s="318">
        <v>7</v>
      </c>
      <c r="M948" s="338" t="s">
        <v>2137</v>
      </c>
      <c r="N948" s="318" t="s">
        <v>41</v>
      </c>
    </row>
    <row r="949" spans="2:14" ht="15.9" customHeight="1" x14ac:dyDescent="0.3">
      <c r="B949" s="332" t="s">
        <v>2127</v>
      </c>
      <c r="C949" s="311" t="s">
        <v>2128</v>
      </c>
      <c r="D949" s="318" t="s">
        <v>2137</v>
      </c>
      <c r="E949" s="318">
        <v>32146124</v>
      </c>
      <c r="F949" s="333" t="s">
        <v>2138</v>
      </c>
      <c r="G949" s="437"/>
      <c r="H949" s="337">
        <v>32044548</v>
      </c>
      <c r="I949" s="337" t="s">
        <v>2128</v>
      </c>
      <c r="J949" s="317" t="s">
        <v>2140</v>
      </c>
      <c r="K949" s="338"/>
      <c r="L949" s="318">
        <v>7</v>
      </c>
      <c r="M949" s="338" t="s">
        <v>2137</v>
      </c>
      <c r="N949" s="318" t="s">
        <v>44</v>
      </c>
    </row>
    <row r="950" spans="2:14" ht="15.9" customHeight="1" x14ac:dyDescent="0.3">
      <c r="B950" s="332" t="s">
        <v>2127</v>
      </c>
      <c r="C950" s="311" t="s">
        <v>2128</v>
      </c>
      <c r="D950" s="318" t="s">
        <v>2137</v>
      </c>
      <c r="E950" s="318">
        <v>32146124</v>
      </c>
      <c r="F950" s="333" t="s">
        <v>2138</v>
      </c>
      <c r="G950" s="437"/>
      <c r="H950" s="337">
        <v>32044763</v>
      </c>
      <c r="I950" s="337" t="s">
        <v>2128</v>
      </c>
      <c r="J950" s="317" t="s">
        <v>2141</v>
      </c>
      <c r="K950" s="338"/>
      <c r="L950" s="318">
        <v>7</v>
      </c>
      <c r="M950" s="338" t="s">
        <v>2137</v>
      </c>
      <c r="N950" s="318" t="s">
        <v>35</v>
      </c>
    </row>
    <row r="951" spans="2:14" ht="15.9" customHeight="1" x14ac:dyDescent="0.3">
      <c r="B951" s="332" t="s">
        <v>2127</v>
      </c>
      <c r="C951" s="311" t="s">
        <v>2128</v>
      </c>
      <c r="D951" s="318" t="s">
        <v>2137</v>
      </c>
      <c r="E951" s="318">
        <v>32146124</v>
      </c>
      <c r="F951" s="333" t="s">
        <v>2138</v>
      </c>
      <c r="G951" s="437"/>
      <c r="H951" s="337">
        <v>32138750</v>
      </c>
      <c r="I951" s="337" t="s">
        <v>2128</v>
      </c>
      <c r="J951" s="317" t="s">
        <v>2142</v>
      </c>
      <c r="K951" s="338"/>
      <c r="L951" s="318">
        <v>7</v>
      </c>
      <c r="M951" s="338" t="s">
        <v>2137</v>
      </c>
      <c r="N951" s="318" t="s">
        <v>179</v>
      </c>
    </row>
    <row r="952" spans="2:14" ht="15.9" customHeight="1" x14ac:dyDescent="0.3">
      <c r="B952" s="332" t="s">
        <v>2127</v>
      </c>
      <c r="C952" s="311" t="s">
        <v>2128</v>
      </c>
      <c r="D952" s="318" t="s">
        <v>2137</v>
      </c>
      <c r="E952" s="318">
        <v>32146124</v>
      </c>
      <c r="F952" s="333" t="s">
        <v>2138</v>
      </c>
      <c r="G952" s="437"/>
      <c r="H952" s="337">
        <v>32045259</v>
      </c>
      <c r="I952" s="337" t="s">
        <v>2128</v>
      </c>
      <c r="J952" s="317" t="s">
        <v>2143</v>
      </c>
      <c r="K952" s="338"/>
      <c r="L952" s="318">
        <v>7</v>
      </c>
      <c r="M952" s="338" t="s">
        <v>2137</v>
      </c>
      <c r="N952" s="318" t="s">
        <v>1</v>
      </c>
    </row>
    <row r="953" spans="2:14" ht="15.9" customHeight="1" x14ac:dyDescent="0.3">
      <c r="B953" s="332" t="s">
        <v>2127</v>
      </c>
      <c r="C953" s="311" t="s">
        <v>2128</v>
      </c>
      <c r="D953" s="318" t="s">
        <v>2137</v>
      </c>
      <c r="E953" s="318">
        <v>32146124</v>
      </c>
      <c r="F953" s="333" t="s">
        <v>2138</v>
      </c>
      <c r="G953" s="437"/>
      <c r="H953" s="337">
        <v>32138740</v>
      </c>
      <c r="I953" s="337" t="s">
        <v>2128</v>
      </c>
      <c r="J953" s="317" t="s">
        <v>2144</v>
      </c>
      <c r="K953" s="338"/>
      <c r="L953" s="318">
        <v>7</v>
      </c>
      <c r="M953" s="338" t="s">
        <v>2137</v>
      </c>
      <c r="N953" s="318" t="s">
        <v>2145</v>
      </c>
    </row>
    <row r="954" spans="2:14" ht="15.9" customHeight="1" x14ac:dyDescent="0.3">
      <c r="B954" s="332" t="s">
        <v>2127</v>
      </c>
      <c r="C954" s="311" t="s">
        <v>2128</v>
      </c>
      <c r="D954" s="318" t="s">
        <v>2137</v>
      </c>
      <c r="E954" s="318">
        <v>32146124</v>
      </c>
      <c r="F954" s="333" t="s">
        <v>2138</v>
      </c>
      <c r="G954" s="437"/>
      <c r="H954" s="337">
        <v>32045971</v>
      </c>
      <c r="I954" s="337" t="s">
        <v>2128</v>
      </c>
      <c r="J954" s="317" t="s">
        <v>2146</v>
      </c>
      <c r="K954" s="338"/>
      <c r="L954" s="318">
        <v>7</v>
      </c>
      <c r="M954" s="338" t="s">
        <v>2137</v>
      </c>
      <c r="N954" s="318" t="s">
        <v>47</v>
      </c>
    </row>
    <row r="955" spans="2:14" ht="15.9" customHeight="1" x14ac:dyDescent="0.3">
      <c r="B955" s="332" t="s">
        <v>2127</v>
      </c>
      <c r="C955" s="311" t="s">
        <v>2128</v>
      </c>
      <c r="D955" s="318" t="s">
        <v>2147</v>
      </c>
      <c r="E955" s="318">
        <v>32151314</v>
      </c>
      <c r="F955" s="333" t="s">
        <v>2148</v>
      </c>
      <c r="G955" s="437"/>
      <c r="H955" s="337">
        <v>32044398</v>
      </c>
      <c r="I955" s="337" t="s">
        <v>2128</v>
      </c>
      <c r="J955" s="317" t="s">
        <v>2149</v>
      </c>
      <c r="K955" s="338"/>
      <c r="L955" s="318">
        <v>4</v>
      </c>
      <c r="M955" s="338" t="s">
        <v>2147</v>
      </c>
      <c r="N955" s="318" t="s">
        <v>41</v>
      </c>
    </row>
    <row r="956" spans="2:14" ht="15.9" customHeight="1" x14ac:dyDescent="0.3">
      <c r="B956" s="332" t="s">
        <v>2127</v>
      </c>
      <c r="C956" s="311" t="s">
        <v>2128</v>
      </c>
      <c r="D956" s="318" t="s">
        <v>2147</v>
      </c>
      <c r="E956" s="318">
        <v>32151314</v>
      </c>
      <c r="F956" s="333" t="s">
        <v>2148</v>
      </c>
      <c r="G956" s="437"/>
      <c r="H956" s="337">
        <v>32044531</v>
      </c>
      <c r="I956" s="337" t="s">
        <v>2128</v>
      </c>
      <c r="J956" s="317" t="s">
        <v>2150</v>
      </c>
      <c r="K956" s="338"/>
      <c r="L956" s="318">
        <v>4</v>
      </c>
      <c r="M956" s="338" t="s">
        <v>2147</v>
      </c>
      <c r="N956" s="318" t="s">
        <v>44</v>
      </c>
    </row>
    <row r="957" spans="2:14" ht="15.9" customHeight="1" x14ac:dyDescent="0.3">
      <c r="B957" s="332" t="s">
        <v>2127</v>
      </c>
      <c r="C957" s="311" t="s">
        <v>2128</v>
      </c>
      <c r="D957" s="318" t="s">
        <v>2147</v>
      </c>
      <c r="E957" s="318">
        <v>32151314</v>
      </c>
      <c r="F957" s="333" t="s">
        <v>2148</v>
      </c>
      <c r="G957" s="437"/>
      <c r="H957" s="337">
        <v>32044617</v>
      </c>
      <c r="I957" s="337" t="s">
        <v>2128</v>
      </c>
      <c r="J957" s="317" t="s">
        <v>2151</v>
      </c>
      <c r="K957" s="338"/>
      <c r="L957" s="318">
        <v>4</v>
      </c>
      <c r="M957" s="338" t="s">
        <v>2147</v>
      </c>
      <c r="N957" s="318" t="s">
        <v>179</v>
      </c>
    </row>
    <row r="958" spans="2:14" ht="15.9" customHeight="1" x14ac:dyDescent="0.3">
      <c r="B958" s="332" t="s">
        <v>2127</v>
      </c>
      <c r="C958" s="311" t="s">
        <v>2128</v>
      </c>
      <c r="D958" s="318" t="s">
        <v>2147</v>
      </c>
      <c r="E958" s="318">
        <v>32151314</v>
      </c>
      <c r="F958" s="333" t="s">
        <v>2148</v>
      </c>
      <c r="G958" s="437"/>
      <c r="H958" s="337">
        <v>32044635</v>
      </c>
      <c r="I958" s="337" t="s">
        <v>2128</v>
      </c>
      <c r="J958" s="317" t="s">
        <v>2152</v>
      </c>
      <c r="K958" s="338"/>
      <c r="L958" s="318">
        <v>4</v>
      </c>
      <c r="M958" s="338" t="s">
        <v>2147</v>
      </c>
      <c r="N958" s="318" t="s">
        <v>35</v>
      </c>
    </row>
    <row r="959" spans="2:14" ht="15.9" customHeight="1" x14ac:dyDescent="0.3">
      <c r="B959" s="332" t="s">
        <v>2127</v>
      </c>
      <c r="C959" s="311" t="s">
        <v>2128</v>
      </c>
      <c r="D959" s="318" t="s">
        <v>2153</v>
      </c>
      <c r="E959" s="318">
        <v>32055317</v>
      </c>
      <c r="F959" s="333" t="s">
        <v>2154</v>
      </c>
      <c r="G959" s="437"/>
      <c r="H959" s="337">
        <v>32044526</v>
      </c>
      <c r="I959" s="337" t="s">
        <v>2128</v>
      </c>
      <c r="J959" s="317" t="s">
        <v>2155</v>
      </c>
      <c r="K959" s="338"/>
      <c r="L959" s="318">
        <v>7</v>
      </c>
      <c r="M959" s="338" t="s">
        <v>2153</v>
      </c>
      <c r="N959" s="318" t="s">
        <v>179</v>
      </c>
    </row>
    <row r="960" spans="2:14" ht="15.9" customHeight="1" x14ac:dyDescent="0.3">
      <c r="B960" s="332" t="s">
        <v>2127</v>
      </c>
      <c r="C960" s="311" t="s">
        <v>2128</v>
      </c>
      <c r="D960" s="318" t="s">
        <v>2153</v>
      </c>
      <c r="E960" s="318">
        <v>32055317</v>
      </c>
      <c r="F960" s="333" t="s">
        <v>2154</v>
      </c>
      <c r="G960" s="437"/>
      <c r="H960" s="337">
        <v>32044441</v>
      </c>
      <c r="I960" s="337" t="s">
        <v>2128</v>
      </c>
      <c r="J960" s="317" t="s">
        <v>2156</v>
      </c>
      <c r="K960" s="338"/>
      <c r="L960" s="318">
        <v>7</v>
      </c>
      <c r="M960" s="338" t="s">
        <v>2153</v>
      </c>
      <c r="N960" s="318" t="s">
        <v>44</v>
      </c>
    </row>
    <row r="961" spans="2:14" ht="15.9" customHeight="1" x14ac:dyDescent="0.3">
      <c r="B961" s="332" t="s">
        <v>2127</v>
      </c>
      <c r="C961" s="311" t="s">
        <v>2128</v>
      </c>
      <c r="D961" s="318" t="s">
        <v>2153</v>
      </c>
      <c r="E961" s="318">
        <v>32055317</v>
      </c>
      <c r="F961" s="333" t="s">
        <v>2154</v>
      </c>
      <c r="G961" s="437"/>
      <c r="H961" s="337">
        <v>32046677</v>
      </c>
      <c r="I961" s="337" t="s">
        <v>2128</v>
      </c>
      <c r="J961" s="317" t="s">
        <v>2157</v>
      </c>
      <c r="K961" s="338"/>
      <c r="L961" s="318">
        <v>7</v>
      </c>
      <c r="M961" s="338" t="s">
        <v>2153</v>
      </c>
      <c r="N961" s="318" t="s">
        <v>511</v>
      </c>
    </row>
    <row r="962" spans="2:14" ht="15.9" customHeight="1" x14ac:dyDescent="0.3">
      <c r="B962" s="332" t="s">
        <v>2127</v>
      </c>
      <c r="C962" s="311" t="s">
        <v>2128</v>
      </c>
      <c r="D962" s="318" t="s">
        <v>2153</v>
      </c>
      <c r="E962" s="318">
        <v>32055317</v>
      </c>
      <c r="F962" s="333" t="s">
        <v>2154</v>
      </c>
      <c r="G962" s="437"/>
      <c r="H962" s="337">
        <v>32149469</v>
      </c>
      <c r="I962" s="337" t="s">
        <v>2128</v>
      </c>
      <c r="J962" s="317" t="s">
        <v>2158</v>
      </c>
      <c r="K962" s="338"/>
      <c r="L962" s="318">
        <v>7</v>
      </c>
      <c r="M962" s="338" t="s">
        <v>2153</v>
      </c>
      <c r="N962" s="318" t="s">
        <v>35</v>
      </c>
    </row>
    <row r="963" spans="2:14" ht="15.9" customHeight="1" x14ac:dyDescent="0.3">
      <c r="B963" s="332" t="s">
        <v>2127</v>
      </c>
      <c r="C963" s="311" t="s">
        <v>2128</v>
      </c>
      <c r="D963" s="318" t="s">
        <v>2153</v>
      </c>
      <c r="E963" s="318">
        <v>32055317</v>
      </c>
      <c r="F963" s="333" t="s">
        <v>2154</v>
      </c>
      <c r="G963" s="437"/>
      <c r="H963" s="337">
        <v>32044223</v>
      </c>
      <c r="I963" s="337" t="s">
        <v>2128</v>
      </c>
      <c r="J963" s="317" t="s">
        <v>2159</v>
      </c>
      <c r="K963" s="338"/>
      <c r="L963" s="318">
        <v>7</v>
      </c>
      <c r="M963" s="338" t="s">
        <v>2153</v>
      </c>
      <c r="N963" s="318" t="s">
        <v>1</v>
      </c>
    </row>
    <row r="964" spans="2:14" ht="15.9" customHeight="1" x14ac:dyDescent="0.3">
      <c r="B964" s="332" t="s">
        <v>2127</v>
      </c>
      <c r="C964" s="311" t="s">
        <v>2128</v>
      </c>
      <c r="D964" s="318" t="s">
        <v>2153</v>
      </c>
      <c r="E964" s="318">
        <v>32055317</v>
      </c>
      <c r="F964" s="333" t="s">
        <v>2154</v>
      </c>
      <c r="G964" s="437"/>
      <c r="H964" s="337">
        <v>32044825</v>
      </c>
      <c r="I964" s="337" t="s">
        <v>2128</v>
      </c>
      <c r="J964" s="317" t="s">
        <v>2160</v>
      </c>
      <c r="K964" s="338"/>
      <c r="L964" s="318">
        <v>7</v>
      </c>
      <c r="M964" s="338" t="s">
        <v>2153</v>
      </c>
      <c r="N964" s="318" t="s">
        <v>41</v>
      </c>
    </row>
    <row r="965" spans="2:14" ht="15.9" customHeight="1" x14ac:dyDescent="0.3">
      <c r="B965" s="332" t="s">
        <v>2127</v>
      </c>
      <c r="C965" s="311" t="s">
        <v>2128</v>
      </c>
      <c r="D965" s="318" t="s">
        <v>2153</v>
      </c>
      <c r="E965" s="318">
        <v>32055317</v>
      </c>
      <c r="F965" s="333" t="s">
        <v>2154</v>
      </c>
      <c r="G965" s="437"/>
      <c r="H965" s="337">
        <v>32044065</v>
      </c>
      <c r="I965" s="337" t="s">
        <v>2128</v>
      </c>
      <c r="J965" s="317" t="s">
        <v>2161</v>
      </c>
      <c r="K965" s="338"/>
      <c r="L965" s="318">
        <v>7</v>
      </c>
      <c r="M965" s="338" t="s">
        <v>2153</v>
      </c>
      <c r="N965" s="318" t="s">
        <v>47</v>
      </c>
    </row>
    <row r="966" spans="2:14" ht="15.9" customHeight="1" x14ac:dyDescent="0.3">
      <c r="B966" s="332" t="s">
        <v>2127</v>
      </c>
      <c r="C966" s="311" t="s">
        <v>2128</v>
      </c>
      <c r="D966" s="318" t="s">
        <v>2162</v>
      </c>
      <c r="E966" s="318">
        <v>32172000</v>
      </c>
      <c r="F966" s="333" t="s">
        <v>2163</v>
      </c>
      <c r="G966" s="437"/>
      <c r="H966" s="337">
        <v>32044803</v>
      </c>
      <c r="I966" s="337" t="s">
        <v>2128</v>
      </c>
      <c r="J966" s="317" t="s">
        <v>2164</v>
      </c>
      <c r="K966" s="338"/>
      <c r="L966" s="318">
        <v>8</v>
      </c>
      <c r="M966" s="338" t="s">
        <v>2162</v>
      </c>
      <c r="N966" s="318" t="s">
        <v>179</v>
      </c>
    </row>
    <row r="967" spans="2:14" ht="15.9" customHeight="1" x14ac:dyDescent="0.3">
      <c r="B967" s="332" t="s">
        <v>2127</v>
      </c>
      <c r="C967" s="311" t="s">
        <v>2128</v>
      </c>
      <c r="D967" s="318" t="s">
        <v>2162</v>
      </c>
      <c r="E967" s="318">
        <v>32172000</v>
      </c>
      <c r="F967" s="333" t="s">
        <v>2163</v>
      </c>
      <c r="G967" s="437"/>
      <c r="H967" s="337">
        <v>32043975</v>
      </c>
      <c r="I967" s="337" t="s">
        <v>2128</v>
      </c>
      <c r="J967" s="317" t="s">
        <v>2165</v>
      </c>
      <c r="K967" s="338"/>
      <c r="L967" s="318">
        <v>8</v>
      </c>
      <c r="M967" s="338" t="s">
        <v>2162</v>
      </c>
      <c r="N967" s="318" t="s">
        <v>44</v>
      </c>
    </row>
    <row r="968" spans="2:14" ht="15.9" customHeight="1" x14ac:dyDescent="0.3">
      <c r="B968" s="332" t="s">
        <v>2127</v>
      </c>
      <c r="C968" s="311" t="s">
        <v>2128</v>
      </c>
      <c r="D968" s="318" t="s">
        <v>2162</v>
      </c>
      <c r="E968" s="318">
        <v>32172000</v>
      </c>
      <c r="F968" s="333" t="s">
        <v>2163</v>
      </c>
      <c r="G968" s="437"/>
      <c r="H968" s="337">
        <v>32043982</v>
      </c>
      <c r="I968" s="337" t="s">
        <v>2128</v>
      </c>
      <c r="J968" s="317" t="s">
        <v>2166</v>
      </c>
      <c r="K968" s="338"/>
      <c r="L968" s="318">
        <v>8</v>
      </c>
      <c r="M968" s="338" t="s">
        <v>2162</v>
      </c>
      <c r="N968" s="318" t="s">
        <v>41</v>
      </c>
    </row>
    <row r="969" spans="2:14" ht="15.9" customHeight="1" x14ac:dyDescent="0.3">
      <c r="B969" s="332" t="s">
        <v>2127</v>
      </c>
      <c r="C969" s="311" t="s">
        <v>2128</v>
      </c>
      <c r="D969" s="318" t="s">
        <v>2162</v>
      </c>
      <c r="E969" s="318">
        <v>32172000</v>
      </c>
      <c r="F969" s="333" t="s">
        <v>2163</v>
      </c>
      <c r="G969" s="437"/>
      <c r="H969" s="337">
        <v>32045706</v>
      </c>
      <c r="I969" s="337" t="s">
        <v>2128</v>
      </c>
      <c r="J969" s="317" t="s">
        <v>2167</v>
      </c>
      <c r="K969" s="338"/>
      <c r="L969" s="318">
        <v>8</v>
      </c>
      <c r="M969" s="338" t="s">
        <v>2162</v>
      </c>
      <c r="N969" s="318" t="s">
        <v>35</v>
      </c>
    </row>
    <row r="970" spans="2:14" ht="15.9" customHeight="1" x14ac:dyDescent="0.3">
      <c r="B970" s="332" t="s">
        <v>2127</v>
      </c>
      <c r="C970" s="311" t="s">
        <v>2128</v>
      </c>
      <c r="D970" s="318" t="s">
        <v>2162</v>
      </c>
      <c r="E970" s="318">
        <v>32172000</v>
      </c>
      <c r="F970" s="333" t="s">
        <v>2163</v>
      </c>
      <c r="G970" s="437"/>
      <c r="H970" s="337">
        <v>32045496</v>
      </c>
      <c r="I970" s="337" t="s">
        <v>2128</v>
      </c>
      <c r="J970" s="317" t="s">
        <v>2168</v>
      </c>
      <c r="K970" s="338"/>
      <c r="L970" s="318">
        <v>8</v>
      </c>
      <c r="M970" s="338" t="s">
        <v>2162</v>
      </c>
      <c r="N970" s="318" t="s">
        <v>47</v>
      </c>
    </row>
    <row r="971" spans="2:14" ht="15.9" customHeight="1" x14ac:dyDescent="0.3">
      <c r="B971" s="332" t="s">
        <v>2127</v>
      </c>
      <c r="C971" s="311" t="s">
        <v>2128</v>
      </c>
      <c r="D971" s="318" t="s">
        <v>2162</v>
      </c>
      <c r="E971" s="318">
        <v>32172000</v>
      </c>
      <c r="F971" s="333" t="s">
        <v>2163</v>
      </c>
      <c r="G971" s="437"/>
      <c r="H971" s="337">
        <v>32137942</v>
      </c>
      <c r="I971" s="337" t="s">
        <v>2128</v>
      </c>
      <c r="J971" s="317" t="s">
        <v>2169</v>
      </c>
      <c r="K971" s="338"/>
      <c r="L971" s="318">
        <v>8</v>
      </c>
      <c r="M971" s="338" t="s">
        <v>2162</v>
      </c>
      <c r="N971" s="318" t="s">
        <v>481</v>
      </c>
    </row>
    <row r="972" spans="2:14" ht="15.9" customHeight="1" x14ac:dyDescent="0.3">
      <c r="B972" s="332" t="s">
        <v>2127</v>
      </c>
      <c r="C972" s="311" t="s">
        <v>2128</v>
      </c>
      <c r="D972" s="318" t="s">
        <v>2162</v>
      </c>
      <c r="E972" s="318">
        <v>32172000</v>
      </c>
      <c r="F972" s="333" t="s">
        <v>2163</v>
      </c>
      <c r="G972" s="437"/>
      <c r="H972" s="337">
        <v>32044212</v>
      </c>
      <c r="I972" s="337" t="s">
        <v>2128</v>
      </c>
      <c r="J972" s="317" t="s">
        <v>2170</v>
      </c>
      <c r="K972" s="338"/>
      <c r="L972" s="318">
        <v>8</v>
      </c>
      <c r="M972" s="338" t="s">
        <v>2162</v>
      </c>
      <c r="N972" s="318" t="s">
        <v>511</v>
      </c>
    </row>
    <row r="973" spans="2:14" ht="15.9" customHeight="1" x14ac:dyDescent="0.3">
      <c r="B973" s="332" t="s">
        <v>2127</v>
      </c>
      <c r="C973" s="311" t="s">
        <v>2128</v>
      </c>
      <c r="D973" s="318" t="s">
        <v>2162</v>
      </c>
      <c r="E973" s="318">
        <v>32172000</v>
      </c>
      <c r="F973" s="333" t="s">
        <v>2163</v>
      </c>
      <c r="G973" s="437"/>
      <c r="H973" s="337">
        <v>32044078</v>
      </c>
      <c r="I973" s="337" t="s">
        <v>2128</v>
      </c>
      <c r="J973" s="317" t="s">
        <v>2171</v>
      </c>
      <c r="K973" s="338"/>
      <c r="L973" s="318">
        <v>8</v>
      </c>
      <c r="M973" s="338" t="s">
        <v>2162</v>
      </c>
      <c r="N973" s="318" t="s">
        <v>779</v>
      </c>
    </row>
    <row r="974" spans="2:14" ht="15.9" customHeight="1" x14ac:dyDescent="0.3">
      <c r="B974" s="332" t="s">
        <v>2127</v>
      </c>
      <c r="C974" s="311" t="s">
        <v>2128</v>
      </c>
      <c r="D974" s="318" t="s">
        <v>2172</v>
      </c>
      <c r="E974" s="318">
        <v>32149973</v>
      </c>
      <c r="F974" s="333" t="s">
        <v>2173</v>
      </c>
      <c r="G974" s="437"/>
      <c r="H974" s="337">
        <v>32045757</v>
      </c>
      <c r="I974" s="337" t="s">
        <v>2128</v>
      </c>
      <c r="J974" s="317" t="s">
        <v>2174</v>
      </c>
      <c r="K974" s="338"/>
      <c r="L974" s="318">
        <v>8</v>
      </c>
      <c r="M974" s="338" t="s">
        <v>2172</v>
      </c>
      <c r="N974" s="318" t="s">
        <v>179</v>
      </c>
    </row>
    <row r="975" spans="2:14" ht="15.9" customHeight="1" x14ac:dyDescent="0.3">
      <c r="B975" s="332" t="s">
        <v>2127</v>
      </c>
      <c r="C975" s="311" t="s">
        <v>2128</v>
      </c>
      <c r="D975" s="318" t="s">
        <v>2172</v>
      </c>
      <c r="E975" s="318">
        <v>32149973</v>
      </c>
      <c r="F975" s="333" t="s">
        <v>2173</v>
      </c>
      <c r="G975" s="437"/>
      <c r="H975" s="337">
        <v>32061784</v>
      </c>
      <c r="I975" s="337" t="s">
        <v>2128</v>
      </c>
      <c r="J975" s="317" t="s">
        <v>2175</v>
      </c>
      <c r="K975" s="338"/>
      <c r="L975" s="318">
        <v>8</v>
      </c>
      <c r="M975" s="338" t="s">
        <v>2172</v>
      </c>
      <c r="N975" s="318" t="s">
        <v>481</v>
      </c>
    </row>
    <row r="976" spans="2:14" ht="15.9" customHeight="1" x14ac:dyDescent="0.3">
      <c r="B976" s="332" t="s">
        <v>2127</v>
      </c>
      <c r="C976" s="311" t="s">
        <v>2128</v>
      </c>
      <c r="D976" s="318" t="s">
        <v>2172</v>
      </c>
      <c r="E976" s="318">
        <v>32149973</v>
      </c>
      <c r="F976" s="333" t="s">
        <v>2173</v>
      </c>
      <c r="G976" s="437"/>
      <c r="H976" s="337">
        <v>32044189</v>
      </c>
      <c r="I976" s="337" t="s">
        <v>2128</v>
      </c>
      <c r="J976" s="317" t="s">
        <v>2176</v>
      </c>
      <c r="K976" s="338"/>
      <c r="L976" s="318">
        <v>8</v>
      </c>
      <c r="M976" s="338" t="s">
        <v>2172</v>
      </c>
      <c r="N976" s="318" t="s">
        <v>41</v>
      </c>
    </row>
    <row r="977" spans="2:14" ht="15.9" customHeight="1" x14ac:dyDescent="0.3">
      <c r="B977" s="332" t="s">
        <v>2127</v>
      </c>
      <c r="C977" s="311" t="s">
        <v>2128</v>
      </c>
      <c r="D977" s="318" t="s">
        <v>2172</v>
      </c>
      <c r="E977" s="318">
        <v>32149973</v>
      </c>
      <c r="F977" s="333" t="s">
        <v>2173</v>
      </c>
      <c r="G977" s="437"/>
      <c r="H977" s="337">
        <v>32045380</v>
      </c>
      <c r="I977" s="337" t="s">
        <v>2128</v>
      </c>
      <c r="J977" s="317" t="s">
        <v>2177</v>
      </c>
      <c r="K977" s="338"/>
      <c r="L977" s="318">
        <v>8</v>
      </c>
      <c r="M977" s="338" t="s">
        <v>2172</v>
      </c>
      <c r="N977" s="318" t="s">
        <v>44</v>
      </c>
    </row>
    <row r="978" spans="2:14" ht="15.9" customHeight="1" x14ac:dyDescent="0.3">
      <c r="B978" s="332" t="s">
        <v>2127</v>
      </c>
      <c r="C978" s="311" t="s">
        <v>2128</v>
      </c>
      <c r="D978" s="318" t="s">
        <v>2172</v>
      </c>
      <c r="E978" s="318">
        <v>32149973</v>
      </c>
      <c r="F978" s="333" t="s">
        <v>2173</v>
      </c>
      <c r="G978" s="437"/>
      <c r="H978" s="337">
        <v>32149475</v>
      </c>
      <c r="I978" s="337" t="s">
        <v>2128</v>
      </c>
      <c r="J978" s="317" t="s">
        <v>2178</v>
      </c>
      <c r="K978" s="338"/>
      <c r="L978" s="318">
        <v>8</v>
      </c>
      <c r="M978" s="338" t="s">
        <v>2172</v>
      </c>
      <c r="N978" s="318" t="s">
        <v>35</v>
      </c>
    </row>
    <row r="979" spans="2:14" ht="15.9" customHeight="1" x14ac:dyDescent="0.3">
      <c r="B979" s="332" t="s">
        <v>2127</v>
      </c>
      <c r="C979" s="311" t="s">
        <v>2128</v>
      </c>
      <c r="D979" s="318" t="s">
        <v>2172</v>
      </c>
      <c r="E979" s="318">
        <v>32149973</v>
      </c>
      <c r="F979" s="333" t="s">
        <v>2173</v>
      </c>
      <c r="G979" s="437"/>
      <c r="H979" s="337">
        <v>32137941</v>
      </c>
      <c r="I979" s="337" t="s">
        <v>2128</v>
      </c>
      <c r="J979" s="317" t="s">
        <v>2179</v>
      </c>
      <c r="K979" s="338"/>
      <c r="L979" s="318">
        <v>8</v>
      </c>
      <c r="M979" s="338" t="s">
        <v>2172</v>
      </c>
      <c r="N979" s="318" t="s">
        <v>1</v>
      </c>
    </row>
    <row r="980" spans="2:14" ht="15.9" customHeight="1" x14ac:dyDescent="0.3">
      <c r="B980" s="332" t="s">
        <v>2127</v>
      </c>
      <c r="C980" s="311" t="s">
        <v>2128</v>
      </c>
      <c r="D980" s="318" t="s">
        <v>2172</v>
      </c>
      <c r="E980" s="318">
        <v>32149973</v>
      </c>
      <c r="F980" s="333" t="s">
        <v>2173</v>
      </c>
      <c r="G980" s="437"/>
      <c r="H980" s="337">
        <v>32044412</v>
      </c>
      <c r="I980" s="337" t="s">
        <v>2128</v>
      </c>
      <c r="J980" s="317" t="s">
        <v>2180</v>
      </c>
      <c r="K980" s="338"/>
      <c r="L980" s="318">
        <v>8</v>
      </c>
      <c r="M980" s="338" t="s">
        <v>2172</v>
      </c>
      <c r="N980" s="318" t="s">
        <v>47</v>
      </c>
    </row>
    <row r="981" spans="2:14" ht="15.9" customHeight="1" x14ac:dyDescent="0.3">
      <c r="B981" s="332" t="s">
        <v>2127</v>
      </c>
      <c r="C981" s="311" t="s">
        <v>2128</v>
      </c>
      <c r="D981" s="318" t="s">
        <v>2172</v>
      </c>
      <c r="E981" s="318">
        <v>32149973</v>
      </c>
      <c r="F981" s="333" t="s">
        <v>2173</v>
      </c>
      <c r="G981" s="437"/>
      <c r="H981" s="337">
        <v>32231723</v>
      </c>
      <c r="I981" s="337" t="s">
        <v>2128</v>
      </c>
      <c r="J981" s="317" t="s">
        <v>2181</v>
      </c>
      <c r="K981" s="338"/>
      <c r="L981" s="318">
        <v>8</v>
      </c>
      <c r="M981" s="338" t="s">
        <v>2172</v>
      </c>
      <c r="N981" s="318" t="s">
        <v>511</v>
      </c>
    </row>
    <row r="982" spans="2:14" ht="15.9" customHeight="1" x14ac:dyDescent="0.3">
      <c r="B982" s="332" t="s">
        <v>2127</v>
      </c>
      <c r="C982" s="311" t="s">
        <v>2182</v>
      </c>
      <c r="D982" s="318" t="s">
        <v>2183</v>
      </c>
      <c r="E982" s="318">
        <v>32172813</v>
      </c>
      <c r="F982" s="333" t="s">
        <v>2184</v>
      </c>
      <c r="G982" s="437"/>
      <c r="H982" s="337">
        <v>32045277</v>
      </c>
      <c r="I982" s="337" t="s">
        <v>2182</v>
      </c>
      <c r="J982" s="317" t="s">
        <v>2185</v>
      </c>
      <c r="K982" s="338"/>
      <c r="L982" s="318">
        <v>10</v>
      </c>
      <c r="M982" s="338" t="s">
        <v>2183</v>
      </c>
      <c r="N982" s="318" t="s">
        <v>1</v>
      </c>
    </row>
    <row r="983" spans="2:14" ht="15.9" customHeight="1" x14ac:dyDescent="0.3">
      <c r="B983" s="332" t="s">
        <v>2127</v>
      </c>
      <c r="C983" s="311" t="s">
        <v>2182</v>
      </c>
      <c r="D983" s="318" t="s">
        <v>2183</v>
      </c>
      <c r="E983" s="318">
        <v>32172813</v>
      </c>
      <c r="F983" s="333" t="s">
        <v>2184</v>
      </c>
      <c r="G983" s="437"/>
      <c r="H983" s="439">
        <v>32044339</v>
      </c>
      <c r="I983" s="337" t="s">
        <v>2182</v>
      </c>
      <c r="J983" s="317" t="s">
        <v>2186</v>
      </c>
      <c r="K983" s="338"/>
      <c r="L983" s="318">
        <v>10</v>
      </c>
      <c r="M983" s="338" t="s">
        <v>2183</v>
      </c>
      <c r="N983" s="318" t="s">
        <v>179</v>
      </c>
    </row>
    <row r="984" spans="2:14" ht="15.9" customHeight="1" x14ac:dyDescent="0.3">
      <c r="B984" s="332" t="s">
        <v>2127</v>
      </c>
      <c r="C984" s="311" t="s">
        <v>2182</v>
      </c>
      <c r="D984" s="318" t="s">
        <v>2183</v>
      </c>
      <c r="E984" s="318">
        <v>32172813</v>
      </c>
      <c r="F984" s="333" t="s">
        <v>2184</v>
      </c>
      <c r="G984" s="437"/>
      <c r="H984" s="337">
        <v>32045129</v>
      </c>
      <c r="I984" s="337" t="s">
        <v>2182</v>
      </c>
      <c r="J984" s="317" t="s">
        <v>2187</v>
      </c>
      <c r="K984" s="338"/>
      <c r="L984" s="318">
        <v>10</v>
      </c>
      <c r="M984" s="338" t="s">
        <v>2183</v>
      </c>
      <c r="N984" s="318" t="s">
        <v>511</v>
      </c>
    </row>
    <row r="985" spans="2:14" ht="15.9" customHeight="1" x14ac:dyDescent="0.3">
      <c r="B985" s="332" t="s">
        <v>2127</v>
      </c>
      <c r="C985" s="311" t="s">
        <v>2182</v>
      </c>
      <c r="D985" s="318" t="s">
        <v>2183</v>
      </c>
      <c r="E985" s="318">
        <v>32172813</v>
      </c>
      <c r="F985" s="333" t="s">
        <v>2184</v>
      </c>
      <c r="G985" s="437"/>
      <c r="H985" s="337">
        <v>32045080</v>
      </c>
      <c r="I985" s="337" t="s">
        <v>2182</v>
      </c>
      <c r="J985" s="317" t="s">
        <v>2188</v>
      </c>
      <c r="K985" s="338"/>
      <c r="L985" s="318">
        <v>10</v>
      </c>
      <c r="M985" s="338" t="s">
        <v>2183</v>
      </c>
      <c r="N985" s="318" t="s">
        <v>44</v>
      </c>
    </row>
    <row r="986" spans="2:14" ht="15.9" customHeight="1" x14ac:dyDescent="0.3">
      <c r="B986" s="332" t="s">
        <v>2127</v>
      </c>
      <c r="C986" s="311" t="s">
        <v>2182</v>
      </c>
      <c r="D986" s="318" t="s">
        <v>2183</v>
      </c>
      <c r="E986" s="318">
        <v>32172813</v>
      </c>
      <c r="F986" s="333" t="s">
        <v>2184</v>
      </c>
      <c r="G986" s="437"/>
      <c r="H986" s="337">
        <v>32064463</v>
      </c>
      <c r="I986" s="337" t="s">
        <v>2182</v>
      </c>
      <c r="J986" s="317" t="s">
        <v>2189</v>
      </c>
      <c r="K986" s="338"/>
      <c r="L986" s="318">
        <v>10</v>
      </c>
      <c r="M986" s="338" t="s">
        <v>2183</v>
      </c>
      <c r="N986" s="318" t="s">
        <v>41</v>
      </c>
    </row>
    <row r="987" spans="2:14" ht="15.9" customHeight="1" x14ac:dyDescent="0.3">
      <c r="B987" s="332" t="s">
        <v>2127</v>
      </c>
      <c r="C987" s="311" t="s">
        <v>2182</v>
      </c>
      <c r="D987" s="318" t="s">
        <v>2183</v>
      </c>
      <c r="E987" s="318">
        <v>32172813</v>
      </c>
      <c r="F987" s="333" t="s">
        <v>2184</v>
      </c>
      <c r="G987" s="437"/>
      <c r="H987" s="337">
        <v>32043976</v>
      </c>
      <c r="I987" s="337" t="s">
        <v>2182</v>
      </c>
      <c r="J987" s="317" t="s">
        <v>2190</v>
      </c>
      <c r="K987" s="338"/>
      <c r="L987" s="318">
        <v>10</v>
      </c>
      <c r="M987" s="338" t="s">
        <v>2183</v>
      </c>
      <c r="N987" s="318" t="s">
        <v>35</v>
      </c>
    </row>
    <row r="988" spans="2:14" ht="15.9" customHeight="1" x14ac:dyDescent="0.3">
      <c r="B988" s="332" t="s">
        <v>2127</v>
      </c>
      <c r="C988" s="311" t="s">
        <v>2182</v>
      </c>
      <c r="D988" s="318" t="s">
        <v>2183</v>
      </c>
      <c r="E988" s="318">
        <v>32172813</v>
      </c>
      <c r="F988" s="333" t="s">
        <v>2184</v>
      </c>
      <c r="G988" s="437"/>
      <c r="H988" s="337">
        <v>32045421</v>
      </c>
      <c r="I988" s="337" t="s">
        <v>2182</v>
      </c>
      <c r="J988" s="317" t="s">
        <v>2191</v>
      </c>
      <c r="K988" s="338"/>
      <c r="L988" s="318">
        <v>10</v>
      </c>
      <c r="M988" s="338" t="s">
        <v>2183</v>
      </c>
      <c r="N988" s="318" t="s">
        <v>779</v>
      </c>
    </row>
    <row r="989" spans="2:14" ht="15.9" customHeight="1" x14ac:dyDescent="0.3">
      <c r="B989" s="332" t="s">
        <v>2127</v>
      </c>
      <c r="C989" s="311" t="s">
        <v>2182</v>
      </c>
      <c r="D989" s="318" t="s">
        <v>2183</v>
      </c>
      <c r="E989" s="318">
        <v>32172813</v>
      </c>
      <c r="F989" s="333" t="s">
        <v>2184</v>
      </c>
      <c r="G989" s="437"/>
      <c r="H989" s="337">
        <v>32061267</v>
      </c>
      <c r="I989" s="337" t="s">
        <v>2182</v>
      </c>
      <c r="J989" s="317" t="s">
        <v>2192</v>
      </c>
      <c r="K989" s="338"/>
      <c r="L989" s="318">
        <v>10</v>
      </c>
      <c r="M989" s="338" t="s">
        <v>2183</v>
      </c>
      <c r="N989" s="318" t="s">
        <v>2145</v>
      </c>
    </row>
    <row r="990" spans="2:14" ht="15.9" customHeight="1" x14ac:dyDescent="0.3">
      <c r="B990" s="332" t="s">
        <v>2127</v>
      </c>
      <c r="C990" s="311" t="s">
        <v>2182</v>
      </c>
      <c r="D990" s="318" t="s">
        <v>2183</v>
      </c>
      <c r="E990" s="318">
        <v>32172813</v>
      </c>
      <c r="F990" s="333" t="s">
        <v>2184</v>
      </c>
      <c r="G990" s="437"/>
      <c r="H990" s="337">
        <v>32045049</v>
      </c>
      <c r="I990" s="337" t="s">
        <v>2182</v>
      </c>
      <c r="J990" s="317" t="s">
        <v>2193</v>
      </c>
      <c r="K990" s="338"/>
      <c r="L990" s="318">
        <v>10</v>
      </c>
      <c r="M990" s="338" t="s">
        <v>2183</v>
      </c>
      <c r="N990" s="318" t="s">
        <v>461</v>
      </c>
    </row>
    <row r="991" spans="2:14" ht="15.9" customHeight="1" x14ac:dyDescent="0.3">
      <c r="B991" s="332" t="s">
        <v>2127</v>
      </c>
      <c r="C991" s="311" t="s">
        <v>2182</v>
      </c>
      <c r="D991" s="318" t="s">
        <v>2183</v>
      </c>
      <c r="E991" s="318">
        <v>32172813</v>
      </c>
      <c r="F991" s="333" t="s">
        <v>2184</v>
      </c>
      <c r="G991" s="437"/>
      <c r="H991" s="337">
        <v>32045869</v>
      </c>
      <c r="I991" s="337" t="s">
        <v>2182</v>
      </c>
      <c r="J991" s="317" t="s">
        <v>2194</v>
      </c>
      <c r="K991" s="338"/>
      <c r="L991" s="318">
        <v>10</v>
      </c>
      <c r="M991" s="338" t="s">
        <v>2183</v>
      </c>
      <c r="N991" s="318" t="s">
        <v>47</v>
      </c>
    </row>
    <row r="992" spans="2:14" ht="15.9" customHeight="1" x14ac:dyDescent="0.3">
      <c r="B992" s="332" t="s">
        <v>2127</v>
      </c>
      <c r="C992" s="311" t="s">
        <v>2182</v>
      </c>
      <c r="D992" s="318" t="s">
        <v>2195</v>
      </c>
      <c r="E992" s="318">
        <v>32149977</v>
      </c>
      <c r="F992" s="333" t="s">
        <v>2196</v>
      </c>
      <c r="G992" s="437"/>
      <c r="H992" s="337">
        <v>32043723</v>
      </c>
      <c r="I992" s="337" t="s">
        <v>2182</v>
      </c>
      <c r="J992" s="317" t="s">
        <v>2197</v>
      </c>
      <c r="K992" s="338"/>
      <c r="L992" s="318">
        <v>12</v>
      </c>
      <c r="M992" s="338" t="s">
        <v>2195</v>
      </c>
      <c r="N992" s="318" t="s">
        <v>1</v>
      </c>
    </row>
    <row r="993" spans="2:14" ht="15.9" customHeight="1" x14ac:dyDescent="0.3">
      <c r="B993" s="332" t="s">
        <v>2127</v>
      </c>
      <c r="C993" s="311" t="s">
        <v>2182</v>
      </c>
      <c r="D993" s="318" t="s">
        <v>2195</v>
      </c>
      <c r="E993" s="318">
        <v>32149977</v>
      </c>
      <c r="F993" s="333" t="s">
        <v>2196</v>
      </c>
      <c r="G993" s="437"/>
      <c r="H993" s="337">
        <v>32043647</v>
      </c>
      <c r="I993" s="337" t="s">
        <v>2182</v>
      </c>
      <c r="J993" s="317" t="s">
        <v>2198</v>
      </c>
      <c r="K993" s="338"/>
      <c r="L993" s="318">
        <v>12</v>
      </c>
      <c r="M993" s="338" t="s">
        <v>2195</v>
      </c>
      <c r="N993" s="318" t="s">
        <v>481</v>
      </c>
    </row>
    <row r="994" spans="2:14" ht="15.9" customHeight="1" x14ac:dyDescent="0.3">
      <c r="B994" s="332" t="s">
        <v>2127</v>
      </c>
      <c r="C994" s="311" t="s">
        <v>2182</v>
      </c>
      <c r="D994" s="318" t="s">
        <v>2195</v>
      </c>
      <c r="E994" s="318">
        <v>32149977</v>
      </c>
      <c r="F994" s="333" t="s">
        <v>2196</v>
      </c>
      <c r="G994" s="437"/>
      <c r="H994" s="337">
        <v>32045015</v>
      </c>
      <c r="I994" s="337" t="s">
        <v>2182</v>
      </c>
      <c r="J994" s="317" t="s">
        <v>2199</v>
      </c>
      <c r="K994" s="338"/>
      <c r="L994" s="318">
        <v>12</v>
      </c>
      <c r="M994" s="338" t="s">
        <v>2195</v>
      </c>
      <c r="N994" s="318" t="s">
        <v>511</v>
      </c>
    </row>
    <row r="995" spans="2:14" ht="15.9" customHeight="1" x14ac:dyDescent="0.3">
      <c r="B995" s="332" t="s">
        <v>2127</v>
      </c>
      <c r="C995" s="311" t="s">
        <v>2182</v>
      </c>
      <c r="D995" s="318" t="s">
        <v>2195</v>
      </c>
      <c r="E995" s="318">
        <v>32149977</v>
      </c>
      <c r="F995" s="333" t="s">
        <v>2196</v>
      </c>
      <c r="G995" s="437"/>
      <c r="H995" s="337">
        <v>32044396</v>
      </c>
      <c r="I995" s="337" t="s">
        <v>2182</v>
      </c>
      <c r="J995" s="317" t="s">
        <v>2200</v>
      </c>
      <c r="K995" s="338"/>
      <c r="L995" s="318">
        <v>12</v>
      </c>
      <c r="M995" s="338" t="s">
        <v>2195</v>
      </c>
      <c r="N995" s="318" t="s">
        <v>35</v>
      </c>
    </row>
    <row r="996" spans="2:14" ht="15.9" customHeight="1" x14ac:dyDescent="0.3">
      <c r="B996" s="332" t="s">
        <v>2127</v>
      </c>
      <c r="C996" s="311" t="s">
        <v>2182</v>
      </c>
      <c r="D996" s="318" t="s">
        <v>2195</v>
      </c>
      <c r="E996" s="318">
        <v>32149977</v>
      </c>
      <c r="F996" s="333" t="s">
        <v>2196</v>
      </c>
      <c r="G996" s="437"/>
      <c r="H996" s="337">
        <v>32045901</v>
      </c>
      <c r="I996" s="337" t="s">
        <v>2182</v>
      </c>
      <c r="J996" s="317" t="s">
        <v>2201</v>
      </c>
      <c r="K996" s="338"/>
      <c r="L996" s="318">
        <v>12</v>
      </c>
      <c r="M996" s="338" t="s">
        <v>2195</v>
      </c>
      <c r="N996" s="318" t="s">
        <v>461</v>
      </c>
    </row>
    <row r="997" spans="2:14" ht="15.9" customHeight="1" x14ac:dyDescent="0.3">
      <c r="B997" s="332" t="s">
        <v>2127</v>
      </c>
      <c r="C997" s="311" t="s">
        <v>2182</v>
      </c>
      <c r="D997" s="318" t="s">
        <v>2195</v>
      </c>
      <c r="E997" s="318">
        <v>32149977</v>
      </c>
      <c r="F997" s="333" t="s">
        <v>2196</v>
      </c>
      <c r="G997" s="437"/>
      <c r="H997" s="337">
        <v>32044308</v>
      </c>
      <c r="I997" s="337" t="s">
        <v>2182</v>
      </c>
      <c r="J997" s="317" t="s">
        <v>2202</v>
      </c>
      <c r="K997" s="338"/>
      <c r="L997" s="318">
        <v>12</v>
      </c>
      <c r="M997" s="338" t="s">
        <v>2195</v>
      </c>
      <c r="N997" s="318" t="s">
        <v>2145</v>
      </c>
    </row>
    <row r="998" spans="2:14" ht="15.9" customHeight="1" x14ac:dyDescent="0.3">
      <c r="B998" s="332" t="s">
        <v>2127</v>
      </c>
      <c r="C998" s="311" t="s">
        <v>2182</v>
      </c>
      <c r="D998" s="318" t="s">
        <v>2195</v>
      </c>
      <c r="E998" s="318">
        <v>32149977</v>
      </c>
      <c r="F998" s="333" t="s">
        <v>2196</v>
      </c>
      <c r="G998" s="437"/>
      <c r="H998" s="337">
        <v>32146008</v>
      </c>
      <c r="I998" s="337" t="s">
        <v>2182</v>
      </c>
      <c r="J998" s="317" t="s">
        <v>2203</v>
      </c>
      <c r="K998" s="338"/>
      <c r="L998" s="318">
        <v>12</v>
      </c>
      <c r="M998" s="338" t="s">
        <v>2195</v>
      </c>
      <c r="N998" s="318" t="s">
        <v>179</v>
      </c>
    </row>
    <row r="999" spans="2:14" ht="15.9" customHeight="1" x14ac:dyDescent="0.3">
      <c r="B999" s="332" t="s">
        <v>2127</v>
      </c>
      <c r="C999" s="311" t="s">
        <v>2182</v>
      </c>
      <c r="D999" s="318" t="s">
        <v>2195</v>
      </c>
      <c r="E999" s="318">
        <v>32149977</v>
      </c>
      <c r="F999" s="333" t="s">
        <v>2196</v>
      </c>
      <c r="G999" s="437"/>
      <c r="H999" s="337">
        <v>32046095</v>
      </c>
      <c r="I999" s="337" t="s">
        <v>2182</v>
      </c>
      <c r="J999" s="317" t="s">
        <v>2204</v>
      </c>
      <c r="K999" s="338"/>
      <c r="L999" s="318">
        <v>12</v>
      </c>
      <c r="M999" s="338" t="s">
        <v>2195</v>
      </c>
      <c r="N999" s="318" t="s">
        <v>44</v>
      </c>
    </row>
    <row r="1000" spans="2:14" ht="15.9" customHeight="1" x14ac:dyDescent="0.3">
      <c r="B1000" s="332" t="s">
        <v>2127</v>
      </c>
      <c r="C1000" s="311" t="s">
        <v>2182</v>
      </c>
      <c r="D1000" s="318" t="s">
        <v>2195</v>
      </c>
      <c r="E1000" s="318">
        <v>32149977</v>
      </c>
      <c r="F1000" s="333" t="s">
        <v>2196</v>
      </c>
      <c r="G1000" s="437"/>
      <c r="H1000" s="337">
        <v>32045210</v>
      </c>
      <c r="I1000" s="337" t="s">
        <v>2182</v>
      </c>
      <c r="J1000" s="317" t="s">
        <v>2205</v>
      </c>
      <c r="K1000" s="338"/>
      <c r="L1000" s="318">
        <v>12</v>
      </c>
      <c r="M1000" s="338" t="s">
        <v>2195</v>
      </c>
      <c r="N1000" s="318" t="s">
        <v>779</v>
      </c>
    </row>
    <row r="1001" spans="2:14" ht="15.9" customHeight="1" x14ac:dyDescent="0.3">
      <c r="B1001" s="332" t="s">
        <v>2127</v>
      </c>
      <c r="C1001" s="311" t="s">
        <v>2182</v>
      </c>
      <c r="D1001" s="318" t="s">
        <v>2195</v>
      </c>
      <c r="E1001" s="318">
        <v>32149977</v>
      </c>
      <c r="F1001" s="333" t="s">
        <v>2196</v>
      </c>
      <c r="G1001" s="437"/>
      <c r="H1001" s="337">
        <v>32149494</v>
      </c>
      <c r="I1001" s="337" t="s">
        <v>2182</v>
      </c>
      <c r="J1001" s="317" t="s">
        <v>2206</v>
      </c>
      <c r="K1001" s="338"/>
      <c r="L1001" s="318">
        <v>12</v>
      </c>
      <c r="M1001" s="338" t="s">
        <v>2195</v>
      </c>
      <c r="N1001" s="318" t="s">
        <v>41</v>
      </c>
    </row>
    <row r="1002" spans="2:14" ht="15.9" customHeight="1" x14ac:dyDescent="0.3">
      <c r="B1002" s="332" t="s">
        <v>2127</v>
      </c>
      <c r="C1002" s="311" t="s">
        <v>2182</v>
      </c>
      <c r="D1002" s="318" t="s">
        <v>2195</v>
      </c>
      <c r="E1002" s="318">
        <v>32149977</v>
      </c>
      <c r="F1002" s="333" t="s">
        <v>2196</v>
      </c>
      <c r="G1002" s="437"/>
      <c r="H1002" s="337">
        <v>32044984</v>
      </c>
      <c r="I1002" s="337" t="s">
        <v>2182</v>
      </c>
      <c r="J1002" s="317" t="s">
        <v>2207</v>
      </c>
      <c r="K1002" s="338"/>
      <c r="L1002" s="318">
        <v>12</v>
      </c>
      <c r="M1002" s="338" t="s">
        <v>2195</v>
      </c>
      <c r="N1002" s="318" t="s">
        <v>47</v>
      </c>
    </row>
    <row r="1003" spans="2:14" ht="15.9" customHeight="1" x14ac:dyDescent="0.3">
      <c r="B1003" s="332" t="s">
        <v>2127</v>
      </c>
      <c r="C1003" s="311" t="s">
        <v>2182</v>
      </c>
      <c r="D1003" s="318" t="s">
        <v>2195</v>
      </c>
      <c r="E1003" s="318">
        <v>32149977</v>
      </c>
      <c r="F1003" s="333" t="s">
        <v>2196</v>
      </c>
      <c r="G1003" s="437"/>
      <c r="H1003" s="337">
        <v>32045045</v>
      </c>
      <c r="I1003" s="337" t="s">
        <v>2182</v>
      </c>
      <c r="J1003" s="317" t="s">
        <v>2208</v>
      </c>
      <c r="K1003" s="338"/>
      <c r="L1003" s="318">
        <v>12</v>
      </c>
      <c r="M1003" s="338" t="s">
        <v>2195</v>
      </c>
      <c r="N1003" s="318" t="s">
        <v>2209</v>
      </c>
    </row>
    <row r="1004" spans="2:14" ht="15.9" customHeight="1" x14ac:dyDescent="0.3">
      <c r="B1004" s="332" t="s">
        <v>2127</v>
      </c>
      <c r="C1004" s="311" t="s">
        <v>2182</v>
      </c>
      <c r="D1004" s="318" t="s">
        <v>2210</v>
      </c>
      <c r="E1004" s="318">
        <v>32068308</v>
      </c>
      <c r="F1004" s="333" t="s">
        <v>2211</v>
      </c>
      <c r="G1004" s="437"/>
      <c r="H1004" s="337">
        <v>32044605</v>
      </c>
      <c r="I1004" s="337" t="s">
        <v>2182</v>
      </c>
      <c r="J1004" s="317" t="s">
        <v>2212</v>
      </c>
      <c r="K1004" s="338"/>
      <c r="L1004" s="318">
        <v>8</v>
      </c>
      <c r="M1004" s="338" t="s">
        <v>2210</v>
      </c>
      <c r="N1004" s="318" t="s">
        <v>179</v>
      </c>
    </row>
    <row r="1005" spans="2:14" ht="15.9" customHeight="1" x14ac:dyDescent="0.3">
      <c r="B1005" s="332" t="s">
        <v>2127</v>
      </c>
      <c r="C1005" s="311" t="s">
        <v>2182</v>
      </c>
      <c r="D1005" s="318" t="s">
        <v>2210</v>
      </c>
      <c r="E1005" s="318">
        <v>32068308</v>
      </c>
      <c r="F1005" s="333" t="s">
        <v>2211</v>
      </c>
      <c r="G1005" s="437"/>
      <c r="H1005" s="337">
        <v>32043918</v>
      </c>
      <c r="I1005" s="337" t="s">
        <v>2182</v>
      </c>
      <c r="J1005" s="317" t="s">
        <v>2213</v>
      </c>
      <c r="K1005" s="338"/>
      <c r="L1005" s="318">
        <v>8</v>
      </c>
      <c r="M1005" s="338" t="s">
        <v>2210</v>
      </c>
      <c r="N1005" s="318" t="s">
        <v>41</v>
      </c>
    </row>
    <row r="1006" spans="2:14" ht="15.9" customHeight="1" x14ac:dyDescent="0.3">
      <c r="B1006" s="332" t="s">
        <v>2127</v>
      </c>
      <c r="C1006" s="311" t="s">
        <v>2182</v>
      </c>
      <c r="D1006" s="318" t="s">
        <v>2210</v>
      </c>
      <c r="E1006" s="318">
        <v>32068308</v>
      </c>
      <c r="F1006" s="333" t="s">
        <v>2211</v>
      </c>
      <c r="G1006" s="437"/>
      <c r="H1006" s="337">
        <v>32045843</v>
      </c>
      <c r="I1006" s="337" t="s">
        <v>2182</v>
      </c>
      <c r="J1006" s="317" t="s">
        <v>2214</v>
      </c>
      <c r="K1006" s="338"/>
      <c r="L1006" s="318">
        <v>8</v>
      </c>
      <c r="M1006" s="338" t="s">
        <v>2210</v>
      </c>
      <c r="N1006" s="318" t="s">
        <v>35</v>
      </c>
    </row>
    <row r="1007" spans="2:14" ht="15.9" customHeight="1" x14ac:dyDescent="0.3">
      <c r="B1007" s="332" t="s">
        <v>2127</v>
      </c>
      <c r="C1007" s="311" t="s">
        <v>2182</v>
      </c>
      <c r="D1007" s="318" t="s">
        <v>2210</v>
      </c>
      <c r="E1007" s="318">
        <v>32068308</v>
      </c>
      <c r="F1007" s="333" t="s">
        <v>2211</v>
      </c>
      <c r="G1007" s="437"/>
      <c r="H1007" s="337">
        <v>32072205</v>
      </c>
      <c r="I1007" s="337" t="s">
        <v>2182</v>
      </c>
      <c r="J1007" s="317" t="s">
        <v>2215</v>
      </c>
      <c r="K1007" s="338"/>
      <c r="L1007" s="318">
        <v>8</v>
      </c>
      <c r="M1007" s="338" t="s">
        <v>2210</v>
      </c>
      <c r="N1007" s="318" t="s">
        <v>44</v>
      </c>
    </row>
    <row r="1008" spans="2:14" ht="15.9" customHeight="1" x14ac:dyDescent="0.3">
      <c r="B1008" s="332" t="s">
        <v>2127</v>
      </c>
      <c r="C1008" s="311" t="s">
        <v>2182</v>
      </c>
      <c r="D1008" s="318" t="s">
        <v>2210</v>
      </c>
      <c r="E1008" s="318">
        <v>32068308</v>
      </c>
      <c r="F1008" s="333" t="s">
        <v>2211</v>
      </c>
      <c r="G1008" s="437"/>
      <c r="H1008" s="337">
        <v>32149265</v>
      </c>
      <c r="I1008" s="337" t="s">
        <v>2182</v>
      </c>
      <c r="J1008" s="317" t="s">
        <v>2216</v>
      </c>
      <c r="K1008" s="338"/>
      <c r="L1008" s="318">
        <v>8</v>
      </c>
      <c r="M1008" s="338" t="s">
        <v>2210</v>
      </c>
      <c r="N1008" s="318" t="s">
        <v>47</v>
      </c>
    </row>
    <row r="1009" spans="2:14" ht="15.9" customHeight="1" x14ac:dyDescent="0.3">
      <c r="B1009" s="332" t="s">
        <v>2127</v>
      </c>
      <c r="C1009" s="311" t="s">
        <v>2182</v>
      </c>
      <c r="D1009" s="318" t="s">
        <v>2210</v>
      </c>
      <c r="E1009" s="318">
        <v>32068308</v>
      </c>
      <c r="F1009" s="333" t="s">
        <v>2211</v>
      </c>
      <c r="G1009" s="437"/>
      <c r="H1009" s="337">
        <v>32043831</v>
      </c>
      <c r="I1009" s="337" t="s">
        <v>2182</v>
      </c>
      <c r="J1009" s="317" t="s">
        <v>2217</v>
      </c>
      <c r="K1009" s="338"/>
      <c r="L1009" s="318">
        <v>8</v>
      </c>
      <c r="M1009" s="338" t="s">
        <v>2210</v>
      </c>
      <c r="N1009" s="318" t="s">
        <v>1</v>
      </c>
    </row>
    <row r="1010" spans="2:14" ht="15.9" customHeight="1" x14ac:dyDescent="0.3">
      <c r="B1010" s="332" t="s">
        <v>2127</v>
      </c>
      <c r="C1010" s="311" t="s">
        <v>2182</v>
      </c>
      <c r="D1010" s="318" t="s">
        <v>2210</v>
      </c>
      <c r="E1010" s="318">
        <v>32068308</v>
      </c>
      <c r="F1010" s="333" t="s">
        <v>2211</v>
      </c>
      <c r="G1010" s="437"/>
      <c r="H1010" s="337">
        <v>32045926</v>
      </c>
      <c r="I1010" s="337" t="s">
        <v>2182</v>
      </c>
      <c r="J1010" s="317" t="s">
        <v>2218</v>
      </c>
      <c r="K1010" s="338"/>
      <c r="L1010" s="318">
        <v>8</v>
      </c>
      <c r="M1010" s="338" t="s">
        <v>2210</v>
      </c>
      <c r="N1010" s="318" t="s">
        <v>511</v>
      </c>
    </row>
    <row r="1011" spans="2:14" ht="15.9" customHeight="1" x14ac:dyDescent="0.3">
      <c r="B1011" s="332" t="s">
        <v>2127</v>
      </c>
      <c r="C1011" s="311" t="s">
        <v>2182</v>
      </c>
      <c r="D1011" s="318" t="s">
        <v>2210</v>
      </c>
      <c r="E1011" s="318">
        <v>32068308</v>
      </c>
      <c r="F1011" s="333" t="s">
        <v>2211</v>
      </c>
      <c r="G1011" s="437"/>
      <c r="H1011" s="337">
        <v>32044693</v>
      </c>
      <c r="I1011" s="337" t="s">
        <v>2182</v>
      </c>
      <c r="J1011" s="317" t="s">
        <v>2219</v>
      </c>
      <c r="K1011" s="338"/>
      <c r="L1011" s="318">
        <v>8</v>
      </c>
      <c r="M1011" s="338" t="s">
        <v>2210</v>
      </c>
      <c r="N1011" s="318" t="s">
        <v>481</v>
      </c>
    </row>
    <row r="1012" spans="2:14" ht="15.9" customHeight="1" x14ac:dyDescent="0.3">
      <c r="B1012" s="332" t="s">
        <v>2127</v>
      </c>
      <c r="C1012" s="311" t="s">
        <v>2182</v>
      </c>
      <c r="D1012" s="318" t="s">
        <v>2220</v>
      </c>
      <c r="E1012" s="318">
        <v>32146125</v>
      </c>
      <c r="F1012" s="333" t="s">
        <v>2221</v>
      </c>
      <c r="G1012" s="437"/>
      <c r="H1012" s="337">
        <v>32043792</v>
      </c>
      <c r="I1012" s="337" t="s">
        <v>2182</v>
      </c>
      <c r="J1012" s="317" t="s">
        <v>2222</v>
      </c>
      <c r="K1012" s="338"/>
      <c r="L1012" s="318">
        <v>5</v>
      </c>
      <c r="M1012" s="338" t="s">
        <v>2220</v>
      </c>
      <c r="N1012" s="318" t="s">
        <v>179</v>
      </c>
    </row>
    <row r="1013" spans="2:14" ht="15.9" customHeight="1" x14ac:dyDescent="0.3">
      <c r="B1013" s="332" t="s">
        <v>2127</v>
      </c>
      <c r="C1013" s="311" t="s">
        <v>2182</v>
      </c>
      <c r="D1013" s="318" t="s">
        <v>2220</v>
      </c>
      <c r="E1013" s="318">
        <v>32146125</v>
      </c>
      <c r="F1013" s="333" t="s">
        <v>2221</v>
      </c>
      <c r="G1013" s="437"/>
      <c r="H1013" s="337">
        <v>32043984</v>
      </c>
      <c r="I1013" s="337" t="s">
        <v>2182</v>
      </c>
      <c r="J1013" s="317" t="s">
        <v>2223</v>
      </c>
      <c r="K1013" s="338"/>
      <c r="L1013" s="318">
        <v>5</v>
      </c>
      <c r="M1013" s="338" t="s">
        <v>2220</v>
      </c>
      <c r="N1013" s="318" t="s">
        <v>44</v>
      </c>
    </row>
    <row r="1014" spans="2:14" ht="15.9" customHeight="1" x14ac:dyDescent="0.3">
      <c r="B1014" s="332" t="s">
        <v>2127</v>
      </c>
      <c r="C1014" s="311" t="s">
        <v>2182</v>
      </c>
      <c r="D1014" s="318" t="s">
        <v>2220</v>
      </c>
      <c r="E1014" s="318">
        <v>32146125</v>
      </c>
      <c r="F1014" s="333" t="s">
        <v>2221</v>
      </c>
      <c r="G1014" s="437"/>
      <c r="H1014" s="337">
        <v>32072178</v>
      </c>
      <c r="I1014" s="337" t="s">
        <v>2182</v>
      </c>
      <c r="J1014" s="317" t="s">
        <v>2224</v>
      </c>
      <c r="K1014" s="338"/>
      <c r="L1014" s="318">
        <v>5</v>
      </c>
      <c r="M1014" s="338" t="s">
        <v>2220</v>
      </c>
      <c r="N1014" s="318" t="s">
        <v>1</v>
      </c>
    </row>
    <row r="1015" spans="2:14" ht="15.9" customHeight="1" x14ac:dyDescent="0.3">
      <c r="B1015" s="332" t="s">
        <v>2127</v>
      </c>
      <c r="C1015" s="311" t="s">
        <v>2182</v>
      </c>
      <c r="D1015" s="318" t="s">
        <v>2220</v>
      </c>
      <c r="E1015" s="318">
        <v>32146125</v>
      </c>
      <c r="F1015" s="333" t="s">
        <v>2221</v>
      </c>
      <c r="G1015" s="437"/>
      <c r="H1015" s="337">
        <v>32044593</v>
      </c>
      <c r="I1015" s="337" t="s">
        <v>2182</v>
      </c>
      <c r="J1015" s="317" t="s">
        <v>2225</v>
      </c>
      <c r="K1015" s="338"/>
      <c r="L1015" s="318">
        <v>5</v>
      </c>
      <c r="M1015" s="338" t="s">
        <v>2220</v>
      </c>
      <c r="N1015" s="318" t="s">
        <v>41</v>
      </c>
    </row>
    <row r="1016" spans="2:14" ht="15.9" customHeight="1" x14ac:dyDescent="0.3">
      <c r="B1016" s="332" t="s">
        <v>2127</v>
      </c>
      <c r="C1016" s="311" t="s">
        <v>2182</v>
      </c>
      <c r="D1016" s="318" t="s">
        <v>2220</v>
      </c>
      <c r="E1016" s="318">
        <v>32146125</v>
      </c>
      <c r="F1016" s="333" t="s">
        <v>2221</v>
      </c>
      <c r="G1016" s="437"/>
      <c r="H1016" s="337">
        <v>32044718</v>
      </c>
      <c r="I1016" s="337" t="s">
        <v>2182</v>
      </c>
      <c r="J1016" s="317" t="s">
        <v>2226</v>
      </c>
      <c r="K1016" s="338"/>
      <c r="L1016" s="318">
        <v>5</v>
      </c>
      <c r="M1016" s="338" t="s">
        <v>2220</v>
      </c>
      <c r="N1016" s="318" t="s">
        <v>2145</v>
      </c>
    </row>
    <row r="1017" spans="2:14" ht="15.9" customHeight="1" x14ac:dyDescent="0.3">
      <c r="B1017" s="332" t="s">
        <v>2127</v>
      </c>
      <c r="C1017" s="311" t="s">
        <v>2182</v>
      </c>
      <c r="D1017" s="318" t="s">
        <v>2227</v>
      </c>
      <c r="E1017" s="318">
        <v>32172669</v>
      </c>
      <c r="F1017" s="333" t="s">
        <v>2228</v>
      </c>
      <c r="G1017" s="437"/>
      <c r="H1017" s="337">
        <v>32045730</v>
      </c>
      <c r="I1017" s="337" t="s">
        <v>2182</v>
      </c>
      <c r="J1017" s="317" t="s">
        <v>2229</v>
      </c>
      <c r="K1017" s="338"/>
      <c r="L1017" s="318">
        <v>6</v>
      </c>
      <c r="M1017" s="338" t="s">
        <v>2227</v>
      </c>
      <c r="N1017" s="318" t="s">
        <v>41</v>
      </c>
    </row>
    <row r="1018" spans="2:14" ht="15.9" customHeight="1" x14ac:dyDescent="0.3">
      <c r="B1018" s="332" t="s">
        <v>2127</v>
      </c>
      <c r="C1018" s="311" t="s">
        <v>2182</v>
      </c>
      <c r="D1018" s="318" t="s">
        <v>2227</v>
      </c>
      <c r="E1018" s="318">
        <v>32172669</v>
      </c>
      <c r="F1018" s="333" t="s">
        <v>2228</v>
      </c>
      <c r="G1018" s="437"/>
      <c r="H1018" s="337">
        <v>32044408</v>
      </c>
      <c r="I1018" s="337" t="s">
        <v>2182</v>
      </c>
      <c r="J1018" s="317" t="s">
        <v>2230</v>
      </c>
      <c r="K1018" s="338"/>
      <c r="L1018" s="318">
        <v>6</v>
      </c>
      <c r="M1018" s="338" t="s">
        <v>2227</v>
      </c>
      <c r="N1018" s="318" t="s">
        <v>179</v>
      </c>
    </row>
    <row r="1019" spans="2:14" ht="15.9" customHeight="1" x14ac:dyDescent="0.3">
      <c r="B1019" s="332" t="s">
        <v>2127</v>
      </c>
      <c r="C1019" s="311" t="s">
        <v>2182</v>
      </c>
      <c r="D1019" s="318" t="s">
        <v>2227</v>
      </c>
      <c r="E1019" s="318">
        <v>32172669</v>
      </c>
      <c r="F1019" s="333" t="s">
        <v>2228</v>
      </c>
      <c r="G1019" s="437"/>
      <c r="H1019" s="337">
        <v>32044529</v>
      </c>
      <c r="I1019" s="337" t="s">
        <v>2182</v>
      </c>
      <c r="J1019" s="317" t="s">
        <v>2231</v>
      </c>
      <c r="K1019" s="338"/>
      <c r="L1019" s="318">
        <v>6</v>
      </c>
      <c r="M1019" s="338" t="s">
        <v>2227</v>
      </c>
      <c r="N1019" s="318" t="s">
        <v>44</v>
      </c>
    </row>
    <row r="1020" spans="2:14" ht="15.9" customHeight="1" x14ac:dyDescent="0.3">
      <c r="B1020" s="332" t="s">
        <v>2127</v>
      </c>
      <c r="C1020" s="311" t="s">
        <v>2182</v>
      </c>
      <c r="D1020" s="318" t="s">
        <v>2227</v>
      </c>
      <c r="E1020" s="318">
        <v>32172669</v>
      </c>
      <c r="F1020" s="333" t="s">
        <v>2228</v>
      </c>
      <c r="G1020" s="437"/>
      <c r="H1020" s="337">
        <v>32072179</v>
      </c>
      <c r="I1020" s="337" t="s">
        <v>2182</v>
      </c>
      <c r="J1020" s="317" t="s">
        <v>2232</v>
      </c>
      <c r="K1020" s="338"/>
      <c r="L1020" s="318">
        <v>6</v>
      </c>
      <c r="M1020" s="338" t="s">
        <v>2227</v>
      </c>
      <c r="N1020" s="318" t="s">
        <v>35</v>
      </c>
    </row>
    <row r="1021" spans="2:14" ht="15.9" customHeight="1" x14ac:dyDescent="0.3">
      <c r="B1021" s="332" t="s">
        <v>2127</v>
      </c>
      <c r="C1021" s="311" t="s">
        <v>2182</v>
      </c>
      <c r="D1021" s="318" t="s">
        <v>2227</v>
      </c>
      <c r="E1021" s="318">
        <v>32172669</v>
      </c>
      <c r="F1021" s="333" t="s">
        <v>2228</v>
      </c>
      <c r="G1021" s="437"/>
      <c r="H1021" s="337">
        <v>32043744</v>
      </c>
      <c r="I1021" s="337" t="s">
        <v>2182</v>
      </c>
      <c r="J1021" s="317" t="s">
        <v>2233</v>
      </c>
      <c r="K1021" s="338"/>
      <c r="L1021" s="318">
        <v>6</v>
      </c>
      <c r="M1021" s="338" t="s">
        <v>2227</v>
      </c>
      <c r="N1021" s="318" t="s">
        <v>1</v>
      </c>
    </row>
    <row r="1022" spans="2:14" ht="15.9" customHeight="1" x14ac:dyDescent="0.3">
      <c r="B1022" s="332" t="s">
        <v>2127</v>
      </c>
      <c r="C1022" s="311" t="s">
        <v>2182</v>
      </c>
      <c r="D1022" s="318" t="s">
        <v>2227</v>
      </c>
      <c r="E1022" s="318">
        <v>32172669</v>
      </c>
      <c r="F1022" s="333" t="s">
        <v>2228</v>
      </c>
      <c r="G1022" s="437"/>
      <c r="H1022" s="337">
        <v>32146010</v>
      </c>
      <c r="I1022" s="337" t="s">
        <v>2182</v>
      </c>
      <c r="J1022" s="317" t="s">
        <v>2234</v>
      </c>
      <c r="K1022" s="338"/>
      <c r="L1022" s="318">
        <v>6</v>
      </c>
      <c r="M1022" s="338" t="s">
        <v>2227</v>
      </c>
      <c r="N1022" s="318" t="s">
        <v>461</v>
      </c>
    </row>
    <row r="1023" spans="2:14" ht="15.9" customHeight="1" x14ac:dyDescent="0.3">
      <c r="B1023" s="332" t="s">
        <v>2127</v>
      </c>
      <c r="C1023" s="311" t="s">
        <v>2235</v>
      </c>
      <c r="D1023" s="318" t="s">
        <v>2236</v>
      </c>
      <c r="E1023" s="318">
        <v>32149972</v>
      </c>
      <c r="F1023" s="333" t="s">
        <v>2237</v>
      </c>
      <c r="G1023" s="437"/>
      <c r="H1023" s="337">
        <v>32044247</v>
      </c>
      <c r="I1023" s="337" t="s">
        <v>2235</v>
      </c>
      <c r="J1023" s="317" t="s">
        <v>2238</v>
      </c>
      <c r="K1023" s="338"/>
      <c r="L1023" s="318">
        <v>5</v>
      </c>
      <c r="M1023" s="338" t="s">
        <v>2236</v>
      </c>
      <c r="N1023" s="318" t="s">
        <v>44</v>
      </c>
    </row>
    <row r="1024" spans="2:14" ht="15.9" customHeight="1" x14ac:dyDescent="0.3">
      <c r="B1024" s="332" t="s">
        <v>2127</v>
      </c>
      <c r="C1024" s="311" t="s">
        <v>2235</v>
      </c>
      <c r="D1024" s="318" t="s">
        <v>2236</v>
      </c>
      <c r="E1024" s="318">
        <v>32149972</v>
      </c>
      <c r="F1024" s="333" t="s">
        <v>2237</v>
      </c>
      <c r="G1024" s="437"/>
      <c r="H1024" s="337">
        <v>32044217</v>
      </c>
      <c r="I1024" s="337" t="s">
        <v>2235</v>
      </c>
      <c r="J1024" s="317" t="s">
        <v>2239</v>
      </c>
      <c r="K1024" s="338"/>
      <c r="L1024" s="318">
        <v>5</v>
      </c>
      <c r="M1024" s="338" t="s">
        <v>2236</v>
      </c>
      <c r="N1024" s="318" t="s">
        <v>179</v>
      </c>
    </row>
    <row r="1025" spans="2:14" ht="15.9" customHeight="1" x14ac:dyDescent="0.3">
      <c r="B1025" s="332" t="s">
        <v>2127</v>
      </c>
      <c r="C1025" s="311" t="s">
        <v>2235</v>
      </c>
      <c r="D1025" s="318" t="s">
        <v>2236</v>
      </c>
      <c r="E1025" s="318">
        <v>32149972</v>
      </c>
      <c r="F1025" s="333" t="s">
        <v>2237</v>
      </c>
      <c r="G1025" s="437"/>
      <c r="H1025" s="337">
        <v>32044650</v>
      </c>
      <c r="I1025" s="337" t="s">
        <v>2235</v>
      </c>
      <c r="J1025" s="317" t="s">
        <v>2240</v>
      </c>
      <c r="K1025" s="338"/>
      <c r="L1025" s="318">
        <v>5</v>
      </c>
      <c r="M1025" s="338" t="s">
        <v>2236</v>
      </c>
      <c r="N1025" s="318" t="s">
        <v>35</v>
      </c>
    </row>
    <row r="1026" spans="2:14" ht="15.9" customHeight="1" x14ac:dyDescent="0.3">
      <c r="B1026" s="332" t="s">
        <v>2127</v>
      </c>
      <c r="C1026" s="311" t="s">
        <v>2235</v>
      </c>
      <c r="D1026" s="318" t="s">
        <v>2236</v>
      </c>
      <c r="E1026" s="318">
        <v>32149972</v>
      </c>
      <c r="F1026" s="333" t="s">
        <v>2237</v>
      </c>
      <c r="G1026" s="437"/>
      <c r="H1026" s="337">
        <v>32146289</v>
      </c>
      <c r="I1026" s="337" t="s">
        <v>2235</v>
      </c>
      <c r="J1026" s="317" t="s">
        <v>2241</v>
      </c>
      <c r="K1026" s="338"/>
      <c r="L1026" s="318">
        <v>5</v>
      </c>
      <c r="M1026" s="338" t="s">
        <v>2236</v>
      </c>
      <c r="N1026" s="318" t="s">
        <v>41</v>
      </c>
    </row>
    <row r="1027" spans="2:14" ht="15.9" customHeight="1" x14ac:dyDescent="0.3">
      <c r="B1027" s="332" t="s">
        <v>2127</v>
      </c>
      <c r="C1027" s="311" t="s">
        <v>2235</v>
      </c>
      <c r="D1027" s="318" t="s">
        <v>2236</v>
      </c>
      <c r="E1027" s="318">
        <v>32149972</v>
      </c>
      <c r="F1027" s="333" t="s">
        <v>2237</v>
      </c>
      <c r="G1027" s="437"/>
      <c r="H1027" s="337">
        <v>32044381</v>
      </c>
      <c r="I1027" s="337" t="s">
        <v>2235</v>
      </c>
      <c r="J1027" s="317" t="s">
        <v>2242</v>
      </c>
      <c r="K1027" s="338"/>
      <c r="L1027" s="318">
        <v>5</v>
      </c>
      <c r="M1027" s="338" t="s">
        <v>2236</v>
      </c>
      <c r="N1027" s="318" t="s">
        <v>47</v>
      </c>
    </row>
    <row r="1028" spans="2:14" ht="15.9" customHeight="1" x14ac:dyDescent="0.3">
      <c r="B1028" s="332" t="s">
        <v>2127</v>
      </c>
      <c r="C1028" s="311" t="s">
        <v>2235</v>
      </c>
      <c r="D1028" s="318" t="s">
        <v>2243</v>
      </c>
      <c r="E1028" s="318">
        <v>32145055</v>
      </c>
      <c r="F1028" s="333" t="s">
        <v>2244</v>
      </c>
      <c r="G1028" s="437"/>
      <c r="H1028" s="337">
        <v>32064464</v>
      </c>
      <c r="I1028" s="337" t="s">
        <v>2235</v>
      </c>
      <c r="J1028" s="317" t="s">
        <v>2245</v>
      </c>
      <c r="K1028" s="338"/>
      <c r="L1028" s="318">
        <v>3</v>
      </c>
      <c r="M1028" s="338" t="s">
        <v>2243</v>
      </c>
      <c r="N1028" s="318" t="s">
        <v>41</v>
      </c>
    </row>
    <row r="1029" spans="2:14" ht="15.9" customHeight="1" x14ac:dyDescent="0.3">
      <c r="B1029" s="332" t="s">
        <v>2127</v>
      </c>
      <c r="C1029" s="311" t="s">
        <v>2235</v>
      </c>
      <c r="D1029" s="318" t="s">
        <v>2243</v>
      </c>
      <c r="E1029" s="318">
        <v>32145055</v>
      </c>
      <c r="F1029" s="333" t="s">
        <v>2244</v>
      </c>
      <c r="G1029" s="437"/>
      <c r="H1029" s="337">
        <v>32043790</v>
      </c>
      <c r="I1029" s="337" t="s">
        <v>2235</v>
      </c>
      <c r="J1029" s="317" t="s">
        <v>2246</v>
      </c>
      <c r="K1029" s="338"/>
      <c r="L1029" s="318">
        <v>3</v>
      </c>
      <c r="M1029" s="338" t="s">
        <v>2243</v>
      </c>
      <c r="N1029" s="318" t="s">
        <v>44</v>
      </c>
    </row>
    <row r="1030" spans="2:14" ht="15.9" customHeight="1" x14ac:dyDescent="0.3">
      <c r="B1030" s="332" t="s">
        <v>2127</v>
      </c>
      <c r="C1030" s="311" t="s">
        <v>2235</v>
      </c>
      <c r="D1030" s="318" t="s">
        <v>2243</v>
      </c>
      <c r="E1030" s="318">
        <v>32145055</v>
      </c>
      <c r="F1030" s="333" t="s">
        <v>2244</v>
      </c>
      <c r="G1030" s="437"/>
      <c r="H1030" s="337">
        <v>32044976</v>
      </c>
      <c r="I1030" s="337" t="s">
        <v>2235</v>
      </c>
      <c r="J1030" s="317" t="s">
        <v>2247</v>
      </c>
      <c r="K1030" s="338"/>
      <c r="L1030" s="318">
        <v>3</v>
      </c>
      <c r="M1030" s="338" t="s">
        <v>2243</v>
      </c>
      <c r="N1030" s="318" t="s">
        <v>47</v>
      </c>
    </row>
    <row r="1031" spans="2:14" ht="15.9" customHeight="1" x14ac:dyDescent="0.3">
      <c r="B1031" s="332" t="s">
        <v>2127</v>
      </c>
      <c r="C1031" s="311" t="s">
        <v>2235</v>
      </c>
      <c r="D1031" s="318" t="s">
        <v>2248</v>
      </c>
      <c r="E1031" s="318">
        <v>32145055</v>
      </c>
      <c r="F1031" s="333" t="s">
        <v>2244</v>
      </c>
      <c r="G1031" s="437"/>
      <c r="H1031" s="337">
        <v>32044181</v>
      </c>
      <c r="I1031" s="337" t="s">
        <v>2235</v>
      </c>
      <c r="J1031" s="317" t="s">
        <v>2249</v>
      </c>
      <c r="K1031" s="338"/>
      <c r="L1031" s="318">
        <v>4</v>
      </c>
      <c r="M1031" s="338" t="s">
        <v>2248</v>
      </c>
      <c r="N1031" s="318" t="s">
        <v>41</v>
      </c>
    </row>
    <row r="1032" spans="2:14" ht="15.9" customHeight="1" x14ac:dyDescent="0.3">
      <c r="B1032" s="332" t="s">
        <v>2127</v>
      </c>
      <c r="C1032" s="311" t="s">
        <v>2235</v>
      </c>
      <c r="D1032" s="318" t="s">
        <v>2248</v>
      </c>
      <c r="E1032" s="318">
        <v>32145055</v>
      </c>
      <c r="F1032" s="333" t="s">
        <v>2244</v>
      </c>
      <c r="G1032" s="437"/>
      <c r="H1032" s="337">
        <v>32067987</v>
      </c>
      <c r="I1032" s="337" t="s">
        <v>2235</v>
      </c>
      <c r="J1032" s="317" t="s">
        <v>2250</v>
      </c>
      <c r="K1032" s="338"/>
      <c r="L1032" s="318">
        <v>4</v>
      </c>
      <c r="M1032" s="338" t="s">
        <v>2248</v>
      </c>
      <c r="N1032" s="318" t="s">
        <v>179</v>
      </c>
    </row>
    <row r="1033" spans="2:14" ht="15.9" customHeight="1" x14ac:dyDescent="0.3">
      <c r="B1033" s="332" t="s">
        <v>2127</v>
      </c>
      <c r="C1033" s="311" t="s">
        <v>2235</v>
      </c>
      <c r="D1033" s="318" t="s">
        <v>2248</v>
      </c>
      <c r="E1033" s="318">
        <v>32145055</v>
      </c>
      <c r="F1033" s="333" t="s">
        <v>2244</v>
      </c>
      <c r="G1033" s="437"/>
      <c r="H1033" s="337">
        <v>32045788</v>
      </c>
      <c r="I1033" s="337" t="s">
        <v>2235</v>
      </c>
      <c r="J1033" s="317" t="s">
        <v>2251</v>
      </c>
      <c r="K1033" s="338"/>
      <c r="L1033" s="318">
        <v>4</v>
      </c>
      <c r="M1033" s="338" t="s">
        <v>2248</v>
      </c>
      <c r="N1033" s="318" t="s">
        <v>35</v>
      </c>
    </row>
    <row r="1034" spans="2:14" ht="15.9" customHeight="1" x14ac:dyDescent="0.3">
      <c r="B1034" s="332" t="s">
        <v>2127</v>
      </c>
      <c r="C1034" s="311" t="s">
        <v>2235</v>
      </c>
      <c r="D1034" s="318" t="s">
        <v>2248</v>
      </c>
      <c r="E1034" s="318">
        <v>32145055</v>
      </c>
      <c r="F1034" s="333" t="s">
        <v>2244</v>
      </c>
      <c r="G1034" s="437"/>
      <c r="H1034" s="337">
        <v>32043999</v>
      </c>
      <c r="I1034" s="337" t="s">
        <v>2235</v>
      </c>
      <c r="J1034" s="317" t="s">
        <v>2252</v>
      </c>
      <c r="K1034" s="338"/>
      <c r="L1034" s="318">
        <v>4</v>
      </c>
      <c r="M1034" s="338" t="s">
        <v>2248</v>
      </c>
      <c r="N1034" s="318" t="s">
        <v>44</v>
      </c>
    </row>
    <row r="1035" spans="2:14" ht="15.9" customHeight="1" x14ac:dyDescent="0.3">
      <c r="B1035" s="332" t="s">
        <v>2127</v>
      </c>
      <c r="C1035" s="311" t="s">
        <v>2235</v>
      </c>
      <c r="D1035" s="318" t="s">
        <v>2253</v>
      </c>
      <c r="E1035" s="318">
        <v>32145438</v>
      </c>
      <c r="F1035" s="333" t="s">
        <v>2254</v>
      </c>
      <c r="G1035" s="437"/>
      <c r="H1035" s="337">
        <v>32045823</v>
      </c>
      <c r="I1035" s="337" t="s">
        <v>2235</v>
      </c>
      <c r="J1035" s="317" t="s">
        <v>2255</v>
      </c>
      <c r="K1035" s="338"/>
      <c r="L1035" s="318">
        <v>9</v>
      </c>
      <c r="M1035" s="338" t="s">
        <v>2253</v>
      </c>
      <c r="N1035" s="318" t="s">
        <v>35</v>
      </c>
    </row>
    <row r="1036" spans="2:14" ht="15.9" customHeight="1" x14ac:dyDescent="0.3">
      <c r="B1036" s="332" t="s">
        <v>2127</v>
      </c>
      <c r="C1036" s="311" t="s">
        <v>2235</v>
      </c>
      <c r="D1036" s="318" t="s">
        <v>2253</v>
      </c>
      <c r="E1036" s="318">
        <v>32145438</v>
      </c>
      <c r="F1036" s="333" t="s">
        <v>2254</v>
      </c>
      <c r="G1036" s="437"/>
      <c r="H1036" s="337">
        <v>32044386</v>
      </c>
      <c r="I1036" s="337" t="s">
        <v>2235</v>
      </c>
      <c r="J1036" s="317" t="s">
        <v>2256</v>
      </c>
      <c r="K1036" s="338"/>
      <c r="L1036" s="318">
        <v>9</v>
      </c>
      <c r="M1036" s="338" t="s">
        <v>2253</v>
      </c>
      <c r="N1036" s="318" t="s">
        <v>179</v>
      </c>
    </row>
    <row r="1037" spans="2:14" ht="15.9" customHeight="1" x14ac:dyDescent="0.3">
      <c r="B1037" s="332" t="s">
        <v>2127</v>
      </c>
      <c r="C1037" s="311" t="s">
        <v>2235</v>
      </c>
      <c r="D1037" s="318" t="s">
        <v>2253</v>
      </c>
      <c r="E1037" s="318">
        <v>32145438</v>
      </c>
      <c r="F1037" s="333" t="s">
        <v>2254</v>
      </c>
      <c r="G1037" s="437"/>
      <c r="H1037" s="337">
        <v>32072163</v>
      </c>
      <c r="I1037" s="337" t="s">
        <v>2235</v>
      </c>
      <c r="J1037" s="317" t="s">
        <v>2257</v>
      </c>
      <c r="K1037" s="338"/>
      <c r="L1037" s="318">
        <v>9</v>
      </c>
      <c r="M1037" s="338" t="s">
        <v>2253</v>
      </c>
      <c r="N1037" s="318" t="s">
        <v>44</v>
      </c>
    </row>
    <row r="1038" spans="2:14" ht="15.9" customHeight="1" x14ac:dyDescent="0.3">
      <c r="B1038" s="332" t="s">
        <v>2127</v>
      </c>
      <c r="C1038" s="311" t="s">
        <v>2235</v>
      </c>
      <c r="D1038" s="318" t="s">
        <v>2253</v>
      </c>
      <c r="E1038" s="318">
        <v>32145438</v>
      </c>
      <c r="F1038" s="333" t="s">
        <v>2254</v>
      </c>
      <c r="G1038" s="437"/>
      <c r="H1038" s="337">
        <v>32045161</v>
      </c>
      <c r="I1038" s="337" t="s">
        <v>2235</v>
      </c>
      <c r="J1038" s="317" t="s">
        <v>2258</v>
      </c>
      <c r="K1038" s="338"/>
      <c r="L1038" s="318">
        <v>9</v>
      </c>
      <c r="M1038" s="338" t="s">
        <v>2253</v>
      </c>
      <c r="N1038" s="318" t="s">
        <v>41</v>
      </c>
    </row>
    <row r="1039" spans="2:14" ht="15.9" customHeight="1" x14ac:dyDescent="0.3">
      <c r="B1039" s="332" t="s">
        <v>2127</v>
      </c>
      <c r="C1039" s="311" t="s">
        <v>2235</v>
      </c>
      <c r="D1039" s="318" t="s">
        <v>2253</v>
      </c>
      <c r="E1039" s="318">
        <v>32145438</v>
      </c>
      <c r="F1039" s="333" t="s">
        <v>2254</v>
      </c>
      <c r="G1039" s="437"/>
      <c r="H1039" s="337">
        <v>32043985</v>
      </c>
      <c r="I1039" s="337" t="s">
        <v>2235</v>
      </c>
      <c r="J1039" s="317" t="s">
        <v>2259</v>
      </c>
      <c r="K1039" s="338"/>
      <c r="L1039" s="318">
        <v>9</v>
      </c>
      <c r="M1039" s="338" t="s">
        <v>2253</v>
      </c>
      <c r="N1039" s="318" t="s">
        <v>47</v>
      </c>
    </row>
    <row r="1040" spans="2:14" ht="15.9" customHeight="1" x14ac:dyDescent="0.3">
      <c r="B1040" s="332" t="s">
        <v>2127</v>
      </c>
      <c r="C1040" s="311" t="s">
        <v>2235</v>
      </c>
      <c r="D1040" s="318" t="s">
        <v>2253</v>
      </c>
      <c r="E1040" s="318">
        <v>32145438</v>
      </c>
      <c r="F1040" s="333" t="s">
        <v>2254</v>
      </c>
      <c r="G1040" s="437"/>
      <c r="H1040" s="337">
        <v>32045337</v>
      </c>
      <c r="I1040" s="337" t="s">
        <v>2235</v>
      </c>
      <c r="J1040" s="317" t="s">
        <v>2260</v>
      </c>
      <c r="K1040" s="338"/>
      <c r="L1040" s="318">
        <v>9</v>
      </c>
      <c r="M1040" s="338" t="s">
        <v>2253</v>
      </c>
      <c r="N1040" s="318" t="s">
        <v>1</v>
      </c>
    </row>
    <row r="1041" spans="2:14" ht="15.9" customHeight="1" x14ac:dyDescent="0.3">
      <c r="B1041" s="332" t="s">
        <v>2127</v>
      </c>
      <c r="C1041" s="311" t="s">
        <v>2235</v>
      </c>
      <c r="D1041" s="318" t="s">
        <v>2253</v>
      </c>
      <c r="E1041" s="318">
        <v>32145438</v>
      </c>
      <c r="F1041" s="333" t="s">
        <v>2254</v>
      </c>
      <c r="G1041" s="437"/>
      <c r="H1041" s="337">
        <v>32044054</v>
      </c>
      <c r="I1041" s="337" t="s">
        <v>2235</v>
      </c>
      <c r="J1041" s="317" t="s">
        <v>2261</v>
      </c>
      <c r="K1041" s="338"/>
      <c r="L1041" s="318">
        <v>9</v>
      </c>
      <c r="M1041" s="338" t="s">
        <v>2253</v>
      </c>
      <c r="N1041" s="318" t="s">
        <v>779</v>
      </c>
    </row>
    <row r="1042" spans="2:14" ht="15.9" customHeight="1" x14ac:dyDescent="0.3">
      <c r="B1042" s="332" t="s">
        <v>2127</v>
      </c>
      <c r="C1042" s="311" t="s">
        <v>2235</v>
      </c>
      <c r="D1042" s="318" t="s">
        <v>2253</v>
      </c>
      <c r="E1042" s="318">
        <v>32145438</v>
      </c>
      <c r="F1042" s="333" t="s">
        <v>2254</v>
      </c>
      <c r="G1042" s="437"/>
      <c r="H1042" s="337">
        <v>32138750</v>
      </c>
      <c r="I1042" s="337" t="s">
        <v>2235</v>
      </c>
      <c r="J1042" s="317" t="s">
        <v>2262</v>
      </c>
      <c r="K1042" s="338"/>
      <c r="L1042" s="318">
        <v>9</v>
      </c>
      <c r="M1042" s="338" t="s">
        <v>2253</v>
      </c>
      <c r="N1042" s="318" t="s">
        <v>481</v>
      </c>
    </row>
    <row r="1043" spans="2:14" ht="15.9" customHeight="1" x14ac:dyDescent="0.3">
      <c r="B1043" s="332" t="s">
        <v>2127</v>
      </c>
      <c r="C1043" s="311" t="s">
        <v>2235</v>
      </c>
      <c r="D1043" s="318" t="s">
        <v>2253</v>
      </c>
      <c r="E1043" s="318">
        <v>32145438</v>
      </c>
      <c r="F1043" s="333" t="s">
        <v>2254</v>
      </c>
      <c r="G1043" s="437"/>
      <c r="H1043" s="337">
        <v>32043826</v>
      </c>
      <c r="I1043" s="337" t="s">
        <v>2235</v>
      </c>
      <c r="J1043" s="317" t="s">
        <v>2263</v>
      </c>
      <c r="K1043" s="338"/>
      <c r="L1043" s="318">
        <v>9</v>
      </c>
      <c r="M1043" s="338" t="s">
        <v>2253</v>
      </c>
      <c r="N1043" s="318" t="s">
        <v>2145</v>
      </c>
    </row>
    <row r="1044" spans="2:14" ht="15.9" customHeight="1" x14ac:dyDescent="0.3">
      <c r="B1044" s="332" t="s">
        <v>2127</v>
      </c>
      <c r="C1044" s="311" t="s">
        <v>2235</v>
      </c>
      <c r="D1044" s="318" t="s">
        <v>2264</v>
      </c>
      <c r="E1044" s="318">
        <v>32151318</v>
      </c>
      <c r="F1044" s="333" t="s">
        <v>2265</v>
      </c>
      <c r="G1044" s="437"/>
      <c r="H1044" s="337">
        <v>32045518</v>
      </c>
      <c r="I1044" s="337" t="s">
        <v>2235</v>
      </c>
      <c r="J1044" s="317" t="s">
        <v>2266</v>
      </c>
      <c r="K1044" s="338"/>
      <c r="L1044" s="318">
        <v>7</v>
      </c>
      <c r="M1044" s="338" t="s">
        <v>2264</v>
      </c>
      <c r="N1044" s="318" t="s">
        <v>44</v>
      </c>
    </row>
    <row r="1045" spans="2:14" ht="15.9" customHeight="1" x14ac:dyDescent="0.3">
      <c r="B1045" s="332" t="s">
        <v>2127</v>
      </c>
      <c r="C1045" s="311" t="s">
        <v>2235</v>
      </c>
      <c r="D1045" s="318" t="s">
        <v>2264</v>
      </c>
      <c r="E1045" s="318">
        <v>32151318</v>
      </c>
      <c r="F1045" s="333" t="s">
        <v>2265</v>
      </c>
      <c r="G1045" s="437"/>
      <c r="H1045" s="337">
        <v>32045905</v>
      </c>
      <c r="I1045" s="337" t="s">
        <v>2235</v>
      </c>
      <c r="J1045" s="317" t="s">
        <v>2267</v>
      </c>
      <c r="K1045" s="338"/>
      <c r="L1045" s="318">
        <v>7</v>
      </c>
      <c r="M1045" s="338" t="s">
        <v>2264</v>
      </c>
      <c r="N1045" s="318" t="s">
        <v>179</v>
      </c>
    </row>
    <row r="1046" spans="2:14" ht="15.9" customHeight="1" x14ac:dyDescent="0.3">
      <c r="B1046" s="332" t="s">
        <v>2127</v>
      </c>
      <c r="C1046" s="311" t="s">
        <v>2235</v>
      </c>
      <c r="D1046" s="318" t="s">
        <v>2264</v>
      </c>
      <c r="E1046" s="318">
        <v>32151318</v>
      </c>
      <c r="F1046" s="333" t="s">
        <v>2265</v>
      </c>
      <c r="G1046" s="437"/>
      <c r="H1046" s="337">
        <v>32044988</v>
      </c>
      <c r="I1046" s="337" t="s">
        <v>2235</v>
      </c>
      <c r="J1046" s="317" t="s">
        <v>2268</v>
      </c>
      <c r="K1046" s="338"/>
      <c r="L1046" s="318">
        <v>7</v>
      </c>
      <c r="M1046" s="338" t="s">
        <v>2264</v>
      </c>
      <c r="N1046" s="318" t="s">
        <v>35</v>
      </c>
    </row>
    <row r="1047" spans="2:14" ht="15.9" customHeight="1" x14ac:dyDescent="0.3">
      <c r="B1047" s="332" t="s">
        <v>2127</v>
      </c>
      <c r="C1047" s="311" t="s">
        <v>2235</v>
      </c>
      <c r="D1047" s="318" t="s">
        <v>2264</v>
      </c>
      <c r="E1047" s="318">
        <v>32151318</v>
      </c>
      <c r="F1047" s="333" t="s">
        <v>2265</v>
      </c>
      <c r="G1047" s="437"/>
      <c r="H1047" s="337">
        <v>32044297</v>
      </c>
      <c r="I1047" s="337" t="s">
        <v>2235</v>
      </c>
      <c r="J1047" s="317" t="s">
        <v>2269</v>
      </c>
      <c r="K1047" s="338"/>
      <c r="L1047" s="318">
        <v>7</v>
      </c>
      <c r="M1047" s="338" t="s">
        <v>2264</v>
      </c>
      <c r="N1047" s="318" t="s">
        <v>41</v>
      </c>
    </row>
    <row r="1048" spans="2:14" ht="15.9" customHeight="1" x14ac:dyDescent="0.3">
      <c r="B1048" s="332" t="s">
        <v>2127</v>
      </c>
      <c r="C1048" s="311" t="s">
        <v>2235</v>
      </c>
      <c r="D1048" s="318" t="s">
        <v>2264</v>
      </c>
      <c r="E1048" s="318">
        <v>32151318</v>
      </c>
      <c r="F1048" s="333" t="s">
        <v>2265</v>
      </c>
      <c r="G1048" s="437"/>
      <c r="H1048" s="337">
        <v>32072230</v>
      </c>
      <c r="I1048" s="337" t="s">
        <v>2235</v>
      </c>
      <c r="J1048" s="317" t="s">
        <v>2270</v>
      </c>
      <c r="K1048" s="338"/>
      <c r="L1048" s="318">
        <v>7</v>
      </c>
      <c r="M1048" s="338" t="s">
        <v>2264</v>
      </c>
      <c r="N1048" s="318" t="s">
        <v>1</v>
      </c>
    </row>
    <row r="1049" spans="2:14" ht="15.9" customHeight="1" x14ac:dyDescent="0.3">
      <c r="B1049" s="332" t="s">
        <v>2127</v>
      </c>
      <c r="C1049" s="311" t="s">
        <v>2235</v>
      </c>
      <c r="D1049" s="318" t="s">
        <v>2264</v>
      </c>
      <c r="E1049" s="318">
        <v>32151318</v>
      </c>
      <c r="F1049" s="333" t="s">
        <v>2265</v>
      </c>
      <c r="G1049" s="437"/>
      <c r="H1049" s="337">
        <v>32044401</v>
      </c>
      <c r="I1049" s="337" t="s">
        <v>2235</v>
      </c>
      <c r="J1049" s="317" t="s">
        <v>2271</v>
      </c>
      <c r="K1049" s="338"/>
      <c r="L1049" s="318">
        <v>7</v>
      </c>
      <c r="M1049" s="338" t="s">
        <v>2264</v>
      </c>
      <c r="N1049" s="318" t="s">
        <v>47</v>
      </c>
    </row>
    <row r="1050" spans="2:14" ht="15.9" customHeight="1" x14ac:dyDescent="0.3">
      <c r="B1050" s="332" t="s">
        <v>2127</v>
      </c>
      <c r="C1050" s="311" t="s">
        <v>2235</v>
      </c>
      <c r="D1050" s="318" t="s">
        <v>2264</v>
      </c>
      <c r="E1050" s="318">
        <v>32151318</v>
      </c>
      <c r="F1050" s="333" t="s">
        <v>2265</v>
      </c>
      <c r="G1050" s="437"/>
      <c r="H1050" s="337">
        <v>32137944</v>
      </c>
      <c r="I1050" s="337" t="s">
        <v>2235</v>
      </c>
      <c r="J1050" s="317" t="s">
        <v>2272</v>
      </c>
      <c r="K1050" s="338"/>
      <c r="L1050" s="318">
        <v>7</v>
      </c>
      <c r="M1050" s="338" t="s">
        <v>2264</v>
      </c>
      <c r="N1050" s="318" t="s">
        <v>719</v>
      </c>
    </row>
    <row r="1051" spans="2:14" ht="15.9" customHeight="1" x14ac:dyDescent="0.3">
      <c r="B1051" s="332" t="s">
        <v>2127</v>
      </c>
      <c r="C1051" s="311" t="s">
        <v>2235</v>
      </c>
      <c r="D1051" s="318" t="s">
        <v>2273</v>
      </c>
      <c r="E1051" s="318">
        <v>32044061</v>
      </c>
      <c r="F1051" s="333" t="s">
        <v>2274</v>
      </c>
      <c r="G1051" s="437"/>
      <c r="H1051" s="337">
        <v>32043950</v>
      </c>
      <c r="I1051" s="337" t="s">
        <v>2235</v>
      </c>
      <c r="J1051" s="317" t="s">
        <v>2275</v>
      </c>
      <c r="K1051" s="338"/>
      <c r="L1051" s="318">
        <v>8</v>
      </c>
      <c r="M1051" s="338" t="s">
        <v>2273</v>
      </c>
      <c r="N1051" s="318" t="s">
        <v>2276</v>
      </c>
    </row>
    <row r="1052" spans="2:14" ht="15.9" customHeight="1" x14ac:dyDescent="0.3">
      <c r="B1052" s="332" t="s">
        <v>2127</v>
      </c>
      <c r="C1052" s="311" t="s">
        <v>2235</v>
      </c>
      <c r="D1052" s="318" t="s">
        <v>2273</v>
      </c>
      <c r="E1052" s="318">
        <v>32044061</v>
      </c>
      <c r="F1052" s="333" t="s">
        <v>2274</v>
      </c>
      <c r="G1052" s="437"/>
      <c r="H1052" s="337">
        <v>32146000</v>
      </c>
      <c r="I1052" s="337" t="s">
        <v>2235</v>
      </c>
      <c r="J1052" s="317" t="s">
        <v>2277</v>
      </c>
      <c r="K1052" s="338"/>
      <c r="L1052" s="318">
        <v>8</v>
      </c>
      <c r="M1052" s="338" t="s">
        <v>2273</v>
      </c>
      <c r="N1052" s="318" t="s">
        <v>44</v>
      </c>
    </row>
    <row r="1053" spans="2:14" ht="15.9" customHeight="1" x14ac:dyDescent="0.3">
      <c r="B1053" s="332" t="s">
        <v>2127</v>
      </c>
      <c r="C1053" s="311" t="s">
        <v>2235</v>
      </c>
      <c r="D1053" s="318" t="s">
        <v>2273</v>
      </c>
      <c r="E1053" s="318">
        <v>32044061</v>
      </c>
      <c r="F1053" s="333" t="s">
        <v>2274</v>
      </c>
      <c r="G1053" s="437"/>
      <c r="H1053" s="337">
        <v>32044814</v>
      </c>
      <c r="I1053" s="337" t="s">
        <v>2235</v>
      </c>
      <c r="J1053" s="317" t="s">
        <v>2278</v>
      </c>
      <c r="K1053" s="338"/>
      <c r="L1053" s="318">
        <v>8</v>
      </c>
      <c r="M1053" s="338" t="s">
        <v>2273</v>
      </c>
      <c r="N1053" s="318" t="s">
        <v>179</v>
      </c>
    </row>
    <row r="1054" spans="2:14" ht="15.9" customHeight="1" x14ac:dyDescent="0.3">
      <c r="B1054" s="332" t="s">
        <v>2127</v>
      </c>
      <c r="C1054" s="311" t="s">
        <v>2235</v>
      </c>
      <c r="D1054" s="318" t="s">
        <v>2273</v>
      </c>
      <c r="E1054" s="318">
        <v>32044061</v>
      </c>
      <c r="F1054" s="333" t="s">
        <v>2274</v>
      </c>
      <c r="G1054" s="437"/>
      <c r="H1054" s="337">
        <v>32044357</v>
      </c>
      <c r="I1054" s="337" t="s">
        <v>2235</v>
      </c>
      <c r="J1054" s="317" t="s">
        <v>2279</v>
      </c>
      <c r="K1054" s="338"/>
      <c r="L1054" s="318">
        <v>8</v>
      </c>
      <c r="M1054" s="338" t="s">
        <v>2273</v>
      </c>
      <c r="N1054" s="318" t="s">
        <v>2145</v>
      </c>
    </row>
    <row r="1055" spans="2:14" ht="15.9" customHeight="1" x14ac:dyDescent="0.3">
      <c r="B1055" s="332" t="s">
        <v>2127</v>
      </c>
      <c r="C1055" s="311" t="s">
        <v>2235</v>
      </c>
      <c r="D1055" s="318" t="s">
        <v>2273</v>
      </c>
      <c r="E1055" s="318">
        <v>32044061</v>
      </c>
      <c r="F1055" s="333" t="s">
        <v>2274</v>
      </c>
      <c r="G1055" s="437"/>
      <c r="H1055" s="337">
        <v>32044072</v>
      </c>
      <c r="I1055" s="337" t="s">
        <v>2235</v>
      </c>
      <c r="J1055" s="317" t="s">
        <v>2280</v>
      </c>
      <c r="K1055" s="338"/>
      <c r="L1055" s="318">
        <v>8</v>
      </c>
      <c r="M1055" s="338" t="s">
        <v>2273</v>
      </c>
      <c r="N1055" s="318" t="s">
        <v>1684</v>
      </c>
    </row>
    <row r="1056" spans="2:14" ht="15.9" customHeight="1" x14ac:dyDescent="0.3">
      <c r="B1056" s="332" t="s">
        <v>2127</v>
      </c>
      <c r="C1056" s="311" t="s">
        <v>2235</v>
      </c>
      <c r="D1056" s="318" t="s">
        <v>2273</v>
      </c>
      <c r="E1056" s="318">
        <v>32044061</v>
      </c>
      <c r="F1056" s="333" t="s">
        <v>2274</v>
      </c>
      <c r="G1056" s="437"/>
      <c r="H1056" s="337">
        <v>32061266</v>
      </c>
      <c r="I1056" s="337" t="s">
        <v>2235</v>
      </c>
      <c r="J1056" s="317" t="s">
        <v>2281</v>
      </c>
      <c r="K1056" s="338"/>
      <c r="L1056" s="318">
        <v>8</v>
      </c>
      <c r="M1056" s="338" t="s">
        <v>2273</v>
      </c>
      <c r="N1056" s="318" t="s">
        <v>47</v>
      </c>
    </row>
    <row r="1057" spans="2:14" ht="15.9" customHeight="1" x14ac:dyDescent="0.3">
      <c r="B1057" s="332" t="s">
        <v>2127</v>
      </c>
      <c r="C1057" s="311" t="s">
        <v>2235</v>
      </c>
      <c r="D1057" s="318" t="s">
        <v>2273</v>
      </c>
      <c r="E1057" s="318">
        <v>32044061</v>
      </c>
      <c r="F1057" s="333" t="s">
        <v>2274</v>
      </c>
      <c r="G1057" s="437"/>
      <c r="H1057" s="337">
        <v>32146281</v>
      </c>
      <c r="I1057" s="337" t="s">
        <v>2235</v>
      </c>
      <c r="J1057" s="317" t="s">
        <v>2282</v>
      </c>
      <c r="K1057" s="338"/>
      <c r="L1057" s="318">
        <v>8</v>
      </c>
      <c r="M1057" s="338" t="s">
        <v>2273</v>
      </c>
      <c r="N1057" s="318" t="s">
        <v>41</v>
      </c>
    </row>
    <row r="1058" spans="2:14" ht="15.9" customHeight="1" x14ac:dyDescent="0.3">
      <c r="B1058" s="332" t="s">
        <v>2127</v>
      </c>
      <c r="C1058" s="311" t="s">
        <v>2235</v>
      </c>
      <c r="D1058" s="318" t="s">
        <v>2273</v>
      </c>
      <c r="E1058" s="318">
        <v>32044061</v>
      </c>
      <c r="F1058" s="333" t="s">
        <v>2274</v>
      </c>
      <c r="G1058" s="437"/>
      <c r="H1058" s="337">
        <v>32045476</v>
      </c>
      <c r="I1058" s="337" t="s">
        <v>2235</v>
      </c>
      <c r="J1058" s="317" t="s">
        <v>2283</v>
      </c>
      <c r="K1058" s="338"/>
      <c r="L1058" s="318">
        <v>8</v>
      </c>
      <c r="M1058" s="338" t="s">
        <v>2273</v>
      </c>
      <c r="N1058" s="318" t="s">
        <v>511</v>
      </c>
    </row>
    <row r="1059" spans="2:14" ht="15.9" customHeight="1" x14ac:dyDescent="0.3">
      <c r="B1059" s="332" t="s">
        <v>2127</v>
      </c>
      <c r="C1059" s="311" t="s">
        <v>2284</v>
      </c>
      <c r="D1059" s="318" t="s">
        <v>2285</v>
      </c>
      <c r="E1059" s="318">
        <v>32044913</v>
      </c>
      <c r="F1059" s="333" t="s">
        <v>2286</v>
      </c>
      <c r="G1059" s="437"/>
      <c r="H1059" s="337">
        <v>32044248</v>
      </c>
      <c r="I1059" s="337" t="s">
        <v>2284</v>
      </c>
      <c r="J1059" s="317" t="s">
        <v>2287</v>
      </c>
      <c r="K1059" s="338"/>
      <c r="L1059" s="318">
        <v>10</v>
      </c>
      <c r="M1059" s="338" t="s">
        <v>2285</v>
      </c>
      <c r="N1059" s="318" t="s">
        <v>41</v>
      </c>
    </row>
    <row r="1060" spans="2:14" ht="15.9" customHeight="1" x14ac:dyDescent="0.3">
      <c r="B1060" s="332" t="s">
        <v>2127</v>
      </c>
      <c r="C1060" s="311" t="s">
        <v>2284</v>
      </c>
      <c r="D1060" s="318" t="s">
        <v>2285</v>
      </c>
      <c r="E1060" s="318">
        <v>32044913</v>
      </c>
      <c r="F1060" s="333" t="s">
        <v>2286</v>
      </c>
      <c r="G1060" s="437"/>
      <c r="H1060" s="337">
        <v>32044491</v>
      </c>
      <c r="I1060" s="337" t="s">
        <v>2284</v>
      </c>
      <c r="J1060" s="317" t="s">
        <v>2288</v>
      </c>
      <c r="K1060" s="338"/>
      <c r="L1060" s="318">
        <v>10</v>
      </c>
      <c r="M1060" s="338" t="s">
        <v>2285</v>
      </c>
      <c r="N1060" s="318" t="s">
        <v>461</v>
      </c>
    </row>
    <row r="1061" spans="2:14" ht="15.9" customHeight="1" x14ac:dyDescent="0.3">
      <c r="B1061" s="332" t="s">
        <v>2127</v>
      </c>
      <c r="C1061" s="311" t="s">
        <v>2284</v>
      </c>
      <c r="D1061" s="318" t="s">
        <v>2285</v>
      </c>
      <c r="E1061" s="318">
        <v>32044913</v>
      </c>
      <c r="F1061" s="333" t="s">
        <v>2286</v>
      </c>
      <c r="G1061" s="437"/>
      <c r="H1061" s="337">
        <v>32044685</v>
      </c>
      <c r="I1061" s="337" t="s">
        <v>2284</v>
      </c>
      <c r="J1061" s="317" t="s">
        <v>2289</v>
      </c>
      <c r="K1061" s="338"/>
      <c r="L1061" s="318">
        <v>10</v>
      </c>
      <c r="M1061" s="338" t="s">
        <v>2285</v>
      </c>
      <c r="N1061" s="318" t="s">
        <v>179</v>
      </c>
    </row>
    <row r="1062" spans="2:14" ht="15.9" customHeight="1" x14ac:dyDescent="0.3">
      <c r="B1062" s="332" t="s">
        <v>2127</v>
      </c>
      <c r="C1062" s="311" t="s">
        <v>2284</v>
      </c>
      <c r="D1062" s="318" t="s">
        <v>2285</v>
      </c>
      <c r="E1062" s="318">
        <v>32044913</v>
      </c>
      <c r="F1062" s="333" t="s">
        <v>2286</v>
      </c>
      <c r="G1062" s="437"/>
      <c r="H1062" s="337">
        <v>32045217</v>
      </c>
      <c r="I1062" s="337" t="s">
        <v>2284</v>
      </c>
      <c r="J1062" s="317" t="s">
        <v>2290</v>
      </c>
      <c r="K1062" s="338"/>
      <c r="L1062" s="318">
        <v>10</v>
      </c>
      <c r="M1062" s="338" t="s">
        <v>2285</v>
      </c>
      <c r="N1062" s="318" t="s">
        <v>1</v>
      </c>
    </row>
    <row r="1063" spans="2:14" ht="15.9" customHeight="1" x14ac:dyDescent="0.3">
      <c r="B1063" s="332" t="s">
        <v>2127</v>
      </c>
      <c r="C1063" s="311" t="s">
        <v>2284</v>
      </c>
      <c r="D1063" s="318" t="s">
        <v>2285</v>
      </c>
      <c r="E1063" s="318">
        <v>32044913</v>
      </c>
      <c r="F1063" s="333" t="s">
        <v>2286</v>
      </c>
      <c r="G1063" s="437"/>
      <c r="H1063" s="337">
        <v>32045883</v>
      </c>
      <c r="I1063" s="337" t="s">
        <v>2284</v>
      </c>
      <c r="J1063" s="317" t="s">
        <v>2291</v>
      </c>
      <c r="K1063" s="338"/>
      <c r="L1063" s="318">
        <v>10</v>
      </c>
      <c r="M1063" s="338" t="s">
        <v>2285</v>
      </c>
      <c r="N1063" s="318" t="s">
        <v>44</v>
      </c>
    </row>
    <row r="1064" spans="2:14" ht="15.9" customHeight="1" x14ac:dyDescent="0.3">
      <c r="B1064" s="332" t="s">
        <v>2127</v>
      </c>
      <c r="C1064" s="311" t="s">
        <v>2284</v>
      </c>
      <c r="D1064" s="318" t="s">
        <v>2285</v>
      </c>
      <c r="E1064" s="318">
        <v>32044913</v>
      </c>
      <c r="F1064" s="333" t="s">
        <v>2286</v>
      </c>
      <c r="G1064" s="437"/>
      <c r="H1064" s="337">
        <v>32044063</v>
      </c>
      <c r="I1064" s="337" t="s">
        <v>2284</v>
      </c>
      <c r="J1064" s="317" t="s">
        <v>2292</v>
      </c>
      <c r="K1064" s="338"/>
      <c r="L1064" s="318">
        <v>10</v>
      </c>
      <c r="M1064" s="338" t="s">
        <v>2285</v>
      </c>
      <c r="N1064" s="318" t="s">
        <v>511</v>
      </c>
    </row>
    <row r="1065" spans="2:14" ht="15.9" customHeight="1" x14ac:dyDescent="0.3">
      <c r="B1065" s="332" t="s">
        <v>2127</v>
      </c>
      <c r="C1065" s="311" t="s">
        <v>2284</v>
      </c>
      <c r="D1065" s="318" t="s">
        <v>2285</v>
      </c>
      <c r="E1065" s="318">
        <v>32044913</v>
      </c>
      <c r="F1065" s="333" t="s">
        <v>2286</v>
      </c>
      <c r="G1065" s="437"/>
      <c r="H1065" s="337">
        <v>32044925</v>
      </c>
      <c r="I1065" s="337" t="s">
        <v>2284</v>
      </c>
      <c r="J1065" s="317" t="s">
        <v>2293</v>
      </c>
      <c r="K1065" s="338"/>
      <c r="L1065" s="318">
        <v>10</v>
      </c>
      <c r="M1065" s="338" t="s">
        <v>2285</v>
      </c>
      <c r="N1065" s="318" t="s">
        <v>2145</v>
      </c>
    </row>
    <row r="1066" spans="2:14" ht="15.9" customHeight="1" x14ac:dyDescent="0.3">
      <c r="B1066" s="332" t="s">
        <v>2127</v>
      </c>
      <c r="C1066" s="311" t="s">
        <v>2284</v>
      </c>
      <c r="D1066" s="318" t="s">
        <v>2285</v>
      </c>
      <c r="E1066" s="318">
        <v>32044913</v>
      </c>
      <c r="F1066" s="333" t="s">
        <v>2286</v>
      </c>
      <c r="G1066" s="437"/>
      <c r="H1066" s="337">
        <v>32046050</v>
      </c>
      <c r="I1066" s="337" t="s">
        <v>2284</v>
      </c>
      <c r="J1066" s="317" t="s">
        <v>2294</v>
      </c>
      <c r="K1066" s="338"/>
      <c r="L1066" s="318">
        <v>10</v>
      </c>
      <c r="M1066" s="338" t="s">
        <v>2285</v>
      </c>
      <c r="N1066" s="318" t="s">
        <v>35</v>
      </c>
    </row>
    <row r="1067" spans="2:14" ht="15.9" customHeight="1" x14ac:dyDescent="0.3">
      <c r="B1067" s="332" t="s">
        <v>2127</v>
      </c>
      <c r="C1067" s="311" t="s">
        <v>2284</v>
      </c>
      <c r="D1067" s="318" t="s">
        <v>2285</v>
      </c>
      <c r="E1067" s="318">
        <v>32044913</v>
      </c>
      <c r="F1067" s="333" t="s">
        <v>2286</v>
      </c>
      <c r="G1067" s="437"/>
      <c r="H1067" s="337">
        <v>32044677</v>
      </c>
      <c r="I1067" s="337" t="s">
        <v>2284</v>
      </c>
      <c r="J1067" s="317" t="s">
        <v>2295</v>
      </c>
      <c r="K1067" s="338"/>
      <c r="L1067" s="318">
        <v>10</v>
      </c>
      <c r="M1067" s="338" t="s">
        <v>2285</v>
      </c>
      <c r="N1067" s="318" t="s">
        <v>47</v>
      </c>
    </row>
    <row r="1068" spans="2:14" ht="15.9" customHeight="1" x14ac:dyDescent="0.3">
      <c r="B1068" s="332" t="s">
        <v>2127</v>
      </c>
      <c r="C1068" s="311" t="s">
        <v>2284</v>
      </c>
      <c r="D1068" s="318" t="s">
        <v>2285</v>
      </c>
      <c r="E1068" s="318">
        <v>32044913</v>
      </c>
      <c r="F1068" s="333" t="s">
        <v>2286</v>
      </c>
      <c r="G1068" s="437"/>
      <c r="H1068" s="337">
        <v>32043986</v>
      </c>
      <c r="I1068" s="337" t="s">
        <v>2284</v>
      </c>
      <c r="J1068" s="317" t="s">
        <v>2296</v>
      </c>
      <c r="K1068" s="338"/>
      <c r="L1068" s="318">
        <v>10</v>
      </c>
      <c r="M1068" s="338" t="s">
        <v>2285</v>
      </c>
      <c r="N1068" s="318" t="s">
        <v>719</v>
      </c>
    </row>
    <row r="1069" spans="2:14" ht="15.9" customHeight="1" x14ac:dyDescent="0.3">
      <c r="B1069" s="332" t="s">
        <v>2127</v>
      </c>
      <c r="C1069" s="311" t="s">
        <v>2284</v>
      </c>
      <c r="D1069" s="318" t="s">
        <v>2297</v>
      </c>
      <c r="E1069" s="318">
        <v>32045092</v>
      </c>
      <c r="F1069" s="333" t="s">
        <v>2298</v>
      </c>
      <c r="G1069" s="437"/>
      <c r="H1069" s="337">
        <v>32046064</v>
      </c>
      <c r="I1069" s="337" t="s">
        <v>2284</v>
      </c>
      <c r="J1069" s="317" t="s">
        <v>2299</v>
      </c>
      <c r="K1069" s="338"/>
      <c r="L1069" s="318">
        <v>12</v>
      </c>
      <c r="M1069" s="338" t="s">
        <v>2297</v>
      </c>
      <c r="N1069" s="318" t="s">
        <v>41</v>
      </c>
    </row>
    <row r="1070" spans="2:14" ht="15.9" customHeight="1" x14ac:dyDescent="0.3">
      <c r="B1070" s="332" t="s">
        <v>2127</v>
      </c>
      <c r="C1070" s="311" t="s">
        <v>2284</v>
      </c>
      <c r="D1070" s="318" t="s">
        <v>2297</v>
      </c>
      <c r="E1070" s="318">
        <v>32045092</v>
      </c>
      <c r="F1070" s="333" t="s">
        <v>2298</v>
      </c>
      <c r="G1070" s="437"/>
      <c r="H1070" s="337">
        <v>32044250</v>
      </c>
      <c r="I1070" s="337" t="s">
        <v>2284</v>
      </c>
      <c r="J1070" s="317" t="s">
        <v>2300</v>
      </c>
      <c r="K1070" s="338"/>
      <c r="L1070" s="318">
        <v>12</v>
      </c>
      <c r="M1070" s="338" t="s">
        <v>2297</v>
      </c>
      <c r="N1070" s="318" t="s">
        <v>1</v>
      </c>
    </row>
    <row r="1071" spans="2:14" ht="15.9" customHeight="1" x14ac:dyDescent="0.3">
      <c r="B1071" s="332" t="s">
        <v>2127</v>
      </c>
      <c r="C1071" s="311" t="s">
        <v>2284</v>
      </c>
      <c r="D1071" s="318" t="s">
        <v>2297</v>
      </c>
      <c r="E1071" s="318">
        <v>32045092</v>
      </c>
      <c r="F1071" s="333" t="s">
        <v>2298</v>
      </c>
      <c r="G1071" s="437"/>
      <c r="H1071" s="337">
        <v>32045215</v>
      </c>
      <c r="I1071" s="337" t="s">
        <v>2284</v>
      </c>
      <c r="J1071" s="317" t="s">
        <v>2301</v>
      </c>
      <c r="K1071" s="338"/>
      <c r="L1071" s="318">
        <v>12</v>
      </c>
      <c r="M1071" s="338" t="s">
        <v>2297</v>
      </c>
      <c r="N1071" s="318" t="s">
        <v>44</v>
      </c>
    </row>
    <row r="1072" spans="2:14" ht="15.9" customHeight="1" x14ac:dyDescent="0.3">
      <c r="B1072" s="332" t="s">
        <v>2127</v>
      </c>
      <c r="C1072" s="311" t="s">
        <v>2284</v>
      </c>
      <c r="D1072" s="318" t="s">
        <v>2297</v>
      </c>
      <c r="E1072" s="318">
        <v>32045092</v>
      </c>
      <c r="F1072" s="333" t="s">
        <v>2298</v>
      </c>
      <c r="G1072" s="437"/>
      <c r="H1072" s="337">
        <v>32146288</v>
      </c>
      <c r="I1072" s="337" t="s">
        <v>2284</v>
      </c>
      <c r="J1072" s="317" t="s">
        <v>2302</v>
      </c>
      <c r="K1072" s="338"/>
      <c r="L1072" s="318">
        <v>12</v>
      </c>
      <c r="M1072" s="338" t="s">
        <v>2297</v>
      </c>
      <c r="N1072" s="318" t="s">
        <v>511</v>
      </c>
    </row>
    <row r="1073" spans="2:14" ht="15.9" customHeight="1" x14ac:dyDescent="0.3">
      <c r="B1073" s="332" t="s">
        <v>2127</v>
      </c>
      <c r="C1073" s="311" t="s">
        <v>2284</v>
      </c>
      <c r="D1073" s="318" t="s">
        <v>2297</v>
      </c>
      <c r="E1073" s="318">
        <v>32045092</v>
      </c>
      <c r="F1073" s="333" t="s">
        <v>2298</v>
      </c>
      <c r="G1073" s="437"/>
      <c r="H1073" s="337">
        <v>32043788</v>
      </c>
      <c r="I1073" s="337" t="s">
        <v>2284</v>
      </c>
      <c r="J1073" s="317" t="s">
        <v>2303</v>
      </c>
      <c r="K1073" s="338"/>
      <c r="L1073" s="318">
        <v>12</v>
      </c>
      <c r="M1073" s="338" t="s">
        <v>2297</v>
      </c>
      <c r="N1073" s="318" t="s">
        <v>2145</v>
      </c>
    </row>
    <row r="1074" spans="2:14" ht="15.9" customHeight="1" x14ac:dyDescent="0.3">
      <c r="B1074" s="332" t="s">
        <v>2127</v>
      </c>
      <c r="C1074" s="311" t="s">
        <v>2284</v>
      </c>
      <c r="D1074" s="318" t="s">
        <v>2297</v>
      </c>
      <c r="E1074" s="318">
        <v>32045092</v>
      </c>
      <c r="F1074" s="333" t="s">
        <v>2298</v>
      </c>
      <c r="G1074" s="437"/>
      <c r="H1074" s="337">
        <v>32044292</v>
      </c>
      <c r="I1074" s="337" t="s">
        <v>2284</v>
      </c>
      <c r="J1074" s="317" t="s">
        <v>2304</v>
      </c>
      <c r="K1074" s="338"/>
      <c r="L1074" s="318">
        <v>12</v>
      </c>
      <c r="M1074" s="338" t="s">
        <v>2297</v>
      </c>
      <c r="N1074" s="318" t="s">
        <v>481</v>
      </c>
    </row>
    <row r="1075" spans="2:14" ht="15.9" customHeight="1" x14ac:dyDescent="0.3">
      <c r="B1075" s="332" t="s">
        <v>2127</v>
      </c>
      <c r="C1075" s="311" t="s">
        <v>2284</v>
      </c>
      <c r="D1075" s="318" t="s">
        <v>2297</v>
      </c>
      <c r="E1075" s="318">
        <v>32045092</v>
      </c>
      <c r="F1075" s="333" t="s">
        <v>2298</v>
      </c>
      <c r="G1075" s="437"/>
      <c r="H1075" s="337">
        <v>32043828</v>
      </c>
      <c r="I1075" s="337" t="s">
        <v>2284</v>
      </c>
      <c r="J1075" s="317" t="s">
        <v>2305</v>
      </c>
      <c r="K1075" s="338"/>
      <c r="L1075" s="318">
        <v>12</v>
      </c>
      <c r="M1075" s="338" t="s">
        <v>2297</v>
      </c>
      <c r="N1075" s="318" t="s">
        <v>35</v>
      </c>
    </row>
    <row r="1076" spans="2:14" ht="15.9" customHeight="1" x14ac:dyDescent="0.3">
      <c r="B1076" s="332" t="s">
        <v>2127</v>
      </c>
      <c r="C1076" s="311" t="s">
        <v>2284</v>
      </c>
      <c r="D1076" s="318" t="s">
        <v>2297</v>
      </c>
      <c r="E1076" s="318">
        <v>32045092</v>
      </c>
      <c r="F1076" s="333" t="s">
        <v>2298</v>
      </c>
      <c r="G1076" s="437"/>
      <c r="H1076" s="337">
        <v>32044190</v>
      </c>
      <c r="I1076" s="337" t="s">
        <v>2284</v>
      </c>
      <c r="J1076" s="317" t="s">
        <v>2306</v>
      </c>
      <c r="K1076" s="338"/>
      <c r="L1076" s="318">
        <v>12</v>
      </c>
      <c r="M1076" s="338" t="s">
        <v>2297</v>
      </c>
      <c r="N1076" s="318" t="s">
        <v>779</v>
      </c>
    </row>
    <row r="1077" spans="2:14" ht="15.9" customHeight="1" x14ac:dyDescent="0.3">
      <c r="B1077" s="332" t="s">
        <v>2127</v>
      </c>
      <c r="C1077" s="311" t="s">
        <v>2284</v>
      </c>
      <c r="D1077" s="318" t="s">
        <v>2297</v>
      </c>
      <c r="E1077" s="318">
        <v>32045092</v>
      </c>
      <c r="F1077" s="333" t="s">
        <v>2298</v>
      </c>
      <c r="G1077" s="437"/>
      <c r="H1077" s="337">
        <v>32043833</v>
      </c>
      <c r="I1077" s="337" t="s">
        <v>2284</v>
      </c>
      <c r="J1077" s="317" t="s">
        <v>2307</v>
      </c>
      <c r="K1077" s="338"/>
      <c r="L1077" s="318">
        <v>12</v>
      </c>
      <c r="M1077" s="338" t="s">
        <v>2297</v>
      </c>
      <c r="N1077" s="318" t="s">
        <v>2145</v>
      </c>
    </row>
    <row r="1078" spans="2:14" ht="15.9" customHeight="1" x14ac:dyDescent="0.3">
      <c r="B1078" s="332" t="s">
        <v>2127</v>
      </c>
      <c r="C1078" s="311" t="s">
        <v>2284</v>
      </c>
      <c r="D1078" s="318" t="s">
        <v>2297</v>
      </c>
      <c r="E1078" s="318">
        <v>32045092</v>
      </c>
      <c r="F1078" s="333" t="s">
        <v>2298</v>
      </c>
      <c r="G1078" s="437"/>
      <c r="H1078" s="337">
        <v>32045537</v>
      </c>
      <c r="I1078" s="337" t="s">
        <v>2284</v>
      </c>
      <c r="J1078" s="317" t="s">
        <v>2308</v>
      </c>
      <c r="K1078" s="338"/>
      <c r="L1078" s="318">
        <v>12</v>
      </c>
      <c r="M1078" s="338" t="s">
        <v>2297</v>
      </c>
      <c r="N1078" s="318" t="s">
        <v>719</v>
      </c>
    </row>
    <row r="1079" spans="2:14" ht="15.9" customHeight="1" x14ac:dyDescent="0.3">
      <c r="B1079" s="332" t="s">
        <v>2127</v>
      </c>
      <c r="C1079" s="311" t="s">
        <v>2284</v>
      </c>
      <c r="D1079" s="318" t="s">
        <v>2297</v>
      </c>
      <c r="E1079" s="318">
        <v>32045092</v>
      </c>
      <c r="F1079" s="333" t="s">
        <v>2298</v>
      </c>
      <c r="G1079" s="437"/>
      <c r="H1079" s="337">
        <v>32146674</v>
      </c>
      <c r="I1079" s="337" t="s">
        <v>2284</v>
      </c>
      <c r="J1079" s="317" t="s">
        <v>2309</v>
      </c>
      <c r="K1079" s="338"/>
      <c r="L1079" s="318">
        <v>12</v>
      </c>
      <c r="M1079" s="338" t="s">
        <v>2297</v>
      </c>
      <c r="N1079" s="318" t="s">
        <v>179</v>
      </c>
    </row>
    <row r="1080" spans="2:14" ht="15.9" customHeight="1" x14ac:dyDescent="0.3">
      <c r="B1080" s="332" t="s">
        <v>2127</v>
      </c>
      <c r="C1080" s="311" t="s">
        <v>2284</v>
      </c>
      <c r="D1080" s="318" t="s">
        <v>2297</v>
      </c>
      <c r="E1080" s="318">
        <v>32045092</v>
      </c>
      <c r="F1080" s="333" t="s">
        <v>2298</v>
      </c>
      <c r="G1080" s="437"/>
      <c r="H1080" s="337">
        <v>32044064</v>
      </c>
      <c r="I1080" s="337" t="s">
        <v>2284</v>
      </c>
      <c r="J1080" s="317" t="s">
        <v>2310</v>
      </c>
      <c r="K1080" s="338"/>
      <c r="L1080" s="318">
        <v>12</v>
      </c>
      <c r="M1080" s="338" t="s">
        <v>2297</v>
      </c>
      <c r="N1080" s="318" t="s">
        <v>47</v>
      </c>
    </row>
    <row r="1081" spans="2:14" ht="15.9" customHeight="1" x14ac:dyDescent="0.3">
      <c r="B1081" s="332" t="s">
        <v>2127</v>
      </c>
      <c r="C1081" s="311" t="s">
        <v>2311</v>
      </c>
      <c r="D1081" s="318" t="s">
        <v>2312</v>
      </c>
      <c r="E1081" s="318">
        <v>32045081</v>
      </c>
      <c r="F1081" s="333" t="s">
        <v>2313</v>
      </c>
      <c r="G1081" s="437"/>
      <c r="H1081" s="337">
        <v>32044306</v>
      </c>
      <c r="I1081" s="337" t="s">
        <v>2311</v>
      </c>
      <c r="J1081" s="317" t="s">
        <v>2314</v>
      </c>
      <c r="K1081" s="338"/>
      <c r="L1081" s="318">
        <v>5</v>
      </c>
      <c r="M1081" s="338" t="s">
        <v>2312</v>
      </c>
      <c r="N1081" s="318" t="s">
        <v>44</v>
      </c>
    </row>
    <row r="1082" spans="2:14" ht="15.9" customHeight="1" x14ac:dyDescent="0.3">
      <c r="B1082" s="332" t="s">
        <v>2127</v>
      </c>
      <c r="C1082" s="311" t="s">
        <v>2311</v>
      </c>
      <c r="D1082" s="318" t="s">
        <v>2312</v>
      </c>
      <c r="E1082" s="318">
        <v>32045081</v>
      </c>
      <c r="F1082" s="333" t="s">
        <v>2313</v>
      </c>
      <c r="G1082" s="437"/>
      <c r="H1082" s="337">
        <v>32064462</v>
      </c>
      <c r="I1082" s="337" t="s">
        <v>2311</v>
      </c>
      <c r="J1082" s="317" t="s">
        <v>2315</v>
      </c>
      <c r="K1082" s="338"/>
      <c r="L1082" s="318">
        <v>5</v>
      </c>
      <c r="M1082" s="338" t="s">
        <v>2312</v>
      </c>
      <c r="N1082" s="318" t="s">
        <v>179</v>
      </c>
    </row>
    <row r="1083" spans="2:14" ht="15.9" customHeight="1" x14ac:dyDescent="0.3">
      <c r="B1083" s="332" t="s">
        <v>2127</v>
      </c>
      <c r="C1083" s="311" t="s">
        <v>2311</v>
      </c>
      <c r="D1083" s="318" t="s">
        <v>2312</v>
      </c>
      <c r="E1083" s="318">
        <v>32045081</v>
      </c>
      <c r="F1083" s="333" t="s">
        <v>2313</v>
      </c>
      <c r="G1083" s="437"/>
      <c r="H1083" s="337">
        <v>32043837</v>
      </c>
      <c r="I1083" s="337" t="s">
        <v>2311</v>
      </c>
      <c r="J1083" s="317" t="s">
        <v>2316</v>
      </c>
      <c r="K1083" s="338"/>
      <c r="L1083" s="318">
        <v>5</v>
      </c>
      <c r="M1083" s="338" t="s">
        <v>2312</v>
      </c>
      <c r="N1083" s="318" t="s">
        <v>35</v>
      </c>
    </row>
    <row r="1084" spans="2:14" ht="15.9" customHeight="1" x14ac:dyDescent="0.3">
      <c r="B1084" s="332" t="s">
        <v>2127</v>
      </c>
      <c r="C1084" s="311" t="s">
        <v>2311</v>
      </c>
      <c r="D1084" s="318" t="s">
        <v>2312</v>
      </c>
      <c r="E1084" s="318">
        <v>32045081</v>
      </c>
      <c r="F1084" s="333" t="s">
        <v>2313</v>
      </c>
      <c r="G1084" s="437"/>
      <c r="H1084" s="337">
        <v>32045048</v>
      </c>
      <c r="I1084" s="337" t="s">
        <v>2311</v>
      </c>
      <c r="J1084" s="317" t="s">
        <v>2317</v>
      </c>
      <c r="K1084" s="338"/>
      <c r="L1084" s="318">
        <v>5</v>
      </c>
      <c r="M1084" s="338" t="s">
        <v>2312</v>
      </c>
      <c r="N1084" s="318" t="s">
        <v>47</v>
      </c>
    </row>
    <row r="1085" spans="2:14" ht="15.9" customHeight="1" x14ac:dyDescent="0.3">
      <c r="B1085" s="351" t="s">
        <v>2127</v>
      </c>
      <c r="C1085" s="352" t="s">
        <v>2311</v>
      </c>
      <c r="D1085" s="354" t="s">
        <v>2312</v>
      </c>
      <c r="E1085" s="354">
        <v>32045081</v>
      </c>
      <c r="F1085" s="376" t="s">
        <v>2313</v>
      </c>
      <c r="G1085" s="437"/>
      <c r="H1085" s="337">
        <v>32043846</v>
      </c>
      <c r="I1085" s="337" t="s">
        <v>2311</v>
      </c>
      <c r="J1085" s="317" t="s">
        <v>2318</v>
      </c>
      <c r="K1085" s="338"/>
      <c r="L1085" s="354">
        <v>5</v>
      </c>
      <c r="M1085" s="338" t="s">
        <v>2312</v>
      </c>
      <c r="N1085" s="354" t="s">
        <v>1</v>
      </c>
    </row>
    <row r="1086" spans="2:14" ht="15.9" customHeight="1" x14ac:dyDescent="0.3">
      <c r="B1086" s="332"/>
      <c r="C1086" s="311"/>
      <c r="D1086" s="318"/>
      <c r="E1086" s="318"/>
      <c r="F1086" s="333"/>
      <c r="G1086" s="437"/>
      <c r="H1086" s="374"/>
      <c r="I1086" s="440"/>
      <c r="J1086" s="338"/>
      <c r="K1086" s="374"/>
      <c r="L1086" s="318"/>
      <c r="M1086" s="317"/>
      <c r="N1086" s="312"/>
    </row>
  </sheetData>
  <mergeCells count="2047">
    <mergeCell ref="P6:W6"/>
    <mergeCell ref="CP1:CW1"/>
    <mergeCell ref="CX1:DE1"/>
    <mergeCell ref="DF1:DM1"/>
    <mergeCell ref="DN1:DU1"/>
    <mergeCell ref="DV1:EC1"/>
    <mergeCell ref="ED1:EK1"/>
    <mergeCell ref="AT1:BA1"/>
    <mergeCell ref="BB1:BI1"/>
    <mergeCell ref="BJ1:BQ1"/>
    <mergeCell ref="BR1:BY1"/>
    <mergeCell ref="BZ1:CG1"/>
    <mergeCell ref="CH1:CO1"/>
    <mergeCell ref="O1:U1"/>
    <mergeCell ref="V1:AC1"/>
    <mergeCell ref="AD1:AK1"/>
    <mergeCell ref="AL1:AS1"/>
    <mergeCell ref="ID1:IK1"/>
    <mergeCell ref="IL1:IS1"/>
    <mergeCell ref="IT1:JA1"/>
    <mergeCell ref="JB1:JI1"/>
    <mergeCell ref="JJ1:JQ1"/>
    <mergeCell ref="JR1:JY1"/>
    <mergeCell ref="GH1:GO1"/>
    <mergeCell ref="GP1:GW1"/>
    <mergeCell ref="GX1:HE1"/>
    <mergeCell ref="HF1:HM1"/>
    <mergeCell ref="HN1:HU1"/>
    <mergeCell ref="HV1:IC1"/>
    <mergeCell ref="EL1:ES1"/>
    <mergeCell ref="ET1:FA1"/>
    <mergeCell ref="FB1:FI1"/>
    <mergeCell ref="FJ1:FQ1"/>
    <mergeCell ref="FR1:FY1"/>
    <mergeCell ref="FZ1:GG1"/>
    <mergeCell ref="NR1:NY1"/>
    <mergeCell ref="NZ1:OG1"/>
    <mergeCell ref="OH1:OO1"/>
    <mergeCell ref="OP1:OW1"/>
    <mergeCell ref="OX1:PE1"/>
    <mergeCell ref="PF1:PM1"/>
    <mergeCell ref="LV1:MC1"/>
    <mergeCell ref="MD1:MK1"/>
    <mergeCell ref="ML1:MS1"/>
    <mergeCell ref="MT1:NA1"/>
    <mergeCell ref="NB1:NI1"/>
    <mergeCell ref="NJ1:NQ1"/>
    <mergeCell ref="JZ1:KG1"/>
    <mergeCell ref="KH1:KO1"/>
    <mergeCell ref="KP1:KW1"/>
    <mergeCell ref="KX1:LE1"/>
    <mergeCell ref="LF1:LM1"/>
    <mergeCell ref="LN1:LU1"/>
    <mergeCell ref="TF1:TM1"/>
    <mergeCell ref="TN1:TU1"/>
    <mergeCell ref="TV1:UC1"/>
    <mergeCell ref="UD1:UK1"/>
    <mergeCell ref="UL1:US1"/>
    <mergeCell ref="UT1:VA1"/>
    <mergeCell ref="RJ1:RQ1"/>
    <mergeCell ref="RR1:RY1"/>
    <mergeCell ref="RZ1:SG1"/>
    <mergeCell ref="SH1:SO1"/>
    <mergeCell ref="SP1:SW1"/>
    <mergeCell ref="SX1:TE1"/>
    <mergeCell ref="PN1:PU1"/>
    <mergeCell ref="PV1:QC1"/>
    <mergeCell ref="QD1:QK1"/>
    <mergeCell ref="QL1:QS1"/>
    <mergeCell ref="QT1:RA1"/>
    <mergeCell ref="RB1:RI1"/>
    <mergeCell ref="YT1:ZA1"/>
    <mergeCell ref="ZB1:ZI1"/>
    <mergeCell ref="ZJ1:ZQ1"/>
    <mergeCell ref="ZR1:ZY1"/>
    <mergeCell ref="ZZ1:AAG1"/>
    <mergeCell ref="AAH1:AAO1"/>
    <mergeCell ref="WX1:XE1"/>
    <mergeCell ref="XF1:XM1"/>
    <mergeCell ref="XN1:XU1"/>
    <mergeCell ref="XV1:YC1"/>
    <mergeCell ref="YD1:YK1"/>
    <mergeCell ref="YL1:YS1"/>
    <mergeCell ref="VB1:VI1"/>
    <mergeCell ref="VJ1:VQ1"/>
    <mergeCell ref="VR1:VY1"/>
    <mergeCell ref="VZ1:WG1"/>
    <mergeCell ref="WH1:WO1"/>
    <mergeCell ref="WP1:WW1"/>
    <mergeCell ref="AEH1:AEO1"/>
    <mergeCell ref="AEP1:AEW1"/>
    <mergeCell ref="AEX1:AFE1"/>
    <mergeCell ref="AFF1:AFM1"/>
    <mergeCell ref="AFN1:AFU1"/>
    <mergeCell ref="AFV1:AGC1"/>
    <mergeCell ref="ACL1:ACS1"/>
    <mergeCell ref="ACT1:ADA1"/>
    <mergeCell ref="ADB1:ADI1"/>
    <mergeCell ref="ADJ1:ADQ1"/>
    <mergeCell ref="ADR1:ADY1"/>
    <mergeCell ref="ADZ1:AEG1"/>
    <mergeCell ref="AAP1:AAW1"/>
    <mergeCell ref="AAX1:ABE1"/>
    <mergeCell ref="ABF1:ABM1"/>
    <mergeCell ref="ABN1:ABU1"/>
    <mergeCell ref="ABV1:ACC1"/>
    <mergeCell ref="ACD1:ACK1"/>
    <mergeCell ref="AJV1:AKC1"/>
    <mergeCell ref="AKD1:AKK1"/>
    <mergeCell ref="AKL1:AKS1"/>
    <mergeCell ref="AKT1:ALA1"/>
    <mergeCell ref="ALB1:ALI1"/>
    <mergeCell ref="ALJ1:ALQ1"/>
    <mergeCell ref="AHZ1:AIG1"/>
    <mergeCell ref="AIH1:AIO1"/>
    <mergeCell ref="AIP1:AIW1"/>
    <mergeCell ref="AIX1:AJE1"/>
    <mergeCell ref="AJF1:AJM1"/>
    <mergeCell ref="AJN1:AJU1"/>
    <mergeCell ref="AGD1:AGK1"/>
    <mergeCell ref="AGL1:AGS1"/>
    <mergeCell ref="AGT1:AHA1"/>
    <mergeCell ref="AHB1:AHI1"/>
    <mergeCell ref="AHJ1:AHQ1"/>
    <mergeCell ref="AHR1:AHY1"/>
    <mergeCell ref="APJ1:APQ1"/>
    <mergeCell ref="APR1:APY1"/>
    <mergeCell ref="APZ1:AQG1"/>
    <mergeCell ref="AQH1:AQO1"/>
    <mergeCell ref="AQP1:AQW1"/>
    <mergeCell ref="AQX1:ARE1"/>
    <mergeCell ref="ANN1:ANU1"/>
    <mergeCell ref="ANV1:AOC1"/>
    <mergeCell ref="AOD1:AOK1"/>
    <mergeCell ref="AOL1:AOS1"/>
    <mergeCell ref="AOT1:APA1"/>
    <mergeCell ref="APB1:API1"/>
    <mergeCell ref="ALR1:ALY1"/>
    <mergeCell ref="ALZ1:AMG1"/>
    <mergeCell ref="AMH1:AMO1"/>
    <mergeCell ref="AMP1:AMW1"/>
    <mergeCell ref="AMX1:ANE1"/>
    <mergeCell ref="ANF1:ANM1"/>
    <mergeCell ref="AUX1:AVE1"/>
    <mergeCell ref="AVF1:AVM1"/>
    <mergeCell ref="AVN1:AVU1"/>
    <mergeCell ref="AVV1:AWC1"/>
    <mergeCell ref="AWD1:AWK1"/>
    <mergeCell ref="AWL1:AWS1"/>
    <mergeCell ref="ATB1:ATI1"/>
    <mergeCell ref="ATJ1:ATQ1"/>
    <mergeCell ref="ATR1:ATY1"/>
    <mergeCell ref="ATZ1:AUG1"/>
    <mergeCell ref="AUH1:AUO1"/>
    <mergeCell ref="AUP1:AUW1"/>
    <mergeCell ref="ARF1:ARM1"/>
    <mergeCell ref="ARN1:ARU1"/>
    <mergeCell ref="ARV1:ASC1"/>
    <mergeCell ref="ASD1:ASK1"/>
    <mergeCell ref="ASL1:ASS1"/>
    <mergeCell ref="AST1:ATA1"/>
    <mergeCell ref="BAL1:BAS1"/>
    <mergeCell ref="BAT1:BBA1"/>
    <mergeCell ref="BBB1:BBI1"/>
    <mergeCell ref="BBJ1:BBQ1"/>
    <mergeCell ref="BBR1:BBY1"/>
    <mergeCell ref="BBZ1:BCG1"/>
    <mergeCell ref="AYP1:AYW1"/>
    <mergeCell ref="AYX1:AZE1"/>
    <mergeCell ref="AZF1:AZM1"/>
    <mergeCell ref="AZN1:AZU1"/>
    <mergeCell ref="AZV1:BAC1"/>
    <mergeCell ref="BAD1:BAK1"/>
    <mergeCell ref="AWT1:AXA1"/>
    <mergeCell ref="AXB1:AXI1"/>
    <mergeCell ref="AXJ1:AXQ1"/>
    <mergeCell ref="AXR1:AXY1"/>
    <mergeCell ref="AXZ1:AYG1"/>
    <mergeCell ref="AYH1:AYO1"/>
    <mergeCell ref="BFZ1:BGG1"/>
    <mergeCell ref="BGH1:BGO1"/>
    <mergeCell ref="BGP1:BGW1"/>
    <mergeCell ref="BGX1:BHE1"/>
    <mergeCell ref="BHF1:BHM1"/>
    <mergeCell ref="BHN1:BHU1"/>
    <mergeCell ref="BED1:BEK1"/>
    <mergeCell ref="BEL1:BES1"/>
    <mergeCell ref="BET1:BFA1"/>
    <mergeCell ref="BFB1:BFI1"/>
    <mergeCell ref="BFJ1:BFQ1"/>
    <mergeCell ref="BFR1:BFY1"/>
    <mergeCell ref="BCH1:BCO1"/>
    <mergeCell ref="BCP1:BCW1"/>
    <mergeCell ref="BCX1:BDE1"/>
    <mergeCell ref="BDF1:BDM1"/>
    <mergeCell ref="BDN1:BDU1"/>
    <mergeCell ref="BDV1:BEC1"/>
    <mergeCell ref="BLN1:BLU1"/>
    <mergeCell ref="BLV1:BMC1"/>
    <mergeCell ref="BMD1:BMK1"/>
    <mergeCell ref="BML1:BMS1"/>
    <mergeCell ref="BMT1:BNA1"/>
    <mergeCell ref="BNB1:BNI1"/>
    <mergeCell ref="BJR1:BJY1"/>
    <mergeCell ref="BJZ1:BKG1"/>
    <mergeCell ref="BKH1:BKO1"/>
    <mergeCell ref="BKP1:BKW1"/>
    <mergeCell ref="BKX1:BLE1"/>
    <mergeCell ref="BLF1:BLM1"/>
    <mergeCell ref="BHV1:BIC1"/>
    <mergeCell ref="BID1:BIK1"/>
    <mergeCell ref="BIL1:BIS1"/>
    <mergeCell ref="BIT1:BJA1"/>
    <mergeCell ref="BJB1:BJI1"/>
    <mergeCell ref="BJJ1:BJQ1"/>
    <mergeCell ref="BRB1:BRI1"/>
    <mergeCell ref="BRJ1:BRQ1"/>
    <mergeCell ref="BRR1:BRY1"/>
    <mergeCell ref="BRZ1:BSG1"/>
    <mergeCell ref="BSH1:BSO1"/>
    <mergeCell ref="BSP1:BSW1"/>
    <mergeCell ref="BPF1:BPM1"/>
    <mergeCell ref="BPN1:BPU1"/>
    <mergeCell ref="BPV1:BQC1"/>
    <mergeCell ref="BQD1:BQK1"/>
    <mergeCell ref="BQL1:BQS1"/>
    <mergeCell ref="BQT1:BRA1"/>
    <mergeCell ref="BNJ1:BNQ1"/>
    <mergeCell ref="BNR1:BNY1"/>
    <mergeCell ref="BNZ1:BOG1"/>
    <mergeCell ref="BOH1:BOO1"/>
    <mergeCell ref="BOP1:BOW1"/>
    <mergeCell ref="BOX1:BPE1"/>
    <mergeCell ref="BWP1:BWW1"/>
    <mergeCell ref="BWX1:BXE1"/>
    <mergeCell ref="BXF1:BXM1"/>
    <mergeCell ref="BXN1:BXU1"/>
    <mergeCell ref="BXV1:BYC1"/>
    <mergeCell ref="BYD1:BYK1"/>
    <mergeCell ref="BUT1:BVA1"/>
    <mergeCell ref="BVB1:BVI1"/>
    <mergeCell ref="BVJ1:BVQ1"/>
    <mergeCell ref="BVR1:BVY1"/>
    <mergeCell ref="BVZ1:BWG1"/>
    <mergeCell ref="BWH1:BWO1"/>
    <mergeCell ref="BSX1:BTE1"/>
    <mergeCell ref="BTF1:BTM1"/>
    <mergeCell ref="BTN1:BTU1"/>
    <mergeCell ref="BTV1:BUC1"/>
    <mergeCell ref="BUD1:BUK1"/>
    <mergeCell ref="BUL1:BUS1"/>
    <mergeCell ref="CCD1:CCK1"/>
    <mergeCell ref="CCL1:CCS1"/>
    <mergeCell ref="CCT1:CDA1"/>
    <mergeCell ref="CDB1:CDI1"/>
    <mergeCell ref="CDJ1:CDQ1"/>
    <mergeCell ref="CDR1:CDY1"/>
    <mergeCell ref="CAH1:CAO1"/>
    <mergeCell ref="CAP1:CAW1"/>
    <mergeCell ref="CAX1:CBE1"/>
    <mergeCell ref="CBF1:CBM1"/>
    <mergeCell ref="CBN1:CBU1"/>
    <mergeCell ref="CBV1:CCC1"/>
    <mergeCell ref="BYL1:BYS1"/>
    <mergeCell ref="BYT1:BZA1"/>
    <mergeCell ref="BZB1:BZI1"/>
    <mergeCell ref="BZJ1:BZQ1"/>
    <mergeCell ref="BZR1:BZY1"/>
    <mergeCell ref="BZZ1:CAG1"/>
    <mergeCell ref="CHR1:CHY1"/>
    <mergeCell ref="CHZ1:CIG1"/>
    <mergeCell ref="CIH1:CIO1"/>
    <mergeCell ref="CIP1:CIW1"/>
    <mergeCell ref="CIX1:CJE1"/>
    <mergeCell ref="CJF1:CJM1"/>
    <mergeCell ref="CFV1:CGC1"/>
    <mergeCell ref="CGD1:CGK1"/>
    <mergeCell ref="CGL1:CGS1"/>
    <mergeCell ref="CGT1:CHA1"/>
    <mergeCell ref="CHB1:CHI1"/>
    <mergeCell ref="CHJ1:CHQ1"/>
    <mergeCell ref="CDZ1:CEG1"/>
    <mergeCell ref="CEH1:CEO1"/>
    <mergeCell ref="CEP1:CEW1"/>
    <mergeCell ref="CEX1:CFE1"/>
    <mergeCell ref="CFF1:CFM1"/>
    <mergeCell ref="CFN1:CFU1"/>
    <mergeCell ref="CNF1:CNM1"/>
    <mergeCell ref="CNN1:CNU1"/>
    <mergeCell ref="CNV1:COC1"/>
    <mergeCell ref="COD1:COK1"/>
    <mergeCell ref="COL1:COS1"/>
    <mergeCell ref="COT1:CPA1"/>
    <mergeCell ref="CLJ1:CLQ1"/>
    <mergeCell ref="CLR1:CLY1"/>
    <mergeCell ref="CLZ1:CMG1"/>
    <mergeCell ref="CMH1:CMO1"/>
    <mergeCell ref="CMP1:CMW1"/>
    <mergeCell ref="CMX1:CNE1"/>
    <mergeCell ref="CJN1:CJU1"/>
    <mergeCell ref="CJV1:CKC1"/>
    <mergeCell ref="CKD1:CKK1"/>
    <mergeCell ref="CKL1:CKS1"/>
    <mergeCell ref="CKT1:CLA1"/>
    <mergeCell ref="CLB1:CLI1"/>
    <mergeCell ref="CST1:CTA1"/>
    <mergeCell ref="CTB1:CTI1"/>
    <mergeCell ref="CTJ1:CTQ1"/>
    <mergeCell ref="CTR1:CTY1"/>
    <mergeCell ref="CTZ1:CUG1"/>
    <mergeCell ref="CUH1:CUO1"/>
    <mergeCell ref="CQX1:CRE1"/>
    <mergeCell ref="CRF1:CRM1"/>
    <mergeCell ref="CRN1:CRU1"/>
    <mergeCell ref="CRV1:CSC1"/>
    <mergeCell ref="CSD1:CSK1"/>
    <mergeCell ref="CSL1:CSS1"/>
    <mergeCell ref="CPB1:CPI1"/>
    <mergeCell ref="CPJ1:CPQ1"/>
    <mergeCell ref="CPR1:CPY1"/>
    <mergeCell ref="CPZ1:CQG1"/>
    <mergeCell ref="CQH1:CQO1"/>
    <mergeCell ref="CQP1:CQW1"/>
    <mergeCell ref="CYH1:CYO1"/>
    <mergeCell ref="CYP1:CYW1"/>
    <mergeCell ref="CYX1:CZE1"/>
    <mergeCell ref="CZF1:CZM1"/>
    <mergeCell ref="CZN1:CZU1"/>
    <mergeCell ref="CZV1:DAC1"/>
    <mergeCell ref="CWL1:CWS1"/>
    <mergeCell ref="CWT1:CXA1"/>
    <mergeCell ref="CXB1:CXI1"/>
    <mergeCell ref="CXJ1:CXQ1"/>
    <mergeCell ref="CXR1:CXY1"/>
    <mergeCell ref="CXZ1:CYG1"/>
    <mergeCell ref="CUP1:CUW1"/>
    <mergeCell ref="CUX1:CVE1"/>
    <mergeCell ref="CVF1:CVM1"/>
    <mergeCell ref="CVN1:CVU1"/>
    <mergeCell ref="CVV1:CWC1"/>
    <mergeCell ref="CWD1:CWK1"/>
    <mergeCell ref="DDV1:DEC1"/>
    <mergeCell ref="DED1:DEK1"/>
    <mergeCell ref="DEL1:DES1"/>
    <mergeCell ref="DET1:DFA1"/>
    <mergeCell ref="DFB1:DFI1"/>
    <mergeCell ref="DFJ1:DFQ1"/>
    <mergeCell ref="DBZ1:DCG1"/>
    <mergeCell ref="DCH1:DCO1"/>
    <mergeCell ref="DCP1:DCW1"/>
    <mergeCell ref="DCX1:DDE1"/>
    <mergeCell ref="DDF1:DDM1"/>
    <mergeCell ref="DDN1:DDU1"/>
    <mergeCell ref="DAD1:DAK1"/>
    <mergeCell ref="DAL1:DAS1"/>
    <mergeCell ref="DAT1:DBA1"/>
    <mergeCell ref="DBB1:DBI1"/>
    <mergeCell ref="DBJ1:DBQ1"/>
    <mergeCell ref="DBR1:DBY1"/>
    <mergeCell ref="DJJ1:DJQ1"/>
    <mergeCell ref="DJR1:DJY1"/>
    <mergeCell ref="DJZ1:DKG1"/>
    <mergeCell ref="DKH1:DKO1"/>
    <mergeCell ref="DKP1:DKW1"/>
    <mergeCell ref="DKX1:DLE1"/>
    <mergeCell ref="DHN1:DHU1"/>
    <mergeCell ref="DHV1:DIC1"/>
    <mergeCell ref="DID1:DIK1"/>
    <mergeCell ref="DIL1:DIS1"/>
    <mergeCell ref="DIT1:DJA1"/>
    <mergeCell ref="DJB1:DJI1"/>
    <mergeCell ref="DFR1:DFY1"/>
    <mergeCell ref="DFZ1:DGG1"/>
    <mergeCell ref="DGH1:DGO1"/>
    <mergeCell ref="DGP1:DGW1"/>
    <mergeCell ref="DGX1:DHE1"/>
    <mergeCell ref="DHF1:DHM1"/>
    <mergeCell ref="DOX1:DPE1"/>
    <mergeCell ref="DPF1:DPM1"/>
    <mergeCell ref="DPN1:DPU1"/>
    <mergeCell ref="DPV1:DQC1"/>
    <mergeCell ref="DQD1:DQK1"/>
    <mergeCell ref="DQL1:DQS1"/>
    <mergeCell ref="DNB1:DNI1"/>
    <mergeCell ref="DNJ1:DNQ1"/>
    <mergeCell ref="DNR1:DNY1"/>
    <mergeCell ref="DNZ1:DOG1"/>
    <mergeCell ref="DOH1:DOO1"/>
    <mergeCell ref="DOP1:DOW1"/>
    <mergeCell ref="DLF1:DLM1"/>
    <mergeCell ref="DLN1:DLU1"/>
    <mergeCell ref="DLV1:DMC1"/>
    <mergeCell ref="DMD1:DMK1"/>
    <mergeCell ref="DML1:DMS1"/>
    <mergeCell ref="DMT1:DNA1"/>
    <mergeCell ref="DUL1:DUS1"/>
    <mergeCell ref="DUT1:DVA1"/>
    <mergeCell ref="DVB1:DVI1"/>
    <mergeCell ref="DVJ1:DVQ1"/>
    <mergeCell ref="DVR1:DVY1"/>
    <mergeCell ref="DVZ1:DWG1"/>
    <mergeCell ref="DSP1:DSW1"/>
    <mergeCell ref="DSX1:DTE1"/>
    <mergeCell ref="DTF1:DTM1"/>
    <mergeCell ref="DTN1:DTU1"/>
    <mergeCell ref="DTV1:DUC1"/>
    <mergeCell ref="DUD1:DUK1"/>
    <mergeCell ref="DQT1:DRA1"/>
    <mergeCell ref="DRB1:DRI1"/>
    <mergeCell ref="DRJ1:DRQ1"/>
    <mergeCell ref="DRR1:DRY1"/>
    <mergeCell ref="DRZ1:DSG1"/>
    <mergeCell ref="DSH1:DSO1"/>
    <mergeCell ref="DZZ1:EAG1"/>
    <mergeCell ref="EAH1:EAO1"/>
    <mergeCell ref="EAP1:EAW1"/>
    <mergeCell ref="EAX1:EBE1"/>
    <mergeCell ref="EBF1:EBM1"/>
    <mergeCell ref="EBN1:EBU1"/>
    <mergeCell ref="DYD1:DYK1"/>
    <mergeCell ref="DYL1:DYS1"/>
    <mergeCell ref="DYT1:DZA1"/>
    <mergeCell ref="DZB1:DZI1"/>
    <mergeCell ref="DZJ1:DZQ1"/>
    <mergeCell ref="DZR1:DZY1"/>
    <mergeCell ref="DWH1:DWO1"/>
    <mergeCell ref="DWP1:DWW1"/>
    <mergeCell ref="DWX1:DXE1"/>
    <mergeCell ref="DXF1:DXM1"/>
    <mergeCell ref="DXN1:DXU1"/>
    <mergeCell ref="DXV1:DYC1"/>
    <mergeCell ref="EFN1:EFU1"/>
    <mergeCell ref="EFV1:EGC1"/>
    <mergeCell ref="EGD1:EGK1"/>
    <mergeCell ref="EGL1:EGS1"/>
    <mergeCell ref="EGT1:EHA1"/>
    <mergeCell ref="EHB1:EHI1"/>
    <mergeCell ref="EDR1:EDY1"/>
    <mergeCell ref="EDZ1:EEG1"/>
    <mergeCell ref="EEH1:EEO1"/>
    <mergeCell ref="EEP1:EEW1"/>
    <mergeCell ref="EEX1:EFE1"/>
    <mergeCell ref="EFF1:EFM1"/>
    <mergeCell ref="EBV1:ECC1"/>
    <mergeCell ref="ECD1:ECK1"/>
    <mergeCell ref="ECL1:ECS1"/>
    <mergeCell ref="ECT1:EDA1"/>
    <mergeCell ref="EDB1:EDI1"/>
    <mergeCell ref="EDJ1:EDQ1"/>
    <mergeCell ref="ELB1:ELI1"/>
    <mergeCell ref="ELJ1:ELQ1"/>
    <mergeCell ref="ELR1:ELY1"/>
    <mergeCell ref="ELZ1:EMG1"/>
    <mergeCell ref="EMH1:EMO1"/>
    <mergeCell ref="EMP1:EMW1"/>
    <mergeCell ref="EJF1:EJM1"/>
    <mergeCell ref="EJN1:EJU1"/>
    <mergeCell ref="EJV1:EKC1"/>
    <mergeCell ref="EKD1:EKK1"/>
    <mergeCell ref="EKL1:EKS1"/>
    <mergeCell ref="EKT1:ELA1"/>
    <mergeCell ref="EHJ1:EHQ1"/>
    <mergeCell ref="EHR1:EHY1"/>
    <mergeCell ref="EHZ1:EIG1"/>
    <mergeCell ref="EIH1:EIO1"/>
    <mergeCell ref="EIP1:EIW1"/>
    <mergeCell ref="EIX1:EJE1"/>
    <mergeCell ref="EQP1:EQW1"/>
    <mergeCell ref="EQX1:ERE1"/>
    <mergeCell ref="ERF1:ERM1"/>
    <mergeCell ref="ERN1:ERU1"/>
    <mergeCell ref="ERV1:ESC1"/>
    <mergeCell ref="ESD1:ESK1"/>
    <mergeCell ref="EOT1:EPA1"/>
    <mergeCell ref="EPB1:EPI1"/>
    <mergeCell ref="EPJ1:EPQ1"/>
    <mergeCell ref="EPR1:EPY1"/>
    <mergeCell ref="EPZ1:EQG1"/>
    <mergeCell ref="EQH1:EQO1"/>
    <mergeCell ref="EMX1:ENE1"/>
    <mergeCell ref="ENF1:ENM1"/>
    <mergeCell ref="ENN1:ENU1"/>
    <mergeCell ref="ENV1:EOC1"/>
    <mergeCell ref="EOD1:EOK1"/>
    <mergeCell ref="EOL1:EOS1"/>
    <mergeCell ref="EWD1:EWK1"/>
    <mergeCell ref="EWL1:EWS1"/>
    <mergeCell ref="EWT1:EXA1"/>
    <mergeCell ref="EXB1:EXI1"/>
    <mergeCell ref="EXJ1:EXQ1"/>
    <mergeCell ref="EXR1:EXY1"/>
    <mergeCell ref="EUH1:EUO1"/>
    <mergeCell ref="EUP1:EUW1"/>
    <mergeCell ref="EUX1:EVE1"/>
    <mergeCell ref="EVF1:EVM1"/>
    <mergeCell ref="EVN1:EVU1"/>
    <mergeCell ref="EVV1:EWC1"/>
    <mergeCell ref="ESL1:ESS1"/>
    <mergeCell ref="EST1:ETA1"/>
    <mergeCell ref="ETB1:ETI1"/>
    <mergeCell ref="ETJ1:ETQ1"/>
    <mergeCell ref="ETR1:ETY1"/>
    <mergeCell ref="ETZ1:EUG1"/>
    <mergeCell ref="FBR1:FBY1"/>
    <mergeCell ref="FBZ1:FCG1"/>
    <mergeCell ref="FCH1:FCO1"/>
    <mergeCell ref="FCP1:FCW1"/>
    <mergeCell ref="FCX1:FDE1"/>
    <mergeCell ref="FDF1:FDM1"/>
    <mergeCell ref="EZV1:FAC1"/>
    <mergeCell ref="FAD1:FAK1"/>
    <mergeCell ref="FAL1:FAS1"/>
    <mergeCell ref="FAT1:FBA1"/>
    <mergeCell ref="FBB1:FBI1"/>
    <mergeCell ref="FBJ1:FBQ1"/>
    <mergeCell ref="EXZ1:EYG1"/>
    <mergeCell ref="EYH1:EYO1"/>
    <mergeCell ref="EYP1:EYW1"/>
    <mergeCell ref="EYX1:EZE1"/>
    <mergeCell ref="EZF1:EZM1"/>
    <mergeCell ref="EZN1:EZU1"/>
    <mergeCell ref="FHF1:FHM1"/>
    <mergeCell ref="FHN1:FHU1"/>
    <mergeCell ref="FHV1:FIC1"/>
    <mergeCell ref="FID1:FIK1"/>
    <mergeCell ref="FIL1:FIS1"/>
    <mergeCell ref="FIT1:FJA1"/>
    <mergeCell ref="FFJ1:FFQ1"/>
    <mergeCell ref="FFR1:FFY1"/>
    <mergeCell ref="FFZ1:FGG1"/>
    <mergeCell ref="FGH1:FGO1"/>
    <mergeCell ref="FGP1:FGW1"/>
    <mergeCell ref="FGX1:FHE1"/>
    <mergeCell ref="FDN1:FDU1"/>
    <mergeCell ref="FDV1:FEC1"/>
    <mergeCell ref="FED1:FEK1"/>
    <mergeCell ref="FEL1:FES1"/>
    <mergeCell ref="FET1:FFA1"/>
    <mergeCell ref="FFB1:FFI1"/>
    <mergeCell ref="FMT1:FNA1"/>
    <mergeCell ref="FNB1:FNI1"/>
    <mergeCell ref="FNJ1:FNQ1"/>
    <mergeCell ref="FNR1:FNY1"/>
    <mergeCell ref="FNZ1:FOG1"/>
    <mergeCell ref="FOH1:FOO1"/>
    <mergeCell ref="FKX1:FLE1"/>
    <mergeCell ref="FLF1:FLM1"/>
    <mergeCell ref="FLN1:FLU1"/>
    <mergeCell ref="FLV1:FMC1"/>
    <mergeCell ref="FMD1:FMK1"/>
    <mergeCell ref="FML1:FMS1"/>
    <mergeCell ref="FJB1:FJI1"/>
    <mergeCell ref="FJJ1:FJQ1"/>
    <mergeCell ref="FJR1:FJY1"/>
    <mergeCell ref="FJZ1:FKG1"/>
    <mergeCell ref="FKH1:FKO1"/>
    <mergeCell ref="FKP1:FKW1"/>
    <mergeCell ref="FSH1:FSO1"/>
    <mergeCell ref="FSP1:FSW1"/>
    <mergeCell ref="FSX1:FTE1"/>
    <mergeCell ref="FTF1:FTM1"/>
    <mergeCell ref="FTN1:FTU1"/>
    <mergeCell ref="FTV1:FUC1"/>
    <mergeCell ref="FQL1:FQS1"/>
    <mergeCell ref="FQT1:FRA1"/>
    <mergeCell ref="FRB1:FRI1"/>
    <mergeCell ref="FRJ1:FRQ1"/>
    <mergeCell ref="FRR1:FRY1"/>
    <mergeCell ref="FRZ1:FSG1"/>
    <mergeCell ref="FOP1:FOW1"/>
    <mergeCell ref="FOX1:FPE1"/>
    <mergeCell ref="FPF1:FPM1"/>
    <mergeCell ref="FPN1:FPU1"/>
    <mergeCell ref="FPV1:FQC1"/>
    <mergeCell ref="FQD1:FQK1"/>
    <mergeCell ref="FXV1:FYC1"/>
    <mergeCell ref="FYD1:FYK1"/>
    <mergeCell ref="FYL1:FYS1"/>
    <mergeCell ref="FYT1:FZA1"/>
    <mergeCell ref="FZB1:FZI1"/>
    <mergeCell ref="FZJ1:FZQ1"/>
    <mergeCell ref="FVZ1:FWG1"/>
    <mergeCell ref="FWH1:FWO1"/>
    <mergeCell ref="FWP1:FWW1"/>
    <mergeCell ref="FWX1:FXE1"/>
    <mergeCell ref="FXF1:FXM1"/>
    <mergeCell ref="FXN1:FXU1"/>
    <mergeCell ref="FUD1:FUK1"/>
    <mergeCell ref="FUL1:FUS1"/>
    <mergeCell ref="FUT1:FVA1"/>
    <mergeCell ref="FVB1:FVI1"/>
    <mergeCell ref="FVJ1:FVQ1"/>
    <mergeCell ref="FVR1:FVY1"/>
    <mergeCell ref="GDJ1:GDQ1"/>
    <mergeCell ref="GDR1:GDY1"/>
    <mergeCell ref="GDZ1:GEG1"/>
    <mergeCell ref="GEH1:GEO1"/>
    <mergeCell ref="GEP1:GEW1"/>
    <mergeCell ref="GEX1:GFE1"/>
    <mergeCell ref="GBN1:GBU1"/>
    <mergeCell ref="GBV1:GCC1"/>
    <mergeCell ref="GCD1:GCK1"/>
    <mergeCell ref="GCL1:GCS1"/>
    <mergeCell ref="GCT1:GDA1"/>
    <mergeCell ref="GDB1:GDI1"/>
    <mergeCell ref="FZR1:FZY1"/>
    <mergeCell ref="FZZ1:GAG1"/>
    <mergeCell ref="GAH1:GAO1"/>
    <mergeCell ref="GAP1:GAW1"/>
    <mergeCell ref="GAX1:GBE1"/>
    <mergeCell ref="GBF1:GBM1"/>
    <mergeCell ref="GIX1:GJE1"/>
    <mergeCell ref="GJF1:GJM1"/>
    <mergeCell ref="GJN1:GJU1"/>
    <mergeCell ref="GJV1:GKC1"/>
    <mergeCell ref="GKD1:GKK1"/>
    <mergeCell ref="GKL1:GKS1"/>
    <mergeCell ref="GHB1:GHI1"/>
    <mergeCell ref="GHJ1:GHQ1"/>
    <mergeCell ref="GHR1:GHY1"/>
    <mergeCell ref="GHZ1:GIG1"/>
    <mergeCell ref="GIH1:GIO1"/>
    <mergeCell ref="GIP1:GIW1"/>
    <mergeCell ref="GFF1:GFM1"/>
    <mergeCell ref="GFN1:GFU1"/>
    <mergeCell ref="GFV1:GGC1"/>
    <mergeCell ref="GGD1:GGK1"/>
    <mergeCell ref="GGL1:GGS1"/>
    <mergeCell ref="GGT1:GHA1"/>
    <mergeCell ref="GOL1:GOS1"/>
    <mergeCell ref="GOT1:GPA1"/>
    <mergeCell ref="GPB1:GPI1"/>
    <mergeCell ref="GPJ1:GPQ1"/>
    <mergeCell ref="GPR1:GPY1"/>
    <mergeCell ref="GPZ1:GQG1"/>
    <mergeCell ref="GMP1:GMW1"/>
    <mergeCell ref="GMX1:GNE1"/>
    <mergeCell ref="GNF1:GNM1"/>
    <mergeCell ref="GNN1:GNU1"/>
    <mergeCell ref="GNV1:GOC1"/>
    <mergeCell ref="GOD1:GOK1"/>
    <mergeCell ref="GKT1:GLA1"/>
    <mergeCell ref="GLB1:GLI1"/>
    <mergeCell ref="GLJ1:GLQ1"/>
    <mergeCell ref="GLR1:GLY1"/>
    <mergeCell ref="GLZ1:GMG1"/>
    <mergeCell ref="GMH1:GMO1"/>
    <mergeCell ref="GTZ1:GUG1"/>
    <mergeCell ref="GUH1:GUO1"/>
    <mergeCell ref="GUP1:GUW1"/>
    <mergeCell ref="GUX1:GVE1"/>
    <mergeCell ref="GVF1:GVM1"/>
    <mergeCell ref="GVN1:GVU1"/>
    <mergeCell ref="GSD1:GSK1"/>
    <mergeCell ref="GSL1:GSS1"/>
    <mergeCell ref="GST1:GTA1"/>
    <mergeCell ref="GTB1:GTI1"/>
    <mergeCell ref="GTJ1:GTQ1"/>
    <mergeCell ref="GTR1:GTY1"/>
    <mergeCell ref="GQH1:GQO1"/>
    <mergeCell ref="GQP1:GQW1"/>
    <mergeCell ref="GQX1:GRE1"/>
    <mergeCell ref="GRF1:GRM1"/>
    <mergeCell ref="GRN1:GRU1"/>
    <mergeCell ref="GRV1:GSC1"/>
    <mergeCell ref="GZN1:GZU1"/>
    <mergeCell ref="GZV1:HAC1"/>
    <mergeCell ref="HAD1:HAK1"/>
    <mergeCell ref="HAL1:HAS1"/>
    <mergeCell ref="HAT1:HBA1"/>
    <mergeCell ref="HBB1:HBI1"/>
    <mergeCell ref="GXR1:GXY1"/>
    <mergeCell ref="GXZ1:GYG1"/>
    <mergeCell ref="GYH1:GYO1"/>
    <mergeCell ref="GYP1:GYW1"/>
    <mergeCell ref="GYX1:GZE1"/>
    <mergeCell ref="GZF1:GZM1"/>
    <mergeCell ref="GVV1:GWC1"/>
    <mergeCell ref="GWD1:GWK1"/>
    <mergeCell ref="GWL1:GWS1"/>
    <mergeCell ref="GWT1:GXA1"/>
    <mergeCell ref="GXB1:GXI1"/>
    <mergeCell ref="GXJ1:GXQ1"/>
    <mergeCell ref="HFB1:HFI1"/>
    <mergeCell ref="HFJ1:HFQ1"/>
    <mergeCell ref="HFR1:HFY1"/>
    <mergeCell ref="HFZ1:HGG1"/>
    <mergeCell ref="HGH1:HGO1"/>
    <mergeCell ref="HGP1:HGW1"/>
    <mergeCell ref="HDF1:HDM1"/>
    <mergeCell ref="HDN1:HDU1"/>
    <mergeCell ref="HDV1:HEC1"/>
    <mergeCell ref="HED1:HEK1"/>
    <mergeCell ref="HEL1:HES1"/>
    <mergeCell ref="HET1:HFA1"/>
    <mergeCell ref="HBJ1:HBQ1"/>
    <mergeCell ref="HBR1:HBY1"/>
    <mergeCell ref="HBZ1:HCG1"/>
    <mergeCell ref="HCH1:HCO1"/>
    <mergeCell ref="HCP1:HCW1"/>
    <mergeCell ref="HCX1:HDE1"/>
    <mergeCell ref="HKP1:HKW1"/>
    <mergeCell ref="HKX1:HLE1"/>
    <mergeCell ref="HLF1:HLM1"/>
    <mergeCell ref="HLN1:HLU1"/>
    <mergeCell ref="HLV1:HMC1"/>
    <mergeCell ref="HMD1:HMK1"/>
    <mergeCell ref="HIT1:HJA1"/>
    <mergeCell ref="HJB1:HJI1"/>
    <mergeCell ref="HJJ1:HJQ1"/>
    <mergeCell ref="HJR1:HJY1"/>
    <mergeCell ref="HJZ1:HKG1"/>
    <mergeCell ref="HKH1:HKO1"/>
    <mergeCell ref="HGX1:HHE1"/>
    <mergeCell ref="HHF1:HHM1"/>
    <mergeCell ref="HHN1:HHU1"/>
    <mergeCell ref="HHV1:HIC1"/>
    <mergeCell ref="HID1:HIK1"/>
    <mergeCell ref="HIL1:HIS1"/>
    <mergeCell ref="HQD1:HQK1"/>
    <mergeCell ref="HQL1:HQS1"/>
    <mergeCell ref="HQT1:HRA1"/>
    <mergeCell ref="HRB1:HRI1"/>
    <mergeCell ref="HRJ1:HRQ1"/>
    <mergeCell ref="HRR1:HRY1"/>
    <mergeCell ref="HOH1:HOO1"/>
    <mergeCell ref="HOP1:HOW1"/>
    <mergeCell ref="HOX1:HPE1"/>
    <mergeCell ref="HPF1:HPM1"/>
    <mergeCell ref="HPN1:HPU1"/>
    <mergeCell ref="HPV1:HQC1"/>
    <mergeCell ref="HML1:HMS1"/>
    <mergeCell ref="HMT1:HNA1"/>
    <mergeCell ref="HNB1:HNI1"/>
    <mergeCell ref="HNJ1:HNQ1"/>
    <mergeCell ref="HNR1:HNY1"/>
    <mergeCell ref="HNZ1:HOG1"/>
    <mergeCell ref="HVR1:HVY1"/>
    <mergeCell ref="HVZ1:HWG1"/>
    <mergeCell ref="HWH1:HWO1"/>
    <mergeCell ref="HWP1:HWW1"/>
    <mergeCell ref="HWX1:HXE1"/>
    <mergeCell ref="HXF1:HXM1"/>
    <mergeCell ref="HTV1:HUC1"/>
    <mergeCell ref="HUD1:HUK1"/>
    <mergeCell ref="HUL1:HUS1"/>
    <mergeCell ref="HUT1:HVA1"/>
    <mergeCell ref="HVB1:HVI1"/>
    <mergeCell ref="HVJ1:HVQ1"/>
    <mergeCell ref="HRZ1:HSG1"/>
    <mergeCell ref="HSH1:HSO1"/>
    <mergeCell ref="HSP1:HSW1"/>
    <mergeCell ref="HSX1:HTE1"/>
    <mergeCell ref="HTF1:HTM1"/>
    <mergeCell ref="HTN1:HTU1"/>
    <mergeCell ref="IBF1:IBM1"/>
    <mergeCell ref="IBN1:IBU1"/>
    <mergeCell ref="IBV1:ICC1"/>
    <mergeCell ref="ICD1:ICK1"/>
    <mergeCell ref="ICL1:ICS1"/>
    <mergeCell ref="ICT1:IDA1"/>
    <mergeCell ref="HZJ1:HZQ1"/>
    <mergeCell ref="HZR1:HZY1"/>
    <mergeCell ref="HZZ1:IAG1"/>
    <mergeCell ref="IAH1:IAO1"/>
    <mergeCell ref="IAP1:IAW1"/>
    <mergeCell ref="IAX1:IBE1"/>
    <mergeCell ref="HXN1:HXU1"/>
    <mergeCell ref="HXV1:HYC1"/>
    <mergeCell ref="HYD1:HYK1"/>
    <mergeCell ref="HYL1:HYS1"/>
    <mergeCell ref="HYT1:HZA1"/>
    <mergeCell ref="HZB1:HZI1"/>
    <mergeCell ref="IGT1:IHA1"/>
    <mergeCell ref="IHB1:IHI1"/>
    <mergeCell ref="IHJ1:IHQ1"/>
    <mergeCell ref="IHR1:IHY1"/>
    <mergeCell ref="IHZ1:IIG1"/>
    <mergeCell ref="IIH1:IIO1"/>
    <mergeCell ref="IEX1:IFE1"/>
    <mergeCell ref="IFF1:IFM1"/>
    <mergeCell ref="IFN1:IFU1"/>
    <mergeCell ref="IFV1:IGC1"/>
    <mergeCell ref="IGD1:IGK1"/>
    <mergeCell ref="IGL1:IGS1"/>
    <mergeCell ref="IDB1:IDI1"/>
    <mergeCell ref="IDJ1:IDQ1"/>
    <mergeCell ref="IDR1:IDY1"/>
    <mergeCell ref="IDZ1:IEG1"/>
    <mergeCell ref="IEH1:IEO1"/>
    <mergeCell ref="IEP1:IEW1"/>
    <mergeCell ref="IMH1:IMO1"/>
    <mergeCell ref="IMP1:IMW1"/>
    <mergeCell ref="IMX1:INE1"/>
    <mergeCell ref="INF1:INM1"/>
    <mergeCell ref="INN1:INU1"/>
    <mergeCell ref="INV1:IOC1"/>
    <mergeCell ref="IKL1:IKS1"/>
    <mergeCell ref="IKT1:ILA1"/>
    <mergeCell ref="ILB1:ILI1"/>
    <mergeCell ref="ILJ1:ILQ1"/>
    <mergeCell ref="ILR1:ILY1"/>
    <mergeCell ref="ILZ1:IMG1"/>
    <mergeCell ref="IIP1:IIW1"/>
    <mergeCell ref="IIX1:IJE1"/>
    <mergeCell ref="IJF1:IJM1"/>
    <mergeCell ref="IJN1:IJU1"/>
    <mergeCell ref="IJV1:IKC1"/>
    <mergeCell ref="IKD1:IKK1"/>
    <mergeCell ref="IRV1:ISC1"/>
    <mergeCell ref="ISD1:ISK1"/>
    <mergeCell ref="ISL1:ISS1"/>
    <mergeCell ref="IST1:ITA1"/>
    <mergeCell ref="ITB1:ITI1"/>
    <mergeCell ref="ITJ1:ITQ1"/>
    <mergeCell ref="IPZ1:IQG1"/>
    <mergeCell ref="IQH1:IQO1"/>
    <mergeCell ref="IQP1:IQW1"/>
    <mergeCell ref="IQX1:IRE1"/>
    <mergeCell ref="IRF1:IRM1"/>
    <mergeCell ref="IRN1:IRU1"/>
    <mergeCell ref="IOD1:IOK1"/>
    <mergeCell ref="IOL1:IOS1"/>
    <mergeCell ref="IOT1:IPA1"/>
    <mergeCell ref="IPB1:IPI1"/>
    <mergeCell ref="IPJ1:IPQ1"/>
    <mergeCell ref="IPR1:IPY1"/>
    <mergeCell ref="IXJ1:IXQ1"/>
    <mergeCell ref="IXR1:IXY1"/>
    <mergeCell ref="IXZ1:IYG1"/>
    <mergeCell ref="IYH1:IYO1"/>
    <mergeCell ref="IYP1:IYW1"/>
    <mergeCell ref="IYX1:IZE1"/>
    <mergeCell ref="IVN1:IVU1"/>
    <mergeCell ref="IVV1:IWC1"/>
    <mergeCell ref="IWD1:IWK1"/>
    <mergeCell ref="IWL1:IWS1"/>
    <mergeCell ref="IWT1:IXA1"/>
    <mergeCell ref="IXB1:IXI1"/>
    <mergeCell ref="ITR1:ITY1"/>
    <mergeCell ref="ITZ1:IUG1"/>
    <mergeCell ref="IUH1:IUO1"/>
    <mergeCell ref="IUP1:IUW1"/>
    <mergeCell ref="IUX1:IVE1"/>
    <mergeCell ref="IVF1:IVM1"/>
    <mergeCell ref="JCX1:JDE1"/>
    <mergeCell ref="JDF1:JDM1"/>
    <mergeCell ref="JDN1:JDU1"/>
    <mergeCell ref="JDV1:JEC1"/>
    <mergeCell ref="JED1:JEK1"/>
    <mergeCell ref="JEL1:JES1"/>
    <mergeCell ref="JBB1:JBI1"/>
    <mergeCell ref="JBJ1:JBQ1"/>
    <mergeCell ref="JBR1:JBY1"/>
    <mergeCell ref="JBZ1:JCG1"/>
    <mergeCell ref="JCH1:JCO1"/>
    <mergeCell ref="JCP1:JCW1"/>
    <mergeCell ref="IZF1:IZM1"/>
    <mergeCell ref="IZN1:IZU1"/>
    <mergeCell ref="IZV1:JAC1"/>
    <mergeCell ref="JAD1:JAK1"/>
    <mergeCell ref="JAL1:JAS1"/>
    <mergeCell ref="JAT1:JBA1"/>
    <mergeCell ref="JIL1:JIS1"/>
    <mergeCell ref="JIT1:JJA1"/>
    <mergeCell ref="JJB1:JJI1"/>
    <mergeCell ref="JJJ1:JJQ1"/>
    <mergeCell ref="JJR1:JJY1"/>
    <mergeCell ref="JJZ1:JKG1"/>
    <mergeCell ref="JGP1:JGW1"/>
    <mergeCell ref="JGX1:JHE1"/>
    <mergeCell ref="JHF1:JHM1"/>
    <mergeCell ref="JHN1:JHU1"/>
    <mergeCell ref="JHV1:JIC1"/>
    <mergeCell ref="JID1:JIK1"/>
    <mergeCell ref="JET1:JFA1"/>
    <mergeCell ref="JFB1:JFI1"/>
    <mergeCell ref="JFJ1:JFQ1"/>
    <mergeCell ref="JFR1:JFY1"/>
    <mergeCell ref="JFZ1:JGG1"/>
    <mergeCell ref="JGH1:JGO1"/>
    <mergeCell ref="JNZ1:JOG1"/>
    <mergeCell ref="JOH1:JOO1"/>
    <mergeCell ref="JOP1:JOW1"/>
    <mergeCell ref="JOX1:JPE1"/>
    <mergeCell ref="JPF1:JPM1"/>
    <mergeCell ref="JPN1:JPU1"/>
    <mergeCell ref="JMD1:JMK1"/>
    <mergeCell ref="JML1:JMS1"/>
    <mergeCell ref="JMT1:JNA1"/>
    <mergeCell ref="JNB1:JNI1"/>
    <mergeCell ref="JNJ1:JNQ1"/>
    <mergeCell ref="JNR1:JNY1"/>
    <mergeCell ref="JKH1:JKO1"/>
    <mergeCell ref="JKP1:JKW1"/>
    <mergeCell ref="JKX1:JLE1"/>
    <mergeCell ref="JLF1:JLM1"/>
    <mergeCell ref="JLN1:JLU1"/>
    <mergeCell ref="JLV1:JMC1"/>
    <mergeCell ref="JTN1:JTU1"/>
    <mergeCell ref="JTV1:JUC1"/>
    <mergeCell ref="JUD1:JUK1"/>
    <mergeCell ref="JUL1:JUS1"/>
    <mergeCell ref="JUT1:JVA1"/>
    <mergeCell ref="JVB1:JVI1"/>
    <mergeCell ref="JRR1:JRY1"/>
    <mergeCell ref="JRZ1:JSG1"/>
    <mergeCell ref="JSH1:JSO1"/>
    <mergeCell ref="JSP1:JSW1"/>
    <mergeCell ref="JSX1:JTE1"/>
    <mergeCell ref="JTF1:JTM1"/>
    <mergeCell ref="JPV1:JQC1"/>
    <mergeCell ref="JQD1:JQK1"/>
    <mergeCell ref="JQL1:JQS1"/>
    <mergeCell ref="JQT1:JRA1"/>
    <mergeCell ref="JRB1:JRI1"/>
    <mergeCell ref="JRJ1:JRQ1"/>
    <mergeCell ref="JZB1:JZI1"/>
    <mergeCell ref="JZJ1:JZQ1"/>
    <mergeCell ref="JZR1:JZY1"/>
    <mergeCell ref="JZZ1:KAG1"/>
    <mergeCell ref="KAH1:KAO1"/>
    <mergeCell ref="KAP1:KAW1"/>
    <mergeCell ref="JXF1:JXM1"/>
    <mergeCell ref="JXN1:JXU1"/>
    <mergeCell ref="JXV1:JYC1"/>
    <mergeCell ref="JYD1:JYK1"/>
    <mergeCell ref="JYL1:JYS1"/>
    <mergeCell ref="JYT1:JZA1"/>
    <mergeCell ref="JVJ1:JVQ1"/>
    <mergeCell ref="JVR1:JVY1"/>
    <mergeCell ref="JVZ1:JWG1"/>
    <mergeCell ref="JWH1:JWO1"/>
    <mergeCell ref="JWP1:JWW1"/>
    <mergeCell ref="JWX1:JXE1"/>
    <mergeCell ref="KEP1:KEW1"/>
    <mergeCell ref="KEX1:KFE1"/>
    <mergeCell ref="KFF1:KFM1"/>
    <mergeCell ref="KFN1:KFU1"/>
    <mergeCell ref="KFV1:KGC1"/>
    <mergeCell ref="KGD1:KGK1"/>
    <mergeCell ref="KCT1:KDA1"/>
    <mergeCell ref="KDB1:KDI1"/>
    <mergeCell ref="KDJ1:KDQ1"/>
    <mergeCell ref="KDR1:KDY1"/>
    <mergeCell ref="KDZ1:KEG1"/>
    <mergeCell ref="KEH1:KEO1"/>
    <mergeCell ref="KAX1:KBE1"/>
    <mergeCell ref="KBF1:KBM1"/>
    <mergeCell ref="KBN1:KBU1"/>
    <mergeCell ref="KBV1:KCC1"/>
    <mergeCell ref="KCD1:KCK1"/>
    <mergeCell ref="KCL1:KCS1"/>
    <mergeCell ref="KKD1:KKK1"/>
    <mergeCell ref="KKL1:KKS1"/>
    <mergeCell ref="KKT1:KLA1"/>
    <mergeCell ref="KLB1:KLI1"/>
    <mergeCell ref="KLJ1:KLQ1"/>
    <mergeCell ref="KLR1:KLY1"/>
    <mergeCell ref="KIH1:KIO1"/>
    <mergeCell ref="KIP1:KIW1"/>
    <mergeCell ref="KIX1:KJE1"/>
    <mergeCell ref="KJF1:KJM1"/>
    <mergeCell ref="KJN1:KJU1"/>
    <mergeCell ref="KJV1:KKC1"/>
    <mergeCell ref="KGL1:KGS1"/>
    <mergeCell ref="KGT1:KHA1"/>
    <mergeCell ref="KHB1:KHI1"/>
    <mergeCell ref="KHJ1:KHQ1"/>
    <mergeCell ref="KHR1:KHY1"/>
    <mergeCell ref="KHZ1:KIG1"/>
    <mergeCell ref="KPR1:KPY1"/>
    <mergeCell ref="KPZ1:KQG1"/>
    <mergeCell ref="KQH1:KQO1"/>
    <mergeCell ref="KQP1:KQW1"/>
    <mergeCell ref="KQX1:KRE1"/>
    <mergeCell ref="KRF1:KRM1"/>
    <mergeCell ref="KNV1:KOC1"/>
    <mergeCell ref="KOD1:KOK1"/>
    <mergeCell ref="KOL1:KOS1"/>
    <mergeCell ref="KOT1:KPA1"/>
    <mergeCell ref="KPB1:KPI1"/>
    <mergeCell ref="KPJ1:KPQ1"/>
    <mergeCell ref="KLZ1:KMG1"/>
    <mergeCell ref="KMH1:KMO1"/>
    <mergeCell ref="KMP1:KMW1"/>
    <mergeCell ref="KMX1:KNE1"/>
    <mergeCell ref="KNF1:KNM1"/>
    <mergeCell ref="KNN1:KNU1"/>
    <mergeCell ref="KVF1:KVM1"/>
    <mergeCell ref="KVN1:KVU1"/>
    <mergeCell ref="KVV1:KWC1"/>
    <mergeCell ref="KWD1:KWK1"/>
    <mergeCell ref="KWL1:KWS1"/>
    <mergeCell ref="KWT1:KXA1"/>
    <mergeCell ref="KTJ1:KTQ1"/>
    <mergeCell ref="KTR1:KTY1"/>
    <mergeCell ref="KTZ1:KUG1"/>
    <mergeCell ref="KUH1:KUO1"/>
    <mergeCell ref="KUP1:KUW1"/>
    <mergeCell ref="KUX1:KVE1"/>
    <mergeCell ref="KRN1:KRU1"/>
    <mergeCell ref="KRV1:KSC1"/>
    <mergeCell ref="KSD1:KSK1"/>
    <mergeCell ref="KSL1:KSS1"/>
    <mergeCell ref="KST1:KTA1"/>
    <mergeCell ref="KTB1:KTI1"/>
    <mergeCell ref="LAT1:LBA1"/>
    <mergeCell ref="LBB1:LBI1"/>
    <mergeCell ref="LBJ1:LBQ1"/>
    <mergeCell ref="LBR1:LBY1"/>
    <mergeCell ref="LBZ1:LCG1"/>
    <mergeCell ref="LCH1:LCO1"/>
    <mergeCell ref="KYX1:KZE1"/>
    <mergeCell ref="KZF1:KZM1"/>
    <mergeCell ref="KZN1:KZU1"/>
    <mergeCell ref="KZV1:LAC1"/>
    <mergeCell ref="LAD1:LAK1"/>
    <mergeCell ref="LAL1:LAS1"/>
    <mergeCell ref="KXB1:KXI1"/>
    <mergeCell ref="KXJ1:KXQ1"/>
    <mergeCell ref="KXR1:KXY1"/>
    <mergeCell ref="KXZ1:KYG1"/>
    <mergeCell ref="KYH1:KYO1"/>
    <mergeCell ref="KYP1:KYW1"/>
    <mergeCell ref="LGH1:LGO1"/>
    <mergeCell ref="LGP1:LGW1"/>
    <mergeCell ref="LGX1:LHE1"/>
    <mergeCell ref="LHF1:LHM1"/>
    <mergeCell ref="LHN1:LHU1"/>
    <mergeCell ref="LHV1:LIC1"/>
    <mergeCell ref="LEL1:LES1"/>
    <mergeCell ref="LET1:LFA1"/>
    <mergeCell ref="LFB1:LFI1"/>
    <mergeCell ref="LFJ1:LFQ1"/>
    <mergeCell ref="LFR1:LFY1"/>
    <mergeCell ref="LFZ1:LGG1"/>
    <mergeCell ref="LCP1:LCW1"/>
    <mergeCell ref="LCX1:LDE1"/>
    <mergeCell ref="LDF1:LDM1"/>
    <mergeCell ref="LDN1:LDU1"/>
    <mergeCell ref="LDV1:LEC1"/>
    <mergeCell ref="LED1:LEK1"/>
    <mergeCell ref="LLV1:LMC1"/>
    <mergeCell ref="LMD1:LMK1"/>
    <mergeCell ref="LML1:LMS1"/>
    <mergeCell ref="LMT1:LNA1"/>
    <mergeCell ref="LNB1:LNI1"/>
    <mergeCell ref="LNJ1:LNQ1"/>
    <mergeCell ref="LJZ1:LKG1"/>
    <mergeCell ref="LKH1:LKO1"/>
    <mergeCell ref="LKP1:LKW1"/>
    <mergeCell ref="LKX1:LLE1"/>
    <mergeCell ref="LLF1:LLM1"/>
    <mergeCell ref="LLN1:LLU1"/>
    <mergeCell ref="LID1:LIK1"/>
    <mergeCell ref="LIL1:LIS1"/>
    <mergeCell ref="LIT1:LJA1"/>
    <mergeCell ref="LJB1:LJI1"/>
    <mergeCell ref="LJJ1:LJQ1"/>
    <mergeCell ref="LJR1:LJY1"/>
    <mergeCell ref="LRJ1:LRQ1"/>
    <mergeCell ref="LRR1:LRY1"/>
    <mergeCell ref="LRZ1:LSG1"/>
    <mergeCell ref="LSH1:LSO1"/>
    <mergeCell ref="LSP1:LSW1"/>
    <mergeCell ref="LSX1:LTE1"/>
    <mergeCell ref="LPN1:LPU1"/>
    <mergeCell ref="LPV1:LQC1"/>
    <mergeCell ref="LQD1:LQK1"/>
    <mergeCell ref="LQL1:LQS1"/>
    <mergeCell ref="LQT1:LRA1"/>
    <mergeCell ref="LRB1:LRI1"/>
    <mergeCell ref="LNR1:LNY1"/>
    <mergeCell ref="LNZ1:LOG1"/>
    <mergeCell ref="LOH1:LOO1"/>
    <mergeCell ref="LOP1:LOW1"/>
    <mergeCell ref="LOX1:LPE1"/>
    <mergeCell ref="LPF1:LPM1"/>
    <mergeCell ref="LWX1:LXE1"/>
    <mergeCell ref="LXF1:LXM1"/>
    <mergeCell ref="LXN1:LXU1"/>
    <mergeCell ref="LXV1:LYC1"/>
    <mergeCell ref="LYD1:LYK1"/>
    <mergeCell ref="LYL1:LYS1"/>
    <mergeCell ref="LVB1:LVI1"/>
    <mergeCell ref="LVJ1:LVQ1"/>
    <mergeCell ref="LVR1:LVY1"/>
    <mergeCell ref="LVZ1:LWG1"/>
    <mergeCell ref="LWH1:LWO1"/>
    <mergeCell ref="LWP1:LWW1"/>
    <mergeCell ref="LTF1:LTM1"/>
    <mergeCell ref="LTN1:LTU1"/>
    <mergeCell ref="LTV1:LUC1"/>
    <mergeCell ref="LUD1:LUK1"/>
    <mergeCell ref="LUL1:LUS1"/>
    <mergeCell ref="LUT1:LVA1"/>
    <mergeCell ref="MCL1:MCS1"/>
    <mergeCell ref="MCT1:MDA1"/>
    <mergeCell ref="MDB1:MDI1"/>
    <mergeCell ref="MDJ1:MDQ1"/>
    <mergeCell ref="MDR1:MDY1"/>
    <mergeCell ref="MDZ1:MEG1"/>
    <mergeCell ref="MAP1:MAW1"/>
    <mergeCell ref="MAX1:MBE1"/>
    <mergeCell ref="MBF1:MBM1"/>
    <mergeCell ref="MBN1:MBU1"/>
    <mergeCell ref="MBV1:MCC1"/>
    <mergeCell ref="MCD1:MCK1"/>
    <mergeCell ref="LYT1:LZA1"/>
    <mergeCell ref="LZB1:LZI1"/>
    <mergeCell ref="LZJ1:LZQ1"/>
    <mergeCell ref="LZR1:LZY1"/>
    <mergeCell ref="LZZ1:MAG1"/>
    <mergeCell ref="MAH1:MAO1"/>
    <mergeCell ref="MHZ1:MIG1"/>
    <mergeCell ref="MIH1:MIO1"/>
    <mergeCell ref="MIP1:MIW1"/>
    <mergeCell ref="MIX1:MJE1"/>
    <mergeCell ref="MJF1:MJM1"/>
    <mergeCell ref="MJN1:MJU1"/>
    <mergeCell ref="MGD1:MGK1"/>
    <mergeCell ref="MGL1:MGS1"/>
    <mergeCell ref="MGT1:MHA1"/>
    <mergeCell ref="MHB1:MHI1"/>
    <mergeCell ref="MHJ1:MHQ1"/>
    <mergeCell ref="MHR1:MHY1"/>
    <mergeCell ref="MEH1:MEO1"/>
    <mergeCell ref="MEP1:MEW1"/>
    <mergeCell ref="MEX1:MFE1"/>
    <mergeCell ref="MFF1:MFM1"/>
    <mergeCell ref="MFN1:MFU1"/>
    <mergeCell ref="MFV1:MGC1"/>
    <mergeCell ref="MNN1:MNU1"/>
    <mergeCell ref="MNV1:MOC1"/>
    <mergeCell ref="MOD1:MOK1"/>
    <mergeCell ref="MOL1:MOS1"/>
    <mergeCell ref="MOT1:MPA1"/>
    <mergeCell ref="MPB1:MPI1"/>
    <mergeCell ref="MLR1:MLY1"/>
    <mergeCell ref="MLZ1:MMG1"/>
    <mergeCell ref="MMH1:MMO1"/>
    <mergeCell ref="MMP1:MMW1"/>
    <mergeCell ref="MMX1:MNE1"/>
    <mergeCell ref="MNF1:MNM1"/>
    <mergeCell ref="MJV1:MKC1"/>
    <mergeCell ref="MKD1:MKK1"/>
    <mergeCell ref="MKL1:MKS1"/>
    <mergeCell ref="MKT1:MLA1"/>
    <mergeCell ref="MLB1:MLI1"/>
    <mergeCell ref="MLJ1:MLQ1"/>
    <mergeCell ref="MTB1:MTI1"/>
    <mergeCell ref="MTJ1:MTQ1"/>
    <mergeCell ref="MTR1:MTY1"/>
    <mergeCell ref="MTZ1:MUG1"/>
    <mergeCell ref="MUH1:MUO1"/>
    <mergeCell ref="MUP1:MUW1"/>
    <mergeCell ref="MRF1:MRM1"/>
    <mergeCell ref="MRN1:MRU1"/>
    <mergeCell ref="MRV1:MSC1"/>
    <mergeCell ref="MSD1:MSK1"/>
    <mergeCell ref="MSL1:MSS1"/>
    <mergeCell ref="MST1:MTA1"/>
    <mergeCell ref="MPJ1:MPQ1"/>
    <mergeCell ref="MPR1:MPY1"/>
    <mergeCell ref="MPZ1:MQG1"/>
    <mergeCell ref="MQH1:MQO1"/>
    <mergeCell ref="MQP1:MQW1"/>
    <mergeCell ref="MQX1:MRE1"/>
    <mergeCell ref="MYP1:MYW1"/>
    <mergeCell ref="MYX1:MZE1"/>
    <mergeCell ref="MZF1:MZM1"/>
    <mergeCell ref="MZN1:MZU1"/>
    <mergeCell ref="MZV1:NAC1"/>
    <mergeCell ref="NAD1:NAK1"/>
    <mergeCell ref="MWT1:MXA1"/>
    <mergeCell ref="MXB1:MXI1"/>
    <mergeCell ref="MXJ1:MXQ1"/>
    <mergeCell ref="MXR1:MXY1"/>
    <mergeCell ref="MXZ1:MYG1"/>
    <mergeCell ref="MYH1:MYO1"/>
    <mergeCell ref="MUX1:MVE1"/>
    <mergeCell ref="MVF1:MVM1"/>
    <mergeCell ref="MVN1:MVU1"/>
    <mergeCell ref="MVV1:MWC1"/>
    <mergeCell ref="MWD1:MWK1"/>
    <mergeCell ref="MWL1:MWS1"/>
    <mergeCell ref="NED1:NEK1"/>
    <mergeCell ref="NEL1:NES1"/>
    <mergeCell ref="NET1:NFA1"/>
    <mergeCell ref="NFB1:NFI1"/>
    <mergeCell ref="NFJ1:NFQ1"/>
    <mergeCell ref="NFR1:NFY1"/>
    <mergeCell ref="NCH1:NCO1"/>
    <mergeCell ref="NCP1:NCW1"/>
    <mergeCell ref="NCX1:NDE1"/>
    <mergeCell ref="NDF1:NDM1"/>
    <mergeCell ref="NDN1:NDU1"/>
    <mergeCell ref="NDV1:NEC1"/>
    <mergeCell ref="NAL1:NAS1"/>
    <mergeCell ref="NAT1:NBA1"/>
    <mergeCell ref="NBB1:NBI1"/>
    <mergeCell ref="NBJ1:NBQ1"/>
    <mergeCell ref="NBR1:NBY1"/>
    <mergeCell ref="NBZ1:NCG1"/>
    <mergeCell ref="NJR1:NJY1"/>
    <mergeCell ref="NJZ1:NKG1"/>
    <mergeCell ref="NKH1:NKO1"/>
    <mergeCell ref="NKP1:NKW1"/>
    <mergeCell ref="NKX1:NLE1"/>
    <mergeCell ref="NLF1:NLM1"/>
    <mergeCell ref="NHV1:NIC1"/>
    <mergeCell ref="NID1:NIK1"/>
    <mergeCell ref="NIL1:NIS1"/>
    <mergeCell ref="NIT1:NJA1"/>
    <mergeCell ref="NJB1:NJI1"/>
    <mergeCell ref="NJJ1:NJQ1"/>
    <mergeCell ref="NFZ1:NGG1"/>
    <mergeCell ref="NGH1:NGO1"/>
    <mergeCell ref="NGP1:NGW1"/>
    <mergeCell ref="NGX1:NHE1"/>
    <mergeCell ref="NHF1:NHM1"/>
    <mergeCell ref="NHN1:NHU1"/>
    <mergeCell ref="NPF1:NPM1"/>
    <mergeCell ref="NPN1:NPU1"/>
    <mergeCell ref="NPV1:NQC1"/>
    <mergeCell ref="NQD1:NQK1"/>
    <mergeCell ref="NQL1:NQS1"/>
    <mergeCell ref="NQT1:NRA1"/>
    <mergeCell ref="NNJ1:NNQ1"/>
    <mergeCell ref="NNR1:NNY1"/>
    <mergeCell ref="NNZ1:NOG1"/>
    <mergeCell ref="NOH1:NOO1"/>
    <mergeCell ref="NOP1:NOW1"/>
    <mergeCell ref="NOX1:NPE1"/>
    <mergeCell ref="NLN1:NLU1"/>
    <mergeCell ref="NLV1:NMC1"/>
    <mergeCell ref="NMD1:NMK1"/>
    <mergeCell ref="NML1:NMS1"/>
    <mergeCell ref="NMT1:NNA1"/>
    <mergeCell ref="NNB1:NNI1"/>
    <mergeCell ref="NUT1:NVA1"/>
    <mergeCell ref="NVB1:NVI1"/>
    <mergeCell ref="NVJ1:NVQ1"/>
    <mergeCell ref="NVR1:NVY1"/>
    <mergeCell ref="NVZ1:NWG1"/>
    <mergeCell ref="NWH1:NWO1"/>
    <mergeCell ref="NSX1:NTE1"/>
    <mergeCell ref="NTF1:NTM1"/>
    <mergeCell ref="NTN1:NTU1"/>
    <mergeCell ref="NTV1:NUC1"/>
    <mergeCell ref="NUD1:NUK1"/>
    <mergeCell ref="NUL1:NUS1"/>
    <mergeCell ref="NRB1:NRI1"/>
    <mergeCell ref="NRJ1:NRQ1"/>
    <mergeCell ref="NRR1:NRY1"/>
    <mergeCell ref="NRZ1:NSG1"/>
    <mergeCell ref="NSH1:NSO1"/>
    <mergeCell ref="NSP1:NSW1"/>
    <mergeCell ref="OAH1:OAO1"/>
    <mergeCell ref="OAP1:OAW1"/>
    <mergeCell ref="OAX1:OBE1"/>
    <mergeCell ref="OBF1:OBM1"/>
    <mergeCell ref="OBN1:OBU1"/>
    <mergeCell ref="OBV1:OCC1"/>
    <mergeCell ref="NYL1:NYS1"/>
    <mergeCell ref="NYT1:NZA1"/>
    <mergeCell ref="NZB1:NZI1"/>
    <mergeCell ref="NZJ1:NZQ1"/>
    <mergeCell ref="NZR1:NZY1"/>
    <mergeCell ref="NZZ1:OAG1"/>
    <mergeCell ref="NWP1:NWW1"/>
    <mergeCell ref="NWX1:NXE1"/>
    <mergeCell ref="NXF1:NXM1"/>
    <mergeCell ref="NXN1:NXU1"/>
    <mergeCell ref="NXV1:NYC1"/>
    <mergeCell ref="NYD1:NYK1"/>
    <mergeCell ref="OFV1:OGC1"/>
    <mergeCell ref="OGD1:OGK1"/>
    <mergeCell ref="OGL1:OGS1"/>
    <mergeCell ref="OGT1:OHA1"/>
    <mergeCell ref="OHB1:OHI1"/>
    <mergeCell ref="OHJ1:OHQ1"/>
    <mergeCell ref="ODZ1:OEG1"/>
    <mergeCell ref="OEH1:OEO1"/>
    <mergeCell ref="OEP1:OEW1"/>
    <mergeCell ref="OEX1:OFE1"/>
    <mergeCell ref="OFF1:OFM1"/>
    <mergeCell ref="OFN1:OFU1"/>
    <mergeCell ref="OCD1:OCK1"/>
    <mergeCell ref="OCL1:OCS1"/>
    <mergeCell ref="OCT1:ODA1"/>
    <mergeCell ref="ODB1:ODI1"/>
    <mergeCell ref="ODJ1:ODQ1"/>
    <mergeCell ref="ODR1:ODY1"/>
    <mergeCell ref="OLJ1:OLQ1"/>
    <mergeCell ref="OLR1:OLY1"/>
    <mergeCell ref="OLZ1:OMG1"/>
    <mergeCell ref="OMH1:OMO1"/>
    <mergeCell ref="OMP1:OMW1"/>
    <mergeCell ref="OMX1:ONE1"/>
    <mergeCell ref="OJN1:OJU1"/>
    <mergeCell ref="OJV1:OKC1"/>
    <mergeCell ref="OKD1:OKK1"/>
    <mergeCell ref="OKL1:OKS1"/>
    <mergeCell ref="OKT1:OLA1"/>
    <mergeCell ref="OLB1:OLI1"/>
    <mergeCell ref="OHR1:OHY1"/>
    <mergeCell ref="OHZ1:OIG1"/>
    <mergeCell ref="OIH1:OIO1"/>
    <mergeCell ref="OIP1:OIW1"/>
    <mergeCell ref="OIX1:OJE1"/>
    <mergeCell ref="OJF1:OJM1"/>
    <mergeCell ref="OQX1:ORE1"/>
    <mergeCell ref="ORF1:ORM1"/>
    <mergeCell ref="ORN1:ORU1"/>
    <mergeCell ref="ORV1:OSC1"/>
    <mergeCell ref="OSD1:OSK1"/>
    <mergeCell ref="OSL1:OSS1"/>
    <mergeCell ref="OPB1:OPI1"/>
    <mergeCell ref="OPJ1:OPQ1"/>
    <mergeCell ref="OPR1:OPY1"/>
    <mergeCell ref="OPZ1:OQG1"/>
    <mergeCell ref="OQH1:OQO1"/>
    <mergeCell ref="OQP1:OQW1"/>
    <mergeCell ref="ONF1:ONM1"/>
    <mergeCell ref="ONN1:ONU1"/>
    <mergeCell ref="ONV1:OOC1"/>
    <mergeCell ref="OOD1:OOK1"/>
    <mergeCell ref="OOL1:OOS1"/>
    <mergeCell ref="OOT1:OPA1"/>
    <mergeCell ref="OWL1:OWS1"/>
    <mergeCell ref="OWT1:OXA1"/>
    <mergeCell ref="OXB1:OXI1"/>
    <mergeCell ref="OXJ1:OXQ1"/>
    <mergeCell ref="OXR1:OXY1"/>
    <mergeCell ref="OXZ1:OYG1"/>
    <mergeCell ref="OUP1:OUW1"/>
    <mergeCell ref="OUX1:OVE1"/>
    <mergeCell ref="OVF1:OVM1"/>
    <mergeCell ref="OVN1:OVU1"/>
    <mergeCell ref="OVV1:OWC1"/>
    <mergeCell ref="OWD1:OWK1"/>
    <mergeCell ref="OST1:OTA1"/>
    <mergeCell ref="OTB1:OTI1"/>
    <mergeCell ref="OTJ1:OTQ1"/>
    <mergeCell ref="OTR1:OTY1"/>
    <mergeCell ref="OTZ1:OUG1"/>
    <mergeCell ref="OUH1:OUO1"/>
    <mergeCell ref="PBZ1:PCG1"/>
    <mergeCell ref="PCH1:PCO1"/>
    <mergeCell ref="PCP1:PCW1"/>
    <mergeCell ref="PCX1:PDE1"/>
    <mergeCell ref="PDF1:PDM1"/>
    <mergeCell ref="PDN1:PDU1"/>
    <mergeCell ref="PAD1:PAK1"/>
    <mergeCell ref="PAL1:PAS1"/>
    <mergeCell ref="PAT1:PBA1"/>
    <mergeCell ref="PBB1:PBI1"/>
    <mergeCell ref="PBJ1:PBQ1"/>
    <mergeCell ref="PBR1:PBY1"/>
    <mergeCell ref="OYH1:OYO1"/>
    <mergeCell ref="OYP1:OYW1"/>
    <mergeCell ref="OYX1:OZE1"/>
    <mergeCell ref="OZF1:OZM1"/>
    <mergeCell ref="OZN1:OZU1"/>
    <mergeCell ref="OZV1:PAC1"/>
    <mergeCell ref="PHN1:PHU1"/>
    <mergeCell ref="PHV1:PIC1"/>
    <mergeCell ref="PID1:PIK1"/>
    <mergeCell ref="PIL1:PIS1"/>
    <mergeCell ref="PIT1:PJA1"/>
    <mergeCell ref="PJB1:PJI1"/>
    <mergeCell ref="PFR1:PFY1"/>
    <mergeCell ref="PFZ1:PGG1"/>
    <mergeCell ref="PGH1:PGO1"/>
    <mergeCell ref="PGP1:PGW1"/>
    <mergeCell ref="PGX1:PHE1"/>
    <mergeCell ref="PHF1:PHM1"/>
    <mergeCell ref="PDV1:PEC1"/>
    <mergeCell ref="PED1:PEK1"/>
    <mergeCell ref="PEL1:PES1"/>
    <mergeCell ref="PET1:PFA1"/>
    <mergeCell ref="PFB1:PFI1"/>
    <mergeCell ref="PFJ1:PFQ1"/>
    <mergeCell ref="PNB1:PNI1"/>
    <mergeCell ref="PNJ1:PNQ1"/>
    <mergeCell ref="PNR1:PNY1"/>
    <mergeCell ref="PNZ1:POG1"/>
    <mergeCell ref="POH1:POO1"/>
    <mergeCell ref="POP1:POW1"/>
    <mergeCell ref="PLF1:PLM1"/>
    <mergeCell ref="PLN1:PLU1"/>
    <mergeCell ref="PLV1:PMC1"/>
    <mergeCell ref="PMD1:PMK1"/>
    <mergeCell ref="PML1:PMS1"/>
    <mergeCell ref="PMT1:PNA1"/>
    <mergeCell ref="PJJ1:PJQ1"/>
    <mergeCell ref="PJR1:PJY1"/>
    <mergeCell ref="PJZ1:PKG1"/>
    <mergeCell ref="PKH1:PKO1"/>
    <mergeCell ref="PKP1:PKW1"/>
    <mergeCell ref="PKX1:PLE1"/>
    <mergeCell ref="PSP1:PSW1"/>
    <mergeCell ref="PSX1:PTE1"/>
    <mergeCell ref="PTF1:PTM1"/>
    <mergeCell ref="PTN1:PTU1"/>
    <mergeCell ref="PTV1:PUC1"/>
    <mergeCell ref="PUD1:PUK1"/>
    <mergeCell ref="PQT1:PRA1"/>
    <mergeCell ref="PRB1:PRI1"/>
    <mergeCell ref="PRJ1:PRQ1"/>
    <mergeCell ref="PRR1:PRY1"/>
    <mergeCell ref="PRZ1:PSG1"/>
    <mergeCell ref="PSH1:PSO1"/>
    <mergeCell ref="POX1:PPE1"/>
    <mergeCell ref="PPF1:PPM1"/>
    <mergeCell ref="PPN1:PPU1"/>
    <mergeCell ref="PPV1:PQC1"/>
    <mergeCell ref="PQD1:PQK1"/>
    <mergeCell ref="PQL1:PQS1"/>
    <mergeCell ref="PYD1:PYK1"/>
    <mergeCell ref="PYL1:PYS1"/>
    <mergeCell ref="PYT1:PZA1"/>
    <mergeCell ref="PZB1:PZI1"/>
    <mergeCell ref="PZJ1:PZQ1"/>
    <mergeCell ref="PZR1:PZY1"/>
    <mergeCell ref="PWH1:PWO1"/>
    <mergeCell ref="PWP1:PWW1"/>
    <mergeCell ref="PWX1:PXE1"/>
    <mergeCell ref="PXF1:PXM1"/>
    <mergeCell ref="PXN1:PXU1"/>
    <mergeCell ref="PXV1:PYC1"/>
    <mergeCell ref="PUL1:PUS1"/>
    <mergeCell ref="PUT1:PVA1"/>
    <mergeCell ref="PVB1:PVI1"/>
    <mergeCell ref="PVJ1:PVQ1"/>
    <mergeCell ref="PVR1:PVY1"/>
    <mergeCell ref="PVZ1:PWG1"/>
    <mergeCell ref="QDR1:QDY1"/>
    <mergeCell ref="QDZ1:QEG1"/>
    <mergeCell ref="QEH1:QEO1"/>
    <mergeCell ref="QEP1:QEW1"/>
    <mergeCell ref="QEX1:QFE1"/>
    <mergeCell ref="QFF1:QFM1"/>
    <mergeCell ref="QBV1:QCC1"/>
    <mergeCell ref="QCD1:QCK1"/>
    <mergeCell ref="QCL1:QCS1"/>
    <mergeCell ref="QCT1:QDA1"/>
    <mergeCell ref="QDB1:QDI1"/>
    <mergeCell ref="QDJ1:QDQ1"/>
    <mergeCell ref="PZZ1:QAG1"/>
    <mergeCell ref="QAH1:QAO1"/>
    <mergeCell ref="QAP1:QAW1"/>
    <mergeCell ref="QAX1:QBE1"/>
    <mergeCell ref="QBF1:QBM1"/>
    <mergeCell ref="QBN1:QBU1"/>
    <mergeCell ref="QJF1:QJM1"/>
    <mergeCell ref="QJN1:QJU1"/>
    <mergeCell ref="QJV1:QKC1"/>
    <mergeCell ref="QKD1:QKK1"/>
    <mergeCell ref="QKL1:QKS1"/>
    <mergeCell ref="QKT1:QLA1"/>
    <mergeCell ref="QHJ1:QHQ1"/>
    <mergeCell ref="QHR1:QHY1"/>
    <mergeCell ref="QHZ1:QIG1"/>
    <mergeCell ref="QIH1:QIO1"/>
    <mergeCell ref="QIP1:QIW1"/>
    <mergeCell ref="QIX1:QJE1"/>
    <mergeCell ref="QFN1:QFU1"/>
    <mergeCell ref="QFV1:QGC1"/>
    <mergeCell ref="QGD1:QGK1"/>
    <mergeCell ref="QGL1:QGS1"/>
    <mergeCell ref="QGT1:QHA1"/>
    <mergeCell ref="QHB1:QHI1"/>
    <mergeCell ref="QOT1:QPA1"/>
    <mergeCell ref="QPB1:QPI1"/>
    <mergeCell ref="QPJ1:QPQ1"/>
    <mergeCell ref="QPR1:QPY1"/>
    <mergeCell ref="QPZ1:QQG1"/>
    <mergeCell ref="QQH1:QQO1"/>
    <mergeCell ref="QMX1:QNE1"/>
    <mergeCell ref="QNF1:QNM1"/>
    <mergeCell ref="QNN1:QNU1"/>
    <mergeCell ref="QNV1:QOC1"/>
    <mergeCell ref="QOD1:QOK1"/>
    <mergeCell ref="QOL1:QOS1"/>
    <mergeCell ref="QLB1:QLI1"/>
    <mergeCell ref="QLJ1:QLQ1"/>
    <mergeCell ref="QLR1:QLY1"/>
    <mergeCell ref="QLZ1:QMG1"/>
    <mergeCell ref="QMH1:QMO1"/>
    <mergeCell ref="QMP1:QMW1"/>
    <mergeCell ref="QUH1:QUO1"/>
    <mergeCell ref="QUP1:QUW1"/>
    <mergeCell ref="QUX1:QVE1"/>
    <mergeCell ref="QVF1:QVM1"/>
    <mergeCell ref="QVN1:QVU1"/>
    <mergeCell ref="QVV1:QWC1"/>
    <mergeCell ref="QSL1:QSS1"/>
    <mergeCell ref="QST1:QTA1"/>
    <mergeCell ref="QTB1:QTI1"/>
    <mergeCell ref="QTJ1:QTQ1"/>
    <mergeCell ref="QTR1:QTY1"/>
    <mergeCell ref="QTZ1:QUG1"/>
    <mergeCell ref="QQP1:QQW1"/>
    <mergeCell ref="QQX1:QRE1"/>
    <mergeCell ref="QRF1:QRM1"/>
    <mergeCell ref="QRN1:QRU1"/>
    <mergeCell ref="QRV1:QSC1"/>
    <mergeCell ref="QSD1:QSK1"/>
    <mergeCell ref="QZV1:RAC1"/>
    <mergeCell ref="RAD1:RAK1"/>
    <mergeCell ref="RAL1:RAS1"/>
    <mergeCell ref="RAT1:RBA1"/>
    <mergeCell ref="RBB1:RBI1"/>
    <mergeCell ref="RBJ1:RBQ1"/>
    <mergeCell ref="QXZ1:QYG1"/>
    <mergeCell ref="QYH1:QYO1"/>
    <mergeCell ref="QYP1:QYW1"/>
    <mergeCell ref="QYX1:QZE1"/>
    <mergeCell ref="QZF1:QZM1"/>
    <mergeCell ref="QZN1:QZU1"/>
    <mergeCell ref="QWD1:QWK1"/>
    <mergeCell ref="QWL1:QWS1"/>
    <mergeCell ref="QWT1:QXA1"/>
    <mergeCell ref="QXB1:QXI1"/>
    <mergeCell ref="QXJ1:QXQ1"/>
    <mergeCell ref="QXR1:QXY1"/>
    <mergeCell ref="RFJ1:RFQ1"/>
    <mergeCell ref="RFR1:RFY1"/>
    <mergeCell ref="RFZ1:RGG1"/>
    <mergeCell ref="RGH1:RGO1"/>
    <mergeCell ref="RGP1:RGW1"/>
    <mergeCell ref="RGX1:RHE1"/>
    <mergeCell ref="RDN1:RDU1"/>
    <mergeCell ref="RDV1:REC1"/>
    <mergeCell ref="RED1:REK1"/>
    <mergeCell ref="REL1:RES1"/>
    <mergeCell ref="RET1:RFA1"/>
    <mergeCell ref="RFB1:RFI1"/>
    <mergeCell ref="RBR1:RBY1"/>
    <mergeCell ref="RBZ1:RCG1"/>
    <mergeCell ref="RCH1:RCO1"/>
    <mergeCell ref="RCP1:RCW1"/>
    <mergeCell ref="RCX1:RDE1"/>
    <mergeCell ref="RDF1:RDM1"/>
    <mergeCell ref="RKX1:RLE1"/>
    <mergeCell ref="RLF1:RLM1"/>
    <mergeCell ref="RLN1:RLU1"/>
    <mergeCell ref="RLV1:RMC1"/>
    <mergeCell ref="RMD1:RMK1"/>
    <mergeCell ref="RML1:RMS1"/>
    <mergeCell ref="RJB1:RJI1"/>
    <mergeCell ref="RJJ1:RJQ1"/>
    <mergeCell ref="RJR1:RJY1"/>
    <mergeCell ref="RJZ1:RKG1"/>
    <mergeCell ref="RKH1:RKO1"/>
    <mergeCell ref="RKP1:RKW1"/>
    <mergeCell ref="RHF1:RHM1"/>
    <mergeCell ref="RHN1:RHU1"/>
    <mergeCell ref="RHV1:RIC1"/>
    <mergeCell ref="RID1:RIK1"/>
    <mergeCell ref="RIL1:RIS1"/>
    <mergeCell ref="RIT1:RJA1"/>
    <mergeCell ref="RQL1:RQS1"/>
    <mergeCell ref="RQT1:RRA1"/>
    <mergeCell ref="RRB1:RRI1"/>
    <mergeCell ref="RRJ1:RRQ1"/>
    <mergeCell ref="RRR1:RRY1"/>
    <mergeCell ref="RRZ1:RSG1"/>
    <mergeCell ref="ROP1:ROW1"/>
    <mergeCell ref="ROX1:RPE1"/>
    <mergeCell ref="RPF1:RPM1"/>
    <mergeCell ref="RPN1:RPU1"/>
    <mergeCell ref="RPV1:RQC1"/>
    <mergeCell ref="RQD1:RQK1"/>
    <mergeCell ref="RMT1:RNA1"/>
    <mergeCell ref="RNB1:RNI1"/>
    <mergeCell ref="RNJ1:RNQ1"/>
    <mergeCell ref="RNR1:RNY1"/>
    <mergeCell ref="RNZ1:ROG1"/>
    <mergeCell ref="ROH1:ROO1"/>
    <mergeCell ref="RVZ1:RWG1"/>
    <mergeCell ref="RWH1:RWO1"/>
    <mergeCell ref="RWP1:RWW1"/>
    <mergeCell ref="RWX1:RXE1"/>
    <mergeCell ref="RXF1:RXM1"/>
    <mergeCell ref="RXN1:RXU1"/>
    <mergeCell ref="RUD1:RUK1"/>
    <mergeCell ref="RUL1:RUS1"/>
    <mergeCell ref="RUT1:RVA1"/>
    <mergeCell ref="RVB1:RVI1"/>
    <mergeCell ref="RVJ1:RVQ1"/>
    <mergeCell ref="RVR1:RVY1"/>
    <mergeCell ref="RSH1:RSO1"/>
    <mergeCell ref="RSP1:RSW1"/>
    <mergeCell ref="RSX1:RTE1"/>
    <mergeCell ref="RTF1:RTM1"/>
    <mergeCell ref="RTN1:RTU1"/>
    <mergeCell ref="RTV1:RUC1"/>
    <mergeCell ref="SBN1:SBU1"/>
    <mergeCell ref="SBV1:SCC1"/>
    <mergeCell ref="SCD1:SCK1"/>
    <mergeCell ref="SCL1:SCS1"/>
    <mergeCell ref="SCT1:SDA1"/>
    <mergeCell ref="SDB1:SDI1"/>
    <mergeCell ref="RZR1:RZY1"/>
    <mergeCell ref="RZZ1:SAG1"/>
    <mergeCell ref="SAH1:SAO1"/>
    <mergeCell ref="SAP1:SAW1"/>
    <mergeCell ref="SAX1:SBE1"/>
    <mergeCell ref="SBF1:SBM1"/>
    <mergeCell ref="RXV1:RYC1"/>
    <mergeCell ref="RYD1:RYK1"/>
    <mergeCell ref="RYL1:RYS1"/>
    <mergeCell ref="RYT1:RZA1"/>
    <mergeCell ref="RZB1:RZI1"/>
    <mergeCell ref="RZJ1:RZQ1"/>
    <mergeCell ref="SHB1:SHI1"/>
    <mergeCell ref="SHJ1:SHQ1"/>
    <mergeCell ref="SHR1:SHY1"/>
    <mergeCell ref="SHZ1:SIG1"/>
    <mergeCell ref="SIH1:SIO1"/>
    <mergeCell ref="SIP1:SIW1"/>
    <mergeCell ref="SFF1:SFM1"/>
    <mergeCell ref="SFN1:SFU1"/>
    <mergeCell ref="SFV1:SGC1"/>
    <mergeCell ref="SGD1:SGK1"/>
    <mergeCell ref="SGL1:SGS1"/>
    <mergeCell ref="SGT1:SHA1"/>
    <mergeCell ref="SDJ1:SDQ1"/>
    <mergeCell ref="SDR1:SDY1"/>
    <mergeCell ref="SDZ1:SEG1"/>
    <mergeCell ref="SEH1:SEO1"/>
    <mergeCell ref="SEP1:SEW1"/>
    <mergeCell ref="SEX1:SFE1"/>
    <mergeCell ref="SMP1:SMW1"/>
    <mergeCell ref="SMX1:SNE1"/>
    <mergeCell ref="SNF1:SNM1"/>
    <mergeCell ref="SNN1:SNU1"/>
    <mergeCell ref="SNV1:SOC1"/>
    <mergeCell ref="SOD1:SOK1"/>
    <mergeCell ref="SKT1:SLA1"/>
    <mergeCell ref="SLB1:SLI1"/>
    <mergeCell ref="SLJ1:SLQ1"/>
    <mergeCell ref="SLR1:SLY1"/>
    <mergeCell ref="SLZ1:SMG1"/>
    <mergeCell ref="SMH1:SMO1"/>
    <mergeCell ref="SIX1:SJE1"/>
    <mergeCell ref="SJF1:SJM1"/>
    <mergeCell ref="SJN1:SJU1"/>
    <mergeCell ref="SJV1:SKC1"/>
    <mergeCell ref="SKD1:SKK1"/>
    <mergeCell ref="SKL1:SKS1"/>
    <mergeCell ref="SSD1:SSK1"/>
    <mergeCell ref="SSL1:SSS1"/>
    <mergeCell ref="SST1:STA1"/>
    <mergeCell ref="STB1:STI1"/>
    <mergeCell ref="STJ1:STQ1"/>
    <mergeCell ref="STR1:STY1"/>
    <mergeCell ref="SQH1:SQO1"/>
    <mergeCell ref="SQP1:SQW1"/>
    <mergeCell ref="SQX1:SRE1"/>
    <mergeCell ref="SRF1:SRM1"/>
    <mergeCell ref="SRN1:SRU1"/>
    <mergeCell ref="SRV1:SSC1"/>
    <mergeCell ref="SOL1:SOS1"/>
    <mergeCell ref="SOT1:SPA1"/>
    <mergeCell ref="SPB1:SPI1"/>
    <mergeCell ref="SPJ1:SPQ1"/>
    <mergeCell ref="SPR1:SPY1"/>
    <mergeCell ref="SPZ1:SQG1"/>
    <mergeCell ref="SXR1:SXY1"/>
    <mergeCell ref="SXZ1:SYG1"/>
    <mergeCell ref="SYH1:SYO1"/>
    <mergeCell ref="SYP1:SYW1"/>
    <mergeCell ref="SYX1:SZE1"/>
    <mergeCell ref="SZF1:SZM1"/>
    <mergeCell ref="SVV1:SWC1"/>
    <mergeCell ref="SWD1:SWK1"/>
    <mergeCell ref="SWL1:SWS1"/>
    <mergeCell ref="SWT1:SXA1"/>
    <mergeCell ref="SXB1:SXI1"/>
    <mergeCell ref="SXJ1:SXQ1"/>
    <mergeCell ref="STZ1:SUG1"/>
    <mergeCell ref="SUH1:SUO1"/>
    <mergeCell ref="SUP1:SUW1"/>
    <mergeCell ref="SUX1:SVE1"/>
    <mergeCell ref="SVF1:SVM1"/>
    <mergeCell ref="SVN1:SVU1"/>
    <mergeCell ref="TDF1:TDM1"/>
    <mergeCell ref="TDN1:TDU1"/>
    <mergeCell ref="TDV1:TEC1"/>
    <mergeCell ref="TED1:TEK1"/>
    <mergeCell ref="TEL1:TES1"/>
    <mergeCell ref="TET1:TFA1"/>
    <mergeCell ref="TBJ1:TBQ1"/>
    <mergeCell ref="TBR1:TBY1"/>
    <mergeCell ref="TBZ1:TCG1"/>
    <mergeCell ref="TCH1:TCO1"/>
    <mergeCell ref="TCP1:TCW1"/>
    <mergeCell ref="TCX1:TDE1"/>
    <mergeCell ref="SZN1:SZU1"/>
    <mergeCell ref="SZV1:TAC1"/>
    <mergeCell ref="TAD1:TAK1"/>
    <mergeCell ref="TAL1:TAS1"/>
    <mergeCell ref="TAT1:TBA1"/>
    <mergeCell ref="TBB1:TBI1"/>
    <mergeCell ref="TIT1:TJA1"/>
    <mergeCell ref="TJB1:TJI1"/>
    <mergeCell ref="TJJ1:TJQ1"/>
    <mergeCell ref="TJR1:TJY1"/>
    <mergeCell ref="TJZ1:TKG1"/>
    <mergeCell ref="TKH1:TKO1"/>
    <mergeCell ref="TGX1:THE1"/>
    <mergeCell ref="THF1:THM1"/>
    <mergeCell ref="THN1:THU1"/>
    <mergeCell ref="THV1:TIC1"/>
    <mergeCell ref="TID1:TIK1"/>
    <mergeCell ref="TIL1:TIS1"/>
    <mergeCell ref="TFB1:TFI1"/>
    <mergeCell ref="TFJ1:TFQ1"/>
    <mergeCell ref="TFR1:TFY1"/>
    <mergeCell ref="TFZ1:TGG1"/>
    <mergeCell ref="TGH1:TGO1"/>
    <mergeCell ref="TGP1:TGW1"/>
    <mergeCell ref="TOH1:TOO1"/>
    <mergeCell ref="TOP1:TOW1"/>
    <mergeCell ref="TOX1:TPE1"/>
    <mergeCell ref="TPF1:TPM1"/>
    <mergeCell ref="TPN1:TPU1"/>
    <mergeCell ref="TPV1:TQC1"/>
    <mergeCell ref="TML1:TMS1"/>
    <mergeCell ref="TMT1:TNA1"/>
    <mergeCell ref="TNB1:TNI1"/>
    <mergeCell ref="TNJ1:TNQ1"/>
    <mergeCell ref="TNR1:TNY1"/>
    <mergeCell ref="TNZ1:TOG1"/>
    <mergeCell ref="TKP1:TKW1"/>
    <mergeCell ref="TKX1:TLE1"/>
    <mergeCell ref="TLF1:TLM1"/>
    <mergeCell ref="TLN1:TLU1"/>
    <mergeCell ref="TLV1:TMC1"/>
    <mergeCell ref="TMD1:TMK1"/>
    <mergeCell ref="TTV1:TUC1"/>
    <mergeCell ref="TUD1:TUK1"/>
    <mergeCell ref="TUL1:TUS1"/>
    <mergeCell ref="TUT1:TVA1"/>
    <mergeCell ref="TVB1:TVI1"/>
    <mergeCell ref="TVJ1:TVQ1"/>
    <mergeCell ref="TRZ1:TSG1"/>
    <mergeCell ref="TSH1:TSO1"/>
    <mergeCell ref="TSP1:TSW1"/>
    <mergeCell ref="TSX1:TTE1"/>
    <mergeCell ref="TTF1:TTM1"/>
    <mergeCell ref="TTN1:TTU1"/>
    <mergeCell ref="TQD1:TQK1"/>
    <mergeCell ref="TQL1:TQS1"/>
    <mergeCell ref="TQT1:TRA1"/>
    <mergeCell ref="TRB1:TRI1"/>
    <mergeCell ref="TRJ1:TRQ1"/>
    <mergeCell ref="TRR1:TRY1"/>
    <mergeCell ref="TZJ1:TZQ1"/>
    <mergeCell ref="TZR1:TZY1"/>
    <mergeCell ref="TZZ1:UAG1"/>
    <mergeCell ref="UAH1:UAO1"/>
    <mergeCell ref="UAP1:UAW1"/>
    <mergeCell ref="UAX1:UBE1"/>
    <mergeCell ref="TXN1:TXU1"/>
    <mergeCell ref="TXV1:TYC1"/>
    <mergeCell ref="TYD1:TYK1"/>
    <mergeCell ref="TYL1:TYS1"/>
    <mergeCell ref="TYT1:TZA1"/>
    <mergeCell ref="TZB1:TZI1"/>
    <mergeCell ref="TVR1:TVY1"/>
    <mergeCell ref="TVZ1:TWG1"/>
    <mergeCell ref="TWH1:TWO1"/>
    <mergeCell ref="TWP1:TWW1"/>
    <mergeCell ref="TWX1:TXE1"/>
    <mergeCell ref="TXF1:TXM1"/>
    <mergeCell ref="UEX1:UFE1"/>
    <mergeCell ref="UFF1:UFM1"/>
    <mergeCell ref="UFN1:UFU1"/>
    <mergeCell ref="UFV1:UGC1"/>
    <mergeCell ref="UGD1:UGK1"/>
    <mergeCell ref="UGL1:UGS1"/>
    <mergeCell ref="UDB1:UDI1"/>
    <mergeCell ref="UDJ1:UDQ1"/>
    <mergeCell ref="UDR1:UDY1"/>
    <mergeCell ref="UDZ1:UEG1"/>
    <mergeCell ref="UEH1:UEO1"/>
    <mergeCell ref="UEP1:UEW1"/>
    <mergeCell ref="UBF1:UBM1"/>
    <mergeCell ref="UBN1:UBU1"/>
    <mergeCell ref="UBV1:UCC1"/>
    <mergeCell ref="UCD1:UCK1"/>
    <mergeCell ref="UCL1:UCS1"/>
    <mergeCell ref="UCT1:UDA1"/>
    <mergeCell ref="UKL1:UKS1"/>
    <mergeCell ref="UKT1:ULA1"/>
    <mergeCell ref="ULB1:ULI1"/>
    <mergeCell ref="ULJ1:ULQ1"/>
    <mergeCell ref="ULR1:ULY1"/>
    <mergeCell ref="ULZ1:UMG1"/>
    <mergeCell ref="UIP1:UIW1"/>
    <mergeCell ref="UIX1:UJE1"/>
    <mergeCell ref="UJF1:UJM1"/>
    <mergeCell ref="UJN1:UJU1"/>
    <mergeCell ref="UJV1:UKC1"/>
    <mergeCell ref="UKD1:UKK1"/>
    <mergeCell ref="UGT1:UHA1"/>
    <mergeCell ref="UHB1:UHI1"/>
    <mergeCell ref="UHJ1:UHQ1"/>
    <mergeCell ref="UHR1:UHY1"/>
    <mergeCell ref="UHZ1:UIG1"/>
    <mergeCell ref="UIH1:UIO1"/>
    <mergeCell ref="UPZ1:UQG1"/>
    <mergeCell ref="UQH1:UQO1"/>
    <mergeCell ref="UQP1:UQW1"/>
    <mergeCell ref="UQX1:URE1"/>
    <mergeCell ref="URF1:URM1"/>
    <mergeCell ref="URN1:URU1"/>
    <mergeCell ref="UOD1:UOK1"/>
    <mergeCell ref="UOL1:UOS1"/>
    <mergeCell ref="UOT1:UPA1"/>
    <mergeCell ref="UPB1:UPI1"/>
    <mergeCell ref="UPJ1:UPQ1"/>
    <mergeCell ref="UPR1:UPY1"/>
    <mergeCell ref="UMH1:UMO1"/>
    <mergeCell ref="UMP1:UMW1"/>
    <mergeCell ref="UMX1:UNE1"/>
    <mergeCell ref="UNF1:UNM1"/>
    <mergeCell ref="UNN1:UNU1"/>
    <mergeCell ref="UNV1:UOC1"/>
    <mergeCell ref="UVN1:UVU1"/>
    <mergeCell ref="UVV1:UWC1"/>
    <mergeCell ref="UWD1:UWK1"/>
    <mergeCell ref="UWL1:UWS1"/>
    <mergeCell ref="UWT1:UXA1"/>
    <mergeCell ref="UXB1:UXI1"/>
    <mergeCell ref="UTR1:UTY1"/>
    <mergeCell ref="UTZ1:UUG1"/>
    <mergeCell ref="UUH1:UUO1"/>
    <mergeCell ref="UUP1:UUW1"/>
    <mergeCell ref="UUX1:UVE1"/>
    <mergeCell ref="UVF1:UVM1"/>
    <mergeCell ref="URV1:USC1"/>
    <mergeCell ref="USD1:USK1"/>
    <mergeCell ref="USL1:USS1"/>
    <mergeCell ref="UST1:UTA1"/>
    <mergeCell ref="UTB1:UTI1"/>
    <mergeCell ref="UTJ1:UTQ1"/>
    <mergeCell ref="VBB1:VBI1"/>
    <mergeCell ref="VBJ1:VBQ1"/>
    <mergeCell ref="VBR1:VBY1"/>
    <mergeCell ref="VBZ1:VCG1"/>
    <mergeCell ref="VCH1:VCO1"/>
    <mergeCell ref="VCP1:VCW1"/>
    <mergeCell ref="UZF1:UZM1"/>
    <mergeCell ref="UZN1:UZU1"/>
    <mergeCell ref="UZV1:VAC1"/>
    <mergeCell ref="VAD1:VAK1"/>
    <mergeCell ref="VAL1:VAS1"/>
    <mergeCell ref="VAT1:VBA1"/>
    <mergeCell ref="UXJ1:UXQ1"/>
    <mergeCell ref="UXR1:UXY1"/>
    <mergeCell ref="UXZ1:UYG1"/>
    <mergeCell ref="UYH1:UYO1"/>
    <mergeCell ref="UYP1:UYW1"/>
    <mergeCell ref="UYX1:UZE1"/>
    <mergeCell ref="VGP1:VGW1"/>
    <mergeCell ref="VGX1:VHE1"/>
    <mergeCell ref="VHF1:VHM1"/>
    <mergeCell ref="VHN1:VHU1"/>
    <mergeCell ref="VHV1:VIC1"/>
    <mergeCell ref="VID1:VIK1"/>
    <mergeCell ref="VET1:VFA1"/>
    <mergeCell ref="VFB1:VFI1"/>
    <mergeCell ref="VFJ1:VFQ1"/>
    <mergeCell ref="VFR1:VFY1"/>
    <mergeCell ref="VFZ1:VGG1"/>
    <mergeCell ref="VGH1:VGO1"/>
    <mergeCell ref="VCX1:VDE1"/>
    <mergeCell ref="VDF1:VDM1"/>
    <mergeCell ref="VDN1:VDU1"/>
    <mergeCell ref="VDV1:VEC1"/>
    <mergeCell ref="VED1:VEK1"/>
    <mergeCell ref="VEL1:VES1"/>
    <mergeCell ref="VMD1:VMK1"/>
    <mergeCell ref="VML1:VMS1"/>
    <mergeCell ref="VMT1:VNA1"/>
    <mergeCell ref="VNB1:VNI1"/>
    <mergeCell ref="VNJ1:VNQ1"/>
    <mergeCell ref="VNR1:VNY1"/>
    <mergeCell ref="VKH1:VKO1"/>
    <mergeCell ref="VKP1:VKW1"/>
    <mergeCell ref="VKX1:VLE1"/>
    <mergeCell ref="VLF1:VLM1"/>
    <mergeCell ref="VLN1:VLU1"/>
    <mergeCell ref="VLV1:VMC1"/>
    <mergeCell ref="VIL1:VIS1"/>
    <mergeCell ref="VIT1:VJA1"/>
    <mergeCell ref="VJB1:VJI1"/>
    <mergeCell ref="VJJ1:VJQ1"/>
    <mergeCell ref="VJR1:VJY1"/>
    <mergeCell ref="VJZ1:VKG1"/>
    <mergeCell ref="VRR1:VRY1"/>
    <mergeCell ref="VRZ1:VSG1"/>
    <mergeCell ref="VSH1:VSO1"/>
    <mergeCell ref="VSP1:VSW1"/>
    <mergeCell ref="VSX1:VTE1"/>
    <mergeCell ref="VTF1:VTM1"/>
    <mergeCell ref="VPV1:VQC1"/>
    <mergeCell ref="VQD1:VQK1"/>
    <mergeCell ref="VQL1:VQS1"/>
    <mergeCell ref="VQT1:VRA1"/>
    <mergeCell ref="VRB1:VRI1"/>
    <mergeCell ref="VRJ1:VRQ1"/>
    <mergeCell ref="VNZ1:VOG1"/>
    <mergeCell ref="VOH1:VOO1"/>
    <mergeCell ref="VOP1:VOW1"/>
    <mergeCell ref="VOX1:VPE1"/>
    <mergeCell ref="VPF1:VPM1"/>
    <mergeCell ref="VPN1:VPU1"/>
    <mergeCell ref="VXF1:VXM1"/>
    <mergeCell ref="VXN1:VXU1"/>
    <mergeCell ref="VXV1:VYC1"/>
    <mergeCell ref="VYD1:VYK1"/>
    <mergeCell ref="VYL1:VYS1"/>
    <mergeCell ref="VYT1:VZA1"/>
    <mergeCell ref="VVJ1:VVQ1"/>
    <mergeCell ref="VVR1:VVY1"/>
    <mergeCell ref="VVZ1:VWG1"/>
    <mergeCell ref="VWH1:VWO1"/>
    <mergeCell ref="VWP1:VWW1"/>
    <mergeCell ref="VWX1:VXE1"/>
    <mergeCell ref="VTN1:VTU1"/>
    <mergeCell ref="VTV1:VUC1"/>
    <mergeCell ref="VUD1:VUK1"/>
    <mergeCell ref="VUL1:VUS1"/>
    <mergeCell ref="VUT1:VVA1"/>
    <mergeCell ref="VVB1:VVI1"/>
    <mergeCell ref="WCT1:WDA1"/>
    <mergeCell ref="WDB1:WDI1"/>
    <mergeCell ref="WDJ1:WDQ1"/>
    <mergeCell ref="WDR1:WDY1"/>
    <mergeCell ref="WDZ1:WEG1"/>
    <mergeCell ref="WEH1:WEO1"/>
    <mergeCell ref="WAX1:WBE1"/>
    <mergeCell ref="WBF1:WBM1"/>
    <mergeCell ref="WBN1:WBU1"/>
    <mergeCell ref="WBV1:WCC1"/>
    <mergeCell ref="WCD1:WCK1"/>
    <mergeCell ref="WCL1:WCS1"/>
    <mergeCell ref="VZB1:VZI1"/>
    <mergeCell ref="VZJ1:VZQ1"/>
    <mergeCell ref="VZR1:VZY1"/>
    <mergeCell ref="VZZ1:WAG1"/>
    <mergeCell ref="WAH1:WAO1"/>
    <mergeCell ref="WAP1:WAW1"/>
    <mergeCell ref="WIH1:WIO1"/>
    <mergeCell ref="WIP1:WIW1"/>
    <mergeCell ref="WIX1:WJE1"/>
    <mergeCell ref="WJF1:WJM1"/>
    <mergeCell ref="WJN1:WJU1"/>
    <mergeCell ref="WJV1:WKC1"/>
    <mergeCell ref="WGL1:WGS1"/>
    <mergeCell ref="WGT1:WHA1"/>
    <mergeCell ref="WHB1:WHI1"/>
    <mergeCell ref="WHJ1:WHQ1"/>
    <mergeCell ref="WHR1:WHY1"/>
    <mergeCell ref="WHZ1:WIG1"/>
    <mergeCell ref="WEP1:WEW1"/>
    <mergeCell ref="WEX1:WFE1"/>
    <mergeCell ref="WFF1:WFM1"/>
    <mergeCell ref="WFN1:WFU1"/>
    <mergeCell ref="WFV1:WGC1"/>
    <mergeCell ref="WGD1:WGK1"/>
    <mergeCell ref="WNV1:WOC1"/>
    <mergeCell ref="WOD1:WOK1"/>
    <mergeCell ref="WOL1:WOS1"/>
    <mergeCell ref="WOT1:WPA1"/>
    <mergeCell ref="WPB1:WPI1"/>
    <mergeCell ref="WPJ1:WPQ1"/>
    <mergeCell ref="WLZ1:WMG1"/>
    <mergeCell ref="WMH1:WMO1"/>
    <mergeCell ref="WMP1:WMW1"/>
    <mergeCell ref="WMX1:WNE1"/>
    <mergeCell ref="WNF1:WNM1"/>
    <mergeCell ref="WNN1:WNU1"/>
    <mergeCell ref="WKD1:WKK1"/>
    <mergeCell ref="WKL1:WKS1"/>
    <mergeCell ref="WKT1:WLA1"/>
    <mergeCell ref="WLB1:WLI1"/>
    <mergeCell ref="WLJ1:WLQ1"/>
    <mergeCell ref="WLR1:WLY1"/>
    <mergeCell ref="WTJ1:WTQ1"/>
    <mergeCell ref="WTR1:WTY1"/>
    <mergeCell ref="WTZ1:WUG1"/>
    <mergeCell ref="WUH1:WUO1"/>
    <mergeCell ref="WUP1:WUW1"/>
    <mergeCell ref="WUX1:WVE1"/>
    <mergeCell ref="WRN1:WRU1"/>
    <mergeCell ref="WRV1:WSC1"/>
    <mergeCell ref="WSD1:WSK1"/>
    <mergeCell ref="WSL1:WSS1"/>
    <mergeCell ref="WST1:WTA1"/>
    <mergeCell ref="WTB1:WTI1"/>
    <mergeCell ref="WPR1:WPY1"/>
    <mergeCell ref="WPZ1:WQG1"/>
    <mergeCell ref="WQH1:WQO1"/>
    <mergeCell ref="WQP1:WQW1"/>
    <mergeCell ref="WQX1:WRE1"/>
    <mergeCell ref="WRF1:WRM1"/>
    <mergeCell ref="XEL1:XES1"/>
    <mergeCell ref="B2:L3"/>
    <mergeCell ref="XCP1:XCW1"/>
    <mergeCell ref="XCX1:XDE1"/>
    <mergeCell ref="XDF1:XDM1"/>
    <mergeCell ref="XDN1:XDU1"/>
    <mergeCell ref="XDV1:XEC1"/>
    <mergeCell ref="XED1:XEK1"/>
    <mergeCell ref="XAT1:XBA1"/>
    <mergeCell ref="XBB1:XBI1"/>
    <mergeCell ref="XBJ1:XBQ1"/>
    <mergeCell ref="XBR1:XBY1"/>
    <mergeCell ref="XBZ1:XCG1"/>
    <mergeCell ref="XCH1:XCO1"/>
    <mergeCell ref="WYX1:WZE1"/>
    <mergeCell ref="WZF1:WZM1"/>
    <mergeCell ref="WZN1:WZU1"/>
    <mergeCell ref="WZV1:XAC1"/>
    <mergeCell ref="XAD1:XAK1"/>
    <mergeCell ref="XAL1:XAS1"/>
    <mergeCell ref="WXB1:WXI1"/>
    <mergeCell ref="WXJ1:WXQ1"/>
    <mergeCell ref="WXR1:WXY1"/>
    <mergeCell ref="WXZ1:WYG1"/>
    <mergeCell ref="WYH1:WYO1"/>
    <mergeCell ref="WYP1:WYW1"/>
    <mergeCell ref="WVF1:WVM1"/>
    <mergeCell ref="WVN1:WVU1"/>
    <mergeCell ref="WVV1:WWC1"/>
    <mergeCell ref="WWD1:WWK1"/>
    <mergeCell ref="WWL1:WWS1"/>
    <mergeCell ref="WWT1:WXA1"/>
  </mergeCells>
  <phoneticPr fontId="5" type="noConversion"/>
  <pageMargins left="0.7" right="0.7" top="0.75" bottom="0.75" header="0.3" footer="0.3"/>
  <pageSetup scale="10"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B7A-73DB-45CE-90BC-02383E754B84}">
  <dimension ref="A1:M411"/>
  <sheetViews>
    <sheetView workbookViewId="0">
      <selection activeCell="H5" sqref="H5"/>
    </sheetView>
  </sheetViews>
  <sheetFormatPr baseColWidth="10" defaultColWidth="22" defaultRowHeight="19.2" x14ac:dyDescent="0.45"/>
  <cols>
    <col min="1" max="16384" width="22" style="465"/>
  </cols>
  <sheetData>
    <row r="1" spans="1:13" ht="38.4" x14ac:dyDescent="0.45">
      <c r="A1" s="441" t="s">
        <v>19</v>
      </c>
      <c r="B1" s="442" t="s">
        <v>20</v>
      </c>
      <c r="C1" s="443" t="s">
        <v>21</v>
      </c>
      <c r="D1" s="443" t="s">
        <v>22</v>
      </c>
      <c r="E1" s="442" t="s">
        <v>23</v>
      </c>
      <c r="F1" s="442" t="s">
        <v>24</v>
      </c>
      <c r="G1" s="442" t="s">
        <v>25</v>
      </c>
      <c r="H1" s="442" t="s">
        <v>26</v>
      </c>
      <c r="I1" s="442" t="s">
        <v>27</v>
      </c>
      <c r="J1" s="464"/>
      <c r="K1" s="333"/>
      <c r="L1" s="333"/>
      <c r="M1" s="333"/>
    </row>
    <row r="2" spans="1:13" ht="38.4" x14ac:dyDescent="0.45">
      <c r="A2" s="466" t="s">
        <v>1852</v>
      </c>
      <c r="B2" s="467" t="s">
        <v>1853</v>
      </c>
      <c r="C2" s="337">
        <v>32045104</v>
      </c>
      <c r="D2" s="337">
        <v>0</v>
      </c>
      <c r="E2" s="311" t="s">
        <v>1854</v>
      </c>
      <c r="F2" s="464" t="s">
        <v>1855</v>
      </c>
      <c r="G2" s="333">
        <v>7</v>
      </c>
      <c r="H2" s="333" t="s">
        <v>1851</v>
      </c>
      <c r="I2" s="333" t="s">
        <v>38</v>
      </c>
      <c r="J2" s="464"/>
      <c r="K2" s="333"/>
      <c r="L2" s="333"/>
      <c r="M2" s="444"/>
    </row>
    <row r="3" spans="1:13" ht="38.4" x14ac:dyDescent="0.45">
      <c r="A3" s="311" t="s">
        <v>1852</v>
      </c>
      <c r="B3" s="467" t="s">
        <v>1853</v>
      </c>
      <c r="C3" s="337">
        <v>32044318</v>
      </c>
      <c r="D3" s="337">
        <v>0</v>
      </c>
      <c r="E3" s="311" t="s">
        <v>1856</v>
      </c>
      <c r="F3" s="464" t="s">
        <v>1857</v>
      </c>
      <c r="G3" s="333">
        <v>7</v>
      </c>
      <c r="H3" s="333" t="s">
        <v>1851</v>
      </c>
      <c r="I3" s="444" t="s">
        <v>1858</v>
      </c>
      <c r="J3" s="468"/>
      <c r="K3" s="333"/>
      <c r="L3" s="333"/>
      <c r="M3" s="444"/>
    </row>
    <row r="4" spans="1:13" ht="38.4" x14ac:dyDescent="0.45">
      <c r="A4" s="311" t="s">
        <v>1852</v>
      </c>
      <c r="B4" s="467" t="s">
        <v>1853</v>
      </c>
      <c r="C4" s="337">
        <v>32043740</v>
      </c>
      <c r="D4" s="337">
        <v>0</v>
      </c>
      <c r="E4" s="311" t="s">
        <v>1859</v>
      </c>
      <c r="F4" s="468" t="s">
        <v>1860</v>
      </c>
      <c r="G4" s="333">
        <v>7</v>
      </c>
      <c r="H4" s="333" t="s">
        <v>1851</v>
      </c>
      <c r="I4" s="444" t="s">
        <v>1858</v>
      </c>
      <c r="J4" s="469"/>
      <c r="K4" s="333"/>
      <c r="L4" s="333"/>
      <c r="M4" s="333"/>
    </row>
    <row r="5" spans="1:13" ht="38.4" x14ac:dyDescent="0.45">
      <c r="A5" s="470" t="s">
        <v>1852</v>
      </c>
      <c r="B5" s="471" t="s">
        <v>1853</v>
      </c>
      <c r="C5" s="339">
        <v>32043636</v>
      </c>
      <c r="D5" s="339">
        <v>0</v>
      </c>
      <c r="E5" s="311" t="s">
        <v>1861</v>
      </c>
      <c r="F5" s="469" t="s">
        <v>1862</v>
      </c>
      <c r="G5" s="333">
        <v>7</v>
      </c>
      <c r="H5" s="333" t="s">
        <v>1851</v>
      </c>
      <c r="I5" s="333" t="s">
        <v>38</v>
      </c>
      <c r="J5" s="464"/>
      <c r="K5" s="333"/>
      <c r="L5" s="333"/>
      <c r="M5" s="333"/>
    </row>
    <row r="6" spans="1:13" ht="38.4" x14ac:dyDescent="0.45">
      <c r="A6" s="311" t="s">
        <v>1852</v>
      </c>
      <c r="B6" s="467" t="s">
        <v>1853</v>
      </c>
      <c r="C6" s="337">
        <v>32045126</v>
      </c>
      <c r="D6" s="337">
        <v>0</v>
      </c>
      <c r="E6" s="311" t="s">
        <v>1863</v>
      </c>
      <c r="F6" s="464" t="s">
        <v>1864</v>
      </c>
      <c r="G6" s="333">
        <v>7</v>
      </c>
      <c r="H6" s="333" t="s">
        <v>1851</v>
      </c>
      <c r="I6" s="333" t="s">
        <v>35</v>
      </c>
      <c r="J6" s="464"/>
      <c r="K6" s="333"/>
      <c r="L6" s="333"/>
      <c r="M6" s="333"/>
    </row>
    <row r="7" spans="1:13" ht="38.4" x14ac:dyDescent="0.45">
      <c r="A7" s="311" t="s">
        <v>1852</v>
      </c>
      <c r="B7" s="467" t="s">
        <v>1853</v>
      </c>
      <c r="C7" s="337">
        <v>32043806</v>
      </c>
      <c r="D7" s="337">
        <v>0</v>
      </c>
      <c r="E7" s="311" t="s">
        <v>1865</v>
      </c>
      <c r="F7" s="464" t="s">
        <v>1866</v>
      </c>
      <c r="G7" s="333">
        <v>7</v>
      </c>
      <c r="H7" s="333" t="s">
        <v>1851</v>
      </c>
      <c r="I7" s="333" t="s">
        <v>47</v>
      </c>
      <c r="J7" s="464"/>
      <c r="K7" s="333"/>
      <c r="L7" s="333"/>
      <c r="M7" s="333"/>
    </row>
    <row r="8" spans="1:13" ht="38.4" x14ac:dyDescent="0.45">
      <c r="A8" s="311" t="s">
        <v>1852</v>
      </c>
      <c r="B8" s="467" t="s">
        <v>1853</v>
      </c>
      <c r="C8" s="337">
        <v>32045787</v>
      </c>
      <c r="D8" s="337">
        <v>0</v>
      </c>
      <c r="E8" s="311" t="s">
        <v>1867</v>
      </c>
      <c r="F8" s="464" t="s">
        <v>1868</v>
      </c>
      <c r="G8" s="333">
        <v>7</v>
      </c>
      <c r="H8" s="333" t="s">
        <v>1851</v>
      </c>
      <c r="I8" s="333" t="s">
        <v>44</v>
      </c>
      <c r="J8" s="464"/>
      <c r="K8" s="333"/>
      <c r="L8" s="333"/>
      <c r="M8" s="454"/>
    </row>
    <row r="9" spans="1:13" ht="38.4" x14ac:dyDescent="0.45">
      <c r="A9" s="333" t="s">
        <v>2056</v>
      </c>
      <c r="B9" s="467" t="s">
        <v>2057</v>
      </c>
      <c r="C9" s="337">
        <v>32043974</v>
      </c>
      <c r="D9" s="472" t="s">
        <v>2054</v>
      </c>
      <c r="E9" s="466" t="s">
        <v>2058</v>
      </c>
      <c r="F9" s="464" t="s">
        <v>2059</v>
      </c>
      <c r="G9" s="333">
        <v>7</v>
      </c>
      <c r="H9" s="333" t="s">
        <v>2055</v>
      </c>
      <c r="I9" s="454" t="s">
        <v>128</v>
      </c>
      <c r="J9" s="468"/>
      <c r="K9" s="333"/>
      <c r="L9" s="333"/>
      <c r="M9" s="454"/>
    </row>
    <row r="10" spans="1:13" ht="38.4" x14ac:dyDescent="0.45">
      <c r="A10" s="333" t="s">
        <v>2056</v>
      </c>
      <c r="B10" s="467" t="s">
        <v>2057</v>
      </c>
      <c r="C10" s="473">
        <v>32045558</v>
      </c>
      <c r="D10" s="474" t="s">
        <v>2060</v>
      </c>
      <c r="E10" s="466" t="s">
        <v>2061</v>
      </c>
      <c r="F10" s="468" t="s">
        <v>2062</v>
      </c>
      <c r="G10" s="333">
        <v>7</v>
      </c>
      <c r="H10" s="333" t="s">
        <v>2055</v>
      </c>
      <c r="I10" s="454" t="s">
        <v>125</v>
      </c>
      <c r="J10" s="464"/>
      <c r="K10" s="333"/>
      <c r="L10" s="333"/>
      <c r="M10" s="475"/>
    </row>
    <row r="11" spans="1:13" ht="38.4" x14ac:dyDescent="0.45">
      <c r="A11" s="333" t="s">
        <v>2056</v>
      </c>
      <c r="B11" s="467" t="s">
        <v>2057</v>
      </c>
      <c r="C11" s="473">
        <v>32045424</v>
      </c>
      <c r="D11" s="474" t="s">
        <v>2090</v>
      </c>
      <c r="E11" s="311" t="s">
        <v>2093</v>
      </c>
      <c r="F11" s="464" t="s">
        <v>2094</v>
      </c>
      <c r="G11" s="333">
        <v>7</v>
      </c>
      <c r="H11" s="333" t="s">
        <v>2055</v>
      </c>
      <c r="I11" s="475" t="s">
        <v>1806</v>
      </c>
      <c r="J11" s="464"/>
      <c r="K11" s="333"/>
      <c r="L11" s="333"/>
      <c r="M11" s="476"/>
    </row>
    <row r="12" spans="1:13" ht="38.4" x14ac:dyDescent="0.45">
      <c r="A12" s="333" t="s">
        <v>2056</v>
      </c>
      <c r="B12" s="467" t="s">
        <v>2057</v>
      </c>
      <c r="C12" s="477">
        <v>32043847</v>
      </c>
      <c r="D12" s="474" t="s">
        <v>2063</v>
      </c>
      <c r="E12" s="466" t="s">
        <v>2064</v>
      </c>
      <c r="F12" s="464" t="s">
        <v>2065</v>
      </c>
      <c r="G12" s="333">
        <v>7</v>
      </c>
      <c r="H12" s="333" t="s">
        <v>2055</v>
      </c>
      <c r="I12" s="476" t="s">
        <v>1813</v>
      </c>
      <c r="J12" s="464"/>
      <c r="K12" s="333"/>
      <c r="L12" s="333"/>
      <c r="M12" s="476"/>
    </row>
    <row r="13" spans="1:13" ht="38.4" x14ac:dyDescent="0.45">
      <c r="A13" s="333" t="s">
        <v>2056</v>
      </c>
      <c r="B13" s="467" t="s">
        <v>2057</v>
      </c>
      <c r="C13" s="477">
        <v>32044410</v>
      </c>
      <c r="D13" s="474" t="s">
        <v>2066</v>
      </c>
      <c r="E13" s="478" t="s">
        <v>2067</v>
      </c>
      <c r="F13" s="464" t="s">
        <v>2068</v>
      </c>
      <c r="G13" s="333">
        <v>7</v>
      </c>
      <c r="H13" s="333" t="s">
        <v>2055</v>
      </c>
      <c r="I13" s="476" t="s">
        <v>1810</v>
      </c>
      <c r="J13" s="468"/>
      <c r="K13" s="333"/>
      <c r="L13" s="333"/>
      <c r="M13" s="476"/>
    </row>
    <row r="14" spans="1:13" ht="38.4" x14ac:dyDescent="0.45">
      <c r="A14" s="343" t="s">
        <v>2056</v>
      </c>
      <c r="B14" s="471" t="s">
        <v>2057</v>
      </c>
      <c r="C14" s="479">
        <v>32043855</v>
      </c>
      <c r="D14" s="474" t="s">
        <v>2063</v>
      </c>
      <c r="E14" s="466" t="s">
        <v>2319</v>
      </c>
      <c r="F14" s="468" t="s">
        <v>2320</v>
      </c>
      <c r="G14" s="333">
        <v>7</v>
      </c>
      <c r="H14" s="333" t="s">
        <v>2055</v>
      </c>
      <c r="I14" s="476" t="s">
        <v>1808</v>
      </c>
      <c r="J14" s="464"/>
      <c r="K14" s="333"/>
      <c r="L14" s="333"/>
      <c r="M14" s="447"/>
    </row>
    <row r="15" spans="1:13" ht="48" x14ac:dyDescent="0.85">
      <c r="A15" s="333" t="s">
        <v>2056</v>
      </c>
      <c r="B15" s="467" t="s">
        <v>2057</v>
      </c>
      <c r="C15" s="477">
        <v>32045543</v>
      </c>
      <c r="D15" s="474" t="s">
        <v>2060</v>
      </c>
      <c r="E15" s="466" t="s">
        <v>2069</v>
      </c>
      <c r="F15" s="464" t="s">
        <v>2070</v>
      </c>
      <c r="G15" s="333">
        <v>7</v>
      </c>
      <c r="H15" s="333" t="s">
        <v>2055</v>
      </c>
      <c r="I15" s="447" t="s">
        <v>1803</v>
      </c>
      <c r="J15" s="464"/>
      <c r="K15" s="333"/>
      <c r="L15" s="311"/>
      <c r="M15" s="447"/>
    </row>
    <row r="16" spans="1:13" ht="72" x14ac:dyDescent="0.85">
      <c r="A16" s="445" t="s">
        <v>213</v>
      </c>
      <c r="B16" s="467" t="s">
        <v>214</v>
      </c>
      <c r="C16" s="473">
        <v>32096526</v>
      </c>
      <c r="D16" s="474" t="s">
        <v>211</v>
      </c>
      <c r="E16" s="466" t="s">
        <v>215</v>
      </c>
      <c r="F16" s="464" t="s">
        <v>216</v>
      </c>
      <c r="G16" s="333">
        <v>20</v>
      </c>
      <c r="H16" s="311" t="s">
        <v>212</v>
      </c>
      <c r="I16" s="447" t="s">
        <v>217</v>
      </c>
      <c r="J16" s="464"/>
      <c r="K16" s="333"/>
      <c r="L16" s="311"/>
      <c r="M16" s="447"/>
    </row>
    <row r="17" spans="1:13" ht="72" x14ac:dyDescent="0.85">
      <c r="A17" s="445" t="s">
        <v>213</v>
      </c>
      <c r="B17" s="467" t="s">
        <v>214</v>
      </c>
      <c r="C17" s="477">
        <v>32044377</v>
      </c>
      <c r="D17" s="474" t="s">
        <v>211</v>
      </c>
      <c r="E17" s="446" t="s">
        <v>218</v>
      </c>
      <c r="F17" s="464" t="s">
        <v>219</v>
      </c>
      <c r="G17" s="333">
        <v>20</v>
      </c>
      <c r="H17" s="311" t="s">
        <v>212</v>
      </c>
      <c r="I17" s="447" t="s">
        <v>220</v>
      </c>
      <c r="J17" s="480"/>
      <c r="K17" s="333"/>
      <c r="L17" s="311"/>
      <c r="M17" s="447"/>
    </row>
    <row r="18" spans="1:13" ht="72" x14ac:dyDescent="0.85">
      <c r="A18" s="311" t="s">
        <v>213</v>
      </c>
      <c r="B18" s="467" t="s">
        <v>214</v>
      </c>
      <c r="C18" s="462">
        <v>32046549</v>
      </c>
      <c r="D18" s="463" t="s">
        <v>211</v>
      </c>
      <c r="E18" s="466" t="s">
        <v>221</v>
      </c>
      <c r="F18" s="480" t="s">
        <v>222</v>
      </c>
      <c r="G18" s="333">
        <v>20</v>
      </c>
      <c r="H18" s="311" t="s">
        <v>212</v>
      </c>
      <c r="I18" s="447" t="s">
        <v>223</v>
      </c>
      <c r="J18" s="481"/>
      <c r="K18" s="333"/>
      <c r="L18" s="311"/>
      <c r="M18" s="475"/>
    </row>
    <row r="19" spans="1:13" ht="72" x14ac:dyDescent="0.85">
      <c r="A19" s="311" t="s">
        <v>213</v>
      </c>
      <c r="B19" s="467" t="s">
        <v>214</v>
      </c>
      <c r="C19" s="482">
        <v>32055155</v>
      </c>
      <c r="D19" s="483" t="s">
        <v>211</v>
      </c>
      <c r="E19" s="311" t="s">
        <v>224</v>
      </c>
      <c r="F19" s="481" t="s">
        <v>225</v>
      </c>
      <c r="G19" s="333">
        <v>20</v>
      </c>
      <c r="H19" s="311" t="s">
        <v>212</v>
      </c>
      <c r="I19" s="475" t="s">
        <v>223</v>
      </c>
      <c r="J19" s="464"/>
      <c r="K19" s="333"/>
      <c r="L19" s="311"/>
      <c r="M19" s="476"/>
    </row>
    <row r="20" spans="1:13" ht="72" x14ac:dyDescent="0.85">
      <c r="A20" s="311" t="s">
        <v>213</v>
      </c>
      <c r="B20" s="467" t="s">
        <v>214</v>
      </c>
      <c r="C20" s="484">
        <v>32045475</v>
      </c>
      <c r="D20" s="483" t="s">
        <v>211</v>
      </c>
      <c r="E20" s="466" t="s">
        <v>226</v>
      </c>
      <c r="F20" s="464" t="s">
        <v>227</v>
      </c>
      <c r="G20" s="333">
        <v>20</v>
      </c>
      <c r="H20" s="311" t="s">
        <v>212</v>
      </c>
      <c r="I20" s="476" t="s">
        <v>228</v>
      </c>
      <c r="J20" s="464"/>
      <c r="K20" s="333"/>
      <c r="L20" s="311"/>
      <c r="M20" s="476"/>
    </row>
    <row r="21" spans="1:13" ht="72" x14ac:dyDescent="0.85">
      <c r="A21" s="311" t="s">
        <v>213</v>
      </c>
      <c r="B21" s="467" t="s">
        <v>214</v>
      </c>
      <c r="C21" s="473">
        <v>32153661</v>
      </c>
      <c r="D21" s="474" t="s">
        <v>211</v>
      </c>
      <c r="E21" s="466" t="s">
        <v>229</v>
      </c>
      <c r="F21" s="464" t="s">
        <v>230</v>
      </c>
      <c r="G21" s="333">
        <v>20</v>
      </c>
      <c r="H21" s="311" t="s">
        <v>212</v>
      </c>
      <c r="I21" s="476" t="s">
        <v>231</v>
      </c>
      <c r="J21" s="464"/>
      <c r="K21" s="333"/>
      <c r="L21" s="311"/>
      <c r="M21" s="476"/>
    </row>
    <row r="22" spans="1:13" ht="72" x14ac:dyDescent="0.85">
      <c r="A22" s="311" t="s">
        <v>213</v>
      </c>
      <c r="B22" s="467" t="s">
        <v>214</v>
      </c>
      <c r="C22" s="473">
        <v>32044547</v>
      </c>
      <c r="D22" s="474" t="s">
        <v>211</v>
      </c>
      <c r="E22" s="466" t="s">
        <v>232</v>
      </c>
      <c r="F22" s="464" t="s">
        <v>233</v>
      </c>
      <c r="G22" s="333">
        <v>20</v>
      </c>
      <c r="H22" s="311" t="s">
        <v>212</v>
      </c>
      <c r="I22" s="476" t="s">
        <v>234</v>
      </c>
      <c r="J22" s="464"/>
      <c r="K22" s="333"/>
      <c r="L22" s="311"/>
      <c r="M22" s="476"/>
    </row>
    <row r="23" spans="1:13" ht="72" x14ac:dyDescent="0.85">
      <c r="A23" s="311" t="s">
        <v>213</v>
      </c>
      <c r="B23" s="467" t="s">
        <v>214</v>
      </c>
      <c r="C23" s="477">
        <v>32044975</v>
      </c>
      <c r="D23" s="474" t="s">
        <v>211</v>
      </c>
      <c r="E23" s="466" t="s">
        <v>235</v>
      </c>
      <c r="F23" s="464" t="s">
        <v>236</v>
      </c>
      <c r="G23" s="333">
        <v>20</v>
      </c>
      <c r="H23" s="311" t="s">
        <v>212</v>
      </c>
      <c r="I23" s="476" t="s">
        <v>237</v>
      </c>
      <c r="J23" s="469"/>
      <c r="K23" s="333"/>
      <c r="L23" s="311"/>
      <c r="M23" s="476"/>
    </row>
    <row r="24" spans="1:13" ht="72" x14ac:dyDescent="0.85">
      <c r="A24" s="311" t="s">
        <v>213</v>
      </c>
      <c r="B24" s="467" t="s">
        <v>214</v>
      </c>
      <c r="C24" s="473">
        <v>32057722</v>
      </c>
      <c r="D24" s="474" t="s">
        <v>211</v>
      </c>
      <c r="E24" s="466" t="s">
        <v>238</v>
      </c>
      <c r="F24" s="469" t="s">
        <v>61</v>
      </c>
      <c r="G24" s="333">
        <v>20</v>
      </c>
      <c r="H24" s="311" t="s">
        <v>212</v>
      </c>
      <c r="I24" s="476" t="s">
        <v>239</v>
      </c>
      <c r="J24" s="464"/>
      <c r="K24" s="333"/>
      <c r="L24" s="311"/>
      <c r="M24" s="476"/>
    </row>
    <row r="25" spans="1:13" ht="72" x14ac:dyDescent="0.85">
      <c r="A25" s="311" t="s">
        <v>213</v>
      </c>
      <c r="B25" s="467" t="s">
        <v>214</v>
      </c>
      <c r="C25" s="477">
        <v>32061082</v>
      </c>
      <c r="D25" s="474" t="s">
        <v>211</v>
      </c>
      <c r="E25" s="466" t="s">
        <v>240</v>
      </c>
      <c r="F25" s="464" t="s">
        <v>241</v>
      </c>
      <c r="G25" s="333">
        <v>20</v>
      </c>
      <c r="H25" s="311" t="s">
        <v>212</v>
      </c>
      <c r="I25" s="476" t="s">
        <v>239</v>
      </c>
      <c r="J25" s="464"/>
      <c r="K25" s="333"/>
      <c r="L25" s="311"/>
      <c r="M25" s="476"/>
    </row>
    <row r="26" spans="1:13" ht="72" x14ac:dyDescent="0.85">
      <c r="A26" s="311" t="s">
        <v>213</v>
      </c>
      <c r="B26" s="467" t="s">
        <v>214</v>
      </c>
      <c r="C26" s="484">
        <v>32111147</v>
      </c>
      <c r="D26" s="483" t="s">
        <v>211</v>
      </c>
      <c r="E26" s="466" t="s">
        <v>242</v>
      </c>
      <c r="F26" s="464" t="s">
        <v>243</v>
      </c>
      <c r="G26" s="333">
        <v>20</v>
      </c>
      <c r="H26" s="311" t="s">
        <v>212</v>
      </c>
      <c r="I26" s="476" t="s">
        <v>244</v>
      </c>
      <c r="J26" s="464"/>
      <c r="K26" s="333"/>
      <c r="L26" s="311"/>
      <c r="M26" s="475"/>
    </row>
    <row r="27" spans="1:13" ht="72" x14ac:dyDescent="0.85">
      <c r="A27" s="311" t="s">
        <v>213</v>
      </c>
      <c r="B27" s="467" t="s">
        <v>214</v>
      </c>
      <c r="C27" s="473">
        <v>32046065</v>
      </c>
      <c r="D27" s="474" t="s">
        <v>211</v>
      </c>
      <c r="E27" s="311" t="s">
        <v>245</v>
      </c>
      <c r="F27" s="464" t="s">
        <v>246</v>
      </c>
      <c r="G27" s="333">
        <v>20</v>
      </c>
      <c r="H27" s="311" t="s">
        <v>212</v>
      </c>
      <c r="I27" s="475" t="s">
        <v>47</v>
      </c>
      <c r="J27" s="485"/>
      <c r="K27" s="333"/>
      <c r="L27" s="311"/>
      <c r="M27" s="476"/>
    </row>
    <row r="28" spans="1:13" ht="72" x14ac:dyDescent="0.85">
      <c r="A28" s="311" t="s">
        <v>213</v>
      </c>
      <c r="B28" s="467" t="s">
        <v>214</v>
      </c>
      <c r="C28" s="477">
        <v>32044927</v>
      </c>
      <c r="D28" s="474" t="s">
        <v>211</v>
      </c>
      <c r="E28" s="446" t="s">
        <v>247</v>
      </c>
      <c r="F28" s="485" t="s">
        <v>248</v>
      </c>
      <c r="G28" s="333">
        <v>20</v>
      </c>
      <c r="H28" s="311" t="s">
        <v>212</v>
      </c>
      <c r="I28" s="476" t="s">
        <v>47</v>
      </c>
      <c r="J28" s="464"/>
      <c r="K28" s="333"/>
      <c r="L28" s="311"/>
      <c r="M28" s="476"/>
    </row>
    <row r="29" spans="1:13" ht="72" x14ac:dyDescent="0.85">
      <c r="A29" s="311" t="s">
        <v>213</v>
      </c>
      <c r="B29" s="467" t="s">
        <v>214</v>
      </c>
      <c r="C29" s="477">
        <v>32054061</v>
      </c>
      <c r="D29" s="477" t="s">
        <v>211</v>
      </c>
      <c r="E29" s="447" t="s">
        <v>249</v>
      </c>
      <c r="F29" s="464" t="s">
        <v>250</v>
      </c>
      <c r="G29" s="333">
        <v>20</v>
      </c>
      <c r="H29" s="311" t="s">
        <v>212</v>
      </c>
      <c r="I29" s="476" t="s">
        <v>72</v>
      </c>
      <c r="J29" s="464"/>
      <c r="K29" s="333"/>
      <c r="L29" s="311"/>
      <c r="M29" s="476"/>
    </row>
    <row r="30" spans="1:13" ht="72" x14ac:dyDescent="0.85">
      <c r="A30" s="448" t="s">
        <v>213</v>
      </c>
      <c r="B30" s="471" t="s">
        <v>214</v>
      </c>
      <c r="C30" s="486">
        <v>32046418</v>
      </c>
      <c r="D30" s="486" t="s">
        <v>211</v>
      </c>
      <c r="E30" s="487" t="s">
        <v>251</v>
      </c>
      <c r="F30" s="464" t="s">
        <v>252</v>
      </c>
      <c r="G30" s="333">
        <v>20</v>
      </c>
      <c r="H30" s="311" t="s">
        <v>212</v>
      </c>
      <c r="I30" s="476" t="s">
        <v>253</v>
      </c>
      <c r="J30" s="464"/>
      <c r="K30" s="333"/>
      <c r="L30" s="311"/>
      <c r="M30" s="476"/>
    </row>
    <row r="31" spans="1:13" ht="72" x14ac:dyDescent="0.85">
      <c r="A31" s="445" t="s">
        <v>213</v>
      </c>
      <c r="B31" s="467" t="s">
        <v>214</v>
      </c>
      <c r="C31" s="477">
        <v>32044511</v>
      </c>
      <c r="D31" s="477" t="s">
        <v>211</v>
      </c>
      <c r="E31" s="487" t="s">
        <v>254</v>
      </c>
      <c r="F31" s="464" t="s">
        <v>255</v>
      </c>
      <c r="G31" s="333">
        <v>20</v>
      </c>
      <c r="H31" s="311" t="s">
        <v>212</v>
      </c>
      <c r="I31" s="476" t="s">
        <v>35</v>
      </c>
      <c r="J31" s="468"/>
      <c r="K31" s="333"/>
      <c r="L31" s="311"/>
      <c r="M31" s="476"/>
    </row>
    <row r="32" spans="1:13" ht="72" x14ac:dyDescent="0.85">
      <c r="A32" s="311" t="s">
        <v>213</v>
      </c>
      <c r="B32" s="467" t="s">
        <v>214</v>
      </c>
      <c r="C32" s="477">
        <v>32044484</v>
      </c>
      <c r="D32" s="477" t="s">
        <v>211</v>
      </c>
      <c r="E32" s="447" t="s">
        <v>256</v>
      </c>
      <c r="F32" s="468" t="s">
        <v>257</v>
      </c>
      <c r="G32" s="333">
        <v>20</v>
      </c>
      <c r="H32" s="311" t="s">
        <v>212</v>
      </c>
      <c r="I32" s="476" t="s">
        <v>35</v>
      </c>
      <c r="J32" s="464"/>
      <c r="K32" s="333"/>
      <c r="L32" s="311"/>
      <c r="M32" s="476"/>
    </row>
    <row r="33" spans="1:13" ht="72" x14ac:dyDescent="0.85">
      <c r="A33" s="445" t="s">
        <v>213</v>
      </c>
      <c r="B33" s="467" t="s">
        <v>214</v>
      </c>
      <c r="C33" s="462">
        <v>32057596</v>
      </c>
      <c r="D33" s="462" t="s">
        <v>211</v>
      </c>
      <c r="E33" s="487" t="s">
        <v>258</v>
      </c>
      <c r="F33" s="464" t="s">
        <v>259</v>
      </c>
      <c r="G33" s="333">
        <v>20</v>
      </c>
      <c r="H33" s="311" t="s">
        <v>212</v>
      </c>
      <c r="I33" s="476" t="s">
        <v>260</v>
      </c>
      <c r="J33" s="464"/>
      <c r="K33" s="333"/>
      <c r="L33" s="311"/>
      <c r="M33" s="476"/>
    </row>
    <row r="34" spans="1:13" ht="72" x14ac:dyDescent="0.85">
      <c r="A34" s="311" t="s">
        <v>213</v>
      </c>
      <c r="B34" s="467" t="s">
        <v>214</v>
      </c>
      <c r="C34" s="337">
        <v>32045500</v>
      </c>
      <c r="D34" s="474" t="s">
        <v>211</v>
      </c>
      <c r="E34" s="447" t="s">
        <v>261</v>
      </c>
      <c r="F34" s="464" t="s">
        <v>262</v>
      </c>
      <c r="G34" s="333">
        <v>20</v>
      </c>
      <c r="H34" s="311" t="s">
        <v>212</v>
      </c>
      <c r="I34" s="476" t="s">
        <v>44</v>
      </c>
      <c r="J34" s="488"/>
      <c r="K34" s="433"/>
      <c r="L34" s="489"/>
      <c r="M34" s="490"/>
    </row>
    <row r="35" spans="1:13" ht="72" x14ac:dyDescent="0.85">
      <c r="A35" s="365" t="s">
        <v>1992</v>
      </c>
      <c r="B35" s="491" t="s">
        <v>1993</v>
      </c>
      <c r="C35" s="477">
        <v>32043758</v>
      </c>
      <c r="D35" s="474" t="s">
        <v>1991</v>
      </c>
      <c r="E35" s="492" t="s">
        <v>1994</v>
      </c>
      <c r="F35" s="488" t="s">
        <v>1995</v>
      </c>
      <c r="G35" s="433">
        <v>4</v>
      </c>
      <c r="H35" s="489" t="s">
        <v>4</v>
      </c>
      <c r="I35" s="490" t="s">
        <v>456</v>
      </c>
      <c r="J35" s="493"/>
      <c r="K35" s="433"/>
      <c r="L35" s="489"/>
      <c r="M35" s="494"/>
    </row>
    <row r="36" spans="1:13" ht="48" x14ac:dyDescent="0.85">
      <c r="A36" s="376" t="s">
        <v>1992</v>
      </c>
      <c r="B36" s="491" t="s">
        <v>1993</v>
      </c>
      <c r="C36" s="477">
        <v>32045388</v>
      </c>
      <c r="D36" s="474" t="s">
        <v>1991</v>
      </c>
      <c r="E36" s="492" t="s">
        <v>1996</v>
      </c>
      <c r="F36" s="493" t="s">
        <v>1997</v>
      </c>
      <c r="G36" s="433">
        <v>4</v>
      </c>
      <c r="H36" s="489" t="s">
        <v>4</v>
      </c>
      <c r="I36" s="494" t="s">
        <v>464</v>
      </c>
      <c r="J36" s="495"/>
      <c r="K36" s="433"/>
      <c r="L36" s="489"/>
      <c r="M36" s="496"/>
    </row>
    <row r="37" spans="1:13" ht="48" x14ac:dyDescent="0.85">
      <c r="A37" s="376" t="s">
        <v>1992</v>
      </c>
      <c r="B37" s="491" t="s">
        <v>1993</v>
      </c>
      <c r="C37" s="479">
        <v>32045383</v>
      </c>
      <c r="D37" s="474" t="s">
        <v>1991</v>
      </c>
      <c r="E37" s="489" t="s">
        <v>1998</v>
      </c>
      <c r="F37" s="495" t="s">
        <v>1999</v>
      </c>
      <c r="G37" s="433">
        <v>4</v>
      </c>
      <c r="H37" s="489" t="s">
        <v>4</v>
      </c>
      <c r="I37" s="496" t="s">
        <v>470</v>
      </c>
      <c r="J37" s="488"/>
      <c r="K37" s="433"/>
      <c r="L37" s="489"/>
      <c r="M37" s="494"/>
    </row>
    <row r="38" spans="1:13" ht="48" x14ac:dyDescent="0.85">
      <c r="A38" s="376" t="s">
        <v>1992</v>
      </c>
      <c r="B38" s="471" t="s">
        <v>1993</v>
      </c>
      <c r="C38" s="486">
        <v>32045143</v>
      </c>
      <c r="D38" s="474" t="s">
        <v>1991</v>
      </c>
      <c r="E38" s="492" t="s">
        <v>2000</v>
      </c>
      <c r="F38" s="488" t="s">
        <v>2001</v>
      </c>
      <c r="G38" s="433">
        <v>4</v>
      </c>
      <c r="H38" s="489" t="s">
        <v>4</v>
      </c>
      <c r="I38" s="494" t="s">
        <v>447</v>
      </c>
      <c r="J38" s="468"/>
      <c r="K38" s="333"/>
      <c r="L38" s="481"/>
      <c r="M38" s="476"/>
    </row>
    <row r="39" spans="1:13" ht="48" x14ac:dyDescent="0.85">
      <c r="A39" s="497" t="s">
        <v>265</v>
      </c>
      <c r="B39" s="471" t="s">
        <v>266</v>
      </c>
      <c r="C39" s="498">
        <v>32102191</v>
      </c>
      <c r="D39" s="483">
        <v>0</v>
      </c>
      <c r="E39" s="466" t="s">
        <v>267</v>
      </c>
      <c r="F39" s="468" t="s">
        <v>268</v>
      </c>
      <c r="G39" s="333">
        <v>5</v>
      </c>
      <c r="H39" s="481" t="s">
        <v>264</v>
      </c>
      <c r="I39" s="476" t="s">
        <v>35</v>
      </c>
      <c r="J39" s="464"/>
      <c r="K39" s="333"/>
      <c r="L39" s="481"/>
      <c r="M39" s="476"/>
    </row>
    <row r="40" spans="1:13" ht="48" x14ac:dyDescent="0.85">
      <c r="A40" s="499" t="s">
        <v>265</v>
      </c>
      <c r="B40" s="471" t="s">
        <v>266</v>
      </c>
      <c r="C40" s="498">
        <v>32222225</v>
      </c>
      <c r="D40" s="483">
        <v>0</v>
      </c>
      <c r="E40" s="466" t="s">
        <v>269</v>
      </c>
      <c r="F40" s="464" t="s">
        <v>270</v>
      </c>
      <c r="G40" s="333">
        <v>5</v>
      </c>
      <c r="H40" s="481" t="s">
        <v>264</v>
      </c>
      <c r="I40" s="476" t="s">
        <v>47</v>
      </c>
      <c r="J40" s="464"/>
      <c r="K40" s="333"/>
      <c r="L40" s="481"/>
      <c r="M40" s="476"/>
    </row>
    <row r="41" spans="1:13" ht="72" x14ac:dyDescent="0.85">
      <c r="A41" s="471" t="s">
        <v>265</v>
      </c>
      <c r="B41" s="467" t="s">
        <v>266</v>
      </c>
      <c r="C41" s="484">
        <v>32202298</v>
      </c>
      <c r="D41" s="483">
        <v>0</v>
      </c>
      <c r="E41" s="466" t="s">
        <v>2321</v>
      </c>
      <c r="F41" s="464" t="s">
        <v>2322</v>
      </c>
      <c r="G41" s="333">
        <v>5</v>
      </c>
      <c r="H41" s="481" t="s">
        <v>264</v>
      </c>
      <c r="I41" s="476" t="s">
        <v>41</v>
      </c>
      <c r="J41" s="468"/>
      <c r="K41" s="333"/>
      <c r="L41" s="481"/>
      <c r="M41" s="476"/>
    </row>
    <row r="42" spans="1:13" ht="48" x14ac:dyDescent="0.85">
      <c r="A42" s="471" t="s">
        <v>265</v>
      </c>
      <c r="B42" s="467" t="s">
        <v>266</v>
      </c>
      <c r="C42" s="484">
        <v>32222227</v>
      </c>
      <c r="D42" s="483">
        <v>0</v>
      </c>
      <c r="E42" s="466" t="s">
        <v>271</v>
      </c>
      <c r="F42" s="468" t="s">
        <v>272</v>
      </c>
      <c r="G42" s="333">
        <v>5</v>
      </c>
      <c r="H42" s="481" t="s">
        <v>264</v>
      </c>
      <c r="I42" s="476" t="s">
        <v>44</v>
      </c>
      <c r="J42" s="464"/>
      <c r="K42" s="333"/>
      <c r="L42" s="481"/>
      <c r="M42" s="476"/>
    </row>
    <row r="43" spans="1:13" ht="48" x14ac:dyDescent="0.85">
      <c r="A43" s="471" t="s">
        <v>265</v>
      </c>
      <c r="B43" s="467" t="s">
        <v>266</v>
      </c>
      <c r="C43" s="484">
        <v>32044502</v>
      </c>
      <c r="D43" s="483">
        <v>0</v>
      </c>
      <c r="E43" s="466" t="s">
        <v>275</v>
      </c>
      <c r="F43" s="464" t="s">
        <v>276</v>
      </c>
      <c r="G43" s="333">
        <v>5</v>
      </c>
      <c r="H43" s="481" t="s">
        <v>264</v>
      </c>
      <c r="I43" s="476" t="s">
        <v>56</v>
      </c>
      <c r="J43" s="464"/>
      <c r="K43" s="333"/>
      <c r="L43" s="333"/>
      <c r="M43" s="476"/>
    </row>
    <row r="44" spans="1:13" ht="72" x14ac:dyDescent="0.85">
      <c r="A44" s="471" t="s">
        <v>2072</v>
      </c>
      <c r="B44" s="471" t="s">
        <v>2073</v>
      </c>
      <c r="C44" s="477">
        <v>32072210</v>
      </c>
      <c r="D44" s="474" t="s">
        <v>2054</v>
      </c>
      <c r="E44" s="466" t="s">
        <v>2074</v>
      </c>
      <c r="F44" s="464" t="s">
        <v>2075</v>
      </c>
      <c r="G44" s="333">
        <v>8</v>
      </c>
      <c r="H44" s="333" t="s">
        <v>2071</v>
      </c>
      <c r="I44" s="476" t="s">
        <v>1806</v>
      </c>
      <c r="J44" s="464"/>
      <c r="K44" s="333"/>
      <c r="L44" s="333"/>
      <c r="M44" s="476"/>
    </row>
    <row r="45" spans="1:13" ht="72" x14ac:dyDescent="0.85">
      <c r="A45" s="471" t="s">
        <v>2072</v>
      </c>
      <c r="B45" s="467" t="s">
        <v>2073</v>
      </c>
      <c r="C45" s="477">
        <v>32044317</v>
      </c>
      <c r="D45" s="474" t="s">
        <v>2054</v>
      </c>
      <c r="E45" s="500" t="s">
        <v>2323</v>
      </c>
      <c r="F45" s="464" t="s">
        <v>2324</v>
      </c>
      <c r="G45" s="333">
        <v>8</v>
      </c>
      <c r="H45" s="333" t="s">
        <v>2071</v>
      </c>
      <c r="I45" s="476" t="s">
        <v>1810</v>
      </c>
      <c r="J45" s="469"/>
      <c r="K45" s="333"/>
      <c r="L45" s="333"/>
      <c r="M45" s="476"/>
    </row>
    <row r="46" spans="1:13" ht="72" x14ac:dyDescent="0.85">
      <c r="A46" s="471" t="s">
        <v>2072</v>
      </c>
      <c r="B46" s="467" t="s">
        <v>2073</v>
      </c>
      <c r="C46" s="477">
        <v>32224379</v>
      </c>
      <c r="D46" s="474" t="s">
        <v>2076</v>
      </c>
      <c r="E46" s="466" t="s">
        <v>2077</v>
      </c>
      <c r="F46" s="469" t="s">
        <v>61</v>
      </c>
      <c r="G46" s="333">
        <v>8</v>
      </c>
      <c r="H46" s="333" t="s">
        <v>2071</v>
      </c>
      <c r="I46" s="476" t="s">
        <v>1806</v>
      </c>
      <c r="J46" s="464"/>
      <c r="K46" s="333"/>
      <c r="L46" s="333"/>
      <c r="M46" s="476"/>
    </row>
    <row r="47" spans="1:13" ht="72" x14ac:dyDescent="0.85">
      <c r="A47" s="471" t="s">
        <v>2072</v>
      </c>
      <c r="B47" s="467" t="s">
        <v>2073</v>
      </c>
      <c r="C47" s="477">
        <v>32045559</v>
      </c>
      <c r="D47" s="474" t="s">
        <v>2078</v>
      </c>
      <c r="E47" s="466" t="s">
        <v>2079</v>
      </c>
      <c r="F47" s="464" t="s">
        <v>2080</v>
      </c>
      <c r="G47" s="333">
        <v>8</v>
      </c>
      <c r="H47" s="333" t="s">
        <v>2071</v>
      </c>
      <c r="I47" s="476" t="s">
        <v>1808</v>
      </c>
      <c r="J47" s="468"/>
      <c r="K47" s="333"/>
      <c r="L47" s="333"/>
      <c r="M47" s="476"/>
    </row>
    <row r="48" spans="1:13" ht="72" x14ac:dyDescent="0.85">
      <c r="A48" s="471" t="s">
        <v>2072</v>
      </c>
      <c r="B48" s="471" t="s">
        <v>2073</v>
      </c>
      <c r="C48" s="477">
        <v>32043914</v>
      </c>
      <c r="D48" s="474" t="s">
        <v>2081</v>
      </c>
      <c r="E48" s="466" t="s">
        <v>2082</v>
      </c>
      <c r="F48" s="468" t="s">
        <v>2083</v>
      </c>
      <c r="G48" s="333">
        <v>8</v>
      </c>
      <c r="H48" s="333" t="s">
        <v>2071</v>
      </c>
      <c r="I48" s="476" t="s">
        <v>128</v>
      </c>
      <c r="J48" s="464"/>
      <c r="K48" s="333"/>
      <c r="L48" s="333"/>
      <c r="M48" s="476"/>
    </row>
    <row r="49" spans="1:13" ht="72" x14ac:dyDescent="0.85">
      <c r="A49" s="471" t="s">
        <v>2072</v>
      </c>
      <c r="B49" s="467" t="s">
        <v>2073</v>
      </c>
      <c r="C49" s="477">
        <v>32044817</v>
      </c>
      <c r="D49" s="474" t="s">
        <v>2066</v>
      </c>
      <c r="E49" s="466" t="s">
        <v>2084</v>
      </c>
      <c r="F49" s="464" t="s">
        <v>2085</v>
      </c>
      <c r="G49" s="333">
        <v>8</v>
      </c>
      <c r="H49" s="333" t="s">
        <v>2071</v>
      </c>
      <c r="I49" s="476" t="s">
        <v>1803</v>
      </c>
      <c r="J49" s="468"/>
      <c r="K49" s="333"/>
      <c r="L49" s="333"/>
      <c r="M49" s="476"/>
    </row>
    <row r="50" spans="1:13" ht="72" x14ac:dyDescent="0.85">
      <c r="A50" s="501" t="s">
        <v>2072</v>
      </c>
      <c r="B50" s="491" t="s">
        <v>2073</v>
      </c>
      <c r="C50" s="486">
        <v>32155923</v>
      </c>
      <c r="D50" s="474" t="s">
        <v>2060</v>
      </c>
      <c r="E50" s="466" t="s">
        <v>2086</v>
      </c>
      <c r="F50" s="468" t="s">
        <v>2087</v>
      </c>
      <c r="G50" s="333">
        <v>8</v>
      </c>
      <c r="H50" s="333" t="s">
        <v>2071</v>
      </c>
      <c r="I50" s="476" t="s">
        <v>1813</v>
      </c>
      <c r="J50" s="464"/>
      <c r="K50" s="333"/>
      <c r="L50" s="333"/>
      <c r="M50" s="476"/>
    </row>
    <row r="51" spans="1:13" ht="72" x14ac:dyDescent="0.85">
      <c r="A51" s="501" t="s">
        <v>2072</v>
      </c>
      <c r="B51" s="471" t="s">
        <v>2073</v>
      </c>
      <c r="C51" s="486">
        <v>32043736</v>
      </c>
      <c r="D51" s="474" t="s">
        <v>2060</v>
      </c>
      <c r="E51" s="466" t="s">
        <v>2088</v>
      </c>
      <c r="F51" s="464" t="s">
        <v>2089</v>
      </c>
      <c r="G51" s="333">
        <v>8</v>
      </c>
      <c r="H51" s="333" t="s">
        <v>2071</v>
      </c>
      <c r="I51" s="476" t="s">
        <v>125</v>
      </c>
      <c r="J51" s="464"/>
      <c r="K51" s="333"/>
      <c r="L51" s="333"/>
      <c r="M51" s="333"/>
    </row>
    <row r="52" spans="1:13" ht="72" x14ac:dyDescent="0.85">
      <c r="A52" s="326" t="s">
        <v>1870</v>
      </c>
      <c r="B52" s="471" t="s">
        <v>1871</v>
      </c>
      <c r="C52" s="384">
        <v>32044171</v>
      </c>
      <c r="D52" s="384">
        <v>0</v>
      </c>
      <c r="E52" s="311" t="s">
        <v>1872</v>
      </c>
      <c r="F52" s="464" t="s">
        <v>1873</v>
      </c>
      <c r="G52" s="333">
        <v>11</v>
      </c>
      <c r="H52" s="333" t="s">
        <v>1869</v>
      </c>
      <c r="I52" s="333" t="s">
        <v>38</v>
      </c>
      <c r="J52" s="464"/>
      <c r="K52" s="333"/>
      <c r="L52" s="333"/>
      <c r="M52" s="333"/>
    </row>
    <row r="53" spans="1:13" ht="48" x14ac:dyDescent="0.85">
      <c r="A53" s="326" t="s">
        <v>1870</v>
      </c>
      <c r="B53" s="471" t="s">
        <v>1871</v>
      </c>
      <c r="C53" s="502">
        <v>32222294</v>
      </c>
      <c r="D53" s="502">
        <v>0</v>
      </c>
      <c r="E53" s="333" t="s">
        <v>1874</v>
      </c>
      <c r="F53" s="464" t="s">
        <v>1875</v>
      </c>
      <c r="G53" s="333">
        <v>11</v>
      </c>
      <c r="H53" s="333" t="s">
        <v>1869</v>
      </c>
      <c r="I53" s="333" t="s">
        <v>47</v>
      </c>
      <c r="J53" s="464"/>
      <c r="K53" s="333"/>
      <c r="L53" s="333"/>
      <c r="M53" s="333"/>
    </row>
    <row r="54" spans="1:13" ht="48" x14ac:dyDescent="0.85">
      <c r="A54" s="326" t="s">
        <v>1870</v>
      </c>
      <c r="B54" s="471" t="s">
        <v>1871</v>
      </c>
      <c r="C54" s="339">
        <v>32173437</v>
      </c>
      <c r="D54" s="339">
        <v>0</v>
      </c>
      <c r="E54" s="311" t="s">
        <v>1876</v>
      </c>
      <c r="F54" s="464" t="s">
        <v>1877</v>
      </c>
      <c r="G54" s="333">
        <v>11</v>
      </c>
      <c r="H54" s="333" t="s">
        <v>1869</v>
      </c>
      <c r="I54" s="333" t="s">
        <v>38</v>
      </c>
      <c r="J54" s="464"/>
      <c r="K54" s="333"/>
      <c r="L54" s="333"/>
      <c r="M54" s="333"/>
    </row>
    <row r="55" spans="1:13" ht="48" x14ac:dyDescent="0.85">
      <c r="A55" s="326" t="s">
        <v>1870</v>
      </c>
      <c r="B55" s="471" t="s">
        <v>1871</v>
      </c>
      <c r="C55" s="339">
        <v>32132176</v>
      </c>
      <c r="D55" s="339">
        <v>0</v>
      </c>
      <c r="E55" s="311" t="s">
        <v>1878</v>
      </c>
      <c r="F55" s="464" t="s">
        <v>1879</v>
      </c>
      <c r="G55" s="333">
        <v>11</v>
      </c>
      <c r="H55" s="333" t="s">
        <v>1869</v>
      </c>
      <c r="I55" s="333" t="s">
        <v>44</v>
      </c>
      <c r="J55" s="481"/>
      <c r="K55" s="333"/>
      <c r="L55" s="333"/>
      <c r="M55" s="444"/>
    </row>
    <row r="56" spans="1:13" ht="48" x14ac:dyDescent="0.85">
      <c r="A56" s="326" t="s">
        <v>1870</v>
      </c>
      <c r="B56" s="471" t="s">
        <v>1871</v>
      </c>
      <c r="C56" s="339">
        <v>32136495</v>
      </c>
      <c r="D56" s="339">
        <v>0</v>
      </c>
      <c r="E56" s="311" t="s">
        <v>1880</v>
      </c>
      <c r="F56" s="481" t="s">
        <v>1881</v>
      </c>
      <c r="G56" s="333">
        <v>11</v>
      </c>
      <c r="H56" s="333" t="s">
        <v>1869</v>
      </c>
      <c r="I56" s="444" t="s">
        <v>1858</v>
      </c>
      <c r="J56" s="464"/>
      <c r="K56" s="333"/>
      <c r="L56" s="333"/>
      <c r="M56" s="333"/>
    </row>
    <row r="57" spans="1:13" ht="48" x14ac:dyDescent="0.85">
      <c r="A57" s="326" t="s">
        <v>1870</v>
      </c>
      <c r="B57" s="471" t="s">
        <v>1871</v>
      </c>
      <c r="C57" s="339">
        <v>32046099</v>
      </c>
      <c r="D57" s="339">
        <v>0</v>
      </c>
      <c r="E57" s="311" t="s">
        <v>1882</v>
      </c>
      <c r="F57" s="464" t="s">
        <v>1883</v>
      </c>
      <c r="G57" s="333">
        <v>11</v>
      </c>
      <c r="H57" s="333" t="s">
        <v>1869</v>
      </c>
      <c r="I57" s="333" t="s">
        <v>44</v>
      </c>
      <c r="J57" s="481"/>
      <c r="K57" s="333"/>
      <c r="L57" s="333"/>
      <c r="M57" s="333"/>
    </row>
    <row r="58" spans="1:13" ht="48" x14ac:dyDescent="0.85">
      <c r="A58" s="326" t="s">
        <v>1870</v>
      </c>
      <c r="B58" s="471" t="s">
        <v>1871</v>
      </c>
      <c r="C58" s="502">
        <v>32043967</v>
      </c>
      <c r="D58" s="502">
        <v>0</v>
      </c>
      <c r="E58" s="333" t="s">
        <v>1884</v>
      </c>
      <c r="F58" s="481" t="s">
        <v>1885</v>
      </c>
      <c r="G58" s="333">
        <v>11</v>
      </c>
      <c r="H58" s="333" t="s">
        <v>1869</v>
      </c>
      <c r="I58" s="333" t="s">
        <v>35</v>
      </c>
      <c r="J58" s="464"/>
      <c r="K58" s="333"/>
      <c r="L58" s="333"/>
      <c r="M58" s="444"/>
    </row>
    <row r="59" spans="1:13" ht="48" x14ac:dyDescent="0.85">
      <c r="A59" s="326" t="s">
        <v>1870</v>
      </c>
      <c r="B59" s="471" t="s">
        <v>1871</v>
      </c>
      <c r="C59" s="339">
        <v>32043915</v>
      </c>
      <c r="D59" s="339">
        <v>0</v>
      </c>
      <c r="E59" s="311" t="s">
        <v>1886</v>
      </c>
      <c r="F59" s="464" t="s">
        <v>1887</v>
      </c>
      <c r="G59" s="333">
        <v>11</v>
      </c>
      <c r="H59" s="333" t="s">
        <v>1869</v>
      </c>
      <c r="I59" s="444" t="s">
        <v>1858</v>
      </c>
      <c r="J59" s="468"/>
      <c r="K59" s="333"/>
      <c r="L59" s="333"/>
      <c r="M59" s="333"/>
    </row>
    <row r="60" spans="1:13" ht="48" x14ac:dyDescent="0.85">
      <c r="A60" s="326" t="s">
        <v>1870</v>
      </c>
      <c r="B60" s="471" t="s">
        <v>1871</v>
      </c>
      <c r="C60" s="339">
        <v>32043745</v>
      </c>
      <c r="D60" s="339">
        <v>0</v>
      </c>
      <c r="E60" s="311" t="s">
        <v>1888</v>
      </c>
      <c r="F60" s="468" t="s">
        <v>1889</v>
      </c>
      <c r="G60" s="333">
        <v>11</v>
      </c>
      <c r="H60" s="333" t="s">
        <v>1869</v>
      </c>
      <c r="I60" s="333" t="s">
        <v>47</v>
      </c>
      <c r="J60" s="464"/>
      <c r="K60" s="333"/>
      <c r="L60" s="333"/>
      <c r="M60" s="444"/>
    </row>
    <row r="61" spans="1:13" ht="48" x14ac:dyDescent="0.85">
      <c r="A61" s="326" t="s">
        <v>1870</v>
      </c>
      <c r="B61" s="491" t="s">
        <v>1871</v>
      </c>
      <c r="C61" s="339">
        <v>32043836</v>
      </c>
      <c r="D61" s="339">
        <v>0</v>
      </c>
      <c r="E61" s="311" t="s">
        <v>1890</v>
      </c>
      <c r="F61" s="464" t="s">
        <v>1891</v>
      </c>
      <c r="G61" s="333">
        <v>11</v>
      </c>
      <c r="H61" s="333" t="s">
        <v>1869</v>
      </c>
      <c r="I61" s="444" t="s">
        <v>1858</v>
      </c>
      <c r="J61" s="468"/>
      <c r="K61" s="333"/>
      <c r="L61" s="333"/>
      <c r="M61" s="333"/>
    </row>
    <row r="62" spans="1:13" ht="72" x14ac:dyDescent="0.85">
      <c r="A62" s="324" t="s">
        <v>1870</v>
      </c>
      <c r="B62" s="471" t="s">
        <v>1871</v>
      </c>
      <c r="C62" s="339">
        <v>32043856</v>
      </c>
      <c r="D62" s="339">
        <v>0</v>
      </c>
      <c r="E62" s="311" t="s">
        <v>1892</v>
      </c>
      <c r="F62" s="468" t="s">
        <v>1893</v>
      </c>
      <c r="G62" s="333">
        <v>11</v>
      </c>
      <c r="H62" s="333" t="s">
        <v>1869</v>
      </c>
      <c r="I62" s="333" t="s">
        <v>35</v>
      </c>
      <c r="J62" s="468"/>
      <c r="K62" s="333"/>
      <c r="L62" s="333"/>
      <c r="M62" s="333"/>
    </row>
    <row r="63" spans="1:13" ht="48" x14ac:dyDescent="0.85">
      <c r="A63" s="503" t="s">
        <v>1587</v>
      </c>
      <c r="B63" s="471" t="s">
        <v>51</v>
      </c>
      <c r="C63" s="504">
        <v>32178734</v>
      </c>
      <c r="D63" s="505" t="s">
        <v>1585</v>
      </c>
      <c r="E63" s="503" t="s">
        <v>1588</v>
      </c>
      <c r="F63" s="468"/>
      <c r="G63" s="333">
        <v>11</v>
      </c>
      <c r="H63" s="333" t="s">
        <v>1586</v>
      </c>
      <c r="I63" s="333" t="s">
        <v>1584</v>
      </c>
      <c r="J63" s="464"/>
      <c r="K63" s="333"/>
      <c r="L63" s="333"/>
      <c r="M63" s="333"/>
    </row>
    <row r="64" spans="1:13" ht="72" x14ac:dyDescent="0.85">
      <c r="A64" s="506" t="s">
        <v>1591</v>
      </c>
      <c r="B64" s="471" t="s">
        <v>1592</v>
      </c>
      <c r="C64" s="339">
        <v>32198244</v>
      </c>
      <c r="D64" s="339" t="s">
        <v>1589</v>
      </c>
      <c r="E64" s="311" t="s">
        <v>1593</v>
      </c>
      <c r="F64" s="464" t="s">
        <v>1594</v>
      </c>
      <c r="G64" s="333">
        <v>5</v>
      </c>
      <c r="H64" s="333" t="s">
        <v>1590</v>
      </c>
      <c r="I64" s="333" t="s">
        <v>47</v>
      </c>
      <c r="J64" s="469"/>
      <c r="K64" s="333"/>
      <c r="L64" s="333"/>
      <c r="M64" s="377"/>
    </row>
    <row r="65" spans="1:13" ht="72" x14ac:dyDescent="0.85">
      <c r="A65" s="503" t="s">
        <v>1591</v>
      </c>
      <c r="B65" s="471" t="s">
        <v>1592</v>
      </c>
      <c r="C65" s="339">
        <v>32198252</v>
      </c>
      <c r="D65" s="339" t="s">
        <v>1589</v>
      </c>
      <c r="E65" s="311" t="s">
        <v>1595</v>
      </c>
      <c r="F65" s="469" t="s">
        <v>61</v>
      </c>
      <c r="G65" s="333">
        <v>5</v>
      </c>
      <c r="H65" s="333" t="s">
        <v>1590</v>
      </c>
      <c r="I65" s="377" t="s">
        <v>35</v>
      </c>
      <c r="J65" s="464"/>
      <c r="K65" s="333"/>
      <c r="L65" s="333"/>
      <c r="M65" s="377"/>
    </row>
    <row r="66" spans="1:13" ht="72" x14ac:dyDescent="0.85">
      <c r="A66" s="497" t="s">
        <v>1591</v>
      </c>
      <c r="B66" s="491" t="s">
        <v>1592</v>
      </c>
      <c r="C66" s="339">
        <v>32197852</v>
      </c>
      <c r="D66" s="339" t="s">
        <v>1589</v>
      </c>
      <c r="E66" s="311" t="s">
        <v>1596</v>
      </c>
      <c r="F66" s="464" t="s">
        <v>1597</v>
      </c>
      <c r="G66" s="333">
        <v>5</v>
      </c>
      <c r="H66" s="333" t="s">
        <v>1590</v>
      </c>
      <c r="I66" s="377" t="s">
        <v>44</v>
      </c>
      <c r="J66" s="464"/>
      <c r="K66" s="333"/>
      <c r="L66" s="333"/>
      <c r="M66" s="377"/>
    </row>
    <row r="67" spans="1:13" ht="72" x14ac:dyDescent="0.85">
      <c r="A67" s="497" t="s">
        <v>1591</v>
      </c>
      <c r="B67" s="471" t="s">
        <v>1592</v>
      </c>
      <c r="C67" s="339">
        <v>32198260</v>
      </c>
      <c r="D67" s="339" t="s">
        <v>1589</v>
      </c>
      <c r="E67" s="311" t="s">
        <v>1598</v>
      </c>
      <c r="F67" s="464" t="s">
        <v>1599</v>
      </c>
      <c r="G67" s="333">
        <v>5</v>
      </c>
      <c r="H67" s="333" t="s">
        <v>1590</v>
      </c>
      <c r="I67" s="377" t="s">
        <v>260</v>
      </c>
      <c r="J67" s="488"/>
      <c r="K67" s="433"/>
      <c r="L67" s="489"/>
      <c r="M67" s="507"/>
    </row>
    <row r="68" spans="1:13" ht="72" x14ac:dyDescent="0.85">
      <c r="A68" s="323" t="s">
        <v>7</v>
      </c>
      <c r="B68" s="508" t="s">
        <v>2002</v>
      </c>
      <c r="C68" s="339">
        <v>32150508</v>
      </c>
      <c r="D68" s="339" t="s">
        <v>1991</v>
      </c>
      <c r="E68" s="489" t="s">
        <v>2003</v>
      </c>
      <c r="F68" s="488" t="s">
        <v>2004</v>
      </c>
      <c r="G68" s="433">
        <v>5</v>
      </c>
      <c r="H68" s="489" t="s">
        <v>6</v>
      </c>
      <c r="I68" s="507" t="s">
        <v>447</v>
      </c>
      <c r="J68" s="488"/>
      <c r="K68" s="433"/>
      <c r="L68" s="489"/>
      <c r="M68" s="507"/>
    </row>
    <row r="69" spans="1:13" ht="72" x14ac:dyDescent="0.85">
      <c r="A69" s="323" t="s">
        <v>7</v>
      </c>
      <c r="B69" s="471" t="s">
        <v>2002</v>
      </c>
      <c r="C69" s="339">
        <v>32045391</v>
      </c>
      <c r="D69" s="339" t="s">
        <v>1991</v>
      </c>
      <c r="E69" s="489" t="s">
        <v>2005</v>
      </c>
      <c r="F69" s="488" t="s">
        <v>2006</v>
      </c>
      <c r="G69" s="433">
        <v>5</v>
      </c>
      <c r="H69" s="489" t="s">
        <v>6</v>
      </c>
      <c r="I69" s="507" t="s">
        <v>470</v>
      </c>
      <c r="J69" s="488"/>
      <c r="K69" s="433"/>
      <c r="L69" s="489"/>
      <c r="M69" s="509"/>
    </row>
    <row r="70" spans="1:13" ht="72" x14ac:dyDescent="0.85">
      <c r="A70" s="326" t="s">
        <v>7</v>
      </c>
      <c r="B70" s="491" t="s">
        <v>2002</v>
      </c>
      <c r="C70" s="339">
        <v>32044248</v>
      </c>
      <c r="D70" s="339" t="s">
        <v>1991</v>
      </c>
      <c r="E70" s="489" t="s">
        <v>2007</v>
      </c>
      <c r="F70" s="488" t="s">
        <v>2008</v>
      </c>
      <c r="G70" s="433">
        <v>5</v>
      </c>
      <c r="H70" s="489" t="s">
        <v>6</v>
      </c>
      <c r="I70" s="509" t="s">
        <v>464</v>
      </c>
      <c r="J70" s="488"/>
      <c r="K70" s="433"/>
      <c r="L70" s="489"/>
      <c r="M70" s="509"/>
    </row>
    <row r="71" spans="1:13" ht="72" x14ac:dyDescent="0.85">
      <c r="A71" s="326" t="s">
        <v>7</v>
      </c>
      <c r="B71" s="471" t="s">
        <v>2002</v>
      </c>
      <c r="C71" s="339">
        <v>32043716</v>
      </c>
      <c r="D71" s="339" t="s">
        <v>1991</v>
      </c>
      <c r="E71" s="489" t="s">
        <v>2009</v>
      </c>
      <c r="F71" s="488" t="s">
        <v>2010</v>
      </c>
      <c r="G71" s="433">
        <v>5</v>
      </c>
      <c r="H71" s="489" t="s">
        <v>6</v>
      </c>
      <c r="I71" s="509" t="s">
        <v>467</v>
      </c>
      <c r="J71" s="488"/>
      <c r="K71" s="433"/>
      <c r="L71" s="489"/>
      <c r="M71" s="509"/>
    </row>
    <row r="72" spans="1:13" ht="72" x14ac:dyDescent="0.85">
      <c r="A72" s="324" t="s">
        <v>7</v>
      </c>
      <c r="B72" s="508" t="s">
        <v>2002</v>
      </c>
      <c r="C72" s="339">
        <v>32144782</v>
      </c>
      <c r="D72" s="339" t="s">
        <v>1991</v>
      </c>
      <c r="E72" s="489" t="s">
        <v>2011</v>
      </c>
      <c r="F72" s="488" t="s">
        <v>2012</v>
      </c>
      <c r="G72" s="433">
        <v>5</v>
      </c>
      <c r="H72" s="489" t="s">
        <v>6</v>
      </c>
      <c r="I72" s="509" t="s">
        <v>2013</v>
      </c>
      <c r="J72" s="464"/>
      <c r="K72" s="333"/>
      <c r="L72" s="333"/>
      <c r="M72" s="333"/>
    </row>
    <row r="73" spans="1:13" ht="72" x14ac:dyDescent="0.85">
      <c r="A73" s="324" t="s">
        <v>1602</v>
      </c>
      <c r="B73" s="471" t="s">
        <v>1603</v>
      </c>
      <c r="C73" s="449">
        <v>32216501</v>
      </c>
      <c r="D73" s="449" t="s">
        <v>1600</v>
      </c>
      <c r="E73" s="324" t="s">
        <v>1604</v>
      </c>
      <c r="F73" s="464"/>
      <c r="G73" s="333">
        <v>9</v>
      </c>
      <c r="H73" s="333" t="s">
        <v>1601</v>
      </c>
      <c r="I73" s="333" t="s">
        <v>47</v>
      </c>
      <c r="J73" s="468"/>
      <c r="K73" s="333"/>
      <c r="L73" s="333"/>
      <c r="M73" s="454"/>
    </row>
    <row r="74" spans="1:13" ht="48" x14ac:dyDescent="0.85">
      <c r="A74" s="324" t="s">
        <v>1602</v>
      </c>
      <c r="B74" s="471" t="s">
        <v>1603</v>
      </c>
      <c r="C74" s="449">
        <v>32210326</v>
      </c>
      <c r="D74" s="449" t="s">
        <v>1600</v>
      </c>
      <c r="E74" s="324" t="s">
        <v>1605</v>
      </c>
      <c r="F74" s="468"/>
      <c r="G74" s="333">
        <v>9</v>
      </c>
      <c r="H74" s="333" t="s">
        <v>1601</v>
      </c>
      <c r="I74" s="454" t="s">
        <v>35</v>
      </c>
      <c r="J74" s="468"/>
      <c r="K74" s="333"/>
      <c r="L74" s="333"/>
      <c r="M74" s="454"/>
    </row>
    <row r="75" spans="1:13" ht="48" x14ac:dyDescent="0.85">
      <c r="A75" s="326" t="s">
        <v>1602</v>
      </c>
      <c r="B75" s="471" t="s">
        <v>1603</v>
      </c>
      <c r="C75" s="449">
        <v>32045650</v>
      </c>
      <c r="D75" s="449" t="s">
        <v>1600</v>
      </c>
      <c r="E75" s="324" t="s">
        <v>1606</v>
      </c>
      <c r="F75" s="468"/>
      <c r="G75" s="333">
        <v>9</v>
      </c>
      <c r="H75" s="333" t="s">
        <v>1601</v>
      </c>
      <c r="I75" s="454" t="s">
        <v>1</v>
      </c>
      <c r="J75" s="468"/>
      <c r="K75" s="333"/>
      <c r="L75" s="333"/>
      <c r="M75" s="454"/>
    </row>
    <row r="76" spans="1:13" ht="72" x14ac:dyDescent="0.85">
      <c r="A76" s="324" t="s">
        <v>1602</v>
      </c>
      <c r="B76" s="471" t="s">
        <v>1603</v>
      </c>
      <c r="C76" s="449">
        <v>32045830</v>
      </c>
      <c r="D76" s="449" t="s">
        <v>1600</v>
      </c>
      <c r="E76" s="324" t="s">
        <v>1607</v>
      </c>
      <c r="F76" s="468"/>
      <c r="G76" s="333">
        <v>9</v>
      </c>
      <c r="H76" s="333" t="s">
        <v>1601</v>
      </c>
      <c r="I76" s="454" t="s">
        <v>44</v>
      </c>
      <c r="J76" s="468"/>
      <c r="K76" s="333"/>
      <c r="L76" s="333"/>
      <c r="M76" s="454"/>
    </row>
    <row r="77" spans="1:13" ht="48" x14ac:dyDescent="0.85">
      <c r="A77" s="326" t="s">
        <v>1602</v>
      </c>
      <c r="B77" s="471" t="s">
        <v>1603</v>
      </c>
      <c r="C77" s="449">
        <v>32218618</v>
      </c>
      <c r="D77" s="449" t="s">
        <v>1600</v>
      </c>
      <c r="E77" s="324" t="s">
        <v>1608</v>
      </c>
      <c r="F77" s="468"/>
      <c r="G77" s="333">
        <v>9</v>
      </c>
      <c r="H77" s="333" t="s">
        <v>1601</v>
      </c>
      <c r="I77" s="454" t="s">
        <v>44</v>
      </c>
      <c r="J77" s="468"/>
      <c r="K77" s="333"/>
      <c r="L77" s="333"/>
      <c r="M77" s="454"/>
    </row>
    <row r="78" spans="1:13" ht="48" x14ac:dyDescent="0.85">
      <c r="A78" s="326" t="s">
        <v>1602</v>
      </c>
      <c r="B78" s="471" t="s">
        <v>1603</v>
      </c>
      <c r="C78" s="449">
        <v>32211557</v>
      </c>
      <c r="D78" s="449" t="s">
        <v>1600</v>
      </c>
      <c r="E78" s="324" t="s">
        <v>1609</v>
      </c>
      <c r="F78" s="468"/>
      <c r="G78" s="333">
        <v>9</v>
      </c>
      <c r="H78" s="333" t="s">
        <v>1601</v>
      </c>
      <c r="I78" s="454" t="s">
        <v>1610</v>
      </c>
      <c r="J78" s="468"/>
      <c r="K78" s="333"/>
      <c r="L78" s="333"/>
      <c r="M78" s="454"/>
    </row>
    <row r="79" spans="1:13" ht="48" x14ac:dyDescent="0.85">
      <c r="A79" s="324" t="s">
        <v>1602</v>
      </c>
      <c r="B79" s="471" t="s">
        <v>1603</v>
      </c>
      <c r="C79" s="449">
        <v>32045688</v>
      </c>
      <c r="D79" s="449" t="s">
        <v>1600</v>
      </c>
      <c r="E79" s="324" t="s">
        <v>1611</v>
      </c>
      <c r="F79" s="468"/>
      <c r="G79" s="333">
        <v>9</v>
      </c>
      <c r="H79" s="333" t="s">
        <v>1601</v>
      </c>
      <c r="I79" s="454" t="s">
        <v>56</v>
      </c>
      <c r="J79" s="464"/>
      <c r="K79" s="333"/>
      <c r="L79" s="333"/>
      <c r="M79" s="454"/>
    </row>
    <row r="80" spans="1:13" ht="48" x14ac:dyDescent="0.85">
      <c r="A80" s="326" t="s">
        <v>1602</v>
      </c>
      <c r="B80" s="471" t="s">
        <v>1603</v>
      </c>
      <c r="C80" s="449">
        <v>32072461</v>
      </c>
      <c r="D80" s="449" t="s">
        <v>1600</v>
      </c>
      <c r="E80" s="324" t="s">
        <v>1612</v>
      </c>
      <c r="F80" s="464"/>
      <c r="G80" s="333">
        <v>9</v>
      </c>
      <c r="H80" s="333" t="s">
        <v>1601</v>
      </c>
      <c r="I80" s="454" t="s">
        <v>260</v>
      </c>
      <c r="J80" s="464"/>
      <c r="K80" s="333"/>
      <c r="L80" s="333"/>
      <c r="M80" s="454"/>
    </row>
    <row r="81" spans="1:13" ht="72" x14ac:dyDescent="0.85">
      <c r="A81" s="326" t="s">
        <v>1602</v>
      </c>
      <c r="B81" s="471" t="s">
        <v>1603</v>
      </c>
      <c r="C81" s="449">
        <v>32227735</v>
      </c>
      <c r="D81" s="449" t="s">
        <v>1600</v>
      </c>
      <c r="E81" s="324" t="s">
        <v>1613</v>
      </c>
      <c r="F81" s="464"/>
      <c r="G81" s="333">
        <v>9</v>
      </c>
      <c r="H81" s="333" t="s">
        <v>1601</v>
      </c>
      <c r="I81" s="454" t="s">
        <v>56</v>
      </c>
      <c r="J81" s="464"/>
      <c r="K81" s="333"/>
      <c r="L81" s="333"/>
      <c r="M81" s="510"/>
    </row>
    <row r="82" spans="1:13" ht="72" x14ac:dyDescent="0.85">
      <c r="A82" s="326" t="s">
        <v>1616</v>
      </c>
      <c r="B82" s="471" t="s">
        <v>1617</v>
      </c>
      <c r="C82" s="339">
        <v>32064295</v>
      </c>
      <c r="D82" s="339" t="s">
        <v>1614</v>
      </c>
      <c r="E82" s="339" t="s">
        <v>1618</v>
      </c>
      <c r="F82" s="464"/>
      <c r="G82" s="333">
        <v>16</v>
      </c>
      <c r="H82" s="333" t="s">
        <v>1615</v>
      </c>
      <c r="I82" s="510" t="s">
        <v>1619</v>
      </c>
      <c r="J82" s="468"/>
      <c r="K82" s="333"/>
      <c r="L82" s="333"/>
      <c r="M82" s="510"/>
    </row>
    <row r="83" spans="1:13" ht="72" x14ac:dyDescent="0.85">
      <c r="A83" s="326" t="s">
        <v>1616</v>
      </c>
      <c r="B83" s="471" t="s">
        <v>1617</v>
      </c>
      <c r="C83" s="339">
        <v>32198224</v>
      </c>
      <c r="D83" s="339" t="s">
        <v>1614</v>
      </c>
      <c r="E83" s="339" t="s">
        <v>1620</v>
      </c>
      <c r="F83" s="468"/>
      <c r="G83" s="333">
        <v>16</v>
      </c>
      <c r="H83" s="333" t="s">
        <v>1615</v>
      </c>
      <c r="I83" s="510" t="s">
        <v>1621</v>
      </c>
      <c r="J83" s="468"/>
      <c r="K83" s="333"/>
      <c r="L83" s="333"/>
      <c r="M83" s="510"/>
    </row>
    <row r="84" spans="1:13" ht="72" x14ac:dyDescent="0.85">
      <c r="A84" s="326" t="s">
        <v>1616</v>
      </c>
      <c r="B84" s="491" t="s">
        <v>1617</v>
      </c>
      <c r="C84" s="339">
        <v>32046185</v>
      </c>
      <c r="D84" s="339" t="s">
        <v>1614</v>
      </c>
      <c r="E84" s="339" t="s">
        <v>1622</v>
      </c>
      <c r="F84" s="468"/>
      <c r="G84" s="333">
        <v>16</v>
      </c>
      <c r="H84" s="333" t="s">
        <v>1615</v>
      </c>
      <c r="I84" s="510" t="s">
        <v>1623</v>
      </c>
      <c r="J84" s="481"/>
      <c r="K84" s="333"/>
      <c r="L84" s="333"/>
      <c r="M84" s="510"/>
    </row>
    <row r="85" spans="1:13" ht="72" x14ac:dyDescent="0.85">
      <c r="A85" s="326" t="s">
        <v>1616</v>
      </c>
      <c r="B85" s="471" t="s">
        <v>1617</v>
      </c>
      <c r="C85" s="339">
        <v>32058883</v>
      </c>
      <c r="D85" s="339" t="s">
        <v>1614</v>
      </c>
      <c r="E85" s="339" t="s">
        <v>1624</v>
      </c>
      <c r="F85" s="481"/>
      <c r="G85" s="333">
        <v>16</v>
      </c>
      <c r="H85" s="333" t="s">
        <v>1615</v>
      </c>
      <c r="I85" s="510" t="s">
        <v>375</v>
      </c>
      <c r="J85" s="416"/>
      <c r="K85" s="333"/>
      <c r="L85" s="333"/>
      <c r="M85" s="510"/>
    </row>
    <row r="86" spans="1:13" ht="72" x14ac:dyDescent="0.85">
      <c r="A86" s="324" t="s">
        <v>1616</v>
      </c>
      <c r="B86" s="508" t="s">
        <v>1617</v>
      </c>
      <c r="C86" s="339">
        <v>32197843</v>
      </c>
      <c r="D86" s="339" t="s">
        <v>1614</v>
      </c>
      <c r="E86" s="339" t="s">
        <v>1625</v>
      </c>
      <c r="F86" s="416"/>
      <c r="G86" s="333">
        <v>16</v>
      </c>
      <c r="H86" s="333" t="s">
        <v>1615</v>
      </c>
      <c r="I86" s="510" t="s">
        <v>1623</v>
      </c>
      <c r="J86" s="468"/>
      <c r="K86" s="333"/>
      <c r="L86" s="333"/>
      <c r="M86" s="510"/>
    </row>
    <row r="87" spans="1:13" ht="72" x14ac:dyDescent="0.85">
      <c r="A87" s="326" t="s">
        <v>1616</v>
      </c>
      <c r="B87" s="471" t="s">
        <v>1617</v>
      </c>
      <c r="C87" s="339">
        <v>32044255</v>
      </c>
      <c r="D87" s="339" t="s">
        <v>1614</v>
      </c>
      <c r="E87" s="339" t="s">
        <v>1626</v>
      </c>
      <c r="F87" s="468"/>
      <c r="G87" s="333">
        <v>16</v>
      </c>
      <c r="H87" s="333" t="s">
        <v>1615</v>
      </c>
      <c r="I87" s="510" t="s">
        <v>1621</v>
      </c>
      <c r="J87" s="464"/>
      <c r="K87" s="333"/>
      <c r="L87" s="333"/>
      <c r="M87" s="510"/>
    </row>
    <row r="88" spans="1:13" ht="72" x14ac:dyDescent="0.85">
      <c r="A88" s="326" t="s">
        <v>1616</v>
      </c>
      <c r="B88" s="471" t="s">
        <v>1617</v>
      </c>
      <c r="C88" s="339">
        <v>32217098</v>
      </c>
      <c r="D88" s="339" t="s">
        <v>1614</v>
      </c>
      <c r="E88" s="339" t="s">
        <v>1627</v>
      </c>
      <c r="F88" s="464"/>
      <c r="G88" s="333">
        <v>16</v>
      </c>
      <c r="H88" s="333" t="s">
        <v>1615</v>
      </c>
      <c r="I88" s="510" t="s">
        <v>1621</v>
      </c>
      <c r="J88" s="416"/>
      <c r="K88" s="333"/>
      <c r="L88" s="333"/>
      <c r="M88" s="510"/>
    </row>
    <row r="89" spans="1:13" ht="72" x14ac:dyDescent="0.85">
      <c r="A89" s="324" t="s">
        <v>1616</v>
      </c>
      <c r="B89" s="471" t="s">
        <v>1617</v>
      </c>
      <c r="C89" s="339">
        <v>32055892</v>
      </c>
      <c r="D89" s="339" t="s">
        <v>1614</v>
      </c>
      <c r="E89" s="339" t="s">
        <v>1628</v>
      </c>
      <c r="F89" s="416"/>
      <c r="G89" s="333">
        <v>16</v>
      </c>
      <c r="H89" s="333" t="s">
        <v>1615</v>
      </c>
      <c r="I89" s="510" t="s">
        <v>1629</v>
      </c>
      <c r="J89" s="416"/>
      <c r="K89" s="333"/>
      <c r="L89" s="333"/>
      <c r="M89" s="510"/>
    </row>
    <row r="90" spans="1:13" ht="72" x14ac:dyDescent="0.85">
      <c r="A90" s="324" t="s">
        <v>1616</v>
      </c>
      <c r="B90" s="471" t="s">
        <v>1617</v>
      </c>
      <c r="C90" s="339">
        <v>32044062</v>
      </c>
      <c r="D90" s="339" t="s">
        <v>1614</v>
      </c>
      <c r="E90" s="339" t="s">
        <v>1630</v>
      </c>
      <c r="F90" s="416"/>
      <c r="G90" s="333">
        <v>16</v>
      </c>
      <c r="H90" s="333" t="s">
        <v>1615</v>
      </c>
      <c r="I90" s="510" t="s">
        <v>1631</v>
      </c>
      <c r="J90" s="468"/>
      <c r="K90" s="333"/>
      <c r="L90" s="333"/>
      <c r="M90" s="510"/>
    </row>
    <row r="91" spans="1:13" ht="72" x14ac:dyDescent="0.85">
      <c r="A91" s="326" t="s">
        <v>1616</v>
      </c>
      <c r="B91" s="471" t="s">
        <v>1617</v>
      </c>
      <c r="C91" s="339">
        <v>32046212</v>
      </c>
      <c r="D91" s="339" t="s">
        <v>1614</v>
      </c>
      <c r="E91" s="339" t="s">
        <v>1632</v>
      </c>
      <c r="F91" s="468"/>
      <c r="G91" s="333">
        <v>16</v>
      </c>
      <c r="H91" s="333" t="s">
        <v>1615</v>
      </c>
      <c r="I91" s="510" t="s">
        <v>369</v>
      </c>
      <c r="J91" s="464"/>
      <c r="K91" s="333"/>
      <c r="L91" s="333"/>
      <c r="M91" s="510"/>
    </row>
    <row r="92" spans="1:13" ht="72" x14ac:dyDescent="0.85">
      <c r="A92" s="343" t="s">
        <v>1616</v>
      </c>
      <c r="B92" s="471" t="s">
        <v>1617</v>
      </c>
      <c r="C92" s="339">
        <v>32044337</v>
      </c>
      <c r="D92" s="339" t="s">
        <v>1614</v>
      </c>
      <c r="E92" s="339" t="s">
        <v>1633</v>
      </c>
      <c r="F92" s="464"/>
      <c r="G92" s="333">
        <v>16</v>
      </c>
      <c r="H92" s="333" t="s">
        <v>1615</v>
      </c>
      <c r="I92" s="510" t="s">
        <v>369</v>
      </c>
      <c r="J92" s="464"/>
      <c r="K92" s="333"/>
      <c r="L92" s="333"/>
      <c r="M92" s="510"/>
    </row>
    <row r="93" spans="1:13" ht="72" x14ac:dyDescent="0.85">
      <c r="A93" s="326" t="s">
        <v>1616</v>
      </c>
      <c r="B93" s="471" t="s">
        <v>1617</v>
      </c>
      <c r="C93" s="339">
        <v>32046085</v>
      </c>
      <c r="D93" s="339" t="s">
        <v>1614</v>
      </c>
      <c r="E93" s="339" t="s">
        <v>1634</v>
      </c>
      <c r="F93" s="464"/>
      <c r="G93" s="333">
        <v>16</v>
      </c>
      <c r="H93" s="333" t="s">
        <v>1615</v>
      </c>
      <c r="I93" s="510" t="s">
        <v>375</v>
      </c>
      <c r="J93" s="468"/>
      <c r="K93" s="333"/>
      <c r="L93" s="333"/>
      <c r="M93" s="510"/>
    </row>
    <row r="94" spans="1:13" ht="72" x14ac:dyDescent="0.85">
      <c r="A94" s="326" t="s">
        <v>1616</v>
      </c>
      <c r="B94" s="471" t="s">
        <v>1617</v>
      </c>
      <c r="C94" s="339">
        <v>32045631</v>
      </c>
      <c r="D94" s="339" t="s">
        <v>1614</v>
      </c>
      <c r="E94" s="339" t="s">
        <v>1635</v>
      </c>
      <c r="F94" s="468"/>
      <c r="G94" s="333">
        <v>16</v>
      </c>
      <c r="H94" s="333" t="s">
        <v>1615</v>
      </c>
      <c r="I94" s="510" t="s">
        <v>1629</v>
      </c>
      <c r="J94" s="469"/>
      <c r="K94" s="333"/>
      <c r="L94" s="333"/>
      <c r="M94" s="510"/>
    </row>
    <row r="95" spans="1:13" ht="72" x14ac:dyDescent="0.85">
      <c r="A95" s="326" t="s">
        <v>1616</v>
      </c>
      <c r="B95" s="471" t="s">
        <v>1617</v>
      </c>
      <c r="C95" s="339">
        <v>32197851</v>
      </c>
      <c r="D95" s="339" t="s">
        <v>1614</v>
      </c>
      <c r="E95" s="339" t="s">
        <v>1636</v>
      </c>
      <c r="F95" s="469"/>
      <c r="G95" s="333">
        <v>16</v>
      </c>
      <c r="H95" s="333" t="s">
        <v>1615</v>
      </c>
      <c r="I95" s="510" t="s">
        <v>1631</v>
      </c>
      <c r="J95" s="464"/>
      <c r="K95" s="333"/>
      <c r="L95" s="333"/>
      <c r="M95" s="510"/>
    </row>
    <row r="96" spans="1:13" ht="72" x14ac:dyDescent="0.85">
      <c r="A96" s="324" t="s">
        <v>1616</v>
      </c>
      <c r="B96" s="491" t="s">
        <v>1617</v>
      </c>
      <c r="C96" s="339">
        <v>32045439</v>
      </c>
      <c r="D96" s="339" t="s">
        <v>1614</v>
      </c>
      <c r="E96" s="339" t="s">
        <v>1637</v>
      </c>
      <c r="F96" s="464"/>
      <c r="G96" s="333">
        <v>16</v>
      </c>
      <c r="H96" s="333" t="s">
        <v>1615</v>
      </c>
      <c r="I96" s="510" t="s">
        <v>1621</v>
      </c>
      <c r="J96" s="464"/>
      <c r="K96" s="333"/>
      <c r="L96" s="333"/>
      <c r="M96" s="510"/>
    </row>
    <row r="97" spans="1:13" ht="72" x14ac:dyDescent="0.85">
      <c r="A97" s="343" t="s">
        <v>1616</v>
      </c>
      <c r="B97" s="471" t="s">
        <v>1617</v>
      </c>
      <c r="C97" s="339">
        <v>32209494</v>
      </c>
      <c r="D97" s="339" t="s">
        <v>1614</v>
      </c>
      <c r="E97" s="339" t="s">
        <v>1638</v>
      </c>
      <c r="F97" s="464"/>
      <c r="G97" s="333">
        <v>16</v>
      </c>
      <c r="H97" s="333" t="s">
        <v>1615</v>
      </c>
      <c r="I97" s="510" t="s">
        <v>1619</v>
      </c>
      <c r="J97" s="464"/>
      <c r="K97" s="333"/>
      <c r="L97" s="311"/>
      <c r="M97" s="454"/>
    </row>
    <row r="98" spans="1:13" ht="48" x14ac:dyDescent="0.85">
      <c r="A98" s="326" t="s">
        <v>13</v>
      </c>
      <c r="B98" s="511"/>
      <c r="C98" s="339">
        <v>32045610</v>
      </c>
      <c r="D98" s="339" t="s">
        <v>2014</v>
      </c>
      <c r="E98" s="311" t="s">
        <v>2015</v>
      </c>
      <c r="F98" s="464" t="s">
        <v>2016</v>
      </c>
      <c r="G98" s="333">
        <v>7</v>
      </c>
      <c r="H98" s="311" t="s">
        <v>12</v>
      </c>
      <c r="I98" s="454" t="s">
        <v>470</v>
      </c>
      <c r="J98" s="464"/>
      <c r="K98" s="333"/>
      <c r="L98" s="311"/>
      <c r="M98" s="454"/>
    </row>
    <row r="99" spans="1:13" ht="48" x14ac:dyDescent="0.85">
      <c r="A99" s="326" t="s">
        <v>13</v>
      </c>
      <c r="B99" s="471"/>
      <c r="C99" s="339"/>
      <c r="D99" s="339" t="s">
        <v>2014</v>
      </c>
      <c r="E99" s="311" t="s">
        <v>2017</v>
      </c>
      <c r="F99" s="464" t="s">
        <v>2018</v>
      </c>
      <c r="G99" s="333">
        <v>7</v>
      </c>
      <c r="H99" s="311" t="s">
        <v>12</v>
      </c>
      <c r="I99" s="454" t="s">
        <v>447</v>
      </c>
      <c r="J99" s="464"/>
      <c r="K99" s="333"/>
      <c r="L99" s="311"/>
      <c r="M99" s="454"/>
    </row>
    <row r="100" spans="1:13" ht="72" x14ac:dyDescent="0.85">
      <c r="A100" s="326" t="s">
        <v>13</v>
      </c>
      <c r="B100" s="471"/>
      <c r="C100" s="339">
        <v>32045120</v>
      </c>
      <c r="D100" s="339" t="s">
        <v>2014</v>
      </c>
      <c r="E100" s="311" t="s">
        <v>2019</v>
      </c>
      <c r="F100" s="464" t="s">
        <v>2020</v>
      </c>
      <c r="G100" s="333">
        <v>7</v>
      </c>
      <c r="H100" s="311" t="s">
        <v>12</v>
      </c>
      <c r="I100" s="454" t="s">
        <v>2021</v>
      </c>
      <c r="J100" s="464"/>
      <c r="K100" s="333"/>
      <c r="L100" s="311"/>
      <c r="M100" s="454"/>
    </row>
    <row r="101" spans="1:13" ht="72" x14ac:dyDescent="0.85">
      <c r="A101" s="326" t="s">
        <v>13</v>
      </c>
      <c r="B101" s="471"/>
      <c r="C101" s="339">
        <v>32045931</v>
      </c>
      <c r="D101" s="339" t="s">
        <v>2014</v>
      </c>
      <c r="E101" s="311" t="s">
        <v>2022</v>
      </c>
      <c r="F101" s="464" t="s">
        <v>2023</v>
      </c>
      <c r="G101" s="333">
        <v>7</v>
      </c>
      <c r="H101" s="311" t="s">
        <v>12</v>
      </c>
      <c r="I101" s="454" t="s">
        <v>2024</v>
      </c>
      <c r="J101" s="464"/>
      <c r="K101" s="333"/>
      <c r="L101" s="311"/>
      <c r="M101" s="454"/>
    </row>
    <row r="102" spans="1:13" ht="48" x14ac:dyDescent="0.85">
      <c r="A102" s="326" t="s">
        <v>13</v>
      </c>
      <c r="B102" s="471"/>
      <c r="C102" s="339">
        <v>32044445</v>
      </c>
      <c r="D102" s="339" t="s">
        <v>2014</v>
      </c>
      <c r="E102" s="311" t="s">
        <v>2025</v>
      </c>
      <c r="F102" s="464" t="s">
        <v>2026</v>
      </c>
      <c r="G102" s="333">
        <v>7</v>
      </c>
      <c r="H102" s="311" t="s">
        <v>12</v>
      </c>
      <c r="I102" s="454" t="s">
        <v>473</v>
      </c>
      <c r="J102" s="468"/>
      <c r="K102" s="333"/>
      <c r="L102" s="311"/>
      <c r="M102" s="454"/>
    </row>
    <row r="103" spans="1:13" ht="48" x14ac:dyDescent="0.85">
      <c r="A103" s="326" t="s">
        <v>13</v>
      </c>
      <c r="B103" s="491"/>
      <c r="C103" s="339">
        <v>32045070</v>
      </c>
      <c r="D103" s="339" t="s">
        <v>2014</v>
      </c>
      <c r="E103" s="311" t="s">
        <v>2027</v>
      </c>
      <c r="F103" s="468" t="s">
        <v>2028</v>
      </c>
      <c r="G103" s="333">
        <v>7</v>
      </c>
      <c r="H103" s="311" t="s">
        <v>12</v>
      </c>
      <c r="I103" s="454" t="s">
        <v>464</v>
      </c>
      <c r="J103" s="352"/>
      <c r="K103" s="333"/>
      <c r="L103" s="311"/>
      <c r="M103" s="454"/>
    </row>
    <row r="104" spans="1:13" ht="72" x14ac:dyDescent="0.85">
      <c r="A104" s="326" t="s">
        <v>13</v>
      </c>
      <c r="B104" s="512"/>
      <c r="C104" s="339"/>
      <c r="D104" s="339" t="s">
        <v>2014</v>
      </c>
      <c r="E104" s="311" t="s">
        <v>2029</v>
      </c>
      <c r="F104" s="352"/>
      <c r="G104" s="333"/>
      <c r="H104" s="311" t="s">
        <v>12</v>
      </c>
      <c r="I104" s="454" t="s">
        <v>467</v>
      </c>
      <c r="J104" s="464"/>
      <c r="K104" s="333"/>
      <c r="L104" s="333"/>
      <c r="M104" s="454"/>
    </row>
    <row r="105" spans="1:13" ht="72" x14ac:dyDescent="0.85">
      <c r="A105" s="450" t="s">
        <v>31</v>
      </c>
      <c r="B105" s="508" t="s">
        <v>32</v>
      </c>
      <c r="C105" s="339">
        <v>32045134</v>
      </c>
      <c r="D105" s="339" t="s">
        <v>29</v>
      </c>
      <c r="E105" s="311" t="s">
        <v>33</v>
      </c>
      <c r="F105" s="464" t="s">
        <v>34</v>
      </c>
      <c r="G105" s="333">
        <v>5</v>
      </c>
      <c r="H105" s="333" t="s">
        <v>30</v>
      </c>
      <c r="I105" s="454" t="s">
        <v>35</v>
      </c>
      <c r="J105" s="464"/>
      <c r="K105" s="376"/>
      <c r="L105" s="376"/>
      <c r="M105" s="444"/>
    </row>
    <row r="106" spans="1:13" ht="72" x14ac:dyDescent="0.85">
      <c r="A106" s="451" t="s">
        <v>31</v>
      </c>
      <c r="B106" s="471" t="s">
        <v>32</v>
      </c>
      <c r="C106" s="408">
        <v>32149605</v>
      </c>
      <c r="D106" s="408" t="s">
        <v>29</v>
      </c>
      <c r="E106" s="352" t="s">
        <v>36</v>
      </c>
      <c r="F106" s="464" t="s">
        <v>37</v>
      </c>
      <c r="G106" s="376">
        <v>5</v>
      </c>
      <c r="H106" s="376" t="s">
        <v>30</v>
      </c>
      <c r="I106" s="444" t="s">
        <v>38</v>
      </c>
      <c r="J106" s="464"/>
      <c r="K106" s="333"/>
      <c r="L106" s="333"/>
      <c r="M106" s="454"/>
    </row>
    <row r="107" spans="1:13" ht="72" x14ac:dyDescent="0.85">
      <c r="A107" s="450" t="s">
        <v>31</v>
      </c>
      <c r="B107" s="511" t="s">
        <v>32</v>
      </c>
      <c r="C107" s="339">
        <v>32157221</v>
      </c>
      <c r="D107" s="339" t="s">
        <v>29</v>
      </c>
      <c r="E107" s="311" t="s">
        <v>39</v>
      </c>
      <c r="F107" s="464" t="s">
        <v>40</v>
      </c>
      <c r="G107" s="333">
        <v>5</v>
      </c>
      <c r="H107" s="333" t="s">
        <v>30</v>
      </c>
      <c r="I107" s="454" t="s">
        <v>41</v>
      </c>
      <c r="J107" s="464"/>
      <c r="K107" s="333"/>
      <c r="L107" s="333"/>
      <c r="M107" s="454"/>
    </row>
    <row r="108" spans="1:13" ht="72" x14ac:dyDescent="0.85">
      <c r="A108" s="450" t="s">
        <v>31</v>
      </c>
      <c r="B108" s="471" t="s">
        <v>32</v>
      </c>
      <c r="C108" s="339">
        <v>32045128</v>
      </c>
      <c r="D108" s="339" t="s">
        <v>29</v>
      </c>
      <c r="E108" s="311" t="s">
        <v>42</v>
      </c>
      <c r="F108" s="464" t="s">
        <v>43</v>
      </c>
      <c r="G108" s="333">
        <v>5</v>
      </c>
      <c r="H108" s="333" t="s">
        <v>30</v>
      </c>
      <c r="I108" s="454" t="s">
        <v>44</v>
      </c>
      <c r="J108" s="464"/>
      <c r="K108" s="333"/>
      <c r="L108" s="333"/>
      <c r="M108" s="454"/>
    </row>
    <row r="109" spans="1:13" ht="72" x14ac:dyDescent="0.85">
      <c r="A109" s="450" t="s">
        <v>31</v>
      </c>
      <c r="B109" s="471" t="s">
        <v>32</v>
      </c>
      <c r="C109" s="339">
        <v>32188009</v>
      </c>
      <c r="D109" s="339" t="s">
        <v>29</v>
      </c>
      <c r="E109" s="311" t="s">
        <v>45</v>
      </c>
      <c r="F109" s="464" t="s">
        <v>46</v>
      </c>
      <c r="G109" s="333">
        <v>5</v>
      </c>
      <c r="H109" s="333" t="s">
        <v>30</v>
      </c>
      <c r="I109" s="454" t="s">
        <v>47</v>
      </c>
      <c r="J109" s="464"/>
      <c r="K109" s="376"/>
      <c r="L109" s="376"/>
      <c r="M109" s="444"/>
    </row>
    <row r="110" spans="1:13" ht="72" x14ac:dyDescent="0.85">
      <c r="A110" s="503" t="s">
        <v>50</v>
      </c>
      <c r="B110" s="471" t="s">
        <v>51</v>
      </c>
      <c r="C110" s="408">
        <v>32222224</v>
      </c>
      <c r="D110" s="408" t="s">
        <v>48</v>
      </c>
      <c r="E110" s="352" t="s">
        <v>52</v>
      </c>
      <c r="F110" s="464" t="s">
        <v>53</v>
      </c>
      <c r="G110" s="376">
        <v>6</v>
      </c>
      <c r="H110" s="376" t="s">
        <v>49</v>
      </c>
      <c r="I110" s="444" t="s">
        <v>41</v>
      </c>
      <c r="J110" s="464"/>
      <c r="K110" s="333"/>
      <c r="L110" s="333"/>
      <c r="M110" s="454"/>
    </row>
    <row r="111" spans="1:13" ht="72" x14ac:dyDescent="0.85">
      <c r="A111" s="503" t="s">
        <v>50</v>
      </c>
      <c r="B111" s="471" t="s">
        <v>51</v>
      </c>
      <c r="C111" s="339">
        <v>32149238</v>
      </c>
      <c r="D111" s="339" t="s">
        <v>48</v>
      </c>
      <c r="E111" s="311" t="s">
        <v>54</v>
      </c>
      <c r="F111" s="464" t="s">
        <v>55</v>
      </c>
      <c r="G111" s="333">
        <v>6</v>
      </c>
      <c r="H111" s="333" t="s">
        <v>49</v>
      </c>
      <c r="I111" s="454" t="s">
        <v>56</v>
      </c>
      <c r="J111" s="464"/>
      <c r="K111" s="333"/>
      <c r="L111" s="333"/>
      <c r="M111" s="454"/>
    </row>
    <row r="112" spans="1:13" ht="72" x14ac:dyDescent="0.85">
      <c r="A112" s="497" t="s">
        <v>50</v>
      </c>
      <c r="B112" s="471" t="s">
        <v>51</v>
      </c>
      <c r="C112" s="339">
        <v>32209921</v>
      </c>
      <c r="D112" s="339" t="s">
        <v>48</v>
      </c>
      <c r="E112" s="311" t="s">
        <v>57</v>
      </c>
      <c r="F112" s="464" t="s">
        <v>58</v>
      </c>
      <c r="G112" s="333">
        <v>6</v>
      </c>
      <c r="H112" s="333" t="s">
        <v>49</v>
      </c>
      <c r="I112" s="454" t="s">
        <v>38</v>
      </c>
      <c r="J112" s="469"/>
      <c r="K112" s="333"/>
      <c r="L112" s="333"/>
      <c r="M112" s="454"/>
    </row>
    <row r="113" spans="1:13" ht="72" x14ac:dyDescent="0.85">
      <c r="A113" s="497" t="s">
        <v>50</v>
      </c>
      <c r="B113" s="471" t="s">
        <v>59</v>
      </c>
      <c r="C113" s="339">
        <v>32188117</v>
      </c>
      <c r="D113" s="339" t="s">
        <v>48</v>
      </c>
      <c r="E113" s="311" t="s">
        <v>60</v>
      </c>
      <c r="F113" s="469" t="s">
        <v>61</v>
      </c>
      <c r="G113" s="333">
        <v>6</v>
      </c>
      <c r="H113" s="333" t="s">
        <v>49</v>
      </c>
      <c r="I113" s="454" t="s">
        <v>62</v>
      </c>
      <c r="J113" s="464"/>
      <c r="K113" s="333"/>
      <c r="L113" s="333"/>
      <c r="M113" s="454"/>
    </row>
    <row r="114" spans="1:13" ht="72" x14ac:dyDescent="0.85">
      <c r="A114" s="497" t="s">
        <v>50</v>
      </c>
      <c r="B114" s="471" t="s">
        <v>59</v>
      </c>
      <c r="C114" s="339">
        <v>32197835</v>
      </c>
      <c r="D114" s="339" t="s">
        <v>48</v>
      </c>
      <c r="E114" s="311" t="s">
        <v>63</v>
      </c>
      <c r="F114" s="464" t="s">
        <v>64</v>
      </c>
      <c r="G114" s="333">
        <v>6</v>
      </c>
      <c r="H114" s="333" t="s">
        <v>49</v>
      </c>
      <c r="I114" s="454" t="s">
        <v>35</v>
      </c>
      <c r="J114" s="464"/>
      <c r="K114" s="333"/>
      <c r="L114" s="333"/>
      <c r="M114" s="454"/>
    </row>
    <row r="115" spans="1:13" ht="72" x14ac:dyDescent="0.85">
      <c r="A115" s="497" t="s">
        <v>50</v>
      </c>
      <c r="B115" s="471" t="s">
        <v>59</v>
      </c>
      <c r="C115" s="339">
        <v>32197833</v>
      </c>
      <c r="D115" s="339" t="s">
        <v>48</v>
      </c>
      <c r="E115" s="311" t="s">
        <v>65</v>
      </c>
      <c r="F115" s="464" t="s">
        <v>66</v>
      </c>
      <c r="G115" s="333">
        <v>6</v>
      </c>
      <c r="H115" s="333" t="s">
        <v>49</v>
      </c>
      <c r="I115" s="454" t="s">
        <v>47</v>
      </c>
      <c r="J115" s="464"/>
      <c r="K115" s="333"/>
      <c r="L115" s="333"/>
      <c r="M115" s="454"/>
    </row>
    <row r="116" spans="1:13" ht="48" x14ac:dyDescent="0.85">
      <c r="A116" s="513" t="s">
        <v>68</v>
      </c>
      <c r="B116" s="471" t="s">
        <v>69</v>
      </c>
      <c r="C116" s="339">
        <v>32043886</v>
      </c>
      <c r="D116" s="339" t="s">
        <v>29</v>
      </c>
      <c r="E116" s="311" t="s">
        <v>70</v>
      </c>
      <c r="F116" s="464" t="s">
        <v>71</v>
      </c>
      <c r="G116" s="333">
        <v>6</v>
      </c>
      <c r="H116" s="333" t="s">
        <v>67</v>
      </c>
      <c r="I116" s="454" t="s">
        <v>72</v>
      </c>
      <c r="J116" s="481"/>
      <c r="K116" s="333"/>
      <c r="L116" s="333"/>
      <c r="M116" s="454"/>
    </row>
    <row r="117" spans="1:13" ht="48" x14ac:dyDescent="0.85">
      <c r="A117" s="513" t="s">
        <v>68</v>
      </c>
      <c r="B117" s="471" t="s">
        <v>69</v>
      </c>
      <c r="C117" s="339">
        <v>32209922</v>
      </c>
      <c r="D117" s="339" t="s">
        <v>29</v>
      </c>
      <c r="E117" s="311" t="s">
        <v>73</v>
      </c>
      <c r="F117" s="481" t="s">
        <v>74</v>
      </c>
      <c r="G117" s="333">
        <v>6</v>
      </c>
      <c r="H117" s="333" t="s">
        <v>67</v>
      </c>
      <c r="I117" s="454" t="s">
        <v>35</v>
      </c>
      <c r="J117" s="464"/>
      <c r="K117" s="333"/>
      <c r="L117" s="333"/>
      <c r="M117" s="454"/>
    </row>
    <row r="118" spans="1:13" ht="72" x14ac:dyDescent="0.85">
      <c r="A118" s="513" t="s">
        <v>68</v>
      </c>
      <c r="B118" s="471" t="s">
        <v>69</v>
      </c>
      <c r="C118" s="339">
        <v>32173446</v>
      </c>
      <c r="D118" s="339" t="s">
        <v>29</v>
      </c>
      <c r="E118" s="311" t="s">
        <v>75</v>
      </c>
      <c r="F118" s="464" t="s">
        <v>76</v>
      </c>
      <c r="G118" s="333">
        <v>6</v>
      </c>
      <c r="H118" s="333" t="s">
        <v>67</v>
      </c>
      <c r="I118" s="454" t="s">
        <v>47</v>
      </c>
      <c r="J118" s="464"/>
      <c r="K118" s="376"/>
      <c r="L118" s="376"/>
      <c r="M118" s="444"/>
    </row>
    <row r="119" spans="1:13" ht="48" x14ac:dyDescent="0.85">
      <c r="A119" s="513" t="s">
        <v>68</v>
      </c>
      <c r="B119" s="471" t="s">
        <v>69</v>
      </c>
      <c r="C119" s="408">
        <v>32149607</v>
      </c>
      <c r="D119" s="408" t="s">
        <v>29</v>
      </c>
      <c r="E119" s="352" t="s">
        <v>77</v>
      </c>
      <c r="F119" s="464" t="s">
        <v>78</v>
      </c>
      <c r="G119" s="376">
        <v>6</v>
      </c>
      <c r="H119" s="376" t="s">
        <v>67</v>
      </c>
      <c r="I119" s="444" t="s">
        <v>44</v>
      </c>
      <c r="J119" s="464"/>
      <c r="K119" s="376"/>
      <c r="L119" s="333"/>
      <c r="M119" s="454"/>
    </row>
    <row r="120" spans="1:13" ht="48" x14ac:dyDescent="0.85">
      <c r="A120" s="513" t="s">
        <v>68</v>
      </c>
      <c r="B120" s="471" t="s">
        <v>69</v>
      </c>
      <c r="C120" s="339">
        <v>32045076</v>
      </c>
      <c r="D120" s="339" t="s">
        <v>29</v>
      </c>
      <c r="E120" s="311" t="s">
        <v>79</v>
      </c>
      <c r="F120" s="464" t="s">
        <v>80</v>
      </c>
      <c r="G120" s="376">
        <v>6</v>
      </c>
      <c r="H120" s="333" t="s">
        <v>67</v>
      </c>
      <c r="I120" s="454" t="s">
        <v>38</v>
      </c>
      <c r="J120" s="464"/>
      <c r="K120" s="376"/>
      <c r="L120" s="333"/>
      <c r="M120" s="454"/>
    </row>
    <row r="121" spans="1:13" ht="48" x14ac:dyDescent="0.85">
      <c r="A121" s="513" t="s">
        <v>68</v>
      </c>
      <c r="B121" s="511" t="s">
        <v>69</v>
      </c>
      <c r="C121" s="339">
        <v>32222222</v>
      </c>
      <c r="D121" s="339" t="s">
        <v>29</v>
      </c>
      <c r="E121" s="311" t="s">
        <v>81</v>
      </c>
      <c r="F121" s="464" t="s">
        <v>82</v>
      </c>
      <c r="G121" s="376">
        <v>6</v>
      </c>
      <c r="H121" s="333" t="s">
        <v>67</v>
      </c>
      <c r="I121" s="454" t="s">
        <v>41</v>
      </c>
      <c r="J121" s="464"/>
      <c r="K121" s="333"/>
      <c r="L121" s="481"/>
      <c r="M121" s="476"/>
    </row>
    <row r="122" spans="1:13" ht="48" x14ac:dyDescent="0.85">
      <c r="A122" s="506" t="s">
        <v>278</v>
      </c>
      <c r="B122" s="471" t="s">
        <v>279</v>
      </c>
      <c r="C122" s="384">
        <v>32197423</v>
      </c>
      <c r="D122" s="514">
        <v>0</v>
      </c>
      <c r="E122" s="500" t="s">
        <v>280</v>
      </c>
      <c r="F122" s="464" t="s">
        <v>281</v>
      </c>
      <c r="G122" s="333">
        <v>7</v>
      </c>
      <c r="H122" s="481" t="s">
        <v>277</v>
      </c>
      <c r="I122" s="476" t="s">
        <v>179</v>
      </c>
      <c r="J122" s="464"/>
      <c r="K122" s="333"/>
      <c r="L122" s="481"/>
      <c r="M122" s="454"/>
    </row>
    <row r="123" spans="1:13" ht="48" x14ac:dyDescent="0.85">
      <c r="A123" s="506" t="s">
        <v>278</v>
      </c>
      <c r="B123" s="471" t="s">
        <v>279</v>
      </c>
      <c r="C123" s="384">
        <v>32043796</v>
      </c>
      <c r="D123" s="514">
        <v>0</v>
      </c>
      <c r="E123" s="500" t="s">
        <v>282</v>
      </c>
      <c r="F123" s="464" t="s">
        <v>283</v>
      </c>
      <c r="G123" s="333">
        <v>7</v>
      </c>
      <c r="H123" s="481" t="s">
        <v>277</v>
      </c>
      <c r="I123" s="454" t="s">
        <v>35</v>
      </c>
      <c r="J123" s="515"/>
      <c r="K123" s="333"/>
      <c r="L123" s="481"/>
      <c r="M123" s="454"/>
    </row>
    <row r="124" spans="1:13" ht="48" x14ac:dyDescent="0.85">
      <c r="A124" s="503" t="s">
        <v>278</v>
      </c>
      <c r="B124" s="471" t="s">
        <v>279</v>
      </c>
      <c r="C124" s="384">
        <v>32148922</v>
      </c>
      <c r="D124" s="514">
        <v>0</v>
      </c>
      <c r="E124" s="500" t="s">
        <v>284</v>
      </c>
      <c r="F124" s="515" t="s">
        <v>285</v>
      </c>
      <c r="G124" s="333">
        <v>7</v>
      </c>
      <c r="H124" s="481" t="s">
        <v>277</v>
      </c>
      <c r="I124" s="454" t="s">
        <v>41</v>
      </c>
      <c r="J124" s="464"/>
      <c r="K124" s="333"/>
      <c r="L124" s="481"/>
      <c r="M124" s="454"/>
    </row>
    <row r="125" spans="1:13" ht="48" x14ac:dyDescent="0.85">
      <c r="A125" s="501" t="s">
        <v>278</v>
      </c>
      <c r="B125" s="471" t="s">
        <v>279</v>
      </c>
      <c r="C125" s="384">
        <v>32173445</v>
      </c>
      <c r="D125" s="384">
        <v>0</v>
      </c>
      <c r="E125" s="311" t="s">
        <v>286</v>
      </c>
      <c r="F125" s="464" t="s">
        <v>287</v>
      </c>
      <c r="G125" s="333">
        <v>7</v>
      </c>
      <c r="H125" s="481" t="s">
        <v>277</v>
      </c>
      <c r="I125" s="454" t="s">
        <v>47</v>
      </c>
      <c r="J125" s="464"/>
      <c r="K125" s="333"/>
      <c r="L125" s="481"/>
      <c r="M125" s="444"/>
    </row>
    <row r="126" spans="1:13" ht="48" x14ac:dyDescent="0.85">
      <c r="A126" s="506" t="s">
        <v>278</v>
      </c>
      <c r="B126" s="471" t="s">
        <v>279</v>
      </c>
      <c r="C126" s="385">
        <v>32044838</v>
      </c>
      <c r="D126" s="385">
        <v>0</v>
      </c>
      <c r="E126" s="311" t="s">
        <v>289</v>
      </c>
      <c r="F126" s="464" t="s">
        <v>290</v>
      </c>
      <c r="G126" s="333">
        <v>7</v>
      </c>
      <c r="H126" s="481" t="s">
        <v>277</v>
      </c>
      <c r="I126" s="444" t="s">
        <v>38</v>
      </c>
      <c r="J126" s="464"/>
      <c r="K126" s="333"/>
      <c r="L126" s="333"/>
      <c r="M126" s="454"/>
    </row>
    <row r="127" spans="1:13" ht="48" x14ac:dyDescent="0.85">
      <c r="A127" s="448" t="s">
        <v>85</v>
      </c>
      <c r="B127" s="491" t="s">
        <v>86</v>
      </c>
      <c r="C127" s="339">
        <v>32144776</v>
      </c>
      <c r="D127" s="339" t="s">
        <v>83</v>
      </c>
      <c r="E127" s="311" t="s">
        <v>87</v>
      </c>
      <c r="F127" s="464" t="s">
        <v>88</v>
      </c>
      <c r="G127" s="333">
        <v>6</v>
      </c>
      <c r="H127" s="333" t="s">
        <v>84</v>
      </c>
      <c r="I127" s="454" t="s">
        <v>41</v>
      </c>
      <c r="J127" s="481"/>
      <c r="K127" s="333"/>
      <c r="L127" s="333"/>
      <c r="M127" s="454"/>
    </row>
    <row r="128" spans="1:13" ht="48" x14ac:dyDescent="0.85">
      <c r="A128" s="516" t="s">
        <v>85</v>
      </c>
      <c r="B128" s="471" t="s">
        <v>86</v>
      </c>
      <c r="C128" s="339">
        <v>32196366</v>
      </c>
      <c r="D128" s="339" t="s">
        <v>83</v>
      </c>
      <c r="E128" s="311" t="s">
        <v>89</v>
      </c>
      <c r="F128" s="481" t="s">
        <v>90</v>
      </c>
      <c r="G128" s="333">
        <v>6</v>
      </c>
      <c r="H128" s="333" t="s">
        <v>84</v>
      </c>
      <c r="I128" s="454" t="s">
        <v>47</v>
      </c>
      <c r="J128" s="481"/>
      <c r="K128" s="333"/>
      <c r="L128" s="333"/>
      <c r="M128" s="454"/>
    </row>
    <row r="129" spans="1:13" ht="48" x14ac:dyDescent="0.85">
      <c r="A129" s="448" t="s">
        <v>85</v>
      </c>
      <c r="B129" s="508" t="s">
        <v>86</v>
      </c>
      <c r="C129" s="339">
        <v>32143661</v>
      </c>
      <c r="D129" s="339" t="s">
        <v>83</v>
      </c>
      <c r="E129" s="311" t="s">
        <v>2325</v>
      </c>
      <c r="F129" s="481" t="s">
        <v>2326</v>
      </c>
      <c r="G129" s="333">
        <v>6</v>
      </c>
      <c r="H129" s="333" t="s">
        <v>84</v>
      </c>
      <c r="I129" s="454" t="s">
        <v>44</v>
      </c>
      <c r="J129" s="464"/>
      <c r="K129" s="333"/>
      <c r="L129" s="333"/>
      <c r="M129" s="454"/>
    </row>
    <row r="130" spans="1:13" ht="48" x14ac:dyDescent="0.85">
      <c r="A130" s="448" t="s">
        <v>85</v>
      </c>
      <c r="B130" s="471" t="s">
        <v>86</v>
      </c>
      <c r="C130" s="339">
        <v>32144778</v>
      </c>
      <c r="D130" s="339" t="s">
        <v>83</v>
      </c>
      <c r="E130" s="311" t="s">
        <v>91</v>
      </c>
      <c r="F130" s="464" t="s">
        <v>92</v>
      </c>
      <c r="G130" s="333">
        <v>6</v>
      </c>
      <c r="H130" s="333" t="s">
        <v>84</v>
      </c>
      <c r="I130" s="454" t="s">
        <v>38</v>
      </c>
      <c r="J130" s="469"/>
      <c r="K130" s="333"/>
      <c r="L130" s="333"/>
      <c r="M130" s="454"/>
    </row>
    <row r="131" spans="1:13" ht="72" x14ac:dyDescent="0.85">
      <c r="A131" s="448" t="s">
        <v>85</v>
      </c>
      <c r="B131" s="471" t="s">
        <v>86</v>
      </c>
      <c r="C131" s="339">
        <v>32045357</v>
      </c>
      <c r="D131" s="339" t="s">
        <v>83</v>
      </c>
      <c r="E131" s="311" t="s">
        <v>93</v>
      </c>
      <c r="F131" s="469" t="s">
        <v>61</v>
      </c>
      <c r="G131" s="333">
        <v>6</v>
      </c>
      <c r="H131" s="333" t="s">
        <v>84</v>
      </c>
      <c r="I131" s="454" t="s">
        <v>56</v>
      </c>
      <c r="J131" s="464"/>
      <c r="K131" s="333"/>
      <c r="L131" s="333"/>
      <c r="M131" s="454"/>
    </row>
    <row r="132" spans="1:13" ht="48" x14ac:dyDescent="0.85">
      <c r="A132" s="448" t="s">
        <v>85</v>
      </c>
      <c r="B132" s="471" t="s">
        <v>86</v>
      </c>
      <c r="C132" s="339">
        <v>32044776</v>
      </c>
      <c r="D132" s="339" t="s">
        <v>83</v>
      </c>
      <c r="E132" s="311" t="s">
        <v>94</v>
      </c>
      <c r="F132" s="464" t="s">
        <v>95</v>
      </c>
      <c r="G132" s="333">
        <v>6</v>
      </c>
      <c r="H132" s="333" t="s">
        <v>84</v>
      </c>
      <c r="I132" s="454" t="s">
        <v>62</v>
      </c>
      <c r="J132" s="481"/>
      <c r="K132" s="333"/>
      <c r="L132" s="333"/>
      <c r="M132" s="454"/>
    </row>
    <row r="133" spans="1:13" ht="48" x14ac:dyDescent="0.85">
      <c r="A133" s="448" t="s">
        <v>97</v>
      </c>
      <c r="B133" s="471" t="s">
        <v>98</v>
      </c>
      <c r="C133" s="339">
        <v>32045556</v>
      </c>
      <c r="D133" s="339" t="s">
        <v>29</v>
      </c>
      <c r="E133" s="311" t="s">
        <v>99</v>
      </c>
      <c r="F133" s="481" t="s">
        <v>100</v>
      </c>
      <c r="G133" s="333">
        <v>5</v>
      </c>
      <c r="H133" s="333" t="s">
        <v>96</v>
      </c>
      <c r="I133" s="454" t="s">
        <v>38</v>
      </c>
      <c r="J133" s="464"/>
      <c r="K133" s="333"/>
      <c r="L133" s="333"/>
      <c r="M133" s="454"/>
    </row>
    <row r="134" spans="1:13" ht="48" x14ac:dyDescent="0.85">
      <c r="A134" s="448" t="s">
        <v>97</v>
      </c>
      <c r="B134" s="471" t="s">
        <v>98</v>
      </c>
      <c r="C134" s="339">
        <v>32045410</v>
      </c>
      <c r="D134" s="339" t="s">
        <v>29</v>
      </c>
      <c r="E134" s="311" t="s">
        <v>101</v>
      </c>
      <c r="F134" s="464" t="s">
        <v>102</v>
      </c>
      <c r="G134" s="333">
        <v>5</v>
      </c>
      <c r="H134" s="333" t="s">
        <v>96</v>
      </c>
      <c r="I134" s="454" t="s">
        <v>41</v>
      </c>
      <c r="J134" s="464"/>
      <c r="K134" s="333"/>
      <c r="L134" s="333"/>
      <c r="M134" s="454"/>
    </row>
    <row r="135" spans="1:13" ht="48" x14ac:dyDescent="0.85">
      <c r="A135" s="448" t="s">
        <v>97</v>
      </c>
      <c r="B135" s="471" t="s">
        <v>98</v>
      </c>
      <c r="C135" s="339">
        <v>32213349</v>
      </c>
      <c r="D135" s="339" t="s">
        <v>29</v>
      </c>
      <c r="E135" s="311" t="s">
        <v>103</v>
      </c>
      <c r="F135" s="464" t="s">
        <v>104</v>
      </c>
      <c r="G135" s="333">
        <v>5</v>
      </c>
      <c r="H135" s="333" t="s">
        <v>96</v>
      </c>
      <c r="I135" s="454" t="s">
        <v>35</v>
      </c>
      <c r="J135" s="464"/>
      <c r="K135" s="333"/>
      <c r="L135" s="333"/>
      <c r="M135" s="454"/>
    </row>
    <row r="136" spans="1:13" ht="48" x14ac:dyDescent="0.85">
      <c r="A136" s="448" t="s">
        <v>97</v>
      </c>
      <c r="B136" s="471" t="s">
        <v>98</v>
      </c>
      <c r="C136" s="339">
        <v>32043849</v>
      </c>
      <c r="D136" s="339" t="s">
        <v>29</v>
      </c>
      <c r="E136" s="311" t="s">
        <v>105</v>
      </c>
      <c r="F136" s="464" t="s">
        <v>106</v>
      </c>
      <c r="G136" s="333">
        <v>5</v>
      </c>
      <c r="H136" s="333" t="s">
        <v>96</v>
      </c>
      <c r="I136" s="454" t="s">
        <v>47</v>
      </c>
      <c r="J136" s="481"/>
      <c r="K136" s="333"/>
      <c r="L136" s="333"/>
      <c r="M136" s="454"/>
    </row>
    <row r="137" spans="1:13" ht="48" x14ac:dyDescent="0.85">
      <c r="A137" s="448" t="s">
        <v>97</v>
      </c>
      <c r="B137" s="471" t="s">
        <v>98</v>
      </c>
      <c r="C137" s="339">
        <v>32142953</v>
      </c>
      <c r="D137" s="339" t="s">
        <v>29</v>
      </c>
      <c r="E137" s="311" t="s">
        <v>107</v>
      </c>
      <c r="F137" s="481" t="s">
        <v>108</v>
      </c>
      <c r="G137" s="333">
        <v>5</v>
      </c>
      <c r="H137" s="333" t="s">
        <v>96</v>
      </c>
      <c r="I137" s="454" t="s">
        <v>56</v>
      </c>
      <c r="J137" s="464"/>
      <c r="K137" s="333"/>
      <c r="L137" s="333"/>
      <c r="M137" s="454"/>
    </row>
    <row r="138" spans="1:13" ht="48" x14ac:dyDescent="0.85">
      <c r="A138" s="448" t="s">
        <v>110</v>
      </c>
      <c r="B138" s="471" t="s">
        <v>111</v>
      </c>
      <c r="C138" s="339">
        <v>32201713</v>
      </c>
      <c r="D138" s="339" t="s">
        <v>29</v>
      </c>
      <c r="E138" s="311" t="s">
        <v>112</v>
      </c>
      <c r="F138" s="464" t="s">
        <v>113</v>
      </c>
      <c r="G138" s="333">
        <v>4</v>
      </c>
      <c r="H138" s="333" t="s">
        <v>109</v>
      </c>
      <c r="I138" s="454" t="s">
        <v>47</v>
      </c>
      <c r="J138" s="464"/>
      <c r="K138" s="333"/>
      <c r="L138" s="333"/>
      <c r="M138" s="454"/>
    </row>
    <row r="139" spans="1:13" ht="72" x14ac:dyDescent="0.85">
      <c r="A139" s="470" t="s">
        <v>110</v>
      </c>
      <c r="B139" s="471" t="s">
        <v>111</v>
      </c>
      <c r="C139" s="339">
        <v>32045396</v>
      </c>
      <c r="D139" s="339" t="s">
        <v>29</v>
      </c>
      <c r="E139" s="311" t="s">
        <v>114</v>
      </c>
      <c r="F139" s="464" t="s">
        <v>115</v>
      </c>
      <c r="G139" s="333">
        <v>4</v>
      </c>
      <c r="H139" s="333" t="s">
        <v>109</v>
      </c>
      <c r="I139" s="454" t="s">
        <v>41</v>
      </c>
      <c r="J139" s="468"/>
      <c r="K139" s="333"/>
      <c r="L139" s="333"/>
      <c r="M139" s="454"/>
    </row>
    <row r="140" spans="1:13" ht="48" x14ac:dyDescent="0.85">
      <c r="A140" s="448" t="s">
        <v>110</v>
      </c>
      <c r="B140" s="471" t="s">
        <v>111</v>
      </c>
      <c r="C140" s="339">
        <v>32201712</v>
      </c>
      <c r="D140" s="339" t="s">
        <v>29</v>
      </c>
      <c r="E140" s="311" t="s">
        <v>116</v>
      </c>
      <c r="F140" s="468" t="s">
        <v>117</v>
      </c>
      <c r="G140" s="333">
        <v>4</v>
      </c>
      <c r="H140" s="333" t="s">
        <v>109</v>
      </c>
      <c r="I140" s="454" t="s">
        <v>35</v>
      </c>
      <c r="J140" s="464"/>
      <c r="K140" s="333"/>
      <c r="L140" s="333"/>
      <c r="M140" s="454"/>
    </row>
    <row r="141" spans="1:13" ht="48" x14ac:dyDescent="0.85">
      <c r="A141" s="448" t="s">
        <v>110</v>
      </c>
      <c r="B141" s="471" t="s">
        <v>111</v>
      </c>
      <c r="C141" s="339">
        <v>32043902</v>
      </c>
      <c r="D141" s="339" t="s">
        <v>29</v>
      </c>
      <c r="E141" s="311" t="s">
        <v>118</v>
      </c>
      <c r="F141" s="464" t="s">
        <v>119</v>
      </c>
      <c r="G141" s="333">
        <v>4</v>
      </c>
      <c r="H141" s="333" t="s">
        <v>109</v>
      </c>
      <c r="I141" s="454" t="s">
        <v>44</v>
      </c>
      <c r="J141" s="488"/>
      <c r="K141" s="433"/>
      <c r="L141" s="517"/>
      <c r="M141" s="518"/>
    </row>
    <row r="142" spans="1:13" ht="48" x14ac:dyDescent="0.85">
      <c r="A142" s="452" t="s">
        <v>2031</v>
      </c>
      <c r="B142" s="512" t="s">
        <v>2032</v>
      </c>
      <c r="C142" s="519">
        <v>32043794</v>
      </c>
      <c r="D142" s="519" t="s">
        <v>1991</v>
      </c>
      <c r="E142" s="517" t="s">
        <v>2033</v>
      </c>
      <c r="F142" s="488" t="s">
        <v>2034</v>
      </c>
      <c r="G142" s="433">
        <v>5</v>
      </c>
      <c r="H142" s="517" t="s">
        <v>2030</v>
      </c>
      <c r="I142" s="518" t="s">
        <v>470</v>
      </c>
      <c r="J142" s="488"/>
      <c r="K142" s="433"/>
      <c r="L142" s="517"/>
      <c r="M142" s="490"/>
    </row>
    <row r="143" spans="1:13" ht="48" x14ac:dyDescent="0.85">
      <c r="A143" s="452" t="s">
        <v>2031</v>
      </c>
      <c r="B143" s="512" t="s">
        <v>2032</v>
      </c>
      <c r="C143" s="520">
        <v>32181713</v>
      </c>
      <c r="D143" s="520" t="s">
        <v>1991</v>
      </c>
      <c r="E143" s="489" t="s">
        <v>2035</v>
      </c>
      <c r="F143" s="488" t="s">
        <v>2036</v>
      </c>
      <c r="G143" s="433">
        <v>5</v>
      </c>
      <c r="H143" s="517" t="s">
        <v>2030</v>
      </c>
      <c r="I143" s="490" t="s">
        <v>456</v>
      </c>
      <c r="J143" s="488"/>
      <c r="K143" s="433"/>
      <c r="L143" s="517"/>
      <c r="M143" s="490"/>
    </row>
    <row r="144" spans="1:13" ht="48" x14ac:dyDescent="0.85">
      <c r="A144" s="452" t="s">
        <v>2031</v>
      </c>
      <c r="B144" s="512" t="s">
        <v>2032</v>
      </c>
      <c r="C144" s="520">
        <v>32043868</v>
      </c>
      <c r="D144" s="520" t="s">
        <v>1991</v>
      </c>
      <c r="E144" s="489" t="s">
        <v>2037</v>
      </c>
      <c r="F144" s="488" t="s">
        <v>2038</v>
      </c>
      <c r="G144" s="433">
        <v>5</v>
      </c>
      <c r="H144" s="517" t="s">
        <v>2030</v>
      </c>
      <c r="I144" s="490" t="s">
        <v>447</v>
      </c>
      <c r="J144" s="488"/>
      <c r="K144" s="433"/>
      <c r="L144" s="517"/>
      <c r="M144" s="490"/>
    </row>
    <row r="145" spans="1:13" ht="72" x14ac:dyDescent="0.85">
      <c r="A145" s="452" t="s">
        <v>2031</v>
      </c>
      <c r="B145" s="512" t="s">
        <v>2032</v>
      </c>
      <c r="C145" s="520">
        <v>32233422</v>
      </c>
      <c r="D145" s="520" t="s">
        <v>1991</v>
      </c>
      <c r="E145" s="489" t="s">
        <v>2039</v>
      </c>
      <c r="F145" s="488" t="s">
        <v>2040</v>
      </c>
      <c r="G145" s="433">
        <v>5</v>
      </c>
      <c r="H145" s="517" t="s">
        <v>2030</v>
      </c>
      <c r="I145" s="490" t="s">
        <v>2041</v>
      </c>
      <c r="J145" s="489"/>
      <c r="K145" s="433"/>
      <c r="L145" s="517"/>
      <c r="M145" s="490"/>
    </row>
    <row r="146" spans="1:13" ht="48" x14ac:dyDescent="0.85">
      <c r="A146" s="452" t="s">
        <v>2031</v>
      </c>
      <c r="B146" s="512" t="s">
        <v>2032</v>
      </c>
      <c r="C146" s="520">
        <v>32046003</v>
      </c>
      <c r="D146" s="520" t="s">
        <v>1991</v>
      </c>
      <c r="E146" s="489" t="s">
        <v>2327</v>
      </c>
      <c r="F146" s="489" t="s">
        <v>2328</v>
      </c>
      <c r="G146" s="433">
        <v>5</v>
      </c>
      <c r="H146" s="517" t="s">
        <v>2030</v>
      </c>
      <c r="I146" s="490" t="s">
        <v>464</v>
      </c>
      <c r="J146" s="468"/>
      <c r="K146" s="333"/>
      <c r="L146" s="333"/>
      <c r="M146" s="454"/>
    </row>
    <row r="147" spans="1:13" ht="72" x14ac:dyDescent="0.85">
      <c r="A147" s="450" t="s">
        <v>121</v>
      </c>
      <c r="B147" s="471" t="s">
        <v>122</v>
      </c>
      <c r="C147" s="339">
        <v>32044036</v>
      </c>
      <c r="D147" s="339" t="s">
        <v>83</v>
      </c>
      <c r="E147" s="311" t="s">
        <v>123</v>
      </c>
      <c r="F147" s="468" t="s">
        <v>124</v>
      </c>
      <c r="G147" s="333">
        <v>7</v>
      </c>
      <c r="H147" s="333" t="s">
        <v>120</v>
      </c>
      <c r="I147" s="454" t="s">
        <v>125</v>
      </c>
      <c r="J147" s="464"/>
      <c r="K147" s="333"/>
      <c r="L147" s="333"/>
      <c r="M147" s="454"/>
    </row>
    <row r="148" spans="1:13" ht="72" x14ac:dyDescent="0.85">
      <c r="A148" s="450" t="s">
        <v>121</v>
      </c>
      <c r="B148" s="471" t="s">
        <v>122</v>
      </c>
      <c r="C148" s="339">
        <v>32044447</v>
      </c>
      <c r="D148" s="339" t="s">
        <v>83</v>
      </c>
      <c r="E148" s="311" t="s">
        <v>126</v>
      </c>
      <c r="F148" s="464" t="s">
        <v>127</v>
      </c>
      <c r="G148" s="333">
        <v>7</v>
      </c>
      <c r="H148" s="333" t="s">
        <v>120</v>
      </c>
      <c r="I148" s="454" t="s">
        <v>128</v>
      </c>
      <c r="J148" s="464"/>
      <c r="K148" s="333"/>
      <c r="L148" s="333"/>
      <c r="M148" s="454"/>
    </row>
    <row r="149" spans="1:13" ht="72" x14ac:dyDescent="0.85">
      <c r="A149" s="450" t="s">
        <v>121</v>
      </c>
      <c r="B149" s="491" t="s">
        <v>122</v>
      </c>
      <c r="C149" s="339">
        <v>32044771</v>
      </c>
      <c r="D149" s="339" t="s">
        <v>83</v>
      </c>
      <c r="E149" s="311" t="s">
        <v>129</v>
      </c>
      <c r="F149" s="464" t="s">
        <v>130</v>
      </c>
      <c r="G149" s="333">
        <v>7</v>
      </c>
      <c r="H149" s="333" t="s">
        <v>120</v>
      </c>
      <c r="I149" s="454" t="s">
        <v>72</v>
      </c>
      <c r="J149" s="481"/>
      <c r="K149" s="333"/>
      <c r="L149" s="333"/>
      <c r="M149" s="454"/>
    </row>
    <row r="150" spans="1:13" ht="72" x14ac:dyDescent="0.85">
      <c r="A150" s="450" t="s">
        <v>121</v>
      </c>
      <c r="B150" s="471" t="s">
        <v>122</v>
      </c>
      <c r="C150" s="339">
        <v>32213345</v>
      </c>
      <c r="D150" s="339" t="s">
        <v>83</v>
      </c>
      <c r="E150" s="311" t="s">
        <v>131</v>
      </c>
      <c r="F150" s="481" t="s">
        <v>132</v>
      </c>
      <c r="G150" s="333">
        <v>7</v>
      </c>
      <c r="H150" s="333" t="s">
        <v>120</v>
      </c>
      <c r="I150" s="454" t="s">
        <v>56</v>
      </c>
      <c r="J150" s="464"/>
      <c r="K150" s="333"/>
      <c r="L150" s="333"/>
      <c r="M150" s="454"/>
    </row>
    <row r="151" spans="1:13" ht="72" x14ac:dyDescent="0.85">
      <c r="A151" s="450" t="s">
        <v>121</v>
      </c>
      <c r="B151" s="511" t="s">
        <v>122</v>
      </c>
      <c r="C151" s="339">
        <v>32044514</v>
      </c>
      <c r="D151" s="339" t="s">
        <v>83</v>
      </c>
      <c r="E151" s="311" t="s">
        <v>133</v>
      </c>
      <c r="F151" s="464" t="s">
        <v>134</v>
      </c>
      <c r="G151" s="333">
        <v>7</v>
      </c>
      <c r="H151" s="333" t="s">
        <v>120</v>
      </c>
      <c r="I151" s="454" t="s">
        <v>35</v>
      </c>
      <c r="J151" s="469"/>
      <c r="K151" s="333"/>
      <c r="L151" s="333"/>
      <c r="M151" s="454"/>
    </row>
    <row r="152" spans="1:13" ht="72" x14ac:dyDescent="0.85">
      <c r="A152" s="450" t="s">
        <v>121</v>
      </c>
      <c r="B152" s="471" t="s">
        <v>122</v>
      </c>
      <c r="C152" s="453">
        <v>32043880</v>
      </c>
      <c r="D152" s="453" t="s">
        <v>83</v>
      </c>
      <c r="E152" s="311" t="s">
        <v>135</v>
      </c>
      <c r="F152" s="469" t="s">
        <v>136</v>
      </c>
      <c r="G152" s="333">
        <v>7</v>
      </c>
      <c r="H152" s="333" t="s">
        <v>120</v>
      </c>
      <c r="I152" s="454" t="s">
        <v>38</v>
      </c>
      <c r="J152" s="464"/>
      <c r="K152" s="333"/>
      <c r="L152" s="333"/>
      <c r="M152" s="454"/>
    </row>
    <row r="153" spans="1:13" ht="72" x14ac:dyDescent="0.85">
      <c r="A153" s="521" t="s">
        <v>121</v>
      </c>
      <c r="B153" s="508" t="s">
        <v>122</v>
      </c>
      <c r="C153" s="339">
        <v>32044513</v>
      </c>
      <c r="D153" s="339" t="s">
        <v>83</v>
      </c>
      <c r="E153" s="311" t="s">
        <v>137</v>
      </c>
      <c r="F153" s="464" t="s">
        <v>138</v>
      </c>
      <c r="G153" s="333">
        <v>7</v>
      </c>
      <c r="H153" s="333" t="s">
        <v>120</v>
      </c>
      <c r="I153" s="454" t="s">
        <v>44</v>
      </c>
      <c r="J153" s="464"/>
      <c r="K153" s="333"/>
      <c r="L153" s="333"/>
      <c r="M153" s="454"/>
    </row>
    <row r="154" spans="1:13" ht="72" x14ac:dyDescent="0.85">
      <c r="A154" s="513" t="s">
        <v>140</v>
      </c>
      <c r="B154" s="471" t="s">
        <v>141</v>
      </c>
      <c r="C154" s="339">
        <v>32045574</v>
      </c>
      <c r="D154" s="339" t="s">
        <v>29</v>
      </c>
      <c r="E154" s="311" t="s">
        <v>142</v>
      </c>
      <c r="F154" s="464" t="s">
        <v>143</v>
      </c>
      <c r="G154" s="333">
        <v>4</v>
      </c>
      <c r="H154" s="333" t="s">
        <v>139</v>
      </c>
      <c r="I154" s="454" t="s">
        <v>47</v>
      </c>
      <c r="J154" s="464"/>
      <c r="K154" s="333"/>
      <c r="L154" s="376"/>
      <c r="M154" s="444"/>
    </row>
    <row r="155" spans="1:13" ht="72" x14ac:dyDescent="0.85">
      <c r="A155" s="513" t="s">
        <v>140</v>
      </c>
      <c r="B155" s="471" t="s">
        <v>141</v>
      </c>
      <c r="C155" s="408">
        <v>32222223</v>
      </c>
      <c r="D155" s="408" t="s">
        <v>29</v>
      </c>
      <c r="E155" s="352" t="s">
        <v>144</v>
      </c>
      <c r="F155" s="464" t="s">
        <v>145</v>
      </c>
      <c r="G155" s="333">
        <v>4</v>
      </c>
      <c r="H155" s="376" t="s">
        <v>139</v>
      </c>
      <c r="I155" s="444" t="s">
        <v>35</v>
      </c>
      <c r="J155" s="464"/>
      <c r="K155" s="333"/>
      <c r="L155" s="333"/>
      <c r="M155" s="454"/>
    </row>
    <row r="156" spans="1:13" ht="72" x14ac:dyDescent="0.85">
      <c r="A156" s="513" t="s">
        <v>140</v>
      </c>
      <c r="B156" s="471" t="s">
        <v>141</v>
      </c>
      <c r="C156" s="339">
        <v>32111307</v>
      </c>
      <c r="D156" s="339" t="s">
        <v>29</v>
      </c>
      <c r="E156" s="311" t="s">
        <v>146</v>
      </c>
      <c r="F156" s="464" t="s">
        <v>147</v>
      </c>
      <c r="G156" s="333">
        <v>4</v>
      </c>
      <c r="H156" s="333" t="s">
        <v>139</v>
      </c>
      <c r="I156" s="454" t="s">
        <v>44</v>
      </c>
      <c r="J156" s="464"/>
      <c r="K156" s="333"/>
      <c r="L156" s="333"/>
      <c r="M156" s="454"/>
    </row>
    <row r="157" spans="1:13" ht="72" x14ac:dyDescent="0.85">
      <c r="A157" s="516" t="s">
        <v>140</v>
      </c>
      <c r="B157" s="491" t="s">
        <v>141</v>
      </c>
      <c r="C157" s="339">
        <v>32043891</v>
      </c>
      <c r="D157" s="339" t="s">
        <v>29</v>
      </c>
      <c r="E157" s="311" t="s">
        <v>148</v>
      </c>
      <c r="F157" s="464" t="s">
        <v>149</v>
      </c>
      <c r="G157" s="333">
        <v>4</v>
      </c>
      <c r="H157" s="333" t="s">
        <v>139</v>
      </c>
      <c r="I157" s="454" t="s">
        <v>38</v>
      </c>
      <c r="J157" s="464"/>
      <c r="K157" s="333"/>
      <c r="L157" s="333"/>
      <c r="M157" s="454"/>
    </row>
    <row r="158" spans="1:13" ht="48" x14ac:dyDescent="0.85">
      <c r="A158" s="324" t="s">
        <v>2092</v>
      </c>
      <c r="B158" s="511" t="s">
        <v>2096</v>
      </c>
      <c r="C158" s="339">
        <v>32043646</v>
      </c>
      <c r="D158" s="339" t="s">
        <v>2095</v>
      </c>
      <c r="E158" s="311" t="s">
        <v>2097</v>
      </c>
      <c r="F158" s="464" t="s">
        <v>2098</v>
      </c>
      <c r="G158" s="333">
        <v>6</v>
      </c>
      <c r="H158" s="333" t="s">
        <v>2091</v>
      </c>
      <c r="I158" s="454" t="s">
        <v>125</v>
      </c>
      <c r="J158" s="464"/>
      <c r="K158" s="333"/>
      <c r="L158" s="333"/>
      <c r="M158" s="454"/>
    </row>
    <row r="159" spans="1:13" ht="48" x14ac:dyDescent="0.85">
      <c r="A159" s="326" t="s">
        <v>2092</v>
      </c>
      <c r="B159" s="471" t="s">
        <v>2096</v>
      </c>
      <c r="C159" s="339">
        <v>32224379</v>
      </c>
      <c r="D159" s="339" t="s">
        <v>2090</v>
      </c>
      <c r="E159" s="311" t="s">
        <v>2099</v>
      </c>
      <c r="F159" s="464" t="s">
        <v>2100</v>
      </c>
      <c r="G159" s="333">
        <v>6</v>
      </c>
      <c r="H159" s="333" t="s">
        <v>2091</v>
      </c>
      <c r="I159" s="454" t="s">
        <v>1806</v>
      </c>
      <c r="J159" s="464"/>
      <c r="K159" s="333"/>
      <c r="L159" s="333"/>
      <c r="M159" s="454"/>
    </row>
    <row r="160" spans="1:13" ht="48" x14ac:dyDescent="0.85">
      <c r="A160" s="324" t="s">
        <v>2092</v>
      </c>
      <c r="B160" s="511" t="s">
        <v>2096</v>
      </c>
      <c r="C160" s="339">
        <v>32044344</v>
      </c>
      <c r="D160" s="339" t="s">
        <v>2101</v>
      </c>
      <c r="E160" s="311" t="s">
        <v>2102</v>
      </c>
      <c r="F160" s="464" t="s">
        <v>2103</v>
      </c>
      <c r="G160" s="333">
        <v>6</v>
      </c>
      <c r="H160" s="333" t="s">
        <v>2091</v>
      </c>
      <c r="I160" s="454" t="s">
        <v>1813</v>
      </c>
      <c r="J160" s="464"/>
      <c r="K160" s="333"/>
      <c r="L160" s="333"/>
      <c r="M160" s="454"/>
    </row>
    <row r="161" spans="1:13" ht="48" x14ac:dyDescent="0.85">
      <c r="A161" s="326" t="s">
        <v>2092</v>
      </c>
      <c r="B161" s="471" t="s">
        <v>2096</v>
      </c>
      <c r="C161" s="339">
        <v>32044492</v>
      </c>
      <c r="D161" s="339" t="s">
        <v>2076</v>
      </c>
      <c r="E161" s="311" t="s">
        <v>2104</v>
      </c>
      <c r="F161" s="464" t="s">
        <v>2105</v>
      </c>
      <c r="G161" s="333">
        <v>6</v>
      </c>
      <c r="H161" s="333" t="s">
        <v>2091</v>
      </c>
      <c r="I161" s="454" t="s">
        <v>1803</v>
      </c>
      <c r="J161" s="481"/>
      <c r="K161" s="333"/>
      <c r="L161" s="333"/>
      <c r="M161" s="454"/>
    </row>
    <row r="162" spans="1:13" ht="48" x14ac:dyDescent="0.85">
      <c r="A162" s="326" t="s">
        <v>2092</v>
      </c>
      <c r="B162" s="471" t="s">
        <v>2096</v>
      </c>
      <c r="C162" s="339">
        <v>32043771</v>
      </c>
      <c r="D162" s="339" t="s">
        <v>2060</v>
      </c>
      <c r="E162" s="311" t="s">
        <v>2106</v>
      </c>
      <c r="F162" s="481" t="s">
        <v>2107</v>
      </c>
      <c r="G162" s="333">
        <v>6</v>
      </c>
      <c r="H162" s="333" t="s">
        <v>2091</v>
      </c>
      <c r="I162" s="454" t="s">
        <v>1808</v>
      </c>
      <c r="J162" s="464"/>
      <c r="K162" s="333"/>
      <c r="L162" s="333"/>
      <c r="M162" s="454"/>
    </row>
    <row r="163" spans="1:13" ht="48" x14ac:dyDescent="0.85">
      <c r="A163" s="326" t="s">
        <v>2092</v>
      </c>
      <c r="B163" s="471" t="s">
        <v>2096</v>
      </c>
      <c r="C163" s="339">
        <v>32043979</v>
      </c>
      <c r="D163" s="339" t="s">
        <v>2060</v>
      </c>
      <c r="E163" s="311" t="s">
        <v>2108</v>
      </c>
      <c r="F163" s="464" t="s">
        <v>2109</v>
      </c>
      <c r="G163" s="333">
        <v>6</v>
      </c>
      <c r="H163" s="333" t="s">
        <v>2091</v>
      </c>
      <c r="I163" s="454" t="s">
        <v>1810</v>
      </c>
      <c r="J163" s="469"/>
      <c r="K163" s="333"/>
      <c r="L163" s="311"/>
      <c r="M163" s="454"/>
    </row>
    <row r="164" spans="1:13" ht="72" x14ac:dyDescent="0.85">
      <c r="A164" s="365" t="s">
        <v>1641</v>
      </c>
      <c r="B164" s="365" t="s">
        <v>1642</v>
      </c>
      <c r="C164" s="339">
        <v>32227720</v>
      </c>
      <c r="D164" s="339" t="s">
        <v>1639</v>
      </c>
      <c r="E164" s="311" t="s">
        <v>1643</v>
      </c>
      <c r="F164" s="469"/>
      <c r="G164" s="333">
        <v>5</v>
      </c>
      <c r="H164" s="311" t="s">
        <v>1640</v>
      </c>
      <c r="I164" s="454" t="s">
        <v>369</v>
      </c>
      <c r="J164" s="464"/>
      <c r="K164" s="333"/>
      <c r="L164" s="376"/>
      <c r="M164" s="444"/>
    </row>
    <row r="165" spans="1:13" ht="48" x14ac:dyDescent="0.85">
      <c r="A165" s="522" t="s">
        <v>292</v>
      </c>
      <c r="B165" s="471" t="s">
        <v>293</v>
      </c>
      <c r="C165" s="408">
        <v>32043900</v>
      </c>
      <c r="D165" s="408">
        <v>0</v>
      </c>
      <c r="E165" s="352" t="s">
        <v>294</v>
      </c>
      <c r="F165" s="464" t="s">
        <v>295</v>
      </c>
      <c r="G165" s="333">
        <v>12</v>
      </c>
      <c r="H165" s="376" t="s">
        <v>291</v>
      </c>
      <c r="I165" s="444" t="s">
        <v>179</v>
      </c>
      <c r="J165" s="464"/>
      <c r="K165" s="333"/>
      <c r="L165" s="333"/>
      <c r="M165" s="454"/>
    </row>
    <row r="166" spans="1:13" ht="48" x14ac:dyDescent="0.85">
      <c r="A166" s="448" t="s">
        <v>292</v>
      </c>
      <c r="B166" s="491" t="s">
        <v>293</v>
      </c>
      <c r="C166" s="339">
        <v>32044316</v>
      </c>
      <c r="D166" s="339">
        <v>0</v>
      </c>
      <c r="E166" s="311" t="s">
        <v>296</v>
      </c>
      <c r="F166" s="464" t="s">
        <v>297</v>
      </c>
      <c r="G166" s="333">
        <v>12</v>
      </c>
      <c r="H166" s="333" t="s">
        <v>291</v>
      </c>
      <c r="I166" s="454" t="s">
        <v>44</v>
      </c>
      <c r="J166" s="464"/>
      <c r="K166" s="333"/>
      <c r="L166" s="333"/>
      <c r="M166" s="454"/>
    </row>
    <row r="167" spans="1:13" ht="72" x14ac:dyDescent="0.85">
      <c r="A167" s="448" t="s">
        <v>292</v>
      </c>
      <c r="B167" s="471" t="s">
        <v>293</v>
      </c>
      <c r="C167" s="339">
        <v>32173442</v>
      </c>
      <c r="D167" s="339">
        <v>0</v>
      </c>
      <c r="E167" s="311" t="s">
        <v>298</v>
      </c>
      <c r="F167" s="464" t="s">
        <v>299</v>
      </c>
      <c r="G167" s="333">
        <v>12</v>
      </c>
      <c r="H167" s="333" t="s">
        <v>291</v>
      </c>
      <c r="I167" s="454" t="s">
        <v>38</v>
      </c>
      <c r="J167" s="468"/>
      <c r="K167" s="333"/>
      <c r="L167" s="333"/>
      <c r="M167" s="454"/>
    </row>
    <row r="168" spans="1:13" ht="48" x14ac:dyDescent="0.85">
      <c r="A168" s="448" t="s">
        <v>292</v>
      </c>
      <c r="B168" s="471" t="s">
        <v>293</v>
      </c>
      <c r="C168" s="339">
        <v>32149490</v>
      </c>
      <c r="D168" s="339">
        <v>0</v>
      </c>
      <c r="E168" s="311" t="s">
        <v>300</v>
      </c>
      <c r="F168" s="468" t="s">
        <v>301</v>
      </c>
      <c r="G168" s="333">
        <v>12</v>
      </c>
      <c r="H168" s="333" t="s">
        <v>291</v>
      </c>
      <c r="I168" s="454" t="s">
        <v>38</v>
      </c>
      <c r="J168" s="464"/>
      <c r="K168" s="333"/>
      <c r="L168" s="333"/>
      <c r="M168" s="454"/>
    </row>
    <row r="169" spans="1:13" ht="72" x14ac:dyDescent="0.85">
      <c r="A169" s="516" t="s">
        <v>292</v>
      </c>
      <c r="B169" s="491" t="s">
        <v>293</v>
      </c>
      <c r="C169" s="339">
        <v>32092747</v>
      </c>
      <c r="D169" s="339">
        <v>0</v>
      </c>
      <c r="E169" s="311" t="s">
        <v>302</v>
      </c>
      <c r="F169" s="464" t="s">
        <v>303</v>
      </c>
      <c r="G169" s="333">
        <v>12</v>
      </c>
      <c r="H169" s="333" t="s">
        <v>291</v>
      </c>
      <c r="I169" s="454" t="s">
        <v>179</v>
      </c>
      <c r="J169" s="464"/>
      <c r="K169" s="333"/>
      <c r="L169" s="333"/>
      <c r="M169" s="454"/>
    </row>
    <row r="170" spans="1:13" ht="72" x14ac:dyDescent="0.85">
      <c r="A170" s="448" t="s">
        <v>292</v>
      </c>
      <c r="B170" s="471" t="s">
        <v>293</v>
      </c>
      <c r="C170" s="339">
        <v>32173435</v>
      </c>
      <c r="D170" s="339">
        <v>0</v>
      </c>
      <c r="E170" s="311" t="s">
        <v>304</v>
      </c>
      <c r="F170" s="464" t="s">
        <v>305</v>
      </c>
      <c r="G170" s="333">
        <v>12</v>
      </c>
      <c r="H170" s="333" t="s">
        <v>291</v>
      </c>
      <c r="I170" s="454" t="s">
        <v>47</v>
      </c>
      <c r="J170" s="464"/>
      <c r="K170" s="333"/>
      <c r="L170" s="333"/>
      <c r="M170" s="454"/>
    </row>
    <row r="171" spans="1:13" ht="48" x14ac:dyDescent="0.85">
      <c r="A171" s="516" t="s">
        <v>292</v>
      </c>
      <c r="B171" s="508" t="s">
        <v>293</v>
      </c>
      <c r="C171" s="339">
        <v>32145333</v>
      </c>
      <c r="D171" s="339">
        <v>0</v>
      </c>
      <c r="E171" s="311" t="s">
        <v>306</v>
      </c>
      <c r="F171" s="464" t="s">
        <v>307</v>
      </c>
      <c r="G171" s="333">
        <v>12</v>
      </c>
      <c r="H171" s="333" t="s">
        <v>291</v>
      </c>
      <c r="I171" s="454" t="s">
        <v>41</v>
      </c>
      <c r="J171" s="464"/>
      <c r="K171" s="333"/>
      <c r="L171" s="333"/>
      <c r="M171" s="454"/>
    </row>
    <row r="172" spans="1:13" ht="48" x14ac:dyDescent="0.85">
      <c r="A172" s="448" t="s">
        <v>292</v>
      </c>
      <c r="B172" s="471" t="s">
        <v>293</v>
      </c>
      <c r="C172" s="339">
        <v>32199772</v>
      </c>
      <c r="D172" s="339">
        <v>0</v>
      </c>
      <c r="E172" s="311" t="s">
        <v>308</v>
      </c>
      <c r="F172" s="464" t="s">
        <v>309</v>
      </c>
      <c r="G172" s="333">
        <v>12</v>
      </c>
      <c r="H172" s="333" t="s">
        <v>291</v>
      </c>
      <c r="I172" s="454" t="s">
        <v>35</v>
      </c>
      <c r="J172" s="469"/>
      <c r="K172" s="333"/>
      <c r="L172" s="333"/>
      <c r="M172" s="454"/>
    </row>
    <row r="173" spans="1:13" ht="48" x14ac:dyDescent="0.85">
      <c r="A173" s="516" t="s">
        <v>292</v>
      </c>
      <c r="B173" s="471" t="s">
        <v>293</v>
      </c>
      <c r="C173" s="339">
        <v>32045469</v>
      </c>
      <c r="D173" s="339">
        <v>0</v>
      </c>
      <c r="E173" s="311" t="s">
        <v>310</v>
      </c>
      <c r="F173" s="469" t="s">
        <v>311</v>
      </c>
      <c r="G173" s="333">
        <v>12</v>
      </c>
      <c r="H173" s="333" t="s">
        <v>291</v>
      </c>
      <c r="I173" s="454" t="s">
        <v>41</v>
      </c>
      <c r="J173" s="464"/>
      <c r="K173" s="333"/>
      <c r="L173" s="481"/>
      <c r="M173" s="454"/>
    </row>
    <row r="174" spans="1:13" ht="48" x14ac:dyDescent="0.85">
      <c r="A174" s="455" t="s">
        <v>313</v>
      </c>
      <c r="B174" s="471" t="s">
        <v>314</v>
      </c>
      <c r="C174" s="384">
        <v>32044783</v>
      </c>
      <c r="D174" s="384">
        <v>0</v>
      </c>
      <c r="E174" s="311" t="s">
        <v>315</v>
      </c>
      <c r="F174" s="464" t="s">
        <v>316</v>
      </c>
      <c r="G174" s="333">
        <v>8</v>
      </c>
      <c r="H174" s="481" t="s">
        <v>312</v>
      </c>
      <c r="I174" s="454" t="s">
        <v>56</v>
      </c>
      <c r="J174" s="416"/>
      <c r="K174" s="333"/>
      <c r="L174" s="481"/>
      <c r="M174" s="454"/>
    </row>
    <row r="175" spans="1:13" ht="48" x14ac:dyDescent="0.85">
      <c r="A175" s="455" t="s">
        <v>313</v>
      </c>
      <c r="B175" s="511" t="s">
        <v>314</v>
      </c>
      <c r="C175" s="384">
        <v>32044892</v>
      </c>
      <c r="D175" s="384">
        <v>0</v>
      </c>
      <c r="E175" s="311" t="s">
        <v>317</v>
      </c>
      <c r="F175" s="416" t="s">
        <v>318</v>
      </c>
      <c r="G175" s="333">
        <v>8</v>
      </c>
      <c r="H175" s="481" t="s">
        <v>312</v>
      </c>
      <c r="I175" s="454" t="s">
        <v>56</v>
      </c>
      <c r="J175" s="464"/>
      <c r="K175" s="333"/>
      <c r="L175" s="481"/>
      <c r="M175" s="454"/>
    </row>
    <row r="176" spans="1:13" ht="48" x14ac:dyDescent="0.85">
      <c r="A176" s="455" t="s">
        <v>313</v>
      </c>
      <c r="B176" s="471" t="s">
        <v>314</v>
      </c>
      <c r="C176" s="384">
        <v>32209454</v>
      </c>
      <c r="D176" s="384">
        <v>0</v>
      </c>
      <c r="E176" s="311" t="s">
        <v>319</v>
      </c>
      <c r="F176" s="464" t="s">
        <v>320</v>
      </c>
      <c r="G176" s="333">
        <v>8</v>
      </c>
      <c r="H176" s="481" t="s">
        <v>312</v>
      </c>
      <c r="I176" s="454" t="s">
        <v>38</v>
      </c>
      <c r="J176" s="464"/>
      <c r="K176" s="333"/>
      <c r="L176" s="481"/>
      <c r="M176" s="454"/>
    </row>
    <row r="177" spans="1:13" ht="48" x14ac:dyDescent="0.85">
      <c r="A177" s="455" t="s">
        <v>313</v>
      </c>
      <c r="B177" s="471" t="s">
        <v>314</v>
      </c>
      <c r="C177" s="384">
        <v>32046259</v>
      </c>
      <c r="D177" s="384">
        <v>0</v>
      </c>
      <c r="E177" s="311" t="s">
        <v>321</v>
      </c>
      <c r="F177" s="464" t="s">
        <v>322</v>
      </c>
      <c r="G177" s="333">
        <v>8</v>
      </c>
      <c r="H177" s="481" t="s">
        <v>312</v>
      </c>
      <c r="I177" s="454" t="s">
        <v>47</v>
      </c>
      <c r="J177" s="464"/>
      <c r="K177" s="333"/>
      <c r="L177" s="481"/>
      <c r="M177" s="454"/>
    </row>
    <row r="178" spans="1:13" ht="48" x14ac:dyDescent="0.85">
      <c r="A178" s="455" t="s">
        <v>313</v>
      </c>
      <c r="B178" s="511" t="s">
        <v>314</v>
      </c>
      <c r="C178" s="384">
        <v>32045572</v>
      </c>
      <c r="D178" s="384">
        <v>0</v>
      </c>
      <c r="E178" s="311" t="s">
        <v>324</v>
      </c>
      <c r="F178" s="464" t="s">
        <v>325</v>
      </c>
      <c r="G178" s="333">
        <v>8</v>
      </c>
      <c r="H178" s="481" t="s">
        <v>312</v>
      </c>
      <c r="I178" s="454" t="s">
        <v>44</v>
      </c>
      <c r="J178" s="468"/>
      <c r="K178" s="333"/>
      <c r="L178" s="481"/>
      <c r="M178" s="454"/>
    </row>
    <row r="179" spans="1:13" ht="72" x14ac:dyDescent="0.85">
      <c r="A179" s="456" t="s">
        <v>313</v>
      </c>
      <c r="B179" s="471" t="s">
        <v>314</v>
      </c>
      <c r="C179" s="384">
        <v>32045438</v>
      </c>
      <c r="D179" s="384">
        <v>0</v>
      </c>
      <c r="E179" s="311" t="s">
        <v>326</v>
      </c>
      <c r="F179" s="468" t="s">
        <v>327</v>
      </c>
      <c r="G179" s="333">
        <v>8</v>
      </c>
      <c r="H179" s="481" t="s">
        <v>312</v>
      </c>
      <c r="I179" s="454" t="s">
        <v>35</v>
      </c>
      <c r="J179" s="469"/>
      <c r="K179" s="333"/>
      <c r="L179" s="481"/>
      <c r="M179" s="454"/>
    </row>
    <row r="180" spans="1:13" ht="48" x14ac:dyDescent="0.85">
      <c r="A180" s="455" t="s">
        <v>313</v>
      </c>
      <c r="B180" s="471" t="s">
        <v>314</v>
      </c>
      <c r="C180" s="384">
        <v>32044845</v>
      </c>
      <c r="D180" s="384">
        <v>0</v>
      </c>
      <c r="E180" s="311" t="s">
        <v>2329</v>
      </c>
      <c r="F180" s="469" t="s">
        <v>61</v>
      </c>
      <c r="G180" s="333">
        <v>8</v>
      </c>
      <c r="H180" s="481" t="s">
        <v>312</v>
      </c>
      <c r="I180" s="454" t="s">
        <v>41</v>
      </c>
      <c r="J180" s="468"/>
      <c r="K180" s="333"/>
      <c r="L180" s="481"/>
      <c r="M180" s="454"/>
    </row>
    <row r="181" spans="1:13" ht="72" x14ac:dyDescent="0.85">
      <c r="A181" s="455" t="s">
        <v>313</v>
      </c>
      <c r="B181" s="471" t="s">
        <v>314</v>
      </c>
      <c r="C181" s="384">
        <v>32204264</v>
      </c>
      <c r="D181" s="384">
        <v>0</v>
      </c>
      <c r="E181" s="311" t="s">
        <v>328</v>
      </c>
      <c r="F181" s="468" t="s">
        <v>329</v>
      </c>
      <c r="G181" s="333">
        <v>8</v>
      </c>
      <c r="H181" s="481" t="s">
        <v>312</v>
      </c>
      <c r="I181" s="454" t="s">
        <v>179</v>
      </c>
      <c r="J181" s="464"/>
      <c r="K181" s="333"/>
      <c r="L181" s="333"/>
      <c r="M181" s="454"/>
    </row>
    <row r="182" spans="1:13" ht="48" x14ac:dyDescent="0.85">
      <c r="A182" s="503" t="s">
        <v>1895</v>
      </c>
      <c r="B182" s="491" t="s">
        <v>1896</v>
      </c>
      <c r="C182" s="339">
        <v>32044273</v>
      </c>
      <c r="D182" s="339">
        <v>0</v>
      </c>
      <c r="E182" s="311" t="s">
        <v>1897</v>
      </c>
      <c r="F182" s="464" t="s">
        <v>1898</v>
      </c>
      <c r="G182" s="333">
        <v>8</v>
      </c>
      <c r="H182" s="333" t="s">
        <v>1894</v>
      </c>
      <c r="I182" s="454" t="s">
        <v>35</v>
      </c>
      <c r="J182" s="464"/>
      <c r="K182" s="333"/>
      <c r="L182" s="333"/>
      <c r="M182" s="444"/>
    </row>
    <row r="183" spans="1:13" ht="48" x14ac:dyDescent="0.85">
      <c r="A183" s="501" t="s">
        <v>1895</v>
      </c>
      <c r="B183" s="471" t="s">
        <v>1896</v>
      </c>
      <c r="C183" s="339">
        <v>32044433</v>
      </c>
      <c r="D183" s="339">
        <v>0</v>
      </c>
      <c r="E183" s="311" t="s">
        <v>1899</v>
      </c>
      <c r="F183" s="464" t="s">
        <v>1900</v>
      </c>
      <c r="G183" s="333">
        <v>8</v>
      </c>
      <c r="H183" s="333" t="s">
        <v>1894</v>
      </c>
      <c r="I183" s="444" t="s">
        <v>1858</v>
      </c>
      <c r="J183" s="464"/>
      <c r="K183" s="333"/>
      <c r="L183" s="333"/>
      <c r="M183" s="454"/>
    </row>
    <row r="184" spans="1:13" ht="72" x14ac:dyDescent="0.85">
      <c r="A184" s="503" t="s">
        <v>1895</v>
      </c>
      <c r="B184" s="508" t="s">
        <v>1896</v>
      </c>
      <c r="C184" s="339">
        <v>32043851</v>
      </c>
      <c r="D184" s="339">
        <v>0</v>
      </c>
      <c r="E184" s="311" t="s">
        <v>1901</v>
      </c>
      <c r="F184" s="464" t="s">
        <v>1902</v>
      </c>
      <c r="G184" s="333">
        <v>8</v>
      </c>
      <c r="H184" s="333" t="s">
        <v>1894</v>
      </c>
      <c r="I184" s="454" t="s">
        <v>56</v>
      </c>
      <c r="J184" s="418"/>
      <c r="K184" s="333"/>
      <c r="L184" s="376"/>
      <c r="M184" s="444"/>
    </row>
    <row r="185" spans="1:13" ht="96" x14ac:dyDescent="0.85">
      <c r="A185" s="523" t="s">
        <v>1895</v>
      </c>
      <c r="B185" s="471" t="s">
        <v>1896</v>
      </c>
      <c r="C185" s="408">
        <v>32044204</v>
      </c>
      <c r="D185" s="408">
        <v>0</v>
      </c>
      <c r="E185" s="352" t="s">
        <v>1903</v>
      </c>
      <c r="F185" s="418" t="s">
        <v>1904</v>
      </c>
      <c r="G185" s="333">
        <v>8</v>
      </c>
      <c r="H185" s="376" t="s">
        <v>1894</v>
      </c>
      <c r="I185" s="444" t="s">
        <v>1858</v>
      </c>
      <c r="J185" s="468"/>
      <c r="K185" s="333"/>
      <c r="L185" s="333"/>
      <c r="M185" s="454"/>
    </row>
    <row r="186" spans="1:13" ht="48" x14ac:dyDescent="0.85">
      <c r="A186" s="503" t="s">
        <v>1895</v>
      </c>
      <c r="B186" s="471" t="s">
        <v>1896</v>
      </c>
      <c r="C186" s="339">
        <v>32045864</v>
      </c>
      <c r="D186" s="339">
        <v>0</v>
      </c>
      <c r="E186" s="311" t="s">
        <v>1905</v>
      </c>
      <c r="F186" s="468" t="s">
        <v>1906</v>
      </c>
      <c r="G186" s="333">
        <v>8</v>
      </c>
      <c r="H186" s="333" t="s">
        <v>1894</v>
      </c>
      <c r="I186" s="454" t="s">
        <v>38</v>
      </c>
      <c r="J186" s="464"/>
      <c r="K186" s="333"/>
      <c r="L186" s="333"/>
      <c r="M186" s="454"/>
    </row>
    <row r="187" spans="1:13" ht="48" x14ac:dyDescent="0.85">
      <c r="A187" s="506" t="s">
        <v>1895</v>
      </c>
      <c r="B187" s="471" t="s">
        <v>1896</v>
      </c>
      <c r="C187" s="339">
        <v>32044888</v>
      </c>
      <c r="D187" s="339">
        <v>0</v>
      </c>
      <c r="E187" s="311" t="s">
        <v>1907</v>
      </c>
      <c r="F187" s="464" t="s">
        <v>1908</v>
      </c>
      <c r="G187" s="333">
        <v>8</v>
      </c>
      <c r="H187" s="333" t="s">
        <v>1894</v>
      </c>
      <c r="I187" s="454" t="s">
        <v>44</v>
      </c>
      <c r="J187" s="416"/>
      <c r="K187" s="333"/>
      <c r="L187" s="333"/>
      <c r="M187" s="454"/>
    </row>
    <row r="188" spans="1:13" ht="72" x14ac:dyDescent="0.85">
      <c r="A188" s="506" t="s">
        <v>1895</v>
      </c>
      <c r="B188" s="471" t="s">
        <v>1896</v>
      </c>
      <c r="C188" s="339">
        <v>32044303</v>
      </c>
      <c r="D188" s="339">
        <v>0</v>
      </c>
      <c r="E188" s="311" t="s">
        <v>1909</v>
      </c>
      <c r="F188" s="416" t="s">
        <v>1910</v>
      </c>
      <c r="G188" s="333">
        <v>8</v>
      </c>
      <c r="H188" s="333" t="s">
        <v>1894</v>
      </c>
      <c r="I188" s="454" t="s">
        <v>47</v>
      </c>
      <c r="J188" s="464"/>
      <c r="K188" s="333"/>
      <c r="L188" s="333"/>
      <c r="M188" s="454"/>
    </row>
    <row r="189" spans="1:13" ht="48" x14ac:dyDescent="0.85">
      <c r="A189" s="503" t="s">
        <v>1895</v>
      </c>
      <c r="B189" s="471" t="s">
        <v>1896</v>
      </c>
      <c r="C189" s="339">
        <v>32045880</v>
      </c>
      <c r="D189" s="339">
        <v>0</v>
      </c>
      <c r="E189" s="311" t="s">
        <v>2330</v>
      </c>
      <c r="F189" s="464" t="s">
        <v>2331</v>
      </c>
      <c r="G189" s="333">
        <v>8</v>
      </c>
      <c r="H189" s="333" t="s">
        <v>1894</v>
      </c>
      <c r="I189" s="454" t="s">
        <v>38</v>
      </c>
      <c r="J189" s="469"/>
      <c r="K189" s="333"/>
      <c r="L189" s="311"/>
      <c r="M189" s="454"/>
    </row>
    <row r="190" spans="1:13" ht="72" x14ac:dyDescent="0.85">
      <c r="A190" s="365" t="s">
        <v>1641</v>
      </c>
      <c r="B190" s="365" t="s">
        <v>1642</v>
      </c>
      <c r="C190" s="339">
        <v>32197848</v>
      </c>
      <c r="D190" s="339" t="s">
        <v>1639</v>
      </c>
      <c r="E190" s="311" t="s">
        <v>1644</v>
      </c>
      <c r="F190" s="469"/>
      <c r="G190" s="333">
        <v>5</v>
      </c>
      <c r="H190" s="311" t="s">
        <v>1640</v>
      </c>
      <c r="I190" s="454" t="s">
        <v>1629</v>
      </c>
      <c r="J190" s="352"/>
      <c r="K190" s="333"/>
      <c r="L190" s="311"/>
      <c r="M190" s="454"/>
    </row>
    <row r="191" spans="1:13" ht="72" x14ac:dyDescent="0.85">
      <c r="A191" s="365" t="s">
        <v>1641</v>
      </c>
      <c r="B191" s="365" t="s">
        <v>1642</v>
      </c>
      <c r="C191" s="339">
        <v>32187878</v>
      </c>
      <c r="D191" s="339" t="s">
        <v>1639</v>
      </c>
      <c r="E191" s="311" t="s">
        <v>1645</v>
      </c>
      <c r="F191" s="352"/>
      <c r="G191" s="333">
        <v>5</v>
      </c>
      <c r="H191" s="311" t="s">
        <v>1640</v>
      </c>
      <c r="I191" s="454" t="s">
        <v>1619</v>
      </c>
      <c r="J191" s="352"/>
      <c r="K191" s="333"/>
      <c r="L191" s="311"/>
      <c r="M191" s="454"/>
    </row>
    <row r="192" spans="1:13" ht="72" x14ac:dyDescent="0.85">
      <c r="A192" s="365" t="s">
        <v>1641</v>
      </c>
      <c r="B192" s="365" t="s">
        <v>1642</v>
      </c>
      <c r="C192" s="339">
        <v>32044581</v>
      </c>
      <c r="D192" s="339" t="s">
        <v>1639</v>
      </c>
      <c r="E192" s="311" t="s">
        <v>1646</v>
      </c>
      <c r="F192" s="352"/>
      <c r="G192" s="333">
        <v>5</v>
      </c>
      <c r="H192" s="311" t="s">
        <v>1640</v>
      </c>
      <c r="I192" s="454" t="s">
        <v>1621</v>
      </c>
      <c r="J192" s="352"/>
      <c r="K192" s="333"/>
      <c r="L192" s="311"/>
      <c r="M192" s="454"/>
    </row>
    <row r="193" spans="1:13" ht="72" x14ac:dyDescent="0.85">
      <c r="A193" s="365" t="s">
        <v>1641</v>
      </c>
      <c r="B193" s="365" t="s">
        <v>1642</v>
      </c>
      <c r="C193" s="339">
        <v>32188000</v>
      </c>
      <c r="D193" s="339" t="s">
        <v>1639</v>
      </c>
      <c r="E193" s="311" t="s">
        <v>1647</v>
      </c>
      <c r="F193" s="352"/>
      <c r="G193" s="333">
        <v>5</v>
      </c>
      <c r="H193" s="311" t="s">
        <v>1640</v>
      </c>
      <c r="I193" s="454" t="s">
        <v>378</v>
      </c>
      <c r="J193" s="524"/>
      <c r="K193" s="433"/>
      <c r="L193" s="517"/>
      <c r="M193" s="518"/>
    </row>
    <row r="194" spans="1:13" ht="72" x14ac:dyDescent="0.85">
      <c r="A194" s="457" t="s">
        <v>5</v>
      </c>
      <c r="B194" s="512" t="s">
        <v>2044</v>
      </c>
      <c r="C194" s="519">
        <v>32144783</v>
      </c>
      <c r="D194" s="519" t="s">
        <v>1991</v>
      </c>
      <c r="E194" s="517" t="s">
        <v>2045</v>
      </c>
      <c r="F194" s="524" t="s">
        <v>2046</v>
      </c>
      <c r="G194" s="433">
        <v>4</v>
      </c>
      <c r="H194" s="517" t="s">
        <v>2042</v>
      </c>
      <c r="I194" s="518" t="s">
        <v>470</v>
      </c>
      <c r="J194" s="524"/>
      <c r="K194" s="433"/>
      <c r="L194" s="517"/>
      <c r="M194" s="518"/>
    </row>
    <row r="195" spans="1:13" ht="72" x14ac:dyDescent="0.85">
      <c r="A195" s="457" t="s">
        <v>5</v>
      </c>
      <c r="B195" s="512" t="s">
        <v>2044</v>
      </c>
      <c r="C195" s="519">
        <v>32044335</v>
      </c>
      <c r="D195" s="519" t="s">
        <v>1991</v>
      </c>
      <c r="E195" s="517" t="s">
        <v>2047</v>
      </c>
      <c r="F195" s="524" t="s">
        <v>2048</v>
      </c>
      <c r="G195" s="433">
        <v>4</v>
      </c>
      <c r="H195" s="517" t="s">
        <v>2042</v>
      </c>
      <c r="I195" s="518" t="s">
        <v>456</v>
      </c>
      <c r="J195" s="524"/>
      <c r="K195" s="433"/>
      <c r="L195" s="517"/>
      <c r="M195" s="518"/>
    </row>
    <row r="196" spans="1:13" ht="72" x14ac:dyDescent="0.85">
      <c r="A196" s="457" t="s">
        <v>5</v>
      </c>
      <c r="B196" s="512" t="s">
        <v>2044</v>
      </c>
      <c r="C196" s="519">
        <v>32045056</v>
      </c>
      <c r="D196" s="519" t="s">
        <v>1991</v>
      </c>
      <c r="E196" s="517" t="s">
        <v>2049</v>
      </c>
      <c r="F196" s="524" t="s">
        <v>2050</v>
      </c>
      <c r="G196" s="433">
        <v>4</v>
      </c>
      <c r="H196" s="517" t="s">
        <v>2042</v>
      </c>
      <c r="I196" s="518" t="s">
        <v>464</v>
      </c>
      <c r="J196" s="524"/>
      <c r="K196" s="433"/>
      <c r="L196" s="517"/>
      <c r="M196" s="518"/>
    </row>
    <row r="197" spans="1:13" ht="72" x14ac:dyDescent="0.85">
      <c r="A197" s="457" t="s">
        <v>5</v>
      </c>
      <c r="B197" s="512" t="s">
        <v>2044</v>
      </c>
      <c r="C197" s="519">
        <v>32045071</v>
      </c>
      <c r="D197" s="519" t="s">
        <v>1991</v>
      </c>
      <c r="E197" s="517" t="s">
        <v>2051</v>
      </c>
      <c r="F197" s="524" t="s">
        <v>2052</v>
      </c>
      <c r="G197" s="433">
        <v>4</v>
      </c>
      <c r="H197" s="517" t="s">
        <v>2042</v>
      </c>
      <c r="I197" s="518" t="s">
        <v>447</v>
      </c>
      <c r="J197" s="464"/>
      <c r="K197" s="333"/>
      <c r="L197" s="333"/>
      <c r="M197" s="454"/>
    </row>
    <row r="198" spans="1:13" ht="48" x14ac:dyDescent="0.85">
      <c r="A198" s="448" t="s">
        <v>1912</v>
      </c>
      <c r="B198" s="471" t="s">
        <v>1913</v>
      </c>
      <c r="C198" s="339">
        <v>32043834</v>
      </c>
      <c r="D198" s="339">
        <v>0</v>
      </c>
      <c r="E198" s="311" t="s">
        <v>1914</v>
      </c>
      <c r="F198" s="464" t="s">
        <v>1915</v>
      </c>
      <c r="G198" s="333">
        <v>10</v>
      </c>
      <c r="H198" s="333" t="s">
        <v>1911</v>
      </c>
      <c r="I198" s="454" t="s">
        <v>44</v>
      </c>
      <c r="J198" s="464"/>
      <c r="K198" s="333"/>
      <c r="L198" s="333"/>
      <c r="M198" s="454"/>
    </row>
    <row r="199" spans="1:13" ht="48" x14ac:dyDescent="0.85">
      <c r="A199" s="448" t="s">
        <v>1912</v>
      </c>
      <c r="B199" s="491" t="s">
        <v>1913</v>
      </c>
      <c r="C199" s="339">
        <v>32045336</v>
      </c>
      <c r="D199" s="339">
        <v>0</v>
      </c>
      <c r="E199" s="311" t="s">
        <v>1916</v>
      </c>
      <c r="F199" s="464" t="s">
        <v>1917</v>
      </c>
      <c r="G199" s="333">
        <v>10</v>
      </c>
      <c r="H199" s="333" t="s">
        <v>1911</v>
      </c>
      <c r="I199" s="454" t="s">
        <v>38</v>
      </c>
      <c r="J199" s="464"/>
      <c r="K199" s="333"/>
      <c r="L199" s="333"/>
      <c r="M199" s="444"/>
    </row>
    <row r="200" spans="1:13" ht="72" x14ac:dyDescent="0.85">
      <c r="A200" s="513" t="s">
        <v>1912</v>
      </c>
      <c r="B200" s="471" t="s">
        <v>1913</v>
      </c>
      <c r="C200" s="339">
        <v>32043751</v>
      </c>
      <c r="D200" s="339">
        <v>0</v>
      </c>
      <c r="E200" s="311" t="s">
        <v>1918</v>
      </c>
      <c r="F200" s="464" t="s">
        <v>1919</v>
      </c>
      <c r="G200" s="333">
        <v>10</v>
      </c>
      <c r="H200" s="333" t="s">
        <v>1911</v>
      </c>
      <c r="I200" s="444" t="s">
        <v>1858</v>
      </c>
      <c r="J200" s="464"/>
      <c r="K200" s="333"/>
      <c r="L200" s="333"/>
      <c r="M200" s="444"/>
    </row>
    <row r="201" spans="1:13" ht="48" x14ac:dyDescent="0.85">
      <c r="A201" s="513" t="s">
        <v>1912</v>
      </c>
      <c r="B201" s="508" t="s">
        <v>1913</v>
      </c>
      <c r="C201" s="502">
        <v>32045705</v>
      </c>
      <c r="D201" s="502">
        <v>0</v>
      </c>
      <c r="E201" s="333" t="s">
        <v>1920</v>
      </c>
      <c r="F201" s="464" t="s">
        <v>1921</v>
      </c>
      <c r="G201" s="333">
        <v>10</v>
      </c>
      <c r="H201" s="333" t="s">
        <v>1911</v>
      </c>
      <c r="I201" s="444" t="s">
        <v>1858</v>
      </c>
      <c r="J201" s="481"/>
      <c r="K201" s="333"/>
      <c r="L201" s="333"/>
      <c r="M201" s="444"/>
    </row>
    <row r="202" spans="1:13" ht="48" x14ac:dyDescent="0.85">
      <c r="A202" s="516" t="s">
        <v>1912</v>
      </c>
      <c r="B202" s="471" t="s">
        <v>1913</v>
      </c>
      <c r="C202" s="339">
        <v>32043737</v>
      </c>
      <c r="D202" s="339">
        <v>0</v>
      </c>
      <c r="E202" s="311" t="s">
        <v>1922</v>
      </c>
      <c r="F202" s="481" t="s">
        <v>1923</v>
      </c>
      <c r="G202" s="333">
        <v>10</v>
      </c>
      <c r="H202" s="333" t="s">
        <v>1911</v>
      </c>
      <c r="I202" s="444" t="s">
        <v>1858</v>
      </c>
      <c r="J202" s="481"/>
      <c r="K202" s="333"/>
      <c r="L202" s="333"/>
      <c r="M202" s="454"/>
    </row>
    <row r="203" spans="1:13" ht="48" x14ac:dyDescent="0.85">
      <c r="A203" s="516" t="s">
        <v>1912</v>
      </c>
      <c r="B203" s="471" t="s">
        <v>1913</v>
      </c>
      <c r="C203" s="339">
        <v>32045786</v>
      </c>
      <c r="D203" s="339">
        <v>0</v>
      </c>
      <c r="E203" s="311" t="s">
        <v>1924</v>
      </c>
      <c r="F203" s="481" t="s">
        <v>1925</v>
      </c>
      <c r="G203" s="333">
        <v>10</v>
      </c>
      <c r="H203" s="333" t="s">
        <v>1911</v>
      </c>
      <c r="I203" s="454" t="s">
        <v>35</v>
      </c>
      <c r="J203" s="481"/>
      <c r="K203" s="333"/>
      <c r="L203" s="333"/>
      <c r="M203" s="444"/>
    </row>
    <row r="204" spans="1:13" ht="48" x14ac:dyDescent="0.85">
      <c r="A204" s="516" t="s">
        <v>1912</v>
      </c>
      <c r="B204" s="471" t="s">
        <v>1913</v>
      </c>
      <c r="C204" s="339">
        <v>32045497</v>
      </c>
      <c r="D204" s="339">
        <v>0</v>
      </c>
      <c r="E204" s="311" t="s">
        <v>1926</v>
      </c>
      <c r="F204" s="481" t="s">
        <v>1927</v>
      </c>
      <c r="G204" s="333">
        <v>10</v>
      </c>
      <c r="H204" s="333" t="s">
        <v>1911</v>
      </c>
      <c r="I204" s="444" t="s">
        <v>1858</v>
      </c>
      <c r="J204" s="464"/>
      <c r="K204" s="333"/>
      <c r="L204" s="333"/>
      <c r="M204" s="454"/>
    </row>
    <row r="205" spans="1:13" ht="72" x14ac:dyDescent="0.85">
      <c r="A205" s="516" t="s">
        <v>1912</v>
      </c>
      <c r="B205" s="471" t="s">
        <v>1913</v>
      </c>
      <c r="C205" s="339">
        <v>32094845</v>
      </c>
      <c r="D205" s="339">
        <v>0</v>
      </c>
      <c r="E205" s="311" t="s">
        <v>1928</v>
      </c>
      <c r="F205" s="464" t="s">
        <v>1929</v>
      </c>
      <c r="G205" s="333">
        <v>10</v>
      </c>
      <c r="H205" s="333" t="s">
        <v>1911</v>
      </c>
      <c r="I205" s="454" t="s">
        <v>35</v>
      </c>
      <c r="J205" s="464"/>
      <c r="K205" s="333"/>
      <c r="L205" s="333"/>
      <c r="M205" s="454"/>
    </row>
    <row r="206" spans="1:13" ht="48" x14ac:dyDescent="0.85">
      <c r="A206" s="513" t="s">
        <v>1912</v>
      </c>
      <c r="B206" s="471" t="s">
        <v>1913</v>
      </c>
      <c r="C206" s="339">
        <v>32044432</v>
      </c>
      <c r="D206" s="339">
        <v>0</v>
      </c>
      <c r="E206" s="311" t="s">
        <v>1930</v>
      </c>
      <c r="F206" s="464" t="s">
        <v>1931</v>
      </c>
      <c r="G206" s="333">
        <v>10</v>
      </c>
      <c r="H206" s="333" t="s">
        <v>1911</v>
      </c>
      <c r="I206" s="454" t="s">
        <v>38</v>
      </c>
      <c r="J206" s="464"/>
      <c r="K206" s="333"/>
      <c r="L206" s="333"/>
      <c r="M206" s="454"/>
    </row>
    <row r="207" spans="1:13" ht="48" x14ac:dyDescent="0.85">
      <c r="A207" s="516" t="s">
        <v>1912</v>
      </c>
      <c r="B207" s="471" t="s">
        <v>1913</v>
      </c>
      <c r="C207" s="339">
        <v>32044261</v>
      </c>
      <c r="D207" s="339">
        <v>0</v>
      </c>
      <c r="E207" s="311" t="s">
        <v>1932</v>
      </c>
      <c r="F207" s="464" t="s">
        <v>1933</v>
      </c>
      <c r="G207" s="333">
        <v>10</v>
      </c>
      <c r="H207" s="333" t="s">
        <v>1911</v>
      </c>
      <c r="I207" s="454" t="s">
        <v>47</v>
      </c>
      <c r="J207" s="464"/>
      <c r="K207" s="333"/>
      <c r="L207" s="481"/>
      <c r="M207" s="454"/>
    </row>
    <row r="208" spans="1:13" ht="72" x14ac:dyDescent="0.85">
      <c r="A208" s="506" t="s">
        <v>331</v>
      </c>
      <c r="B208" s="471" t="s">
        <v>332</v>
      </c>
      <c r="C208" s="384">
        <v>32202297</v>
      </c>
      <c r="D208" s="384">
        <v>0</v>
      </c>
      <c r="E208" s="311" t="s">
        <v>333</v>
      </c>
      <c r="F208" s="464" t="s">
        <v>334</v>
      </c>
      <c r="G208" s="333">
        <v>9</v>
      </c>
      <c r="H208" s="481" t="s">
        <v>330</v>
      </c>
      <c r="I208" s="454" t="s">
        <v>47</v>
      </c>
      <c r="J208" s="525"/>
      <c r="K208" s="333"/>
      <c r="L208" s="525"/>
      <c r="M208" s="444"/>
    </row>
    <row r="209" spans="1:13" ht="72" x14ac:dyDescent="0.85">
      <c r="A209" s="523" t="s">
        <v>331</v>
      </c>
      <c r="B209" s="471" t="s">
        <v>332</v>
      </c>
      <c r="C209" s="385">
        <v>32044037</v>
      </c>
      <c r="D209" s="385">
        <v>0</v>
      </c>
      <c r="E209" s="352" t="s">
        <v>335</v>
      </c>
      <c r="F209" s="525" t="s">
        <v>336</v>
      </c>
      <c r="G209" s="333">
        <v>9</v>
      </c>
      <c r="H209" s="525" t="s">
        <v>330</v>
      </c>
      <c r="I209" s="444" t="s">
        <v>41</v>
      </c>
      <c r="J209" s="481"/>
      <c r="K209" s="333"/>
      <c r="L209" s="481"/>
      <c r="M209" s="454"/>
    </row>
    <row r="210" spans="1:13" ht="72" x14ac:dyDescent="0.85">
      <c r="A210" s="497" t="s">
        <v>331</v>
      </c>
      <c r="B210" s="471" t="s">
        <v>332</v>
      </c>
      <c r="C210" s="384">
        <v>32044839</v>
      </c>
      <c r="D210" s="384">
        <v>0</v>
      </c>
      <c r="E210" s="311" t="s">
        <v>337</v>
      </c>
      <c r="F210" s="481" t="s">
        <v>338</v>
      </c>
      <c r="G210" s="333">
        <v>9</v>
      </c>
      <c r="H210" s="481" t="s">
        <v>330</v>
      </c>
      <c r="I210" s="454" t="s">
        <v>56</v>
      </c>
      <c r="J210" s="464"/>
      <c r="K210" s="333"/>
      <c r="L210" s="481"/>
      <c r="M210" s="454"/>
    </row>
    <row r="211" spans="1:13" ht="72" x14ac:dyDescent="0.85">
      <c r="A211" s="497" t="s">
        <v>331</v>
      </c>
      <c r="B211" s="471" t="s">
        <v>332</v>
      </c>
      <c r="C211" s="384">
        <v>32045510</v>
      </c>
      <c r="D211" s="384">
        <v>0</v>
      </c>
      <c r="E211" s="311" t="s">
        <v>339</v>
      </c>
      <c r="F211" s="464" t="s">
        <v>340</v>
      </c>
      <c r="G211" s="333">
        <v>9</v>
      </c>
      <c r="H211" s="481" t="s">
        <v>330</v>
      </c>
      <c r="I211" s="454" t="s">
        <v>47</v>
      </c>
      <c r="J211" s="464"/>
      <c r="K211" s="333"/>
      <c r="L211" s="481"/>
      <c r="M211" s="454"/>
    </row>
    <row r="212" spans="1:13" ht="72" x14ac:dyDescent="0.85">
      <c r="A212" s="497" t="s">
        <v>331</v>
      </c>
      <c r="B212" s="471" t="s">
        <v>332</v>
      </c>
      <c r="C212" s="384">
        <v>32045004</v>
      </c>
      <c r="D212" s="384">
        <v>0</v>
      </c>
      <c r="E212" s="311" t="s">
        <v>341</v>
      </c>
      <c r="F212" s="464" t="s">
        <v>342</v>
      </c>
      <c r="G212" s="333">
        <v>9</v>
      </c>
      <c r="H212" s="481" t="s">
        <v>330</v>
      </c>
      <c r="I212" s="454" t="s">
        <v>38</v>
      </c>
      <c r="J212" s="464"/>
      <c r="K212" s="333"/>
      <c r="L212" s="481"/>
      <c r="M212" s="454"/>
    </row>
    <row r="213" spans="1:13" ht="72" x14ac:dyDescent="0.85">
      <c r="A213" s="497" t="s">
        <v>331</v>
      </c>
      <c r="B213" s="471" t="s">
        <v>332</v>
      </c>
      <c r="C213" s="384">
        <v>32137247</v>
      </c>
      <c r="D213" s="384">
        <v>0</v>
      </c>
      <c r="E213" s="311" t="s">
        <v>343</v>
      </c>
      <c r="F213" s="464" t="s">
        <v>344</v>
      </c>
      <c r="G213" s="333">
        <v>9</v>
      </c>
      <c r="H213" s="481" t="s">
        <v>330</v>
      </c>
      <c r="I213" s="454" t="s">
        <v>47</v>
      </c>
      <c r="J213" s="469"/>
      <c r="K213" s="333"/>
      <c r="L213" s="481"/>
      <c r="M213" s="454"/>
    </row>
    <row r="214" spans="1:13" ht="72" x14ac:dyDescent="0.85">
      <c r="A214" s="503" t="s">
        <v>331</v>
      </c>
      <c r="B214" s="511" t="s">
        <v>332</v>
      </c>
      <c r="C214" s="384">
        <v>32197427</v>
      </c>
      <c r="D214" s="384">
        <v>0</v>
      </c>
      <c r="E214" s="311" t="s">
        <v>345</v>
      </c>
      <c r="F214" s="469" t="s">
        <v>61</v>
      </c>
      <c r="G214" s="333">
        <v>9</v>
      </c>
      <c r="H214" s="481" t="s">
        <v>330</v>
      </c>
      <c r="I214" s="454" t="s">
        <v>179</v>
      </c>
      <c r="J214" s="464"/>
      <c r="K214" s="333"/>
      <c r="L214" s="481"/>
      <c r="M214" s="454"/>
    </row>
    <row r="215" spans="1:13" ht="72" x14ac:dyDescent="0.85">
      <c r="A215" s="503" t="s">
        <v>331</v>
      </c>
      <c r="B215" s="511" t="s">
        <v>332</v>
      </c>
      <c r="C215" s="384">
        <v>32209189</v>
      </c>
      <c r="D215" s="384">
        <v>0</v>
      </c>
      <c r="E215" s="311" t="s">
        <v>346</v>
      </c>
      <c r="F215" s="464" t="s">
        <v>347</v>
      </c>
      <c r="G215" s="333">
        <v>9</v>
      </c>
      <c r="H215" s="481" t="s">
        <v>330</v>
      </c>
      <c r="I215" s="454" t="s">
        <v>35</v>
      </c>
      <c r="J215" s="468"/>
      <c r="K215" s="333"/>
      <c r="L215" s="481"/>
      <c r="M215" s="454"/>
    </row>
    <row r="216" spans="1:13" ht="72" x14ac:dyDescent="0.85">
      <c r="A216" s="501" t="s">
        <v>331</v>
      </c>
      <c r="B216" s="471" t="s">
        <v>332</v>
      </c>
      <c r="C216" s="384">
        <v>32045409</v>
      </c>
      <c r="D216" s="384">
        <v>0</v>
      </c>
      <c r="E216" s="311" t="s">
        <v>348</v>
      </c>
      <c r="F216" s="468" t="s">
        <v>349</v>
      </c>
      <c r="G216" s="333">
        <v>9</v>
      </c>
      <c r="H216" s="481" t="s">
        <v>330</v>
      </c>
      <c r="I216" s="454" t="s">
        <v>44</v>
      </c>
      <c r="J216" s="464"/>
      <c r="K216" s="333"/>
      <c r="L216" s="333"/>
      <c r="M216" s="454"/>
    </row>
    <row r="217" spans="1:13" ht="72" x14ac:dyDescent="0.85">
      <c r="A217" s="377" t="s">
        <v>1650</v>
      </c>
      <c r="B217" s="508" t="s">
        <v>1651</v>
      </c>
      <c r="C217" s="504">
        <v>32043715</v>
      </c>
      <c r="D217" s="505" t="s">
        <v>1648</v>
      </c>
      <c r="E217" s="471" t="s">
        <v>1652</v>
      </c>
      <c r="F217" s="464"/>
      <c r="G217" s="333">
        <v>10</v>
      </c>
      <c r="H217" s="333" t="s">
        <v>1649</v>
      </c>
      <c r="I217" s="454" t="s">
        <v>1</v>
      </c>
      <c r="J217" s="481"/>
      <c r="K217" s="333"/>
      <c r="L217" s="333"/>
      <c r="M217" s="454"/>
    </row>
    <row r="218" spans="1:13" ht="72" x14ac:dyDescent="0.85">
      <c r="A218" s="377" t="s">
        <v>1650</v>
      </c>
      <c r="B218" s="471" t="s">
        <v>1651</v>
      </c>
      <c r="C218" s="526">
        <v>32046166</v>
      </c>
      <c r="D218" s="505" t="s">
        <v>1648</v>
      </c>
      <c r="E218" s="471" t="s">
        <v>1653</v>
      </c>
      <c r="F218" s="481"/>
      <c r="G218" s="333">
        <v>10</v>
      </c>
      <c r="H218" s="333" t="s">
        <v>1649</v>
      </c>
      <c r="I218" s="454" t="s">
        <v>62</v>
      </c>
      <c r="J218" s="481"/>
      <c r="K218" s="333"/>
      <c r="L218" s="333"/>
      <c r="M218" s="454"/>
    </row>
    <row r="219" spans="1:13" ht="48" x14ac:dyDescent="0.85">
      <c r="A219" s="377" t="s">
        <v>1650</v>
      </c>
      <c r="B219" s="471" t="s">
        <v>1651</v>
      </c>
      <c r="C219" s="526">
        <v>32057881</v>
      </c>
      <c r="D219" s="505" t="s">
        <v>1648</v>
      </c>
      <c r="E219" s="471" t="s">
        <v>1654</v>
      </c>
      <c r="F219" s="481"/>
      <c r="G219" s="333">
        <v>10</v>
      </c>
      <c r="H219" s="333" t="s">
        <v>1649</v>
      </c>
      <c r="I219" s="454" t="s">
        <v>260</v>
      </c>
      <c r="J219" s="464"/>
      <c r="K219" s="333"/>
      <c r="L219" s="333"/>
      <c r="M219" s="454"/>
    </row>
    <row r="220" spans="1:13" ht="48" x14ac:dyDescent="0.85">
      <c r="A220" s="377" t="s">
        <v>1650</v>
      </c>
      <c r="B220" s="471" t="s">
        <v>1651</v>
      </c>
      <c r="C220" s="526">
        <v>32044576</v>
      </c>
      <c r="D220" s="505" t="s">
        <v>1648</v>
      </c>
      <c r="E220" s="471" t="s">
        <v>1655</v>
      </c>
      <c r="F220" s="464"/>
      <c r="G220" s="333">
        <v>10</v>
      </c>
      <c r="H220" s="333" t="s">
        <v>1649</v>
      </c>
      <c r="I220" s="454" t="s">
        <v>44</v>
      </c>
      <c r="J220" s="469"/>
      <c r="K220" s="333"/>
      <c r="L220" s="333"/>
      <c r="M220" s="444"/>
    </row>
    <row r="221" spans="1:13" ht="48" x14ac:dyDescent="0.85">
      <c r="A221" s="377" t="s">
        <v>1650</v>
      </c>
      <c r="B221" s="471" t="s">
        <v>1651</v>
      </c>
      <c r="C221" s="526">
        <v>32046425</v>
      </c>
      <c r="D221" s="505" t="s">
        <v>1648</v>
      </c>
      <c r="E221" s="471" t="s">
        <v>1656</v>
      </c>
      <c r="F221" s="469"/>
      <c r="G221" s="333">
        <v>10</v>
      </c>
      <c r="H221" s="333" t="s">
        <v>1649</v>
      </c>
      <c r="I221" s="444" t="s">
        <v>1584</v>
      </c>
      <c r="J221" s="469"/>
      <c r="K221" s="333"/>
      <c r="L221" s="333"/>
      <c r="M221" s="454"/>
    </row>
    <row r="222" spans="1:13" ht="72" x14ac:dyDescent="0.85">
      <c r="A222" s="377" t="s">
        <v>1650</v>
      </c>
      <c r="B222" s="471" t="s">
        <v>1651</v>
      </c>
      <c r="C222" s="526">
        <v>32046191</v>
      </c>
      <c r="D222" s="505" t="s">
        <v>1648</v>
      </c>
      <c r="E222" s="471" t="s">
        <v>1657</v>
      </c>
      <c r="F222" s="469"/>
      <c r="G222" s="333">
        <v>10</v>
      </c>
      <c r="H222" s="333" t="s">
        <v>1649</v>
      </c>
      <c r="I222" s="454" t="s">
        <v>1</v>
      </c>
      <c r="J222" s="469"/>
      <c r="K222" s="333"/>
      <c r="L222" s="333"/>
      <c r="M222" s="454"/>
    </row>
    <row r="223" spans="1:13" ht="72" x14ac:dyDescent="0.85">
      <c r="A223" s="377" t="s">
        <v>1650</v>
      </c>
      <c r="B223" s="511" t="s">
        <v>1651</v>
      </c>
      <c r="C223" s="526">
        <v>32046444</v>
      </c>
      <c r="D223" s="505" t="s">
        <v>1648</v>
      </c>
      <c r="E223" s="471" t="s">
        <v>1658</v>
      </c>
      <c r="F223" s="469"/>
      <c r="G223" s="333">
        <v>10</v>
      </c>
      <c r="H223" s="333" t="s">
        <v>1649</v>
      </c>
      <c r="I223" s="454" t="s">
        <v>47</v>
      </c>
      <c r="J223" s="464"/>
      <c r="K223" s="333"/>
      <c r="L223" s="333"/>
      <c r="M223" s="454"/>
    </row>
    <row r="224" spans="1:13" ht="72" x14ac:dyDescent="0.85">
      <c r="A224" s="377" t="s">
        <v>1650</v>
      </c>
      <c r="B224" s="511" t="s">
        <v>1651</v>
      </c>
      <c r="C224" s="526">
        <v>32045981</v>
      </c>
      <c r="D224" s="505" t="s">
        <v>1648</v>
      </c>
      <c r="E224" s="471" t="s">
        <v>1659</v>
      </c>
      <c r="F224" s="464"/>
      <c r="G224" s="333">
        <v>10</v>
      </c>
      <c r="H224" s="333" t="s">
        <v>1649</v>
      </c>
      <c r="I224" s="454" t="s">
        <v>35</v>
      </c>
      <c r="J224" s="481"/>
      <c r="K224" s="333"/>
      <c r="L224" s="333"/>
      <c r="M224" s="454"/>
    </row>
    <row r="225" spans="1:13" ht="48" x14ac:dyDescent="0.85">
      <c r="A225" s="377" t="s">
        <v>1650</v>
      </c>
      <c r="B225" s="491" t="s">
        <v>1651</v>
      </c>
      <c r="C225" s="526">
        <v>32045252</v>
      </c>
      <c r="D225" s="505" t="s">
        <v>1648</v>
      </c>
      <c r="E225" s="471" t="s">
        <v>1660</v>
      </c>
      <c r="F225" s="481"/>
      <c r="G225" s="333">
        <v>10</v>
      </c>
      <c r="H225" s="333" t="s">
        <v>1649</v>
      </c>
      <c r="I225" s="454" t="s">
        <v>260</v>
      </c>
      <c r="J225" s="469"/>
      <c r="K225" s="333"/>
      <c r="L225" s="333"/>
      <c r="M225" s="454"/>
    </row>
    <row r="226" spans="1:13" ht="48" x14ac:dyDescent="0.85">
      <c r="A226" s="458" t="s">
        <v>151</v>
      </c>
      <c r="B226" s="471" t="s">
        <v>152</v>
      </c>
      <c r="C226" s="526">
        <v>32046448</v>
      </c>
      <c r="D226" s="527" t="s">
        <v>83</v>
      </c>
      <c r="E226" s="528" t="s">
        <v>2332</v>
      </c>
      <c r="F226" s="469" t="s">
        <v>61</v>
      </c>
      <c r="G226" s="333">
        <v>6</v>
      </c>
      <c r="H226" s="333" t="s">
        <v>150</v>
      </c>
      <c r="I226" s="454" t="s">
        <v>72</v>
      </c>
      <c r="J226" s="468"/>
      <c r="K226" s="333"/>
      <c r="L226" s="333"/>
      <c r="M226" s="454"/>
    </row>
    <row r="227" spans="1:13" ht="48" x14ac:dyDescent="0.85">
      <c r="A227" s="450" t="s">
        <v>151</v>
      </c>
      <c r="B227" s="508" t="s">
        <v>152</v>
      </c>
      <c r="C227" s="526">
        <v>32229592</v>
      </c>
      <c r="D227" s="527" t="s">
        <v>83</v>
      </c>
      <c r="E227" s="528" t="s">
        <v>2333</v>
      </c>
      <c r="F227" s="468" t="s">
        <v>155</v>
      </c>
      <c r="G227" s="333">
        <v>6</v>
      </c>
      <c r="H227" s="333" t="s">
        <v>150</v>
      </c>
      <c r="I227" s="454" t="s">
        <v>35</v>
      </c>
      <c r="J227" s="481"/>
      <c r="K227" s="333"/>
      <c r="L227" s="333"/>
      <c r="M227" s="454"/>
    </row>
    <row r="228" spans="1:13" ht="48" x14ac:dyDescent="0.85">
      <c r="A228" s="450" t="s">
        <v>151</v>
      </c>
      <c r="B228" s="471" t="s">
        <v>152</v>
      </c>
      <c r="C228" s="339">
        <v>32044760</v>
      </c>
      <c r="D228" s="339" t="s">
        <v>83</v>
      </c>
      <c r="E228" s="311" t="s">
        <v>156</v>
      </c>
      <c r="F228" s="481" t="s">
        <v>61</v>
      </c>
      <c r="G228" s="333">
        <v>6</v>
      </c>
      <c r="H228" s="333" t="s">
        <v>150</v>
      </c>
      <c r="I228" s="454" t="s">
        <v>44</v>
      </c>
      <c r="J228" s="481"/>
      <c r="K228" s="333"/>
      <c r="L228" s="333"/>
      <c r="M228" s="454"/>
    </row>
    <row r="229" spans="1:13" ht="72" x14ac:dyDescent="0.85">
      <c r="A229" s="451" t="s">
        <v>151</v>
      </c>
      <c r="B229" s="471" t="s">
        <v>152</v>
      </c>
      <c r="C229" s="339">
        <v>32197834</v>
      </c>
      <c r="D229" s="339" t="s">
        <v>83</v>
      </c>
      <c r="E229" s="311" t="s">
        <v>157</v>
      </c>
      <c r="F229" s="481" t="s">
        <v>158</v>
      </c>
      <c r="G229" s="333">
        <v>6</v>
      </c>
      <c r="H229" s="333" t="s">
        <v>150</v>
      </c>
      <c r="I229" s="454" t="s">
        <v>47</v>
      </c>
      <c r="J229" s="468"/>
      <c r="K229" s="333"/>
      <c r="L229" s="333"/>
      <c r="M229" s="454"/>
    </row>
    <row r="230" spans="1:13" ht="48" x14ac:dyDescent="0.85">
      <c r="A230" s="450" t="s">
        <v>151</v>
      </c>
      <c r="B230" s="471" t="s">
        <v>152</v>
      </c>
      <c r="C230" s="339">
        <v>32044751</v>
      </c>
      <c r="D230" s="339" t="s">
        <v>83</v>
      </c>
      <c r="E230" s="311" t="s">
        <v>2334</v>
      </c>
      <c r="F230" s="468" t="s">
        <v>160</v>
      </c>
      <c r="G230" s="333">
        <v>6</v>
      </c>
      <c r="H230" s="333" t="s">
        <v>150</v>
      </c>
      <c r="I230" s="454" t="s">
        <v>38</v>
      </c>
      <c r="J230" s="468"/>
      <c r="K230" s="333"/>
      <c r="L230" s="333"/>
      <c r="M230" s="454"/>
    </row>
    <row r="231" spans="1:13" ht="48" x14ac:dyDescent="0.85">
      <c r="A231" s="450" t="s">
        <v>151</v>
      </c>
      <c r="B231" s="471" t="s">
        <v>152</v>
      </c>
      <c r="C231" s="339">
        <v>32045149</v>
      </c>
      <c r="D231" s="339" t="s">
        <v>83</v>
      </c>
      <c r="E231" s="311" t="s">
        <v>161</v>
      </c>
      <c r="F231" s="468" t="s">
        <v>162</v>
      </c>
      <c r="G231" s="333">
        <v>6</v>
      </c>
      <c r="H231" s="333" t="s">
        <v>150</v>
      </c>
      <c r="I231" s="454" t="s">
        <v>47</v>
      </c>
      <c r="J231" s="464"/>
      <c r="K231" s="333"/>
      <c r="L231" s="525"/>
      <c r="M231" s="444"/>
    </row>
    <row r="232" spans="1:13" ht="48" x14ac:dyDescent="0.85">
      <c r="A232" s="459" t="s">
        <v>351</v>
      </c>
      <c r="B232" s="471" t="s">
        <v>352</v>
      </c>
      <c r="C232" s="385">
        <v>32148846</v>
      </c>
      <c r="D232" s="385">
        <v>0</v>
      </c>
      <c r="E232" s="352" t="s">
        <v>353</v>
      </c>
      <c r="F232" s="464" t="s">
        <v>354</v>
      </c>
      <c r="G232" s="333">
        <v>5</v>
      </c>
      <c r="H232" s="525" t="s">
        <v>350</v>
      </c>
      <c r="I232" s="444" t="s">
        <v>44</v>
      </c>
      <c r="J232" s="481"/>
      <c r="K232" s="333"/>
      <c r="L232" s="481"/>
      <c r="M232" s="454"/>
    </row>
    <row r="233" spans="1:13" ht="48" x14ac:dyDescent="0.85">
      <c r="A233" s="456" t="s">
        <v>351</v>
      </c>
      <c r="B233" s="471" t="s">
        <v>352</v>
      </c>
      <c r="C233" s="384">
        <v>32188007</v>
      </c>
      <c r="D233" s="384">
        <v>0</v>
      </c>
      <c r="E233" s="311" t="s">
        <v>355</v>
      </c>
      <c r="F233" s="481" t="s">
        <v>356</v>
      </c>
      <c r="G233" s="333">
        <v>5</v>
      </c>
      <c r="H233" s="481" t="s">
        <v>350</v>
      </c>
      <c r="I233" s="454" t="s">
        <v>38</v>
      </c>
      <c r="J233" s="464"/>
      <c r="K233" s="333"/>
      <c r="L233" s="481"/>
      <c r="M233" s="454"/>
    </row>
    <row r="234" spans="1:13" ht="72" x14ac:dyDescent="0.85">
      <c r="A234" s="456" t="s">
        <v>351</v>
      </c>
      <c r="B234" s="471" t="s">
        <v>352</v>
      </c>
      <c r="C234" s="384">
        <v>32132055</v>
      </c>
      <c r="D234" s="384">
        <v>0</v>
      </c>
      <c r="E234" s="311" t="s">
        <v>357</v>
      </c>
      <c r="F234" s="464" t="s">
        <v>358</v>
      </c>
      <c r="G234" s="333">
        <v>5</v>
      </c>
      <c r="H234" s="481" t="s">
        <v>350</v>
      </c>
      <c r="I234" s="454" t="s">
        <v>47</v>
      </c>
      <c r="J234" s="464"/>
      <c r="K234" s="333"/>
      <c r="L234" s="481"/>
      <c r="M234" s="454"/>
    </row>
    <row r="235" spans="1:13" ht="48" x14ac:dyDescent="0.85">
      <c r="A235" s="459" t="s">
        <v>351</v>
      </c>
      <c r="B235" s="491" t="s">
        <v>352</v>
      </c>
      <c r="C235" s="384">
        <v>32132194</v>
      </c>
      <c r="D235" s="384">
        <v>0</v>
      </c>
      <c r="E235" s="311" t="s">
        <v>359</v>
      </c>
      <c r="F235" s="464" t="s">
        <v>360</v>
      </c>
      <c r="G235" s="333">
        <v>5</v>
      </c>
      <c r="H235" s="481" t="s">
        <v>350</v>
      </c>
      <c r="I235" s="454" t="s">
        <v>41</v>
      </c>
      <c r="J235" s="464"/>
      <c r="K235" s="333"/>
      <c r="L235" s="481"/>
      <c r="M235" s="454"/>
    </row>
    <row r="236" spans="1:13" ht="48" x14ac:dyDescent="0.85">
      <c r="A236" s="456" t="s">
        <v>351</v>
      </c>
      <c r="B236" s="471" t="s">
        <v>352</v>
      </c>
      <c r="C236" s="384">
        <v>32177483</v>
      </c>
      <c r="D236" s="384">
        <v>0</v>
      </c>
      <c r="E236" s="311" t="s">
        <v>361</v>
      </c>
      <c r="F236" s="464" t="s">
        <v>362</v>
      </c>
      <c r="G236" s="333">
        <v>5</v>
      </c>
      <c r="H236" s="481" t="s">
        <v>350</v>
      </c>
      <c r="I236" s="454" t="s">
        <v>35</v>
      </c>
      <c r="J236" s="416"/>
      <c r="K236" s="333"/>
      <c r="L236" s="333"/>
      <c r="M236" s="454"/>
    </row>
    <row r="237" spans="1:13" ht="72" x14ac:dyDescent="0.85">
      <c r="A237" s="516" t="s">
        <v>2335</v>
      </c>
      <c r="B237" s="508" t="s">
        <v>166</v>
      </c>
      <c r="C237" s="339">
        <v>32045952</v>
      </c>
      <c r="D237" s="339">
        <v>0</v>
      </c>
      <c r="E237" s="311" t="s">
        <v>167</v>
      </c>
      <c r="F237" s="416" t="s">
        <v>168</v>
      </c>
      <c r="G237" s="333">
        <v>15</v>
      </c>
      <c r="H237" s="333" t="s">
        <v>164</v>
      </c>
      <c r="I237" s="454" t="s">
        <v>47</v>
      </c>
      <c r="J237" s="468"/>
      <c r="K237" s="333"/>
      <c r="L237" s="333"/>
      <c r="M237" s="454"/>
    </row>
    <row r="238" spans="1:13" ht="72" x14ac:dyDescent="0.85">
      <c r="A238" s="516" t="s">
        <v>2335</v>
      </c>
      <c r="B238" s="511" t="s">
        <v>166</v>
      </c>
      <c r="C238" s="339">
        <v>32044478</v>
      </c>
      <c r="D238" s="339">
        <v>0</v>
      </c>
      <c r="E238" s="311" t="s">
        <v>169</v>
      </c>
      <c r="F238" s="468" t="s">
        <v>170</v>
      </c>
      <c r="G238" s="333">
        <v>15</v>
      </c>
      <c r="H238" s="333" t="s">
        <v>164</v>
      </c>
      <c r="I238" s="454" t="s">
        <v>44</v>
      </c>
      <c r="J238" s="481"/>
      <c r="K238" s="333"/>
      <c r="L238" s="333"/>
      <c r="M238" s="454"/>
    </row>
    <row r="239" spans="1:13" ht="72" x14ac:dyDescent="0.85">
      <c r="A239" s="516" t="s">
        <v>2335</v>
      </c>
      <c r="B239" s="511" t="s">
        <v>166</v>
      </c>
      <c r="C239" s="339">
        <v>32146005</v>
      </c>
      <c r="D239" s="339">
        <v>0</v>
      </c>
      <c r="E239" s="311" t="s">
        <v>171</v>
      </c>
      <c r="F239" s="481" t="s">
        <v>172</v>
      </c>
      <c r="G239" s="333">
        <v>15</v>
      </c>
      <c r="H239" s="333" t="s">
        <v>164</v>
      </c>
      <c r="I239" s="454" t="s">
        <v>41</v>
      </c>
      <c r="J239" s="464"/>
      <c r="K239" s="333"/>
      <c r="L239" s="333"/>
      <c r="M239" s="454"/>
    </row>
    <row r="240" spans="1:13" ht="72" x14ac:dyDescent="0.85">
      <c r="A240" s="448" t="s">
        <v>2335</v>
      </c>
      <c r="B240" s="471" t="s">
        <v>166</v>
      </c>
      <c r="C240" s="339">
        <v>32219006</v>
      </c>
      <c r="D240" s="339">
        <v>0</v>
      </c>
      <c r="E240" s="311" t="s">
        <v>173</v>
      </c>
      <c r="F240" s="464" t="s">
        <v>174</v>
      </c>
      <c r="G240" s="333">
        <v>15</v>
      </c>
      <c r="H240" s="333" t="s">
        <v>164</v>
      </c>
      <c r="I240" s="454" t="s">
        <v>44</v>
      </c>
      <c r="J240" s="464"/>
      <c r="K240" s="333"/>
      <c r="L240" s="333"/>
      <c r="M240" s="454"/>
    </row>
    <row r="241" spans="1:13" ht="72" x14ac:dyDescent="0.85">
      <c r="A241" s="448" t="s">
        <v>2335</v>
      </c>
      <c r="B241" s="508" t="s">
        <v>166</v>
      </c>
      <c r="C241" s="339">
        <v>32199794</v>
      </c>
      <c r="D241" s="339">
        <v>0</v>
      </c>
      <c r="E241" s="311" t="s">
        <v>175</v>
      </c>
      <c r="F241" s="464" t="s">
        <v>176</v>
      </c>
      <c r="G241" s="333">
        <v>15</v>
      </c>
      <c r="H241" s="333" t="s">
        <v>164</v>
      </c>
      <c r="I241" s="454" t="s">
        <v>41</v>
      </c>
      <c r="J241" s="416"/>
      <c r="K241" s="333"/>
      <c r="L241" s="333"/>
      <c r="M241" s="454"/>
    </row>
    <row r="242" spans="1:13" ht="72" x14ac:dyDescent="0.85">
      <c r="A242" s="448" t="s">
        <v>2335</v>
      </c>
      <c r="B242" s="491" t="s">
        <v>166</v>
      </c>
      <c r="C242" s="339">
        <v>32045043</v>
      </c>
      <c r="D242" s="339">
        <v>0</v>
      </c>
      <c r="E242" s="311" t="s">
        <v>177</v>
      </c>
      <c r="F242" s="416" t="s">
        <v>178</v>
      </c>
      <c r="G242" s="333">
        <v>15</v>
      </c>
      <c r="H242" s="333" t="s">
        <v>164</v>
      </c>
      <c r="I242" s="454" t="s">
        <v>179</v>
      </c>
      <c r="J242" s="468"/>
      <c r="K242" s="333"/>
      <c r="L242" s="333"/>
      <c r="M242" s="454"/>
    </row>
    <row r="243" spans="1:13" ht="72" x14ac:dyDescent="0.85">
      <c r="A243" s="516" t="s">
        <v>2335</v>
      </c>
      <c r="B243" s="471" t="s">
        <v>166</v>
      </c>
      <c r="C243" s="339">
        <v>32045769</v>
      </c>
      <c r="D243" s="339">
        <v>0</v>
      </c>
      <c r="E243" s="311" t="s">
        <v>180</v>
      </c>
      <c r="F243" s="468" t="s">
        <v>181</v>
      </c>
      <c r="G243" s="333">
        <v>15</v>
      </c>
      <c r="H243" s="333" t="s">
        <v>164</v>
      </c>
      <c r="I243" s="454" t="s">
        <v>35</v>
      </c>
      <c r="J243" s="464"/>
      <c r="K243" s="333"/>
      <c r="L243" s="333"/>
      <c r="M243" s="454"/>
    </row>
    <row r="244" spans="1:13" ht="72" x14ac:dyDescent="0.85">
      <c r="A244" s="448" t="s">
        <v>2335</v>
      </c>
      <c r="B244" s="508" t="s">
        <v>166</v>
      </c>
      <c r="C244" s="339">
        <v>32044789</v>
      </c>
      <c r="D244" s="339">
        <v>0</v>
      </c>
      <c r="E244" s="311" t="s">
        <v>182</v>
      </c>
      <c r="F244" s="464" t="s">
        <v>183</v>
      </c>
      <c r="G244" s="333">
        <v>15</v>
      </c>
      <c r="H244" s="333" t="s">
        <v>164</v>
      </c>
      <c r="I244" s="454" t="s">
        <v>35</v>
      </c>
      <c r="J244" s="525"/>
      <c r="K244" s="333"/>
      <c r="L244" s="376"/>
      <c r="M244" s="444"/>
    </row>
    <row r="245" spans="1:13" ht="72" x14ac:dyDescent="0.85">
      <c r="A245" s="448" t="s">
        <v>2335</v>
      </c>
      <c r="B245" s="471" t="s">
        <v>166</v>
      </c>
      <c r="C245" s="408">
        <v>32176714</v>
      </c>
      <c r="D245" s="408">
        <v>0</v>
      </c>
      <c r="E245" s="352" t="s">
        <v>184</v>
      </c>
      <c r="F245" s="525" t="s">
        <v>185</v>
      </c>
      <c r="G245" s="333">
        <v>15</v>
      </c>
      <c r="H245" s="376" t="s">
        <v>164</v>
      </c>
      <c r="I245" s="444" t="s">
        <v>47</v>
      </c>
      <c r="J245" s="464"/>
      <c r="K245" s="333"/>
      <c r="L245" s="333"/>
      <c r="M245" s="454"/>
    </row>
    <row r="246" spans="1:13" ht="72" x14ac:dyDescent="0.85">
      <c r="A246" s="516" t="s">
        <v>2335</v>
      </c>
      <c r="B246" s="471" t="s">
        <v>166</v>
      </c>
      <c r="C246" s="339">
        <v>32044909</v>
      </c>
      <c r="D246" s="339">
        <v>0</v>
      </c>
      <c r="E246" s="311" t="s">
        <v>186</v>
      </c>
      <c r="F246" s="464" t="s">
        <v>187</v>
      </c>
      <c r="G246" s="333">
        <v>15</v>
      </c>
      <c r="H246" s="333" t="s">
        <v>164</v>
      </c>
      <c r="I246" s="454" t="s">
        <v>44</v>
      </c>
      <c r="J246" s="468"/>
      <c r="K246" s="333"/>
      <c r="L246" s="333"/>
      <c r="M246" s="454"/>
    </row>
    <row r="247" spans="1:13" ht="72" x14ac:dyDescent="0.85">
      <c r="A247" s="448" t="s">
        <v>2335</v>
      </c>
      <c r="B247" s="471" t="s">
        <v>166</v>
      </c>
      <c r="C247" s="339">
        <v>32045106</v>
      </c>
      <c r="D247" s="339">
        <v>0</v>
      </c>
      <c r="E247" s="311" t="s">
        <v>188</v>
      </c>
      <c r="F247" s="468" t="s">
        <v>189</v>
      </c>
      <c r="G247" s="333">
        <v>15</v>
      </c>
      <c r="H247" s="333" t="s">
        <v>164</v>
      </c>
      <c r="I247" s="454" t="s">
        <v>179</v>
      </c>
      <c r="J247" s="468"/>
      <c r="K247" s="333"/>
      <c r="L247" s="333"/>
      <c r="M247" s="454"/>
    </row>
    <row r="248" spans="1:13" ht="72" x14ac:dyDescent="0.85">
      <c r="A248" s="448" t="s">
        <v>2335</v>
      </c>
      <c r="B248" s="471" t="s">
        <v>166</v>
      </c>
      <c r="C248" s="339">
        <v>32045769</v>
      </c>
      <c r="D248" s="339">
        <v>0</v>
      </c>
      <c r="E248" s="311" t="s">
        <v>190</v>
      </c>
      <c r="F248" s="468"/>
      <c r="G248" s="333">
        <v>15</v>
      </c>
      <c r="H248" s="333" t="s">
        <v>164</v>
      </c>
      <c r="I248" s="454" t="s">
        <v>56</v>
      </c>
      <c r="J248" s="468"/>
      <c r="K248" s="333"/>
      <c r="L248" s="333"/>
      <c r="M248" s="454"/>
    </row>
    <row r="249" spans="1:13" ht="72" x14ac:dyDescent="0.85">
      <c r="A249" s="448" t="s">
        <v>2335</v>
      </c>
      <c r="B249" s="471" t="s">
        <v>166</v>
      </c>
      <c r="C249" s="339">
        <v>32045769</v>
      </c>
      <c r="D249" s="339">
        <v>0</v>
      </c>
      <c r="E249" s="311" t="s">
        <v>191</v>
      </c>
      <c r="F249" s="468"/>
      <c r="G249" s="333">
        <v>15</v>
      </c>
      <c r="H249" s="333" t="s">
        <v>164</v>
      </c>
      <c r="I249" s="454" t="s">
        <v>56</v>
      </c>
      <c r="J249" s="481"/>
      <c r="K249" s="333"/>
      <c r="L249" s="333"/>
      <c r="M249" s="454"/>
    </row>
    <row r="250" spans="1:13" ht="72" x14ac:dyDescent="0.85">
      <c r="A250" s="516" t="s">
        <v>2335</v>
      </c>
      <c r="B250" s="471" t="s">
        <v>166</v>
      </c>
      <c r="C250" s="339">
        <v>32043804</v>
      </c>
      <c r="D250" s="339">
        <v>0</v>
      </c>
      <c r="E250" s="311" t="s">
        <v>192</v>
      </c>
      <c r="F250" s="481" t="s">
        <v>193</v>
      </c>
      <c r="G250" s="333">
        <v>15</v>
      </c>
      <c r="H250" s="333" t="s">
        <v>164</v>
      </c>
      <c r="I250" s="454" t="s">
        <v>38</v>
      </c>
      <c r="J250" s="481"/>
      <c r="K250" s="333"/>
      <c r="L250" s="333"/>
      <c r="M250" s="454"/>
    </row>
    <row r="251" spans="1:13" ht="72" x14ac:dyDescent="0.85">
      <c r="A251" s="516" t="s">
        <v>2335</v>
      </c>
      <c r="B251" s="471" t="s">
        <v>166</v>
      </c>
      <c r="C251" s="339">
        <v>32173447</v>
      </c>
      <c r="D251" s="339">
        <v>0</v>
      </c>
      <c r="E251" s="311" t="s">
        <v>194</v>
      </c>
      <c r="F251" s="481" t="s">
        <v>195</v>
      </c>
      <c r="G251" s="333">
        <v>15</v>
      </c>
      <c r="H251" s="333" t="s">
        <v>164</v>
      </c>
      <c r="I251" s="454" t="s">
        <v>38</v>
      </c>
      <c r="J251" s="464"/>
      <c r="K251" s="333"/>
      <c r="L251" s="333"/>
      <c r="M251" s="454"/>
    </row>
    <row r="252" spans="1:13" ht="72" x14ac:dyDescent="0.85">
      <c r="A252" s="506" t="s">
        <v>1587</v>
      </c>
      <c r="B252" s="508" t="s">
        <v>51</v>
      </c>
      <c r="C252" s="504">
        <v>32057882</v>
      </c>
      <c r="D252" s="505" t="s">
        <v>1585</v>
      </c>
      <c r="E252" s="503" t="s">
        <v>1661</v>
      </c>
      <c r="F252" s="464"/>
      <c r="G252" s="333">
        <v>11</v>
      </c>
      <c r="H252" s="333" t="s">
        <v>1586</v>
      </c>
      <c r="I252" s="454" t="s">
        <v>1</v>
      </c>
      <c r="J252" s="468"/>
      <c r="K252" s="333"/>
      <c r="L252" s="333"/>
      <c r="M252" s="454"/>
    </row>
    <row r="253" spans="1:13" ht="48" x14ac:dyDescent="0.85">
      <c r="A253" s="503" t="s">
        <v>1587</v>
      </c>
      <c r="B253" s="471" t="s">
        <v>51</v>
      </c>
      <c r="C253" s="504">
        <v>32178732</v>
      </c>
      <c r="D253" s="505" t="s">
        <v>1585</v>
      </c>
      <c r="E253" s="503" t="s">
        <v>1662</v>
      </c>
      <c r="F253" s="468"/>
      <c r="G253" s="333">
        <v>11</v>
      </c>
      <c r="H253" s="333" t="s">
        <v>1586</v>
      </c>
      <c r="I253" s="454" t="s">
        <v>62</v>
      </c>
      <c r="J253" s="469"/>
      <c r="K253" s="333"/>
      <c r="L253" s="333"/>
      <c r="M253" s="454"/>
    </row>
    <row r="254" spans="1:13" ht="48" x14ac:dyDescent="0.85">
      <c r="A254" s="503" t="s">
        <v>1587</v>
      </c>
      <c r="B254" s="467" t="s">
        <v>51</v>
      </c>
      <c r="C254" s="504">
        <v>32061297</v>
      </c>
      <c r="D254" s="505" t="s">
        <v>1585</v>
      </c>
      <c r="E254" s="503" t="s">
        <v>1663</v>
      </c>
      <c r="F254" s="469"/>
      <c r="G254" s="333">
        <v>11</v>
      </c>
      <c r="H254" s="333" t="s">
        <v>1586</v>
      </c>
      <c r="I254" s="454" t="s">
        <v>1584</v>
      </c>
      <c r="J254" s="352"/>
      <c r="K254" s="333"/>
      <c r="L254" s="333"/>
      <c r="M254" s="454"/>
    </row>
    <row r="255" spans="1:13" ht="48" x14ac:dyDescent="0.85">
      <c r="A255" s="503" t="s">
        <v>1587</v>
      </c>
      <c r="B255" s="467" t="s">
        <v>51</v>
      </c>
      <c r="C255" s="504">
        <v>32046276</v>
      </c>
      <c r="D255" s="505" t="s">
        <v>1585</v>
      </c>
      <c r="E255" s="503" t="s">
        <v>1664</v>
      </c>
      <c r="F255" s="352"/>
      <c r="G255" s="333">
        <v>11</v>
      </c>
      <c r="H255" s="333" t="s">
        <v>1586</v>
      </c>
      <c r="I255" s="454" t="s">
        <v>260</v>
      </c>
      <c r="J255" s="352"/>
      <c r="K255" s="333"/>
      <c r="L255" s="333"/>
      <c r="M255" s="454"/>
    </row>
    <row r="256" spans="1:13" ht="48" x14ac:dyDescent="0.85">
      <c r="A256" s="503" t="s">
        <v>1587</v>
      </c>
      <c r="B256" s="467" t="s">
        <v>51</v>
      </c>
      <c r="C256" s="504">
        <v>32217092</v>
      </c>
      <c r="D256" s="505" t="s">
        <v>1585</v>
      </c>
      <c r="E256" s="503" t="s">
        <v>1665</v>
      </c>
      <c r="F256" s="352"/>
      <c r="G256" s="333">
        <v>11</v>
      </c>
      <c r="H256" s="333" t="s">
        <v>1586</v>
      </c>
      <c r="I256" s="454" t="s">
        <v>44</v>
      </c>
      <c r="J256" s="464"/>
      <c r="K256" s="333"/>
      <c r="L256" s="333"/>
      <c r="M256" s="454"/>
    </row>
    <row r="257" spans="1:13" ht="48" x14ac:dyDescent="0.85">
      <c r="A257" s="503" t="s">
        <v>1587</v>
      </c>
      <c r="B257" s="491" t="s">
        <v>51</v>
      </c>
      <c r="C257" s="504">
        <v>32044359</v>
      </c>
      <c r="D257" s="505" t="s">
        <v>1585</v>
      </c>
      <c r="E257" s="503" t="s">
        <v>1666</v>
      </c>
      <c r="F257" s="464"/>
      <c r="G257" s="333">
        <v>11</v>
      </c>
      <c r="H257" s="333" t="s">
        <v>1586</v>
      </c>
      <c r="I257" s="454" t="s">
        <v>35</v>
      </c>
      <c r="J257" s="416"/>
      <c r="K257" s="333"/>
      <c r="L257" s="333"/>
      <c r="M257" s="454"/>
    </row>
    <row r="258" spans="1:13" ht="48" x14ac:dyDescent="0.85">
      <c r="A258" s="501" t="s">
        <v>1587</v>
      </c>
      <c r="B258" s="471" t="s">
        <v>51</v>
      </c>
      <c r="C258" s="504">
        <v>32046393</v>
      </c>
      <c r="D258" s="505" t="s">
        <v>1585</v>
      </c>
      <c r="E258" s="503" t="s">
        <v>1667</v>
      </c>
      <c r="F258" s="416"/>
      <c r="G258" s="333">
        <v>11</v>
      </c>
      <c r="H258" s="333" t="s">
        <v>1586</v>
      </c>
      <c r="I258" s="454" t="s">
        <v>260</v>
      </c>
      <c r="J258" s="464"/>
      <c r="K258" s="333"/>
      <c r="L258" s="333"/>
      <c r="M258" s="454"/>
    </row>
    <row r="259" spans="1:13" ht="48" x14ac:dyDescent="0.85">
      <c r="A259" s="503" t="s">
        <v>1587</v>
      </c>
      <c r="B259" s="508" t="s">
        <v>51</v>
      </c>
      <c r="C259" s="504">
        <v>32230188</v>
      </c>
      <c r="D259" s="505" t="s">
        <v>1585</v>
      </c>
      <c r="E259" s="503" t="s">
        <v>1668</v>
      </c>
      <c r="F259" s="464"/>
      <c r="G259" s="333">
        <v>11</v>
      </c>
      <c r="H259" s="333" t="s">
        <v>1586</v>
      </c>
      <c r="I259" s="454" t="s">
        <v>44</v>
      </c>
      <c r="J259" s="481"/>
      <c r="K259" s="333"/>
      <c r="L259" s="333"/>
      <c r="M259" s="454"/>
    </row>
    <row r="260" spans="1:13" ht="48" x14ac:dyDescent="0.85">
      <c r="A260" s="506" t="s">
        <v>1587</v>
      </c>
      <c r="B260" s="471" t="s">
        <v>51</v>
      </c>
      <c r="C260" s="504">
        <v>32045010</v>
      </c>
      <c r="D260" s="505" t="s">
        <v>1585</v>
      </c>
      <c r="E260" s="503" t="s">
        <v>1669</v>
      </c>
      <c r="F260" s="481"/>
      <c r="G260" s="333">
        <v>11</v>
      </c>
      <c r="H260" s="333" t="s">
        <v>1586</v>
      </c>
      <c r="I260" s="454" t="s">
        <v>47</v>
      </c>
      <c r="J260" s="464"/>
      <c r="K260" s="333"/>
      <c r="L260" s="333"/>
      <c r="M260" s="444"/>
    </row>
    <row r="261" spans="1:13" ht="48" x14ac:dyDescent="0.85">
      <c r="A261" s="506" t="s">
        <v>1587</v>
      </c>
      <c r="B261" s="471" t="s">
        <v>51</v>
      </c>
      <c r="C261" s="504">
        <v>32063478</v>
      </c>
      <c r="D261" s="505" t="s">
        <v>1585</v>
      </c>
      <c r="E261" s="503" t="s">
        <v>1670</v>
      </c>
      <c r="F261" s="464"/>
      <c r="G261" s="333">
        <v>11</v>
      </c>
      <c r="H261" s="333" t="s">
        <v>1586</v>
      </c>
      <c r="I261" s="444" t="s">
        <v>35</v>
      </c>
      <c r="J261" s="468"/>
      <c r="K261" s="333"/>
      <c r="L261" s="311"/>
      <c r="M261" s="454"/>
    </row>
    <row r="262" spans="1:13" ht="72" x14ac:dyDescent="0.85">
      <c r="A262" s="324" t="s">
        <v>1673</v>
      </c>
      <c r="B262" s="471" t="s">
        <v>1674</v>
      </c>
      <c r="C262" s="339">
        <v>32046210</v>
      </c>
      <c r="D262" s="339" t="s">
        <v>1671</v>
      </c>
      <c r="E262" s="311" t="s">
        <v>1675</v>
      </c>
      <c r="F262" s="468" t="s">
        <v>1676</v>
      </c>
      <c r="G262" s="333">
        <v>6</v>
      </c>
      <c r="H262" s="311" t="s">
        <v>1677</v>
      </c>
      <c r="I262" s="454"/>
      <c r="J262" s="464"/>
      <c r="K262" s="333"/>
      <c r="L262" s="311"/>
      <c r="M262" s="454"/>
    </row>
    <row r="263" spans="1:13" ht="72" x14ac:dyDescent="0.85">
      <c r="A263" s="324" t="s">
        <v>1673</v>
      </c>
      <c r="B263" s="471" t="s">
        <v>1674</v>
      </c>
      <c r="C263" s="339">
        <v>32044876</v>
      </c>
      <c r="D263" s="339" t="s">
        <v>1671</v>
      </c>
      <c r="E263" s="311" t="s">
        <v>1678</v>
      </c>
      <c r="F263" s="464" t="s">
        <v>1679</v>
      </c>
      <c r="G263" s="333">
        <v>6</v>
      </c>
      <c r="H263" s="311" t="s">
        <v>1677</v>
      </c>
      <c r="I263" s="454" t="s">
        <v>217</v>
      </c>
      <c r="J263" s="468"/>
      <c r="K263" s="333"/>
      <c r="L263" s="352"/>
      <c r="M263" s="444"/>
    </row>
    <row r="264" spans="1:13" ht="48" x14ac:dyDescent="0.85">
      <c r="A264" s="324" t="s">
        <v>1673</v>
      </c>
      <c r="B264" s="471" t="s">
        <v>1674</v>
      </c>
      <c r="C264" s="408">
        <v>32045800</v>
      </c>
      <c r="D264" s="408" t="s">
        <v>1671</v>
      </c>
      <c r="E264" s="352" t="s">
        <v>1680</v>
      </c>
      <c r="F264" s="468" t="s">
        <v>1681</v>
      </c>
      <c r="G264" s="333">
        <v>6</v>
      </c>
      <c r="H264" s="352" t="s">
        <v>1677</v>
      </c>
      <c r="I264" s="444" t="s">
        <v>260</v>
      </c>
      <c r="J264" s="416"/>
      <c r="K264" s="333"/>
      <c r="L264" s="311"/>
      <c r="M264" s="454"/>
    </row>
    <row r="265" spans="1:13" ht="48" x14ac:dyDescent="0.85">
      <c r="A265" s="326" t="s">
        <v>1673</v>
      </c>
      <c r="B265" s="471" t="s">
        <v>1674</v>
      </c>
      <c r="C265" s="339">
        <v>32045381</v>
      </c>
      <c r="D265" s="339" t="s">
        <v>1671</v>
      </c>
      <c r="E265" s="311" t="s">
        <v>1682</v>
      </c>
      <c r="F265" s="416" t="s">
        <v>1683</v>
      </c>
      <c r="G265" s="333">
        <v>6</v>
      </c>
      <c r="H265" s="311" t="s">
        <v>1677</v>
      </c>
      <c r="I265" s="454" t="s">
        <v>1684</v>
      </c>
      <c r="J265" s="464"/>
      <c r="K265" s="333"/>
      <c r="L265" s="311"/>
      <c r="M265" s="454"/>
    </row>
    <row r="266" spans="1:13" ht="48" x14ac:dyDescent="0.85">
      <c r="A266" s="323" t="s">
        <v>1673</v>
      </c>
      <c r="B266" s="471" t="s">
        <v>1674</v>
      </c>
      <c r="C266" s="339">
        <v>32045992</v>
      </c>
      <c r="D266" s="339" t="s">
        <v>1671</v>
      </c>
      <c r="E266" s="311" t="s">
        <v>1685</v>
      </c>
      <c r="F266" s="464" t="s">
        <v>1686</v>
      </c>
      <c r="G266" s="333">
        <v>6</v>
      </c>
      <c r="H266" s="311" t="s">
        <v>1677</v>
      </c>
      <c r="I266" s="454" t="s">
        <v>44</v>
      </c>
      <c r="J266" s="468"/>
      <c r="K266" s="333"/>
      <c r="L266" s="311"/>
      <c r="M266" s="454"/>
    </row>
    <row r="267" spans="1:13" ht="48" x14ac:dyDescent="0.85">
      <c r="A267" s="323" t="s">
        <v>1673</v>
      </c>
      <c r="B267" s="471" t="s">
        <v>1674</v>
      </c>
      <c r="C267" s="339">
        <v>32229412</v>
      </c>
      <c r="D267" s="339" t="s">
        <v>1671</v>
      </c>
      <c r="E267" s="311" t="s">
        <v>1687</v>
      </c>
      <c r="F267" s="468" t="s">
        <v>1688</v>
      </c>
      <c r="G267" s="333">
        <v>6</v>
      </c>
      <c r="H267" s="311" t="s">
        <v>1677</v>
      </c>
      <c r="I267" s="454" t="s">
        <v>1610</v>
      </c>
      <c r="J267" s="464"/>
      <c r="K267" s="333"/>
      <c r="L267" s="333"/>
      <c r="M267" s="454"/>
    </row>
    <row r="268" spans="1:13" ht="48" x14ac:dyDescent="0.85">
      <c r="A268" s="324" t="s">
        <v>1690</v>
      </c>
      <c r="B268" s="471" t="s">
        <v>51</v>
      </c>
      <c r="C268" s="504">
        <v>32045005</v>
      </c>
      <c r="D268" s="505" t="s">
        <v>1648</v>
      </c>
      <c r="E268" s="326" t="s">
        <v>1691</v>
      </c>
      <c r="F268" s="464"/>
      <c r="G268" s="333">
        <v>9</v>
      </c>
      <c r="H268" s="333" t="s">
        <v>1689</v>
      </c>
      <c r="I268" s="454" t="s">
        <v>1584</v>
      </c>
      <c r="J268" s="469"/>
      <c r="K268" s="333"/>
      <c r="L268" s="333"/>
      <c r="M268" s="454"/>
    </row>
    <row r="269" spans="1:13" ht="72" x14ac:dyDescent="0.85">
      <c r="A269" s="323" t="s">
        <v>1690</v>
      </c>
      <c r="B269" s="471" t="s">
        <v>51</v>
      </c>
      <c r="C269" s="526">
        <v>32217065</v>
      </c>
      <c r="D269" s="505" t="s">
        <v>1648</v>
      </c>
      <c r="E269" s="326" t="s">
        <v>1692</v>
      </c>
      <c r="F269" s="469"/>
      <c r="G269" s="333">
        <v>9</v>
      </c>
      <c r="H269" s="333" t="s">
        <v>1689</v>
      </c>
      <c r="I269" s="454" t="s">
        <v>260</v>
      </c>
      <c r="J269" s="468"/>
      <c r="K269" s="333"/>
      <c r="L269" s="333"/>
      <c r="M269" s="454"/>
    </row>
    <row r="270" spans="1:13" ht="48" x14ac:dyDescent="0.85">
      <c r="A270" s="326" t="s">
        <v>1690</v>
      </c>
      <c r="B270" s="471" t="s">
        <v>51</v>
      </c>
      <c r="C270" s="526">
        <v>32044690</v>
      </c>
      <c r="D270" s="505" t="s">
        <v>1648</v>
      </c>
      <c r="E270" s="326" t="s">
        <v>1693</v>
      </c>
      <c r="F270" s="468"/>
      <c r="G270" s="333">
        <v>9</v>
      </c>
      <c r="H270" s="333" t="s">
        <v>1689</v>
      </c>
      <c r="I270" s="454" t="s">
        <v>62</v>
      </c>
      <c r="J270" s="468"/>
      <c r="K270" s="333"/>
      <c r="L270" s="333"/>
      <c r="M270" s="454"/>
    </row>
    <row r="271" spans="1:13" ht="72" x14ac:dyDescent="0.85">
      <c r="A271" s="326" t="s">
        <v>1690</v>
      </c>
      <c r="B271" s="471" t="s">
        <v>51</v>
      </c>
      <c r="C271" s="526">
        <v>32137228</v>
      </c>
      <c r="D271" s="505" t="s">
        <v>1648</v>
      </c>
      <c r="E271" s="326" t="s">
        <v>1694</v>
      </c>
      <c r="F271" s="468"/>
      <c r="G271" s="333">
        <v>9</v>
      </c>
      <c r="H271" s="333" t="s">
        <v>1689</v>
      </c>
      <c r="I271" s="454" t="s">
        <v>1</v>
      </c>
      <c r="J271" s="464"/>
      <c r="K271" s="333"/>
      <c r="L271" s="333"/>
      <c r="M271" s="454"/>
    </row>
    <row r="272" spans="1:13" ht="48" x14ac:dyDescent="0.85">
      <c r="A272" s="326" t="s">
        <v>1690</v>
      </c>
      <c r="B272" s="491" t="s">
        <v>51</v>
      </c>
      <c r="C272" s="526">
        <v>32046180</v>
      </c>
      <c r="D272" s="505" t="s">
        <v>1648</v>
      </c>
      <c r="E272" s="326" t="s">
        <v>1695</v>
      </c>
      <c r="F272" s="464"/>
      <c r="G272" s="333">
        <v>9</v>
      </c>
      <c r="H272" s="333" t="s">
        <v>1689</v>
      </c>
      <c r="I272" s="454" t="s">
        <v>44</v>
      </c>
      <c r="J272" s="464"/>
      <c r="K272" s="333"/>
      <c r="L272" s="333"/>
      <c r="M272" s="454"/>
    </row>
    <row r="273" spans="1:13" ht="72" x14ac:dyDescent="0.85">
      <c r="A273" s="326" t="s">
        <v>1690</v>
      </c>
      <c r="B273" s="471" t="s">
        <v>51</v>
      </c>
      <c r="C273" s="526">
        <v>32187874</v>
      </c>
      <c r="D273" s="505" t="s">
        <v>1648</v>
      </c>
      <c r="E273" s="326" t="s">
        <v>1696</v>
      </c>
      <c r="F273" s="464"/>
      <c r="G273" s="333">
        <v>9</v>
      </c>
      <c r="H273" s="333" t="s">
        <v>1689</v>
      </c>
      <c r="I273" s="454" t="s">
        <v>62</v>
      </c>
      <c r="J273" s="464"/>
      <c r="K273" s="333"/>
      <c r="L273" s="376"/>
      <c r="M273" s="444"/>
    </row>
    <row r="274" spans="1:13" ht="72" x14ac:dyDescent="0.85">
      <c r="A274" s="356" t="s">
        <v>1690</v>
      </c>
      <c r="B274" s="508" t="s">
        <v>51</v>
      </c>
      <c r="C274" s="526">
        <v>32180379</v>
      </c>
      <c r="D274" s="505" t="s">
        <v>1697</v>
      </c>
      <c r="E274" s="326" t="s">
        <v>1698</v>
      </c>
      <c r="F274" s="464"/>
      <c r="G274" s="333">
        <v>9</v>
      </c>
      <c r="H274" s="376" t="s">
        <v>1689</v>
      </c>
      <c r="I274" s="444" t="s">
        <v>44</v>
      </c>
      <c r="J274" s="464"/>
      <c r="K274" s="333"/>
      <c r="L274" s="333"/>
      <c r="M274" s="454"/>
    </row>
    <row r="275" spans="1:13" ht="72" x14ac:dyDescent="0.85">
      <c r="A275" s="343" t="s">
        <v>1690</v>
      </c>
      <c r="B275" s="471" t="s">
        <v>51</v>
      </c>
      <c r="C275" s="526">
        <v>32187877</v>
      </c>
      <c r="D275" s="505" t="s">
        <v>1648</v>
      </c>
      <c r="E275" s="326" t="s">
        <v>1699</v>
      </c>
      <c r="F275" s="464"/>
      <c r="G275" s="333">
        <v>9</v>
      </c>
      <c r="H275" s="333" t="s">
        <v>1689</v>
      </c>
      <c r="I275" s="454" t="s">
        <v>35</v>
      </c>
      <c r="J275" s="481"/>
      <c r="K275" s="333"/>
      <c r="L275" s="333"/>
      <c r="M275" s="454"/>
    </row>
    <row r="276" spans="1:13" ht="48" x14ac:dyDescent="0.85">
      <c r="A276" s="324" t="s">
        <v>1690</v>
      </c>
      <c r="B276" s="471" t="s">
        <v>51</v>
      </c>
      <c r="C276" s="526">
        <v>32045088</v>
      </c>
      <c r="D276" s="505" t="s">
        <v>1648</v>
      </c>
      <c r="E276" s="326" t="s">
        <v>1700</v>
      </c>
      <c r="F276" s="481"/>
      <c r="G276" s="333">
        <v>9</v>
      </c>
      <c r="H276" s="333" t="s">
        <v>1689</v>
      </c>
      <c r="I276" s="454" t="s">
        <v>260</v>
      </c>
      <c r="J276" s="468"/>
      <c r="K276" s="333"/>
      <c r="L276" s="333"/>
      <c r="M276" s="454"/>
    </row>
    <row r="277" spans="1:13" ht="48" x14ac:dyDescent="0.85">
      <c r="A277" s="506" t="s">
        <v>1702</v>
      </c>
      <c r="B277" s="471" t="s">
        <v>51</v>
      </c>
      <c r="C277" s="504">
        <v>32044785</v>
      </c>
      <c r="D277" s="505" t="s">
        <v>1614</v>
      </c>
      <c r="E277" s="503" t="s">
        <v>1703</v>
      </c>
      <c r="F277" s="468"/>
      <c r="G277" s="333">
        <v>18</v>
      </c>
      <c r="H277" s="333" t="s">
        <v>1701</v>
      </c>
      <c r="I277" s="454" t="s">
        <v>62</v>
      </c>
      <c r="J277" s="468"/>
      <c r="K277" s="333"/>
      <c r="L277" s="333"/>
      <c r="M277" s="454"/>
    </row>
    <row r="278" spans="1:13" ht="48" x14ac:dyDescent="0.85">
      <c r="A278" s="506" t="s">
        <v>1702</v>
      </c>
      <c r="B278" s="471" t="s">
        <v>51</v>
      </c>
      <c r="C278" s="529">
        <v>32229593</v>
      </c>
      <c r="D278" s="529" t="s">
        <v>1614</v>
      </c>
      <c r="E278" s="503" t="s">
        <v>1704</v>
      </c>
      <c r="F278" s="468"/>
      <c r="G278" s="333">
        <v>18</v>
      </c>
      <c r="H278" s="333" t="s">
        <v>1701</v>
      </c>
      <c r="I278" s="454" t="s">
        <v>260</v>
      </c>
      <c r="J278" s="464"/>
      <c r="K278" s="333"/>
      <c r="L278" s="333"/>
      <c r="M278" s="454"/>
    </row>
    <row r="279" spans="1:13" ht="48" x14ac:dyDescent="0.85">
      <c r="A279" s="506" t="s">
        <v>1702</v>
      </c>
      <c r="B279" s="471" t="s">
        <v>51</v>
      </c>
      <c r="C279" s="529">
        <v>32056674</v>
      </c>
      <c r="D279" s="529" t="s">
        <v>1614</v>
      </c>
      <c r="E279" s="503" t="s">
        <v>1705</v>
      </c>
      <c r="F279" s="464"/>
      <c r="G279" s="333">
        <v>18</v>
      </c>
      <c r="H279" s="333" t="s">
        <v>1701</v>
      </c>
      <c r="I279" s="454" t="s">
        <v>1</v>
      </c>
      <c r="J279" s="464"/>
      <c r="K279" s="333"/>
      <c r="L279" s="333"/>
      <c r="M279" s="454"/>
    </row>
    <row r="280" spans="1:13" ht="48" x14ac:dyDescent="0.85">
      <c r="A280" s="506" t="s">
        <v>1702</v>
      </c>
      <c r="B280" s="471" t="s">
        <v>51</v>
      </c>
      <c r="C280" s="529">
        <v>32046576</v>
      </c>
      <c r="D280" s="529" t="s">
        <v>1614</v>
      </c>
      <c r="E280" s="503" t="s">
        <v>1706</v>
      </c>
      <c r="F280" s="464"/>
      <c r="G280" s="333">
        <v>18</v>
      </c>
      <c r="H280" s="333" t="s">
        <v>1701</v>
      </c>
      <c r="I280" s="454" t="s">
        <v>62</v>
      </c>
      <c r="J280" s="464"/>
      <c r="K280" s="333"/>
      <c r="L280" s="376"/>
      <c r="M280" s="444"/>
    </row>
    <row r="281" spans="1:13" ht="48" x14ac:dyDescent="0.85">
      <c r="A281" s="503" t="s">
        <v>1702</v>
      </c>
      <c r="B281" s="471" t="s">
        <v>51</v>
      </c>
      <c r="C281" s="529">
        <v>32136857</v>
      </c>
      <c r="D281" s="529" t="s">
        <v>1614</v>
      </c>
      <c r="E281" s="503" t="s">
        <v>1707</v>
      </c>
      <c r="F281" s="464"/>
      <c r="G281" s="333">
        <v>18</v>
      </c>
      <c r="H281" s="376" t="s">
        <v>1701</v>
      </c>
      <c r="I281" s="444" t="s">
        <v>260</v>
      </c>
      <c r="J281" s="464"/>
      <c r="K281" s="333"/>
      <c r="L281" s="333"/>
      <c r="M281" s="454"/>
    </row>
    <row r="282" spans="1:13" ht="72" x14ac:dyDescent="0.85">
      <c r="A282" s="503" t="s">
        <v>1702</v>
      </c>
      <c r="B282" s="471" t="s">
        <v>51</v>
      </c>
      <c r="C282" s="529">
        <v>32046249</v>
      </c>
      <c r="D282" s="529" t="s">
        <v>1614</v>
      </c>
      <c r="E282" s="503" t="s">
        <v>1708</v>
      </c>
      <c r="F282" s="464"/>
      <c r="G282" s="333">
        <v>18</v>
      </c>
      <c r="H282" s="333" t="s">
        <v>1701</v>
      </c>
      <c r="I282" s="454" t="s">
        <v>44</v>
      </c>
      <c r="J282" s="464"/>
      <c r="K282" s="333"/>
      <c r="L282" s="333"/>
      <c r="M282" s="454"/>
    </row>
    <row r="283" spans="1:13" ht="48" x14ac:dyDescent="0.85">
      <c r="A283" s="503" t="s">
        <v>1702</v>
      </c>
      <c r="B283" s="471" t="s">
        <v>51</v>
      </c>
      <c r="C283" s="529">
        <v>32043937</v>
      </c>
      <c r="D283" s="529" t="s">
        <v>1614</v>
      </c>
      <c r="E283" s="503" t="s">
        <v>1709</v>
      </c>
      <c r="F283" s="464"/>
      <c r="G283" s="333">
        <v>18</v>
      </c>
      <c r="H283" s="333" t="s">
        <v>1701</v>
      </c>
      <c r="I283" s="454" t="s">
        <v>44</v>
      </c>
      <c r="J283" s="468"/>
      <c r="K283" s="333"/>
      <c r="L283" s="333"/>
      <c r="M283" s="454"/>
    </row>
    <row r="284" spans="1:13" ht="48" x14ac:dyDescent="0.85">
      <c r="A284" s="501" t="s">
        <v>1702</v>
      </c>
      <c r="B284" s="467" t="s">
        <v>51</v>
      </c>
      <c r="C284" s="529">
        <v>32043912</v>
      </c>
      <c r="D284" s="529" t="s">
        <v>1614</v>
      </c>
      <c r="E284" s="503" t="s">
        <v>1710</v>
      </c>
      <c r="F284" s="468"/>
      <c r="G284" s="333">
        <v>18</v>
      </c>
      <c r="H284" s="333" t="s">
        <v>1701</v>
      </c>
      <c r="I284" s="454" t="s">
        <v>47</v>
      </c>
      <c r="J284" s="464"/>
      <c r="K284" s="333"/>
      <c r="L284" s="333"/>
      <c r="M284" s="454"/>
    </row>
    <row r="285" spans="1:13" ht="72" x14ac:dyDescent="0.85">
      <c r="A285" s="506" t="s">
        <v>1702</v>
      </c>
      <c r="B285" s="471" t="s">
        <v>51</v>
      </c>
      <c r="C285" s="529">
        <v>32136861</v>
      </c>
      <c r="D285" s="529" t="s">
        <v>1614</v>
      </c>
      <c r="E285" s="503" t="s">
        <v>1711</v>
      </c>
      <c r="F285" s="464"/>
      <c r="G285" s="333">
        <v>18</v>
      </c>
      <c r="H285" s="333" t="s">
        <v>1701</v>
      </c>
      <c r="I285" s="454" t="s">
        <v>62</v>
      </c>
      <c r="J285" s="464"/>
      <c r="K285" s="333"/>
      <c r="L285" s="333"/>
      <c r="M285" s="454"/>
    </row>
    <row r="286" spans="1:13" ht="72" x14ac:dyDescent="0.85">
      <c r="A286" s="506" t="s">
        <v>1702</v>
      </c>
      <c r="B286" s="471" t="s">
        <v>51</v>
      </c>
      <c r="C286" s="529">
        <v>32046040</v>
      </c>
      <c r="D286" s="529" t="s">
        <v>1614</v>
      </c>
      <c r="E286" s="503" t="s">
        <v>1712</v>
      </c>
      <c r="F286" s="464"/>
      <c r="G286" s="333">
        <v>18</v>
      </c>
      <c r="H286" s="333" t="s">
        <v>1701</v>
      </c>
      <c r="I286" s="454" t="s">
        <v>35</v>
      </c>
      <c r="J286" s="464"/>
      <c r="K286" s="333"/>
      <c r="L286" s="333"/>
      <c r="M286" s="454"/>
    </row>
    <row r="287" spans="1:13" ht="72" x14ac:dyDescent="0.85">
      <c r="A287" s="506" t="s">
        <v>1702</v>
      </c>
      <c r="B287" s="471" t="s">
        <v>51</v>
      </c>
      <c r="C287" s="529">
        <v>32056896</v>
      </c>
      <c r="D287" s="529" t="s">
        <v>1614</v>
      </c>
      <c r="E287" s="503" t="s">
        <v>1713</v>
      </c>
      <c r="F287" s="464"/>
      <c r="G287" s="333">
        <v>18</v>
      </c>
      <c r="H287" s="333" t="s">
        <v>1701</v>
      </c>
      <c r="I287" s="454" t="s">
        <v>260</v>
      </c>
      <c r="J287" s="485"/>
      <c r="K287" s="333"/>
      <c r="L287" s="333"/>
      <c r="M287" s="454"/>
    </row>
    <row r="288" spans="1:13" ht="72" x14ac:dyDescent="0.85">
      <c r="A288" s="501" t="s">
        <v>1702</v>
      </c>
      <c r="B288" s="471" t="s">
        <v>51</v>
      </c>
      <c r="C288" s="529">
        <v>32044139</v>
      </c>
      <c r="D288" s="529" t="s">
        <v>1614</v>
      </c>
      <c r="E288" s="503" t="s">
        <v>1714</v>
      </c>
      <c r="F288" s="485"/>
      <c r="G288" s="333">
        <v>18</v>
      </c>
      <c r="H288" s="333" t="s">
        <v>1701</v>
      </c>
      <c r="I288" s="454" t="s">
        <v>260</v>
      </c>
      <c r="J288" s="464"/>
      <c r="K288" s="333"/>
      <c r="L288" s="333"/>
      <c r="M288" s="454"/>
    </row>
    <row r="289" spans="1:13" ht="48" x14ac:dyDescent="0.85">
      <c r="A289" s="503" t="s">
        <v>1702</v>
      </c>
      <c r="B289" s="471" t="s">
        <v>51</v>
      </c>
      <c r="C289" s="529">
        <v>32178730</v>
      </c>
      <c r="D289" s="529" t="s">
        <v>1614</v>
      </c>
      <c r="E289" s="503" t="s">
        <v>1715</v>
      </c>
      <c r="F289" s="464"/>
      <c r="G289" s="333">
        <v>18</v>
      </c>
      <c r="H289" s="333" t="s">
        <v>1701</v>
      </c>
      <c r="I289" s="454" t="s">
        <v>1</v>
      </c>
      <c r="J289" s="464"/>
      <c r="K289" s="333"/>
      <c r="L289" s="333"/>
      <c r="M289" s="454"/>
    </row>
    <row r="290" spans="1:13" ht="48" x14ac:dyDescent="0.85">
      <c r="A290" s="503" t="s">
        <v>1702</v>
      </c>
      <c r="B290" s="471" t="s">
        <v>51</v>
      </c>
      <c r="C290" s="529">
        <v>32045661</v>
      </c>
      <c r="D290" s="529" t="s">
        <v>1614</v>
      </c>
      <c r="E290" s="503" t="s">
        <v>1716</v>
      </c>
      <c r="F290" s="464"/>
      <c r="G290" s="333">
        <v>18</v>
      </c>
      <c r="H290" s="333" t="s">
        <v>1701</v>
      </c>
      <c r="I290" s="454" t="s">
        <v>44</v>
      </c>
      <c r="J290" s="464"/>
      <c r="K290" s="333"/>
      <c r="L290" s="333"/>
      <c r="M290" s="454"/>
    </row>
    <row r="291" spans="1:13" ht="48" x14ac:dyDescent="0.85">
      <c r="A291" s="503" t="s">
        <v>1702</v>
      </c>
      <c r="B291" s="471" t="s">
        <v>51</v>
      </c>
      <c r="C291" s="529">
        <v>32060913</v>
      </c>
      <c r="D291" s="529" t="s">
        <v>1614</v>
      </c>
      <c r="E291" s="503" t="s">
        <v>1717</v>
      </c>
      <c r="F291" s="464"/>
      <c r="G291" s="333">
        <v>18</v>
      </c>
      <c r="H291" s="333" t="s">
        <v>1701</v>
      </c>
      <c r="I291" s="454" t="s">
        <v>1584</v>
      </c>
      <c r="J291" s="464"/>
      <c r="K291" s="333"/>
      <c r="L291" s="333"/>
      <c r="M291" s="454"/>
    </row>
    <row r="292" spans="1:13" ht="48" x14ac:dyDescent="0.85">
      <c r="A292" s="506" t="s">
        <v>1702</v>
      </c>
      <c r="B292" s="471" t="s">
        <v>51</v>
      </c>
      <c r="C292" s="529">
        <v>32055315</v>
      </c>
      <c r="D292" s="529" t="s">
        <v>1614</v>
      </c>
      <c r="E292" s="503" t="s">
        <v>1718</v>
      </c>
      <c r="F292" s="464"/>
      <c r="G292" s="333">
        <v>18</v>
      </c>
      <c r="H292" s="333" t="s">
        <v>1701</v>
      </c>
      <c r="I292" s="454" t="s">
        <v>1584</v>
      </c>
      <c r="J292" s="416"/>
      <c r="K292" s="333"/>
      <c r="L292" s="333"/>
      <c r="M292" s="454"/>
    </row>
    <row r="293" spans="1:13" ht="48" x14ac:dyDescent="0.85">
      <c r="A293" s="506" t="s">
        <v>1702</v>
      </c>
      <c r="B293" s="471" t="s">
        <v>51</v>
      </c>
      <c r="C293" s="529">
        <v>32046470</v>
      </c>
      <c r="D293" s="529" t="s">
        <v>1614</v>
      </c>
      <c r="E293" s="503" t="s">
        <v>1719</v>
      </c>
      <c r="F293" s="416"/>
      <c r="G293" s="333">
        <v>18</v>
      </c>
      <c r="H293" s="333" t="s">
        <v>1701</v>
      </c>
      <c r="I293" s="454" t="s">
        <v>35</v>
      </c>
      <c r="J293" s="464"/>
      <c r="K293" s="333"/>
      <c r="L293" s="333"/>
      <c r="M293" s="454"/>
    </row>
    <row r="294" spans="1:13" ht="48" x14ac:dyDescent="0.85">
      <c r="A294" s="506" t="s">
        <v>1702</v>
      </c>
      <c r="B294" s="491" t="s">
        <v>51</v>
      </c>
      <c r="C294" s="529">
        <v>32096550</v>
      </c>
      <c r="D294" s="529" t="s">
        <v>1614</v>
      </c>
      <c r="E294" s="503" t="s">
        <v>1720</v>
      </c>
      <c r="F294" s="464"/>
      <c r="G294" s="333">
        <v>18</v>
      </c>
      <c r="H294" s="333" t="s">
        <v>1701</v>
      </c>
      <c r="I294" s="454" t="s">
        <v>47</v>
      </c>
      <c r="J294" s="481"/>
      <c r="K294" s="333"/>
      <c r="L294" s="333"/>
      <c r="M294" s="454"/>
    </row>
    <row r="295" spans="1:13" ht="72" x14ac:dyDescent="0.85">
      <c r="A295" s="326" t="s">
        <v>1723</v>
      </c>
      <c r="B295" s="471" t="s">
        <v>1724</v>
      </c>
      <c r="C295" s="339">
        <v>32044254</v>
      </c>
      <c r="D295" s="339" t="s">
        <v>1721</v>
      </c>
      <c r="E295" s="311" t="s">
        <v>1725</v>
      </c>
      <c r="F295" s="481" t="s">
        <v>1726</v>
      </c>
      <c r="G295" s="333">
        <v>7</v>
      </c>
      <c r="H295" s="333" t="s">
        <v>1722</v>
      </c>
      <c r="I295" s="454" t="s">
        <v>1</v>
      </c>
      <c r="J295" s="464"/>
      <c r="K295" s="333"/>
      <c r="L295" s="333"/>
      <c r="M295" s="454"/>
    </row>
    <row r="296" spans="1:13" ht="72" x14ac:dyDescent="0.85">
      <c r="A296" s="326" t="s">
        <v>1723</v>
      </c>
      <c r="B296" s="508" t="s">
        <v>1724</v>
      </c>
      <c r="C296" s="339">
        <v>32045834</v>
      </c>
      <c r="D296" s="339" t="s">
        <v>1721</v>
      </c>
      <c r="E296" s="311" t="s">
        <v>1723</v>
      </c>
      <c r="F296" s="464" t="s">
        <v>1724</v>
      </c>
      <c r="G296" s="333">
        <v>7</v>
      </c>
      <c r="H296" s="333" t="s">
        <v>1722</v>
      </c>
      <c r="I296" s="454" t="s">
        <v>62</v>
      </c>
      <c r="J296" s="464"/>
      <c r="K296" s="333"/>
      <c r="L296" s="333"/>
      <c r="M296" s="454"/>
    </row>
    <row r="297" spans="1:13" ht="72" x14ac:dyDescent="0.85">
      <c r="A297" s="326" t="s">
        <v>1723</v>
      </c>
      <c r="B297" s="471" t="s">
        <v>1724</v>
      </c>
      <c r="C297" s="339">
        <v>32045689</v>
      </c>
      <c r="D297" s="339" t="s">
        <v>1721</v>
      </c>
      <c r="E297" s="311" t="s">
        <v>1727</v>
      </c>
      <c r="F297" s="464" t="s">
        <v>1728</v>
      </c>
      <c r="G297" s="333">
        <v>7</v>
      </c>
      <c r="H297" s="333" t="s">
        <v>1722</v>
      </c>
      <c r="I297" s="454" t="s">
        <v>1584</v>
      </c>
      <c r="J297" s="464"/>
      <c r="K297" s="333"/>
      <c r="L297" s="333"/>
      <c r="M297" s="454"/>
    </row>
    <row r="298" spans="1:13" ht="72" x14ac:dyDescent="0.85">
      <c r="A298" s="324" t="s">
        <v>1723</v>
      </c>
      <c r="B298" s="471" t="s">
        <v>1724</v>
      </c>
      <c r="C298" s="339">
        <v>32044362</v>
      </c>
      <c r="D298" s="339" t="s">
        <v>1721</v>
      </c>
      <c r="E298" s="311" t="s">
        <v>1729</v>
      </c>
      <c r="F298" s="464" t="s">
        <v>1730</v>
      </c>
      <c r="G298" s="333">
        <v>7</v>
      </c>
      <c r="H298" s="333" t="s">
        <v>1722</v>
      </c>
      <c r="I298" s="454" t="s">
        <v>44</v>
      </c>
      <c r="J298" s="481"/>
      <c r="K298" s="333"/>
      <c r="L298" s="333"/>
      <c r="M298" s="454"/>
    </row>
    <row r="299" spans="1:13" ht="72" x14ac:dyDescent="0.85">
      <c r="A299" s="326" t="s">
        <v>1723</v>
      </c>
      <c r="B299" s="467" t="s">
        <v>1724</v>
      </c>
      <c r="C299" s="339">
        <v>32044024</v>
      </c>
      <c r="D299" s="339" t="s">
        <v>1721</v>
      </c>
      <c r="E299" s="311" t="s">
        <v>1731</v>
      </c>
      <c r="F299" s="481" t="s">
        <v>1732</v>
      </c>
      <c r="G299" s="333">
        <v>7</v>
      </c>
      <c r="H299" s="333" t="s">
        <v>1722</v>
      </c>
      <c r="I299" s="454" t="s">
        <v>35</v>
      </c>
      <c r="J299" s="481"/>
      <c r="K299" s="333"/>
      <c r="L299" s="333"/>
      <c r="M299" s="454"/>
    </row>
    <row r="300" spans="1:13" ht="72" x14ac:dyDescent="0.85">
      <c r="A300" s="326" t="s">
        <v>1723</v>
      </c>
      <c r="B300" s="471" t="s">
        <v>1724</v>
      </c>
      <c r="C300" s="339">
        <v>32044013</v>
      </c>
      <c r="D300" s="339" t="s">
        <v>1721</v>
      </c>
      <c r="E300" s="311" t="s">
        <v>2336</v>
      </c>
      <c r="F300" s="481" t="s">
        <v>2337</v>
      </c>
      <c r="G300" s="333">
        <v>7</v>
      </c>
      <c r="H300" s="333" t="s">
        <v>1722</v>
      </c>
      <c r="I300" s="454" t="s">
        <v>47</v>
      </c>
      <c r="J300" s="464"/>
      <c r="K300" s="333"/>
      <c r="L300" s="333"/>
      <c r="M300" s="454"/>
    </row>
    <row r="301" spans="1:13" ht="72" x14ac:dyDescent="0.85">
      <c r="A301" s="324" t="s">
        <v>1723</v>
      </c>
      <c r="B301" s="471" t="s">
        <v>1724</v>
      </c>
      <c r="C301" s="339">
        <v>32057497</v>
      </c>
      <c r="D301" s="339" t="s">
        <v>1721</v>
      </c>
      <c r="E301" s="311" t="s">
        <v>1733</v>
      </c>
      <c r="F301" s="464" t="s">
        <v>1734</v>
      </c>
      <c r="G301" s="333">
        <v>7</v>
      </c>
      <c r="H301" s="333" t="s">
        <v>1722</v>
      </c>
      <c r="I301" s="454" t="s">
        <v>260</v>
      </c>
      <c r="J301" s="481"/>
      <c r="K301" s="333"/>
      <c r="L301" s="333"/>
      <c r="M301" s="444"/>
    </row>
    <row r="302" spans="1:13" ht="72" x14ac:dyDescent="0.85">
      <c r="A302" s="448" t="s">
        <v>1935</v>
      </c>
      <c r="B302" s="471" t="s">
        <v>1936</v>
      </c>
      <c r="C302" s="384">
        <v>32043813</v>
      </c>
      <c r="D302" s="384">
        <v>0</v>
      </c>
      <c r="E302" s="311" t="s">
        <v>1937</v>
      </c>
      <c r="F302" s="481" t="s">
        <v>1938</v>
      </c>
      <c r="G302" s="333">
        <v>7</v>
      </c>
      <c r="H302" s="333" t="s">
        <v>1934</v>
      </c>
      <c r="I302" s="444" t="s">
        <v>1858</v>
      </c>
      <c r="J302" s="468"/>
      <c r="K302" s="333"/>
      <c r="L302" s="333"/>
      <c r="M302" s="454"/>
    </row>
    <row r="303" spans="1:13" ht="72" x14ac:dyDescent="0.85">
      <c r="A303" s="448" t="s">
        <v>1935</v>
      </c>
      <c r="B303" s="471" t="s">
        <v>1936</v>
      </c>
      <c r="C303" s="384">
        <v>32045837</v>
      </c>
      <c r="D303" s="384">
        <v>0</v>
      </c>
      <c r="E303" s="311" t="s">
        <v>1939</v>
      </c>
      <c r="F303" s="468" t="s">
        <v>1940</v>
      </c>
      <c r="G303" s="333">
        <v>7</v>
      </c>
      <c r="H303" s="333" t="s">
        <v>1934</v>
      </c>
      <c r="I303" s="454" t="s">
        <v>44</v>
      </c>
      <c r="J303" s="464"/>
      <c r="K303" s="333"/>
      <c r="L303" s="333"/>
      <c r="M303" s="454"/>
    </row>
    <row r="304" spans="1:13" ht="72" x14ac:dyDescent="0.85">
      <c r="A304" s="448" t="s">
        <v>1935</v>
      </c>
      <c r="B304" s="471" t="s">
        <v>1936</v>
      </c>
      <c r="C304" s="384">
        <v>32044591</v>
      </c>
      <c r="D304" s="384">
        <v>0</v>
      </c>
      <c r="E304" s="311" t="s">
        <v>1941</v>
      </c>
      <c r="F304" s="464" t="s">
        <v>1942</v>
      </c>
      <c r="G304" s="333">
        <v>7</v>
      </c>
      <c r="H304" s="333" t="s">
        <v>1934</v>
      </c>
      <c r="I304" s="454" t="s">
        <v>38</v>
      </c>
      <c r="J304" s="481"/>
      <c r="K304" s="333"/>
      <c r="L304" s="333"/>
      <c r="M304" s="454"/>
    </row>
    <row r="305" spans="1:13" ht="72" x14ac:dyDescent="0.85">
      <c r="A305" s="516" t="s">
        <v>1935</v>
      </c>
      <c r="B305" s="467" t="s">
        <v>1936</v>
      </c>
      <c r="C305" s="384">
        <v>32044678</v>
      </c>
      <c r="D305" s="384">
        <v>0</v>
      </c>
      <c r="E305" s="311" t="s">
        <v>1943</v>
      </c>
      <c r="F305" s="481" t="s">
        <v>1944</v>
      </c>
      <c r="G305" s="333">
        <v>7</v>
      </c>
      <c r="H305" s="333" t="s">
        <v>1934</v>
      </c>
      <c r="I305" s="454" t="s">
        <v>56</v>
      </c>
      <c r="J305" s="481"/>
      <c r="K305" s="333"/>
      <c r="L305" s="376"/>
      <c r="M305" s="444"/>
    </row>
    <row r="306" spans="1:13" ht="72" x14ac:dyDescent="0.85">
      <c r="A306" s="448" t="s">
        <v>1935</v>
      </c>
      <c r="B306" s="471" t="s">
        <v>1936</v>
      </c>
      <c r="C306" s="385">
        <v>32044323</v>
      </c>
      <c r="D306" s="385">
        <v>0</v>
      </c>
      <c r="E306" s="311" t="s">
        <v>1945</v>
      </c>
      <c r="F306" s="481" t="s">
        <v>1946</v>
      </c>
      <c r="G306" s="333">
        <v>7</v>
      </c>
      <c r="H306" s="376" t="s">
        <v>1934</v>
      </c>
      <c r="I306" s="444" t="s">
        <v>47</v>
      </c>
      <c r="J306" s="464"/>
      <c r="K306" s="333"/>
      <c r="L306" s="376"/>
      <c r="M306" s="444"/>
    </row>
    <row r="307" spans="1:13" ht="72" x14ac:dyDescent="0.85">
      <c r="A307" s="448" t="s">
        <v>1935</v>
      </c>
      <c r="B307" s="471" t="s">
        <v>1936</v>
      </c>
      <c r="C307" s="385">
        <v>32044422</v>
      </c>
      <c r="D307" s="385">
        <v>0</v>
      </c>
      <c r="E307" s="311" t="s">
        <v>1947</v>
      </c>
      <c r="F307" s="464" t="s">
        <v>1948</v>
      </c>
      <c r="G307" s="333">
        <v>7</v>
      </c>
      <c r="H307" s="376" t="s">
        <v>1934</v>
      </c>
      <c r="I307" s="444" t="s">
        <v>44</v>
      </c>
      <c r="J307" s="481"/>
      <c r="K307" s="333"/>
      <c r="L307" s="376"/>
      <c r="M307" s="444"/>
    </row>
    <row r="308" spans="1:13" ht="72" x14ac:dyDescent="0.85">
      <c r="A308" s="448" t="s">
        <v>1935</v>
      </c>
      <c r="B308" s="471" t="s">
        <v>1936</v>
      </c>
      <c r="C308" s="385">
        <v>32044985</v>
      </c>
      <c r="D308" s="385">
        <v>0</v>
      </c>
      <c r="E308" s="311" t="s">
        <v>1949</v>
      </c>
      <c r="F308" s="481" t="s">
        <v>1950</v>
      </c>
      <c r="G308" s="333">
        <v>7</v>
      </c>
      <c r="H308" s="376" t="s">
        <v>1934</v>
      </c>
      <c r="I308" s="444" t="s">
        <v>1858</v>
      </c>
      <c r="J308" s="481"/>
      <c r="K308" s="333"/>
      <c r="L308" s="376"/>
      <c r="M308" s="444"/>
    </row>
    <row r="309" spans="1:13" ht="48" x14ac:dyDescent="0.85">
      <c r="A309" s="448" t="s">
        <v>1952</v>
      </c>
      <c r="B309" s="471" t="s">
        <v>1953</v>
      </c>
      <c r="C309" s="530">
        <v>32044566</v>
      </c>
      <c r="D309" s="530">
        <v>0</v>
      </c>
      <c r="E309" s="416" t="s">
        <v>1954</v>
      </c>
      <c r="F309" s="481" t="s">
        <v>1955</v>
      </c>
      <c r="G309" s="333">
        <v>5</v>
      </c>
      <c r="H309" s="376" t="s">
        <v>1951</v>
      </c>
      <c r="I309" s="444" t="s">
        <v>1858</v>
      </c>
      <c r="J309" s="464"/>
      <c r="K309" s="333"/>
      <c r="L309" s="333"/>
      <c r="M309" s="444"/>
    </row>
    <row r="310" spans="1:13" ht="48" x14ac:dyDescent="0.85">
      <c r="A310" s="516" t="s">
        <v>1952</v>
      </c>
      <c r="B310" s="491" t="s">
        <v>1953</v>
      </c>
      <c r="C310" s="530">
        <v>32043734</v>
      </c>
      <c r="D310" s="530">
        <v>0</v>
      </c>
      <c r="E310" s="416" t="s">
        <v>1956</v>
      </c>
      <c r="F310" s="464" t="s">
        <v>1957</v>
      </c>
      <c r="G310" s="333">
        <v>5</v>
      </c>
      <c r="H310" s="333" t="s">
        <v>1951</v>
      </c>
      <c r="I310" s="444" t="s">
        <v>44</v>
      </c>
      <c r="J310" s="464"/>
      <c r="K310" s="333"/>
      <c r="L310" s="333"/>
      <c r="M310" s="444"/>
    </row>
    <row r="311" spans="1:13" ht="72" x14ac:dyDescent="0.85">
      <c r="A311" s="448" t="s">
        <v>1952</v>
      </c>
      <c r="B311" s="471" t="s">
        <v>1953</v>
      </c>
      <c r="C311" s="530">
        <v>32043632</v>
      </c>
      <c r="D311" s="530">
        <v>0</v>
      </c>
      <c r="E311" s="416" t="s">
        <v>1958</v>
      </c>
      <c r="F311" s="464" t="s">
        <v>1959</v>
      </c>
      <c r="G311" s="333">
        <v>5</v>
      </c>
      <c r="H311" s="333" t="s">
        <v>1951</v>
      </c>
      <c r="I311" s="444" t="s">
        <v>38</v>
      </c>
      <c r="J311" s="481"/>
      <c r="K311" s="333"/>
      <c r="L311" s="333"/>
      <c r="M311" s="444"/>
    </row>
    <row r="312" spans="1:13" ht="72" x14ac:dyDescent="0.85">
      <c r="A312" s="448" t="s">
        <v>1952</v>
      </c>
      <c r="B312" s="508" t="s">
        <v>1953</v>
      </c>
      <c r="C312" s="385">
        <v>32045514</v>
      </c>
      <c r="D312" s="385">
        <v>0</v>
      </c>
      <c r="E312" s="416" t="s">
        <v>1960</v>
      </c>
      <c r="F312" s="481" t="s">
        <v>1961</v>
      </c>
      <c r="G312" s="333">
        <v>5</v>
      </c>
      <c r="H312" s="333" t="s">
        <v>1951</v>
      </c>
      <c r="I312" s="444" t="s">
        <v>38</v>
      </c>
      <c r="J312" s="481"/>
      <c r="K312" s="333"/>
      <c r="L312" s="333"/>
      <c r="M312" s="454"/>
    </row>
    <row r="313" spans="1:13" ht="48" x14ac:dyDescent="0.85">
      <c r="A313" s="506" t="s">
        <v>198</v>
      </c>
      <c r="B313" s="467" t="s">
        <v>61</v>
      </c>
      <c r="C313" s="339">
        <v>32175115</v>
      </c>
      <c r="D313" s="339" t="s">
        <v>196</v>
      </c>
      <c r="E313" s="311" t="s">
        <v>199</v>
      </c>
      <c r="F313" s="481" t="s">
        <v>200</v>
      </c>
      <c r="G313" s="333">
        <v>6</v>
      </c>
      <c r="H313" s="333" t="s">
        <v>197</v>
      </c>
      <c r="I313" s="454" t="s">
        <v>62</v>
      </c>
      <c r="J313" s="481"/>
      <c r="K313" s="333"/>
      <c r="L313" s="333"/>
      <c r="M313" s="454"/>
    </row>
    <row r="314" spans="1:13" ht="48" x14ac:dyDescent="0.85">
      <c r="A314" s="501" t="s">
        <v>198</v>
      </c>
      <c r="B314" s="471" t="s">
        <v>61</v>
      </c>
      <c r="C314" s="339">
        <v>32197975</v>
      </c>
      <c r="D314" s="339" t="s">
        <v>196</v>
      </c>
      <c r="E314" s="311" t="s">
        <v>201</v>
      </c>
      <c r="F314" s="481" t="s">
        <v>202</v>
      </c>
      <c r="G314" s="333">
        <v>6</v>
      </c>
      <c r="H314" s="333" t="s">
        <v>197</v>
      </c>
      <c r="I314" s="454" t="s">
        <v>47</v>
      </c>
      <c r="J314" s="464"/>
      <c r="K314" s="333"/>
      <c r="L314" s="333"/>
      <c r="M314" s="454"/>
    </row>
    <row r="315" spans="1:13" ht="48" x14ac:dyDescent="0.85">
      <c r="A315" s="506" t="s">
        <v>198</v>
      </c>
      <c r="B315" s="508" t="s">
        <v>61</v>
      </c>
      <c r="C315" s="339">
        <v>32183480</v>
      </c>
      <c r="D315" s="339" t="s">
        <v>196</v>
      </c>
      <c r="E315" s="333" t="s">
        <v>203</v>
      </c>
      <c r="F315" s="464" t="s">
        <v>204</v>
      </c>
      <c r="G315" s="333">
        <v>6</v>
      </c>
      <c r="H315" s="333" t="s">
        <v>197</v>
      </c>
      <c r="I315" s="454" t="s">
        <v>47</v>
      </c>
      <c r="J315" s="464"/>
      <c r="K315" s="333"/>
      <c r="L315" s="376"/>
      <c r="M315" s="444"/>
    </row>
    <row r="316" spans="1:13" ht="48" x14ac:dyDescent="0.85">
      <c r="A316" s="506" t="s">
        <v>198</v>
      </c>
      <c r="B316" s="471" t="s">
        <v>61</v>
      </c>
      <c r="C316" s="408">
        <v>32176720</v>
      </c>
      <c r="D316" s="408" t="s">
        <v>196</v>
      </c>
      <c r="E316" s="352" t="s">
        <v>205</v>
      </c>
      <c r="F316" s="464" t="s">
        <v>206</v>
      </c>
      <c r="G316" s="333">
        <v>6</v>
      </c>
      <c r="H316" s="376" t="s">
        <v>197</v>
      </c>
      <c r="I316" s="444" t="s">
        <v>35</v>
      </c>
      <c r="J316" s="481"/>
      <c r="K316" s="333"/>
      <c r="L316" s="333"/>
      <c r="M316" s="454"/>
    </row>
    <row r="317" spans="1:13" ht="48" x14ac:dyDescent="0.85">
      <c r="A317" s="506" t="s">
        <v>198</v>
      </c>
      <c r="B317" s="471" t="s">
        <v>61</v>
      </c>
      <c r="C317" s="339">
        <v>32149237</v>
      </c>
      <c r="D317" s="339" t="s">
        <v>196</v>
      </c>
      <c r="E317" s="333" t="s">
        <v>207</v>
      </c>
      <c r="F317" s="481" t="s">
        <v>208</v>
      </c>
      <c r="G317" s="333">
        <v>6</v>
      </c>
      <c r="H317" s="333" t="s">
        <v>197</v>
      </c>
      <c r="I317" s="454" t="s">
        <v>56</v>
      </c>
      <c r="J317" s="481"/>
      <c r="K317" s="333"/>
      <c r="L317" s="333"/>
      <c r="M317" s="454"/>
    </row>
    <row r="318" spans="1:13" ht="72" x14ac:dyDescent="0.85">
      <c r="A318" s="506" t="s">
        <v>198</v>
      </c>
      <c r="B318" s="471" t="s">
        <v>61</v>
      </c>
      <c r="C318" s="339">
        <v>32181712</v>
      </c>
      <c r="D318" s="339" t="s">
        <v>196</v>
      </c>
      <c r="E318" s="333" t="s">
        <v>209</v>
      </c>
      <c r="F318" s="481" t="s">
        <v>210</v>
      </c>
      <c r="G318" s="333">
        <v>6</v>
      </c>
      <c r="H318" s="333" t="s">
        <v>197</v>
      </c>
      <c r="I318" s="454" t="s">
        <v>44</v>
      </c>
      <c r="J318" s="481"/>
      <c r="K318" s="333"/>
      <c r="L318" s="333"/>
      <c r="M318" s="454"/>
    </row>
    <row r="319" spans="1:13" ht="48" x14ac:dyDescent="0.85">
      <c r="A319" s="523" t="s">
        <v>1737</v>
      </c>
      <c r="B319" s="471" t="s">
        <v>1738</v>
      </c>
      <c r="C319" s="339">
        <v>32216902</v>
      </c>
      <c r="D319" s="339" t="s">
        <v>1735</v>
      </c>
      <c r="E319" s="311" t="s">
        <v>1739</v>
      </c>
      <c r="F319" s="481" t="s">
        <v>1740</v>
      </c>
      <c r="G319" s="333">
        <v>8</v>
      </c>
      <c r="H319" s="333" t="s">
        <v>1741</v>
      </c>
      <c r="I319" s="454" t="s">
        <v>44</v>
      </c>
      <c r="J319" s="468"/>
      <c r="K319" s="333"/>
      <c r="L319" s="333"/>
      <c r="M319" s="454"/>
    </row>
    <row r="320" spans="1:13" ht="48" x14ac:dyDescent="0.85">
      <c r="A320" s="523" t="s">
        <v>1737</v>
      </c>
      <c r="B320" s="471" t="s">
        <v>1738</v>
      </c>
      <c r="C320" s="339">
        <v>32180199</v>
      </c>
      <c r="D320" s="339" t="s">
        <v>1735</v>
      </c>
      <c r="E320" s="311" t="s">
        <v>2338</v>
      </c>
      <c r="F320" s="468" t="s">
        <v>2339</v>
      </c>
      <c r="G320" s="333">
        <v>8</v>
      </c>
      <c r="H320" s="333" t="s">
        <v>1741</v>
      </c>
      <c r="I320" s="454" t="s">
        <v>260</v>
      </c>
      <c r="J320" s="464"/>
      <c r="K320" s="333"/>
      <c r="L320" s="333"/>
      <c r="M320" s="454"/>
    </row>
    <row r="321" spans="1:13" ht="48" x14ac:dyDescent="0.85">
      <c r="A321" s="523" t="s">
        <v>1737</v>
      </c>
      <c r="B321" s="471" t="s">
        <v>1738</v>
      </c>
      <c r="C321" s="339">
        <v>32045325</v>
      </c>
      <c r="D321" s="339" t="s">
        <v>1735</v>
      </c>
      <c r="E321" s="311" t="s">
        <v>1742</v>
      </c>
      <c r="F321" s="464" t="s">
        <v>1743</v>
      </c>
      <c r="G321" s="333">
        <v>8</v>
      </c>
      <c r="H321" s="333" t="s">
        <v>1741</v>
      </c>
      <c r="I321" s="454" t="s">
        <v>1</v>
      </c>
      <c r="J321" s="464"/>
      <c r="K321" s="333"/>
      <c r="L321" s="333"/>
      <c r="M321" s="454"/>
    </row>
    <row r="322" spans="1:13" ht="48" x14ac:dyDescent="0.85">
      <c r="A322" s="523" t="s">
        <v>1737</v>
      </c>
      <c r="B322" s="491" t="s">
        <v>1738</v>
      </c>
      <c r="C322" s="339">
        <v>32045068</v>
      </c>
      <c r="D322" s="339" t="s">
        <v>1735</v>
      </c>
      <c r="E322" s="311" t="s">
        <v>1744</v>
      </c>
      <c r="F322" s="464" t="s">
        <v>1745</v>
      </c>
      <c r="G322" s="333">
        <v>8</v>
      </c>
      <c r="H322" s="333" t="s">
        <v>1741</v>
      </c>
      <c r="I322" s="454" t="s">
        <v>47</v>
      </c>
      <c r="J322" s="464"/>
      <c r="K322" s="333"/>
      <c r="L322" s="333"/>
      <c r="M322" s="454"/>
    </row>
    <row r="323" spans="1:13" ht="48" x14ac:dyDescent="0.85">
      <c r="A323" s="523" t="s">
        <v>1737</v>
      </c>
      <c r="B323" s="471" t="s">
        <v>1738</v>
      </c>
      <c r="C323" s="339">
        <v>32046004</v>
      </c>
      <c r="D323" s="339" t="s">
        <v>1735</v>
      </c>
      <c r="E323" s="311" t="s">
        <v>1746</v>
      </c>
      <c r="F323" s="464" t="s">
        <v>1747</v>
      </c>
      <c r="G323" s="333">
        <v>8</v>
      </c>
      <c r="H323" s="333" t="s">
        <v>1741</v>
      </c>
      <c r="I323" s="454" t="s">
        <v>260</v>
      </c>
      <c r="J323" s="464"/>
      <c r="K323" s="333"/>
      <c r="L323" s="333"/>
      <c r="M323" s="454"/>
    </row>
    <row r="324" spans="1:13" ht="48" x14ac:dyDescent="0.85">
      <c r="A324" s="523" t="s">
        <v>1737</v>
      </c>
      <c r="B324" s="508" t="s">
        <v>1738</v>
      </c>
      <c r="C324" s="339">
        <v>32046598</v>
      </c>
      <c r="D324" s="339" t="s">
        <v>1735</v>
      </c>
      <c r="E324" s="311" t="s">
        <v>1748</v>
      </c>
      <c r="F324" s="464" t="s">
        <v>1749</v>
      </c>
      <c r="G324" s="333">
        <v>8</v>
      </c>
      <c r="H324" s="333" t="s">
        <v>1741</v>
      </c>
      <c r="I324" s="454" t="s">
        <v>62</v>
      </c>
      <c r="J324" s="464"/>
      <c r="K324" s="333"/>
      <c r="L324" s="333"/>
      <c r="M324" s="444"/>
    </row>
    <row r="325" spans="1:13" ht="48" x14ac:dyDescent="0.85">
      <c r="A325" s="523" t="s">
        <v>1737</v>
      </c>
      <c r="B325" s="471" t="s">
        <v>1738</v>
      </c>
      <c r="C325" s="408">
        <v>32044358</v>
      </c>
      <c r="D325" s="408" t="s">
        <v>1735</v>
      </c>
      <c r="E325" s="352" t="s">
        <v>1750</v>
      </c>
      <c r="F325" s="464" t="s">
        <v>1751</v>
      </c>
      <c r="G325" s="333">
        <v>8</v>
      </c>
      <c r="H325" s="333" t="s">
        <v>1741</v>
      </c>
      <c r="I325" s="444" t="s">
        <v>1</v>
      </c>
      <c r="J325" s="481"/>
      <c r="K325" s="333"/>
      <c r="L325" s="333"/>
      <c r="M325" s="454"/>
    </row>
    <row r="326" spans="1:13" ht="72" x14ac:dyDescent="0.85">
      <c r="A326" s="523" t="s">
        <v>1737</v>
      </c>
      <c r="B326" s="471" t="s">
        <v>1738</v>
      </c>
      <c r="C326" s="339">
        <v>32046184</v>
      </c>
      <c r="D326" s="339" t="s">
        <v>1735</v>
      </c>
      <c r="E326" s="311" t="s">
        <v>1752</v>
      </c>
      <c r="F326" s="481" t="s">
        <v>1753</v>
      </c>
      <c r="G326" s="333">
        <v>8</v>
      </c>
      <c r="H326" s="333" t="s">
        <v>1741</v>
      </c>
      <c r="I326" s="454" t="s">
        <v>260</v>
      </c>
      <c r="J326" s="464"/>
      <c r="K326" s="333"/>
      <c r="L326" s="333"/>
      <c r="M326" s="444"/>
    </row>
    <row r="327" spans="1:13" ht="48" x14ac:dyDescent="0.85">
      <c r="A327" s="448" t="s">
        <v>1963</v>
      </c>
      <c r="B327" s="471" t="s">
        <v>1964</v>
      </c>
      <c r="C327" s="339">
        <v>32045544</v>
      </c>
      <c r="D327" s="339">
        <v>0</v>
      </c>
      <c r="E327" s="333" t="s">
        <v>1965</v>
      </c>
      <c r="F327" s="464" t="s">
        <v>1966</v>
      </c>
      <c r="G327" s="333">
        <v>13</v>
      </c>
      <c r="H327" s="333" t="s">
        <v>1962</v>
      </c>
      <c r="I327" s="444" t="s">
        <v>1858</v>
      </c>
      <c r="J327" s="481"/>
      <c r="K327" s="333"/>
      <c r="L327" s="333"/>
      <c r="M327" s="444"/>
    </row>
    <row r="328" spans="1:13" ht="72" x14ac:dyDescent="0.85">
      <c r="A328" s="448" t="s">
        <v>1963</v>
      </c>
      <c r="B328" s="508" t="s">
        <v>1964</v>
      </c>
      <c r="C328" s="339">
        <v>32044266</v>
      </c>
      <c r="D328" s="339">
        <v>0</v>
      </c>
      <c r="E328" s="333" t="s">
        <v>1967</v>
      </c>
      <c r="F328" s="481" t="s">
        <v>1968</v>
      </c>
      <c r="G328" s="333">
        <v>13</v>
      </c>
      <c r="H328" s="333" t="s">
        <v>1962</v>
      </c>
      <c r="I328" s="444" t="s">
        <v>1858</v>
      </c>
      <c r="J328" s="464"/>
      <c r="K328" s="333"/>
      <c r="L328" s="333"/>
      <c r="M328" s="444"/>
    </row>
    <row r="329" spans="1:13" ht="48" x14ac:dyDescent="0.85">
      <c r="A329" s="448" t="s">
        <v>1963</v>
      </c>
      <c r="B329" s="471" t="s">
        <v>1964</v>
      </c>
      <c r="C329" s="339">
        <v>32045442</v>
      </c>
      <c r="D329" s="339">
        <v>0</v>
      </c>
      <c r="E329" s="333" t="s">
        <v>1969</v>
      </c>
      <c r="F329" s="464" t="s">
        <v>1970</v>
      </c>
      <c r="G329" s="333">
        <v>13</v>
      </c>
      <c r="H329" s="333" t="s">
        <v>1962</v>
      </c>
      <c r="I329" s="444" t="s">
        <v>1858</v>
      </c>
      <c r="J329" s="464"/>
      <c r="K329" s="333"/>
      <c r="L329" s="333"/>
      <c r="M329" s="454"/>
    </row>
    <row r="330" spans="1:13" ht="48" x14ac:dyDescent="0.85">
      <c r="A330" s="448" t="s">
        <v>1963</v>
      </c>
      <c r="B330" s="471" t="s">
        <v>1964</v>
      </c>
      <c r="C330" s="339">
        <v>32045490</v>
      </c>
      <c r="D330" s="339">
        <v>0</v>
      </c>
      <c r="E330" s="333" t="s">
        <v>1971</v>
      </c>
      <c r="F330" s="464" t="s">
        <v>1972</v>
      </c>
      <c r="G330" s="333">
        <v>13</v>
      </c>
      <c r="H330" s="333" t="s">
        <v>1962</v>
      </c>
      <c r="I330" s="454" t="s">
        <v>38</v>
      </c>
      <c r="J330" s="464"/>
      <c r="K330" s="333"/>
      <c r="L330" s="333"/>
      <c r="M330" s="444"/>
    </row>
    <row r="331" spans="1:13" ht="48" x14ac:dyDescent="0.85">
      <c r="A331" s="448" t="s">
        <v>1963</v>
      </c>
      <c r="B331" s="471" t="s">
        <v>1964</v>
      </c>
      <c r="C331" s="339">
        <v>32045840</v>
      </c>
      <c r="D331" s="339">
        <v>0</v>
      </c>
      <c r="E331" s="333" t="s">
        <v>1973</v>
      </c>
      <c r="F331" s="464" t="s">
        <v>1974</v>
      </c>
      <c r="G331" s="333">
        <v>13</v>
      </c>
      <c r="H331" s="333" t="s">
        <v>1962</v>
      </c>
      <c r="I331" s="444" t="s">
        <v>1858</v>
      </c>
      <c r="J331" s="464"/>
      <c r="K331" s="333"/>
      <c r="L331" s="333"/>
      <c r="M331" s="454"/>
    </row>
    <row r="332" spans="1:13" ht="48" x14ac:dyDescent="0.85">
      <c r="A332" s="448" t="s">
        <v>1963</v>
      </c>
      <c r="B332" s="471" t="s">
        <v>1964</v>
      </c>
      <c r="C332" s="339">
        <v>32045441</v>
      </c>
      <c r="D332" s="339">
        <v>0</v>
      </c>
      <c r="E332" s="333" t="s">
        <v>1975</v>
      </c>
      <c r="F332" s="464" t="s">
        <v>1976</v>
      </c>
      <c r="G332" s="333">
        <v>13</v>
      </c>
      <c r="H332" s="333" t="s">
        <v>1962</v>
      </c>
      <c r="I332" s="454" t="s">
        <v>38</v>
      </c>
      <c r="J332" s="464"/>
      <c r="K332" s="333"/>
      <c r="L332" s="376"/>
      <c r="M332" s="444"/>
    </row>
    <row r="333" spans="1:13" ht="72" x14ac:dyDescent="0.85">
      <c r="A333" s="522" t="s">
        <v>1963</v>
      </c>
      <c r="B333" s="471" t="s">
        <v>1964</v>
      </c>
      <c r="C333" s="408">
        <v>32132187</v>
      </c>
      <c r="D333" s="408">
        <v>0</v>
      </c>
      <c r="E333" s="376" t="s">
        <v>1977</v>
      </c>
      <c r="F333" s="464" t="s">
        <v>1978</v>
      </c>
      <c r="G333" s="333">
        <v>13</v>
      </c>
      <c r="H333" s="376" t="s">
        <v>1962</v>
      </c>
      <c r="I333" s="444" t="s">
        <v>47</v>
      </c>
      <c r="J333" s="464"/>
      <c r="K333" s="333"/>
      <c r="L333" s="376"/>
      <c r="M333" s="444"/>
    </row>
    <row r="334" spans="1:13" ht="48" x14ac:dyDescent="0.85">
      <c r="A334" s="522" t="s">
        <v>1963</v>
      </c>
      <c r="B334" s="471" t="s">
        <v>1964</v>
      </c>
      <c r="C334" s="408">
        <v>32045491</v>
      </c>
      <c r="D334" s="474">
        <v>0</v>
      </c>
      <c r="E334" s="377" t="s">
        <v>1979</v>
      </c>
      <c r="F334" s="464" t="s">
        <v>1980</v>
      </c>
      <c r="G334" s="333">
        <v>13</v>
      </c>
      <c r="H334" s="376" t="s">
        <v>1962</v>
      </c>
      <c r="I334" s="444" t="s">
        <v>44</v>
      </c>
      <c r="J334" s="464"/>
      <c r="K334" s="333"/>
      <c r="L334" s="376"/>
      <c r="M334" s="454"/>
    </row>
    <row r="335" spans="1:13" ht="48" x14ac:dyDescent="0.85">
      <c r="A335" s="522" t="s">
        <v>1963</v>
      </c>
      <c r="B335" s="491" t="s">
        <v>1964</v>
      </c>
      <c r="C335" s="408">
        <v>32045857</v>
      </c>
      <c r="D335" s="408">
        <v>0</v>
      </c>
      <c r="E335" s="333" t="s">
        <v>1981</v>
      </c>
      <c r="F335" s="464" t="s">
        <v>1982</v>
      </c>
      <c r="G335" s="333">
        <v>13</v>
      </c>
      <c r="H335" s="376" t="s">
        <v>1962</v>
      </c>
      <c r="I335" s="454" t="s">
        <v>47</v>
      </c>
      <c r="J335" s="464"/>
      <c r="K335" s="333"/>
      <c r="L335" s="376"/>
      <c r="M335" s="454"/>
    </row>
    <row r="336" spans="1:13" ht="48" x14ac:dyDescent="0.85">
      <c r="A336" s="470" t="s">
        <v>1963</v>
      </c>
      <c r="B336" s="471" t="s">
        <v>1964</v>
      </c>
      <c r="C336" s="408">
        <v>32045419</v>
      </c>
      <c r="D336" s="408">
        <v>0</v>
      </c>
      <c r="E336" s="333" t="s">
        <v>1983</v>
      </c>
      <c r="F336" s="464" t="s">
        <v>1984</v>
      </c>
      <c r="G336" s="333">
        <v>13</v>
      </c>
      <c r="H336" s="376" t="s">
        <v>1962</v>
      </c>
      <c r="I336" s="454" t="s">
        <v>44</v>
      </c>
      <c r="J336" s="464"/>
      <c r="K336" s="333"/>
      <c r="L336" s="376"/>
      <c r="M336" s="454"/>
    </row>
    <row r="337" spans="1:13" ht="48" x14ac:dyDescent="0.85">
      <c r="A337" s="516" t="s">
        <v>1963</v>
      </c>
      <c r="B337" s="508" t="s">
        <v>1964</v>
      </c>
      <c r="C337" s="408">
        <v>32044798</v>
      </c>
      <c r="D337" s="408">
        <v>0</v>
      </c>
      <c r="E337" s="333" t="s">
        <v>1985</v>
      </c>
      <c r="F337" s="464" t="s">
        <v>1986</v>
      </c>
      <c r="G337" s="333">
        <v>13</v>
      </c>
      <c r="H337" s="376" t="s">
        <v>1962</v>
      </c>
      <c r="I337" s="454" t="s">
        <v>38</v>
      </c>
      <c r="J337" s="464"/>
      <c r="K337" s="333"/>
      <c r="L337" s="376"/>
      <c r="M337" s="454"/>
    </row>
    <row r="338" spans="1:13" ht="72" x14ac:dyDescent="0.85">
      <c r="A338" s="522" t="s">
        <v>1963</v>
      </c>
      <c r="B338" s="471" t="s">
        <v>1964</v>
      </c>
      <c r="C338" s="408">
        <v>32044309</v>
      </c>
      <c r="D338" s="408">
        <v>0</v>
      </c>
      <c r="E338" s="333" t="s">
        <v>1987</v>
      </c>
      <c r="F338" s="464" t="s">
        <v>1988</v>
      </c>
      <c r="G338" s="333">
        <v>13</v>
      </c>
      <c r="H338" s="376" t="s">
        <v>1962</v>
      </c>
      <c r="I338" s="454" t="s">
        <v>44</v>
      </c>
      <c r="J338" s="464"/>
      <c r="K338" s="333"/>
      <c r="L338" s="376"/>
      <c r="M338" s="454"/>
    </row>
    <row r="339" spans="1:13" ht="48" x14ac:dyDescent="0.85">
      <c r="A339" s="516" t="s">
        <v>1963</v>
      </c>
      <c r="B339" s="471" t="s">
        <v>1964</v>
      </c>
      <c r="C339" s="408">
        <v>32044517</v>
      </c>
      <c r="D339" s="408">
        <v>0</v>
      </c>
      <c r="E339" s="333" t="s">
        <v>1989</v>
      </c>
      <c r="F339" s="464" t="s">
        <v>1990</v>
      </c>
      <c r="G339" s="333">
        <v>13</v>
      </c>
      <c r="H339" s="376" t="s">
        <v>1962</v>
      </c>
      <c r="I339" s="454" t="s">
        <v>47</v>
      </c>
      <c r="J339" s="469"/>
      <c r="K339" s="333"/>
      <c r="L339" s="333"/>
      <c r="M339" s="444"/>
    </row>
    <row r="340" spans="1:13" ht="72" x14ac:dyDescent="0.85">
      <c r="A340" s="503" t="s">
        <v>1755</v>
      </c>
      <c r="B340" s="467" t="s">
        <v>51</v>
      </c>
      <c r="C340" s="504">
        <v>32229375</v>
      </c>
      <c r="D340" s="505" t="s">
        <v>1589</v>
      </c>
      <c r="E340" s="311" t="s">
        <v>1756</v>
      </c>
      <c r="F340" s="469" t="s">
        <v>61</v>
      </c>
      <c r="G340" s="333">
        <v>5</v>
      </c>
      <c r="H340" s="333" t="s">
        <v>1754</v>
      </c>
      <c r="I340" s="444" t="s">
        <v>260</v>
      </c>
      <c r="J340" s="469"/>
      <c r="K340" s="333"/>
      <c r="L340" s="333"/>
      <c r="M340" s="454"/>
    </row>
    <row r="341" spans="1:13" ht="72" x14ac:dyDescent="0.85">
      <c r="A341" s="503" t="s">
        <v>1755</v>
      </c>
      <c r="B341" s="471" t="s">
        <v>51</v>
      </c>
      <c r="C341" s="526">
        <v>32044057</v>
      </c>
      <c r="D341" s="505" t="s">
        <v>1589</v>
      </c>
      <c r="E341" s="311" t="s">
        <v>1757</v>
      </c>
      <c r="F341" s="469" t="s">
        <v>61</v>
      </c>
      <c r="G341" s="333">
        <v>5</v>
      </c>
      <c r="H341" s="333" t="s">
        <v>1754</v>
      </c>
      <c r="I341" s="454" t="s">
        <v>35</v>
      </c>
      <c r="J341" s="311"/>
      <c r="K341" s="333"/>
      <c r="L341" s="333"/>
      <c r="M341" s="454"/>
    </row>
    <row r="342" spans="1:13" ht="72" x14ac:dyDescent="0.85">
      <c r="A342" s="503" t="s">
        <v>1755</v>
      </c>
      <c r="B342" s="471" t="s">
        <v>51</v>
      </c>
      <c r="C342" s="526">
        <v>32180190</v>
      </c>
      <c r="D342" s="505" t="s">
        <v>1589</v>
      </c>
      <c r="E342" s="311" t="s">
        <v>1758</v>
      </c>
      <c r="F342" s="311" t="s">
        <v>61</v>
      </c>
      <c r="G342" s="333">
        <v>5</v>
      </c>
      <c r="H342" s="333" t="s">
        <v>1754</v>
      </c>
      <c r="I342" s="454" t="s">
        <v>47</v>
      </c>
      <c r="J342" s="311"/>
      <c r="K342" s="333"/>
      <c r="L342" s="333"/>
      <c r="M342" s="454"/>
    </row>
    <row r="343" spans="1:13" ht="72" x14ac:dyDescent="0.85">
      <c r="A343" s="503" t="s">
        <v>1755</v>
      </c>
      <c r="B343" s="471" t="s">
        <v>51</v>
      </c>
      <c r="C343" s="526">
        <v>32227711</v>
      </c>
      <c r="D343" s="505" t="s">
        <v>1589</v>
      </c>
      <c r="E343" s="311" t="s">
        <v>1759</v>
      </c>
      <c r="F343" s="311" t="s">
        <v>61</v>
      </c>
      <c r="G343" s="333">
        <v>5</v>
      </c>
      <c r="H343" s="333" t="s">
        <v>1754</v>
      </c>
      <c r="I343" s="454" t="s">
        <v>1</v>
      </c>
      <c r="J343" s="311"/>
      <c r="K343" s="333"/>
      <c r="L343" s="333"/>
      <c r="M343" s="454"/>
    </row>
    <row r="344" spans="1:13" ht="72" x14ac:dyDescent="0.85">
      <c r="A344" s="503" t="s">
        <v>1755</v>
      </c>
      <c r="B344" s="491" t="s">
        <v>51</v>
      </c>
      <c r="C344" s="526">
        <v>32057886</v>
      </c>
      <c r="D344" s="505" t="s">
        <v>1589</v>
      </c>
      <c r="E344" s="311" t="s">
        <v>1760</v>
      </c>
      <c r="F344" s="311" t="s">
        <v>61</v>
      </c>
      <c r="G344" s="333">
        <v>5</v>
      </c>
      <c r="H344" s="333" t="s">
        <v>1754</v>
      </c>
      <c r="I344" s="454" t="s">
        <v>44</v>
      </c>
      <c r="J344" s="469"/>
      <c r="K344" s="333"/>
      <c r="L344" s="333"/>
      <c r="M344" s="510"/>
    </row>
    <row r="345" spans="1:13" ht="48" x14ac:dyDescent="0.85">
      <c r="A345" s="501" t="s">
        <v>1762</v>
      </c>
      <c r="B345" s="471" t="s">
        <v>1763</v>
      </c>
      <c r="C345" s="531">
        <v>32045437</v>
      </c>
      <c r="D345" s="531" t="s">
        <v>1614</v>
      </c>
      <c r="E345" s="491" t="s">
        <v>1764</v>
      </c>
      <c r="F345" s="469"/>
      <c r="G345" s="333">
        <v>17</v>
      </c>
      <c r="H345" s="333" t="s">
        <v>1761</v>
      </c>
      <c r="I345" s="510" t="s">
        <v>369</v>
      </c>
      <c r="J345" s="469"/>
      <c r="K345" s="333"/>
      <c r="L345" s="333"/>
      <c r="M345" s="510"/>
    </row>
    <row r="346" spans="1:13" ht="48" x14ac:dyDescent="0.85">
      <c r="A346" s="501" t="s">
        <v>1762</v>
      </c>
      <c r="B346" s="471" t="s">
        <v>1763</v>
      </c>
      <c r="C346" s="532">
        <v>32198261</v>
      </c>
      <c r="D346" s="532" t="s">
        <v>1614</v>
      </c>
      <c r="E346" s="471" t="s">
        <v>1765</v>
      </c>
      <c r="F346" s="469"/>
      <c r="G346" s="333">
        <v>17</v>
      </c>
      <c r="H346" s="333" t="s">
        <v>1761</v>
      </c>
      <c r="I346" s="510" t="s">
        <v>1621</v>
      </c>
      <c r="J346" s="481"/>
      <c r="K346" s="333"/>
      <c r="L346" s="333"/>
      <c r="M346" s="510"/>
    </row>
    <row r="347" spans="1:13" ht="72" x14ac:dyDescent="0.85">
      <c r="A347" s="506" t="s">
        <v>1762</v>
      </c>
      <c r="B347" s="508" t="s">
        <v>1763</v>
      </c>
      <c r="C347" s="532">
        <v>32044691</v>
      </c>
      <c r="D347" s="532" t="s">
        <v>1614</v>
      </c>
      <c r="E347" s="471" t="s">
        <v>1766</v>
      </c>
      <c r="F347" s="481"/>
      <c r="G347" s="333">
        <v>17</v>
      </c>
      <c r="H347" s="333" t="s">
        <v>1761</v>
      </c>
      <c r="I347" s="510" t="s">
        <v>1621</v>
      </c>
      <c r="J347" s="469"/>
      <c r="K347" s="333"/>
      <c r="L347" s="333"/>
      <c r="M347" s="510"/>
    </row>
    <row r="348" spans="1:13" ht="48" x14ac:dyDescent="0.85">
      <c r="A348" s="506" t="s">
        <v>1762</v>
      </c>
      <c r="B348" s="471" t="s">
        <v>1763</v>
      </c>
      <c r="C348" s="532">
        <v>32044151</v>
      </c>
      <c r="D348" s="532" t="s">
        <v>1614</v>
      </c>
      <c r="E348" s="471" t="s">
        <v>1767</v>
      </c>
      <c r="F348" s="469"/>
      <c r="G348" s="333">
        <v>17</v>
      </c>
      <c r="H348" s="333" t="s">
        <v>1761</v>
      </c>
      <c r="I348" s="510" t="s">
        <v>1623</v>
      </c>
      <c r="J348" s="464"/>
      <c r="K348" s="333"/>
      <c r="L348" s="333"/>
      <c r="M348" s="510"/>
    </row>
    <row r="349" spans="1:13" ht="72" x14ac:dyDescent="0.85">
      <c r="A349" s="506" t="s">
        <v>1762</v>
      </c>
      <c r="B349" s="491" t="s">
        <v>1763</v>
      </c>
      <c r="C349" s="532">
        <v>32180197</v>
      </c>
      <c r="D349" s="532" t="s">
        <v>1614</v>
      </c>
      <c r="E349" s="471" t="s">
        <v>1768</v>
      </c>
      <c r="F349" s="464"/>
      <c r="G349" s="333">
        <v>17</v>
      </c>
      <c r="H349" s="333" t="s">
        <v>1761</v>
      </c>
      <c r="I349" s="510" t="s">
        <v>1631</v>
      </c>
      <c r="J349" s="464"/>
      <c r="K349" s="333"/>
      <c r="L349" s="333"/>
      <c r="M349" s="510"/>
    </row>
    <row r="350" spans="1:13" ht="48" x14ac:dyDescent="0.85">
      <c r="A350" s="506" t="s">
        <v>1762</v>
      </c>
      <c r="B350" s="471" t="s">
        <v>1763</v>
      </c>
      <c r="C350" s="532">
        <v>32043972</v>
      </c>
      <c r="D350" s="532" t="s">
        <v>1614</v>
      </c>
      <c r="E350" s="471" t="s">
        <v>1769</v>
      </c>
      <c r="F350" s="464"/>
      <c r="G350" s="333">
        <v>17</v>
      </c>
      <c r="H350" s="333" t="s">
        <v>1761</v>
      </c>
      <c r="I350" s="510" t="s">
        <v>1619</v>
      </c>
      <c r="J350" s="311"/>
      <c r="K350" s="333"/>
      <c r="L350" s="333"/>
      <c r="M350" s="510"/>
    </row>
    <row r="351" spans="1:13" ht="48" x14ac:dyDescent="0.85">
      <c r="A351" s="501" t="s">
        <v>1762</v>
      </c>
      <c r="B351" s="511" t="s">
        <v>1763</v>
      </c>
      <c r="C351" s="532">
        <v>32044712</v>
      </c>
      <c r="D351" s="532" t="s">
        <v>1614</v>
      </c>
      <c r="E351" s="471" t="s">
        <v>1770</v>
      </c>
      <c r="F351" s="311"/>
      <c r="G351" s="333">
        <v>17</v>
      </c>
      <c r="H351" s="333" t="s">
        <v>1761</v>
      </c>
      <c r="I351" s="510" t="s">
        <v>1629</v>
      </c>
      <c r="J351" s="464"/>
      <c r="K351" s="333"/>
      <c r="L351" s="333"/>
      <c r="M351" s="510"/>
    </row>
    <row r="352" spans="1:13" ht="48" x14ac:dyDescent="0.85">
      <c r="A352" s="501" t="s">
        <v>1762</v>
      </c>
      <c r="B352" s="471" t="s">
        <v>1763</v>
      </c>
      <c r="C352" s="532">
        <v>32070294</v>
      </c>
      <c r="D352" s="532" t="s">
        <v>1614</v>
      </c>
      <c r="E352" s="471" t="s">
        <v>1771</v>
      </c>
      <c r="F352" s="464"/>
      <c r="G352" s="333">
        <v>17</v>
      </c>
      <c r="H352" s="333" t="s">
        <v>1761</v>
      </c>
      <c r="I352" s="510" t="s">
        <v>375</v>
      </c>
      <c r="J352" s="464"/>
      <c r="K352" s="333"/>
      <c r="L352" s="333"/>
      <c r="M352" s="510"/>
    </row>
    <row r="353" spans="1:13" ht="48" x14ac:dyDescent="0.85">
      <c r="A353" s="501" t="s">
        <v>1762</v>
      </c>
      <c r="B353" s="467" t="s">
        <v>1763</v>
      </c>
      <c r="C353" s="531">
        <v>32217095</v>
      </c>
      <c r="D353" s="531" t="s">
        <v>1614</v>
      </c>
      <c r="E353" s="491" t="s">
        <v>1772</v>
      </c>
      <c r="F353" s="464"/>
      <c r="G353" s="333">
        <v>17</v>
      </c>
      <c r="H353" s="333" t="s">
        <v>1761</v>
      </c>
      <c r="I353" s="510" t="s">
        <v>369</v>
      </c>
      <c r="J353" s="416"/>
      <c r="K353" s="333"/>
      <c r="L353" s="333"/>
      <c r="M353" s="510"/>
    </row>
    <row r="354" spans="1:13" ht="48" x14ac:dyDescent="0.85">
      <c r="A354" s="501" t="s">
        <v>1762</v>
      </c>
      <c r="B354" s="471" t="s">
        <v>1763</v>
      </c>
      <c r="C354" s="532">
        <v>32045488</v>
      </c>
      <c r="D354" s="532" t="s">
        <v>1614</v>
      </c>
      <c r="E354" s="471" t="s">
        <v>1773</v>
      </c>
      <c r="F354" s="416"/>
      <c r="G354" s="333">
        <v>17</v>
      </c>
      <c r="H354" s="333" t="s">
        <v>1761</v>
      </c>
      <c r="I354" s="510" t="s">
        <v>1631</v>
      </c>
      <c r="J354" s="469"/>
      <c r="K354" s="333"/>
      <c r="L354" s="333"/>
      <c r="M354" s="510"/>
    </row>
    <row r="355" spans="1:13" ht="48" x14ac:dyDescent="0.85">
      <c r="A355" s="501" t="s">
        <v>1762</v>
      </c>
      <c r="B355" s="471" t="s">
        <v>1763</v>
      </c>
      <c r="C355" s="532">
        <v>32046463</v>
      </c>
      <c r="D355" s="532" t="s">
        <v>1614</v>
      </c>
      <c r="E355" s="471" t="s">
        <v>1774</v>
      </c>
      <c r="F355" s="469"/>
      <c r="G355" s="333">
        <v>17</v>
      </c>
      <c r="H355" s="333" t="s">
        <v>1761</v>
      </c>
      <c r="I355" s="510" t="s">
        <v>1623</v>
      </c>
      <c r="J355" s="468"/>
      <c r="K355" s="333"/>
      <c r="L355" s="333"/>
      <c r="M355" s="510"/>
    </row>
    <row r="356" spans="1:13" ht="48" x14ac:dyDescent="0.85">
      <c r="A356" s="501" t="s">
        <v>1762</v>
      </c>
      <c r="B356" s="508" t="s">
        <v>1763</v>
      </c>
      <c r="C356" s="532">
        <v>32229420</v>
      </c>
      <c r="D356" s="532" t="s">
        <v>1614</v>
      </c>
      <c r="E356" s="471" t="s">
        <v>1775</v>
      </c>
      <c r="F356" s="468"/>
      <c r="G356" s="333">
        <v>17</v>
      </c>
      <c r="H356" s="333" t="s">
        <v>1761</v>
      </c>
      <c r="I356" s="510" t="s">
        <v>375</v>
      </c>
      <c r="J356" s="468"/>
      <c r="K356" s="333"/>
      <c r="L356" s="333"/>
      <c r="M356" s="510"/>
    </row>
    <row r="357" spans="1:13" ht="48" x14ac:dyDescent="0.85">
      <c r="A357" s="506" t="s">
        <v>1762</v>
      </c>
      <c r="B357" s="491" t="s">
        <v>1763</v>
      </c>
      <c r="C357" s="532">
        <v>32213362</v>
      </c>
      <c r="D357" s="532" t="s">
        <v>1614</v>
      </c>
      <c r="E357" s="471" t="s">
        <v>1776</v>
      </c>
      <c r="F357" s="468"/>
      <c r="G357" s="333">
        <v>17</v>
      </c>
      <c r="H357" s="333" t="s">
        <v>1761</v>
      </c>
      <c r="I357" s="510" t="s">
        <v>369</v>
      </c>
      <c r="J357" s="464"/>
      <c r="K357" s="333"/>
      <c r="L357" s="333"/>
      <c r="M357" s="510"/>
    </row>
    <row r="358" spans="1:13" ht="48" x14ac:dyDescent="0.85">
      <c r="A358" s="501" t="s">
        <v>1762</v>
      </c>
      <c r="B358" s="471" t="s">
        <v>1763</v>
      </c>
      <c r="C358" s="532">
        <v>32199319</v>
      </c>
      <c r="D358" s="532" t="s">
        <v>1614</v>
      </c>
      <c r="E358" s="471" t="s">
        <v>1777</v>
      </c>
      <c r="F358" s="464"/>
      <c r="G358" s="333">
        <v>17</v>
      </c>
      <c r="H358" s="333" t="s">
        <v>1761</v>
      </c>
      <c r="I358" s="510" t="s">
        <v>1631</v>
      </c>
      <c r="J358" s="464"/>
      <c r="K358" s="333"/>
      <c r="L358" s="333"/>
      <c r="M358" s="510"/>
    </row>
    <row r="359" spans="1:13" ht="48" x14ac:dyDescent="0.85">
      <c r="A359" s="501" t="s">
        <v>1762</v>
      </c>
      <c r="B359" s="467" t="s">
        <v>1763</v>
      </c>
      <c r="C359" s="532">
        <v>32046614</v>
      </c>
      <c r="D359" s="532" t="s">
        <v>1614</v>
      </c>
      <c r="E359" s="471" t="s">
        <v>1778</v>
      </c>
      <c r="F359" s="464"/>
      <c r="G359" s="333">
        <v>17</v>
      </c>
      <c r="H359" s="333" t="s">
        <v>1761</v>
      </c>
      <c r="I359" s="510" t="s">
        <v>1623</v>
      </c>
      <c r="J359" s="416"/>
      <c r="K359" s="333"/>
      <c r="L359" s="333"/>
      <c r="M359" s="510"/>
    </row>
    <row r="360" spans="1:13" ht="48" x14ac:dyDescent="0.85">
      <c r="A360" s="501" t="s">
        <v>1762</v>
      </c>
      <c r="B360" s="471" t="s">
        <v>1763</v>
      </c>
      <c r="C360" s="532">
        <v>32227678</v>
      </c>
      <c r="D360" s="532" t="s">
        <v>1614</v>
      </c>
      <c r="E360" s="471" t="s">
        <v>1779</v>
      </c>
      <c r="F360" s="416"/>
      <c r="G360" s="333">
        <v>17</v>
      </c>
      <c r="H360" s="333" t="s">
        <v>1761</v>
      </c>
      <c r="I360" s="510" t="s">
        <v>1619</v>
      </c>
      <c r="J360" s="469"/>
      <c r="K360" s="333"/>
      <c r="L360" s="333"/>
      <c r="M360" s="510"/>
    </row>
    <row r="361" spans="1:13" ht="48" x14ac:dyDescent="0.85">
      <c r="A361" s="506" t="s">
        <v>1762</v>
      </c>
      <c r="B361" s="491" t="s">
        <v>1763</v>
      </c>
      <c r="C361" s="532">
        <v>32187986</v>
      </c>
      <c r="D361" s="532" t="s">
        <v>1614</v>
      </c>
      <c r="E361" s="471" t="s">
        <v>1780</v>
      </c>
      <c r="F361" s="469"/>
      <c r="G361" s="333">
        <v>17</v>
      </c>
      <c r="H361" s="333" t="s">
        <v>1761</v>
      </c>
      <c r="I361" s="510" t="s">
        <v>1629</v>
      </c>
      <c r="J361" s="464"/>
      <c r="K361" s="376"/>
      <c r="L361" s="376"/>
      <c r="M361" s="454"/>
    </row>
    <row r="362" spans="1:13" ht="72" x14ac:dyDescent="0.85">
      <c r="A362" s="506" t="s">
        <v>2111</v>
      </c>
      <c r="B362" s="508" t="s">
        <v>2112</v>
      </c>
      <c r="C362" s="339">
        <v>32145467</v>
      </c>
      <c r="D362" s="339" t="s">
        <v>2060</v>
      </c>
      <c r="E362" s="311" t="s">
        <v>2113</v>
      </c>
      <c r="F362" s="464" t="s">
        <v>61</v>
      </c>
      <c r="G362" s="376">
        <v>7</v>
      </c>
      <c r="H362" s="376" t="s">
        <v>2110</v>
      </c>
      <c r="I362" s="454" t="s">
        <v>1803</v>
      </c>
      <c r="J362" s="464"/>
      <c r="K362" s="376"/>
      <c r="L362" s="376"/>
      <c r="M362" s="454"/>
    </row>
    <row r="363" spans="1:13" ht="72" x14ac:dyDescent="0.85">
      <c r="A363" s="506" t="s">
        <v>2111</v>
      </c>
      <c r="B363" s="471" t="s">
        <v>2112</v>
      </c>
      <c r="C363" s="339">
        <v>32043741</v>
      </c>
      <c r="D363" s="339" t="s">
        <v>2063</v>
      </c>
      <c r="E363" s="311" t="s">
        <v>2114</v>
      </c>
      <c r="F363" s="464" t="s">
        <v>2115</v>
      </c>
      <c r="G363" s="376">
        <v>7</v>
      </c>
      <c r="H363" s="376" t="s">
        <v>2110</v>
      </c>
      <c r="I363" s="454" t="s">
        <v>1803</v>
      </c>
      <c r="J363" s="464"/>
      <c r="K363" s="376"/>
      <c r="L363" s="376"/>
      <c r="M363" s="444"/>
    </row>
    <row r="364" spans="1:13" ht="72" x14ac:dyDescent="0.85">
      <c r="A364" s="501" t="s">
        <v>2111</v>
      </c>
      <c r="B364" s="467" t="s">
        <v>2112</v>
      </c>
      <c r="C364" s="339">
        <v>32043799</v>
      </c>
      <c r="D364" s="408" t="s">
        <v>2116</v>
      </c>
      <c r="E364" s="352" t="s">
        <v>2117</v>
      </c>
      <c r="F364" s="464" t="s">
        <v>2118</v>
      </c>
      <c r="G364" s="376">
        <v>7</v>
      </c>
      <c r="H364" s="376" t="s">
        <v>2110</v>
      </c>
      <c r="I364" s="444" t="s">
        <v>1806</v>
      </c>
      <c r="J364" s="481"/>
      <c r="K364" s="333"/>
      <c r="L364" s="333"/>
      <c r="M364" s="454"/>
    </row>
    <row r="365" spans="1:13" ht="72" x14ac:dyDescent="0.85">
      <c r="A365" s="501" t="s">
        <v>2111</v>
      </c>
      <c r="B365" s="471" t="s">
        <v>2112</v>
      </c>
      <c r="C365" s="339">
        <v>32043860</v>
      </c>
      <c r="D365" s="339" t="s">
        <v>2054</v>
      </c>
      <c r="E365" s="311" t="s">
        <v>2119</v>
      </c>
      <c r="F365" s="481" t="s">
        <v>2120</v>
      </c>
      <c r="G365" s="333">
        <v>7</v>
      </c>
      <c r="H365" s="333" t="s">
        <v>2110</v>
      </c>
      <c r="I365" s="454" t="s">
        <v>1808</v>
      </c>
      <c r="J365" s="533"/>
      <c r="K365" s="333"/>
      <c r="L365" s="333"/>
      <c r="M365" s="454"/>
    </row>
    <row r="366" spans="1:13" ht="72" x14ac:dyDescent="0.85">
      <c r="A366" s="501" t="s">
        <v>2111</v>
      </c>
      <c r="B366" s="471" t="s">
        <v>2112</v>
      </c>
      <c r="C366" s="339">
        <v>32045871</v>
      </c>
      <c r="D366" s="339" t="s">
        <v>2054</v>
      </c>
      <c r="E366" s="311" t="s">
        <v>2121</v>
      </c>
      <c r="F366" s="533" t="s">
        <v>2122</v>
      </c>
      <c r="G366" s="333">
        <v>7</v>
      </c>
      <c r="H366" s="333" t="s">
        <v>2110</v>
      </c>
      <c r="I366" s="454" t="s">
        <v>1810</v>
      </c>
      <c r="J366" s="525"/>
      <c r="K366" s="333"/>
      <c r="L366" s="333"/>
      <c r="M366" s="454"/>
    </row>
    <row r="367" spans="1:13" ht="72" x14ac:dyDescent="0.85">
      <c r="A367" s="501" t="s">
        <v>2111</v>
      </c>
      <c r="B367" s="471" t="s">
        <v>2112</v>
      </c>
      <c r="C367" s="339">
        <v>32043908</v>
      </c>
      <c r="D367" s="339" t="s">
        <v>2076</v>
      </c>
      <c r="E367" s="311" t="s">
        <v>2123</v>
      </c>
      <c r="F367" s="525" t="s">
        <v>2124</v>
      </c>
      <c r="G367" s="333">
        <v>7</v>
      </c>
      <c r="H367" s="333" t="s">
        <v>2110</v>
      </c>
      <c r="I367" s="454" t="s">
        <v>125</v>
      </c>
      <c r="J367" s="533"/>
      <c r="K367" s="333"/>
      <c r="L367" s="333"/>
      <c r="M367" s="454"/>
    </row>
    <row r="368" spans="1:13" ht="72" x14ac:dyDescent="0.85">
      <c r="A368" s="501" t="s">
        <v>2111</v>
      </c>
      <c r="B368" s="491" t="s">
        <v>2112</v>
      </c>
      <c r="C368" s="339">
        <v>32043916</v>
      </c>
      <c r="D368" s="339" t="s">
        <v>2076</v>
      </c>
      <c r="E368" s="311" t="s">
        <v>2125</v>
      </c>
      <c r="F368" s="533" t="s">
        <v>2126</v>
      </c>
      <c r="G368" s="333">
        <v>7</v>
      </c>
      <c r="H368" s="333" t="s">
        <v>2110</v>
      </c>
      <c r="I368" s="454" t="s">
        <v>1813</v>
      </c>
      <c r="J368" s="352"/>
      <c r="K368" s="333"/>
      <c r="L368" s="311"/>
      <c r="M368" s="454"/>
    </row>
    <row r="369" spans="1:13" ht="72" x14ac:dyDescent="0.85">
      <c r="A369" s="501" t="s">
        <v>1783</v>
      </c>
      <c r="B369" s="534"/>
      <c r="C369" s="339">
        <v>32180199</v>
      </c>
      <c r="D369" s="339" t="s">
        <v>1781</v>
      </c>
      <c r="E369" s="311" t="s">
        <v>1784</v>
      </c>
      <c r="F369" s="352"/>
      <c r="G369" s="333">
        <v>6</v>
      </c>
      <c r="H369" s="311" t="s">
        <v>1782</v>
      </c>
      <c r="I369" s="454" t="s">
        <v>44</v>
      </c>
      <c r="J369" s="478"/>
      <c r="K369" s="333"/>
      <c r="L369" s="311"/>
      <c r="M369" s="454"/>
    </row>
    <row r="370" spans="1:13" ht="72" x14ac:dyDescent="0.85">
      <c r="A370" s="501" t="s">
        <v>1783</v>
      </c>
      <c r="B370" s="534"/>
      <c r="C370" s="339">
        <v>32180202</v>
      </c>
      <c r="D370" s="339" t="s">
        <v>1781</v>
      </c>
      <c r="E370" s="311" t="s">
        <v>1785</v>
      </c>
      <c r="F370" s="478"/>
      <c r="G370" s="333">
        <v>6</v>
      </c>
      <c r="H370" s="311" t="s">
        <v>1782</v>
      </c>
      <c r="I370" s="454" t="s">
        <v>217</v>
      </c>
      <c r="J370" s="478"/>
      <c r="K370" s="333"/>
      <c r="L370" s="311"/>
      <c r="M370" s="454"/>
    </row>
    <row r="371" spans="1:13" ht="72" x14ac:dyDescent="0.85">
      <c r="A371" s="501" t="s">
        <v>1783</v>
      </c>
      <c r="B371" s="534"/>
      <c r="C371" s="339">
        <v>32180384</v>
      </c>
      <c r="D371" s="339" t="s">
        <v>1781</v>
      </c>
      <c r="E371" s="311" t="s">
        <v>1786</v>
      </c>
      <c r="F371" s="478"/>
      <c r="G371" s="333">
        <v>6</v>
      </c>
      <c r="H371" s="311" t="s">
        <v>1782</v>
      </c>
      <c r="I371" s="454" t="s">
        <v>1787</v>
      </c>
      <c r="J371" s="478"/>
      <c r="K371" s="333"/>
      <c r="L371" s="311"/>
      <c r="M371" s="454"/>
    </row>
    <row r="372" spans="1:13" ht="72" x14ac:dyDescent="0.85">
      <c r="A372" s="501" t="s">
        <v>1783</v>
      </c>
      <c r="B372" s="534"/>
      <c r="C372" s="339">
        <v>32230187</v>
      </c>
      <c r="D372" s="339" t="s">
        <v>1781</v>
      </c>
      <c r="E372" s="311" t="s">
        <v>1788</v>
      </c>
      <c r="F372" s="478"/>
      <c r="G372" s="333">
        <v>6</v>
      </c>
      <c r="H372" s="311" t="s">
        <v>1782</v>
      </c>
      <c r="I372" s="454" t="s">
        <v>1789</v>
      </c>
      <c r="J372" s="478"/>
      <c r="K372" s="333"/>
      <c r="L372" s="311"/>
      <c r="M372" s="454"/>
    </row>
    <row r="373" spans="1:13" ht="72" x14ac:dyDescent="0.85">
      <c r="A373" s="501" t="s">
        <v>1783</v>
      </c>
      <c r="B373" s="534"/>
      <c r="C373" s="339">
        <v>32046625</v>
      </c>
      <c r="D373" s="339" t="s">
        <v>1781</v>
      </c>
      <c r="E373" s="311" t="s">
        <v>1790</v>
      </c>
      <c r="F373" s="478"/>
      <c r="G373" s="333">
        <v>6</v>
      </c>
      <c r="H373" s="311" t="s">
        <v>1782</v>
      </c>
      <c r="I373" s="454" t="s">
        <v>1610</v>
      </c>
      <c r="J373" s="478"/>
      <c r="K373" s="376"/>
      <c r="L373" s="311"/>
      <c r="M373" s="444"/>
    </row>
    <row r="374" spans="1:13" ht="72" x14ac:dyDescent="0.85">
      <c r="A374" s="501" t="s">
        <v>1783</v>
      </c>
      <c r="B374" s="534"/>
      <c r="C374" s="339">
        <v>32180206</v>
      </c>
      <c r="D374" s="339" t="s">
        <v>1781</v>
      </c>
      <c r="E374" s="311" t="s">
        <v>1791</v>
      </c>
      <c r="F374" s="478"/>
      <c r="G374" s="376">
        <v>6</v>
      </c>
      <c r="H374" s="311" t="s">
        <v>1782</v>
      </c>
      <c r="I374" s="444" t="s">
        <v>47</v>
      </c>
      <c r="J374" s="352"/>
      <c r="K374" s="333"/>
      <c r="L374" s="333"/>
      <c r="M374" s="510"/>
    </row>
    <row r="375" spans="1:13" ht="48" x14ac:dyDescent="0.85">
      <c r="A375" s="333" t="s">
        <v>1737</v>
      </c>
      <c r="B375" s="534"/>
      <c r="C375" s="339">
        <v>32046498</v>
      </c>
      <c r="D375" s="339" t="s">
        <v>1792</v>
      </c>
      <c r="E375" s="311" t="s">
        <v>1794</v>
      </c>
      <c r="F375" s="352"/>
      <c r="G375" s="333">
        <v>8</v>
      </c>
      <c r="H375" s="333" t="s">
        <v>1793</v>
      </c>
      <c r="I375" s="510" t="s">
        <v>1631</v>
      </c>
      <c r="J375" s="478"/>
      <c r="K375" s="333"/>
      <c r="L375" s="333"/>
      <c r="M375" s="510"/>
    </row>
    <row r="376" spans="1:13" ht="48" x14ac:dyDescent="0.85">
      <c r="A376" s="333" t="s">
        <v>1737</v>
      </c>
      <c r="B376" s="534"/>
      <c r="C376" s="339">
        <v>32211553</v>
      </c>
      <c r="D376" s="339" t="s">
        <v>1792</v>
      </c>
      <c r="E376" s="311" t="s">
        <v>1795</v>
      </c>
      <c r="F376" s="478"/>
      <c r="G376" s="333">
        <v>8</v>
      </c>
      <c r="H376" s="333" t="s">
        <v>1793</v>
      </c>
      <c r="I376" s="510" t="s">
        <v>1623</v>
      </c>
      <c r="J376" s="478"/>
      <c r="K376" s="333"/>
      <c r="L376" s="333"/>
      <c r="M376" s="510"/>
    </row>
    <row r="377" spans="1:13" ht="48" x14ac:dyDescent="0.85">
      <c r="A377" s="333" t="s">
        <v>1737</v>
      </c>
      <c r="B377" s="534"/>
      <c r="C377" s="339">
        <v>32180380</v>
      </c>
      <c r="D377" s="339" t="s">
        <v>1792</v>
      </c>
      <c r="E377" s="311" t="s">
        <v>1796</v>
      </c>
      <c r="F377" s="478"/>
      <c r="G377" s="333">
        <v>8</v>
      </c>
      <c r="H377" s="333" t="s">
        <v>1793</v>
      </c>
      <c r="I377" s="510" t="s">
        <v>1619</v>
      </c>
      <c r="J377" s="478"/>
      <c r="K377" s="333"/>
      <c r="L377" s="333"/>
      <c r="M377" s="510"/>
    </row>
    <row r="378" spans="1:13" ht="48" x14ac:dyDescent="0.85">
      <c r="A378" s="333" t="s">
        <v>1737</v>
      </c>
      <c r="B378" s="534"/>
      <c r="C378" s="339">
        <v>32230181</v>
      </c>
      <c r="D378" s="339" t="s">
        <v>1792</v>
      </c>
      <c r="E378" s="311" t="s">
        <v>1797</v>
      </c>
      <c r="F378" s="478"/>
      <c r="G378" s="333">
        <v>8</v>
      </c>
      <c r="H378" s="333" t="s">
        <v>1793</v>
      </c>
      <c r="I378" s="510" t="s">
        <v>1629</v>
      </c>
      <c r="J378" s="478"/>
      <c r="K378" s="376"/>
      <c r="L378" s="333"/>
      <c r="M378" s="535"/>
    </row>
    <row r="379" spans="1:13" ht="48" x14ac:dyDescent="0.85">
      <c r="A379" s="333" t="s">
        <v>1737</v>
      </c>
      <c r="B379" s="534"/>
      <c r="C379" s="339">
        <v>32180192</v>
      </c>
      <c r="D379" s="339" t="s">
        <v>1792</v>
      </c>
      <c r="E379" s="311" t="s">
        <v>1798</v>
      </c>
      <c r="F379" s="478"/>
      <c r="G379" s="376">
        <v>8</v>
      </c>
      <c r="H379" s="333" t="s">
        <v>1793</v>
      </c>
      <c r="I379" s="535" t="s">
        <v>1629</v>
      </c>
      <c r="J379" s="352"/>
      <c r="K379" s="333"/>
      <c r="L379" s="311"/>
      <c r="M379" s="454"/>
    </row>
    <row r="380" spans="1:13" ht="72" x14ac:dyDescent="0.85">
      <c r="A380" s="333" t="s">
        <v>1800</v>
      </c>
      <c r="B380" s="534"/>
      <c r="C380" s="460">
        <v>32227660</v>
      </c>
      <c r="D380" s="460" t="s">
        <v>1585</v>
      </c>
      <c r="E380" s="333" t="s">
        <v>1801</v>
      </c>
      <c r="F380" s="352"/>
      <c r="G380" s="333">
        <v>9</v>
      </c>
      <c r="H380" s="311" t="s">
        <v>1802</v>
      </c>
      <c r="I380" s="454" t="s">
        <v>1803</v>
      </c>
      <c r="J380" s="478"/>
      <c r="K380" s="333"/>
      <c r="L380" s="311"/>
      <c r="M380" s="454"/>
    </row>
    <row r="381" spans="1:13" ht="48" x14ac:dyDescent="0.85">
      <c r="A381" s="333" t="s">
        <v>1800</v>
      </c>
      <c r="B381" s="534"/>
      <c r="C381" s="460">
        <v>32046512</v>
      </c>
      <c r="D381" s="460" t="s">
        <v>1585</v>
      </c>
      <c r="E381" s="333" t="s">
        <v>1804</v>
      </c>
      <c r="F381" s="478"/>
      <c r="G381" s="333">
        <v>9</v>
      </c>
      <c r="H381" s="311" t="s">
        <v>1802</v>
      </c>
      <c r="I381" s="454" t="s">
        <v>1803</v>
      </c>
      <c r="J381" s="478"/>
      <c r="K381" s="333"/>
      <c r="L381" s="311"/>
      <c r="M381" s="444"/>
    </row>
    <row r="382" spans="1:13" ht="48" x14ac:dyDescent="0.85">
      <c r="A382" s="333" t="s">
        <v>1800</v>
      </c>
      <c r="B382" s="534"/>
      <c r="C382" s="460">
        <v>32044661</v>
      </c>
      <c r="D382" s="460" t="s">
        <v>1585</v>
      </c>
      <c r="E382" s="333" t="s">
        <v>1805</v>
      </c>
      <c r="F382" s="478"/>
      <c r="G382" s="333">
        <v>9</v>
      </c>
      <c r="H382" s="311" t="s">
        <v>1802</v>
      </c>
      <c r="I382" s="444" t="s">
        <v>1806</v>
      </c>
      <c r="J382" s="478"/>
      <c r="K382" s="333"/>
      <c r="L382" s="311"/>
      <c r="M382" s="454"/>
    </row>
    <row r="383" spans="1:13" ht="48" x14ac:dyDescent="0.85">
      <c r="A383" s="333" t="s">
        <v>1800</v>
      </c>
      <c r="B383" s="534"/>
      <c r="C383" s="460">
        <v>32043795</v>
      </c>
      <c r="D383" s="460" t="s">
        <v>1585</v>
      </c>
      <c r="E383" s="333" t="s">
        <v>1807</v>
      </c>
      <c r="F383" s="478"/>
      <c r="G383" s="333">
        <v>9</v>
      </c>
      <c r="H383" s="311" t="s">
        <v>1802</v>
      </c>
      <c r="I383" s="454" t="s">
        <v>1808</v>
      </c>
      <c r="J383" s="478"/>
      <c r="K383" s="333"/>
      <c r="L383" s="311"/>
      <c r="M383" s="454"/>
    </row>
    <row r="384" spans="1:13" ht="48" x14ac:dyDescent="0.85">
      <c r="A384" s="333" t="s">
        <v>1800</v>
      </c>
      <c r="B384" s="534"/>
      <c r="C384" s="460">
        <v>32044555</v>
      </c>
      <c r="D384" s="460" t="s">
        <v>1585</v>
      </c>
      <c r="E384" s="333" t="s">
        <v>1809</v>
      </c>
      <c r="F384" s="478"/>
      <c r="G384" s="333">
        <v>9</v>
      </c>
      <c r="H384" s="311" t="s">
        <v>1802</v>
      </c>
      <c r="I384" s="454" t="s">
        <v>1810</v>
      </c>
      <c r="J384" s="478"/>
      <c r="K384" s="333"/>
      <c r="L384" s="311"/>
      <c r="M384" s="454"/>
    </row>
    <row r="385" spans="1:13" ht="48" x14ac:dyDescent="0.85">
      <c r="A385" s="333" t="s">
        <v>1800</v>
      </c>
      <c r="B385" s="534"/>
      <c r="C385" s="460">
        <v>32046204</v>
      </c>
      <c r="D385" s="460" t="s">
        <v>1585</v>
      </c>
      <c r="E385" s="333" t="s">
        <v>1811</v>
      </c>
      <c r="F385" s="478"/>
      <c r="G385" s="333">
        <v>9</v>
      </c>
      <c r="H385" s="311" t="s">
        <v>1802</v>
      </c>
      <c r="I385" s="454" t="s">
        <v>125</v>
      </c>
      <c r="J385" s="478"/>
      <c r="K385" s="333"/>
      <c r="L385" s="311"/>
      <c r="M385" s="454"/>
    </row>
    <row r="386" spans="1:13" ht="72" x14ac:dyDescent="0.85">
      <c r="A386" s="333" t="s">
        <v>1800</v>
      </c>
      <c r="B386" s="534"/>
      <c r="C386" s="460">
        <v>32045696</v>
      </c>
      <c r="D386" s="460" t="s">
        <v>1585</v>
      </c>
      <c r="E386" s="333" t="s">
        <v>1812</v>
      </c>
      <c r="F386" s="478"/>
      <c r="G386" s="333">
        <v>9</v>
      </c>
      <c r="H386" s="311" t="s">
        <v>1802</v>
      </c>
      <c r="I386" s="454" t="s">
        <v>1813</v>
      </c>
      <c r="J386" s="478"/>
      <c r="K386" s="333"/>
      <c r="L386" s="311"/>
      <c r="M386" s="454"/>
    </row>
    <row r="387" spans="1:13" ht="72" x14ac:dyDescent="0.85">
      <c r="A387" s="333" t="s">
        <v>1800</v>
      </c>
      <c r="B387" s="534"/>
      <c r="C387" s="460">
        <v>32044138</v>
      </c>
      <c r="D387" s="460" t="s">
        <v>1585</v>
      </c>
      <c r="E387" s="333" t="s">
        <v>1814</v>
      </c>
      <c r="F387" s="478"/>
      <c r="G387" s="333">
        <v>9</v>
      </c>
      <c r="H387" s="311" t="s">
        <v>1802</v>
      </c>
      <c r="I387" s="454" t="s">
        <v>1815</v>
      </c>
      <c r="J387" s="478"/>
      <c r="K387" s="376"/>
      <c r="L387" s="311"/>
      <c r="M387" s="444"/>
    </row>
    <row r="388" spans="1:13" ht="48" x14ac:dyDescent="0.85">
      <c r="A388" s="333" t="s">
        <v>1800</v>
      </c>
      <c r="B388" s="534"/>
      <c r="C388" s="460">
        <v>32045430</v>
      </c>
      <c r="D388" s="460" t="s">
        <v>1585</v>
      </c>
      <c r="E388" s="333" t="s">
        <v>1816</v>
      </c>
      <c r="F388" s="478"/>
      <c r="G388" s="376">
        <v>9</v>
      </c>
      <c r="H388" s="311" t="s">
        <v>1802</v>
      </c>
      <c r="I388" s="444" t="s">
        <v>1817</v>
      </c>
      <c r="J388" s="352"/>
      <c r="K388" s="333"/>
      <c r="L388" s="376"/>
      <c r="M388" s="510"/>
    </row>
    <row r="389" spans="1:13" ht="48" x14ac:dyDescent="0.85">
      <c r="A389" s="376" t="s">
        <v>1820</v>
      </c>
      <c r="B389" s="534"/>
      <c r="C389" s="460">
        <v>32092191</v>
      </c>
      <c r="D389" s="460" t="s">
        <v>1818</v>
      </c>
      <c r="E389" s="333" t="s">
        <v>1821</v>
      </c>
      <c r="F389" s="352"/>
      <c r="G389" s="333">
        <v>10</v>
      </c>
      <c r="H389" s="376" t="s">
        <v>1819</v>
      </c>
      <c r="I389" s="510" t="s">
        <v>369</v>
      </c>
      <c r="J389" s="352"/>
      <c r="K389" s="333"/>
      <c r="L389" s="376"/>
      <c r="M389" s="510"/>
    </row>
    <row r="390" spans="1:13" ht="48" x14ac:dyDescent="0.85">
      <c r="A390" s="333" t="s">
        <v>1820</v>
      </c>
      <c r="B390" s="534"/>
      <c r="C390" s="460">
        <v>32068982</v>
      </c>
      <c r="D390" s="460" t="s">
        <v>1818</v>
      </c>
      <c r="E390" s="333" t="s">
        <v>1822</v>
      </c>
      <c r="F390" s="352"/>
      <c r="G390" s="333">
        <v>10</v>
      </c>
      <c r="H390" s="376" t="s">
        <v>1819</v>
      </c>
      <c r="I390" s="510" t="s">
        <v>1621</v>
      </c>
      <c r="J390" s="478"/>
      <c r="K390" s="333"/>
      <c r="L390" s="376"/>
      <c r="M390" s="510"/>
    </row>
    <row r="391" spans="1:13" ht="48" x14ac:dyDescent="0.85">
      <c r="A391" s="333" t="s">
        <v>1820</v>
      </c>
      <c r="B391" s="534"/>
      <c r="C391" s="460">
        <v>32045738</v>
      </c>
      <c r="D391" s="460" t="s">
        <v>1818</v>
      </c>
      <c r="E391" s="333" t="s">
        <v>1823</v>
      </c>
      <c r="F391" s="478"/>
      <c r="G391" s="333">
        <v>10</v>
      </c>
      <c r="H391" s="376" t="s">
        <v>1819</v>
      </c>
      <c r="I391" s="510" t="s">
        <v>1621</v>
      </c>
      <c r="J391" s="478"/>
      <c r="K391" s="333"/>
      <c r="L391" s="376"/>
      <c r="M391" s="510"/>
    </row>
    <row r="392" spans="1:13" ht="48" x14ac:dyDescent="0.85">
      <c r="A392" s="333" t="s">
        <v>1820</v>
      </c>
      <c r="B392" s="534"/>
      <c r="C392" s="460">
        <v>32044587</v>
      </c>
      <c r="D392" s="460" t="s">
        <v>1818</v>
      </c>
      <c r="E392" s="333" t="s">
        <v>1824</v>
      </c>
      <c r="F392" s="478"/>
      <c r="G392" s="333">
        <v>10</v>
      </c>
      <c r="H392" s="376" t="s">
        <v>1819</v>
      </c>
      <c r="I392" s="510" t="s">
        <v>1623</v>
      </c>
      <c r="J392" s="478"/>
      <c r="K392" s="333"/>
      <c r="L392" s="376"/>
      <c r="M392" s="510"/>
    </row>
    <row r="393" spans="1:13" ht="48" x14ac:dyDescent="0.85">
      <c r="A393" s="333" t="s">
        <v>1820</v>
      </c>
      <c r="B393" s="534"/>
      <c r="C393" s="460">
        <v>32044948</v>
      </c>
      <c r="D393" s="460" t="s">
        <v>1818</v>
      </c>
      <c r="E393" s="333" t="s">
        <v>1825</v>
      </c>
      <c r="F393" s="478"/>
      <c r="G393" s="333">
        <v>10</v>
      </c>
      <c r="H393" s="376" t="s">
        <v>1819</v>
      </c>
      <c r="I393" s="510" t="s">
        <v>1631</v>
      </c>
      <c r="J393" s="478"/>
      <c r="K393" s="333"/>
      <c r="L393" s="376"/>
      <c r="M393" s="510"/>
    </row>
    <row r="394" spans="1:13" ht="72" x14ac:dyDescent="0.85">
      <c r="A394" s="333" t="s">
        <v>1820</v>
      </c>
      <c r="B394" s="534"/>
      <c r="C394" s="460">
        <v>32046091</v>
      </c>
      <c r="D394" s="460" t="s">
        <v>1818</v>
      </c>
      <c r="E394" s="333" t="s">
        <v>1826</v>
      </c>
      <c r="F394" s="478"/>
      <c r="G394" s="333">
        <v>10</v>
      </c>
      <c r="H394" s="376" t="s">
        <v>1819</v>
      </c>
      <c r="I394" s="510" t="s">
        <v>1619</v>
      </c>
      <c r="J394" s="478"/>
      <c r="K394" s="333"/>
      <c r="L394" s="376"/>
      <c r="M394" s="510"/>
    </row>
    <row r="395" spans="1:13" ht="48" x14ac:dyDescent="0.85">
      <c r="A395" s="333" t="s">
        <v>1820</v>
      </c>
      <c r="B395" s="534"/>
      <c r="C395" s="460">
        <v>32046333</v>
      </c>
      <c r="D395" s="460" t="s">
        <v>1818</v>
      </c>
      <c r="E395" s="333" t="s">
        <v>1827</v>
      </c>
      <c r="F395" s="478"/>
      <c r="G395" s="333">
        <v>10</v>
      </c>
      <c r="H395" s="376" t="s">
        <v>1819</v>
      </c>
      <c r="I395" s="510" t="s">
        <v>1629</v>
      </c>
      <c r="J395" s="478"/>
      <c r="K395" s="333"/>
      <c r="L395" s="376"/>
      <c r="M395" s="510"/>
    </row>
    <row r="396" spans="1:13" ht="48" x14ac:dyDescent="0.85">
      <c r="A396" s="333" t="s">
        <v>1820</v>
      </c>
      <c r="B396" s="534"/>
      <c r="C396" s="460">
        <v>32046427</v>
      </c>
      <c r="D396" s="460" t="s">
        <v>1818</v>
      </c>
      <c r="E396" s="333" t="s">
        <v>1828</v>
      </c>
      <c r="F396" s="478"/>
      <c r="G396" s="333">
        <v>10</v>
      </c>
      <c r="H396" s="376" t="s">
        <v>1819</v>
      </c>
      <c r="I396" s="510" t="s">
        <v>375</v>
      </c>
      <c r="J396" s="478"/>
      <c r="K396" s="333"/>
      <c r="L396" s="376"/>
      <c r="M396" s="510"/>
    </row>
    <row r="397" spans="1:13" ht="48" x14ac:dyDescent="0.85">
      <c r="A397" s="333" t="s">
        <v>1820</v>
      </c>
      <c r="B397" s="534"/>
      <c r="C397" s="460">
        <v>32091768</v>
      </c>
      <c r="D397" s="460" t="s">
        <v>1818</v>
      </c>
      <c r="E397" s="333" t="s">
        <v>1829</v>
      </c>
      <c r="F397" s="478"/>
      <c r="G397" s="333">
        <v>10</v>
      </c>
      <c r="H397" s="376" t="s">
        <v>1819</v>
      </c>
      <c r="I397" s="510" t="s">
        <v>369</v>
      </c>
      <c r="J397" s="478"/>
      <c r="K397" s="333"/>
      <c r="L397" s="376"/>
      <c r="M397" s="510"/>
    </row>
    <row r="398" spans="1:13" ht="48" x14ac:dyDescent="0.85">
      <c r="A398" s="333" t="s">
        <v>1820</v>
      </c>
      <c r="B398" s="534"/>
      <c r="C398" s="460">
        <v>32044598</v>
      </c>
      <c r="D398" s="460" t="s">
        <v>1818</v>
      </c>
      <c r="E398" s="333" t="s">
        <v>1830</v>
      </c>
      <c r="F398" s="478"/>
      <c r="G398" s="333">
        <v>10</v>
      </c>
      <c r="H398" s="376" t="s">
        <v>1819</v>
      </c>
      <c r="I398" s="510" t="s">
        <v>1631</v>
      </c>
      <c r="J398" s="352"/>
      <c r="K398" s="376"/>
      <c r="L398" s="536"/>
      <c r="M398" s="444"/>
    </row>
    <row r="399" spans="1:13" ht="72" x14ac:dyDescent="0.85">
      <c r="A399" s="333" t="s">
        <v>1833</v>
      </c>
      <c r="B399" s="534"/>
      <c r="C399" s="460">
        <v>32230863</v>
      </c>
      <c r="D399" s="460" t="s">
        <v>1831</v>
      </c>
      <c r="E399" s="333" t="s">
        <v>1834</v>
      </c>
      <c r="F399" s="352"/>
      <c r="G399" s="376">
        <v>4</v>
      </c>
      <c r="H399" s="536" t="s">
        <v>1832</v>
      </c>
      <c r="I399" s="444" t="s">
        <v>47</v>
      </c>
      <c r="J399" s="352"/>
      <c r="K399" s="333"/>
      <c r="L399" s="536"/>
      <c r="M399" s="454"/>
    </row>
    <row r="400" spans="1:13" ht="72" x14ac:dyDescent="0.85">
      <c r="A400" s="333" t="s">
        <v>1833</v>
      </c>
      <c r="B400" s="534"/>
      <c r="C400" s="460">
        <v>32046447</v>
      </c>
      <c r="D400" s="460" t="s">
        <v>1831</v>
      </c>
      <c r="E400" s="333" t="s">
        <v>1835</v>
      </c>
      <c r="F400" s="352"/>
      <c r="G400" s="333">
        <v>4</v>
      </c>
      <c r="H400" s="536" t="s">
        <v>1832</v>
      </c>
      <c r="I400" s="454" t="s">
        <v>1610</v>
      </c>
      <c r="J400" s="478"/>
      <c r="K400" s="333"/>
      <c r="L400" s="536"/>
      <c r="M400" s="454"/>
    </row>
    <row r="401" spans="1:13" ht="72" x14ac:dyDescent="0.85">
      <c r="A401" s="333" t="s">
        <v>1833</v>
      </c>
      <c r="B401" s="534"/>
      <c r="C401" s="460">
        <v>32197845</v>
      </c>
      <c r="D401" s="460" t="s">
        <v>1831</v>
      </c>
      <c r="E401" s="333" t="s">
        <v>1836</v>
      </c>
      <c r="F401" s="478"/>
      <c r="G401" s="333">
        <v>4</v>
      </c>
      <c r="H401" s="536" t="s">
        <v>1832</v>
      </c>
      <c r="I401" s="454" t="s">
        <v>1837</v>
      </c>
      <c r="J401" s="478"/>
      <c r="K401" s="333"/>
      <c r="L401" s="536"/>
      <c r="M401" s="454"/>
    </row>
    <row r="402" spans="1:13" ht="72" x14ac:dyDescent="0.85">
      <c r="A402" s="333" t="s">
        <v>1833</v>
      </c>
      <c r="B402" s="534"/>
      <c r="C402" s="460">
        <v>32044906</v>
      </c>
      <c r="D402" s="460" t="s">
        <v>1831</v>
      </c>
      <c r="E402" s="333" t="s">
        <v>1838</v>
      </c>
      <c r="F402" s="478"/>
      <c r="G402" s="333">
        <v>4</v>
      </c>
      <c r="H402" s="536" t="s">
        <v>1832</v>
      </c>
      <c r="I402" s="454" t="s">
        <v>1684</v>
      </c>
      <c r="J402" s="352"/>
      <c r="K402" s="333"/>
      <c r="L402" s="311"/>
      <c r="M402" s="454"/>
    </row>
    <row r="403" spans="1:13" ht="72" x14ac:dyDescent="0.85">
      <c r="A403" s="333" t="s">
        <v>2340</v>
      </c>
      <c r="B403" s="534"/>
      <c r="C403" s="337">
        <v>32044842</v>
      </c>
      <c r="D403" s="337" t="s">
        <v>1671</v>
      </c>
      <c r="E403" s="311" t="s">
        <v>1841</v>
      </c>
      <c r="F403" s="352"/>
      <c r="G403" s="333">
        <v>6</v>
      </c>
      <c r="H403" s="311" t="s">
        <v>1839</v>
      </c>
      <c r="I403" s="454" t="s">
        <v>44</v>
      </c>
      <c r="J403" s="478"/>
      <c r="K403" s="333"/>
      <c r="L403" s="311"/>
      <c r="M403" s="454"/>
    </row>
    <row r="404" spans="1:13" ht="72" x14ac:dyDescent="0.85">
      <c r="A404" s="333" t="s">
        <v>2340</v>
      </c>
      <c r="B404" s="534"/>
      <c r="C404" s="337">
        <v>32229394</v>
      </c>
      <c r="D404" s="337" t="s">
        <v>1671</v>
      </c>
      <c r="E404" s="311" t="s">
        <v>1842</v>
      </c>
      <c r="F404" s="478"/>
      <c r="G404" s="333">
        <v>6</v>
      </c>
      <c r="H404" s="311" t="s">
        <v>1839</v>
      </c>
      <c r="I404" s="454" t="s">
        <v>217</v>
      </c>
      <c r="J404" s="478"/>
      <c r="K404" s="333"/>
      <c r="L404" s="311"/>
      <c r="M404" s="454"/>
    </row>
    <row r="405" spans="1:13" ht="72" x14ac:dyDescent="0.85">
      <c r="A405" s="333" t="s">
        <v>2340</v>
      </c>
      <c r="B405" s="534"/>
      <c r="C405" s="337">
        <v>32045640</v>
      </c>
      <c r="D405" s="337" t="s">
        <v>1671</v>
      </c>
      <c r="E405" s="311" t="s">
        <v>1843</v>
      </c>
      <c r="F405" s="478"/>
      <c r="G405" s="333">
        <v>6</v>
      </c>
      <c r="H405" s="311" t="s">
        <v>1839</v>
      </c>
      <c r="I405" s="454" t="s">
        <v>1610</v>
      </c>
      <c r="J405" s="478"/>
      <c r="K405" s="333"/>
      <c r="L405" s="311"/>
      <c r="M405" s="454"/>
    </row>
    <row r="406" spans="1:13" ht="72" x14ac:dyDescent="0.85">
      <c r="A406" s="333" t="s">
        <v>2340</v>
      </c>
      <c r="B406" s="534"/>
      <c r="C406" s="337">
        <v>32060734</v>
      </c>
      <c r="D406" s="337" t="s">
        <v>1671</v>
      </c>
      <c r="E406" s="311" t="s">
        <v>1844</v>
      </c>
      <c r="F406" s="478"/>
      <c r="G406" s="333">
        <v>6</v>
      </c>
      <c r="H406" s="311" t="s">
        <v>1839</v>
      </c>
      <c r="I406" s="454" t="s">
        <v>47</v>
      </c>
      <c r="J406" s="478"/>
      <c r="K406" s="333"/>
      <c r="L406" s="311"/>
      <c r="M406" s="454"/>
    </row>
    <row r="407" spans="1:13" ht="72" x14ac:dyDescent="0.85">
      <c r="A407" s="333" t="s">
        <v>2340</v>
      </c>
      <c r="B407" s="534"/>
      <c r="C407" s="337">
        <v>32045616</v>
      </c>
      <c r="D407" s="337" t="s">
        <v>1671</v>
      </c>
      <c r="E407" s="311" t="s">
        <v>1845</v>
      </c>
      <c r="F407" s="478"/>
      <c r="G407" s="333">
        <v>6</v>
      </c>
      <c r="H407" s="311" t="s">
        <v>1839</v>
      </c>
      <c r="I407" s="454" t="s">
        <v>1789</v>
      </c>
      <c r="J407" s="478"/>
      <c r="K407" s="376"/>
      <c r="L407" s="311"/>
      <c r="M407" s="444"/>
    </row>
    <row r="408" spans="1:13" ht="72" x14ac:dyDescent="0.85">
      <c r="A408" s="333" t="s">
        <v>2340</v>
      </c>
      <c r="B408" s="534"/>
      <c r="C408" s="440">
        <v>32198257</v>
      </c>
      <c r="D408" s="440" t="s">
        <v>1671</v>
      </c>
      <c r="E408" s="352" t="s">
        <v>1846</v>
      </c>
      <c r="F408" s="478"/>
      <c r="G408" s="376">
        <v>6</v>
      </c>
      <c r="H408" s="311" t="s">
        <v>1839</v>
      </c>
      <c r="I408" s="444" t="s">
        <v>260</v>
      </c>
      <c r="J408" s="352"/>
      <c r="K408" s="376"/>
      <c r="L408" s="333"/>
      <c r="M408" s="444"/>
    </row>
    <row r="409" spans="1:13" ht="48" x14ac:dyDescent="0.85">
      <c r="A409" s="333" t="s">
        <v>1737</v>
      </c>
      <c r="B409" s="534"/>
      <c r="C409" s="440">
        <v>32217100</v>
      </c>
      <c r="D409" s="440" t="s">
        <v>1792</v>
      </c>
      <c r="E409" s="352" t="s">
        <v>1847</v>
      </c>
      <c r="F409" s="352"/>
      <c r="G409" s="376">
        <v>8</v>
      </c>
      <c r="H409" s="333" t="s">
        <v>1793</v>
      </c>
      <c r="I409" s="444"/>
      <c r="J409" s="352"/>
      <c r="K409" s="333"/>
      <c r="L409" s="333"/>
      <c r="M409" s="454"/>
    </row>
    <row r="410" spans="1:13" ht="72" x14ac:dyDescent="0.85">
      <c r="A410" s="333" t="s">
        <v>1737</v>
      </c>
      <c r="B410" s="534"/>
      <c r="C410" s="337">
        <v>32198245</v>
      </c>
      <c r="D410" s="337" t="s">
        <v>1792</v>
      </c>
      <c r="E410" s="311" t="s">
        <v>1849</v>
      </c>
      <c r="F410" s="352"/>
      <c r="G410" s="333">
        <v>8</v>
      </c>
      <c r="H410" s="333" t="s">
        <v>1793</v>
      </c>
      <c r="I410" s="454"/>
      <c r="J410" s="537"/>
      <c r="K410" s="538"/>
      <c r="L410" s="333"/>
      <c r="M410" s="539"/>
    </row>
    <row r="411" spans="1:13" ht="48" x14ac:dyDescent="0.85">
      <c r="A411" s="333" t="s">
        <v>1737</v>
      </c>
      <c r="B411" s="540"/>
      <c r="C411" s="461">
        <v>32209481</v>
      </c>
      <c r="D411" s="461" t="s">
        <v>1792</v>
      </c>
      <c r="E411" s="541" t="s">
        <v>1850</v>
      </c>
      <c r="F411" s="537"/>
      <c r="G411" s="538">
        <v>8</v>
      </c>
      <c r="H411" s="333" t="s">
        <v>1793</v>
      </c>
      <c r="I411" s="5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EC75-C685-46BF-9466-0B7F75B616B9}">
  <dimension ref="A1:E1216"/>
  <sheetViews>
    <sheetView workbookViewId="0"/>
  </sheetViews>
  <sheetFormatPr baseColWidth="10" defaultColWidth="11.44140625" defaultRowHeight="14.4" x14ac:dyDescent="0.3"/>
  <cols>
    <col min="1" max="1" width="16.6640625" bestFit="1" customWidth="1"/>
    <col min="2" max="2" width="33.109375" bestFit="1" customWidth="1"/>
    <col min="3" max="3" width="45.109375" bestFit="1" customWidth="1"/>
    <col min="4" max="4" width="16.5546875" bestFit="1" customWidth="1"/>
    <col min="5" max="5" width="13.6640625" bestFit="1" customWidth="1"/>
  </cols>
  <sheetData>
    <row r="1" spans="1:5" x14ac:dyDescent="0.3">
      <c r="A1" s="2" t="s">
        <v>0</v>
      </c>
      <c r="B1" s="2" t="s">
        <v>17</v>
      </c>
      <c r="C1" s="2" t="s">
        <v>2341</v>
      </c>
      <c r="D1" s="2" t="s">
        <v>2342</v>
      </c>
      <c r="E1" s="2" t="s">
        <v>2343</v>
      </c>
    </row>
    <row r="2" spans="1:5" x14ac:dyDescent="0.3">
      <c r="A2" t="s">
        <v>35</v>
      </c>
      <c r="B2" t="s">
        <v>1851</v>
      </c>
      <c r="C2" t="s">
        <v>1852</v>
      </c>
      <c r="D2" t="s">
        <v>2344</v>
      </c>
      <c r="E2">
        <f>IFERROR(
   IF(D2="Líder",
      INDEX(ZACATECAS!E:E, MATCH(C2, ZACATECAS!F:F, 0)),
      INDEX(ZACATECAS!H:H, MATCH(C2, ZACATECAS!J:J, 0))
   ),
"")</f>
        <v>32043852</v>
      </c>
    </row>
    <row r="3" spans="1:5" x14ac:dyDescent="0.3">
      <c r="A3" t="s">
        <v>2127</v>
      </c>
      <c r="B3" t="s">
        <v>2129</v>
      </c>
      <c r="C3" t="s">
        <v>2130</v>
      </c>
      <c r="D3" t="s">
        <v>2344</v>
      </c>
      <c r="E3">
        <f>IFERROR(
   IF(D3="Líder",
      INDEX(ZACATECAS!E:E, MATCH(C3, ZACATECAS!F:F, 0)),
      INDEX(ZACATECAS!H:H, MATCH(C3, ZACATECAS!J:J, 0))
   ),
"")</f>
        <v>32045873</v>
      </c>
    </row>
    <row r="4" spans="1:5" x14ac:dyDescent="0.3">
      <c r="A4" t="s">
        <v>363</v>
      </c>
      <c r="B4" t="s">
        <v>448</v>
      </c>
      <c r="C4" t="s">
        <v>449</v>
      </c>
      <c r="D4" t="s">
        <v>2344</v>
      </c>
      <c r="E4">
        <f>IFERROR(
   IF(D4="Líder",
      INDEX(ZACATECAS!E:E, MATCH(C4, ZACATECAS!F:F, 0)),
      INDEX(ZACATECAS!H:H, MATCH(C4, ZACATECAS!J:J, 0))
   ),
"")</f>
        <v>32174381</v>
      </c>
    </row>
    <row r="5" spans="1:5" x14ac:dyDescent="0.3">
      <c r="A5" t="s">
        <v>2127</v>
      </c>
      <c r="B5" t="s">
        <v>2137</v>
      </c>
      <c r="C5" t="s">
        <v>2138</v>
      </c>
      <c r="D5" t="s">
        <v>2344</v>
      </c>
      <c r="E5">
        <f>IFERROR(
   IF(D5="Líder",
      INDEX(ZACATECAS!E:E, MATCH(C5, ZACATECAS!F:F, 0)),
      INDEX(ZACATECAS!H:H, MATCH(C5, ZACATECAS!J:J, 0))
   ),
"")</f>
        <v>32146124</v>
      </c>
    </row>
    <row r="6" spans="1:5" x14ac:dyDescent="0.3">
      <c r="A6" t="s">
        <v>363</v>
      </c>
      <c r="B6" t="s">
        <v>474</v>
      </c>
      <c r="C6" t="s">
        <v>475</v>
      </c>
      <c r="D6" t="s">
        <v>2344</v>
      </c>
      <c r="E6">
        <f>IFERROR(
   IF(D6="Líder",
      INDEX(ZACATECAS!E:E, MATCH(C6, ZACATECAS!F:F, 0)),
      INDEX(ZACATECAS!H:H, MATCH(C6, ZACATECAS!J:J, 0))
   ),
"")</f>
        <v>32203898</v>
      </c>
    </row>
    <row r="7" spans="1:5" x14ac:dyDescent="0.3">
      <c r="A7" t="s">
        <v>363</v>
      </c>
      <c r="B7" t="s">
        <v>414</v>
      </c>
      <c r="C7" t="s">
        <v>398</v>
      </c>
      <c r="D7" t="s">
        <v>2344</v>
      </c>
      <c r="E7">
        <f>IFERROR(
   IF(D7="Líder",
      INDEX(ZACATECAS!E:E, MATCH(C7, ZACATECAS!F:F, 0)),
      INDEX(ZACATECAS!H:H, MATCH(C7, ZACATECAS!J:J, 0))
   ),
"")</f>
        <v>32146001</v>
      </c>
    </row>
    <row r="8" spans="1:5" x14ac:dyDescent="0.3">
      <c r="A8" t="s">
        <v>363</v>
      </c>
      <c r="B8" t="s">
        <v>933</v>
      </c>
      <c r="C8" t="s">
        <v>744</v>
      </c>
      <c r="D8" t="s">
        <v>2344</v>
      </c>
      <c r="E8">
        <f>IFERROR(
   IF(D8="Líder",
      INDEX(ZACATECAS!E:E, MATCH(C8, ZACATECAS!F:F, 0)),
      INDEX(ZACATECAS!H:H, MATCH(C8, ZACATECAS!J:J, 0))
   ),
"")</f>
        <v>32045977</v>
      </c>
    </row>
    <row r="9" spans="1:5" x14ac:dyDescent="0.3">
      <c r="A9" t="s">
        <v>2053</v>
      </c>
      <c r="B9" t="s">
        <v>2055</v>
      </c>
      <c r="C9" t="s">
        <v>2056</v>
      </c>
      <c r="D9" t="s">
        <v>2344</v>
      </c>
      <c r="E9">
        <f>IFERROR(
   IF(D9="Líder",
      INDEX(ZACATECAS!E:E, MATCH(C9, ZACATECAS!F:F, 0)),
      INDEX(ZACATECAS!H:H, MATCH(C9, ZACATECAS!J:J, 0))
   ),
"")</f>
        <v>32231914</v>
      </c>
    </row>
    <row r="10" spans="1:5" x14ac:dyDescent="0.3">
      <c r="A10" t="s">
        <v>47</v>
      </c>
      <c r="B10" t="s">
        <v>212</v>
      </c>
      <c r="C10" t="s">
        <v>213</v>
      </c>
      <c r="D10" t="s">
        <v>2344</v>
      </c>
      <c r="E10">
        <f>IFERROR(
   IF(D10="Líder",
      INDEX(ZACATECAS!E:E, MATCH(C10, ZACATECAS!F:F, 0)),
      INDEX(ZACATECAS!H:H, MATCH(C10, ZACATECAS!J:J, 0))
   ),
"")</f>
        <v>32162568</v>
      </c>
    </row>
    <row r="11" spans="1:5" x14ac:dyDescent="0.3">
      <c r="A11" t="s">
        <v>363</v>
      </c>
      <c r="B11" t="s">
        <v>426</v>
      </c>
      <c r="C11" t="s">
        <v>2345</v>
      </c>
      <c r="D11" t="s">
        <v>2344</v>
      </c>
      <c r="E11" t="str">
        <f>IFERROR(
   IF(D11="Líder",
      INDEX(ZACATECAS!E:E, MATCH(C11, ZACATECAS!F:F, 0)),
      INDEX(ZACATECAS!H:H, MATCH(C11, ZACATECAS!J:J, 0))
   ),
"")</f>
        <v/>
      </c>
    </row>
    <row r="12" spans="1:5" x14ac:dyDescent="0.3">
      <c r="A12" t="s">
        <v>1</v>
      </c>
      <c r="B12" t="s">
        <v>4</v>
      </c>
      <c r="C12" t="s">
        <v>5</v>
      </c>
      <c r="D12" t="s">
        <v>2344</v>
      </c>
      <c r="E12" t="str">
        <f>IFERROR(
   IF(D12="Líder",
      INDEX(ZACATECAS!E:E, MATCH(C12, ZACATECAS!F:F, 0)),
      INDEX(ZACATECAS!H:H, MATCH(C12, ZACATECAS!J:J, 0))
   ),
"")</f>
        <v/>
      </c>
    </row>
    <row r="13" spans="1:5" x14ac:dyDescent="0.3">
      <c r="A13" t="s">
        <v>1</v>
      </c>
      <c r="B13" t="s">
        <v>4</v>
      </c>
      <c r="C13" t="s">
        <v>1992</v>
      </c>
      <c r="D13" t="s">
        <v>2344</v>
      </c>
      <c r="E13">
        <f>IFERROR(
   IF(D13="Líder",
      INDEX(ZACATECAS!E:E, MATCH(C13, ZACATECAS!F:F, 0)),
      INDEX(ZACATECAS!H:H, MATCH(C13, ZACATECAS!J:J, 0))
   ),
"")</f>
        <v>32110715</v>
      </c>
    </row>
    <row r="14" spans="1:5" x14ac:dyDescent="0.3">
      <c r="A14" t="s">
        <v>363</v>
      </c>
      <c r="B14" t="s">
        <v>1236</v>
      </c>
      <c r="C14" t="s">
        <v>1237</v>
      </c>
      <c r="D14" t="s">
        <v>2344</v>
      </c>
      <c r="E14">
        <f>IFERROR(
   IF(D14="Líder",
      INDEX(ZACATECAS!E:E, MATCH(C14, ZACATECAS!F:F, 0)),
      INDEX(ZACATECAS!H:H, MATCH(C14, ZACATECAS!J:J, 0))
   ),
"")</f>
        <v>32143096</v>
      </c>
    </row>
    <row r="15" spans="1:5" x14ac:dyDescent="0.3">
      <c r="A15" t="s">
        <v>363</v>
      </c>
      <c r="B15" t="s">
        <v>514</v>
      </c>
      <c r="C15" t="s">
        <v>515</v>
      </c>
      <c r="D15" t="s">
        <v>2344</v>
      </c>
      <c r="E15">
        <f>IFERROR(
   IF(D15="Líder",
      INDEX(ZACATECAS!E:E, MATCH(C15, ZACATECAS!F:F, 0)),
      INDEX(ZACATECAS!H:H, MATCH(C15, ZACATECAS!J:J, 0))
   ),
"")</f>
        <v>32148105</v>
      </c>
    </row>
    <row r="16" spans="1:5" x14ac:dyDescent="0.3">
      <c r="A16" t="s">
        <v>363</v>
      </c>
      <c r="B16" t="s">
        <v>364</v>
      </c>
      <c r="C16" t="s">
        <v>365</v>
      </c>
      <c r="D16" t="s">
        <v>2344</v>
      </c>
      <c r="E16">
        <f>IFERROR(
   IF(D16="Líder",
      INDEX(ZACATECAS!E:E, MATCH(C16, ZACATECAS!F:F, 0)),
      INDEX(ZACATECAS!H:H, MATCH(C16, ZACATECAS!J:J, 0))
   ),
"")</f>
        <v>32046689</v>
      </c>
    </row>
    <row r="17" spans="1:5" x14ac:dyDescent="0.3">
      <c r="A17" t="s">
        <v>363</v>
      </c>
      <c r="B17" t="s">
        <v>640</v>
      </c>
      <c r="C17" t="s">
        <v>606</v>
      </c>
      <c r="D17" t="s">
        <v>2344</v>
      </c>
      <c r="E17">
        <f>IFERROR(
   IF(D17="Líder",
      INDEX(ZACATECAS!E:E, MATCH(C17, ZACATECAS!F:F, 0)),
      INDEX(ZACATECAS!H:H, MATCH(C17, ZACATECAS!J:J, 0))
   ),
"")</f>
        <v>32147380</v>
      </c>
    </row>
    <row r="18" spans="1:5" x14ac:dyDescent="0.3">
      <c r="A18" t="s">
        <v>363</v>
      </c>
      <c r="B18" t="s">
        <v>1116</v>
      </c>
      <c r="C18" t="s">
        <v>2346</v>
      </c>
      <c r="D18" t="s">
        <v>2344</v>
      </c>
      <c r="E18" t="str">
        <f>IFERROR(
   IF(D18="Líder",
      INDEX(ZACATECAS!E:E, MATCH(C18, ZACATECAS!F:F, 0)),
      INDEX(ZACATECAS!H:H, MATCH(C18, ZACATECAS!J:J, 0))
   ),
"")</f>
        <v/>
      </c>
    </row>
    <row r="19" spans="1:5" x14ac:dyDescent="0.3">
      <c r="A19" t="s">
        <v>263</v>
      </c>
      <c r="B19" t="s">
        <v>264</v>
      </c>
      <c r="C19" t="s">
        <v>265</v>
      </c>
      <c r="D19" t="s">
        <v>2344</v>
      </c>
      <c r="E19">
        <f>IFERROR(
   IF(D19="Líder",
      INDEX(ZACATECAS!E:E, MATCH(C19, ZACATECAS!F:F, 0)),
      INDEX(ZACATECAS!H:H, MATCH(C19, ZACATECAS!J:J, 0))
   ),
"")</f>
        <v>32231912</v>
      </c>
    </row>
    <row r="20" spans="1:5" x14ac:dyDescent="0.3">
      <c r="A20" t="s">
        <v>2053</v>
      </c>
      <c r="B20" t="s">
        <v>2071</v>
      </c>
      <c r="C20" t="s">
        <v>2072</v>
      </c>
      <c r="D20" t="s">
        <v>2344</v>
      </c>
      <c r="E20">
        <f>IFERROR(
   IF(D20="Líder",
      INDEX(ZACATECAS!E:E, MATCH(C20, ZACATECAS!F:F, 0)),
      INDEX(ZACATECAS!H:H, MATCH(C20, ZACATECAS!J:J, 0))
   ),
"")</f>
        <v>32217652</v>
      </c>
    </row>
    <row r="21" spans="1:5" x14ac:dyDescent="0.3">
      <c r="A21" t="s">
        <v>2127</v>
      </c>
      <c r="B21" t="s">
        <v>2210</v>
      </c>
      <c r="C21" t="s">
        <v>2211</v>
      </c>
      <c r="D21" t="s">
        <v>2344</v>
      </c>
      <c r="E21">
        <f>IFERROR(
   IF(D21="Líder",
      INDEX(ZACATECAS!E:E, MATCH(C21, ZACATECAS!F:F, 0)),
      INDEX(ZACATECAS!H:H, MATCH(C21, ZACATECAS!J:J, 0))
   ),
"")</f>
        <v>32068308</v>
      </c>
    </row>
    <row r="22" spans="1:5" x14ac:dyDescent="0.3">
      <c r="A22" t="s">
        <v>363</v>
      </c>
      <c r="B22" t="s">
        <v>847</v>
      </c>
      <c r="C22" t="s">
        <v>817</v>
      </c>
      <c r="D22" t="s">
        <v>2344</v>
      </c>
      <c r="E22">
        <f>IFERROR(
   IF(D22="Líder",
      INDEX(ZACATECAS!E:E, MATCH(C22, ZACATECAS!F:F, 0)),
      INDEX(ZACATECAS!H:H, MATCH(C22, ZACATECAS!J:J, 0))
   ),
"")</f>
        <v>32147381</v>
      </c>
    </row>
    <row r="23" spans="1:5" x14ac:dyDescent="0.3">
      <c r="A23" t="s">
        <v>35</v>
      </c>
      <c r="B23" t="s">
        <v>1869</v>
      </c>
      <c r="C23" t="s">
        <v>1870</v>
      </c>
      <c r="D23" t="s">
        <v>2344</v>
      </c>
      <c r="E23">
        <f>IFERROR(
   IF(D23="Líder",
      INDEX(ZACATECAS!E:E, MATCH(C23, ZACATECAS!F:F, 0)),
      INDEX(ZACATECAS!H:H, MATCH(C23, ZACATECAS!J:J, 0))
   ),
"")</f>
        <v>32172003</v>
      </c>
    </row>
    <row r="24" spans="1:5" x14ac:dyDescent="0.3">
      <c r="A24" t="s">
        <v>2127</v>
      </c>
      <c r="B24" t="s">
        <v>2273</v>
      </c>
      <c r="C24" t="s">
        <v>2274</v>
      </c>
      <c r="D24" t="s">
        <v>2344</v>
      </c>
      <c r="E24">
        <f>IFERROR(
   IF(D24="Líder",
      INDEX(ZACATECAS!E:E, MATCH(C24, ZACATECAS!F:F, 0)),
      INDEX(ZACATECAS!H:H, MATCH(C24, ZACATECAS!J:J, 0))
   ),
"")</f>
        <v>32044061</v>
      </c>
    </row>
    <row r="25" spans="1:5" x14ac:dyDescent="0.3">
      <c r="A25" t="s">
        <v>363</v>
      </c>
      <c r="B25" t="s">
        <v>1530</v>
      </c>
      <c r="C25" t="s">
        <v>2347</v>
      </c>
      <c r="D25" t="s">
        <v>2344</v>
      </c>
      <c r="E25" t="str">
        <f>IFERROR(
   IF(D25="Líder",
      INDEX(ZACATECAS!E:E, MATCH(C25, ZACATECAS!F:F, 0)),
      INDEX(ZACATECAS!H:H, MATCH(C25, ZACATECAS!J:J, 0))
   ),
"")</f>
        <v/>
      </c>
    </row>
    <row r="26" spans="1:5" x14ac:dyDescent="0.3">
      <c r="A26" t="s">
        <v>363</v>
      </c>
      <c r="B26" t="s">
        <v>1171</v>
      </c>
      <c r="C26" t="s">
        <v>1094</v>
      </c>
      <c r="D26" t="s">
        <v>2344</v>
      </c>
      <c r="E26">
        <f>IFERROR(
   IF(D26="Líder",
      INDEX(ZACATECAS!E:E, MATCH(C26, ZACATECAS!F:F, 0)),
      INDEX(ZACATECAS!H:H, MATCH(C26, ZACATECAS!J:J, 0))
   ),
"")</f>
        <v>32096563</v>
      </c>
    </row>
    <row r="27" spans="1:5" x14ac:dyDescent="0.3">
      <c r="A27" t="s">
        <v>2127</v>
      </c>
      <c r="B27" t="s">
        <v>2248</v>
      </c>
      <c r="C27" t="s">
        <v>2244</v>
      </c>
      <c r="D27" t="s">
        <v>2344</v>
      </c>
      <c r="E27">
        <f>IFERROR(
   IF(D27="Líder",
      INDEX(ZACATECAS!E:E, MATCH(C27, ZACATECAS!F:F, 0)),
      INDEX(ZACATECAS!H:H, MATCH(C27, ZACATECAS!J:J, 0))
   ),
"")</f>
        <v>32145055</v>
      </c>
    </row>
    <row r="28" spans="1:5" x14ac:dyDescent="0.3">
      <c r="A28" t="s">
        <v>2127</v>
      </c>
      <c r="B28" t="s">
        <v>2227</v>
      </c>
      <c r="C28" t="s">
        <v>2348</v>
      </c>
      <c r="D28" t="s">
        <v>2344</v>
      </c>
      <c r="E28" t="str">
        <f>IFERROR(
   IF(D28="Líder",
      INDEX(ZACATECAS!E:E, MATCH(C28, ZACATECAS!F:F, 0)),
      INDEX(ZACATECAS!H:H, MATCH(C28, ZACATECAS!J:J, 0))
   ),
"")</f>
        <v/>
      </c>
    </row>
    <row r="29" spans="1:5" x14ac:dyDescent="0.3">
      <c r="A29" t="s">
        <v>2127</v>
      </c>
      <c r="B29" t="s">
        <v>2227</v>
      </c>
      <c r="C29" t="s">
        <v>2228</v>
      </c>
      <c r="D29" t="s">
        <v>2344</v>
      </c>
      <c r="E29">
        <f>IFERROR(
   IF(D29="Líder",
      INDEX(ZACATECAS!E:E, MATCH(C29, ZACATECAS!F:F, 0)),
      INDEX(ZACATECAS!H:H, MATCH(C29, ZACATECAS!J:J, 0))
   ),
"")</f>
        <v>32172669</v>
      </c>
    </row>
    <row r="30" spans="1:5" x14ac:dyDescent="0.3">
      <c r="A30" t="s">
        <v>363</v>
      </c>
      <c r="B30" t="s">
        <v>385</v>
      </c>
      <c r="C30" t="s">
        <v>2345</v>
      </c>
      <c r="D30" t="s">
        <v>2344</v>
      </c>
      <c r="E30" t="str">
        <f>IFERROR(
   IF(D30="Líder",
      INDEX(ZACATECAS!E:E, MATCH(C30, ZACATECAS!F:F, 0)),
      INDEX(ZACATECAS!H:H, MATCH(C30, ZACATECAS!J:J, 0))
   ),
"")</f>
        <v/>
      </c>
    </row>
    <row r="31" spans="1:5" x14ac:dyDescent="0.3">
      <c r="A31" t="s">
        <v>363</v>
      </c>
      <c r="B31" t="s">
        <v>875</v>
      </c>
      <c r="C31" t="s">
        <v>2349</v>
      </c>
      <c r="D31" t="s">
        <v>2344</v>
      </c>
      <c r="E31" t="str">
        <f>IFERROR(
   IF(D31="Líder",
      INDEX(ZACATECAS!E:E, MATCH(C31, ZACATECAS!F:F, 0)),
      INDEX(ZACATECAS!H:H, MATCH(C31, ZACATECAS!J:J, 0))
   ),
"")</f>
        <v/>
      </c>
    </row>
    <row r="32" spans="1:5" x14ac:dyDescent="0.3">
      <c r="A32" t="s">
        <v>1584</v>
      </c>
      <c r="B32" t="s">
        <v>2350</v>
      </c>
      <c r="C32" t="s">
        <v>1737</v>
      </c>
      <c r="D32" t="s">
        <v>2344</v>
      </c>
      <c r="E32">
        <f>IFERROR(
   IF(D32="Líder",
      INDEX(ZACATECAS!E:E, MATCH(C32, ZACATECAS!F:F, 0)),
      INDEX(ZACATECAS!H:H, MATCH(C32, ZACATECAS!J:J, 0))
   ),
"")</f>
        <v>32225725</v>
      </c>
    </row>
    <row r="33" spans="1:5" x14ac:dyDescent="0.3">
      <c r="A33" t="s">
        <v>2127</v>
      </c>
      <c r="B33" t="s">
        <v>2147</v>
      </c>
      <c r="C33" t="s">
        <v>2148</v>
      </c>
      <c r="D33" t="s">
        <v>2344</v>
      </c>
      <c r="E33">
        <f>IFERROR(
   IF(D33="Líder",
      INDEX(ZACATECAS!E:E, MATCH(C33, ZACATECAS!F:F, 0)),
      INDEX(ZACATECAS!H:H, MATCH(C33, ZACATECAS!J:J, 0))
   ),
"")</f>
        <v>32151314</v>
      </c>
    </row>
    <row r="34" spans="1:5" x14ac:dyDescent="0.3">
      <c r="A34" t="s">
        <v>2127</v>
      </c>
      <c r="B34" t="s">
        <v>2183</v>
      </c>
      <c r="C34" t="s">
        <v>2184</v>
      </c>
      <c r="D34" t="s">
        <v>2344</v>
      </c>
      <c r="E34">
        <f>IFERROR(
   IF(D34="Líder",
      INDEX(ZACATECAS!E:E, MATCH(C34, ZACATECAS!F:F, 0)),
      INDEX(ZACATECAS!H:H, MATCH(C34, ZACATECAS!J:J, 0))
   ),
"")</f>
        <v>32172813</v>
      </c>
    </row>
    <row r="35" spans="1:5" x14ac:dyDescent="0.3">
      <c r="A35" t="s">
        <v>2127</v>
      </c>
      <c r="B35" t="s">
        <v>2183</v>
      </c>
      <c r="C35" t="s">
        <v>2351</v>
      </c>
      <c r="D35" t="s">
        <v>2344</v>
      </c>
      <c r="E35" t="str">
        <f>IFERROR(
   IF(D35="Líder",
      INDEX(ZACATECAS!E:E, MATCH(C35, ZACATECAS!F:F, 0)),
      INDEX(ZACATECAS!H:H, MATCH(C35, ZACATECAS!J:J, 0))
   ),
"")</f>
        <v/>
      </c>
    </row>
    <row r="36" spans="1:5" x14ac:dyDescent="0.3">
      <c r="A36" t="s">
        <v>363</v>
      </c>
      <c r="B36" t="s">
        <v>907</v>
      </c>
      <c r="C36" t="s">
        <v>781</v>
      </c>
      <c r="D36" t="s">
        <v>2344</v>
      </c>
      <c r="E36">
        <f>IFERROR(
   IF(D36="Líder",
      INDEX(ZACATECAS!E:E, MATCH(C36, ZACATECAS!F:F, 0)),
      INDEX(ZACATECAS!H:H, MATCH(C36, ZACATECAS!J:J, 0))
   ),
"")</f>
        <v>32168009</v>
      </c>
    </row>
    <row r="37" spans="1:5" x14ac:dyDescent="0.3">
      <c r="A37" t="s">
        <v>1584</v>
      </c>
      <c r="B37" t="s">
        <v>1590</v>
      </c>
      <c r="C37" t="s">
        <v>1591</v>
      </c>
      <c r="D37" t="s">
        <v>2344</v>
      </c>
      <c r="E37">
        <f>IFERROR(
   IF(D37="Líder",
      INDEX(ZACATECAS!E:E, MATCH(C37, ZACATECAS!F:F, 0)),
      INDEX(ZACATECAS!H:H, MATCH(C37, ZACATECAS!J:J, 0))
   ),
"")</f>
        <v>32173125</v>
      </c>
    </row>
    <row r="38" spans="1:5" x14ac:dyDescent="0.3">
      <c r="A38" t="s">
        <v>363</v>
      </c>
      <c r="B38" t="s">
        <v>1051</v>
      </c>
      <c r="C38" t="s">
        <v>2352</v>
      </c>
      <c r="D38" t="s">
        <v>2344</v>
      </c>
      <c r="E38" t="str">
        <f>IFERROR(
   IF(D38="Líder",
      INDEX(ZACATECAS!E:E, MATCH(C38, ZACATECAS!F:F, 0)),
      INDEX(ZACATECAS!H:H, MATCH(C38, ZACATECAS!J:J, 0))
   ),
"")</f>
        <v/>
      </c>
    </row>
    <row r="39" spans="1:5" x14ac:dyDescent="0.3">
      <c r="A39" t="s">
        <v>1</v>
      </c>
      <c r="B39" t="s">
        <v>6</v>
      </c>
      <c r="C39" t="s">
        <v>7</v>
      </c>
      <c r="D39" t="s">
        <v>2344</v>
      </c>
      <c r="E39">
        <f>IFERROR(
   IF(D39="Líder",
      INDEX(ZACATECAS!E:E, MATCH(C39, ZACATECAS!F:F, 0)),
      INDEX(ZACATECAS!H:H, MATCH(C39, ZACATECAS!J:J, 0))
   ),
"")</f>
        <v>32045105</v>
      </c>
    </row>
    <row r="40" spans="1:5" x14ac:dyDescent="0.3">
      <c r="A40" t="s">
        <v>363</v>
      </c>
      <c r="B40" t="s">
        <v>557</v>
      </c>
      <c r="C40" t="s">
        <v>386</v>
      </c>
      <c r="D40" t="s">
        <v>2344</v>
      </c>
      <c r="E40">
        <f>IFERROR(
   IF(D40="Líder",
      INDEX(ZACATECAS!E:E, MATCH(C40, ZACATECAS!F:F, 0)),
      INDEX(ZACATECAS!H:H, MATCH(C40, ZACATECAS!J:J, 0))
   ),
"")</f>
        <v>32147380</v>
      </c>
    </row>
    <row r="41" spans="1:5" x14ac:dyDescent="0.3">
      <c r="A41" t="s">
        <v>363</v>
      </c>
      <c r="B41" t="s">
        <v>557</v>
      </c>
      <c r="C41" t="s">
        <v>558</v>
      </c>
      <c r="D41" t="s">
        <v>2344</v>
      </c>
      <c r="E41">
        <f>IFERROR(
   IF(D41="Líder",
      INDEX(ZACATECAS!E:E, MATCH(C41, ZACATECAS!F:F, 0)),
      INDEX(ZACATECAS!H:H, MATCH(C41, ZACATECAS!J:J, 0))
   ),
"")</f>
        <v>32046005</v>
      </c>
    </row>
    <row r="42" spans="1:5" x14ac:dyDescent="0.3">
      <c r="A42" t="s">
        <v>1584</v>
      </c>
      <c r="B42" t="s">
        <v>2353</v>
      </c>
      <c r="C42" t="s">
        <v>1602</v>
      </c>
      <c r="D42" t="s">
        <v>2344</v>
      </c>
      <c r="E42">
        <f>IFERROR(
   IF(D42="Líder",
      INDEX(ZACATECAS!E:E, MATCH(C42, ZACATECAS!F:F, 0)),
      INDEX(ZACATECAS!H:H, MATCH(C42, ZACATECAS!J:J, 0))
   ),
"")</f>
        <v>32043728</v>
      </c>
    </row>
    <row r="43" spans="1:5" x14ac:dyDescent="0.3">
      <c r="A43" t="s">
        <v>363</v>
      </c>
      <c r="B43" t="s">
        <v>1320</v>
      </c>
      <c r="C43" t="s">
        <v>1292</v>
      </c>
      <c r="D43" t="s">
        <v>2344</v>
      </c>
      <c r="E43">
        <f>IFERROR(
   IF(D43="Líder",
      INDEX(ZACATECAS!E:E, MATCH(C43, ZACATECAS!F:F, 0)),
      INDEX(ZACATECAS!H:H, MATCH(C43, ZACATECAS!J:J, 0))
   ),
"")</f>
        <v>32046695</v>
      </c>
    </row>
    <row r="44" spans="1:5" x14ac:dyDescent="0.3">
      <c r="A44" t="s">
        <v>1584</v>
      </c>
      <c r="B44" t="s">
        <v>1615</v>
      </c>
      <c r="C44" t="s">
        <v>1616</v>
      </c>
      <c r="D44" t="s">
        <v>2344</v>
      </c>
      <c r="E44">
        <f>IFERROR(
   IF(D44="Líder",
      INDEX(ZACATECAS!E:E, MATCH(C44, ZACATECAS!F:F, 0)),
      INDEX(ZACATECAS!H:H, MATCH(C44, ZACATECAS!J:J, 0))
   ),
"")</f>
        <v>32199317</v>
      </c>
    </row>
    <row r="45" spans="1:5" x14ac:dyDescent="0.3">
      <c r="A45" t="s">
        <v>363</v>
      </c>
      <c r="B45" t="s">
        <v>605</v>
      </c>
      <c r="C45" t="s">
        <v>606</v>
      </c>
      <c r="D45" t="s">
        <v>2344</v>
      </c>
      <c r="E45">
        <f>IFERROR(
   IF(D45="Líder",
      INDEX(ZACATECAS!E:E, MATCH(C45, ZACATECAS!F:F, 0)),
      INDEX(ZACATECAS!H:H, MATCH(C45, ZACATECAS!J:J, 0))
   ),
"")</f>
        <v>32147380</v>
      </c>
    </row>
    <row r="46" spans="1:5" x14ac:dyDescent="0.3">
      <c r="A46" t="s">
        <v>363</v>
      </c>
      <c r="B46" t="s">
        <v>435</v>
      </c>
      <c r="C46" t="s">
        <v>365</v>
      </c>
      <c r="D46" t="s">
        <v>2344</v>
      </c>
      <c r="E46">
        <f>IFERROR(
   IF(D46="Líder",
      INDEX(ZACATECAS!E:E, MATCH(C46, ZACATECAS!F:F, 0)),
      INDEX(ZACATECAS!H:H, MATCH(C46, ZACATECAS!J:J, 0))
   ),
"")</f>
        <v>32046689</v>
      </c>
    </row>
    <row r="47" spans="1:5" x14ac:dyDescent="0.3">
      <c r="A47" t="s">
        <v>363</v>
      </c>
      <c r="B47" t="s">
        <v>1137</v>
      </c>
      <c r="C47" t="s">
        <v>2352</v>
      </c>
      <c r="D47" t="s">
        <v>2344</v>
      </c>
      <c r="E47" t="str">
        <f>IFERROR(
   IF(D47="Líder",
      INDEX(ZACATECAS!E:E, MATCH(C47, ZACATECAS!F:F, 0)),
      INDEX(ZACATECAS!H:H, MATCH(C47, ZACATECAS!J:J, 0))
   ),
"")</f>
        <v/>
      </c>
    </row>
    <row r="48" spans="1:5" x14ac:dyDescent="0.3">
      <c r="A48" t="s">
        <v>2127</v>
      </c>
      <c r="B48" t="s">
        <v>2285</v>
      </c>
      <c r="C48" t="s">
        <v>2286</v>
      </c>
      <c r="D48" t="s">
        <v>2344</v>
      </c>
      <c r="E48">
        <f>IFERROR(
   IF(D48="Líder",
      INDEX(ZACATECAS!E:E, MATCH(C48, ZACATECAS!F:F, 0)),
      INDEX(ZACATECAS!H:H, MATCH(C48, ZACATECAS!J:J, 0))
   ),
"")</f>
        <v>32044913</v>
      </c>
    </row>
    <row r="49" spans="1:5" x14ac:dyDescent="0.3">
      <c r="A49" t="s">
        <v>363</v>
      </c>
      <c r="B49" t="s">
        <v>1417</v>
      </c>
      <c r="C49" t="s">
        <v>1418</v>
      </c>
      <c r="D49" t="s">
        <v>2344</v>
      </c>
      <c r="E49">
        <f>IFERROR(
   IF(D49="Líder",
      INDEX(ZACATECAS!E:E, MATCH(C49, ZACATECAS!F:F, 0)),
      INDEX(ZACATECAS!H:H, MATCH(C49, ZACATECAS!J:J, 0))
   ),
"")</f>
        <v>32168008</v>
      </c>
    </row>
    <row r="50" spans="1:5" x14ac:dyDescent="0.3">
      <c r="A50" t="s">
        <v>1</v>
      </c>
      <c r="B50" t="s">
        <v>12</v>
      </c>
      <c r="C50" t="s">
        <v>2354</v>
      </c>
      <c r="D50" t="s">
        <v>2344</v>
      </c>
      <c r="E50" t="str">
        <f>IFERROR(
   IF(D50="Líder",
      INDEX(ZACATECAS!E:E, MATCH(C50, ZACATECAS!F:F, 0)),
      INDEX(ZACATECAS!H:H, MATCH(C50, ZACATECAS!J:J, 0))
   ),
"")</f>
        <v/>
      </c>
    </row>
    <row r="51" spans="1:5" x14ac:dyDescent="0.3">
      <c r="A51" t="s">
        <v>363</v>
      </c>
      <c r="B51" t="s">
        <v>1156</v>
      </c>
      <c r="C51" t="s">
        <v>1094</v>
      </c>
      <c r="D51" t="s">
        <v>2344</v>
      </c>
      <c r="E51">
        <f>IFERROR(
   IF(D51="Líder",
      INDEX(ZACATECAS!E:E, MATCH(C51, ZACATECAS!F:F, 0)),
      INDEX(ZACATECAS!H:H, MATCH(C51, ZACATECAS!J:J, 0))
   ),
"")</f>
        <v>32096563</v>
      </c>
    </row>
    <row r="52" spans="1:5" x14ac:dyDescent="0.3">
      <c r="A52" t="s">
        <v>363</v>
      </c>
      <c r="B52" t="s">
        <v>677</v>
      </c>
      <c r="C52" t="s">
        <v>515</v>
      </c>
      <c r="D52" t="s">
        <v>2344</v>
      </c>
      <c r="E52">
        <f>IFERROR(
   IF(D52="Líder",
      INDEX(ZACATECAS!E:E, MATCH(C52, ZACATECAS!F:F, 0)),
      INDEX(ZACATECAS!H:H, MATCH(C52, ZACATECAS!J:J, 0))
   ),
"")</f>
        <v>32148105</v>
      </c>
    </row>
    <row r="53" spans="1:5" x14ac:dyDescent="0.3">
      <c r="A53" t="s">
        <v>363</v>
      </c>
      <c r="B53" t="s">
        <v>494</v>
      </c>
      <c r="C53" t="s">
        <v>495</v>
      </c>
      <c r="D53" t="s">
        <v>2344</v>
      </c>
      <c r="E53">
        <f>IFERROR(
   IF(D53="Líder",
      INDEX(ZACATECAS!E:E, MATCH(C53, ZACATECAS!F:F, 0)),
      INDEX(ZACATECAS!H:H, MATCH(C53, ZACATECAS!J:J, 0))
   ),
"")</f>
        <v>32149965</v>
      </c>
    </row>
    <row r="54" spans="1:5" x14ac:dyDescent="0.3">
      <c r="A54" t="s">
        <v>28</v>
      </c>
      <c r="B54" t="s">
        <v>30</v>
      </c>
      <c r="C54" t="s">
        <v>31</v>
      </c>
      <c r="D54" t="s">
        <v>2344</v>
      </c>
      <c r="E54">
        <f>IFERROR(
   IF(D54="Líder",
      INDEX(ZACATECAS!E:E, MATCH(C54, ZACATECAS!F:F, 0)),
      INDEX(ZACATECAS!H:H, MATCH(C54, ZACATECAS!J:J, 0))
   ),
"")</f>
        <v>32146684</v>
      </c>
    </row>
    <row r="55" spans="1:5" x14ac:dyDescent="0.3">
      <c r="A55" t="s">
        <v>28</v>
      </c>
      <c r="B55" t="s">
        <v>49</v>
      </c>
      <c r="C55" t="s">
        <v>50</v>
      </c>
      <c r="D55" t="s">
        <v>2344</v>
      </c>
      <c r="E55">
        <f>IFERROR(
   IF(D55="Líder",
      INDEX(ZACATECAS!E:E, MATCH(C55, ZACATECAS!F:F, 0)),
      INDEX(ZACATECAS!H:H, MATCH(C55, ZACATECAS!J:J, 0))
   ),
"")</f>
        <v>32186665</v>
      </c>
    </row>
    <row r="56" spans="1:5" x14ac:dyDescent="0.3">
      <c r="A56" t="s">
        <v>28</v>
      </c>
      <c r="B56" t="s">
        <v>67</v>
      </c>
      <c r="C56" t="s">
        <v>68</v>
      </c>
      <c r="D56" t="s">
        <v>2344</v>
      </c>
      <c r="E56">
        <f>IFERROR(
   IF(D56="Líder",
      INDEX(ZACATECAS!E:E, MATCH(C56, ZACATECAS!F:F, 0)),
      INDEX(ZACATECAS!H:H, MATCH(C56, ZACATECAS!J:J, 0))
   ),
"")</f>
        <v>32045174</v>
      </c>
    </row>
    <row r="57" spans="1:5" x14ac:dyDescent="0.3">
      <c r="A57" t="s">
        <v>363</v>
      </c>
      <c r="B57" t="s">
        <v>743</v>
      </c>
      <c r="C57" t="s">
        <v>2349</v>
      </c>
      <c r="D57" t="s">
        <v>2344</v>
      </c>
      <c r="E57" t="str">
        <f>IFERROR(
   IF(D57="Líder",
      INDEX(ZACATECAS!E:E, MATCH(C57, ZACATECAS!F:F, 0)),
      INDEX(ZACATECAS!H:H, MATCH(C57, ZACATECAS!J:J, 0))
   ),
"")</f>
        <v/>
      </c>
    </row>
    <row r="58" spans="1:5" x14ac:dyDescent="0.3">
      <c r="A58" t="s">
        <v>263</v>
      </c>
      <c r="B58" t="s">
        <v>277</v>
      </c>
      <c r="C58" t="s">
        <v>278</v>
      </c>
      <c r="D58" t="s">
        <v>2344</v>
      </c>
      <c r="E58">
        <f>IFERROR(
   IF(D58="Líder",
      INDEX(ZACATECAS!E:E, MATCH(C58, ZACATECAS!F:F, 0)),
      INDEX(ZACATECAS!H:H, MATCH(C58, ZACATECAS!J:J, 0))
   ),
"")</f>
        <v>32174889</v>
      </c>
    </row>
    <row r="59" spans="1:5" x14ac:dyDescent="0.3">
      <c r="A59" t="s">
        <v>28</v>
      </c>
      <c r="B59" t="s">
        <v>84</v>
      </c>
      <c r="C59" t="s">
        <v>85</v>
      </c>
      <c r="D59" t="s">
        <v>2344</v>
      </c>
      <c r="E59">
        <f>IFERROR(
   IF(D59="Líder",
      INDEX(ZACATECAS!E:E, MATCH(C59, ZACATECAS!F:F, 0)),
      INDEX(ZACATECAS!H:H, MATCH(C59, ZACATECAS!J:J, 0))
   ),
"")</f>
        <v>32052981</v>
      </c>
    </row>
    <row r="60" spans="1:5" x14ac:dyDescent="0.3">
      <c r="A60" t="s">
        <v>363</v>
      </c>
      <c r="B60" t="s">
        <v>1432</v>
      </c>
      <c r="C60" t="s">
        <v>1394</v>
      </c>
      <c r="D60" t="s">
        <v>2344</v>
      </c>
      <c r="E60">
        <f>IFERROR(
   IF(D60="Líder",
      INDEX(ZACATECAS!E:E, MATCH(C60, ZACATECAS!F:F, 0)),
      INDEX(ZACATECAS!H:H, MATCH(C60, ZACATECAS!J:J, 0))
   ),
"")</f>
        <v>32146685</v>
      </c>
    </row>
    <row r="61" spans="1:5" x14ac:dyDescent="0.3">
      <c r="A61" t="s">
        <v>363</v>
      </c>
      <c r="B61" t="s">
        <v>1192</v>
      </c>
      <c r="C61" t="s">
        <v>2346</v>
      </c>
      <c r="D61" t="s">
        <v>2344</v>
      </c>
      <c r="E61" t="str">
        <f>IFERROR(
   IF(D61="Líder",
      INDEX(ZACATECAS!E:E, MATCH(C61, ZACATECAS!F:F, 0)),
      INDEX(ZACATECAS!H:H, MATCH(C61, ZACATECAS!J:J, 0))
   ),
"")</f>
        <v/>
      </c>
    </row>
    <row r="62" spans="1:5" x14ac:dyDescent="0.3">
      <c r="A62" t="s">
        <v>28</v>
      </c>
      <c r="B62" t="s">
        <v>96</v>
      </c>
      <c r="C62" t="s">
        <v>97</v>
      </c>
      <c r="D62" t="s">
        <v>2344</v>
      </c>
      <c r="E62">
        <f>IFERROR(
   IF(D62="Líder",
      INDEX(ZACATECAS!E:E, MATCH(C62, ZACATECAS!F:F, 0)),
      INDEX(ZACATECAS!H:H, MATCH(C62, ZACATECAS!J:J, 0))
   ),
"")</f>
        <v>32044049</v>
      </c>
    </row>
    <row r="63" spans="1:5" x14ac:dyDescent="0.3">
      <c r="A63" t="s">
        <v>28</v>
      </c>
      <c r="B63" t="s">
        <v>109</v>
      </c>
      <c r="C63" t="s">
        <v>110</v>
      </c>
      <c r="D63" t="s">
        <v>2344</v>
      </c>
      <c r="E63">
        <f>IFERROR(
   IF(D63="Líder",
      INDEX(ZACATECAS!E:E, MATCH(C63, ZACATECAS!F:F, 0)),
      INDEX(ZACATECAS!H:H, MATCH(C63, ZACATECAS!J:J, 0))
   ),
"")</f>
        <v>32154187</v>
      </c>
    </row>
    <row r="64" spans="1:5" x14ac:dyDescent="0.3">
      <c r="A64" t="s">
        <v>1</v>
      </c>
      <c r="B64" t="s">
        <v>8</v>
      </c>
      <c r="C64" t="s">
        <v>2031</v>
      </c>
      <c r="D64" t="s">
        <v>2344</v>
      </c>
      <c r="E64">
        <f>IFERROR(
   IF(D64="Líder",
      INDEX(ZACATECAS!E:E, MATCH(C64, ZACATECAS!F:F, 0)),
      INDEX(ZACATECAS!H:H, MATCH(C64, ZACATECAS!J:J, 0))
   ),
"")</f>
        <v>32044637</v>
      </c>
    </row>
    <row r="65" spans="1:5" x14ac:dyDescent="0.3">
      <c r="A65" t="s">
        <v>28</v>
      </c>
      <c r="B65" t="s">
        <v>120</v>
      </c>
      <c r="C65" t="s">
        <v>121</v>
      </c>
      <c r="D65" t="s">
        <v>2344</v>
      </c>
      <c r="E65">
        <f>IFERROR(
   IF(D65="Líder",
      INDEX(ZACATECAS!E:E, MATCH(C65, ZACATECAS!F:F, 0)),
      INDEX(ZACATECAS!H:H, MATCH(C65, ZACATECAS!J:J, 0))
   ),
"")</f>
        <v>32146677</v>
      </c>
    </row>
    <row r="66" spans="1:5" x14ac:dyDescent="0.3">
      <c r="A66" t="s">
        <v>28</v>
      </c>
      <c r="B66" t="s">
        <v>139</v>
      </c>
      <c r="C66" t="s">
        <v>140</v>
      </c>
      <c r="D66" t="s">
        <v>2344</v>
      </c>
      <c r="E66">
        <f>IFERROR(
   IF(D66="Líder",
      INDEX(ZACATECAS!E:E, MATCH(C66, ZACATECAS!F:F, 0)),
      INDEX(ZACATECAS!H:H, MATCH(C66, ZACATECAS!J:J, 0))
   ),
"")</f>
        <v>32046063</v>
      </c>
    </row>
    <row r="67" spans="1:5" x14ac:dyDescent="0.3">
      <c r="A67" t="s">
        <v>363</v>
      </c>
      <c r="B67" t="s">
        <v>780</v>
      </c>
      <c r="C67" t="s">
        <v>781</v>
      </c>
      <c r="D67" t="s">
        <v>2344</v>
      </c>
      <c r="E67">
        <f>IFERROR(
   IF(D67="Líder",
      INDEX(ZACATECAS!E:E, MATCH(C67, ZACATECAS!F:F, 0)),
      INDEX(ZACATECAS!H:H, MATCH(C67, ZACATECAS!J:J, 0))
   ),
"")</f>
        <v>32168009</v>
      </c>
    </row>
    <row r="68" spans="1:5" x14ac:dyDescent="0.3">
      <c r="A68" t="s">
        <v>363</v>
      </c>
      <c r="B68" t="s">
        <v>1561</v>
      </c>
      <c r="C68" t="s">
        <v>1079</v>
      </c>
      <c r="D68" t="s">
        <v>2344</v>
      </c>
      <c r="E68">
        <f>IFERROR(
   IF(D68="Líder",
      INDEX(ZACATECAS!E:E, MATCH(C68, ZACATECAS!F:F, 0)),
      INDEX(ZACATECAS!H:H, MATCH(C68, ZACATECAS!J:J, 0))
   ),
"")</f>
        <v>32231920</v>
      </c>
    </row>
    <row r="69" spans="1:5" x14ac:dyDescent="0.3">
      <c r="A69" t="s">
        <v>363</v>
      </c>
      <c r="B69" t="s">
        <v>708</v>
      </c>
      <c r="C69" t="s">
        <v>2355</v>
      </c>
      <c r="D69" t="s">
        <v>2344</v>
      </c>
      <c r="E69" t="str">
        <f>IFERROR(
   IF(D69="Líder",
      INDEX(ZACATECAS!E:E, MATCH(C69, ZACATECAS!F:F, 0)),
      INDEX(ZACATECAS!H:H, MATCH(C69, ZACATECAS!J:J, 0))
   ),
"")</f>
        <v/>
      </c>
    </row>
    <row r="70" spans="1:5" x14ac:dyDescent="0.3">
      <c r="A70" t="s">
        <v>363</v>
      </c>
      <c r="B70" t="s">
        <v>708</v>
      </c>
      <c r="C70" t="s">
        <v>386</v>
      </c>
      <c r="D70" t="s">
        <v>2344</v>
      </c>
      <c r="E70">
        <f>IFERROR(
   IF(D70="Líder",
      INDEX(ZACATECAS!E:E, MATCH(C70, ZACATECAS!F:F, 0)),
      INDEX(ZACATECAS!H:H, MATCH(C70, ZACATECAS!J:J, 0))
   ),
"")</f>
        <v>32147380</v>
      </c>
    </row>
    <row r="71" spans="1:5" x14ac:dyDescent="0.3">
      <c r="A71" t="s">
        <v>2053</v>
      </c>
      <c r="B71" t="s">
        <v>2091</v>
      </c>
      <c r="C71" t="s">
        <v>2092</v>
      </c>
      <c r="D71" t="s">
        <v>2344</v>
      </c>
      <c r="E71">
        <f>IFERROR(
   IF(D71="Líder",
      INDEX(ZACATECAS!E:E, MATCH(C71, ZACATECAS!F:F, 0)),
      INDEX(ZACATECAS!H:H, MATCH(C71, ZACATECAS!J:J, 0))
   ),
"")</f>
        <v>32149492</v>
      </c>
    </row>
    <row r="72" spans="1:5" x14ac:dyDescent="0.3">
      <c r="A72" t="s">
        <v>1584</v>
      </c>
      <c r="B72" t="s">
        <v>2356</v>
      </c>
      <c r="C72" t="s">
        <v>1641</v>
      </c>
      <c r="D72" t="s">
        <v>2344</v>
      </c>
      <c r="E72">
        <f>IFERROR(
   IF(D72="Líder",
      INDEX(ZACATECAS!E:E, MATCH(C72, ZACATECAS!F:F, 0)),
      INDEX(ZACATECAS!H:H, MATCH(C72, ZACATECAS!J:J, 0))
   ),
"")</f>
        <v>32172282</v>
      </c>
    </row>
    <row r="73" spans="1:5" x14ac:dyDescent="0.3">
      <c r="A73" t="s">
        <v>363</v>
      </c>
      <c r="B73" t="s">
        <v>974</v>
      </c>
      <c r="C73" t="s">
        <v>975</v>
      </c>
      <c r="D73" t="s">
        <v>2344</v>
      </c>
      <c r="E73">
        <f>IFERROR(
   IF(D73="Líder",
      INDEX(ZACATECAS!E:E, MATCH(C73, ZACATECAS!F:F, 0)),
      INDEX(ZACATECAS!H:H, MATCH(C73, ZACATECAS!J:J, 0))
   ),
"")</f>
        <v>32045820</v>
      </c>
    </row>
    <row r="74" spans="1:5" x14ac:dyDescent="0.3">
      <c r="A74" t="s">
        <v>363</v>
      </c>
      <c r="B74" t="s">
        <v>1343</v>
      </c>
      <c r="C74" t="s">
        <v>1265</v>
      </c>
      <c r="D74" t="s">
        <v>2344</v>
      </c>
      <c r="E74">
        <f>IFERROR(
   IF(D74="Líder",
      INDEX(ZACATECAS!E:E, MATCH(C74, ZACATECAS!F:F, 0)),
      INDEX(ZACATECAS!H:H, MATCH(C74, ZACATECAS!J:J, 0))
   ),
"")</f>
        <v>32060808</v>
      </c>
    </row>
    <row r="75" spans="1:5" x14ac:dyDescent="0.3">
      <c r="A75" t="s">
        <v>363</v>
      </c>
      <c r="B75" t="s">
        <v>1465</v>
      </c>
      <c r="C75" t="s">
        <v>2355</v>
      </c>
      <c r="D75" t="s">
        <v>2344</v>
      </c>
      <c r="E75" t="str">
        <f>IFERROR(
   IF(D75="Líder",
      INDEX(ZACATECAS!E:E, MATCH(C75, ZACATECAS!F:F, 0)),
      INDEX(ZACATECAS!H:H, MATCH(C75, ZACATECAS!J:J, 0))
   ),
"")</f>
        <v/>
      </c>
    </row>
    <row r="76" spans="1:5" x14ac:dyDescent="0.3">
      <c r="A76" t="s">
        <v>263</v>
      </c>
      <c r="B76" t="s">
        <v>291</v>
      </c>
      <c r="C76" t="s">
        <v>292</v>
      </c>
      <c r="D76" t="s">
        <v>2344</v>
      </c>
      <c r="E76">
        <f>IFERROR(
   IF(D76="Líder",
      INDEX(ZACATECAS!E:E, MATCH(C76, ZACATECAS!F:F, 0)),
      INDEX(ZACATECAS!H:H, MATCH(C76, ZACATECAS!J:J, 0))
   ),
"")</f>
        <v>32145498</v>
      </c>
    </row>
    <row r="77" spans="1:5" x14ac:dyDescent="0.3">
      <c r="A77" t="s">
        <v>363</v>
      </c>
      <c r="B77" t="s">
        <v>1215</v>
      </c>
      <c r="C77" t="s">
        <v>2352</v>
      </c>
      <c r="D77" t="s">
        <v>2344</v>
      </c>
      <c r="E77" t="str">
        <f>IFERROR(
   IF(D77="Líder",
      INDEX(ZACATECAS!E:E, MATCH(C77, ZACATECAS!F:F, 0)),
      INDEX(ZACATECAS!H:H, MATCH(C77, ZACATECAS!J:J, 0))
   ),
"")</f>
        <v/>
      </c>
    </row>
    <row r="78" spans="1:5" x14ac:dyDescent="0.3">
      <c r="A78" t="s">
        <v>263</v>
      </c>
      <c r="B78" t="s">
        <v>312</v>
      </c>
      <c r="C78" t="s">
        <v>313</v>
      </c>
      <c r="D78" t="s">
        <v>2344</v>
      </c>
      <c r="E78">
        <f>IFERROR(
   IF(D78="Líder",
      INDEX(ZACATECAS!E:E, MATCH(C78, ZACATECAS!F:F, 0)),
      INDEX(ZACATECAS!H:H, MATCH(C78, ZACATECAS!J:J, 0))
   ),
"")</f>
        <v>32045378</v>
      </c>
    </row>
    <row r="79" spans="1:5" x14ac:dyDescent="0.3">
      <c r="A79" t="s">
        <v>35</v>
      </c>
      <c r="B79" t="s">
        <v>1894</v>
      </c>
      <c r="C79" t="s">
        <v>1895</v>
      </c>
      <c r="D79" t="s">
        <v>2344</v>
      </c>
      <c r="E79">
        <f>IFERROR(
   IF(D79="Líder",
      INDEX(ZACATECAS!E:E, MATCH(C79, ZACATECAS!F:F, 0)),
      INDEX(ZACATECAS!H:H, MATCH(C79, ZACATECAS!J:J, 0))
   ),
"")</f>
        <v>32164996</v>
      </c>
    </row>
    <row r="80" spans="1:5" x14ac:dyDescent="0.3">
      <c r="A80" t="s">
        <v>363</v>
      </c>
      <c r="B80" t="s">
        <v>1264</v>
      </c>
      <c r="C80" t="s">
        <v>1265</v>
      </c>
      <c r="D80" t="s">
        <v>2344</v>
      </c>
      <c r="E80">
        <f>IFERROR(
   IF(D80="Líder",
      INDEX(ZACATECAS!E:E, MATCH(C80, ZACATECAS!F:F, 0)),
      INDEX(ZACATECAS!H:H, MATCH(C80, ZACATECAS!J:J, 0))
   ),
"")</f>
        <v>32060808</v>
      </c>
    </row>
    <row r="81" spans="1:5" x14ac:dyDescent="0.3">
      <c r="A81" t="s">
        <v>1584</v>
      </c>
      <c r="B81" t="s">
        <v>2357</v>
      </c>
      <c r="C81" t="s">
        <v>1833</v>
      </c>
      <c r="D81" t="s">
        <v>2344</v>
      </c>
      <c r="E81">
        <f>IFERROR(
   IF(D81="Líder",
      INDEX(ZACATECAS!E:E, MATCH(C81, ZACATECAS!F:F, 0)),
      INDEX(ZACATECAS!H:H, MATCH(C81, ZACATECAS!J:J, 0))
   ),
"")</f>
        <v>32195392</v>
      </c>
    </row>
    <row r="82" spans="1:5" x14ac:dyDescent="0.3">
      <c r="A82" t="s">
        <v>363</v>
      </c>
      <c r="B82" t="s">
        <v>1078</v>
      </c>
      <c r="C82" t="s">
        <v>2358</v>
      </c>
      <c r="D82" t="s">
        <v>2344</v>
      </c>
      <c r="E82" t="str">
        <f>IFERROR(
   IF(D82="Líder",
      INDEX(ZACATECAS!E:E, MATCH(C82, ZACATECAS!F:F, 0)),
      INDEX(ZACATECAS!H:H, MATCH(C82, ZACATECAS!J:J, 0))
   ),
"")</f>
        <v/>
      </c>
    </row>
    <row r="83" spans="1:5" x14ac:dyDescent="0.3">
      <c r="A83" t="s">
        <v>363</v>
      </c>
      <c r="B83" t="s">
        <v>1078</v>
      </c>
      <c r="C83" t="s">
        <v>2346</v>
      </c>
      <c r="D83" t="s">
        <v>2344</v>
      </c>
      <c r="E83" t="str">
        <f>IFERROR(
   IF(D83="Líder",
      INDEX(ZACATECAS!E:E, MATCH(C83, ZACATECAS!F:F, 0)),
      INDEX(ZACATECAS!H:H, MATCH(C83, ZACATECAS!J:J, 0))
   ),
"")</f>
        <v/>
      </c>
    </row>
    <row r="84" spans="1:5" x14ac:dyDescent="0.3">
      <c r="A84" t="s">
        <v>1</v>
      </c>
      <c r="B84" t="s">
        <v>10</v>
      </c>
      <c r="C84" t="s">
        <v>11</v>
      </c>
      <c r="D84" t="s">
        <v>2344</v>
      </c>
      <c r="E84" t="str">
        <f>IFERROR(
   IF(D84="Líder",
      INDEX(ZACATECAS!E:E, MATCH(C84, ZACATECAS!F:F, 0)),
      INDEX(ZACATECAS!H:H, MATCH(C84, ZACATECAS!J:J, 0))
   ),
"")</f>
        <v/>
      </c>
    </row>
    <row r="85" spans="1:5" x14ac:dyDescent="0.3">
      <c r="A85" t="s">
        <v>363</v>
      </c>
      <c r="B85" t="s">
        <v>1369</v>
      </c>
      <c r="C85" t="s">
        <v>1237</v>
      </c>
      <c r="D85" t="s">
        <v>2344</v>
      </c>
      <c r="E85">
        <f>IFERROR(
   IF(D85="Líder",
      INDEX(ZACATECAS!E:E, MATCH(C85, ZACATECAS!F:F, 0)),
      INDEX(ZACATECAS!H:H, MATCH(C85, ZACATECAS!J:J, 0))
   ),
"")</f>
        <v>32143096</v>
      </c>
    </row>
    <row r="86" spans="1:5" x14ac:dyDescent="0.3">
      <c r="A86" t="s">
        <v>35</v>
      </c>
      <c r="B86" t="s">
        <v>1911</v>
      </c>
      <c r="C86" t="s">
        <v>1912</v>
      </c>
      <c r="D86" t="s">
        <v>2344</v>
      </c>
      <c r="E86">
        <f>IFERROR(
   IF(D86="Líder",
      INDEX(ZACATECAS!E:E, MATCH(C86, ZACATECAS!F:F, 0)),
      INDEX(ZACATECAS!H:H, MATCH(C86, ZACATECAS!J:J, 0))
   ),
"")</f>
        <v>32045053</v>
      </c>
    </row>
    <row r="87" spans="1:5" x14ac:dyDescent="0.3">
      <c r="A87" t="s">
        <v>363</v>
      </c>
      <c r="B87" t="s">
        <v>1093</v>
      </c>
      <c r="C87" t="s">
        <v>2358</v>
      </c>
      <c r="D87" t="s">
        <v>2344</v>
      </c>
      <c r="E87" t="str">
        <f>IFERROR(
   IF(D87="Líder",
      INDEX(ZACATECAS!E:E, MATCH(C87, ZACATECAS!F:F, 0)),
      INDEX(ZACATECAS!H:H, MATCH(C87, ZACATECAS!J:J, 0))
   ),
"")</f>
        <v/>
      </c>
    </row>
    <row r="88" spans="1:5" x14ac:dyDescent="0.3">
      <c r="A88" t="s">
        <v>363</v>
      </c>
      <c r="B88" t="s">
        <v>1093</v>
      </c>
      <c r="C88" t="s">
        <v>1094</v>
      </c>
      <c r="D88" t="s">
        <v>2344</v>
      </c>
      <c r="E88">
        <f>IFERROR(
   IF(D88="Líder",
      INDEX(ZACATECAS!E:E, MATCH(C88, ZACATECAS!F:F, 0)),
      INDEX(ZACATECAS!H:H, MATCH(C88, ZACATECAS!J:J, 0))
   ),
"")</f>
        <v>32096563</v>
      </c>
    </row>
    <row r="89" spans="1:5" x14ac:dyDescent="0.3">
      <c r="A89" t="s">
        <v>363</v>
      </c>
      <c r="B89" t="s">
        <v>1291</v>
      </c>
      <c r="C89" t="s">
        <v>1292</v>
      </c>
      <c r="D89" t="s">
        <v>2344</v>
      </c>
      <c r="E89">
        <f>IFERROR(
   IF(D89="Líder",
      INDEX(ZACATECAS!E:E, MATCH(C89, ZACATECAS!F:F, 0)),
      INDEX(ZACATECAS!H:H, MATCH(C89, ZACATECAS!J:J, 0))
   ),
"")</f>
        <v>32046695</v>
      </c>
    </row>
    <row r="90" spans="1:5" x14ac:dyDescent="0.3">
      <c r="A90" t="s">
        <v>363</v>
      </c>
      <c r="B90" t="s">
        <v>816</v>
      </c>
      <c r="C90" t="s">
        <v>817</v>
      </c>
      <c r="D90" t="s">
        <v>2344</v>
      </c>
      <c r="E90">
        <f>IFERROR(
   IF(D90="Líder",
      INDEX(ZACATECAS!E:E, MATCH(C90, ZACATECAS!F:F, 0)),
      INDEX(ZACATECAS!H:H, MATCH(C90, ZACATECAS!J:J, 0))
   ),
"")</f>
        <v>32147381</v>
      </c>
    </row>
    <row r="91" spans="1:5" x14ac:dyDescent="0.3">
      <c r="A91" t="s">
        <v>2127</v>
      </c>
      <c r="B91" t="s">
        <v>2264</v>
      </c>
      <c r="C91" t="s">
        <v>2359</v>
      </c>
      <c r="D91" t="s">
        <v>2344</v>
      </c>
      <c r="E91" t="str">
        <f>IFERROR(
   IF(D91="Líder",
      INDEX(ZACATECAS!E:E, MATCH(C91, ZACATECAS!F:F, 0)),
      INDEX(ZACATECAS!H:H, MATCH(C91, ZACATECAS!J:J, 0))
   ),
"")</f>
        <v/>
      </c>
    </row>
    <row r="92" spans="1:5" x14ac:dyDescent="0.3">
      <c r="A92" t="s">
        <v>2127</v>
      </c>
      <c r="B92" t="s">
        <v>2264</v>
      </c>
      <c r="C92" t="s">
        <v>2265</v>
      </c>
      <c r="D92" t="s">
        <v>2344</v>
      </c>
      <c r="E92">
        <f>IFERROR(
   IF(D92="Líder",
      INDEX(ZACATECAS!E:E, MATCH(C92, ZACATECAS!F:F, 0)),
      INDEX(ZACATECAS!H:H, MATCH(C92, ZACATECAS!J:J, 0))
   ),
"")</f>
        <v>32151318</v>
      </c>
    </row>
    <row r="93" spans="1:5" x14ac:dyDescent="0.3">
      <c r="A93" t="s">
        <v>363</v>
      </c>
      <c r="B93" t="s">
        <v>1503</v>
      </c>
      <c r="C93" t="s">
        <v>2360</v>
      </c>
      <c r="D93" t="s">
        <v>2344</v>
      </c>
      <c r="E93" t="str">
        <f>IFERROR(
   IF(D93="Líder",
      INDEX(ZACATECAS!E:E, MATCH(C93, ZACATECAS!F:F, 0)),
      INDEX(ZACATECAS!H:H, MATCH(C93, ZACATECAS!J:J, 0))
   ),
"")</f>
        <v/>
      </c>
    </row>
    <row r="94" spans="1:5" x14ac:dyDescent="0.3">
      <c r="A94" t="s">
        <v>363</v>
      </c>
      <c r="B94" t="s">
        <v>397</v>
      </c>
      <c r="C94" t="s">
        <v>398</v>
      </c>
      <c r="D94" t="s">
        <v>2344</v>
      </c>
      <c r="E94">
        <f>IFERROR(
   IF(D94="Líder",
      INDEX(ZACATECAS!E:E, MATCH(C94, ZACATECAS!F:F, 0)),
      INDEX(ZACATECAS!H:H, MATCH(C94, ZACATECAS!J:J, 0))
   ),
"")</f>
        <v>32146001</v>
      </c>
    </row>
    <row r="95" spans="1:5" x14ac:dyDescent="0.3">
      <c r="A95" t="s">
        <v>263</v>
      </c>
      <c r="B95" t="s">
        <v>330</v>
      </c>
      <c r="C95" t="s">
        <v>331</v>
      </c>
      <c r="D95" t="s">
        <v>2344</v>
      </c>
      <c r="E95">
        <f>IFERROR(
   IF(D95="Líder",
      INDEX(ZACATECAS!E:E, MATCH(C95, ZACATECAS!F:F, 0)),
      INDEX(ZACATECAS!H:H, MATCH(C95, ZACATECAS!J:J, 0))
   ),
"")</f>
        <v>32209640</v>
      </c>
    </row>
    <row r="96" spans="1:5" x14ac:dyDescent="0.3">
      <c r="A96" t="s">
        <v>1584</v>
      </c>
      <c r="B96" t="s">
        <v>2361</v>
      </c>
      <c r="C96" t="s">
        <v>2362</v>
      </c>
      <c r="D96" t="s">
        <v>2344</v>
      </c>
      <c r="E96" t="str">
        <f>IFERROR(
   IF(D96="Líder",
      INDEX(ZACATECAS!E:E, MATCH(C96, ZACATECAS!F:F, 0)),
      INDEX(ZACATECAS!H:H, MATCH(C96, ZACATECAS!J:J, 0))
   ),
"")</f>
        <v/>
      </c>
    </row>
    <row r="97" spans="1:5" x14ac:dyDescent="0.3">
      <c r="A97" t="s">
        <v>28</v>
      </c>
      <c r="B97" t="s">
        <v>150</v>
      </c>
      <c r="C97" t="s">
        <v>151</v>
      </c>
      <c r="D97" t="s">
        <v>2344</v>
      </c>
      <c r="E97">
        <f>IFERROR(
   IF(D97="Líder",
      INDEX(ZACATECAS!E:E, MATCH(C97, ZACATECAS!F:F, 0)),
      INDEX(ZACATECAS!H:H, MATCH(C97, ZACATECAS!J:J, 0))
   ),
"")</f>
        <v>32052750</v>
      </c>
    </row>
    <row r="98" spans="1:5" x14ac:dyDescent="0.3">
      <c r="A98" t="s">
        <v>263</v>
      </c>
      <c r="B98" t="s">
        <v>350</v>
      </c>
      <c r="C98" t="s">
        <v>351</v>
      </c>
      <c r="D98" t="s">
        <v>2344</v>
      </c>
      <c r="E98">
        <f>IFERROR(
   IF(D98="Líder",
      INDEX(ZACATECAS!E:E, MATCH(C98, ZACATECAS!F:F, 0)),
      INDEX(ZACATECAS!H:H, MATCH(C98, ZACATECAS!J:J, 0))
   ),
"")</f>
        <v>32044983</v>
      </c>
    </row>
    <row r="99" spans="1:5" x14ac:dyDescent="0.3">
      <c r="A99" t="s">
        <v>28</v>
      </c>
      <c r="B99" t="s">
        <v>164</v>
      </c>
      <c r="C99" t="s">
        <v>2335</v>
      </c>
      <c r="D99" t="s">
        <v>2344</v>
      </c>
      <c r="E99" t="str">
        <f>IFERROR(
   IF(D99="Líder",
      INDEX(ZACATECAS!E:E, MATCH(C99, ZACATECAS!F:F, 0)),
      INDEX(ZACATECAS!H:H, MATCH(C99, ZACATECAS!J:J, 0))
   ),
"")</f>
        <v/>
      </c>
    </row>
    <row r="100" spans="1:5" x14ac:dyDescent="0.3">
      <c r="A100" t="s">
        <v>1584</v>
      </c>
      <c r="B100" t="s">
        <v>2363</v>
      </c>
      <c r="C100" t="s">
        <v>1587</v>
      </c>
      <c r="D100" t="s">
        <v>2344</v>
      </c>
      <c r="E100">
        <f>IFERROR(
   IF(D100="Líder",
      INDEX(ZACATECAS!E:E, MATCH(C100, ZACATECAS!F:F, 0)),
      INDEX(ZACATECAS!H:H, MATCH(C100, ZACATECAS!J:J, 0))
   ),
"")</f>
        <v>32198469</v>
      </c>
    </row>
    <row r="101" spans="1:5" x14ac:dyDescent="0.3">
      <c r="A101" t="s">
        <v>2127</v>
      </c>
      <c r="B101" t="s">
        <v>2312</v>
      </c>
      <c r="C101" t="s">
        <v>2313</v>
      </c>
      <c r="D101" t="s">
        <v>2344</v>
      </c>
      <c r="E101">
        <f>IFERROR(
   IF(D101="Líder",
      INDEX(ZACATECAS!E:E, MATCH(C101, ZACATECAS!F:F, 0)),
      INDEX(ZACATECAS!H:H, MATCH(C101, ZACATECAS!J:J, 0))
   ),
"")</f>
        <v>32045081</v>
      </c>
    </row>
    <row r="102" spans="1:5" x14ac:dyDescent="0.3">
      <c r="A102" t="s">
        <v>2127</v>
      </c>
      <c r="B102" t="s">
        <v>2153</v>
      </c>
      <c r="C102" t="s">
        <v>2154</v>
      </c>
      <c r="D102" t="s">
        <v>2344</v>
      </c>
      <c r="E102">
        <f>IFERROR(
   IF(D102="Líder",
      INDEX(ZACATECAS!E:E, MATCH(C102, ZACATECAS!F:F, 0)),
      INDEX(ZACATECAS!H:H, MATCH(C102, ZACATECAS!J:J, 0))
   ),
"")</f>
        <v>32055317</v>
      </c>
    </row>
    <row r="103" spans="1:5" x14ac:dyDescent="0.3">
      <c r="A103" t="s">
        <v>1584</v>
      </c>
      <c r="B103" t="s">
        <v>1672</v>
      </c>
      <c r="C103" t="s">
        <v>1673</v>
      </c>
      <c r="D103" t="s">
        <v>2344</v>
      </c>
      <c r="E103">
        <f>IFERROR(
   IF(D103="Líder",
      INDEX(ZACATECAS!E:E, MATCH(C103, ZACATECAS!F:F, 0)),
      INDEX(ZACATECAS!H:H, MATCH(C103, ZACATECAS!J:J, 0))
   ),
"")</f>
        <v>32174892</v>
      </c>
    </row>
    <row r="104" spans="1:5" x14ac:dyDescent="0.3">
      <c r="A104" t="s">
        <v>1584</v>
      </c>
      <c r="B104" t="s">
        <v>1689</v>
      </c>
      <c r="C104" t="s">
        <v>1690</v>
      </c>
      <c r="D104" t="s">
        <v>2344</v>
      </c>
      <c r="E104">
        <f>IFERROR(
   IF(D104="Líder",
      INDEX(ZACATECAS!E:E, MATCH(C104, ZACATECAS!F:F, 0)),
      INDEX(ZACATECAS!H:H, MATCH(C104, ZACATECAS!J:J, 0))
   ),
"")</f>
        <v>32217868</v>
      </c>
    </row>
    <row r="105" spans="1:5" x14ac:dyDescent="0.3">
      <c r="A105" t="s">
        <v>1584</v>
      </c>
      <c r="B105" t="s">
        <v>1701</v>
      </c>
      <c r="C105" t="s">
        <v>1702</v>
      </c>
      <c r="D105" t="s">
        <v>2344</v>
      </c>
      <c r="E105">
        <f>IFERROR(
   IF(D105="Líder",
      INDEX(ZACATECAS!E:E, MATCH(C105, ZACATECAS!F:F, 0)),
      INDEX(ZACATECAS!H:H, MATCH(C105, ZACATECAS!J:J, 0))
   ),
"")</f>
        <v>32178853</v>
      </c>
    </row>
    <row r="106" spans="1:5" x14ac:dyDescent="0.3">
      <c r="A106" t="s">
        <v>1584</v>
      </c>
      <c r="B106" t="s">
        <v>1722</v>
      </c>
      <c r="C106" t="s">
        <v>1723</v>
      </c>
      <c r="D106" t="s">
        <v>2344</v>
      </c>
      <c r="E106">
        <f>IFERROR(
   IF(D106="Líder",
      INDEX(ZACATECAS!E:E, MATCH(C106, ZACATECAS!F:F, 0)),
      INDEX(ZACATECAS!H:H, MATCH(C106, ZACATECAS!J:J, 0))
   ),
"")</f>
        <v>32045834</v>
      </c>
    </row>
    <row r="107" spans="1:5" x14ac:dyDescent="0.3">
      <c r="A107" t="s">
        <v>2127</v>
      </c>
      <c r="B107" t="s">
        <v>2195</v>
      </c>
      <c r="C107" t="s">
        <v>2196</v>
      </c>
      <c r="D107" t="s">
        <v>2344</v>
      </c>
      <c r="E107">
        <f>IFERROR(
   IF(D107="Líder",
      INDEX(ZACATECAS!E:E, MATCH(C107, ZACATECAS!F:F, 0)),
      INDEX(ZACATECAS!H:H, MATCH(C107, ZACATECAS!J:J, 0))
   ),
"")</f>
        <v>32149977</v>
      </c>
    </row>
    <row r="108" spans="1:5" x14ac:dyDescent="0.3">
      <c r="A108" t="s">
        <v>2127</v>
      </c>
      <c r="B108" t="s">
        <v>2243</v>
      </c>
      <c r="C108" t="s">
        <v>2244</v>
      </c>
      <c r="D108" t="s">
        <v>2344</v>
      </c>
      <c r="E108">
        <f>IFERROR(
   IF(D108="Líder",
      INDEX(ZACATECAS!E:E, MATCH(C108, ZACATECAS!F:F, 0)),
      INDEX(ZACATECAS!H:H, MATCH(C108, ZACATECAS!J:J, 0))
   ),
"")</f>
        <v>32145055</v>
      </c>
    </row>
    <row r="109" spans="1:5" x14ac:dyDescent="0.3">
      <c r="A109" t="s">
        <v>2127</v>
      </c>
      <c r="B109" t="s">
        <v>2162</v>
      </c>
      <c r="C109" t="s">
        <v>2163</v>
      </c>
      <c r="D109" t="s">
        <v>2344</v>
      </c>
      <c r="E109">
        <f>IFERROR(
   IF(D109="Líder",
      INDEX(ZACATECAS!E:E, MATCH(C109, ZACATECAS!F:F, 0)),
      INDEX(ZACATECAS!H:H, MATCH(C109, ZACATECAS!J:J, 0))
   ),
"")</f>
        <v>32172000</v>
      </c>
    </row>
    <row r="110" spans="1:5" x14ac:dyDescent="0.3">
      <c r="A110" t="s">
        <v>35</v>
      </c>
      <c r="B110" t="s">
        <v>1934</v>
      </c>
      <c r="C110" t="s">
        <v>1935</v>
      </c>
      <c r="D110" t="s">
        <v>2344</v>
      </c>
      <c r="E110">
        <f>IFERROR(
   IF(D110="Líder",
      INDEX(ZACATECAS!E:E, MATCH(C110, ZACATECAS!F:F, 0)),
      INDEX(ZACATECAS!H:H, MATCH(C110, ZACATECAS!J:J, 0))
   ),
"")</f>
        <v>32045909</v>
      </c>
    </row>
    <row r="111" spans="1:5" x14ac:dyDescent="0.3">
      <c r="A111" t="s">
        <v>35</v>
      </c>
      <c r="B111" t="s">
        <v>1951</v>
      </c>
      <c r="C111" t="s">
        <v>1952</v>
      </c>
      <c r="D111" t="s">
        <v>2344</v>
      </c>
      <c r="E111">
        <f>IFERROR(
   IF(D111="Líder",
      INDEX(ZACATECAS!E:E, MATCH(C111, ZACATECAS!F:F, 0)),
      INDEX(ZACATECAS!H:H, MATCH(C111, ZACATECAS!J:J, 0))
   ),
"")</f>
        <v>32043787</v>
      </c>
    </row>
    <row r="112" spans="1:5" x14ac:dyDescent="0.3">
      <c r="A112" t="s">
        <v>363</v>
      </c>
      <c r="B112" t="s">
        <v>1003</v>
      </c>
      <c r="C112" t="s">
        <v>1004</v>
      </c>
      <c r="D112" t="s">
        <v>2344</v>
      </c>
      <c r="E112">
        <f>IFERROR(
   IF(D112="Líder",
      INDEX(ZACATECAS!E:E, MATCH(C112, ZACATECAS!F:F, 0)),
      INDEX(ZACATECAS!H:H, MATCH(C112, ZACATECAS!J:J, 0))
   ),
"")</f>
        <v>32148202</v>
      </c>
    </row>
    <row r="113" spans="1:5" x14ac:dyDescent="0.3">
      <c r="A113" t="s">
        <v>28</v>
      </c>
      <c r="B113" t="s">
        <v>197</v>
      </c>
      <c r="C113" t="s">
        <v>198</v>
      </c>
      <c r="D113" t="s">
        <v>2344</v>
      </c>
      <c r="E113">
        <f>IFERROR(
   IF(D113="Líder",
      INDEX(ZACATECAS!E:E, MATCH(C113, ZACATECAS!F:F, 0)),
      INDEX(ZACATECAS!H:H, MATCH(C113, ZACATECAS!J:J, 0))
   ),
"")</f>
        <v>32196674</v>
      </c>
    </row>
    <row r="114" spans="1:5" x14ac:dyDescent="0.3">
      <c r="A114" t="s">
        <v>2127</v>
      </c>
      <c r="B114" t="s">
        <v>2172</v>
      </c>
      <c r="C114" t="s">
        <v>2173</v>
      </c>
      <c r="D114" t="s">
        <v>2344</v>
      </c>
      <c r="E114">
        <f>IFERROR(
   IF(D114="Líder",
      INDEX(ZACATECAS!E:E, MATCH(C114, ZACATECAS!F:F, 0)),
      INDEX(ZACATECAS!H:H, MATCH(C114, ZACATECAS!J:J, 0))
   ),
"")</f>
        <v>32149973</v>
      </c>
    </row>
    <row r="115" spans="1:5" x14ac:dyDescent="0.3">
      <c r="A115" t="s">
        <v>1584</v>
      </c>
      <c r="B115" t="s">
        <v>2364</v>
      </c>
      <c r="C115" t="s">
        <v>2340</v>
      </c>
      <c r="D115" t="s">
        <v>2344</v>
      </c>
      <c r="E115" t="str">
        <f>IFERROR(
   IF(D115="Líder",
      INDEX(ZACATECAS!E:E, MATCH(C115, ZACATECAS!F:F, 0)),
      INDEX(ZACATECAS!H:H, MATCH(C115, ZACATECAS!J:J, 0))
   ),
"")</f>
        <v/>
      </c>
    </row>
    <row r="116" spans="1:5" x14ac:dyDescent="0.3">
      <c r="A116" t="s">
        <v>2127</v>
      </c>
      <c r="B116" t="s">
        <v>2236</v>
      </c>
      <c r="C116" t="s">
        <v>2365</v>
      </c>
      <c r="D116" t="s">
        <v>2344</v>
      </c>
      <c r="E116" t="str">
        <f>IFERROR(
   IF(D116="Líder",
      INDEX(ZACATECAS!E:E, MATCH(C116, ZACATECAS!F:F, 0)),
      INDEX(ZACATECAS!H:H, MATCH(C116, ZACATECAS!J:J, 0))
   ),
"")</f>
        <v/>
      </c>
    </row>
    <row r="117" spans="1:5" x14ac:dyDescent="0.3">
      <c r="A117" t="s">
        <v>35</v>
      </c>
      <c r="B117" t="s">
        <v>1962</v>
      </c>
      <c r="C117" t="s">
        <v>1963</v>
      </c>
      <c r="D117" t="s">
        <v>2344</v>
      </c>
      <c r="E117">
        <f>IFERROR(
   IF(D117="Líder",
      INDEX(ZACATECAS!E:E, MATCH(C117, ZACATECAS!F:F, 0)),
      INDEX(ZACATECAS!H:H, MATCH(C117, ZACATECAS!J:J, 0))
   ),
"")</f>
        <v>32045302</v>
      </c>
    </row>
    <row r="118" spans="1:5" x14ac:dyDescent="0.3">
      <c r="A118" t="s">
        <v>1584</v>
      </c>
      <c r="B118" t="s">
        <v>2366</v>
      </c>
      <c r="C118" t="s">
        <v>2367</v>
      </c>
      <c r="D118" t="s">
        <v>2344</v>
      </c>
      <c r="E118" t="str">
        <f>IFERROR(
   IF(D118="Líder",
      INDEX(ZACATECAS!E:E, MATCH(C118, ZACATECAS!F:F, 0)),
      INDEX(ZACATECAS!H:H, MATCH(C118, ZACATECAS!J:J, 0))
   ),
"")</f>
        <v/>
      </c>
    </row>
    <row r="119" spans="1:5" x14ac:dyDescent="0.3">
      <c r="A119" t="s">
        <v>1584</v>
      </c>
      <c r="B119" t="s">
        <v>1782</v>
      </c>
      <c r="C119" t="s">
        <v>1783</v>
      </c>
      <c r="D119" t="s">
        <v>2344</v>
      </c>
      <c r="E119">
        <f>IFERROR(
   IF(D119="Líder",
      INDEX(ZACATECAS!E:E, MATCH(C119, ZACATECAS!F:F, 0)),
      INDEX(ZACATECAS!H:H, MATCH(C119, ZACATECAS!J:J, 0))
   ),
"")</f>
        <v>32214584</v>
      </c>
    </row>
    <row r="120" spans="1:5" x14ac:dyDescent="0.3">
      <c r="A120" t="s">
        <v>363</v>
      </c>
      <c r="B120" t="s">
        <v>1393</v>
      </c>
      <c r="C120" t="s">
        <v>1079</v>
      </c>
      <c r="D120" t="s">
        <v>2344</v>
      </c>
      <c r="E120">
        <f>IFERROR(
   IF(D120="Líder",
      INDEX(ZACATECAS!E:E, MATCH(C120, ZACATECAS!F:F, 0)),
      INDEX(ZACATECAS!H:H, MATCH(C120, ZACATECAS!J:J, 0))
   ),
"")</f>
        <v>32231920</v>
      </c>
    </row>
    <row r="121" spans="1:5" x14ac:dyDescent="0.3">
      <c r="A121" t="s">
        <v>2127</v>
      </c>
      <c r="B121" t="s">
        <v>2297</v>
      </c>
      <c r="C121" t="s">
        <v>2298</v>
      </c>
      <c r="D121" t="s">
        <v>2344</v>
      </c>
      <c r="E121">
        <f>IFERROR(
   IF(D121="Líder",
      INDEX(ZACATECAS!E:E, MATCH(C121, ZACATECAS!F:F, 0)),
      INDEX(ZACATECAS!H:H, MATCH(C121, ZACATECAS!J:J, 0))
   ),
"")</f>
        <v>32045092</v>
      </c>
    </row>
    <row r="122" spans="1:5" x14ac:dyDescent="0.3">
      <c r="A122" t="s">
        <v>1584</v>
      </c>
      <c r="B122" t="s">
        <v>1754</v>
      </c>
      <c r="C122" t="s">
        <v>2368</v>
      </c>
      <c r="D122" t="s">
        <v>2344</v>
      </c>
      <c r="E122" t="str">
        <f>IFERROR(
   IF(D122="Líder",
      INDEX(ZACATECAS!E:E, MATCH(C122, ZACATECAS!F:F, 0)),
      INDEX(ZACATECAS!H:H, MATCH(C122, ZACATECAS!J:J, 0))
   ),
"")</f>
        <v/>
      </c>
    </row>
    <row r="123" spans="1:5" x14ac:dyDescent="0.3">
      <c r="A123" t="s">
        <v>2127</v>
      </c>
      <c r="B123" t="s">
        <v>2253</v>
      </c>
      <c r="C123" t="s">
        <v>2254</v>
      </c>
      <c r="D123" t="s">
        <v>2344</v>
      </c>
      <c r="E123">
        <f>IFERROR(
   IF(D123="Líder",
      INDEX(ZACATECAS!E:E, MATCH(C123, ZACATECAS!F:F, 0)),
      INDEX(ZACATECAS!H:H, MATCH(C123, ZACATECAS!J:J, 0))
   ),
"")</f>
        <v>32145438</v>
      </c>
    </row>
    <row r="124" spans="1:5" x14ac:dyDescent="0.3">
      <c r="A124" t="s">
        <v>2127</v>
      </c>
      <c r="B124" t="s">
        <v>2220</v>
      </c>
      <c r="C124" t="s">
        <v>2221</v>
      </c>
      <c r="D124" t="s">
        <v>2344</v>
      </c>
      <c r="E124">
        <f>IFERROR(
   IF(D124="Líder",
      INDEX(ZACATECAS!E:E, MATCH(C124, ZACATECAS!F:F, 0)),
      INDEX(ZACATECAS!H:H, MATCH(C124, ZACATECAS!J:J, 0))
   ),
"")</f>
        <v>32146125</v>
      </c>
    </row>
    <row r="125" spans="1:5" x14ac:dyDescent="0.3">
      <c r="A125" t="s">
        <v>1584</v>
      </c>
      <c r="B125" t="s">
        <v>1761</v>
      </c>
      <c r="C125" t="s">
        <v>1762</v>
      </c>
      <c r="D125" t="s">
        <v>2344</v>
      </c>
      <c r="E125">
        <f>IFERROR(
   IF(D125="Líder",
      INDEX(ZACATECAS!E:E, MATCH(C125, ZACATECAS!F:F, 0)),
      INDEX(ZACATECAS!H:H, MATCH(C125, ZACATECAS!J:J, 0))
   ),
"")</f>
        <v>32155712</v>
      </c>
    </row>
    <row r="126" spans="1:5" x14ac:dyDescent="0.3">
      <c r="A126" t="s">
        <v>2053</v>
      </c>
      <c r="B126" t="s">
        <v>2110</v>
      </c>
      <c r="C126" t="s">
        <v>2111</v>
      </c>
      <c r="D126" t="s">
        <v>2344</v>
      </c>
      <c r="E126">
        <f>IFERROR(
   IF(D126="Líder",
      INDEX(ZACATECAS!E:E, MATCH(C126, ZACATECAS!F:F, 0)),
      INDEX(ZACATECAS!H:H, MATCH(C126, ZACATECAS!J:J, 0))
   ),
"")</f>
        <v>32069642</v>
      </c>
    </row>
    <row r="127" spans="1:5" x14ac:dyDescent="0.3">
      <c r="A127" t="s">
        <v>35</v>
      </c>
      <c r="B127" t="s">
        <v>1851</v>
      </c>
      <c r="C127" t="s">
        <v>1854</v>
      </c>
      <c r="D127" t="s">
        <v>2369</v>
      </c>
      <c r="E127">
        <f>IFERROR(
   IF(D127="Líder",
      INDEX(ZACATECAS!E:E, MATCH(C127, ZACATECAS!F:F, 0)),
      INDEX(ZACATECAS!H:H, MATCH(C127, ZACATECAS!J:J, 0))
   ),
"")</f>
        <v>32045104</v>
      </c>
    </row>
    <row r="128" spans="1:5" x14ac:dyDescent="0.3">
      <c r="A128" t="s">
        <v>35</v>
      </c>
      <c r="B128" t="s">
        <v>1851</v>
      </c>
      <c r="C128" t="s">
        <v>1856</v>
      </c>
      <c r="D128" t="s">
        <v>2369</v>
      </c>
      <c r="E128">
        <f>IFERROR(
   IF(D128="Líder",
      INDEX(ZACATECAS!E:E, MATCH(C128, ZACATECAS!F:F, 0)),
      INDEX(ZACATECAS!H:H, MATCH(C128, ZACATECAS!J:J, 0))
   ),
"")</f>
        <v>32044318</v>
      </c>
    </row>
    <row r="129" spans="1:5" x14ac:dyDescent="0.3">
      <c r="A129" t="s">
        <v>35</v>
      </c>
      <c r="B129" t="s">
        <v>1851</v>
      </c>
      <c r="C129" t="s">
        <v>1859</v>
      </c>
      <c r="D129" t="s">
        <v>2369</v>
      </c>
      <c r="E129">
        <f>IFERROR(
   IF(D129="Líder",
      INDEX(ZACATECAS!E:E, MATCH(C129, ZACATECAS!F:F, 0)),
      INDEX(ZACATECAS!H:H, MATCH(C129, ZACATECAS!J:J, 0))
   ),
"")</f>
        <v>32043740</v>
      </c>
    </row>
    <row r="130" spans="1:5" x14ac:dyDescent="0.3">
      <c r="A130" t="s">
        <v>35</v>
      </c>
      <c r="B130" t="s">
        <v>1851</v>
      </c>
      <c r="C130" t="s">
        <v>1861</v>
      </c>
      <c r="D130" t="s">
        <v>2369</v>
      </c>
      <c r="E130">
        <f>IFERROR(
   IF(D130="Líder",
      INDEX(ZACATECAS!E:E, MATCH(C130, ZACATECAS!F:F, 0)),
      INDEX(ZACATECAS!H:H, MATCH(C130, ZACATECAS!J:J, 0))
   ),
"")</f>
        <v>32043636</v>
      </c>
    </row>
    <row r="131" spans="1:5" x14ac:dyDescent="0.3">
      <c r="A131" t="s">
        <v>35</v>
      </c>
      <c r="B131" t="s">
        <v>1851</v>
      </c>
      <c r="C131" t="s">
        <v>1863</v>
      </c>
      <c r="D131" t="s">
        <v>2369</v>
      </c>
      <c r="E131">
        <f>IFERROR(
   IF(D131="Líder",
      INDEX(ZACATECAS!E:E, MATCH(C131, ZACATECAS!F:F, 0)),
      INDEX(ZACATECAS!H:H, MATCH(C131, ZACATECAS!J:J, 0))
   ),
"")</f>
        <v>32045126</v>
      </c>
    </row>
    <row r="132" spans="1:5" x14ac:dyDescent="0.3">
      <c r="A132" t="s">
        <v>35</v>
      </c>
      <c r="B132" t="s">
        <v>1851</v>
      </c>
      <c r="C132" t="s">
        <v>1865</v>
      </c>
      <c r="D132" t="s">
        <v>2369</v>
      </c>
      <c r="E132">
        <f>IFERROR(
   IF(D132="Líder",
      INDEX(ZACATECAS!E:E, MATCH(C132, ZACATECAS!F:F, 0)),
      INDEX(ZACATECAS!H:H, MATCH(C132, ZACATECAS!J:J, 0))
   ),
"")</f>
        <v>32043806</v>
      </c>
    </row>
    <row r="133" spans="1:5" x14ac:dyDescent="0.3">
      <c r="A133" t="s">
        <v>35</v>
      </c>
      <c r="B133" t="s">
        <v>1851</v>
      </c>
      <c r="C133" t="s">
        <v>1867</v>
      </c>
      <c r="D133" t="s">
        <v>2369</v>
      </c>
      <c r="E133">
        <f>IFERROR(
   IF(D133="Líder",
      INDEX(ZACATECAS!E:E, MATCH(C133, ZACATECAS!F:F, 0)),
      INDEX(ZACATECAS!H:H, MATCH(C133, ZACATECAS!J:J, 0))
   ),
"")</f>
        <v>32045787</v>
      </c>
    </row>
    <row r="134" spans="1:5" x14ac:dyDescent="0.3">
      <c r="A134" t="s">
        <v>2127</v>
      </c>
      <c r="B134" t="s">
        <v>2129</v>
      </c>
      <c r="C134" t="s">
        <v>2133</v>
      </c>
      <c r="D134" t="s">
        <v>2369</v>
      </c>
      <c r="E134">
        <f>IFERROR(
   IF(D134="Líder",
      INDEX(ZACATECAS!E:E, MATCH(C134, ZACATECAS!F:F, 0)),
      INDEX(ZACATECAS!H:H, MATCH(C134, ZACATECAS!J:J, 0))
   ),
"")</f>
        <v>32045845</v>
      </c>
    </row>
    <row r="135" spans="1:5" x14ac:dyDescent="0.3">
      <c r="A135" t="s">
        <v>2127</v>
      </c>
      <c r="B135" t="s">
        <v>2129</v>
      </c>
      <c r="C135" t="s">
        <v>2134</v>
      </c>
      <c r="D135" t="s">
        <v>2369</v>
      </c>
      <c r="E135">
        <f>IFERROR(
   IF(D135="Líder",
      INDEX(ZACATECAS!E:E, MATCH(C135, ZACATECAS!F:F, 0)),
      INDEX(ZACATECAS!H:H, MATCH(C135, ZACATECAS!J:J, 0))
   ),
"")</f>
        <v>32045921</v>
      </c>
    </row>
    <row r="136" spans="1:5" x14ac:dyDescent="0.3">
      <c r="A136" t="s">
        <v>2127</v>
      </c>
      <c r="B136" t="s">
        <v>2129</v>
      </c>
      <c r="C136" t="s">
        <v>2143</v>
      </c>
      <c r="D136" t="s">
        <v>2369</v>
      </c>
      <c r="E136">
        <f>IFERROR(
   IF(D136="Líder",
      INDEX(ZACATECAS!E:E, MATCH(C136, ZACATECAS!F:F, 0)),
      INDEX(ZACATECAS!H:H, MATCH(C136, ZACATECAS!J:J, 0))
   ),
"")</f>
        <v>32045259</v>
      </c>
    </row>
    <row r="137" spans="1:5" x14ac:dyDescent="0.3">
      <c r="A137" t="s">
        <v>2127</v>
      </c>
      <c r="B137" t="s">
        <v>2129</v>
      </c>
      <c r="C137" t="s">
        <v>2135</v>
      </c>
      <c r="D137" t="s">
        <v>2369</v>
      </c>
      <c r="E137">
        <f>IFERROR(
   IF(D137="Líder",
      INDEX(ZACATECAS!E:E, MATCH(C137, ZACATECAS!F:F, 0)),
      INDEX(ZACATECAS!H:H, MATCH(C137, ZACATECAS!J:J, 0))
   ),
"")</f>
        <v>32045091</v>
      </c>
    </row>
    <row r="138" spans="1:5" x14ac:dyDescent="0.3">
      <c r="A138" t="s">
        <v>2127</v>
      </c>
      <c r="B138" t="s">
        <v>2129</v>
      </c>
      <c r="C138" t="s">
        <v>2370</v>
      </c>
      <c r="D138" t="s">
        <v>2369</v>
      </c>
      <c r="E138" t="str">
        <f>IFERROR(
   IF(D138="Líder",
      INDEX(ZACATECAS!E:E, MATCH(C138, ZACATECAS!F:F, 0)),
      INDEX(ZACATECAS!H:H, MATCH(C138, ZACATECAS!J:J, 0))
   ),
"")</f>
        <v/>
      </c>
    </row>
    <row r="139" spans="1:5" x14ac:dyDescent="0.3">
      <c r="A139" t="s">
        <v>2127</v>
      </c>
      <c r="B139" t="s">
        <v>2129</v>
      </c>
      <c r="C139" t="s">
        <v>2175</v>
      </c>
      <c r="D139" t="s">
        <v>2369</v>
      </c>
      <c r="E139">
        <f>IFERROR(
   IF(D139="Líder",
      INDEX(ZACATECAS!E:E, MATCH(C139, ZACATECAS!F:F, 0)),
      INDEX(ZACATECAS!H:H, MATCH(C139, ZACATECAS!J:J, 0))
   ),
"")</f>
        <v>32061784</v>
      </c>
    </row>
    <row r="140" spans="1:5" x14ac:dyDescent="0.3">
      <c r="A140" t="s">
        <v>2127</v>
      </c>
      <c r="B140" t="s">
        <v>2129</v>
      </c>
      <c r="C140" t="s">
        <v>2132</v>
      </c>
      <c r="D140" t="s">
        <v>2369</v>
      </c>
      <c r="E140">
        <f>IFERROR(
   IF(D140="Líder",
      INDEX(ZACATECAS!E:E, MATCH(C140, ZACATECAS!F:F, 0)),
      INDEX(ZACATECAS!H:H, MATCH(C140, ZACATECAS!J:J, 0))
   ),
"")</f>
        <v>32045130</v>
      </c>
    </row>
    <row r="141" spans="1:5" x14ac:dyDescent="0.3">
      <c r="A141" t="s">
        <v>2127</v>
      </c>
      <c r="B141" t="s">
        <v>2129</v>
      </c>
      <c r="C141" t="s">
        <v>2177</v>
      </c>
      <c r="D141" t="s">
        <v>2369</v>
      </c>
      <c r="E141">
        <f>IFERROR(
   IF(D141="Líder",
      INDEX(ZACATECAS!E:E, MATCH(C141, ZACATECAS!F:F, 0)),
      INDEX(ZACATECAS!H:H, MATCH(C141, ZACATECAS!J:J, 0))
   ),
"")</f>
        <v>32045380</v>
      </c>
    </row>
    <row r="142" spans="1:5" x14ac:dyDescent="0.3">
      <c r="A142" t="s">
        <v>2127</v>
      </c>
      <c r="B142" t="s">
        <v>2129</v>
      </c>
      <c r="C142" t="s">
        <v>2136</v>
      </c>
      <c r="D142" t="s">
        <v>2369</v>
      </c>
      <c r="E142">
        <f>IFERROR(
   IF(D142="Líder",
      INDEX(ZACATECAS!E:E, MATCH(C142, ZACATECAS!F:F, 0)),
      INDEX(ZACATECAS!H:H, MATCH(C142, ZACATECAS!J:J, 0))
   ),
"")</f>
        <v>32044256</v>
      </c>
    </row>
    <row r="143" spans="1:5" x14ac:dyDescent="0.3">
      <c r="A143" t="s">
        <v>363</v>
      </c>
      <c r="B143" t="s">
        <v>448</v>
      </c>
      <c r="C143" t="s">
        <v>451</v>
      </c>
      <c r="D143" t="s">
        <v>2369</v>
      </c>
      <c r="E143">
        <f>IFERROR(
   IF(D143="Líder",
      INDEX(ZACATECAS!E:E, MATCH(C143, ZACATECAS!F:F, 0)),
      INDEX(ZACATECAS!H:H, MATCH(C143, ZACATECAS!J:J, 0))
   ),
"")</f>
        <v>32046634</v>
      </c>
    </row>
    <row r="144" spans="1:5" x14ac:dyDescent="0.3">
      <c r="A144" t="s">
        <v>363</v>
      </c>
      <c r="B144" t="s">
        <v>448</v>
      </c>
      <c r="C144" t="s">
        <v>454</v>
      </c>
      <c r="D144" t="s">
        <v>2369</v>
      </c>
      <c r="E144">
        <f>IFERROR(
   IF(D144="Líder",
      INDEX(ZACATECAS!E:E, MATCH(C144, ZACATECAS!F:F, 0)),
      INDEX(ZACATECAS!H:H, MATCH(C144, ZACATECAS!J:J, 0))
   ),
"")</f>
        <v>32198303</v>
      </c>
    </row>
    <row r="145" spans="1:5" x14ac:dyDescent="0.3">
      <c r="A145" t="s">
        <v>363</v>
      </c>
      <c r="B145" t="s">
        <v>448</v>
      </c>
      <c r="C145" t="s">
        <v>457</v>
      </c>
      <c r="D145" t="s">
        <v>2369</v>
      </c>
      <c r="E145">
        <f>IFERROR(
   IF(D145="Líder",
      INDEX(ZACATECAS!E:E, MATCH(C145, ZACATECAS!F:F, 0)),
      INDEX(ZACATECAS!H:H, MATCH(C145, ZACATECAS!J:J, 0))
   ),
"")</f>
        <v>32045522</v>
      </c>
    </row>
    <row r="146" spans="1:5" x14ac:dyDescent="0.3">
      <c r="A146" t="s">
        <v>363</v>
      </c>
      <c r="B146" t="s">
        <v>448</v>
      </c>
      <c r="C146" t="s">
        <v>459</v>
      </c>
      <c r="D146" t="s">
        <v>2369</v>
      </c>
      <c r="E146">
        <f>IFERROR(
   IF(D146="Líder",
      INDEX(ZACATECAS!E:E, MATCH(C146, ZACATECAS!F:F, 0)),
      INDEX(ZACATECAS!H:H, MATCH(C146, ZACATECAS!J:J, 0))
   ),
"")</f>
        <v>32044830</v>
      </c>
    </row>
    <row r="147" spans="1:5" x14ac:dyDescent="0.3">
      <c r="A147" t="s">
        <v>363</v>
      </c>
      <c r="B147" t="s">
        <v>448</v>
      </c>
      <c r="C147" t="s">
        <v>462</v>
      </c>
      <c r="D147" t="s">
        <v>2369</v>
      </c>
      <c r="E147">
        <f>IFERROR(
   IF(D147="Líder",
      INDEX(ZACATECAS!E:E, MATCH(C147, ZACATECAS!F:F, 0)),
      INDEX(ZACATECAS!H:H, MATCH(C147, ZACATECAS!J:J, 0))
   ),
"")</f>
        <v>32132584</v>
      </c>
    </row>
    <row r="148" spans="1:5" x14ac:dyDescent="0.3">
      <c r="A148" t="s">
        <v>363</v>
      </c>
      <c r="B148" t="s">
        <v>448</v>
      </c>
      <c r="C148" t="s">
        <v>1467</v>
      </c>
      <c r="D148" t="s">
        <v>2369</v>
      </c>
      <c r="E148">
        <f>IFERROR(
   IF(D148="Líder",
      INDEX(ZACATECAS!E:E, MATCH(C148, ZACATECAS!F:F, 0)),
      INDEX(ZACATECAS!H:H, MATCH(C148, ZACATECAS!J:J, 0))
   ),
"")</f>
        <v>32197860</v>
      </c>
    </row>
    <row r="149" spans="1:5" x14ac:dyDescent="0.3">
      <c r="A149" t="s">
        <v>363</v>
      </c>
      <c r="B149" t="s">
        <v>448</v>
      </c>
      <c r="C149" t="s">
        <v>2371</v>
      </c>
      <c r="D149" t="s">
        <v>2369</v>
      </c>
      <c r="E149" t="str">
        <f>IFERROR(
   IF(D149="Líder",
      INDEX(ZACATECAS!E:E, MATCH(C149, ZACATECAS!F:F, 0)),
      INDEX(ZACATECAS!H:H, MATCH(C149, ZACATECAS!J:J, 0))
   ),
"")</f>
        <v/>
      </c>
    </row>
    <row r="150" spans="1:5" x14ac:dyDescent="0.3">
      <c r="A150" t="s">
        <v>363</v>
      </c>
      <c r="B150" t="s">
        <v>448</v>
      </c>
      <c r="C150" t="s">
        <v>468</v>
      </c>
      <c r="D150" t="s">
        <v>2369</v>
      </c>
      <c r="E150">
        <f>IFERROR(
   IF(D150="Líder",
      INDEX(ZACATECAS!E:E, MATCH(C150, ZACATECAS!F:F, 0)),
      INDEX(ZACATECAS!H:H, MATCH(C150, ZACATECAS!J:J, 0))
   ),
"")</f>
        <v>32143282</v>
      </c>
    </row>
    <row r="151" spans="1:5" x14ac:dyDescent="0.3">
      <c r="A151" t="s">
        <v>363</v>
      </c>
      <c r="B151" t="s">
        <v>448</v>
      </c>
      <c r="C151" t="s">
        <v>471</v>
      </c>
      <c r="D151" t="s">
        <v>2369</v>
      </c>
      <c r="E151">
        <f>IFERROR(
   IF(D151="Líder",
      INDEX(ZACATECAS!E:E, MATCH(C151, ZACATECAS!F:F, 0)),
      INDEX(ZACATECAS!H:H, MATCH(C151, ZACATECAS!J:J, 0))
   ),
"")</f>
        <v>32046025</v>
      </c>
    </row>
    <row r="152" spans="1:5" x14ac:dyDescent="0.3">
      <c r="A152" t="s">
        <v>2127</v>
      </c>
      <c r="B152" t="s">
        <v>2137</v>
      </c>
      <c r="C152" t="s">
        <v>2139</v>
      </c>
      <c r="D152" t="s">
        <v>2369</v>
      </c>
      <c r="E152">
        <f>IFERROR(
   IF(D152="Líder",
      INDEX(ZACATECAS!E:E, MATCH(C152, ZACATECAS!F:F, 0)),
      INDEX(ZACATECAS!H:H, MATCH(C152, ZACATECAS!J:J, 0))
   ),
"")</f>
        <v>32146675</v>
      </c>
    </row>
    <row r="153" spans="1:5" x14ac:dyDescent="0.3">
      <c r="A153" t="s">
        <v>2127</v>
      </c>
      <c r="B153" t="s">
        <v>2137</v>
      </c>
      <c r="C153" t="s">
        <v>2141</v>
      </c>
      <c r="D153" t="s">
        <v>2369</v>
      </c>
      <c r="E153">
        <f>IFERROR(
   IF(D153="Líder",
      INDEX(ZACATECAS!E:E, MATCH(C153, ZACATECAS!F:F, 0)),
      INDEX(ZACATECAS!H:H, MATCH(C153, ZACATECAS!J:J, 0))
   ),
"")</f>
        <v>32044763</v>
      </c>
    </row>
    <row r="154" spans="1:5" x14ac:dyDescent="0.3">
      <c r="A154" t="s">
        <v>2127</v>
      </c>
      <c r="B154" t="s">
        <v>2137</v>
      </c>
      <c r="C154" t="s">
        <v>2142</v>
      </c>
      <c r="D154" t="s">
        <v>2369</v>
      </c>
      <c r="E154">
        <f>IFERROR(
   IF(D154="Líder",
      INDEX(ZACATECAS!E:E, MATCH(C154, ZACATECAS!F:F, 0)),
      INDEX(ZACATECAS!H:H, MATCH(C154, ZACATECAS!J:J, 0))
   ),
"")</f>
        <v>32138750</v>
      </c>
    </row>
    <row r="155" spans="1:5" x14ac:dyDescent="0.3">
      <c r="A155" t="s">
        <v>2127</v>
      </c>
      <c r="B155" t="s">
        <v>2137</v>
      </c>
      <c r="C155" t="s">
        <v>2140</v>
      </c>
      <c r="D155" t="s">
        <v>2369</v>
      </c>
      <c r="E155">
        <f>IFERROR(
   IF(D155="Líder",
      INDEX(ZACATECAS!E:E, MATCH(C155, ZACATECAS!F:F, 0)),
      INDEX(ZACATECAS!H:H, MATCH(C155, ZACATECAS!J:J, 0))
   ),
"")</f>
        <v>32044548</v>
      </c>
    </row>
    <row r="156" spans="1:5" x14ac:dyDescent="0.3">
      <c r="A156" t="s">
        <v>2127</v>
      </c>
      <c r="B156" t="s">
        <v>2137</v>
      </c>
      <c r="C156" t="s">
        <v>2146</v>
      </c>
      <c r="D156" t="s">
        <v>2369</v>
      </c>
      <c r="E156">
        <f>IFERROR(
   IF(D156="Líder",
      INDEX(ZACATECAS!E:E, MATCH(C156, ZACATECAS!F:F, 0)),
      INDEX(ZACATECAS!H:H, MATCH(C156, ZACATECAS!J:J, 0))
   ),
"")</f>
        <v>32045971</v>
      </c>
    </row>
    <row r="157" spans="1:5" x14ac:dyDescent="0.3">
      <c r="A157" t="s">
        <v>2127</v>
      </c>
      <c r="B157" t="s">
        <v>2137</v>
      </c>
      <c r="C157" t="s">
        <v>2144</v>
      </c>
      <c r="D157" t="s">
        <v>2369</v>
      </c>
      <c r="E157">
        <f>IFERROR(
   IF(D157="Líder",
      INDEX(ZACATECAS!E:E, MATCH(C157, ZACATECAS!F:F, 0)),
      INDEX(ZACATECAS!H:H, MATCH(C157, ZACATECAS!J:J, 0))
   ),
"")</f>
        <v>32138740</v>
      </c>
    </row>
    <row r="158" spans="1:5" x14ac:dyDescent="0.3">
      <c r="A158" t="s">
        <v>363</v>
      </c>
      <c r="B158" t="s">
        <v>474</v>
      </c>
      <c r="C158" t="s">
        <v>477</v>
      </c>
      <c r="D158" t="s">
        <v>2369</v>
      </c>
      <c r="E158">
        <f>IFERROR(
   IF(D158="Líder",
      INDEX(ZACATECAS!E:E, MATCH(C158, ZACATECAS!F:F, 0)),
      INDEX(ZACATECAS!H:H, MATCH(C158, ZACATECAS!J:J, 0))
   ),
"")</f>
        <v>32202296</v>
      </c>
    </row>
    <row r="159" spans="1:5" x14ac:dyDescent="0.3">
      <c r="A159" t="s">
        <v>363</v>
      </c>
      <c r="B159" t="s">
        <v>474</v>
      </c>
      <c r="C159" t="s">
        <v>479</v>
      </c>
      <c r="D159" t="s">
        <v>2369</v>
      </c>
      <c r="E159">
        <f>IFERROR(
   IF(D159="Líder",
      INDEX(ZACATECAS!E:E, MATCH(C159, ZACATECAS!F:F, 0)),
      INDEX(ZACATECAS!H:H, MATCH(C159, ZACATECAS!J:J, 0))
   ),
"")</f>
        <v>32198295</v>
      </c>
    </row>
    <row r="160" spans="1:5" x14ac:dyDescent="0.3">
      <c r="A160" t="s">
        <v>363</v>
      </c>
      <c r="B160" t="s">
        <v>474</v>
      </c>
      <c r="C160" t="s">
        <v>482</v>
      </c>
      <c r="D160" t="s">
        <v>2369</v>
      </c>
      <c r="E160">
        <f>IFERROR(
   IF(D160="Líder",
      INDEX(ZACATECAS!E:E, MATCH(C160, ZACATECAS!F:F, 0)),
      INDEX(ZACATECAS!H:H, MATCH(C160, ZACATECAS!J:J, 0))
   ),
"")</f>
        <v>32045487</v>
      </c>
    </row>
    <row r="161" spans="1:5" x14ac:dyDescent="0.3">
      <c r="A161" t="s">
        <v>363</v>
      </c>
      <c r="B161" t="s">
        <v>474</v>
      </c>
      <c r="C161" t="s">
        <v>2372</v>
      </c>
      <c r="D161" t="s">
        <v>2369</v>
      </c>
      <c r="E161" t="str">
        <f>IFERROR(
   IF(D161="Líder",
      INDEX(ZACATECAS!E:E, MATCH(C161, ZACATECAS!F:F, 0)),
      INDEX(ZACATECAS!H:H, MATCH(C161, ZACATECAS!J:J, 0))
   ),
"")</f>
        <v/>
      </c>
    </row>
    <row r="162" spans="1:5" x14ac:dyDescent="0.3">
      <c r="A162" t="s">
        <v>363</v>
      </c>
      <c r="B162" t="s">
        <v>474</v>
      </c>
      <c r="C162" t="s">
        <v>484</v>
      </c>
      <c r="D162" t="s">
        <v>2369</v>
      </c>
      <c r="E162">
        <f>IFERROR(
   IF(D162="Líder",
      INDEX(ZACATECAS!E:E, MATCH(C162, ZACATECAS!F:F, 0)),
      INDEX(ZACATECAS!H:H, MATCH(C162, ZACATECAS!J:J, 0))
   ),
"")</f>
        <v>32045727</v>
      </c>
    </row>
    <row r="163" spans="1:5" x14ac:dyDescent="0.3">
      <c r="A163" t="s">
        <v>363</v>
      </c>
      <c r="B163" t="s">
        <v>474</v>
      </c>
      <c r="C163" t="s">
        <v>486</v>
      </c>
      <c r="D163" t="s">
        <v>2369</v>
      </c>
      <c r="E163">
        <f>IFERROR(
   IF(D163="Líder",
      INDEX(ZACATECAS!E:E, MATCH(C163, ZACATECAS!F:F, 0)),
      INDEX(ZACATECAS!H:H, MATCH(C163, ZACATECAS!J:J, 0))
   ),
"")</f>
        <v>32044673</v>
      </c>
    </row>
    <row r="164" spans="1:5" x14ac:dyDescent="0.3">
      <c r="A164" t="s">
        <v>363</v>
      </c>
      <c r="B164" t="s">
        <v>474</v>
      </c>
      <c r="C164" t="s">
        <v>488</v>
      </c>
      <c r="D164" t="s">
        <v>2369</v>
      </c>
      <c r="E164">
        <f>IFERROR(
   IF(D164="Líder",
      INDEX(ZACATECAS!E:E, MATCH(C164, ZACATECAS!F:F, 0)),
      INDEX(ZACATECAS!H:H, MATCH(C164, ZACATECAS!J:J, 0))
   ),
"")</f>
        <v>32198280</v>
      </c>
    </row>
    <row r="165" spans="1:5" x14ac:dyDescent="0.3">
      <c r="A165" t="s">
        <v>363</v>
      </c>
      <c r="B165" t="s">
        <v>474</v>
      </c>
      <c r="C165" t="s">
        <v>490</v>
      </c>
      <c r="D165" t="s">
        <v>2369</v>
      </c>
      <c r="E165">
        <f>IFERROR(
   IF(D165="Líder",
      INDEX(ZACATECAS!E:E, MATCH(C165, ZACATECAS!F:F, 0)),
      INDEX(ZACATECAS!H:H, MATCH(C165, ZACATECAS!J:J, 0))
   ),
"")</f>
        <v>32132577</v>
      </c>
    </row>
    <row r="166" spans="1:5" x14ac:dyDescent="0.3">
      <c r="A166" t="s">
        <v>363</v>
      </c>
      <c r="B166" t="s">
        <v>474</v>
      </c>
      <c r="C166" t="s">
        <v>492</v>
      </c>
      <c r="D166" t="s">
        <v>2369</v>
      </c>
      <c r="E166">
        <f>IFERROR(
   IF(D166="Líder",
      INDEX(ZACATECAS!E:E, MATCH(C166, ZACATECAS!F:F, 0)),
      INDEX(ZACATECAS!H:H, MATCH(C166, ZACATECAS!J:J, 0))
   ),
"")</f>
        <v>32066826</v>
      </c>
    </row>
    <row r="167" spans="1:5" x14ac:dyDescent="0.3">
      <c r="A167" t="s">
        <v>363</v>
      </c>
      <c r="B167" t="s">
        <v>414</v>
      </c>
      <c r="C167" t="s">
        <v>415</v>
      </c>
      <c r="D167" t="s">
        <v>2369</v>
      </c>
      <c r="E167">
        <f>IFERROR(
   IF(D167="Líder",
      INDEX(ZACATECAS!E:E, MATCH(C167, ZACATECAS!F:F, 0)),
      INDEX(ZACATECAS!H:H, MATCH(C167, ZACATECAS!J:J, 0))
   ),
"")</f>
        <v>32044001</v>
      </c>
    </row>
    <row r="168" spans="1:5" x14ac:dyDescent="0.3">
      <c r="A168" t="s">
        <v>363</v>
      </c>
      <c r="B168" t="s">
        <v>414</v>
      </c>
      <c r="C168" t="s">
        <v>417</v>
      </c>
      <c r="D168" t="s">
        <v>2369</v>
      </c>
      <c r="E168">
        <f>IFERROR(
   IF(D168="Líder",
      INDEX(ZACATECAS!E:E, MATCH(C168, ZACATECAS!F:F, 0)),
      INDEX(ZACATECAS!H:H, MATCH(C168, ZACATECAS!J:J, 0))
   ),
"")</f>
        <v>32198288</v>
      </c>
    </row>
    <row r="169" spans="1:5" x14ac:dyDescent="0.3">
      <c r="A169" t="s">
        <v>363</v>
      </c>
      <c r="B169" t="s">
        <v>414</v>
      </c>
      <c r="C169" t="s">
        <v>418</v>
      </c>
      <c r="D169" t="s">
        <v>2369</v>
      </c>
      <c r="E169">
        <f>IFERROR(
   IF(D169="Líder",
      INDEX(ZACATECAS!E:E, MATCH(C169, ZACATECAS!F:F, 0)),
      INDEX(ZACATECAS!H:H, MATCH(C169, ZACATECAS!J:J, 0))
   ),
"")</f>
        <v>32046313</v>
      </c>
    </row>
    <row r="170" spans="1:5" x14ac:dyDescent="0.3">
      <c r="A170" t="s">
        <v>363</v>
      </c>
      <c r="B170" t="s">
        <v>414</v>
      </c>
      <c r="C170" t="s">
        <v>420</v>
      </c>
      <c r="D170" t="s">
        <v>2369</v>
      </c>
      <c r="E170">
        <f>IFERROR(
   IF(D170="Líder",
      INDEX(ZACATECAS!E:E, MATCH(C170, ZACATECAS!F:F, 0)),
      INDEX(ZACATECAS!H:H, MATCH(C170, ZACATECAS!J:J, 0))
   ),
"")</f>
        <v>32046028</v>
      </c>
    </row>
    <row r="171" spans="1:5" x14ac:dyDescent="0.3">
      <c r="A171" t="s">
        <v>363</v>
      </c>
      <c r="B171" t="s">
        <v>414</v>
      </c>
      <c r="C171" t="s">
        <v>422</v>
      </c>
      <c r="D171" t="s">
        <v>2369</v>
      </c>
      <c r="E171">
        <f>IFERROR(
   IF(D171="Líder",
      INDEX(ZACATECAS!E:E, MATCH(C171, ZACATECAS!F:F, 0)),
      INDEX(ZACATECAS!H:H, MATCH(C171, ZACATECAS!J:J, 0))
   ),
"")</f>
        <v>32060923</v>
      </c>
    </row>
    <row r="172" spans="1:5" x14ac:dyDescent="0.3">
      <c r="A172" t="s">
        <v>363</v>
      </c>
      <c r="B172" t="s">
        <v>414</v>
      </c>
      <c r="C172" t="s">
        <v>424</v>
      </c>
      <c r="D172" t="s">
        <v>2369</v>
      </c>
      <c r="E172">
        <f>IFERROR(
   IF(D172="Líder",
      INDEX(ZACATECAS!E:E, MATCH(C172, ZACATECAS!F:F, 0)),
      INDEX(ZACATECAS!H:H, MATCH(C172, ZACATECAS!J:J, 0))
   ),
"")</f>
        <v>32046293</v>
      </c>
    </row>
    <row r="173" spans="1:5" x14ac:dyDescent="0.3">
      <c r="A173" t="s">
        <v>363</v>
      </c>
      <c r="B173" t="s">
        <v>933</v>
      </c>
      <c r="C173" t="s">
        <v>947</v>
      </c>
      <c r="D173" t="s">
        <v>2369</v>
      </c>
      <c r="E173">
        <f>IFERROR(
   IF(D173="Líder",
      INDEX(ZACATECAS!E:E, MATCH(C173, ZACATECAS!F:F, 0)),
      INDEX(ZACATECAS!H:H, MATCH(C173, ZACATECAS!J:J, 0))
   ),
"")</f>
        <v>32046500</v>
      </c>
    </row>
    <row r="174" spans="1:5" x14ac:dyDescent="0.3">
      <c r="A174" t="s">
        <v>363</v>
      </c>
      <c r="B174" t="s">
        <v>933</v>
      </c>
      <c r="C174" t="s">
        <v>942</v>
      </c>
      <c r="D174" t="s">
        <v>2369</v>
      </c>
      <c r="E174">
        <f>IFERROR(
   IF(D174="Líder",
      INDEX(ZACATECAS!E:E, MATCH(C174, ZACATECAS!F:F, 0)),
      INDEX(ZACATECAS!H:H, MATCH(C174, ZACATECAS!J:J, 0))
   ),
"")</f>
        <v>32044964</v>
      </c>
    </row>
    <row r="175" spans="1:5" x14ac:dyDescent="0.3">
      <c r="A175" t="s">
        <v>363</v>
      </c>
      <c r="B175" t="s">
        <v>933</v>
      </c>
      <c r="C175" t="s">
        <v>963</v>
      </c>
      <c r="D175" t="s">
        <v>2369</v>
      </c>
      <c r="E175">
        <f>IFERROR(
   IF(D175="Líder",
      INDEX(ZACATECAS!E:E, MATCH(C175, ZACATECAS!F:F, 0)),
      INDEX(ZACATECAS!H:H, MATCH(C175, ZACATECAS!J:J, 0))
   ),
"")</f>
        <v>32150523</v>
      </c>
    </row>
    <row r="176" spans="1:5" x14ac:dyDescent="0.3">
      <c r="A176" t="s">
        <v>363</v>
      </c>
      <c r="B176" t="s">
        <v>933</v>
      </c>
      <c r="C176" t="s">
        <v>949</v>
      </c>
      <c r="D176" t="s">
        <v>2369</v>
      </c>
      <c r="E176">
        <f>IFERROR(
   IF(D176="Líder",
      INDEX(ZACATECAS!E:E, MATCH(C176, ZACATECAS!F:F, 0)),
      INDEX(ZACATECAS!H:H, MATCH(C176, ZACATECAS!J:J, 0))
   ),
"")</f>
        <v>32046535</v>
      </c>
    </row>
    <row r="177" spans="1:5" x14ac:dyDescent="0.3">
      <c r="A177" t="s">
        <v>363</v>
      </c>
      <c r="B177" t="s">
        <v>933</v>
      </c>
      <c r="C177" t="s">
        <v>2373</v>
      </c>
      <c r="D177" t="s">
        <v>2369</v>
      </c>
      <c r="E177" t="str">
        <f>IFERROR(
   IF(D177="Líder",
      INDEX(ZACATECAS!E:E, MATCH(C177, ZACATECAS!F:F, 0)),
      INDEX(ZACATECAS!H:H, MATCH(C177, ZACATECAS!J:J, 0))
   ),
"")</f>
        <v/>
      </c>
    </row>
    <row r="178" spans="1:5" x14ac:dyDescent="0.3">
      <c r="A178" t="s">
        <v>363</v>
      </c>
      <c r="B178" t="s">
        <v>933</v>
      </c>
      <c r="C178" t="s">
        <v>2374</v>
      </c>
      <c r="D178" t="s">
        <v>2369</v>
      </c>
      <c r="E178" t="str">
        <f>IFERROR(
   IF(D178="Líder",
      INDEX(ZACATECAS!E:E, MATCH(C178, ZACATECAS!F:F, 0)),
      INDEX(ZACATECAS!H:H, MATCH(C178, ZACATECAS!J:J, 0))
   ),
"")</f>
        <v/>
      </c>
    </row>
    <row r="179" spans="1:5" x14ac:dyDescent="0.3">
      <c r="A179" t="s">
        <v>363</v>
      </c>
      <c r="B179" t="s">
        <v>933</v>
      </c>
      <c r="C179" t="s">
        <v>945</v>
      </c>
      <c r="D179" t="s">
        <v>2369</v>
      </c>
      <c r="E179">
        <f>IFERROR(
   IF(D179="Líder",
      INDEX(ZACATECAS!E:E, MATCH(C179, ZACATECAS!F:F, 0)),
      INDEX(ZACATECAS!H:H, MATCH(C179, ZACATECAS!J:J, 0))
   ),
"")</f>
        <v>32045013</v>
      </c>
    </row>
    <row r="180" spans="1:5" x14ac:dyDescent="0.3">
      <c r="A180" t="s">
        <v>363</v>
      </c>
      <c r="B180" t="s">
        <v>933</v>
      </c>
      <c r="C180" t="s">
        <v>959</v>
      </c>
      <c r="D180" t="s">
        <v>2369</v>
      </c>
      <c r="E180">
        <f>IFERROR(
   IF(D180="Líder",
      INDEX(ZACATECAS!E:E, MATCH(C180, ZACATECAS!F:F, 0)),
      INDEX(ZACATECAS!H:H, MATCH(C180, ZACATECAS!J:J, 0))
   ),
"")</f>
        <v>32143308</v>
      </c>
    </row>
    <row r="181" spans="1:5" x14ac:dyDescent="0.3">
      <c r="A181" t="s">
        <v>363</v>
      </c>
      <c r="B181" t="s">
        <v>933</v>
      </c>
      <c r="C181" t="s">
        <v>897</v>
      </c>
      <c r="D181" t="s">
        <v>2369</v>
      </c>
      <c r="E181">
        <f>IFERROR(
   IF(D181="Líder",
      INDEX(ZACATECAS!E:E, MATCH(C181, ZACATECAS!F:F, 0)),
      INDEX(ZACATECAS!H:H, MATCH(C181, ZACATECAS!J:J, 0))
   ),
"")</f>
        <v>32061461</v>
      </c>
    </row>
    <row r="182" spans="1:5" x14ac:dyDescent="0.3">
      <c r="A182" t="s">
        <v>363</v>
      </c>
      <c r="B182" t="s">
        <v>933</v>
      </c>
      <c r="C182" t="s">
        <v>956</v>
      </c>
      <c r="D182" t="s">
        <v>2369</v>
      </c>
      <c r="E182">
        <f>IFERROR(
   IF(D182="Líder",
      INDEX(ZACATECAS!E:E, MATCH(C182, ZACATECAS!F:F, 0)),
      INDEX(ZACATECAS!H:H, MATCH(C182, ZACATECAS!J:J, 0))
   ),
"")</f>
        <v>32143306</v>
      </c>
    </row>
    <row r="183" spans="1:5" x14ac:dyDescent="0.3">
      <c r="A183" t="s">
        <v>363</v>
      </c>
      <c r="B183" t="s">
        <v>933</v>
      </c>
      <c r="C183" t="s">
        <v>938</v>
      </c>
      <c r="D183" t="s">
        <v>2369</v>
      </c>
      <c r="E183">
        <f>IFERROR(
   IF(D183="Líder",
      INDEX(ZACATECAS!E:E, MATCH(C183, ZACATECAS!F:F, 0)),
      INDEX(ZACATECAS!H:H, MATCH(C183, ZACATECAS!J:J, 0))
   ),
"")</f>
        <v>32044601</v>
      </c>
    </row>
    <row r="184" spans="1:5" x14ac:dyDescent="0.3">
      <c r="A184" t="s">
        <v>363</v>
      </c>
      <c r="B184" t="s">
        <v>933</v>
      </c>
      <c r="C184" t="s">
        <v>940</v>
      </c>
      <c r="D184" t="s">
        <v>2369</v>
      </c>
      <c r="E184">
        <f>IFERROR(
   IF(D184="Líder",
      INDEX(ZACATECAS!E:E, MATCH(C184, ZACATECAS!F:F, 0)),
      INDEX(ZACATECAS!H:H, MATCH(C184, ZACATECAS!J:J, 0))
   ),
"")</f>
        <v>32044746</v>
      </c>
    </row>
    <row r="185" spans="1:5" x14ac:dyDescent="0.3">
      <c r="A185" t="s">
        <v>363</v>
      </c>
      <c r="B185" t="s">
        <v>933</v>
      </c>
      <c r="C185" t="s">
        <v>954</v>
      </c>
      <c r="D185" t="s">
        <v>2369</v>
      </c>
      <c r="E185">
        <f>IFERROR(
   IF(D185="Líder",
      INDEX(ZACATECAS!E:E, MATCH(C185, ZACATECAS!F:F, 0)),
      INDEX(ZACATECAS!H:H, MATCH(C185, ZACATECAS!J:J, 0))
   ),
"")</f>
        <v>32136494</v>
      </c>
    </row>
    <row r="186" spans="1:5" x14ac:dyDescent="0.3">
      <c r="A186" t="s">
        <v>363</v>
      </c>
      <c r="B186" t="s">
        <v>933</v>
      </c>
      <c r="C186" t="s">
        <v>952</v>
      </c>
      <c r="D186" t="s">
        <v>2369</v>
      </c>
      <c r="E186">
        <f>IFERROR(
   IF(D186="Líder",
      INDEX(ZACATECAS!E:E, MATCH(C186, ZACATECAS!F:F, 0)),
      INDEX(ZACATECAS!H:H, MATCH(C186, ZACATECAS!J:J, 0))
   ),
"")</f>
        <v>32046642</v>
      </c>
    </row>
    <row r="187" spans="1:5" x14ac:dyDescent="0.3">
      <c r="A187" t="s">
        <v>363</v>
      </c>
      <c r="B187" t="s">
        <v>933</v>
      </c>
      <c r="C187" t="s">
        <v>935</v>
      </c>
      <c r="D187" t="s">
        <v>2369</v>
      </c>
      <c r="E187">
        <f>IFERROR(
   IF(D187="Líder",
      INDEX(ZACATECAS!E:E, MATCH(C187, ZACATECAS!F:F, 0)),
      INDEX(ZACATECAS!H:H, MATCH(C187, ZACATECAS!J:J, 0))
   ),
"")</f>
        <v>32044101</v>
      </c>
    </row>
    <row r="188" spans="1:5" x14ac:dyDescent="0.3">
      <c r="A188" t="s">
        <v>363</v>
      </c>
      <c r="B188" t="s">
        <v>933</v>
      </c>
      <c r="C188" t="s">
        <v>749</v>
      </c>
      <c r="D188" t="s">
        <v>2369</v>
      </c>
      <c r="E188">
        <f>IFERROR(
   IF(D188="Líder",
      INDEX(ZACATECAS!E:E, MATCH(C188, ZACATECAS!F:F, 0)),
      INDEX(ZACATECAS!H:H, MATCH(C188, ZACATECAS!J:J, 0))
   ),
"")</f>
        <v>32045775</v>
      </c>
    </row>
    <row r="189" spans="1:5" x14ac:dyDescent="0.3">
      <c r="A189" t="s">
        <v>363</v>
      </c>
      <c r="B189" t="s">
        <v>933</v>
      </c>
      <c r="C189" t="s">
        <v>964</v>
      </c>
      <c r="D189" t="s">
        <v>2369</v>
      </c>
      <c r="E189">
        <f>IFERROR(
   IF(D189="Líder",
      INDEX(ZACATECAS!E:E, MATCH(C189, ZACATECAS!F:F, 0)),
      INDEX(ZACATECAS!H:H, MATCH(C189, ZACATECAS!J:J, 0))
   ),
"")</f>
        <v>32197857</v>
      </c>
    </row>
    <row r="190" spans="1:5" x14ac:dyDescent="0.3">
      <c r="A190" t="s">
        <v>363</v>
      </c>
      <c r="B190" t="s">
        <v>933</v>
      </c>
      <c r="C190" t="s">
        <v>961</v>
      </c>
      <c r="D190" t="s">
        <v>2369</v>
      </c>
      <c r="E190">
        <f>IFERROR(
   IF(D190="Líder",
      INDEX(ZACATECAS!E:E, MATCH(C190, ZACATECAS!F:F, 0)),
      INDEX(ZACATECAS!H:H, MATCH(C190, ZACATECAS!J:J, 0))
   ),
"")</f>
        <v>32143605</v>
      </c>
    </row>
    <row r="191" spans="1:5" x14ac:dyDescent="0.3">
      <c r="A191" t="s">
        <v>363</v>
      </c>
      <c r="B191" t="s">
        <v>933</v>
      </c>
      <c r="C191" t="s">
        <v>967</v>
      </c>
      <c r="D191" t="s">
        <v>2369</v>
      </c>
      <c r="E191">
        <f>IFERROR(
   IF(D191="Líder",
      INDEX(ZACATECAS!E:E, MATCH(C191, ZACATECAS!F:F, 0)),
      INDEX(ZACATECAS!H:H, MATCH(C191, ZACATECAS!J:J, 0))
   ),
"")</f>
        <v>32202287</v>
      </c>
    </row>
    <row r="192" spans="1:5" x14ac:dyDescent="0.3">
      <c r="A192" t="s">
        <v>2053</v>
      </c>
      <c r="B192" t="s">
        <v>2055</v>
      </c>
      <c r="C192" t="s">
        <v>2058</v>
      </c>
      <c r="D192" t="s">
        <v>2369</v>
      </c>
      <c r="E192">
        <f>IFERROR(
   IF(D192="Líder",
      INDEX(ZACATECAS!E:E, MATCH(C192, ZACATECAS!F:F, 0)),
      INDEX(ZACATECAS!H:H, MATCH(C192, ZACATECAS!J:J, 0))
   ),
"")</f>
        <v>32043974</v>
      </c>
    </row>
    <row r="193" spans="1:5" x14ac:dyDescent="0.3">
      <c r="A193" t="s">
        <v>2053</v>
      </c>
      <c r="B193" t="s">
        <v>2055</v>
      </c>
      <c r="C193" t="s">
        <v>2061</v>
      </c>
      <c r="D193" t="s">
        <v>2369</v>
      </c>
      <c r="E193">
        <f>IFERROR(
   IF(D193="Líder",
      INDEX(ZACATECAS!E:E, MATCH(C193, ZACATECAS!F:F, 0)),
      INDEX(ZACATECAS!H:H, MATCH(C193, ZACATECAS!J:J, 0))
   ),
"")</f>
        <v>32045558</v>
      </c>
    </row>
    <row r="194" spans="1:5" x14ac:dyDescent="0.3">
      <c r="A194" t="s">
        <v>2053</v>
      </c>
      <c r="B194" t="s">
        <v>2055</v>
      </c>
      <c r="C194" t="s">
        <v>2093</v>
      </c>
      <c r="D194" t="s">
        <v>2369</v>
      </c>
      <c r="E194">
        <f>IFERROR(
   IF(D194="Líder",
      INDEX(ZACATECAS!E:E, MATCH(C194, ZACATECAS!F:F, 0)),
      INDEX(ZACATECAS!H:H, MATCH(C194, ZACATECAS!J:J, 0))
   ),
"")</f>
        <v>32045424</v>
      </c>
    </row>
    <row r="195" spans="1:5" x14ac:dyDescent="0.3">
      <c r="A195" t="s">
        <v>2053</v>
      </c>
      <c r="B195" t="s">
        <v>2055</v>
      </c>
      <c r="C195" t="s">
        <v>2064</v>
      </c>
      <c r="D195" t="s">
        <v>2369</v>
      </c>
      <c r="E195">
        <f>IFERROR(
   IF(D195="Líder",
      INDEX(ZACATECAS!E:E, MATCH(C195, ZACATECAS!F:F, 0)),
      INDEX(ZACATECAS!H:H, MATCH(C195, ZACATECAS!J:J, 0))
   ),
"")</f>
        <v>32043847</v>
      </c>
    </row>
    <row r="196" spans="1:5" x14ac:dyDescent="0.3">
      <c r="A196" t="s">
        <v>2053</v>
      </c>
      <c r="B196" t="s">
        <v>2055</v>
      </c>
      <c r="C196" t="s">
        <v>2067</v>
      </c>
      <c r="D196" t="s">
        <v>2369</v>
      </c>
      <c r="E196">
        <f>IFERROR(
   IF(D196="Líder",
      INDEX(ZACATECAS!E:E, MATCH(C196, ZACATECAS!F:F, 0)),
      INDEX(ZACATECAS!H:H, MATCH(C196, ZACATECAS!J:J, 0))
   ),
"")</f>
        <v>32044410</v>
      </c>
    </row>
    <row r="197" spans="1:5" x14ac:dyDescent="0.3">
      <c r="A197" t="s">
        <v>2053</v>
      </c>
      <c r="B197" t="s">
        <v>2055</v>
      </c>
      <c r="C197" t="s">
        <v>2319</v>
      </c>
      <c r="D197" t="s">
        <v>2369</v>
      </c>
      <c r="E197" t="str">
        <f>IFERROR(
   IF(D197="Líder",
      INDEX(ZACATECAS!E:E, MATCH(C197, ZACATECAS!F:F, 0)),
      INDEX(ZACATECAS!H:H, MATCH(C197, ZACATECAS!J:J, 0))
   ),
"")</f>
        <v/>
      </c>
    </row>
    <row r="198" spans="1:5" x14ac:dyDescent="0.3">
      <c r="A198" t="s">
        <v>2053</v>
      </c>
      <c r="B198" t="s">
        <v>2055</v>
      </c>
      <c r="C198" t="s">
        <v>2069</v>
      </c>
      <c r="D198" t="s">
        <v>2369</v>
      </c>
      <c r="E198">
        <f>IFERROR(
   IF(D198="Líder",
      INDEX(ZACATECAS!E:E, MATCH(C198, ZACATECAS!F:F, 0)),
      INDEX(ZACATECAS!H:H, MATCH(C198, ZACATECAS!J:J, 0))
   ),
"")</f>
        <v>32045543</v>
      </c>
    </row>
    <row r="199" spans="1:5" x14ac:dyDescent="0.3">
      <c r="A199" t="s">
        <v>47</v>
      </c>
      <c r="B199" t="s">
        <v>212</v>
      </c>
      <c r="C199" t="s">
        <v>245</v>
      </c>
      <c r="D199" t="s">
        <v>2369</v>
      </c>
      <c r="E199">
        <f>IFERROR(
   IF(D199="Líder",
      INDEX(ZACATECAS!E:E, MATCH(C199, ZACATECAS!F:F, 0)),
      INDEX(ZACATECAS!H:H, MATCH(C199, ZACATECAS!J:J, 0))
   ),
"")</f>
        <v>32046065</v>
      </c>
    </row>
    <row r="200" spans="1:5" x14ac:dyDescent="0.3">
      <c r="A200" t="s">
        <v>47</v>
      </c>
      <c r="B200" t="s">
        <v>212</v>
      </c>
      <c r="C200" t="s">
        <v>229</v>
      </c>
      <c r="D200" t="s">
        <v>2369</v>
      </c>
      <c r="E200">
        <f>IFERROR(
   IF(D200="Líder",
      INDEX(ZACATECAS!E:E, MATCH(C200, ZACATECAS!F:F, 0)),
      INDEX(ZACATECAS!H:H, MATCH(C200, ZACATECAS!J:J, 0))
   ),
"")</f>
        <v>32153661</v>
      </c>
    </row>
    <row r="201" spans="1:5" x14ac:dyDescent="0.3">
      <c r="A201" t="s">
        <v>47</v>
      </c>
      <c r="B201" t="s">
        <v>212</v>
      </c>
      <c r="C201" t="s">
        <v>258</v>
      </c>
      <c r="D201" t="s">
        <v>2369</v>
      </c>
      <c r="E201">
        <f>IFERROR(
   IF(D201="Líder",
      INDEX(ZACATECAS!E:E, MATCH(C201, ZACATECAS!F:F, 0)),
      INDEX(ZACATECAS!H:H, MATCH(C201, ZACATECAS!J:J, 0))
   ),
"")</f>
        <v>32057596</v>
      </c>
    </row>
    <row r="202" spans="1:5" x14ac:dyDescent="0.3">
      <c r="A202" t="s">
        <v>47</v>
      </c>
      <c r="B202" t="s">
        <v>212</v>
      </c>
      <c r="C202" t="s">
        <v>221</v>
      </c>
      <c r="D202" t="s">
        <v>2369</v>
      </c>
      <c r="E202">
        <f>IFERROR(
   IF(D202="Líder",
      INDEX(ZACATECAS!E:E, MATCH(C202, ZACATECAS!F:F, 0)),
      INDEX(ZACATECAS!H:H, MATCH(C202, ZACATECAS!J:J, 0))
   ),
"")</f>
        <v>32046549</v>
      </c>
    </row>
    <row r="203" spans="1:5" x14ac:dyDescent="0.3">
      <c r="A203" t="s">
        <v>47</v>
      </c>
      <c r="B203" t="s">
        <v>212</v>
      </c>
      <c r="C203" t="s">
        <v>218</v>
      </c>
      <c r="D203" t="s">
        <v>2369</v>
      </c>
      <c r="E203">
        <f>IFERROR(
   IF(D203="Líder",
      INDEX(ZACATECAS!E:E, MATCH(C203, ZACATECAS!F:F, 0)),
      INDEX(ZACATECAS!H:H, MATCH(C203, ZACATECAS!J:J, 0))
   ),
"")</f>
        <v>32044377</v>
      </c>
    </row>
    <row r="204" spans="1:5" x14ac:dyDescent="0.3">
      <c r="A204" t="s">
        <v>47</v>
      </c>
      <c r="B204" t="s">
        <v>212</v>
      </c>
      <c r="C204" t="s">
        <v>2375</v>
      </c>
      <c r="D204" t="s">
        <v>2369</v>
      </c>
      <c r="E204" t="str">
        <f>IFERROR(
   IF(D204="Líder",
      INDEX(ZACATECAS!E:E, MATCH(C204, ZACATECAS!F:F, 0)),
      INDEX(ZACATECAS!H:H, MATCH(C204, ZACATECAS!J:J, 0))
   ),
"")</f>
        <v/>
      </c>
    </row>
    <row r="205" spans="1:5" x14ac:dyDescent="0.3">
      <c r="A205" t="s">
        <v>47</v>
      </c>
      <c r="B205" t="s">
        <v>212</v>
      </c>
      <c r="C205" t="s">
        <v>261</v>
      </c>
      <c r="D205" t="s">
        <v>2369</v>
      </c>
      <c r="E205">
        <f>IFERROR(
   IF(D205="Líder",
      INDEX(ZACATECAS!E:E, MATCH(C205, ZACATECAS!F:F, 0)),
      INDEX(ZACATECAS!H:H, MATCH(C205, ZACATECAS!J:J, 0))
   ),
"")</f>
        <v>32045500</v>
      </c>
    </row>
    <row r="206" spans="1:5" x14ac:dyDescent="0.3">
      <c r="A206" t="s">
        <v>47</v>
      </c>
      <c r="B206" t="s">
        <v>212</v>
      </c>
      <c r="C206" t="s">
        <v>247</v>
      </c>
      <c r="D206" t="s">
        <v>2369</v>
      </c>
      <c r="E206">
        <f>IFERROR(
   IF(D206="Líder",
      INDEX(ZACATECAS!E:E, MATCH(C206, ZACATECAS!F:F, 0)),
      INDEX(ZACATECAS!H:H, MATCH(C206, ZACATECAS!J:J, 0))
   ),
"")</f>
        <v>32044927</v>
      </c>
    </row>
    <row r="207" spans="1:5" x14ac:dyDescent="0.3">
      <c r="A207" t="s">
        <v>47</v>
      </c>
      <c r="B207" t="s">
        <v>212</v>
      </c>
      <c r="C207" t="s">
        <v>238</v>
      </c>
      <c r="D207" t="s">
        <v>2369</v>
      </c>
      <c r="E207">
        <f>IFERROR(
   IF(D207="Líder",
      INDEX(ZACATECAS!E:E, MATCH(C207, ZACATECAS!F:F, 0)),
      INDEX(ZACATECAS!H:H, MATCH(C207, ZACATECAS!J:J, 0))
   ),
"")</f>
        <v>32057722</v>
      </c>
    </row>
    <row r="208" spans="1:5" x14ac:dyDescent="0.3">
      <c r="A208" t="s">
        <v>47</v>
      </c>
      <c r="B208" t="s">
        <v>212</v>
      </c>
      <c r="C208" t="s">
        <v>254</v>
      </c>
      <c r="D208" t="s">
        <v>2369</v>
      </c>
      <c r="E208">
        <f>IFERROR(
   IF(D208="Líder",
      INDEX(ZACATECAS!E:E, MATCH(C208, ZACATECAS!F:F, 0)),
      INDEX(ZACATECAS!H:H, MATCH(C208, ZACATECAS!J:J, 0))
   ),
"")</f>
        <v>32044511</v>
      </c>
    </row>
    <row r="209" spans="1:5" x14ac:dyDescent="0.3">
      <c r="A209" t="s">
        <v>47</v>
      </c>
      <c r="B209" t="s">
        <v>212</v>
      </c>
      <c r="C209" t="s">
        <v>232</v>
      </c>
      <c r="D209" t="s">
        <v>2369</v>
      </c>
      <c r="E209">
        <f>IFERROR(
   IF(D209="Líder",
      INDEX(ZACATECAS!E:E, MATCH(C209, ZACATECAS!F:F, 0)),
      INDEX(ZACATECAS!H:H, MATCH(C209, ZACATECAS!J:J, 0))
   ),
"")</f>
        <v>32044547</v>
      </c>
    </row>
    <row r="210" spans="1:5" x14ac:dyDescent="0.3">
      <c r="A210" t="s">
        <v>47</v>
      </c>
      <c r="B210" t="s">
        <v>212</v>
      </c>
      <c r="C210" t="s">
        <v>235</v>
      </c>
      <c r="D210" t="s">
        <v>2369</v>
      </c>
      <c r="E210">
        <f>IFERROR(
   IF(D210="Líder",
      INDEX(ZACATECAS!E:E, MATCH(C210, ZACATECAS!F:F, 0)),
      INDEX(ZACATECAS!H:H, MATCH(C210, ZACATECAS!J:J, 0))
   ),
"")</f>
        <v>32044975</v>
      </c>
    </row>
    <row r="211" spans="1:5" x14ac:dyDescent="0.3">
      <c r="A211" t="s">
        <v>47</v>
      </c>
      <c r="B211" t="s">
        <v>212</v>
      </c>
      <c r="C211" t="s">
        <v>240</v>
      </c>
      <c r="D211" t="s">
        <v>2369</v>
      </c>
      <c r="E211">
        <f>IFERROR(
   IF(D211="Líder",
      INDEX(ZACATECAS!E:E, MATCH(C211, ZACATECAS!F:F, 0)),
      INDEX(ZACATECAS!H:H, MATCH(C211, ZACATECAS!J:J, 0))
   ),
"")</f>
        <v>32061082</v>
      </c>
    </row>
    <row r="212" spans="1:5" x14ac:dyDescent="0.3">
      <c r="A212" t="s">
        <v>47</v>
      </c>
      <c r="B212" t="s">
        <v>212</v>
      </c>
      <c r="C212" t="s">
        <v>242</v>
      </c>
      <c r="D212" t="s">
        <v>2369</v>
      </c>
      <c r="E212">
        <f>IFERROR(
   IF(D212="Líder",
      INDEX(ZACATECAS!E:E, MATCH(C212, ZACATECAS!F:F, 0)),
      INDEX(ZACATECAS!H:H, MATCH(C212, ZACATECAS!J:J, 0))
   ),
"")</f>
        <v>32111147</v>
      </c>
    </row>
    <row r="213" spans="1:5" x14ac:dyDescent="0.3">
      <c r="A213" t="s">
        <v>47</v>
      </c>
      <c r="B213" t="s">
        <v>212</v>
      </c>
      <c r="C213" t="s">
        <v>215</v>
      </c>
      <c r="D213" t="s">
        <v>2369</v>
      </c>
      <c r="E213">
        <f>IFERROR(
   IF(D213="Líder",
      INDEX(ZACATECAS!E:E, MATCH(C213, ZACATECAS!F:F, 0)),
      INDEX(ZACATECAS!H:H, MATCH(C213, ZACATECAS!J:J, 0))
   ),
"")</f>
        <v>32096526</v>
      </c>
    </row>
    <row r="214" spans="1:5" x14ac:dyDescent="0.3">
      <c r="A214" t="s">
        <v>47</v>
      </c>
      <c r="B214" t="s">
        <v>212</v>
      </c>
      <c r="C214" t="s">
        <v>226</v>
      </c>
      <c r="D214" t="s">
        <v>2369</v>
      </c>
      <c r="E214">
        <f>IFERROR(
   IF(D214="Líder",
      INDEX(ZACATECAS!E:E, MATCH(C214, ZACATECAS!F:F, 0)),
      INDEX(ZACATECAS!H:H, MATCH(C214, ZACATECAS!J:J, 0))
   ),
"")</f>
        <v>32045475</v>
      </c>
    </row>
    <row r="215" spans="1:5" x14ac:dyDescent="0.3">
      <c r="A215" t="s">
        <v>47</v>
      </c>
      <c r="B215" t="s">
        <v>212</v>
      </c>
      <c r="C215" t="s">
        <v>249</v>
      </c>
      <c r="D215" t="s">
        <v>2369</v>
      </c>
      <c r="E215">
        <f>IFERROR(
   IF(D215="Líder",
      INDEX(ZACATECAS!E:E, MATCH(C215, ZACATECAS!F:F, 0)),
      INDEX(ZACATECAS!H:H, MATCH(C215, ZACATECAS!J:J, 0))
   ),
"")</f>
        <v>32054061</v>
      </c>
    </row>
    <row r="216" spans="1:5" x14ac:dyDescent="0.3">
      <c r="A216" t="s">
        <v>47</v>
      </c>
      <c r="B216" t="s">
        <v>212</v>
      </c>
      <c r="C216" t="s">
        <v>256</v>
      </c>
      <c r="D216" t="s">
        <v>2369</v>
      </c>
      <c r="E216">
        <f>IFERROR(
   IF(D216="Líder",
      INDEX(ZACATECAS!E:E, MATCH(C216, ZACATECAS!F:F, 0)),
      INDEX(ZACATECAS!H:H, MATCH(C216, ZACATECAS!J:J, 0))
   ),
"")</f>
        <v>32044484</v>
      </c>
    </row>
    <row r="217" spans="1:5" x14ac:dyDescent="0.3">
      <c r="A217" t="s">
        <v>47</v>
      </c>
      <c r="B217" t="s">
        <v>212</v>
      </c>
      <c r="C217" t="s">
        <v>251</v>
      </c>
      <c r="D217" t="s">
        <v>2369</v>
      </c>
      <c r="E217">
        <f>IFERROR(
   IF(D217="Líder",
      INDEX(ZACATECAS!E:E, MATCH(C217, ZACATECAS!F:F, 0)),
      INDEX(ZACATECAS!H:H, MATCH(C217, ZACATECAS!J:J, 0))
   ),
"")</f>
        <v>32046418</v>
      </c>
    </row>
    <row r="218" spans="1:5" x14ac:dyDescent="0.3">
      <c r="A218" t="s">
        <v>47</v>
      </c>
      <c r="B218" t="s">
        <v>212</v>
      </c>
      <c r="C218" t="s">
        <v>224</v>
      </c>
      <c r="D218" t="s">
        <v>2369</v>
      </c>
      <c r="E218">
        <f>IFERROR(
   IF(D218="Líder",
      INDEX(ZACATECAS!E:E, MATCH(C218, ZACATECAS!F:F, 0)),
      INDEX(ZACATECAS!H:H, MATCH(C218, ZACATECAS!J:J, 0))
   ),
"")</f>
        <v>32055155</v>
      </c>
    </row>
    <row r="219" spans="1:5" x14ac:dyDescent="0.3">
      <c r="A219" t="s">
        <v>363</v>
      </c>
      <c r="B219" t="s">
        <v>426</v>
      </c>
      <c r="C219" t="s">
        <v>2376</v>
      </c>
      <c r="D219" t="s">
        <v>2369</v>
      </c>
      <c r="E219" t="str">
        <f>IFERROR(
   IF(D219="Líder",
      INDEX(ZACATECAS!E:E, MATCH(C219, ZACATECAS!F:F, 0)),
      INDEX(ZACATECAS!H:H, MATCH(C219, ZACATECAS!J:J, 0))
   ),
"")</f>
        <v/>
      </c>
    </row>
    <row r="220" spans="1:5" x14ac:dyDescent="0.3">
      <c r="A220" t="s">
        <v>363</v>
      </c>
      <c r="B220" t="s">
        <v>426</v>
      </c>
      <c r="C220" t="s">
        <v>2377</v>
      </c>
      <c r="D220" t="s">
        <v>2369</v>
      </c>
      <c r="E220" t="str">
        <f>IFERROR(
   IF(D220="Líder",
      INDEX(ZACATECAS!E:E, MATCH(C220, ZACATECAS!F:F, 0)),
      INDEX(ZACATECAS!H:H, MATCH(C220, ZACATECAS!J:J, 0))
   ),
"")</f>
        <v/>
      </c>
    </row>
    <row r="221" spans="1:5" x14ac:dyDescent="0.3">
      <c r="A221" t="s">
        <v>363</v>
      </c>
      <c r="B221" t="s">
        <v>426</v>
      </c>
      <c r="C221" t="s">
        <v>2378</v>
      </c>
      <c r="D221" t="s">
        <v>2369</v>
      </c>
      <c r="E221" t="str">
        <f>IFERROR(
   IF(D221="Líder",
      INDEX(ZACATECAS!E:E, MATCH(C221, ZACATECAS!F:F, 0)),
      INDEX(ZACATECAS!H:H, MATCH(C221, ZACATECAS!J:J, 0))
   ),
"")</f>
        <v/>
      </c>
    </row>
    <row r="222" spans="1:5" x14ac:dyDescent="0.3">
      <c r="A222" t="s">
        <v>363</v>
      </c>
      <c r="B222" t="s">
        <v>426</v>
      </c>
      <c r="C222" t="s">
        <v>427</v>
      </c>
      <c r="D222" t="s">
        <v>2369</v>
      </c>
      <c r="E222">
        <f>IFERROR(
   IF(D222="Líder",
      INDEX(ZACATECAS!E:E, MATCH(C222, ZACATECAS!F:F, 0)),
      INDEX(ZACATECAS!H:H, MATCH(C222, ZACATECAS!J:J, 0))
   ),
"")</f>
        <v>32044113</v>
      </c>
    </row>
    <row r="223" spans="1:5" x14ac:dyDescent="0.3">
      <c r="A223" t="s">
        <v>363</v>
      </c>
      <c r="B223" t="s">
        <v>426</v>
      </c>
      <c r="C223" t="s">
        <v>431</v>
      </c>
      <c r="D223" t="s">
        <v>2369</v>
      </c>
      <c r="E223">
        <f>IFERROR(
   IF(D223="Líder",
      INDEX(ZACATECAS!E:E, MATCH(C223, ZACATECAS!F:F, 0)),
      INDEX(ZACATECAS!H:H, MATCH(C223, ZACATECAS!J:J, 0))
   ),
"")</f>
        <v>32044609</v>
      </c>
    </row>
    <row r="224" spans="1:5" x14ac:dyDescent="0.3">
      <c r="A224" t="s">
        <v>363</v>
      </c>
      <c r="B224" t="s">
        <v>426</v>
      </c>
      <c r="C224" t="s">
        <v>433</v>
      </c>
      <c r="D224" t="s">
        <v>2369</v>
      </c>
      <c r="E224">
        <f>IFERROR(
   IF(D224="Líder",
      INDEX(ZACATECAS!E:E, MATCH(C224, ZACATECAS!F:F, 0)),
      INDEX(ZACATECAS!H:H, MATCH(C224, ZACATECAS!J:J, 0))
   ),
"")</f>
        <v>32188131</v>
      </c>
    </row>
    <row r="225" spans="1:5" x14ac:dyDescent="0.3">
      <c r="A225" t="s">
        <v>1</v>
      </c>
      <c r="B225" t="s">
        <v>4</v>
      </c>
      <c r="C225" t="s">
        <v>1994</v>
      </c>
      <c r="D225" t="s">
        <v>2369</v>
      </c>
      <c r="E225">
        <f>IFERROR(
   IF(D225="Líder",
      INDEX(ZACATECAS!E:E, MATCH(C225, ZACATECAS!F:F, 0)),
      INDEX(ZACATECAS!H:H, MATCH(C225, ZACATECAS!J:J, 0))
   ),
"")</f>
        <v>32043758</v>
      </c>
    </row>
    <row r="226" spans="1:5" x14ac:dyDescent="0.3">
      <c r="A226" t="s">
        <v>1</v>
      </c>
      <c r="B226" t="s">
        <v>4</v>
      </c>
      <c r="C226" t="s">
        <v>1996</v>
      </c>
      <c r="D226" t="s">
        <v>2369</v>
      </c>
      <c r="E226">
        <f>IFERROR(
   IF(D226="Líder",
      INDEX(ZACATECAS!E:E, MATCH(C226, ZACATECAS!F:F, 0)),
      INDEX(ZACATECAS!H:H, MATCH(C226, ZACATECAS!J:J, 0))
   ),
"")</f>
        <v>32045388</v>
      </c>
    </row>
    <row r="227" spans="1:5" x14ac:dyDescent="0.3">
      <c r="A227" t="s">
        <v>1</v>
      </c>
      <c r="B227" t="s">
        <v>4</v>
      </c>
      <c r="C227" t="s">
        <v>1998</v>
      </c>
      <c r="D227" t="s">
        <v>2369</v>
      </c>
      <c r="E227">
        <f>IFERROR(
   IF(D227="Líder",
      INDEX(ZACATECAS!E:E, MATCH(C227, ZACATECAS!F:F, 0)),
      INDEX(ZACATECAS!H:H, MATCH(C227, ZACATECAS!J:J, 0))
   ),
"")</f>
        <v>32045383</v>
      </c>
    </row>
    <row r="228" spans="1:5" x14ac:dyDescent="0.3">
      <c r="A228" t="s">
        <v>1</v>
      </c>
      <c r="B228" t="s">
        <v>4</v>
      </c>
      <c r="C228" t="s">
        <v>2000</v>
      </c>
      <c r="D228" t="s">
        <v>2369</v>
      </c>
      <c r="E228">
        <f>IFERROR(
   IF(D228="Líder",
      INDEX(ZACATECAS!E:E, MATCH(C228, ZACATECAS!F:F, 0)),
      INDEX(ZACATECAS!H:H, MATCH(C228, ZACATECAS!J:J, 0))
   ),
"")</f>
        <v>32045143</v>
      </c>
    </row>
    <row r="229" spans="1:5" x14ac:dyDescent="0.3">
      <c r="A229" t="s">
        <v>363</v>
      </c>
      <c r="B229" t="s">
        <v>1236</v>
      </c>
      <c r="C229" t="s">
        <v>1243</v>
      </c>
      <c r="D229" t="s">
        <v>2369</v>
      </c>
      <c r="E229">
        <f>IFERROR(
   IF(D229="Líder",
      INDEX(ZACATECAS!E:E, MATCH(C229, ZACATECAS!F:F, 0)),
      INDEX(ZACATECAS!H:H, MATCH(C229, ZACATECAS!J:J, 0))
   ),
"")</f>
        <v>32044722</v>
      </c>
    </row>
    <row r="230" spans="1:5" x14ac:dyDescent="0.3">
      <c r="A230" t="s">
        <v>363</v>
      </c>
      <c r="B230" t="s">
        <v>1236</v>
      </c>
      <c r="C230" t="s">
        <v>2379</v>
      </c>
      <c r="D230" t="s">
        <v>2369</v>
      </c>
      <c r="E230" t="str">
        <f>IFERROR(
   IF(D230="Líder",
      INDEX(ZACATECAS!E:E, MATCH(C230, ZACATECAS!F:F, 0)),
      INDEX(ZACATECAS!H:H, MATCH(C230, ZACATECAS!J:J, 0))
   ),
"")</f>
        <v/>
      </c>
    </row>
    <row r="231" spans="1:5" x14ac:dyDescent="0.3">
      <c r="A231" t="s">
        <v>363</v>
      </c>
      <c r="B231" t="s">
        <v>1236</v>
      </c>
      <c r="C231" t="s">
        <v>1254</v>
      </c>
      <c r="D231" t="s">
        <v>2369</v>
      </c>
      <c r="E231">
        <f>IFERROR(
   IF(D231="Líder",
      INDEX(ZACATECAS!E:E, MATCH(C231, ZACATECAS!F:F, 0)),
      INDEX(ZACATECAS!H:H, MATCH(C231, ZACATECAS!J:J, 0))
   ),
"")</f>
        <v>32111144</v>
      </c>
    </row>
    <row r="232" spans="1:5" x14ac:dyDescent="0.3">
      <c r="A232" t="s">
        <v>363</v>
      </c>
      <c r="B232" t="s">
        <v>1236</v>
      </c>
      <c r="C232" t="s">
        <v>1239</v>
      </c>
      <c r="D232" t="s">
        <v>2369</v>
      </c>
      <c r="E232">
        <f>IFERROR(
   IF(D232="Líder",
      INDEX(ZACATECAS!E:E, MATCH(C232, ZACATECAS!F:F, 0)),
      INDEX(ZACATECAS!H:H, MATCH(C232, ZACATECAS!J:J, 0))
   ),
"")</f>
        <v>32044243</v>
      </c>
    </row>
    <row r="233" spans="1:5" x14ac:dyDescent="0.3">
      <c r="A233" t="s">
        <v>363</v>
      </c>
      <c r="B233" t="s">
        <v>1236</v>
      </c>
      <c r="C233" t="s">
        <v>1250</v>
      </c>
      <c r="D233" t="s">
        <v>2369</v>
      </c>
      <c r="E233">
        <f>IFERROR(
   IF(D233="Líder",
      INDEX(ZACATECAS!E:E, MATCH(C233, ZACATECAS!F:F, 0)),
      INDEX(ZACATECAS!H:H, MATCH(C233, ZACATECAS!J:J, 0))
   ),
"")</f>
        <v>32045798</v>
      </c>
    </row>
    <row r="234" spans="1:5" x14ac:dyDescent="0.3">
      <c r="A234" t="s">
        <v>363</v>
      </c>
      <c r="B234" t="s">
        <v>1236</v>
      </c>
      <c r="C234" t="s">
        <v>1246</v>
      </c>
      <c r="D234" t="s">
        <v>2369</v>
      </c>
      <c r="E234">
        <f>IFERROR(
   IF(D234="Líder",
      INDEX(ZACATECAS!E:E, MATCH(C234, ZACATECAS!F:F, 0)),
      INDEX(ZACATECAS!H:H, MATCH(C234, ZACATECAS!J:J, 0))
   ),
"")</f>
        <v>32044993</v>
      </c>
    </row>
    <row r="235" spans="1:5" x14ac:dyDescent="0.3">
      <c r="A235" t="s">
        <v>363</v>
      </c>
      <c r="B235" t="s">
        <v>1236</v>
      </c>
      <c r="C235" t="s">
        <v>1252</v>
      </c>
      <c r="D235" t="s">
        <v>2369</v>
      </c>
      <c r="E235">
        <f>IFERROR(
   IF(D235="Líder",
      INDEX(ZACATECAS!E:E, MATCH(C235, ZACATECAS!F:F, 0)),
      INDEX(ZACATECAS!H:H, MATCH(C235, ZACATECAS!J:J, 0))
   ),
"")</f>
        <v>32067154</v>
      </c>
    </row>
    <row r="236" spans="1:5" x14ac:dyDescent="0.3">
      <c r="A236" t="s">
        <v>363</v>
      </c>
      <c r="B236" t="s">
        <v>1236</v>
      </c>
      <c r="C236" t="s">
        <v>1377</v>
      </c>
      <c r="D236" t="s">
        <v>2369</v>
      </c>
      <c r="E236">
        <f>IFERROR(
   IF(D236="Líder",
      INDEX(ZACATECAS!E:E, MATCH(C236, ZACATECAS!F:F, 0)),
      INDEX(ZACATECAS!H:H, MATCH(C236, ZACATECAS!J:J, 0))
   ),
"")</f>
        <v>32045962</v>
      </c>
    </row>
    <row r="237" spans="1:5" x14ac:dyDescent="0.3">
      <c r="A237" t="s">
        <v>363</v>
      </c>
      <c r="B237" t="s">
        <v>1236</v>
      </c>
      <c r="C237" t="s">
        <v>1258</v>
      </c>
      <c r="D237" t="s">
        <v>2369</v>
      </c>
      <c r="E237">
        <f>IFERROR(
   IF(D237="Líder",
      INDEX(ZACATECAS!E:E, MATCH(C237, ZACATECAS!F:F, 0)),
      INDEX(ZACATECAS!H:H, MATCH(C237, ZACATECAS!J:J, 0))
   ),
"")</f>
        <v>32132604</v>
      </c>
    </row>
    <row r="238" spans="1:5" x14ac:dyDescent="0.3">
      <c r="A238" t="s">
        <v>363</v>
      </c>
      <c r="B238" t="s">
        <v>1236</v>
      </c>
      <c r="C238" t="s">
        <v>1241</v>
      </c>
      <c r="D238" t="s">
        <v>2369</v>
      </c>
      <c r="E238">
        <f>IFERROR(
   IF(D238="Líder",
      INDEX(ZACATECAS!E:E, MATCH(C238, ZACATECAS!F:F, 0)),
      INDEX(ZACATECAS!H:H, MATCH(C238, ZACATECAS!J:J, 0))
   ),
"")</f>
        <v>32044487</v>
      </c>
    </row>
    <row r="239" spans="1:5" x14ac:dyDescent="0.3">
      <c r="A239" t="s">
        <v>363</v>
      </c>
      <c r="B239" t="s">
        <v>1236</v>
      </c>
      <c r="C239" t="s">
        <v>1260</v>
      </c>
      <c r="D239" t="s">
        <v>2369</v>
      </c>
      <c r="E239">
        <f>IFERROR(
   IF(D239="Líder",
      INDEX(ZACATECAS!E:E, MATCH(C239, ZACATECAS!F:F, 0)),
      INDEX(ZACATECAS!H:H, MATCH(C239, ZACATECAS!J:J, 0))
   ),
"")</f>
        <v>32186050</v>
      </c>
    </row>
    <row r="240" spans="1:5" x14ac:dyDescent="0.3">
      <c r="A240" t="s">
        <v>363</v>
      </c>
      <c r="B240" t="s">
        <v>1236</v>
      </c>
      <c r="C240" t="s">
        <v>1262</v>
      </c>
      <c r="D240" t="s">
        <v>2369</v>
      </c>
      <c r="E240">
        <f>IFERROR(
   IF(D240="Líder",
      INDEX(ZACATECAS!E:E, MATCH(C240, ZACATECAS!F:F, 0)),
      INDEX(ZACATECAS!H:H, MATCH(C240, ZACATECAS!J:J, 0))
   ),
"")</f>
        <v>32197873</v>
      </c>
    </row>
    <row r="241" spans="1:5" x14ac:dyDescent="0.3">
      <c r="A241" t="s">
        <v>363</v>
      </c>
      <c r="B241" t="s">
        <v>1236</v>
      </c>
      <c r="C241" t="s">
        <v>1256</v>
      </c>
      <c r="D241" t="s">
        <v>2369</v>
      </c>
      <c r="E241">
        <f>IFERROR(
   IF(D241="Líder",
      INDEX(ZACATECAS!E:E, MATCH(C241, ZACATECAS!F:F, 0)),
      INDEX(ZACATECAS!H:H, MATCH(C241, ZACATECAS!J:J, 0))
   ),
"")</f>
        <v>32132047</v>
      </c>
    </row>
    <row r="242" spans="1:5" x14ac:dyDescent="0.3">
      <c r="A242" t="s">
        <v>363</v>
      </c>
      <c r="B242" t="s">
        <v>1236</v>
      </c>
      <c r="C242" t="s">
        <v>1248</v>
      </c>
      <c r="D242" t="s">
        <v>2369</v>
      </c>
      <c r="E242">
        <f>IFERROR(
   IF(D242="Líder",
      INDEX(ZACATECAS!E:E, MATCH(C242, ZACATECAS!F:F, 0)),
      INDEX(ZACATECAS!H:H, MATCH(C242, ZACATECAS!J:J, 0))
   ),
"")</f>
        <v>32045601</v>
      </c>
    </row>
    <row r="243" spans="1:5" x14ac:dyDescent="0.3">
      <c r="A243" t="s">
        <v>363</v>
      </c>
      <c r="B243" t="s">
        <v>514</v>
      </c>
      <c r="C243" t="s">
        <v>531</v>
      </c>
      <c r="D243" t="s">
        <v>2369</v>
      </c>
      <c r="E243">
        <f>IFERROR(
   IF(D243="Líder",
      INDEX(ZACATECAS!E:E, MATCH(C243, ZACATECAS!F:F, 0)),
      INDEX(ZACATECAS!H:H, MATCH(C243, ZACATECAS!J:J, 0))
   ),
"")</f>
        <v>32046440</v>
      </c>
    </row>
    <row r="244" spans="1:5" x14ac:dyDescent="0.3">
      <c r="A244" t="s">
        <v>363</v>
      </c>
      <c r="B244" t="s">
        <v>514</v>
      </c>
      <c r="C244" t="s">
        <v>548</v>
      </c>
      <c r="D244" t="s">
        <v>2369</v>
      </c>
      <c r="E244">
        <f>IFERROR(
   IF(D244="Líder",
      INDEX(ZACATECAS!E:E, MATCH(C244, ZACATECAS!F:F, 0)),
      INDEX(ZACATECAS!H:H, MATCH(C244, ZACATECAS!J:J, 0))
   ),
"")</f>
        <v>32143050</v>
      </c>
    </row>
    <row r="245" spans="1:5" x14ac:dyDescent="0.3">
      <c r="A245" t="s">
        <v>363</v>
      </c>
      <c r="B245" t="s">
        <v>514</v>
      </c>
      <c r="C245" t="s">
        <v>630</v>
      </c>
      <c r="D245" t="s">
        <v>2369</v>
      </c>
      <c r="E245">
        <f>IFERROR(
   IF(D245="Líder",
      INDEX(ZACATECAS!E:E, MATCH(C245, ZACATECAS!F:F, 0)),
      INDEX(ZACATECAS!H:H, MATCH(C245, ZACATECAS!J:J, 0))
   ),
"")</f>
        <v>32046142</v>
      </c>
    </row>
    <row r="246" spans="1:5" x14ac:dyDescent="0.3">
      <c r="A246" t="s">
        <v>363</v>
      </c>
      <c r="B246" t="s">
        <v>514</v>
      </c>
      <c r="C246" t="s">
        <v>537</v>
      </c>
      <c r="D246" t="s">
        <v>2369</v>
      </c>
      <c r="E246">
        <f>IFERROR(
   IF(D246="Líder",
      INDEX(ZACATECAS!E:E, MATCH(C246, ZACATECAS!F:F, 0)),
      INDEX(ZACATECAS!H:H, MATCH(C246, ZACATECAS!J:J, 0))
   ),
"")</f>
        <v>32071028</v>
      </c>
    </row>
    <row r="247" spans="1:5" x14ac:dyDescent="0.3">
      <c r="A247" t="s">
        <v>363</v>
      </c>
      <c r="B247" t="s">
        <v>514</v>
      </c>
      <c r="C247" t="s">
        <v>555</v>
      </c>
      <c r="D247" t="s">
        <v>2369</v>
      </c>
      <c r="E247">
        <f>IFERROR(
   IF(D247="Líder",
      INDEX(ZACATECAS!E:E, MATCH(C247, ZACATECAS!F:F, 0)),
      INDEX(ZACATECAS!H:H, MATCH(C247, ZACATECAS!J:J, 0))
   ),
"")</f>
        <v>32199342</v>
      </c>
    </row>
    <row r="248" spans="1:5" x14ac:dyDescent="0.3">
      <c r="A248" t="s">
        <v>363</v>
      </c>
      <c r="B248" t="s">
        <v>514</v>
      </c>
      <c r="C248" t="s">
        <v>539</v>
      </c>
      <c r="D248" t="s">
        <v>2369</v>
      </c>
      <c r="E248">
        <f>IFERROR(
   IF(D248="Líder",
      INDEX(ZACATECAS!E:E, MATCH(C248, ZACATECAS!F:F, 0)),
      INDEX(ZACATECAS!H:H, MATCH(C248, ZACATECAS!J:J, 0))
   ),
"")</f>
        <v>32096443</v>
      </c>
    </row>
    <row r="249" spans="1:5" x14ac:dyDescent="0.3">
      <c r="A249" t="s">
        <v>363</v>
      </c>
      <c r="B249" t="s">
        <v>514</v>
      </c>
      <c r="C249" t="s">
        <v>521</v>
      </c>
      <c r="D249" t="s">
        <v>2369</v>
      </c>
      <c r="E249">
        <f>IFERROR(
   IF(D249="Líder",
      INDEX(ZACATECAS!E:E, MATCH(C249, ZACATECAS!F:F, 0)),
      INDEX(ZACATECAS!H:H, MATCH(C249, ZACATECAS!J:J, 0))
   ),
"")</f>
        <v>32044737</v>
      </c>
    </row>
    <row r="250" spans="1:5" x14ac:dyDescent="0.3">
      <c r="A250" t="s">
        <v>363</v>
      </c>
      <c r="B250" t="s">
        <v>514</v>
      </c>
      <c r="C250" t="s">
        <v>660</v>
      </c>
      <c r="D250" t="s">
        <v>2369</v>
      </c>
      <c r="E250">
        <f>IFERROR(
   IF(D250="Líder",
      INDEX(ZACATECAS!E:E, MATCH(C250, ZACATECAS!F:F, 0)),
      INDEX(ZACATECAS!H:H, MATCH(C250, ZACATECAS!J:J, 0))
   ),
"")</f>
        <v>32096528</v>
      </c>
    </row>
    <row r="251" spans="1:5" x14ac:dyDescent="0.3">
      <c r="A251" t="s">
        <v>363</v>
      </c>
      <c r="B251" t="s">
        <v>514</v>
      </c>
      <c r="C251" t="s">
        <v>533</v>
      </c>
      <c r="D251" t="s">
        <v>2369</v>
      </c>
      <c r="E251">
        <f>IFERROR(
   IF(D251="Líder",
      INDEX(ZACATECAS!E:E, MATCH(C251, ZACATECAS!F:F, 0)),
      INDEX(ZACATECAS!H:H, MATCH(C251, ZACATECAS!J:J, 0))
   ),
"")</f>
        <v>32057512</v>
      </c>
    </row>
    <row r="252" spans="1:5" x14ac:dyDescent="0.3">
      <c r="A252" t="s">
        <v>363</v>
      </c>
      <c r="B252" t="s">
        <v>514</v>
      </c>
      <c r="C252" t="s">
        <v>550</v>
      </c>
      <c r="D252" t="s">
        <v>2369</v>
      </c>
      <c r="E252">
        <f>IFERROR(
   IF(D252="Líder",
      INDEX(ZACATECAS!E:E, MATCH(C252, ZACATECAS!F:F, 0)),
      INDEX(ZACATECAS!H:H, MATCH(C252, ZACATECAS!J:J, 0))
   ),
"")</f>
        <v>32149066</v>
      </c>
    </row>
    <row r="253" spans="1:5" x14ac:dyDescent="0.3">
      <c r="A253" t="s">
        <v>363</v>
      </c>
      <c r="B253" t="s">
        <v>514</v>
      </c>
      <c r="C253" t="s">
        <v>559</v>
      </c>
      <c r="D253" t="s">
        <v>2369</v>
      </c>
      <c r="E253">
        <f>IFERROR(
   IF(D253="Líder",
      INDEX(ZACATECAS!E:E, MATCH(C253, ZACATECAS!F:F, 0)),
      INDEX(ZACATECAS!H:H, MATCH(C253, ZACATECAS!J:J, 0))
   ),
"")</f>
        <v>32044578</v>
      </c>
    </row>
    <row r="254" spans="1:5" x14ac:dyDescent="0.3">
      <c r="A254" t="s">
        <v>363</v>
      </c>
      <c r="B254" t="s">
        <v>514</v>
      </c>
      <c r="C254" t="s">
        <v>526</v>
      </c>
      <c r="D254" t="s">
        <v>2369</v>
      </c>
      <c r="E254">
        <f>IFERROR(
   IF(D254="Líder",
      INDEX(ZACATECAS!E:E, MATCH(C254, ZACATECAS!F:F, 0)),
      INDEX(ZACATECAS!H:H, MATCH(C254, ZACATECAS!J:J, 0))
   ),
"")</f>
        <v>32045654</v>
      </c>
    </row>
    <row r="255" spans="1:5" x14ac:dyDescent="0.3">
      <c r="A255" t="s">
        <v>363</v>
      </c>
      <c r="B255" t="s">
        <v>514</v>
      </c>
      <c r="C255" t="s">
        <v>528</v>
      </c>
      <c r="D255" t="s">
        <v>2369</v>
      </c>
      <c r="E255">
        <f>IFERROR(
   IF(D255="Líder",
      INDEX(ZACATECAS!E:E, MATCH(C255, ZACATECAS!F:F, 0)),
      INDEX(ZACATECAS!H:H, MATCH(C255, ZACATECAS!J:J, 0))
   ),
"")</f>
        <v>32046030</v>
      </c>
    </row>
    <row r="256" spans="1:5" x14ac:dyDescent="0.3">
      <c r="A256" t="s">
        <v>363</v>
      </c>
      <c r="B256" t="s">
        <v>514</v>
      </c>
      <c r="C256" t="s">
        <v>552</v>
      </c>
      <c r="D256" t="s">
        <v>2369</v>
      </c>
      <c r="E256">
        <f>IFERROR(
   IF(D256="Líder",
      INDEX(ZACATECAS!E:E, MATCH(C256, ZACATECAS!F:F, 0)),
      INDEX(ZACATECAS!H:H, MATCH(C256, ZACATECAS!J:J, 0))
   ),
"")</f>
        <v>32197883</v>
      </c>
    </row>
    <row r="257" spans="1:5" x14ac:dyDescent="0.3">
      <c r="A257" t="s">
        <v>363</v>
      </c>
      <c r="B257" t="s">
        <v>514</v>
      </c>
      <c r="C257" t="s">
        <v>545</v>
      </c>
      <c r="D257" t="s">
        <v>2369</v>
      </c>
      <c r="E257">
        <f>IFERROR(
   IF(D257="Líder",
      INDEX(ZACATECAS!E:E, MATCH(C257, ZACATECAS!F:F, 0)),
      INDEX(ZACATECAS!H:H, MATCH(C257, ZACATECAS!J:J, 0))
   ),
"")</f>
        <v>32142779</v>
      </c>
    </row>
    <row r="258" spans="1:5" x14ac:dyDescent="0.3">
      <c r="A258" t="s">
        <v>363</v>
      </c>
      <c r="B258" t="s">
        <v>514</v>
      </c>
      <c r="C258" t="s">
        <v>2380</v>
      </c>
      <c r="D258" t="s">
        <v>2369</v>
      </c>
      <c r="E258" t="str">
        <f>IFERROR(
   IF(D258="Líder",
      INDEX(ZACATECAS!E:E, MATCH(C258, ZACATECAS!F:F, 0)),
      INDEX(ZACATECAS!H:H, MATCH(C258, ZACATECAS!J:J, 0))
   ),
"")</f>
        <v/>
      </c>
    </row>
    <row r="259" spans="1:5" x14ac:dyDescent="0.3">
      <c r="A259" t="s">
        <v>363</v>
      </c>
      <c r="B259" t="s">
        <v>514</v>
      </c>
      <c r="C259" t="s">
        <v>535</v>
      </c>
      <c r="D259" t="s">
        <v>2369</v>
      </c>
      <c r="E259">
        <f>IFERROR(
   IF(D259="Líder",
      INDEX(ZACATECAS!E:E, MATCH(C259, ZACATECAS!F:F, 0)),
      INDEX(ZACATECAS!H:H, MATCH(C259, ZACATECAS!J:J, 0))
   ),
"")</f>
        <v>32071020</v>
      </c>
    </row>
    <row r="260" spans="1:5" x14ac:dyDescent="0.3">
      <c r="A260" t="s">
        <v>363</v>
      </c>
      <c r="B260" t="s">
        <v>514</v>
      </c>
      <c r="C260" t="s">
        <v>523</v>
      </c>
      <c r="D260" t="s">
        <v>2369</v>
      </c>
      <c r="E260">
        <f>IFERROR(
   IF(D260="Líder",
      INDEX(ZACATECAS!E:E, MATCH(C260, ZACATECAS!F:F, 0)),
      INDEX(ZACATECAS!H:H, MATCH(C260, ZACATECAS!J:J, 0))
   ),
"")</f>
        <v>32045356</v>
      </c>
    </row>
    <row r="261" spans="1:5" x14ac:dyDescent="0.3">
      <c r="A261" t="s">
        <v>363</v>
      </c>
      <c r="B261" t="s">
        <v>514</v>
      </c>
      <c r="C261" t="s">
        <v>971</v>
      </c>
      <c r="D261" t="s">
        <v>2369</v>
      </c>
      <c r="E261">
        <f>IFERROR(
   IF(D261="Líder",
      INDEX(ZACATECAS!E:E, MATCH(C261, ZACATECAS!F:F, 0)),
      INDEX(ZACATECAS!H:H, MATCH(C261, ZACATECAS!J:J, 0))
   ),
"")</f>
        <v>32046469</v>
      </c>
    </row>
    <row r="262" spans="1:5" x14ac:dyDescent="0.3">
      <c r="A262" t="s">
        <v>363</v>
      </c>
      <c r="B262" t="s">
        <v>364</v>
      </c>
      <c r="C262" t="s">
        <v>367</v>
      </c>
      <c r="D262" t="s">
        <v>2369</v>
      </c>
      <c r="E262">
        <f>IFERROR(
   IF(D262="Líder",
      INDEX(ZACATECAS!E:E, MATCH(C262, ZACATECAS!F:F, 0)),
      INDEX(ZACATECAS!H:H, MATCH(C262, ZACATECAS!J:J, 0))
   ),
"")</f>
        <v>32067736</v>
      </c>
    </row>
    <row r="263" spans="1:5" x14ac:dyDescent="0.3">
      <c r="A263" t="s">
        <v>363</v>
      </c>
      <c r="B263" t="s">
        <v>364</v>
      </c>
      <c r="C263" t="s">
        <v>370</v>
      </c>
      <c r="D263" t="s">
        <v>2369</v>
      </c>
      <c r="E263">
        <f>IFERROR(
   IF(D263="Líder",
      INDEX(ZACATECAS!E:E, MATCH(C263, ZACATECAS!F:F, 0)),
      INDEX(ZACATECAS!H:H, MATCH(C263, ZACATECAS!J:J, 0))
   ),
"")</f>
        <v>32046175</v>
      </c>
    </row>
    <row r="264" spans="1:5" x14ac:dyDescent="0.3">
      <c r="A264" t="s">
        <v>363</v>
      </c>
      <c r="B264" t="s">
        <v>364</v>
      </c>
      <c r="C264" t="s">
        <v>373</v>
      </c>
      <c r="D264" t="s">
        <v>2369</v>
      </c>
      <c r="E264">
        <f>IFERROR(
   IF(D264="Líder",
      INDEX(ZACATECAS!E:E, MATCH(C264, ZACATECAS!F:F, 0)),
      INDEX(ZACATECAS!H:H, MATCH(C264, ZACATECAS!J:J, 0))
   ),
"")</f>
        <v>32046354</v>
      </c>
    </row>
    <row r="265" spans="1:5" x14ac:dyDescent="0.3">
      <c r="A265" t="s">
        <v>363</v>
      </c>
      <c r="B265" t="s">
        <v>364</v>
      </c>
      <c r="C265" t="s">
        <v>376</v>
      </c>
      <c r="D265" t="s">
        <v>2369</v>
      </c>
      <c r="E265">
        <f>IFERROR(
   IF(D265="Líder",
      INDEX(ZACATECAS!E:E, MATCH(C265, ZACATECAS!F:F, 0)),
      INDEX(ZACATECAS!H:H, MATCH(C265, ZACATECAS!J:J, 0))
   ),
"")</f>
        <v>32136855</v>
      </c>
    </row>
    <row r="266" spans="1:5" x14ac:dyDescent="0.3">
      <c r="A266" t="s">
        <v>363</v>
      </c>
      <c r="B266" t="s">
        <v>364</v>
      </c>
      <c r="C266" t="s">
        <v>379</v>
      </c>
      <c r="D266" t="s">
        <v>2369</v>
      </c>
      <c r="E266">
        <f>IFERROR(
   IF(D266="Líder",
      INDEX(ZACATECAS!E:E, MATCH(C266, ZACATECAS!F:F, 0)),
      INDEX(ZACATECAS!H:H, MATCH(C266, ZACATECAS!J:J, 0))
   ),
"")</f>
        <v>32057054</v>
      </c>
    </row>
    <row r="267" spans="1:5" x14ac:dyDescent="0.3">
      <c r="A267" t="s">
        <v>363</v>
      </c>
      <c r="B267" t="s">
        <v>364</v>
      </c>
      <c r="C267" t="s">
        <v>382</v>
      </c>
      <c r="D267" t="s">
        <v>2369</v>
      </c>
      <c r="E267">
        <f>IFERROR(
   IF(D267="Líder",
      INDEX(ZACATECAS!E:E, MATCH(C267, ZACATECAS!F:F, 0)),
      INDEX(ZACATECAS!H:H, MATCH(C267, ZACATECAS!J:J, 0))
   ),
"")</f>
        <v>32046253</v>
      </c>
    </row>
    <row r="268" spans="1:5" x14ac:dyDescent="0.3">
      <c r="A268" t="s">
        <v>363</v>
      </c>
      <c r="B268" t="s">
        <v>640</v>
      </c>
      <c r="C268" t="s">
        <v>2381</v>
      </c>
      <c r="D268" t="s">
        <v>2369</v>
      </c>
      <c r="E268" t="str">
        <f>IFERROR(
   IF(D268="Líder",
      INDEX(ZACATECAS!E:E, MATCH(C268, ZACATECAS!F:F, 0)),
      INDEX(ZACATECAS!H:H, MATCH(C268, ZACATECAS!J:J, 0))
   ),
"")</f>
        <v/>
      </c>
    </row>
    <row r="269" spans="1:5" x14ac:dyDescent="0.3">
      <c r="A269" t="s">
        <v>363</v>
      </c>
      <c r="B269" t="s">
        <v>640</v>
      </c>
      <c r="C269" t="s">
        <v>671</v>
      </c>
      <c r="D269" t="s">
        <v>2369</v>
      </c>
      <c r="E269">
        <f>IFERROR(
   IF(D269="Líder",
      INDEX(ZACATECAS!E:E, MATCH(C269, ZACATECAS!F:F, 0)),
      INDEX(ZACATECAS!H:H, MATCH(C269, ZACATECAS!J:J, 0))
   ),
"")</f>
        <v>32149610</v>
      </c>
    </row>
    <row r="270" spans="1:5" x14ac:dyDescent="0.3">
      <c r="A270" t="s">
        <v>363</v>
      </c>
      <c r="B270" t="s">
        <v>640</v>
      </c>
      <c r="C270" t="s">
        <v>647</v>
      </c>
      <c r="D270" t="s">
        <v>2369</v>
      </c>
      <c r="E270">
        <f>IFERROR(
   IF(D270="Líder",
      INDEX(ZACATECAS!E:E, MATCH(C270, ZACATECAS!F:F, 0)),
      INDEX(ZACATECAS!H:H, MATCH(C270, ZACATECAS!J:J, 0))
   ),
"")</f>
        <v>32045011</v>
      </c>
    </row>
    <row r="271" spans="1:5" x14ac:dyDescent="0.3">
      <c r="A271" t="s">
        <v>363</v>
      </c>
      <c r="B271" t="s">
        <v>640</v>
      </c>
      <c r="C271" t="s">
        <v>2382</v>
      </c>
      <c r="D271" t="s">
        <v>2369</v>
      </c>
      <c r="E271" t="str">
        <f>IFERROR(
   IF(D271="Líder",
      INDEX(ZACATECAS!E:E, MATCH(C271, ZACATECAS!F:F, 0)),
      INDEX(ZACATECAS!H:H, MATCH(C271, ZACATECAS!J:J, 0))
   ),
"")</f>
        <v/>
      </c>
    </row>
    <row r="272" spans="1:5" x14ac:dyDescent="0.3">
      <c r="A272" t="s">
        <v>363</v>
      </c>
      <c r="B272" t="s">
        <v>640</v>
      </c>
      <c r="C272" t="s">
        <v>2383</v>
      </c>
      <c r="D272" t="s">
        <v>2369</v>
      </c>
      <c r="E272" t="str">
        <f>IFERROR(
   IF(D272="Líder",
      INDEX(ZACATECAS!E:E, MATCH(C272, ZACATECAS!F:F, 0)),
      INDEX(ZACATECAS!H:H, MATCH(C272, ZACATECAS!J:J, 0))
   ),
"")</f>
        <v/>
      </c>
    </row>
    <row r="273" spans="1:5" x14ac:dyDescent="0.3">
      <c r="A273" t="s">
        <v>363</v>
      </c>
      <c r="B273" t="s">
        <v>640</v>
      </c>
      <c r="C273" t="s">
        <v>669</v>
      </c>
      <c r="D273" t="s">
        <v>2369</v>
      </c>
      <c r="E273">
        <f>IFERROR(
   IF(D273="Líder",
      INDEX(ZACATECAS!E:E, MATCH(C273, ZACATECAS!F:F, 0)),
      INDEX(ZACATECAS!H:H, MATCH(C273, ZACATECAS!J:J, 0))
   ),
"")</f>
        <v>32143307</v>
      </c>
    </row>
    <row r="274" spans="1:5" x14ac:dyDescent="0.3">
      <c r="A274" t="s">
        <v>363</v>
      </c>
      <c r="B274" t="s">
        <v>640</v>
      </c>
      <c r="C274" t="s">
        <v>645</v>
      </c>
      <c r="D274" t="s">
        <v>2369</v>
      </c>
      <c r="E274">
        <f>IFERROR(
   IF(D274="Líder",
      INDEX(ZACATECAS!E:E, MATCH(C274, ZACATECAS!F:F, 0)),
      INDEX(ZACATECAS!H:H, MATCH(C274, ZACATECAS!J:J, 0))
   ),
"")</f>
        <v>32044741</v>
      </c>
    </row>
    <row r="275" spans="1:5" x14ac:dyDescent="0.3">
      <c r="A275" t="s">
        <v>363</v>
      </c>
      <c r="B275" t="s">
        <v>640</v>
      </c>
      <c r="C275" t="s">
        <v>667</v>
      </c>
      <c r="D275" t="s">
        <v>2369</v>
      </c>
      <c r="E275">
        <f>IFERROR(
   IF(D275="Líder",
      INDEX(ZACATECAS!E:E, MATCH(C275, ZACATECAS!F:F, 0)),
      INDEX(ZACATECAS!H:H, MATCH(C275, ZACATECAS!J:J, 0))
   ),
"")</f>
        <v>32143289</v>
      </c>
    </row>
    <row r="276" spans="1:5" x14ac:dyDescent="0.3">
      <c r="A276" t="s">
        <v>363</v>
      </c>
      <c r="B276" t="s">
        <v>640</v>
      </c>
      <c r="C276" t="s">
        <v>652</v>
      </c>
      <c r="D276" t="s">
        <v>2369</v>
      </c>
      <c r="E276">
        <f>IFERROR(
   IF(D276="Líder",
      INDEX(ZACATECAS!E:E, MATCH(C276, ZACATECAS!F:F, 0)),
      INDEX(ZACATECAS!H:H, MATCH(C276, ZACATECAS!J:J, 0))
   ),
"")</f>
        <v>32045693</v>
      </c>
    </row>
    <row r="277" spans="1:5" x14ac:dyDescent="0.3">
      <c r="A277" t="s">
        <v>363</v>
      </c>
      <c r="B277" t="s">
        <v>640</v>
      </c>
      <c r="C277" t="s">
        <v>1469</v>
      </c>
      <c r="D277" t="s">
        <v>2369</v>
      </c>
      <c r="E277">
        <f>IFERROR(
   IF(D277="Líder",
      INDEX(ZACATECAS!E:E, MATCH(C277, ZACATECAS!F:F, 0)),
      INDEX(ZACATECAS!H:H, MATCH(C277, ZACATECAS!J:J, 0))
   ),
"")</f>
        <v>32197876</v>
      </c>
    </row>
    <row r="278" spans="1:5" x14ac:dyDescent="0.3">
      <c r="A278" t="s">
        <v>363</v>
      </c>
      <c r="B278" t="s">
        <v>640</v>
      </c>
      <c r="C278" t="s">
        <v>2384</v>
      </c>
      <c r="D278" t="s">
        <v>2369</v>
      </c>
      <c r="E278" t="str">
        <f>IFERROR(
   IF(D278="Líder",
      INDEX(ZACATECAS!E:E, MATCH(C278, ZACATECAS!F:F, 0)),
      INDEX(ZACATECAS!H:H, MATCH(C278, ZACATECAS!J:J, 0))
   ),
"")</f>
        <v/>
      </c>
    </row>
    <row r="279" spans="1:5" x14ac:dyDescent="0.3">
      <c r="A279" t="s">
        <v>363</v>
      </c>
      <c r="B279" t="s">
        <v>640</v>
      </c>
      <c r="C279" t="s">
        <v>657</v>
      </c>
      <c r="D279" t="s">
        <v>2369</v>
      </c>
      <c r="E279">
        <f>IFERROR(
   IF(D279="Líder",
      INDEX(ZACATECAS!E:E, MATCH(C279, ZACATECAS!F:F, 0)),
      INDEX(ZACATECAS!H:H, MATCH(C279, ZACATECAS!J:J, 0))
   ),
"")</f>
        <v>32067182</v>
      </c>
    </row>
    <row r="280" spans="1:5" x14ac:dyDescent="0.3">
      <c r="A280" t="s">
        <v>363</v>
      </c>
      <c r="B280" t="s">
        <v>640</v>
      </c>
      <c r="C280" t="s">
        <v>641</v>
      </c>
      <c r="D280" t="s">
        <v>2369</v>
      </c>
      <c r="E280">
        <f>IFERROR(
   IF(D280="Líder",
      INDEX(ZACATECAS!E:E, MATCH(C280, ZACATECAS!F:F, 0)),
      INDEX(ZACATECAS!H:H, MATCH(C280, ZACATECAS!J:J, 0))
   ),
"")</f>
        <v>32044721</v>
      </c>
    </row>
    <row r="281" spans="1:5" x14ac:dyDescent="0.3">
      <c r="A281" t="s">
        <v>363</v>
      </c>
      <c r="B281" t="s">
        <v>640</v>
      </c>
      <c r="C281" t="s">
        <v>653</v>
      </c>
      <c r="D281" t="s">
        <v>2369</v>
      </c>
      <c r="E281">
        <f>IFERROR(
   IF(D281="Líder",
      INDEX(ZACATECAS!E:E, MATCH(C281, ZACATECAS!F:F, 0)),
      INDEX(ZACATECAS!H:H, MATCH(C281, ZACATECAS!J:J, 0))
   ),
"")</f>
        <v>32046547</v>
      </c>
    </row>
    <row r="282" spans="1:5" x14ac:dyDescent="0.3">
      <c r="A282" t="s">
        <v>363</v>
      </c>
      <c r="B282" t="s">
        <v>640</v>
      </c>
      <c r="C282" t="s">
        <v>643</v>
      </c>
      <c r="D282" t="s">
        <v>2369</v>
      </c>
      <c r="E282">
        <f>IFERROR(
   IF(D282="Líder",
      INDEX(ZACATECAS!E:E, MATCH(C282, ZACATECAS!F:F, 0)),
      INDEX(ZACATECAS!H:H, MATCH(C282, ZACATECAS!J:J, 0))
   ),
"")</f>
        <v>32044733</v>
      </c>
    </row>
    <row r="283" spans="1:5" x14ac:dyDescent="0.3">
      <c r="A283" t="s">
        <v>363</v>
      </c>
      <c r="B283" t="s">
        <v>1116</v>
      </c>
      <c r="C283" t="s">
        <v>1117</v>
      </c>
      <c r="D283" t="s">
        <v>2369</v>
      </c>
      <c r="E283">
        <f>IFERROR(
   IF(D283="Líder",
      INDEX(ZACATECAS!E:E, MATCH(C283, ZACATECAS!F:F, 0)),
      INDEX(ZACATECAS!H:H, MATCH(C283, ZACATECAS!J:J, 0))
   ),
"")</f>
        <v>32044172</v>
      </c>
    </row>
    <row r="284" spans="1:5" x14ac:dyDescent="0.3">
      <c r="A284" t="s">
        <v>363</v>
      </c>
      <c r="B284" t="s">
        <v>1116</v>
      </c>
      <c r="C284" t="s">
        <v>1119</v>
      </c>
      <c r="D284" t="s">
        <v>2369</v>
      </c>
      <c r="E284">
        <f>IFERROR(
   IF(D284="Líder",
      INDEX(ZACATECAS!E:E, MATCH(C284, ZACATECAS!F:F, 0)),
      INDEX(ZACATECAS!H:H, MATCH(C284, ZACATECAS!J:J, 0))
   ),
"")</f>
        <v>32044809</v>
      </c>
    </row>
    <row r="285" spans="1:5" x14ac:dyDescent="0.3">
      <c r="A285" t="s">
        <v>363</v>
      </c>
      <c r="B285" t="s">
        <v>1116</v>
      </c>
      <c r="C285" t="s">
        <v>1135</v>
      </c>
      <c r="D285" t="s">
        <v>2369</v>
      </c>
      <c r="E285">
        <f>IFERROR(
   IF(D285="Líder",
      INDEX(ZACATECAS!E:E, MATCH(C285, ZACATECAS!F:F, 0)),
      INDEX(ZACATECAS!H:H, MATCH(C285, ZACATECAS!J:J, 0))
   ),
"")</f>
        <v>32148858</v>
      </c>
    </row>
    <row r="286" spans="1:5" x14ac:dyDescent="0.3">
      <c r="A286" t="s">
        <v>363</v>
      </c>
      <c r="B286" t="s">
        <v>1116</v>
      </c>
      <c r="C286" t="s">
        <v>1125</v>
      </c>
      <c r="D286" t="s">
        <v>2369</v>
      </c>
      <c r="E286">
        <f>IFERROR(
   IF(D286="Líder",
      INDEX(ZACATECAS!E:E, MATCH(C286, ZACATECAS!F:F, 0)),
      INDEX(ZACATECAS!H:H, MATCH(C286, ZACATECAS!J:J, 0))
   ),
"")</f>
        <v>32046009</v>
      </c>
    </row>
    <row r="287" spans="1:5" x14ac:dyDescent="0.3">
      <c r="A287" t="s">
        <v>363</v>
      </c>
      <c r="B287" t="s">
        <v>1116</v>
      </c>
      <c r="C287" t="s">
        <v>1123</v>
      </c>
      <c r="D287" t="s">
        <v>2369</v>
      </c>
      <c r="E287">
        <f>IFERROR(
   IF(D287="Líder",
      INDEX(ZACATECAS!E:E, MATCH(C287, ZACATECAS!F:F, 0)),
      INDEX(ZACATECAS!H:H, MATCH(C287, ZACATECAS!J:J, 0))
   ),
"")</f>
        <v>32045219</v>
      </c>
    </row>
    <row r="288" spans="1:5" x14ac:dyDescent="0.3">
      <c r="A288" t="s">
        <v>363</v>
      </c>
      <c r="B288" t="s">
        <v>1116</v>
      </c>
      <c r="C288" t="s">
        <v>1121</v>
      </c>
      <c r="D288" t="s">
        <v>2369</v>
      </c>
      <c r="E288">
        <f>IFERROR(
   IF(D288="Líder",
      INDEX(ZACATECAS!E:E, MATCH(C288, ZACATECAS!F:F, 0)),
      INDEX(ZACATECAS!H:H, MATCH(C288, ZACATECAS!J:J, 0))
   ),
"")</f>
        <v>32045052</v>
      </c>
    </row>
    <row r="289" spans="1:5" x14ac:dyDescent="0.3">
      <c r="A289" t="s">
        <v>363</v>
      </c>
      <c r="B289" t="s">
        <v>1116</v>
      </c>
      <c r="C289" t="s">
        <v>1133</v>
      </c>
      <c r="D289" t="s">
        <v>2369</v>
      </c>
      <c r="E289">
        <f>IFERROR(
   IF(D289="Líder",
      INDEX(ZACATECAS!E:E, MATCH(C289, ZACATECAS!F:F, 0)),
      INDEX(ZACATECAS!H:H, MATCH(C289, ZACATECAS!J:J, 0))
   ),
"")</f>
        <v>32138048</v>
      </c>
    </row>
    <row r="290" spans="1:5" x14ac:dyDescent="0.3">
      <c r="A290" t="s">
        <v>363</v>
      </c>
      <c r="B290" t="s">
        <v>1116</v>
      </c>
      <c r="C290" t="s">
        <v>1131</v>
      </c>
      <c r="D290" t="s">
        <v>2369</v>
      </c>
      <c r="E290">
        <f>IFERROR(
   IF(D290="Líder",
      INDEX(ZACATECAS!E:E, MATCH(C290, ZACATECAS!F:F, 0)),
      INDEX(ZACATECAS!H:H, MATCH(C290, ZACATECAS!J:J, 0))
   ),
"")</f>
        <v>32132226</v>
      </c>
    </row>
    <row r="291" spans="1:5" x14ac:dyDescent="0.3">
      <c r="A291" t="s">
        <v>363</v>
      </c>
      <c r="B291" t="s">
        <v>1116</v>
      </c>
      <c r="C291" t="s">
        <v>2385</v>
      </c>
      <c r="D291" t="s">
        <v>2369</v>
      </c>
      <c r="E291" t="str">
        <f>IFERROR(
   IF(D291="Líder",
      INDEX(ZACATECAS!E:E, MATCH(C291, ZACATECAS!F:F, 0)),
      INDEX(ZACATECAS!H:H, MATCH(C291, ZACATECAS!J:J, 0))
   ),
"")</f>
        <v/>
      </c>
    </row>
    <row r="292" spans="1:5" x14ac:dyDescent="0.3">
      <c r="A292" t="s">
        <v>363</v>
      </c>
      <c r="B292" t="s">
        <v>1116</v>
      </c>
      <c r="C292" t="s">
        <v>1127</v>
      </c>
      <c r="D292" t="s">
        <v>2369</v>
      </c>
      <c r="E292">
        <f>IFERROR(
   IF(D292="Líder",
      INDEX(ZACATECAS!E:E, MATCH(C292, ZACATECAS!F:F, 0)),
      INDEX(ZACATECAS!H:H, MATCH(C292, ZACATECAS!J:J, 0))
   ),
"")</f>
        <v>32046022</v>
      </c>
    </row>
    <row r="293" spans="1:5" x14ac:dyDescent="0.3">
      <c r="A293" t="s">
        <v>363</v>
      </c>
      <c r="B293" t="s">
        <v>1116</v>
      </c>
      <c r="C293" t="s">
        <v>1129</v>
      </c>
      <c r="D293" t="s">
        <v>2369</v>
      </c>
      <c r="E293">
        <f>IFERROR(
   IF(D293="Líder",
      INDEX(ZACATECAS!E:E, MATCH(C293, ZACATECAS!F:F, 0)),
      INDEX(ZACATECAS!H:H, MATCH(C293, ZACATECAS!J:J, 0))
   ),
"")</f>
        <v>32046379</v>
      </c>
    </row>
    <row r="294" spans="1:5" x14ac:dyDescent="0.3">
      <c r="A294" t="s">
        <v>263</v>
      </c>
      <c r="B294" t="s">
        <v>264</v>
      </c>
      <c r="C294" t="s">
        <v>267</v>
      </c>
      <c r="D294" t="s">
        <v>2369</v>
      </c>
      <c r="E294">
        <f>IFERROR(
   IF(D294="Líder",
      INDEX(ZACATECAS!E:E, MATCH(C294, ZACATECAS!F:F, 0)),
      INDEX(ZACATECAS!H:H, MATCH(C294, ZACATECAS!J:J, 0))
   ),
"")</f>
        <v>32102191</v>
      </c>
    </row>
    <row r="295" spans="1:5" x14ac:dyDescent="0.3">
      <c r="A295" t="s">
        <v>263</v>
      </c>
      <c r="B295" t="s">
        <v>264</v>
      </c>
      <c r="C295" t="s">
        <v>269</v>
      </c>
      <c r="D295" t="s">
        <v>2369</v>
      </c>
      <c r="E295">
        <f>IFERROR(
   IF(D295="Líder",
      INDEX(ZACATECAS!E:E, MATCH(C295, ZACATECAS!F:F, 0)),
      INDEX(ZACATECAS!H:H, MATCH(C295, ZACATECAS!J:J, 0))
   ),
"")</f>
        <v>32222225</v>
      </c>
    </row>
    <row r="296" spans="1:5" x14ac:dyDescent="0.3">
      <c r="A296" t="s">
        <v>263</v>
      </c>
      <c r="B296" t="s">
        <v>264</v>
      </c>
      <c r="C296" t="s">
        <v>2321</v>
      </c>
      <c r="D296" t="s">
        <v>2369</v>
      </c>
      <c r="E296" t="str">
        <f>IFERROR(
   IF(D296="Líder",
      INDEX(ZACATECAS!E:E, MATCH(C296, ZACATECAS!F:F, 0)),
      INDEX(ZACATECAS!H:H, MATCH(C296, ZACATECAS!J:J, 0))
   ),
"")</f>
        <v/>
      </c>
    </row>
    <row r="297" spans="1:5" x14ac:dyDescent="0.3">
      <c r="A297" t="s">
        <v>263</v>
      </c>
      <c r="B297" t="s">
        <v>264</v>
      </c>
      <c r="C297" t="s">
        <v>271</v>
      </c>
      <c r="D297" t="s">
        <v>2369</v>
      </c>
      <c r="E297">
        <f>IFERROR(
   IF(D297="Líder",
      INDEX(ZACATECAS!E:E, MATCH(C297, ZACATECAS!F:F, 0)),
      INDEX(ZACATECAS!H:H, MATCH(C297, ZACATECAS!J:J, 0))
   ),
"")</f>
        <v>32222227</v>
      </c>
    </row>
    <row r="298" spans="1:5" x14ac:dyDescent="0.3">
      <c r="A298" t="s">
        <v>263</v>
      </c>
      <c r="B298" t="s">
        <v>264</v>
      </c>
      <c r="C298" t="s">
        <v>275</v>
      </c>
      <c r="D298" t="s">
        <v>2369</v>
      </c>
      <c r="E298">
        <f>IFERROR(
   IF(D298="Líder",
      INDEX(ZACATECAS!E:E, MATCH(C298, ZACATECAS!F:F, 0)),
      INDEX(ZACATECAS!H:H, MATCH(C298, ZACATECAS!J:J, 0))
   ),
"")</f>
        <v>32044502</v>
      </c>
    </row>
    <row r="299" spans="1:5" x14ac:dyDescent="0.3">
      <c r="A299" t="s">
        <v>2053</v>
      </c>
      <c r="B299" t="s">
        <v>2071</v>
      </c>
      <c r="C299" t="s">
        <v>2074</v>
      </c>
      <c r="D299" t="s">
        <v>2369</v>
      </c>
      <c r="E299">
        <f>IFERROR(
   IF(D299="Líder",
      INDEX(ZACATECAS!E:E, MATCH(C299, ZACATECAS!F:F, 0)),
      INDEX(ZACATECAS!H:H, MATCH(C299, ZACATECAS!J:J, 0))
   ),
"")</f>
        <v>32072210</v>
      </c>
    </row>
    <row r="300" spans="1:5" x14ac:dyDescent="0.3">
      <c r="A300" t="s">
        <v>2053</v>
      </c>
      <c r="B300" t="s">
        <v>2071</v>
      </c>
      <c r="C300" t="s">
        <v>2323</v>
      </c>
      <c r="D300" t="s">
        <v>2369</v>
      </c>
      <c r="E300" t="str">
        <f>IFERROR(
   IF(D300="Líder",
      INDEX(ZACATECAS!E:E, MATCH(C300, ZACATECAS!F:F, 0)),
      INDEX(ZACATECAS!H:H, MATCH(C300, ZACATECAS!J:J, 0))
   ),
"")</f>
        <v/>
      </c>
    </row>
    <row r="301" spans="1:5" x14ac:dyDescent="0.3">
      <c r="A301" t="s">
        <v>2053</v>
      </c>
      <c r="B301" t="s">
        <v>2071</v>
      </c>
      <c r="C301" t="s">
        <v>2077</v>
      </c>
      <c r="D301" t="s">
        <v>2369</v>
      </c>
      <c r="E301">
        <f>IFERROR(
   IF(D301="Líder",
      INDEX(ZACATECAS!E:E, MATCH(C301, ZACATECAS!F:F, 0)),
      INDEX(ZACATECAS!H:H, MATCH(C301, ZACATECAS!J:J, 0))
   ),
"")</f>
        <v>32224379</v>
      </c>
    </row>
    <row r="302" spans="1:5" x14ac:dyDescent="0.3">
      <c r="A302" t="s">
        <v>2053</v>
      </c>
      <c r="B302" t="s">
        <v>2071</v>
      </c>
      <c r="C302" t="s">
        <v>2079</v>
      </c>
      <c r="D302" t="s">
        <v>2369</v>
      </c>
      <c r="E302">
        <f>IFERROR(
   IF(D302="Líder",
      INDEX(ZACATECAS!E:E, MATCH(C302, ZACATECAS!F:F, 0)),
      INDEX(ZACATECAS!H:H, MATCH(C302, ZACATECAS!J:J, 0))
   ),
"")</f>
        <v>32045559</v>
      </c>
    </row>
    <row r="303" spans="1:5" x14ac:dyDescent="0.3">
      <c r="A303" t="s">
        <v>2053</v>
      </c>
      <c r="B303" t="s">
        <v>2071</v>
      </c>
      <c r="C303" t="s">
        <v>2082</v>
      </c>
      <c r="D303" t="s">
        <v>2369</v>
      </c>
      <c r="E303">
        <f>IFERROR(
   IF(D303="Líder",
      INDEX(ZACATECAS!E:E, MATCH(C303, ZACATECAS!F:F, 0)),
      INDEX(ZACATECAS!H:H, MATCH(C303, ZACATECAS!J:J, 0))
   ),
"")</f>
        <v>32043914</v>
      </c>
    </row>
    <row r="304" spans="1:5" x14ac:dyDescent="0.3">
      <c r="A304" t="s">
        <v>2053</v>
      </c>
      <c r="B304" t="s">
        <v>2071</v>
      </c>
      <c r="C304" t="s">
        <v>2084</v>
      </c>
      <c r="D304" t="s">
        <v>2369</v>
      </c>
      <c r="E304">
        <f>IFERROR(
   IF(D304="Líder",
      INDEX(ZACATECAS!E:E, MATCH(C304, ZACATECAS!F:F, 0)),
      INDEX(ZACATECAS!H:H, MATCH(C304, ZACATECAS!J:J, 0))
   ),
"")</f>
        <v>32044817</v>
      </c>
    </row>
    <row r="305" spans="1:5" x14ac:dyDescent="0.3">
      <c r="A305" t="s">
        <v>2053</v>
      </c>
      <c r="B305" t="s">
        <v>2071</v>
      </c>
      <c r="C305" t="s">
        <v>2086</v>
      </c>
      <c r="D305" t="s">
        <v>2369</v>
      </c>
      <c r="E305">
        <f>IFERROR(
   IF(D305="Líder",
      INDEX(ZACATECAS!E:E, MATCH(C305, ZACATECAS!F:F, 0)),
      INDEX(ZACATECAS!H:H, MATCH(C305, ZACATECAS!J:J, 0))
   ),
"")</f>
        <v>32155923</v>
      </c>
    </row>
    <row r="306" spans="1:5" x14ac:dyDescent="0.3">
      <c r="A306" t="s">
        <v>2053</v>
      </c>
      <c r="B306" t="s">
        <v>2071</v>
      </c>
      <c r="C306" t="s">
        <v>2088</v>
      </c>
      <c r="D306" t="s">
        <v>2369</v>
      </c>
      <c r="E306">
        <f>IFERROR(
   IF(D306="Líder",
      INDEX(ZACATECAS!E:E, MATCH(C306, ZACATECAS!F:F, 0)),
      INDEX(ZACATECAS!H:H, MATCH(C306, ZACATECAS!J:J, 0))
   ),
"")</f>
        <v>32043736</v>
      </c>
    </row>
    <row r="307" spans="1:5" x14ac:dyDescent="0.3">
      <c r="A307" t="s">
        <v>2127</v>
      </c>
      <c r="B307" t="s">
        <v>2210</v>
      </c>
      <c r="C307" t="s">
        <v>2217</v>
      </c>
      <c r="D307" t="s">
        <v>2369</v>
      </c>
      <c r="E307">
        <f>IFERROR(
   IF(D307="Líder",
      INDEX(ZACATECAS!E:E, MATCH(C307, ZACATECAS!F:F, 0)),
      INDEX(ZACATECAS!H:H, MATCH(C307, ZACATECAS!J:J, 0))
   ),
"")</f>
        <v>32043831</v>
      </c>
    </row>
    <row r="308" spans="1:5" x14ac:dyDescent="0.3">
      <c r="A308" t="s">
        <v>2127</v>
      </c>
      <c r="B308" t="s">
        <v>2210</v>
      </c>
      <c r="C308" t="s">
        <v>2202</v>
      </c>
      <c r="D308" t="s">
        <v>2369</v>
      </c>
      <c r="E308">
        <f>IFERROR(
   IF(D308="Líder",
      INDEX(ZACATECAS!E:E, MATCH(C308, ZACATECAS!F:F, 0)),
      INDEX(ZACATECAS!H:H, MATCH(C308, ZACATECAS!J:J, 0))
   ),
"")</f>
        <v>32044308</v>
      </c>
    </row>
    <row r="309" spans="1:5" x14ac:dyDescent="0.3">
      <c r="A309" t="s">
        <v>2127</v>
      </c>
      <c r="B309" t="s">
        <v>2210</v>
      </c>
      <c r="C309" t="s">
        <v>2205</v>
      </c>
      <c r="D309" t="s">
        <v>2369</v>
      </c>
      <c r="E309">
        <f>IFERROR(
   IF(D309="Líder",
      INDEX(ZACATECAS!E:E, MATCH(C309, ZACATECAS!F:F, 0)),
      INDEX(ZACATECAS!H:H, MATCH(C309, ZACATECAS!J:J, 0))
   ),
"")</f>
        <v>32045210</v>
      </c>
    </row>
    <row r="310" spans="1:5" x14ac:dyDescent="0.3">
      <c r="A310" t="s">
        <v>2127</v>
      </c>
      <c r="B310" t="s">
        <v>2210</v>
      </c>
      <c r="C310" t="s">
        <v>2203</v>
      </c>
      <c r="D310" t="s">
        <v>2369</v>
      </c>
      <c r="E310">
        <f>IFERROR(
   IF(D310="Líder",
      INDEX(ZACATECAS!E:E, MATCH(C310, ZACATECAS!F:F, 0)),
      INDEX(ZACATECAS!H:H, MATCH(C310, ZACATECAS!J:J, 0))
   ),
"")</f>
        <v>32146008</v>
      </c>
    </row>
    <row r="311" spans="1:5" x14ac:dyDescent="0.3">
      <c r="A311" t="s">
        <v>2127</v>
      </c>
      <c r="B311" t="s">
        <v>2210</v>
      </c>
      <c r="C311" t="s">
        <v>2218</v>
      </c>
      <c r="D311" t="s">
        <v>2369</v>
      </c>
      <c r="E311">
        <f>IFERROR(
   IF(D311="Líder",
      INDEX(ZACATECAS!E:E, MATCH(C311, ZACATECAS!F:F, 0)),
      INDEX(ZACATECAS!H:H, MATCH(C311, ZACATECAS!J:J, 0))
   ),
"")</f>
        <v>32045926</v>
      </c>
    </row>
    <row r="312" spans="1:5" x14ac:dyDescent="0.3">
      <c r="A312" t="s">
        <v>2127</v>
      </c>
      <c r="B312" t="s">
        <v>2210</v>
      </c>
      <c r="C312" t="s">
        <v>2219</v>
      </c>
      <c r="D312" t="s">
        <v>2369</v>
      </c>
      <c r="E312">
        <f>IFERROR(
   IF(D312="Líder",
      INDEX(ZACATECAS!E:E, MATCH(C312, ZACATECAS!F:F, 0)),
      INDEX(ZACATECAS!H:H, MATCH(C312, ZACATECAS!J:J, 0))
   ),
"")</f>
        <v>32044693</v>
      </c>
    </row>
    <row r="313" spans="1:5" x14ac:dyDescent="0.3">
      <c r="A313" t="s">
        <v>2127</v>
      </c>
      <c r="B313" t="s">
        <v>2210</v>
      </c>
      <c r="C313" t="s">
        <v>2206</v>
      </c>
      <c r="D313" t="s">
        <v>2369</v>
      </c>
      <c r="E313">
        <f>IFERROR(
   IF(D313="Líder",
      INDEX(ZACATECAS!E:E, MATCH(C313, ZACATECAS!F:F, 0)),
      INDEX(ZACATECAS!H:H, MATCH(C313, ZACATECAS!J:J, 0))
   ),
"")</f>
        <v>32149494</v>
      </c>
    </row>
    <row r="314" spans="1:5" x14ac:dyDescent="0.3">
      <c r="A314" t="s">
        <v>2127</v>
      </c>
      <c r="B314" t="s">
        <v>2210</v>
      </c>
      <c r="C314" t="s">
        <v>2204</v>
      </c>
      <c r="D314" t="s">
        <v>2369</v>
      </c>
      <c r="E314">
        <f>IFERROR(
   IF(D314="Líder",
      INDEX(ZACATECAS!E:E, MATCH(C314, ZACATECAS!F:F, 0)),
      INDEX(ZACATECAS!H:H, MATCH(C314, ZACATECAS!J:J, 0))
   ),
"")</f>
        <v>32046095</v>
      </c>
    </row>
    <row r="315" spans="1:5" x14ac:dyDescent="0.3">
      <c r="A315" t="s">
        <v>363</v>
      </c>
      <c r="B315" t="s">
        <v>847</v>
      </c>
      <c r="C315" t="s">
        <v>850</v>
      </c>
      <c r="D315" t="s">
        <v>2369</v>
      </c>
      <c r="E315">
        <f>IFERROR(
   IF(D315="Líder",
      INDEX(ZACATECAS!E:E, MATCH(C315, ZACATECAS!F:F, 0)),
      INDEX(ZACATECAS!H:H, MATCH(C315, ZACATECAS!J:J, 0))
   ),
"")</f>
        <v>32043910</v>
      </c>
    </row>
    <row r="316" spans="1:5" x14ac:dyDescent="0.3">
      <c r="A316" t="s">
        <v>363</v>
      </c>
      <c r="B316" t="s">
        <v>847</v>
      </c>
      <c r="C316" t="s">
        <v>856</v>
      </c>
      <c r="D316" t="s">
        <v>2369</v>
      </c>
      <c r="E316">
        <f>IFERROR(
   IF(D316="Líder",
      INDEX(ZACATECAS!E:E, MATCH(C316, ZACATECAS!F:F, 0)),
      INDEX(ZACATECAS!H:H, MATCH(C316, ZACATECAS!J:J, 0))
   ),
"")</f>
        <v>32045614</v>
      </c>
    </row>
    <row r="317" spans="1:5" x14ac:dyDescent="0.3">
      <c r="A317" t="s">
        <v>363</v>
      </c>
      <c r="B317" t="s">
        <v>847</v>
      </c>
      <c r="C317" t="s">
        <v>873</v>
      </c>
      <c r="D317" t="s">
        <v>2369</v>
      </c>
      <c r="E317">
        <f>IFERROR(
   IF(D317="Líder",
      INDEX(ZACATECAS!E:E, MATCH(C317, ZACATECAS!F:F, 0)),
      INDEX(ZACATECAS!H:H, MATCH(C317, ZACATECAS!J:J, 0))
   ),
"")</f>
        <v>32197919</v>
      </c>
    </row>
    <row r="318" spans="1:5" x14ac:dyDescent="0.3">
      <c r="A318" t="s">
        <v>363</v>
      </c>
      <c r="B318" t="s">
        <v>847</v>
      </c>
      <c r="C318" t="s">
        <v>861</v>
      </c>
      <c r="D318" t="s">
        <v>2369</v>
      </c>
      <c r="E318">
        <f>IFERROR(
   IF(D318="Líder",
      INDEX(ZACATECAS!E:E, MATCH(C318, ZACATECAS!F:F, 0)),
      INDEX(ZACATECAS!H:H, MATCH(C318, ZACATECAS!J:J, 0))
   ),
"")</f>
        <v>32143283</v>
      </c>
    </row>
    <row r="319" spans="1:5" x14ac:dyDescent="0.3">
      <c r="A319" t="s">
        <v>363</v>
      </c>
      <c r="B319" t="s">
        <v>847</v>
      </c>
      <c r="C319" t="s">
        <v>854</v>
      </c>
      <c r="D319" t="s">
        <v>2369</v>
      </c>
      <c r="E319">
        <f>IFERROR(
   IF(D319="Líder",
      INDEX(ZACATECAS!E:E, MATCH(C319, ZACATECAS!F:F, 0)),
      INDEX(ZACATECAS!H:H, MATCH(C319, ZACATECAS!J:J, 0))
   ),
"")</f>
        <v>32044451</v>
      </c>
    </row>
    <row r="320" spans="1:5" x14ac:dyDescent="0.3">
      <c r="A320" t="s">
        <v>363</v>
      </c>
      <c r="B320" t="s">
        <v>847</v>
      </c>
      <c r="C320" t="s">
        <v>853</v>
      </c>
      <c r="D320" t="s">
        <v>2369</v>
      </c>
      <c r="E320">
        <f>IFERROR(
   IF(D320="Líder",
      INDEX(ZACATECAS!E:E, MATCH(C320, ZACATECAS!F:F, 0)),
      INDEX(ZACATECAS!H:H, MATCH(C320, ZACATECAS!J:J, 0))
   ),
"")</f>
        <v>32044326</v>
      </c>
    </row>
    <row r="321" spans="1:5" x14ac:dyDescent="0.3">
      <c r="A321" t="s">
        <v>363</v>
      </c>
      <c r="B321" t="s">
        <v>847</v>
      </c>
      <c r="C321" t="s">
        <v>867</v>
      </c>
      <c r="D321" t="s">
        <v>2369</v>
      </c>
      <c r="E321">
        <f>IFERROR(
   IF(D321="Líder",
      INDEX(ZACATECAS!E:E, MATCH(C321, ZACATECAS!F:F, 0)),
      INDEX(ZACATECAS!H:H, MATCH(C321, ZACATECAS!J:J, 0))
   ),
"")</f>
        <v>32155903</v>
      </c>
    </row>
    <row r="322" spans="1:5" x14ac:dyDescent="0.3">
      <c r="A322" t="s">
        <v>363</v>
      </c>
      <c r="B322" t="s">
        <v>847</v>
      </c>
      <c r="C322" t="s">
        <v>869</v>
      </c>
      <c r="D322" t="s">
        <v>2369</v>
      </c>
      <c r="E322">
        <f>IFERROR(
   IF(D322="Líder",
      INDEX(ZACATECAS!E:E, MATCH(C322, ZACATECAS!F:F, 0)),
      INDEX(ZACATECAS!H:H, MATCH(C322, ZACATECAS!J:J, 0))
   ),
"")</f>
        <v>32177944</v>
      </c>
    </row>
    <row r="323" spans="1:5" x14ac:dyDescent="0.3">
      <c r="A323" t="s">
        <v>363</v>
      </c>
      <c r="B323" t="s">
        <v>847</v>
      </c>
      <c r="C323" t="s">
        <v>871</v>
      </c>
      <c r="D323" t="s">
        <v>2369</v>
      </c>
      <c r="E323">
        <f>IFERROR(
   IF(D323="Líder",
      INDEX(ZACATECAS!E:E, MATCH(C323, ZACATECAS!F:F, 0)),
      INDEX(ZACATECAS!H:H, MATCH(C323, ZACATECAS!J:J, 0))
   ),
"")</f>
        <v>32197887</v>
      </c>
    </row>
    <row r="324" spans="1:5" x14ac:dyDescent="0.3">
      <c r="A324" t="s">
        <v>363</v>
      </c>
      <c r="B324" t="s">
        <v>847</v>
      </c>
      <c r="C324" t="s">
        <v>848</v>
      </c>
      <c r="D324" t="s">
        <v>2369</v>
      </c>
      <c r="E324">
        <f>IFERROR(
   IF(D324="Líder",
      INDEX(ZACATECAS!E:E, MATCH(C324, ZACATECAS!F:F, 0)),
      INDEX(ZACATECAS!H:H, MATCH(C324, ZACATECAS!J:J, 0))
   ),
"")</f>
        <v>32043822</v>
      </c>
    </row>
    <row r="325" spans="1:5" x14ac:dyDescent="0.3">
      <c r="A325" t="s">
        <v>363</v>
      </c>
      <c r="B325" t="s">
        <v>847</v>
      </c>
      <c r="C325" t="s">
        <v>864</v>
      </c>
      <c r="D325" t="s">
        <v>2369</v>
      </c>
      <c r="E325">
        <f>IFERROR(
   IF(D325="Líder",
      INDEX(ZACATECAS!E:E, MATCH(C325, ZACATECAS!F:F, 0)),
      INDEX(ZACATECAS!H:H, MATCH(C325, ZACATECAS!J:J, 0))
   ),
"")</f>
        <v>32149065</v>
      </c>
    </row>
    <row r="326" spans="1:5" x14ac:dyDescent="0.3">
      <c r="A326" t="s">
        <v>363</v>
      </c>
      <c r="B326" t="s">
        <v>847</v>
      </c>
      <c r="C326" t="s">
        <v>859</v>
      </c>
      <c r="D326" t="s">
        <v>2369</v>
      </c>
      <c r="E326">
        <f>IFERROR(
   IF(D326="Líder",
      INDEX(ZACATECAS!E:E, MATCH(C326, ZACATECAS!F:F, 0)),
      INDEX(ZACATECAS!H:H, MATCH(C326, ZACATECAS!J:J, 0))
   ),
"")</f>
        <v>32143045</v>
      </c>
    </row>
    <row r="327" spans="1:5" x14ac:dyDescent="0.3">
      <c r="A327" t="s">
        <v>363</v>
      </c>
      <c r="B327" t="s">
        <v>847</v>
      </c>
      <c r="C327" t="s">
        <v>857</v>
      </c>
      <c r="D327" t="s">
        <v>2369</v>
      </c>
      <c r="E327">
        <f>IFERROR(
   IF(D327="Líder",
      INDEX(ZACATECAS!E:E, MATCH(C327, ZACATECAS!F:F, 0)),
      INDEX(ZACATECAS!H:H, MATCH(C327, ZACATECAS!J:J, 0))
   ),
"")</f>
        <v>32045785</v>
      </c>
    </row>
    <row r="328" spans="1:5" x14ac:dyDescent="0.3">
      <c r="A328" t="s">
        <v>363</v>
      </c>
      <c r="B328" t="s">
        <v>847</v>
      </c>
      <c r="C328" t="s">
        <v>866</v>
      </c>
      <c r="D328" t="s">
        <v>2369</v>
      </c>
      <c r="E328">
        <f>IFERROR(
   IF(D328="Líder",
      INDEX(ZACATECAS!E:E, MATCH(C328, ZACATECAS!F:F, 0)),
      INDEX(ZACATECAS!H:H, MATCH(C328, ZACATECAS!J:J, 0))
   ),
"")</f>
        <v>32155886</v>
      </c>
    </row>
    <row r="329" spans="1:5" x14ac:dyDescent="0.3">
      <c r="A329" t="s">
        <v>363</v>
      </c>
      <c r="B329" t="s">
        <v>847</v>
      </c>
      <c r="C329" t="s">
        <v>852</v>
      </c>
      <c r="D329" t="s">
        <v>2369</v>
      </c>
      <c r="E329">
        <f>IFERROR(
   IF(D329="Líder",
      INDEX(ZACATECAS!E:E, MATCH(C329, ZACATECAS!F:F, 0)),
      INDEX(ZACATECAS!H:H, MATCH(C329, ZACATECAS!J:J, 0))
   ),
"")</f>
        <v>32044014</v>
      </c>
    </row>
    <row r="330" spans="1:5" x14ac:dyDescent="0.3">
      <c r="A330" t="s">
        <v>35</v>
      </c>
      <c r="B330" t="s">
        <v>1869</v>
      </c>
      <c r="C330" t="s">
        <v>1872</v>
      </c>
      <c r="D330" t="s">
        <v>2369</v>
      </c>
      <c r="E330">
        <f>IFERROR(
   IF(D330="Líder",
      INDEX(ZACATECAS!E:E, MATCH(C330, ZACATECAS!F:F, 0)),
      INDEX(ZACATECAS!H:H, MATCH(C330, ZACATECAS!J:J, 0))
   ),
"")</f>
        <v>32044171</v>
      </c>
    </row>
    <row r="331" spans="1:5" x14ac:dyDescent="0.3">
      <c r="A331" t="s">
        <v>35</v>
      </c>
      <c r="B331" t="s">
        <v>1869</v>
      </c>
      <c r="C331" t="s">
        <v>1874</v>
      </c>
      <c r="D331" t="s">
        <v>2369</v>
      </c>
      <c r="E331">
        <f>IFERROR(
   IF(D331="Líder",
      INDEX(ZACATECAS!E:E, MATCH(C331, ZACATECAS!F:F, 0)),
      INDEX(ZACATECAS!H:H, MATCH(C331, ZACATECAS!J:J, 0))
   ),
"")</f>
        <v>32222294</v>
      </c>
    </row>
    <row r="332" spans="1:5" x14ac:dyDescent="0.3">
      <c r="A332" t="s">
        <v>35</v>
      </c>
      <c r="B332" t="s">
        <v>1869</v>
      </c>
      <c r="C332" t="s">
        <v>1876</v>
      </c>
      <c r="D332" t="s">
        <v>2369</v>
      </c>
      <c r="E332">
        <f>IFERROR(
   IF(D332="Líder",
      INDEX(ZACATECAS!E:E, MATCH(C332, ZACATECAS!F:F, 0)),
      INDEX(ZACATECAS!H:H, MATCH(C332, ZACATECAS!J:J, 0))
   ),
"")</f>
        <v>32173437</v>
      </c>
    </row>
    <row r="333" spans="1:5" x14ac:dyDescent="0.3">
      <c r="A333" t="s">
        <v>35</v>
      </c>
      <c r="B333" t="s">
        <v>1869</v>
      </c>
      <c r="C333" t="s">
        <v>1878</v>
      </c>
      <c r="D333" t="s">
        <v>2369</v>
      </c>
      <c r="E333">
        <f>IFERROR(
   IF(D333="Líder",
      INDEX(ZACATECAS!E:E, MATCH(C333, ZACATECAS!F:F, 0)),
      INDEX(ZACATECAS!H:H, MATCH(C333, ZACATECAS!J:J, 0))
   ),
"")</f>
        <v>32132176</v>
      </c>
    </row>
    <row r="334" spans="1:5" x14ac:dyDescent="0.3">
      <c r="A334" t="s">
        <v>35</v>
      </c>
      <c r="B334" t="s">
        <v>1869</v>
      </c>
      <c r="C334" t="s">
        <v>1880</v>
      </c>
      <c r="D334" t="s">
        <v>2369</v>
      </c>
      <c r="E334">
        <f>IFERROR(
   IF(D334="Líder",
      INDEX(ZACATECAS!E:E, MATCH(C334, ZACATECAS!F:F, 0)),
      INDEX(ZACATECAS!H:H, MATCH(C334, ZACATECAS!J:J, 0))
   ),
"")</f>
        <v>32136495</v>
      </c>
    </row>
    <row r="335" spans="1:5" x14ac:dyDescent="0.3">
      <c r="A335" t="s">
        <v>35</v>
      </c>
      <c r="B335" t="s">
        <v>1869</v>
      </c>
      <c r="C335" t="s">
        <v>1882</v>
      </c>
      <c r="D335" t="s">
        <v>2369</v>
      </c>
      <c r="E335">
        <f>IFERROR(
   IF(D335="Líder",
      INDEX(ZACATECAS!E:E, MATCH(C335, ZACATECAS!F:F, 0)),
      INDEX(ZACATECAS!H:H, MATCH(C335, ZACATECAS!J:J, 0))
   ),
"")</f>
        <v>32046099</v>
      </c>
    </row>
    <row r="336" spans="1:5" x14ac:dyDescent="0.3">
      <c r="A336" t="s">
        <v>35</v>
      </c>
      <c r="B336" t="s">
        <v>1869</v>
      </c>
      <c r="C336" t="s">
        <v>1884</v>
      </c>
      <c r="D336" t="s">
        <v>2369</v>
      </c>
      <c r="E336">
        <f>IFERROR(
   IF(D336="Líder",
      INDEX(ZACATECAS!E:E, MATCH(C336, ZACATECAS!F:F, 0)),
      INDEX(ZACATECAS!H:H, MATCH(C336, ZACATECAS!J:J, 0))
   ),
"")</f>
        <v>32043967</v>
      </c>
    </row>
    <row r="337" spans="1:5" x14ac:dyDescent="0.3">
      <c r="A337" t="s">
        <v>35</v>
      </c>
      <c r="B337" t="s">
        <v>1869</v>
      </c>
      <c r="C337" t="s">
        <v>1886</v>
      </c>
      <c r="D337" t="s">
        <v>2369</v>
      </c>
      <c r="E337">
        <f>IFERROR(
   IF(D337="Líder",
      INDEX(ZACATECAS!E:E, MATCH(C337, ZACATECAS!F:F, 0)),
      INDEX(ZACATECAS!H:H, MATCH(C337, ZACATECAS!J:J, 0))
   ),
"")</f>
        <v>32043915</v>
      </c>
    </row>
    <row r="338" spans="1:5" x14ac:dyDescent="0.3">
      <c r="A338" t="s">
        <v>35</v>
      </c>
      <c r="B338" t="s">
        <v>1869</v>
      </c>
      <c r="C338" t="s">
        <v>1888</v>
      </c>
      <c r="D338" t="s">
        <v>2369</v>
      </c>
      <c r="E338">
        <f>IFERROR(
   IF(D338="Líder",
      INDEX(ZACATECAS!E:E, MATCH(C338, ZACATECAS!F:F, 0)),
      INDEX(ZACATECAS!H:H, MATCH(C338, ZACATECAS!J:J, 0))
   ),
"")</f>
        <v>32043745</v>
      </c>
    </row>
    <row r="339" spans="1:5" x14ac:dyDescent="0.3">
      <c r="A339" t="s">
        <v>35</v>
      </c>
      <c r="B339" t="s">
        <v>1869</v>
      </c>
      <c r="C339" t="s">
        <v>1890</v>
      </c>
      <c r="D339" t="s">
        <v>2369</v>
      </c>
      <c r="E339">
        <f>IFERROR(
   IF(D339="Líder",
      INDEX(ZACATECAS!E:E, MATCH(C339, ZACATECAS!F:F, 0)),
      INDEX(ZACATECAS!H:H, MATCH(C339, ZACATECAS!J:J, 0))
   ),
"")</f>
        <v>32043836</v>
      </c>
    </row>
    <row r="340" spans="1:5" x14ac:dyDescent="0.3">
      <c r="A340" t="s">
        <v>35</v>
      </c>
      <c r="B340" t="s">
        <v>1869</v>
      </c>
      <c r="C340" t="s">
        <v>1892</v>
      </c>
      <c r="D340" t="s">
        <v>2369</v>
      </c>
      <c r="E340">
        <f>IFERROR(
   IF(D340="Líder",
      INDEX(ZACATECAS!E:E, MATCH(C340, ZACATECAS!F:F, 0)),
      INDEX(ZACATECAS!H:H, MATCH(C340, ZACATECAS!J:J, 0))
   ),
"")</f>
        <v>32043856</v>
      </c>
    </row>
    <row r="341" spans="1:5" x14ac:dyDescent="0.3">
      <c r="A341" t="s">
        <v>2127</v>
      </c>
      <c r="B341" t="s">
        <v>2273</v>
      </c>
      <c r="C341" t="s">
        <v>2280</v>
      </c>
      <c r="D341" t="s">
        <v>2369</v>
      </c>
      <c r="E341">
        <f>IFERROR(
   IF(D341="Líder",
      INDEX(ZACATECAS!E:E, MATCH(C341, ZACATECAS!F:F, 0)),
      INDEX(ZACATECAS!H:H, MATCH(C341, ZACATECAS!J:J, 0))
   ),
"")</f>
        <v>32044072</v>
      </c>
    </row>
    <row r="342" spans="1:5" x14ac:dyDescent="0.3">
      <c r="A342" t="s">
        <v>2127</v>
      </c>
      <c r="B342" t="s">
        <v>2273</v>
      </c>
      <c r="C342" t="s">
        <v>2278</v>
      </c>
      <c r="D342" t="s">
        <v>2369</v>
      </c>
      <c r="E342">
        <f>IFERROR(
   IF(D342="Líder",
      INDEX(ZACATECAS!E:E, MATCH(C342, ZACATECAS!F:F, 0)),
      INDEX(ZACATECAS!H:H, MATCH(C342, ZACATECAS!J:J, 0))
   ),
"")</f>
        <v>32044814</v>
      </c>
    </row>
    <row r="343" spans="1:5" x14ac:dyDescent="0.3">
      <c r="A343" t="s">
        <v>2127</v>
      </c>
      <c r="B343" t="s">
        <v>2273</v>
      </c>
      <c r="C343" t="s">
        <v>2275</v>
      </c>
      <c r="D343" t="s">
        <v>2369</v>
      </c>
      <c r="E343">
        <f>IFERROR(
   IF(D343="Líder",
      INDEX(ZACATECAS!E:E, MATCH(C343, ZACATECAS!F:F, 0)),
      INDEX(ZACATECAS!H:H, MATCH(C343, ZACATECAS!J:J, 0))
   ),
"")</f>
        <v>32043950</v>
      </c>
    </row>
    <row r="344" spans="1:5" x14ac:dyDescent="0.3">
      <c r="A344" t="s">
        <v>2127</v>
      </c>
      <c r="B344" t="s">
        <v>2273</v>
      </c>
      <c r="C344" t="s">
        <v>2282</v>
      </c>
      <c r="D344" t="s">
        <v>2369</v>
      </c>
      <c r="E344">
        <f>IFERROR(
   IF(D344="Líder",
      INDEX(ZACATECAS!E:E, MATCH(C344, ZACATECAS!F:F, 0)),
      INDEX(ZACATECAS!H:H, MATCH(C344, ZACATECAS!J:J, 0))
   ),
"")</f>
        <v>32146281</v>
      </c>
    </row>
    <row r="345" spans="1:5" x14ac:dyDescent="0.3">
      <c r="A345" t="s">
        <v>2127</v>
      </c>
      <c r="B345" t="s">
        <v>2273</v>
      </c>
      <c r="C345" t="s">
        <v>2283</v>
      </c>
      <c r="D345" t="s">
        <v>2369</v>
      </c>
      <c r="E345">
        <f>IFERROR(
   IF(D345="Líder",
      INDEX(ZACATECAS!E:E, MATCH(C345, ZACATECAS!F:F, 0)),
      INDEX(ZACATECAS!H:H, MATCH(C345, ZACATECAS!J:J, 0))
   ),
"")</f>
        <v>32045476</v>
      </c>
    </row>
    <row r="346" spans="1:5" x14ac:dyDescent="0.3">
      <c r="A346" t="s">
        <v>2127</v>
      </c>
      <c r="B346" t="s">
        <v>2273</v>
      </c>
      <c r="C346" t="s">
        <v>2268</v>
      </c>
      <c r="D346" t="s">
        <v>2369</v>
      </c>
      <c r="E346">
        <f>IFERROR(
   IF(D346="Líder",
      INDEX(ZACATECAS!E:E, MATCH(C346, ZACATECAS!F:F, 0)),
      INDEX(ZACATECAS!H:H, MATCH(C346, ZACATECAS!J:J, 0))
   ),
"")</f>
        <v>32044988</v>
      </c>
    </row>
    <row r="347" spans="1:5" x14ac:dyDescent="0.3">
      <c r="A347" t="s">
        <v>2127</v>
      </c>
      <c r="B347" t="s">
        <v>2273</v>
      </c>
      <c r="C347" t="s">
        <v>2281</v>
      </c>
      <c r="D347" t="s">
        <v>2369</v>
      </c>
      <c r="E347">
        <f>IFERROR(
   IF(D347="Líder",
      INDEX(ZACATECAS!E:E, MATCH(C347, ZACATECAS!F:F, 0)),
      INDEX(ZACATECAS!H:H, MATCH(C347, ZACATECAS!J:J, 0))
   ),
"")</f>
        <v>32061266</v>
      </c>
    </row>
    <row r="348" spans="1:5" x14ac:dyDescent="0.3">
      <c r="A348" t="s">
        <v>363</v>
      </c>
      <c r="B348" t="s">
        <v>1530</v>
      </c>
      <c r="C348" t="s">
        <v>1544</v>
      </c>
      <c r="D348" t="s">
        <v>2369</v>
      </c>
      <c r="E348">
        <f>IFERROR(
   IF(D348="Líder",
      INDEX(ZACATECAS!E:E, MATCH(C348, ZACATECAS!F:F, 0)),
      INDEX(ZACATECAS!H:H, MATCH(C348, ZACATECAS!J:J, 0))
   ),
"")</f>
        <v>32148867</v>
      </c>
    </row>
    <row r="349" spans="1:5" x14ac:dyDescent="0.3">
      <c r="A349" t="s">
        <v>363</v>
      </c>
      <c r="B349" t="s">
        <v>1530</v>
      </c>
      <c r="C349" t="s">
        <v>1546</v>
      </c>
      <c r="D349" t="s">
        <v>2369</v>
      </c>
      <c r="E349">
        <f>IFERROR(
   IF(D349="Líder",
      INDEX(ZACATECAS!E:E, MATCH(C349, ZACATECAS!F:F, 0)),
      INDEX(ZACATECAS!H:H, MATCH(C349, ZACATECAS!J:J, 0))
   ),
"")</f>
        <v>32153098</v>
      </c>
    </row>
    <row r="350" spans="1:5" x14ac:dyDescent="0.3">
      <c r="A350" t="s">
        <v>363</v>
      </c>
      <c r="B350" t="s">
        <v>1530</v>
      </c>
      <c r="C350" t="s">
        <v>1543</v>
      </c>
      <c r="D350" t="s">
        <v>2369</v>
      </c>
      <c r="E350">
        <f>IFERROR(
   IF(D350="Líder",
      INDEX(ZACATECAS!E:E, MATCH(C350, ZACATECAS!F:F, 0)),
      INDEX(ZACATECAS!H:H, MATCH(C350, ZACATECAS!J:J, 0))
   ),
"")</f>
        <v>32136718</v>
      </c>
    </row>
    <row r="351" spans="1:5" x14ac:dyDescent="0.3">
      <c r="A351" t="s">
        <v>363</v>
      </c>
      <c r="B351" t="s">
        <v>1530</v>
      </c>
      <c r="C351" t="s">
        <v>1555</v>
      </c>
      <c r="D351" t="s">
        <v>2369</v>
      </c>
      <c r="E351">
        <f>IFERROR(
   IF(D351="Líder",
      INDEX(ZACATECAS!E:E, MATCH(C351, ZACATECAS!F:F, 0)),
      INDEX(ZACATECAS!H:H, MATCH(C351, ZACATECAS!J:J, 0))
   ),
"")</f>
        <v>32197863</v>
      </c>
    </row>
    <row r="352" spans="1:5" x14ac:dyDescent="0.3">
      <c r="A352" t="s">
        <v>363</v>
      </c>
      <c r="B352" t="s">
        <v>1530</v>
      </c>
      <c r="C352" t="s">
        <v>1549</v>
      </c>
      <c r="D352" t="s">
        <v>2369</v>
      </c>
      <c r="E352">
        <f>IFERROR(
   IF(D352="Líder",
      INDEX(ZACATECAS!E:E, MATCH(C352, ZACATECAS!F:F, 0)),
      INDEX(ZACATECAS!H:H, MATCH(C352, ZACATECAS!J:J, 0))
   ),
"")</f>
        <v>32171442</v>
      </c>
    </row>
    <row r="353" spans="1:5" x14ac:dyDescent="0.3">
      <c r="A353" t="s">
        <v>363</v>
      </c>
      <c r="B353" t="s">
        <v>1530</v>
      </c>
      <c r="C353" t="s">
        <v>1553</v>
      </c>
      <c r="D353" t="s">
        <v>2369</v>
      </c>
      <c r="E353">
        <f>IFERROR(
   IF(D353="Líder",
      INDEX(ZACATECAS!E:E, MATCH(C353, ZACATECAS!F:F, 0)),
      INDEX(ZACATECAS!H:H, MATCH(C353, ZACATECAS!J:J, 0))
   ),
"")</f>
        <v>32197855</v>
      </c>
    </row>
    <row r="354" spans="1:5" x14ac:dyDescent="0.3">
      <c r="A354" t="s">
        <v>363</v>
      </c>
      <c r="B354" t="s">
        <v>1530</v>
      </c>
      <c r="C354" t="s">
        <v>1534</v>
      </c>
      <c r="D354" t="s">
        <v>2369</v>
      </c>
      <c r="E354">
        <f>IFERROR(
   IF(D354="Líder",
      INDEX(ZACATECAS!E:E, MATCH(C354, ZACATECAS!F:F, 0)),
      INDEX(ZACATECAS!H:H, MATCH(C354, ZACATECAS!J:J, 0))
   ),
"")</f>
        <v>32045625</v>
      </c>
    </row>
    <row r="355" spans="1:5" x14ac:dyDescent="0.3">
      <c r="A355" t="s">
        <v>363</v>
      </c>
      <c r="B355" t="s">
        <v>1530</v>
      </c>
      <c r="C355" t="s">
        <v>1536</v>
      </c>
      <c r="D355" t="s">
        <v>2369</v>
      </c>
      <c r="E355">
        <f>IFERROR(
   IF(D355="Líder",
      INDEX(ZACATECAS!E:E, MATCH(C355, ZACATECAS!F:F, 0)),
      INDEX(ZACATECAS!H:H, MATCH(C355, ZACATECAS!J:J, 0))
   ),
"")</f>
        <v>32045964</v>
      </c>
    </row>
    <row r="356" spans="1:5" x14ac:dyDescent="0.3">
      <c r="A356" t="s">
        <v>363</v>
      </c>
      <c r="B356" t="s">
        <v>1530</v>
      </c>
      <c r="C356" t="s">
        <v>1558</v>
      </c>
      <c r="D356" t="s">
        <v>2369</v>
      </c>
      <c r="E356">
        <f>IFERROR(
   IF(D356="Líder",
      INDEX(ZACATECAS!E:E, MATCH(C356, ZACATECAS!F:F, 0)),
      INDEX(ZACATECAS!H:H, MATCH(C356, ZACATECAS!J:J, 0))
   ),
"")</f>
        <v>32198298</v>
      </c>
    </row>
    <row r="357" spans="1:5" x14ac:dyDescent="0.3">
      <c r="A357" t="s">
        <v>363</v>
      </c>
      <c r="B357" t="s">
        <v>1530</v>
      </c>
      <c r="C357" t="s">
        <v>1556</v>
      </c>
      <c r="D357" t="s">
        <v>2369</v>
      </c>
      <c r="E357">
        <f>IFERROR(
   IF(D357="Líder",
      INDEX(ZACATECAS!E:E, MATCH(C357, ZACATECAS!F:F, 0)),
      INDEX(ZACATECAS!H:H, MATCH(C357, ZACATECAS!J:J, 0))
   ),
"")</f>
        <v>32197892</v>
      </c>
    </row>
    <row r="358" spans="1:5" x14ac:dyDescent="0.3">
      <c r="A358" t="s">
        <v>363</v>
      </c>
      <c r="B358" t="s">
        <v>1530</v>
      </c>
      <c r="C358" t="s">
        <v>1538</v>
      </c>
      <c r="D358" t="s">
        <v>2369</v>
      </c>
      <c r="E358">
        <f>IFERROR(
   IF(D358="Líder",
      INDEX(ZACATECAS!E:E, MATCH(C358, ZACATECAS!F:F, 0)),
      INDEX(ZACATECAS!H:H, MATCH(C358, ZACATECAS!J:J, 0))
   ),
"")</f>
        <v>32046048</v>
      </c>
    </row>
    <row r="359" spans="1:5" x14ac:dyDescent="0.3">
      <c r="A359" t="s">
        <v>363</v>
      </c>
      <c r="B359" t="s">
        <v>1530</v>
      </c>
      <c r="C359" t="s">
        <v>1532</v>
      </c>
      <c r="D359" t="s">
        <v>2369</v>
      </c>
      <c r="E359">
        <f>IFERROR(
   IF(D359="Líder",
      INDEX(ZACATECAS!E:E, MATCH(C359, ZACATECAS!F:F, 0)),
      INDEX(ZACATECAS!H:H, MATCH(C359, ZACATECAS!J:J, 0))
   ),
"")</f>
        <v>32045186</v>
      </c>
    </row>
    <row r="360" spans="1:5" x14ac:dyDescent="0.3">
      <c r="A360" t="s">
        <v>363</v>
      </c>
      <c r="B360" t="s">
        <v>1530</v>
      </c>
      <c r="C360" t="s">
        <v>1542</v>
      </c>
      <c r="D360" t="s">
        <v>2369</v>
      </c>
      <c r="E360">
        <f>IFERROR(
   IF(D360="Líder",
      INDEX(ZACATECAS!E:E, MATCH(C360, ZACATECAS!F:F, 0)),
      INDEX(ZACATECAS!H:H, MATCH(C360, ZACATECAS!J:J, 0))
   ),
"")</f>
        <v>32132180</v>
      </c>
    </row>
    <row r="361" spans="1:5" x14ac:dyDescent="0.3">
      <c r="A361" t="s">
        <v>363</v>
      </c>
      <c r="B361" t="s">
        <v>1530</v>
      </c>
      <c r="C361" t="s">
        <v>1540</v>
      </c>
      <c r="D361" t="s">
        <v>2369</v>
      </c>
      <c r="E361">
        <f>IFERROR(
   IF(D361="Líder",
      INDEX(ZACATECAS!E:E, MATCH(C361, ZACATECAS!F:F, 0)),
      INDEX(ZACATECAS!H:H, MATCH(C361, ZACATECAS!J:J, 0))
   ),
"")</f>
        <v>32046494</v>
      </c>
    </row>
    <row r="362" spans="1:5" x14ac:dyDescent="0.3">
      <c r="A362" t="s">
        <v>363</v>
      </c>
      <c r="B362" t="s">
        <v>1530</v>
      </c>
      <c r="C362" t="s">
        <v>1551</v>
      </c>
      <c r="D362" t="s">
        <v>2369</v>
      </c>
      <c r="E362">
        <f>IFERROR(
   IF(D362="Líder",
      INDEX(ZACATECAS!E:E, MATCH(C362, ZACATECAS!F:F, 0)),
      INDEX(ZACATECAS!H:H, MATCH(C362, ZACATECAS!J:J, 0))
   ),
"")</f>
        <v>32197853</v>
      </c>
    </row>
    <row r="363" spans="1:5" x14ac:dyDescent="0.3">
      <c r="A363" t="s">
        <v>363</v>
      </c>
      <c r="B363" t="s">
        <v>1171</v>
      </c>
      <c r="C363" t="s">
        <v>1180</v>
      </c>
      <c r="D363" t="s">
        <v>2369</v>
      </c>
      <c r="E363">
        <f>IFERROR(
   IF(D363="Líder",
      INDEX(ZACATECAS!E:E, MATCH(C363, ZACATECAS!F:F, 0)),
      INDEX(ZACATECAS!H:H, MATCH(C363, ZACATECAS!J:J, 0))
   ),
"")</f>
        <v>32045392</v>
      </c>
    </row>
    <row r="364" spans="1:5" x14ac:dyDescent="0.3">
      <c r="A364" t="s">
        <v>363</v>
      </c>
      <c r="B364" t="s">
        <v>1171</v>
      </c>
      <c r="C364" t="s">
        <v>1176</v>
      </c>
      <c r="D364" t="s">
        <v>2369</v>
      </c>
      <c r="E364">
        <f>IFERROR(
   IF(D364="Líder",
      INDEX(ZACATECAS!E:E, MATCH(C364, ZACATECAS!F:F, 0)),
      INDEX(ZACATECAS!H:H, MATCH(C364, ZACATECAS!J:J, 0))
   ),
"")</f>
        <v>32044228</v>
      </c>
    </row>
    <row r="365" spans="1:5" x14ac:dyDescent="0.3">
      <c r="A365" t="s">
        <v>363</v>
      </c>
      <c r="B365" t="s">
        <v>1171</v>
      </c>
      <c r="C365" t="s">
        <v>1185</v>
      </c>
      <c r="D365" t="s">
        <v>2369</v>
      </c>
      <c r="E365">
        <f>IFERROR(
   IF(D365="Líder",
      INDEX(ZACATECAS!E:E, MATCH(C365, ZACATECAS!F:F, 0)),
      INDEX(ZACATECAS!H:H, MATCH(C365, ZACATECAS!J:J, 0))
   ),
"")</f>
        <v>32046515</v>
      </c>
    </row>
    <row r="366" spans="1:5" x14ac:dyDescent="0.3">
      <c r="A366" t="s">
        <v>363</v>
      </c>
      <c r="B366" t="s">
        <v>1171</v>
      </c>
      <c r="C366" t="s">
        <v>1191</v>
      </c>
      <c r="D366" t="s">
        <v>2369</v>
      </c>
      <c r="E366">
        <f>IFERROR(
   IF(D366="Líder",
      INDEX(ZACATECAS!E:E, MATCH(C366, ZACATECAS!F:F, 0)),
      INDEX(ZACATECAS!H:H, MATCH(C366, ZACATECAS!J:J, 0))
   ),
"")</f>
        <v>32132048</v>
      </c>
    </row>
    <row r="367" spans="1:5" x14ac:dyDescent="0.3">
      <c r="A367" t="s">
        <v>363</v>
      </c>
      <c r="B367" t="s">
        <v>1171</v>
      </c>
      <c r="C367" t="s">
        <v>1183</v>
      </c>
      <c r="D367" t="s">
        <v>2369</v>
      </c>
      <c r="E367">
        <f>IFERROR(
   IF(D367="Líder",
      INDEX(ZACATECAS!E:E, MATCH(C367, ZACATECAS!F:F, 0)),
      INDEX(ZACATECAS!H:H, MATCH(C367, ZACATECAS!J:J, 0))
   ),
"")</f>
        <v>32046089</v>
      </c>
    </row>
    <row r="368" spans="1:5" x14ac:dyDescent="0.3">
      <c r="A368" t="s">
        <v>363</v>
      </c>
      <c r="B368" t="s">
        <v>1171</v>
      </c>
      <c r="C368" t="s">
        <v>1189</v>
      </c>
      <c r="D368" t="s">
        <v>2369</v>
      </c>
      <c r="E368">
        <f>IFERROR(
   IF(D368="Líder",
      INDEX(ZACATECAS!E:E, MATCH(C368, ZACATECAS!F:F, 0)),
      INDEX(ZACATECAS!H:H, MATCH(C368, ZACATECAS!J:J, 0))
   ),
"")</f>
        <v>32108994</v>
      </c>
    </row>
    <row r="369" spans="1:5" x14ac:dyDescent="0.3">
      <c r="A369" t="s">
        <v>363</v>
      </c>
      <c r="B369" t="s">
        <v>1171</v>
      </c>
      <c r="C369" t="s">
        <v>1172</v>
      </c>
      <c r="D369" t="s">
        <v>2369</v>
      </c>
      <c r="E369">
        <f>IFERROR(
   IF(D369="Líder",
      INDEX(ZACATECAS!E:E, MATCH(C369, ZACATECAS!F:F, 0)),
      INDEX(ZACATECAS!H:H, MATCH(C369, ZACATECAS!J:J, 0))
   ),
"")</f>
        <v>32043890</v>
      </c>
    </row>
    <row r="370" spans="1:5" x14ac:dyDescent="0.3">
      <c r="A370" t="s">
        <v>363</v>
      </c>
      <c r="B370" t="s">
        <v>1171</v>
      </c>
      <c r="C370" t="s">
        <v>1178</v>
      </c>
      <c r="D370" t="s">
        <v>2369</v>
      </c>
      <c r="E370">
        <f>IFERROR(
   IF(D370="Líder",
      INDEX(ZACATECAS!E:E, MATCH(C370, ZACATECAS!F:F, 0)),
      INDEX(ZACATECAS!H:H, MATCH(C370, ZACATECAS!J:J, 0))
   ),
"")</f>
        <v>32045179</v>
      </c>
    </row>
    <row r="371" spans="1:5" x14ac:dyDescent="0.3">
      <c r="A371" t="s">
        <v>363</v>
      </c>
      <c r="B371" t="s">
        <v>1171</v>
      </c>
      <c r="C371" t="s">
        <v>1182</v>
      </c>
      <c r="D371" t="s">
        <v>2369</v>
      </c>
      <c r="E371">
        <f>IFERROR(
   IF(D371="Líder",
      INDEX(ZACATECAS!E:E, MATCH(C371, ZACATECAS!F:F, 0)),
      INDEX(ZACATECAS!H:H, MATCH(C371, ZACATECAS!J:J, 0))
   ),
"")</f>
        <v>32045643</v>
      </c>
    </row>
    <row r="372" spans="1:5" x14ac:dyDescent="0.3">
      <c r="A372" t="s">
        <v>363</v>
      </c>
      <c r="B372" t="s">
        <v>1171</v>
      </c>
      <c r="C372" t="s">
        <v>1187</v>
      </c>
      <c r="D372" t="s">
        <v>2369</v>
      </c>
      <c r="E372">
        <f>IFERROR(
   IF(D372="Líder",
      INDEX(ZACATECAS!E:E, MATCH(C372, ZACATECAS!F:F, 0)),
      INDEX(ZACATECAS!H:H, MATCH(C372, ZACATECAS!J:J, 0))
   ),
"")</f>
        <v>32057876</v>
      </c>
    </row>
    <row r="373" spans="1:5" x14ac:dyDescent="0.3">
      <c r="A373" t="s">
        <v>2127</v>
      </c>
      <c r="B373" t="s">
        <v>2248</v>
      </c>
      <c r="C373" t="s">
        <v>2252</v>
      </c>
      <c r="D373" t="s">
        <v>2369</v>
      </c>
      <c r="E373">
        <f>IFERROR(
   IF(D373="Líder",
      INDEX(ZACATECAS!E:E, MATCH(C373, ZACATECAS!F:F, 0)),
      INDEX(ZACATECAS!H:H, MATCH(C373, ZACATECAS!J:J, 0))
   ),
"")</f>
        <v>32043999</v>
      </c>
    </row>
    <row r="374" spans="1:5" x14ac:dyDescent="0.3">
      <c r="A374" t="s">
        <v>2127</v>
      </c>
      <c r="B374" t="s">
        <v>2248</v>
      </c>
      <c r="C374" t="s">
        <v>2251</v>
      </c>
      <c r="D374" t="s">
        <v>2369</v>
      </c>
      <c r="E374">
        <f>IFERROR(
   IF(D374="Líder",
      INDEX(ZACATECAS!E:E, MATCH(C374, ZACATECAS!F:F, 0)),
      INDEX(ZACATECAS!H:H, MATCH(C374, ZACATECAS!J:J, 0))
   ),
"")</f>
        <v>32045788</v>
      </c>
    </row>
    <row r="375" spans="1:5" x14ac:dyDescent="0.3">
      <c r="A375" t="s">
        <v>2127</v>
      </c>
      <c r="B375" t="s">
        <v>2248</v>
      </c>
      <c r="C375" t="s">
        <v>2249</v>
      </c>
      <c r="D375" t="s">
        <v>2369</v>
      </c>
      <c r="E375">
        <f>IFERROR(
   IF(D375="Líder",
      INDEX(ZACATECAS!E:E, MATCH(C375, ZACATECAS!F:F, 0)),
      INDEX(ZACATECAS!H:H, MATCH(C375, ZACATECAS!J:J, 0))
   ),
"")</f>
        <v>32044181</v>
      </c>
    </row>
    <row r="376" spans="1:5" x14ac:dyDescent="0.3">
      <c r="A376" t="s">
        <v>2127</v>
      </c>
      <c r="B376" t="s">
        <v>2248</v>
      </c>
      <c r="C376" t="s">
        <v>2386</v>
      </c>
      <c r="D376" t="s">
        <v>2369</v>
      </c>
      <c r="E376" t="str">
        <f>IFERROR(
   IF(D376="Líder",
      INDEX(ZACATECAS!E:E, MATCH(C376, ZACATECAS!F:F, 0)),
      INDEX(ZACATECAS!H:H, MATCH(C376, ZACATECAS!J:J, 0))
   ),
"")</f>
        <v/>
      </c>
    </row>
    <row r="377" spans="1:5" x14ac:dyDescent="0.3">
      <c r="A377" t="s">
        <v>2127</v>
      </c>
      <c r="B377" t="s">
        <v>2227</v>
      </c>
      <c r="C377" t="s">
        <v>2232</v>
      </c>
      <c r="D377" t="s">
        <v>2369</v>
      </c>
      <c r="E377">
        <f>IFERROR(
   IF(D377="Líder",
      INDEX(ZACATECAS!E:E, MATCH(C377, ZACATECAS!F:F, 0)),
      INDEX(ZACATECAS!H:H, MATCH(C377, ZACATECAS!J:J, 0))
   ),
"")</f>
        <v>32072179</v>
      </c>
    </row>
    <row r="378" spans="1:5" x14ac:dyDescent="0.3">
      <c r="A378" t="s">
        <v>2127</v>
      </c>
      <c r="B378" t="s">
        <v>2227</v>
      </c>
      <c r="C378" t="s">
        <v>2214</v>
      </c>
      <c r="D378" t="s">
        <v>2369</v>
      </c>
      <c r="E378">
        <f>IFERROR(
   IF(D378="Líder",
      INDEX(ZACATECAS!E:E, MATCH(C378, ZACATECAS!F:F, 0)),
      INDEX(ZACATECAS!H:H, MATCH(C378, ZACATECAS!J:J, 0))
   ),
"")</f>
        <v>32045843</v>
      </c>
    </row>
    <row r="379" spans="1:5" x14ac:dyDescent="0.3">
      <c r="A379" t="s">
        <v>2127</v>
      </c>
      <c r="B379" t="s">
        <v>2227</v>
      </c>
      <c r="C379" t="s">
        <v>2215</v>
      </c>
      <c r="D379" t="s">
        <v>2369</v>
      </c>
      <c r="E379">
        <f>IFERROR(
   IF(D379="Líder",
      INDEX(ZACATECAS!E:E, MATCH(C379, ZACATECAS!F:F, 0)),
      INDEX(ZACATECAS!H:H, MATCH(C379, ZACATECAS!J:J, 0))
   ),
"")</f>
        <v>32072205</v>
      </c>
    </row>
    <row r="380" spans="1:5" x14ac:dyDescent="0.3">
      <c r="A380" t="s">
        <v>2127</v>
      </c>
      <c r="B380" t="s">
        <v>2227</v>
      </c>
      <c r="C380" t="s">
        <v>2234</v>
      </c>
      <c r="D380" t="s">
        <v>2369</v>
      </c>
      <c r="E380">
        <f>IFERROR(
   IF(D380="Líder",
      INDEX(ZACATECAS!E:E, MATCH(C380, ZACATECAS!F:F, 0)),
      INDEX(ZACATECAS!H:H, MATCH(C380, ZACATECAS!J:J, 0))
   ),
"")</f>
        <v>32146010</v>
      </c>
    </row>
    <row r="381" spans="1:5" x14ac:dyDescent="0.3">
      <c r="A381" t="s">
        <v>2127</v>
      </c>
      <c r="B381" t="s">
        <v>2227</v>
      </c>
      <c r="C381" t="s">
        <v>2387</v>
      </c>
      <c r="D381" t="s">
        <v>2369</v>
      </c>
      <c r="E381" t="str">
        <f>IFERROR(
   IF(D381="Líder",
      INDEX(ZACATECAS!E:E, MATCH(C381, ZACATECAS!F:F, 0)),
      INDEX(ZACATECAS!H:H, MATCH(C381, ZACATECAS!J:J, 0))
   ),
"")</f>
        <v/>
      </c>
    </row>
    <row r="382" spans="1:5" x14ac:dyDescent="0.3">
      <c r="A382" t="s">
        <v>2127</v>
      </c>
      <c r="B382" t="s">
        <v>2227</v>
      </c>
      <c r="C382" t="s">
        <v>2216</v>
      </c>
      <c r="D382" t="s">
        <v>2369</v>
      </c>
      <c r="E382">
        <f>IFERROR(
   IF(D382="Líder",
      INDEX(ZACATECAS!E:E, MATCH(C382, ZACATECAS!F:F, 0)),
      INDEX(ZACATECAS!H:H, MATCH(C382, ZACATECAS!J:J, 0))
   ),
"")</f>
        <v>32149265</v>
      </c>
    </row>
    <row r="383" spans="1:5" x14ac:dyDescent="0.3">
      <c r="A383" t="s">
        <v>2127</v>
      </c>
      <c r="B383" t="s">
        <v>2227</v>
      </c>
      <c r="C383" t="s">
        <v>2213</v>
      </c>
      <c r="D383" t="s">
        <v>2369</v>
      </c>
      <c r="E383">
        <f>IFERROR(
   IF(D383="Líder",
      INDEX(ZACATECAS!E:E, MATCH(C383, ZACATECAS!F:F, 0)),
      INDEX(ZACATECAS!H:H, MATCH(C383, ZACATECAS!J:J, 0))
   ),
"")</f>
        <v>32043918</v>
      </c>
    </row>
    <row r="384" spans="1:5" x14ac:dyDescent="0.3">
      <c r="A384" t="s">
        <v>2127</v>
      </c>
      <c r="B384" t="s">
        <v>2227</v>
      </c>
      <c r="C384" t="s">
        <v>2233</v>
      </c>
      <c r="D384" t="s">
        <v>2369</v>
      </c>
      <c r="E384">
        <f>IFERROR(
   IF(D384="Líder",
      INDEX(ZACATECAS!E:E, MATCH(C384, ZACATECAS!F:F, 0)),
      INDEX(ZACATECAS!H:H, MATCH(C384, ZACATECAS!J:J, 0))
   ),
"")</f>
        <v>32043744</v>
      </c>
    </row>
    <row r="385" spans="1:5" x14ac:dyDescent="0.3">
      <c r="A385" t="s">
        <v>2127</v>
      </c>
      <c r="B385" t="s">
        <v>2227</v>
      </c>
      <c r="C385" t="s">
        <v>2229</v>
      </c>
      <c r="D385" t="s">
        <v>2369</v>
      </c>
      <c r="E385">
        <f>IFERROR(
   IF(D385="Líder",
      INDEX(ZACATECAS!E:E, MATCH(C385, ZACATECAS!F:F, 0)),
      INDEX(ZACATECAS!H:H, MATCH(C385, ZACATECAS!J:J, 0))
   ),
"")</f>
        <v>32045730</v>
      </c>
    </row>
    <row r="386" spans="1:5" x14ac:dyDescent="0.3">
      <c r="A386" t="s">
        <v>2127</v>
      </c>
      <c r="B386" t="s">
        <v>2227</v>
      </c>
      <c r="C386" t="s">
        <v>2212</v>
      </c>
      <c r="D386" t="s">
        <v>2369</v>
      </c>
      <c r="E386">
        <f>IFERROR(
   IF(D386="Líder",
      INDEX(ZACATECAS!E:E, MATCH(C386, ZACATECAS!F:F, 0)),
      INDEX(ZACATECAS!H:H, MATCH(C386, ZACATECAS!J:J, 0))
   ),
"")</f>
        <v>32044605</v>
      </c>
    </row>
    <row r="387" spans="1:5" x14ac:dyDescent="0.3">
      <c r="A387" t="s">
        <v>2127</v>
      </c>
      <c r="B387" t="s">
        <v>2227</v>
      </c>
      <c r="C387" t="s">
        <v>2230</v>
      </c>
      <c r="D387" t="s">
        <v>2369</v>
      </c>
      <c r="E387">
        <f>IFERROR(
   IF(D387="Líder",
      INDEX(ZACATECAS!E:E, MATCH(C387, ZACATECAS!F:F, 0)),
      INDEX(ZACATECAS!H:H, MATCH(C387, ZACATECAS!J:J, 0))
   ),
"")</f>
        <v>32044408</v>
      </c>
    </row>
    <row r="388" spans="1:5" x14ac:dyDescent="0.3">
      <c r="A388" t="s">
        <v>2127</v>
      </c>
      <c r="B388" t="s">
        <v>2227</v>
      </c>
      <c r="C388" t="s">
        <v>2231</v>
      </c>
      <c r="D388" t="s">
        <v>2369</v>
      </c>
      <c r="E388">
        <f>IFERROR(
   IF(D388="Líder",
      INDEX(ZACATECAS!E:E, MATCH(C388, ZACATECAS!F:F, 0)),
      INDEX(ZACATECAS!H:H, MATCH(C388, ZACATECAS!J:J, 0))
   ),
"")</f>
        <v>32044529</v>
      </c>
    </row>
    <row r="389" spans="1:5" x14ac:dyDescent="0.3">
      <c r="A389" t="s">
        <v>363</v>
      </c>
      <c r="B389" t="s">
        <v>385</v>
      </c>
      <c r="C389" t="s">
        <v>387</v>
      </c>
      <c r="D389" t="s">
        <v>2369</v>
      </c>
      <c r="E389">
        <f>IFERROR(
   IF(D389="Líder",
      INDEX(ZACATECAS!E:E, MATCH(C389, ZACATECAS!F:F, 0)),
      INDEX(ZACATECAS!H:H, MATCH(C389, ZACATECAS!J:J, 0))
   ),
"")</f>
        <v>32107322</v>
      </c>
    </row>
    <row r="390" spans="1:5" x14ac:dyDescent="0.3">
      <c r="A390" t="s">
        <v>363</v>
      </c>
      <c r="B390" t="s">
        <v>385</v>
      </c>
      <c r="C390" t="s">
        <v>389</v>
      </c>
      <c r="D390" t="s">
        <v>2369</v>
      </c>
      <c r="E390">
        <f>IFERROR(
   IF(D390="Líder",
      INDEX(ZACATECAS!E:E, MATCH(C390, ZACATECAS!F:F, 0)),
      INDEX(ZACATECAS!H:H, MATCH(C390, ZACATECAS!J:J, 0))
   ),
"")</f>
        <v>32046388</v>
      </c>
    </row>
    <row r="391" spans="1:5" x14ac:dyDescent="0.3">
      <c r="A391" t="s">
        <v>363</v>
      </c>
      <c r="B391" t="s">
        <v>385</v>
      </c>
      <c r="C391" t="s">
        <v>391</v>
      </c>
      <c r="D391" t="s">
        <v>2369</v>
      </c>
      <c r="E391">
        <f>IFERROR(
   IF(D391="Líder",
      INDEX(ZACATECAS!E:E, MATCH(C391, ZACATECAS!F:F, 0)),
      INDEX(ZACATECAS!H:H, MATCH(C391, ZACATECAS!J:J, 0))
   ),
"")</f>
        <v>32046339</v>
      </c>
    </row>
    <row r="392" spans="1:5" x14ac:dyDescent="0.3">
      <c r="A392" t="s">
        <v>363</v>
      </c>
      <c r="B392" t="s">
        <v>385</v>
      </c>
      <c r="C392" t="s">
        <v>393</v>
      </c>
      <c r="D392" t="s">
        <v>2369</v>
      </c>
      <c r="E392">
        <f>IFERROR(
   IF(D392="Líder",
      INDEX(ZACATECAS!E:E, MATCH(C392, ZACATECAS!F:F, 0)),
      INDEX(ZACATECAS!H:H, MATCH(C392, ZACATECAS!J:J, 0))
   ),
"")</f>
        <v>32131837</v>
      </c>
    </row>
    <row r="393" spans="1:5" x14ac:dyDescent="0.3">
      <c r="A393" t="s">
        <v>363</v>
      </c>
      <c r="B393" t="s">
        <v>385</v>
      </c>
      <c r="C393" t="s">
        <v>2388</v>
      </c>
      <c r="D393" t="s">
        <v>2369</v>
      </c>
      <c r="E393" t="str">
        <f>IFERROR(
   IF(D393="Líder",
      INDEX(ZACATECAS!E:E, MATCH(C393, ZACATECAS!F:F, 0)),
      INDEX(ZACATECAS!H:H, MATCH(C393, ZACATECAS!J:J, 0))
   ),
"")</f>
        <v/>
      </c>
    </row>
    <row r="394" spans="1:5" x14ac:dyDescent="0.3">
      <c r="A394" t="s">
        <v>363</v>
      </c>
      <c r="B394" t="s">
        <v>385</v>
      </c>
      <c r="C394" t="s">
        <v>395</v>
      </c>
      <c r="D394" t="s">
        <v>2369</v>
      </c>
      <c r="E394">
        <f>IFERROR(
   IF(D394="Líder",
      INDEX(ZACATECAS!E:E, MATCH(C394, ZACATECAS!F:F, 0)),
      INDEX(ZACATECAS!H:H, MATCH(C394, ZACATECAS!J:J, 0))
   ),
"")</f>
        <v>32145468</v>
      </c>
    </row>
    <row r="395" spans="1:5" x14ac:dyDescent="0.3">
      <c r="A395" t="s">
        <v>363</v>
      </c>
      <c r="B395" t="s">
        <v>875</v>
      </c>
      <c r="C395" t="s">
        <v>895</v>
      </c>
      <c r="D395" t="s">
        <v>2369</v>
      </c>
      <c r="E395">
        <f>IFERROR(
   IF(D395="Líder",
      INDEX(ZACATECAS!E:E, MATCH(C395, ZACATECAS!F:F, 0)),
      INDEX(ZACATECAS!H:H, MATCH(C395, ZACATECAS!J:J, 0))
   ),
"")</f>
        <v>32046481</v>
      </c>
    </row>
    <row r="396" spans="1:5" x14ac:dyDescent="0.3">
      <c r="A396" t="s">
        <v>363</v>
      </c>
      <c r="B396" t="s">
        <v>875</v>
      </c>
      <c r="C396" t="s">
        <v>905</v>
      </c>
      <c r="D396" t="s">
        <v>2369</v>
      </c>
      <c r="E396">
        <f>IFERROR(
   IF(D396="Líder",
      INDEX(ZACATECAS!E:E, MATCH(C396, ZACATECAS!F:F, 0)),
      INDEX(ZACATECAS!H:H, MATCH(C396, ZACATECAS!J:J, 0))
   ),
"")</f>
        <v>32148627</v>
      </c>
    </row>
    <row r="397" spans="1:5" x14ac:dyDescent="0.3">
      <c r="A397" t="s">
        <v>363</v>
      </c>
      <c r="B397" t="s">
        <v>875</v>
      </c>
      <c r="C397" t="s">
        <v>901</v>
      </c>
      <c r="D397" t="s">
        <v>2369</v>
      </c>
      <c r="E397">
        <f>IFERROR(
   IF(D397="Líder",
      INDEX(ZACATECAS!E:E, MATCH(C397, ZACATECAS!F:F, 0)),
      INDEX(ZACATECAS!H:H, MATCH(C397, ZACATECAS!J:J, 0))
   ),
"")</f>
        <v>32142977</v>
      </c>
    </row>
    <row r="398" spans="1:5" x14ac:dyDescent="0.3">
      <c r="A398" t="s">
        <v>363</v>
      </c>
      <c r="B398" t="s">
        <v>875</v>
      </c>
      <c r="C398" t="s">
        <v>887</v>
      </c>
      <c r="D398" t="s">
        <v>2369</v>
      </c>
      <c r="E398">
        <f>IFERROR(
   IF(D398="Líder",
      INDEX(ZACATECAS!E:E, MATCH(C398, ZACATECAS!F:F, 0)),
      INDEX(ZACATECAS!H:H, MATCH(C398, ZACATECAS!J:J, 0))
   ),
"")</f>
        <v>32044901</v>
      </c>
    </row>
    <row r="399" spans="1:5" x14ac:dyDescent="0.3">
      <c r="A399" t="s">
        <v>363</v>
      </c>
      <c r="B399" t="s">
        <v>875</v>
      </c>
      <c r="C399" t="s">
        <v>880</v>
      </c>
      <c r="D399" t="s">
        <v>2369</v>
      </c>
      <c r="E399">
        <f>IFERROR(
   IF(D399="Líder",
      INDEX(ZACATECAS!E:E, MATCH(C399, ZACATECAS!F:F, 0)),
      INDEX(ZACATECAS!H:H, MATCH(C399, ZACATECAS!J:J, 0))
   ),
"")</f>
        <v>32044281</v>
      </c>
    </row>
    <row r="400" spans="1:5" x14ac:dyDescent="0.3">
      <c r="A400" t="s">
        <v>363</v>
      </c>
      <c r="B400" t="s">
        <v>875</v>
      </c>
      <c r="C400" t="s">
        <v>903</v>
      </c>
      <c r="D400" t="s">
        <v>2369</v>
      </c>
      <c r="E400">
        <f>IFERROR(
   IF(D400="Líder",
      INDEX(ZACATECAS!E:E, MATCH(C400, ZACATECAS!F:F, 0)),
      INDEX(ZACATECAS!H:H, MATCH(C400, ZACATECAS!J:J, 0))
   ),
"")</f>
        <v>32148624</v>
      </c>
    </row>
    <row r="401" spans="1:5" x14ac:dyDescent="0.3">
      <c r="A401" t="s">
        <v>363</v>
      </c>
      <c r="B401" t="s">
        <v>875</v>
      </c>
      <c r="C401" t="s">
        <v>878</v>
      </c>
      <c r="D401" t="s">
        <v>2369</v>
      </c>
      <c r="E401">
        <f>IFERROR(
   IF(D401="Líder",
      INDEX(ZACATECAS!E:E, MATCH(C401, ZACATECAS!F:F, 0)),
      INDEX(ZACATECAS!H:H, MATCH(C401, ZACATECAS!J:J, 0))
   ),
"")</f>
        <v>32043894</v>
      </c>
    </row>
    <row r="402" spans="1:5" x14ac:dyDescent="0.3">
      <c r="A402" t="s">
        <v>363</v>
      </c>
      <c r="B402" t="s">
        <v>875</v>
      </c>
      <c r="C402" t="s">
        <v>891</v>
      </c>
      <c r="D402" t="s">
        <v>2369</v>
      </c>
      <c r="E402">
        <f>IFERROR(
   IF(D402="Líder",
      INDEX(ZACATECAS!E:E, MATCH(C402, ZACATECAS!F:F, 0)),
      INDEX(ZACATECAS!H:H, MATCH(C402, ZACATECAS!J:J, 0))
   ),
"")</f>
        <v>32045740</v>
      </c>
    </row>
    <row r="403" spans="1:5" x14ac:dyDescent="0.3">
      <c r="A403" t="s">
        <v>363</v>
      </c>
      <c r="B403" t="s">
        <v>875</v>
      </c>
      <c r="C403" t="s">
        <v>876</v>
      </c>
      <c r="D403" t="s">
        <v>2369</v>
      </c>
      <c r="E403">
        <f>IFERROR(
   IF(D403="Líder",
      INDEX(ZACATECAS!E:E, MATCH(C403, ZACATECAS!F:F, 0)),
      INDEX(ZACATECAS!H:H, MATCH(C403, ZACATECAS!J:J, 0))
   ),
"")</f>
        <v>32043866</v>
      </c>
    </row>
    <row r="404" spans="1:5" x14ac:dyDescent="0.3">
      <c r="A404" t="s">
        <v>363</v>
      </c>
      <c r="B404" t="s">
        <v>875</v>
      </c>
      <c r="C404" t="s">
        <v>893</v>
      </c>
      <c r="D404" t="s">
        <v>2369</v>
      </c>
      <c r="E404">
        <f>IFERROR(
   IF(D404="Líder",
      INDEX(ZACATECAS!E:E, MATCH(C404, ZACATECAS!F:F, 0)),
      INDEX(ZACATECAS!H:H, MATCH(C404, ZACATECAS!J:J, 0))
   ),
"")</f>
        <v>32046346</v>
      </c>
    </row>
    <row r="405" spans="1:5" x14ac:dyDescent="0.3">
      <c r="A405" t="s">
        <v>363</v>
      </c>
      <c r="B405" t="s">
        <v>875</v>
      </c>
      <c r="C405" t="s">
        <v>882</v>
      </c>
      <c r="D405" t="s">
        <v>2369</v>
      </c>
      <c r="E405">
        <f>IFERROR(
   IF(D405="Líder",
      INDEX(ZACATECAS!E:E, MATCH(C405, ZACATECAS!F:F, 0)),
      INDEX(ZACATECAS!H:H, MATCH(C405, ZACATECAS!J:J, 0))
   ),
"")</f>
        <v>32044285</v>
      </c>
    </row>
    <row r="406" spans="1:5" x14ac:dyDescent="0.3">
      <c r="A406" t="s">
        <v>363</v>
      </c>
      <c r="B406" t="s">
        <v>875</v>
      </c>
      <c r="C406" t="s">
        <v>884</v>
      </c>
      <c r="D406" t="s">
        <v>2369</v>
      </c>
      <c r="E406">
        <f>IFERROR(
   IF(D406="Líder",
      INDEX(ZACATECAS!E:E, MATCH(C406, ZACATECAS!F:F, 0)),
      INDEX(ZACATECAS!H:H, MATCH(C406, ZACATECAS!J:J, 0))
   ),
"")</f>
        <v>32044618</v>
      </c>
    </row>
    <row r="407" spans="1:5" x14ac:dyDescent="0.3">
      <c r="A407" t="s">
        <v>1584</v>
      </c>
      <c r="B407" t="s">
        <v>2350</v>
      </c>
      <c r="C407" t="s">
        <v>2389</v>
      </c>
      <c r="D407" t="s">
        <v>2369</v>
      </c>
      <c r="E407" t="str">
        <f>IFERROR(
   IF(D407="Líder",
      INDEX(ZACATECAS!E:E, MATCH(C407, ZACATECAS!F:F, 0)),
      INDEX(ZACATECAS!H:H, MATCH(C407, ZACATECAS!J:J, 0))
   ),
"")</f>
        <v/>
      </c>
    </row>
    <row r="408" spans="1:5" x14ac:dyDescent="0.3">
      <c r="A408" t="s">
        <v>2127</v>
      </c>
      <c r="B408" t="s">
        <v>2147</v>
      </c>
      <c r="C408" t="s">
        <v>2150</v>
      </c>
      <c r="D408" t="s">
        <v>2369</v>
      </c>
      <c r="E408">
        <f>IFERROR(
   IF(D408="Líder",
      INDEX(ZACATECAS!E:E, MATCH(C408, ZACATECAS!F:F, 0)),
      INDEX(ZACATECAS!H:H, MATCH(C408, ZACATECAS!J:J, 0))
   ),
"")</f>
        <v>32044531</v>
      </c>
    </row>
    <row r="409" spans="1:5" x14ac:dyDescent="0.3">
      <c r="A409" t="s">
        <v>2127</v>
      </c>
      <c r="B409" t="s">
        <v>2147</v>
      </c>
      <c r="C409" t="s">
        <v>2152</v>
      </c>
      <c r="D409" t="s">
        <v>2369</v>
      </c>
      <c r="E409">
        <f>IFERROR(
   IF(D409="Líder",
      INDEX(ZACATECAS!E:E, MATCH(C409, ZACATECAS!F:F, 0)),
      INDEX(ZACATECAS!H:H, MATCH(C409, ZACATECAS!J:J, 0))
   ),
"")</f>
        <v>32044635</v>
      </c>
    </row>
    <row r="410" spans="1:5" x14ac:dyDescent="0.3">
      <c r="A410" t="s">
        <v>2127</v>
      </c>
      <c r="B410" t="s">
        <v>2147</v>
      </c>
      <c r="C410" t="s">
        <v>2149</v>
      </c>
      <c r="D410" t="s">
        <v>2369</v>
      </c>
      <c r="E410">
        <f>IFERROR(
   IF(D410="Líder",
      INDEX(ZACATECAS!E:E, MATCH(C410, ZACATECAS!F:F, 0)),
      INDEX(ZACATECAS!H:H, MATCH(C410, ZACATECAS!J:J, 0))
   ),
"")</f>
        <v>32044398</v>
      </c>
    </row>
    <row r="411" spans="1:5" x14ac:dyDescent="0.3">
      <c r="A411" t="s">
        <v>2127</v>
      </c>
      <c r="B411" t="s">
        <v>2147</v>
      </c>
      <c r="C411" t="s">
        <v>2151</v>
      </c>
      <c r="D411" t="s">
        <v>2369</v>
      </c>
      <c r="E411">
        <f>IFERROR(
   IF(D411="Líder",
      INDEX(ZACATECAS!E:E, MATCH(C411, ZACATECAS!F:F, 0)),
      INDEX(ZACATECAS!H:H, MATCH(C411, ZACATECAS!J:J, 0))
   ),
"")</f>
        <v>32044617</v>
      </c>
    </row>
    <row r="412" spans="1:5" x14ac:dyDescent="0.3">
      <c r="A412" t="s">
        <v>2127</v>
      </c>
      <c r="B412" t="s">
        <v>2183</v>
      </c>
      <c r="C412" t="s">
        <v>2390</v>
      </c>
      <c r="D412" t="s">
        <v>2369</v>
      </c>
      <c r="E412">
        <f>IFERROR(
   IF(D412="Líder",
      INDEX(ZACATECAS!E:E, MATCH(C412, ZACATECAS!F:F, 0)),
      INDEX(ZACATECAS!H:H, MATCH(C412, ZACATECAS!J:J, 0))
   ),
"")</f>
        <v>32044339</v>
      </c>
    </row>
    <row r="413" spans="1:5" x14ac:dyDescent="0.3">
      <c r="A413" t="s">
        <v>2127</v>
      </c>
      <c r="B413" t="s">
        <v>2183</v>
      </c>
      <c r="C413" t="s">
        <v>2391</v>
      </c>
      <c r="D413" t="s">
        <v>2369</v>
      </c>
      <c r="E413" t="str">
        <f>IFERROR(
   IF(D413="Líder",
      INDEX(ZACATECAS!E:E, MATCH(C413, ZACATECAS!F:F, 0)),
      INDEX(ZACATECAS!H:H, MATCH(C413, ZACATECAS!J:J, 0))
   ),
"")</f>
        <v/>
      </c>
    </row>
    <row r="414" spans="1:5" x14ac:dyDescent="0.3">
      <c r="A414" t="s">
        <v>2127</v>
      </c>
      <c r="B414" t="s">
        <v>2183</v>
      </c>
      <c r="C414" t="s">
        <v>2392</v>
      </c>
      <c r="D414" t="s">
        <v>2369</v>
      </c>
      <c r="E414" t="str">
        <f>IFERROR(
   IF(D414="Líder",
      INDEX(ZACATECAS!E:E, MATCH(C414, ZACATECAS!F:F, 0)),
      INDEX(ZACATECAS!H:H, MATCH(C414, ZACATECAS!J:J, 0))
   ),
"")</f>
        <v/>
      </c>
    </row>
    <row r="415" spans="1:5" x14ac:dyDescent="0.3">
      <c r="A415" t="s">
        <v>2127</v>
      </c>
      <c r="B415" t="s">
        <v>2183</v>
      </c>
      <c r="C415" t="s">
        <v>2393</v>
      </c>
      <c r="D415" t="s">
        <v>2369</v>
      </c>
      <c r="E415" t="str">
        <f>IFERROR(
   IF(D415="Líder",
      INDEX(ZACATECAS!E:E, MATCH(C415, ZACATECAS!F:F, 0)),
      INDEX(ZACATECAS!H:H, MATCH(C415, ZACATECAS!J:J, 0))
   ),
"")</f>
        <v/>
      </c>
    </row>
    <row r="416" spans="1:5" x14ac:dyDescent="0.3">
      <c r="A416" t="s">
        <v>2127</v>
      </c>
      <c r="B416" t="s">
        <v>2183</v>
      </c>
      <c r="C416" t="s">
        <v>2394</v>
      </c>
      <c r="D416" t="s">
        <v>2369</v>
      </c>
      <c r="E416" t="str">
        <f>IFERROR(
   IF(D416="Líder",
      INDEX(ZACATECAS!E:E, MATCH(C416, ZACATECAS!F:F, 0)),
      INDEX(ZACATECAS!H:H, MATCH(C416, ZACATECAS!J:J, 0))
   ),
"")</f>
        <v/>
      </c>
    </row>
    <row r="417" spans="1:5" x14ac:dyDescent="0.3">
      <c r="A417" t="s">
        <v>2127</v>
      </c>
      <c r="B417" t="s">
        <v>2183</v>
      </c>
      <c r="C417" t="s">
        <v>2395</v>
      </c>
      <c r="D417" t="s">
        <v>2369</v>
      </c>
      <c r="E417">
        <f>IFERROR(
   IF(D417="Líder",
      INDEX(ZACATECAS!E:E, MATCH(C417, ZACATECAS!F:F, 0)),
      INDEX(ZACATECAS!H:H, MATCH(C417, ZACATECAS!J:J, 0))
   ),
"")</f>
        <v>32043976</v>
      </c>
    </row>
    <row r="418" spans="1:5" x14ac:dyDescent="0.3">
      <c r="A418" t="s">
        <v>2127</v>
      </c>
      <c r="B418" t="s">
        <v>2183</v>
      </c>
      <c r="C418" t="s">
        <v>2185</v>
      </c>
      <c r="D418" t="s">
        <v>2369</v>
      </c>
      <c r="E418">
        <f>IFERROR(
   IF(D418="Líder",
      INDEX(ZACATECAS!E:E, MATCH(C418, ZACATECAS!F:F, 0)),
      INDEX(ZACATECAS!H:H, MATCH(C418, ZACATECAS!J:J, 0))
   ),
"")</f>
        <v>32045277</v>
      </c>
    </row>
    <row r="419" spans="1:5" x14ac:dyDescent="0.3">
      <c r="A419" t="s">
        <v>2127</v>
      </c>
      <c r="B419" t="s">
        <v>2183</v>
      </c>
      <c r="C419" t="s">
        <v>2193</v>
      </c>
      <c r="D419" t="s">
        <v>2369</v>
      </c>
      <c r="E419">
        <f>IFERROR(
   IF(D419="Líder",
      INDEX(ZACATECAS!E:E, MATCH(C419, ZACATECAS!F:F, 0)),
      INDEX(ZACATECAS!H:H, MATCH(C419, ZACATECAS!J:J, 0))
   ),
"")</f>
        <v>32045049</v>
      </c>
    </row>
    <row r="420" spans="1:5" x14ac:dyDescent="0.3">
      <c r="A420" t="s">
        <v>2127</v>
      </c>
      <c r="B420" t="s">
        <v>2183</v>
      </c>
      <c r="C420" t="s">
        <v>2192</v>
      </c>
      <c r="D420" t="s">
        <v>2369</v>
      </c>
      <c r="E420">
        <f>IFERROR(
   IF(D420="Líder",
      INDEX(ZACATECAS!E:E, MATCH(C420, ZACATECAS!F:F, 0)),
      INDEX(ZACATECAS!H:H, MATCH(C420, ZACATECAS!J:J, 0))
   ),
"")</f>
        <v>32061267</v>
      </c>
    </row>
    <row r="421" spans="1:5" x14ac:dyDescent="0.3">
      <c r="A421" t="s">
        <v>2127</v>
      </c>
      <c r="B421" t="s">
        <v>2183</v>
      </c>
      <c r="C421" t="s">
        <v>2396</v>
      </c>
      <c r="D421" t="s">
        <v>2369</v>
      </c>
      <c r="E421" t="str">
        <f>IFERROR(
   IF(D421="Líder",
      INDEX(ZACATECAS!E:E, MATCH(C421, ZACATECAS!F:F, 0)),
      INDEX(ZACATECAS!H:H, MATCH(C421, ZACATECAS!J:J, 0))
   ),
"")</f>
        <v/>
      </c>
    </row>
    <row r="422" spans="1:5" x14ac:dyDescent="0.3">
      <c r="A422" t="s">
        <v>2127</v>
      </c>
      <c r="B422" t="s">
        <v>2183</v>
      </c>
      <c r="C422" t="s">
        <v>2191</v>
      </c>
      <c r="D422" t="s">
        <v>2369</v>
      </c>
      <c r="E422">
        <f>IFERROR(
   IF(D422="Líder",
      INDEX(ZACATECAS!E:E, MATCH(C422, ZACATECAS!F:F, 0)),
      INDEX(ZACATECAS!H:H, MATCH(C422, ZACATECAS!J:J, 0))
   ),
"")</f>
        <v>32045421</v>
      </c>
    </row>
    <row r="423" spans="1:5" x14ac:dyDescent="0.3">
      <c r="A423" t="s">
        <v>363</v>
      </c>
      <c r="B423" t="s">
        <v>907</v>
      </c>
      <c r="C423" t="s">
        <v>931</v>
      </c>
      <c r="D423" t="s">
        <v>2369</v>
      </c>
      <c r="E423">
        <f>IFERROR(
   IF(D423="Líder",
      INDEX(ZACATECAS!E:E, MATCH(C423, ZACATECAS!F:F, 0)),
      INDEX(ZACATECAS!H:H, MATCH(C423, ZACATECAS!J:J, 0))
   ),
"")</f>
        <v>32187989</v>
      </c>
    </row>
    <row r="424" spans="1:5" x14ac:dyDescent="0.3">
      <c r="A424" t="s">
        <v>363</v>
      </c>
      <c r="B424" t="s">
        <v>907</v>
      </c>
      <c r="C424" t="s">
        <v>930</v>
      </c>
      <c r="D424" t="s">
        <v>2369</v>
      </c>
      <c r="E424">
        <f>IFERROR(
   IF(D424="Líder",
      INDEX(ZACATECAS!E:E, MATCH(C424, ZACATECAS!F:F, 0)),
      INDEX(ZACATECAS!H:H, MATCH(C424, ZACATECAS!J:J, 0))
   ),
"")</f>
        <v>32145330</v>
      </c>
    </row>
    <row r="425" spans="1:5" x14ac:dyDescent="0.3">
      <c r="A425" t="s">
        <v>363</v>
      </c>
      <c r="B425" t="s">
        <v>907</v>
      </c>
      <c r="C425" t="s">
        <v>926</v>
      </c>
      <c r="D425" t="s">
        <v>2369</v>
      </c>
      <c r="E425">
        <f>IFERROR(
   IF(D425="Líder",
      INDEX(ZACATECAS!E:E, MATCH(C425, ZACATECAS!F:F, 0)),
      INDEX(ZACATECAS!H:H, MATCH(C425, ZACATECAS!J:J, 0))
   ),
"")</f>
        <v>32132056</v>
      </c>
    </row>
    <row r="426" spans="1:5" x14ac:dyDescent="0.3">
      <c r="A426" t="s">
        <v>363</v>
      </c>
      <c r="B426" t="s">
        <v>907</v>
      </c>
      <c r="C426" t="s">
        <v>908</v>
      </c>
      <c r="D426" t="s">
        <v>2369</v>
      </c>
      <c r="E426">
        <f>IFERROR(
   IF(D426="Líder",
      INDEX(ZACATECAS!E:E, MATCH(C426, ZACATECAS!F:F, 0)),
      INDEX(ZACATECAS!H:H, MATCH(C426, ZACATECAS!J:J, 0))
   ),
"")</f>
        <v>32043889</v>
      </c>
    </row>
    <row r="427" spans="1:5" x14ac:dyDescent="0.3">
      <c r="A427" t="s">
        <v>363</v>
      </c>
      <c r="B427" t="s">
        <v>907</v>
      </c>
      <c r="C427" t="s">
        <v>928</v>
      </c>
      <c r="D427" t="s">
        <v>2369</v>
      </c>
      <c r="E427">
        <f>IFERROR(
   IF(D427="Líder",
      INDEX(ZACATECAS!E:E, MATCH(C427, ZACATECAS!F:F, 0)),
      INDEX(ZACATECAS!H:H, MATCH(C427, ZACATECAS!J:J, 0))
   ),
"")</f>
        <v>32143691</v>
      </c>
    </row>
    <row r="428" spans="1:5" x14ac:dyDescent="0.3">
      <c r="A428" t="s">
        <v>363</v>
      </c>
      <c r="B428" t="s">
        <v>907</v>
      </c>
      <c r="C428" t="s">
        <v>910</v>
      </c>
      <c r="D428" t="s">
        <v>2369</v>
      </c>
      <c r="E428">
        <f>IFERROR(
   IF(D428="Líder",
      INDEX(ZACATECAS!E:E, MATCH(C428, ZACATECAS!F:F, 0)),
      INDEX(ZACATECAS!H:H, MATCH(C428, ZACATECAS!J:J, 0))
   ),
"")</f>
        <v>32043978</v>
      </c>
    </row>
    <row r="429" spans="1:5" x14ac:dyDescent="0.3">
      <c r="A429" t="s">
        <v>363</v>
      </c>
      <c r="B429" t="s">
        <v>907</v>
      </c>
      <c r="C429" t="s">
        <v>914</v>
      </c>
      <c r="D429" t="s">
        <v>2369</v>
      </c>
      <c r="E429">
        <f>IFERROR(
   IF(D429="Líder",
      INDEX(ZACATECAS!E:E, MATCH(C429, ZACATECAS!F:F, 0)),
      INDEX(ZACATECAS!H:H, MATCH(C429, ZACATECAS!J:J, 0))
   ),
"")</f>
        <v>32044169</v>
      </c>
    </row>
    <row r="430" spans="1:5" x14ac:dyDescent="0.3">
      <c r="A430" t="s">
        <v>363</v>
      </c>
      <c r="B430" t="s">
        <v>907</v>
      </c>
      <c r="C430" t="s">
        <v>920</v>
      </c>
      <c r="D430" t="s">
        <v>2369</v>
      </c>
      <c r="E430">
        <f>IFERROR(
   IF(D430="Líder",
      INDEX(ZACATECAS!E:E, MATCH(C430, ZACATECAS!F:F, 0)),
      INDEX(ZACATECAS!H:H, MATCH(C430, ZACATECAS!J:J, 0))
   ),
"")</f>
        <v>32046478</v>
      </c>
    </row>
    <row r="431" spans="1:5" x14ac:dyDescent="0.3">
      <c r="A431" t="s">
        <v>363</v>
      </c>
      <c r="B431" t="s">
        <v>907</v>
      </c>
      <c r="C431" t="s">
        <v>922</v>
      </c>
      <c r="D431" t="s">
        <v>2369</v>
      </c>
      <c r="E431">
        <f>IFERROR(
   IF(D431="Líder",
      INDEX(ZACATECAS!E:E, MATCH(C431, ZACATECAS!F:F, 0)),
      INDEX(ZACATECAS!H:H, MATCH(C431, ZACATECAS!J:J, 0))
   ),
"")</f>
        <v>32067183</v>
      </c>
    </row>
    <row r="432" spans="1:5" x14ac:dyDescent="0.3">
      <c r="A432" t="s">
        <v>363</v>
      </c>
      <c r="B432" t="s">
        <v>907</v>
      </c>
      <c r="C432" t="s">
        <v>912</v>
      </c>
      <c r="D432" t="s">
        <v>2369</v>
      </c>
      <c r="E432">
        <f>IFERROR(
   IF(D432="Líder",
      INDEX(ZACATECAS!E:E, MATCH(C432, ZACATECAS!F:F, 0)),
      INDEX(ZACATECAS!H:H, MATCH(C432, ZACATECAS!J:J, 0))
   ),
"")</f>
        <v>32044167</v>
      </c>
    </row>
    <row r="433" spans="1:5" x14ac:dyDescent="0.3">
      <c r="A433" t="s">
        <v>363</v>
      </c>
      <c r="B433" t="s">
        <v>907</v>
      </c>
      <c r="C433" t="s">
        <v>924</v>
      </c>
      <c r="D433" t="s">
        <v>2369</v>
      </c>
      <c r="E433">
        <f>IFERROR(
   IF(D433="Líder",
      INDEX(ZACATECAS!E:E, MATCH(C433, ZACATECAS!F:F, 0)),
      INDEX(ZACATECAS!H:H, MATCH(C433, ZACATECAS!J:J, 0))
   ),
"")</f>
        <v>32072429</v>
      </c>
    </row>
    <row r="434" spans="1:5" x14ac:dyDescent="0.3">
      <c r="A434" t="s">
        <v>363</v>
      </c>
      <c r="B434" t="s">
        <v>907</v>
      </c>
      <c r="C434" t="s">
        <v>921</v>
      </c>
      <c r="D434" t="s">
        <v>2369</v>
      </c>
      <c r="E434">
        <f>IFERROR(
   IF(D434="Líder",
      INDEX(ZACATECAS!E:E, MATCH(C434, ZACATECAS!F:F, 0)),
      INDEX(ZACATECAS!H:H, MATCH(C434, ZACATECAS!J:J, 0))
   ),
"")</f>
        <v>32067174</v>
      </c>
    </row>
    <row r="435" spans="1:5" x14ac:dyDescent="0.3">
      <c r="A435" t="s">
        <v>363</v>
      </c>
      <c r="B435" t="s">
        <v>907</v>
      </c>
      <c r="C435" t="s">
        <v>911</v>
      </c>
      <c r="D435" t="s">
        <v>2369</v>
      </c>
      <c r="E435">
        <f>IFERROR(
   IF(D435="Líder",
      INDEX(ZACATECAS!E:E, MATCH(C435, ZACATECAS!F:F, 0)),
      INDEX(ZACATECAS!H:H, MATCH(C435, ZACATECAS!J:J, 0))
   ),
"")</f>
        <v>32044074</v>
      </c>
    </row>
    <row r="436" spans="1:5" x14ac:dyDescent="0.3">
      <c r="A436" t="s">
        <v>363</v>
      </c>
      <c r="B436" t="s">
        <v>907</v>
      </c>
      <c r="C436" t="s">
        <v>916</v>
      </c>
      <c r="D436" t="s">
        <v>2369</v>
      </c>
      <c r="E436">
        <f>IFERROR(
   IF(D436="Líder",
      INDEX(ZACATECAS!E:E, MATCH(C436, ZACATECAS!F:F, 0)),
      INDEX(ZACATECAS!H:H, MATCH(C436, ZACATECAS!J:J, 0))
   ),
"")</f>
        <v>32046401</v>
      </c>
    </row>
    <row r="437" spans="1:5" x14ac:dyDescent="0.3">
      <c r="A437" t="s">
        <v>363</v>
      </c>
      <c r="B437" t="s">
        <v>907</v>
      </c>
      <c r="C437" t="s">
        <v>918</v>
      </c>
      <c r="D437" t="s">
        <v>2369</v>
      </c>
      <c r="E437">
        <f>IFERROR(
   IF(D437="Líder",
      INDEX(ZACATECAS!E:E, MATCH(C437, ZACATECAS!F:F, 0)),
      INDEX(ZACATECAS!H:H, MATCH(C437, ZACATECAS!J:J, 0))
   ),
"")</f>
        <v>32046414</v>
      </c>
    </row>
    <row r="438" spans="1:5" x14ac:dyDescent="0.3">
      <c r="A438" t="s">
        <v>1584</v>
      </c>
      <c r="B438" t="s">
        <v>1590</v>
      </c>
      <c r="C438" t="s">
        <v>1593</v>
      </c>
      <c r="D438" t="s">
        <v>2369</v>
      </c>
      <c r="E438">
        <f>IFERROR(
   IF(D438="Líder",
      INDEX(ZACATECAS!E:E, MATCH(C438, ZACATECAS!F:F, 0)),
      INDEX(ZACATECAS!H:H, MATCH(C438, ZACATECAS!J:J, 0))
   ),
"")</f>
        <v>32198244</v>
      </c>
    </row>
    <row r="439" spans="1:5" x14ac:dyDescent="0.3">
      <c r="A439" t="s">
        <v>1584</v>
      </c>
      <c r="B439" t="s">
        <v>1590</v>
      </c>
      <c r="C439" t="s">
        <v>1595</v>
      </c>
      <c r="D439" t="s">
        <v>2369</v>
      </c>
      <c r="E439">
        <f>IFERROR(
   IF(D439="Líder",
      INDEX(ZACATECAS!E:E, MATCH(C439, ZACATECAS!F:F, 0)),
      INDEX(ZACATECAS!H:H, MATCH(C439, ZACATECAS!J:J, 0))
   ),
"")</f>
        <v>32198252</v>
      </c>
    </row>
    <row r="440" spans="1:5" x14ac:dyDescent="0.3">
      <c r="A440" t="s">
        <v>1584</v>
      </c>
      <c r="B440" t="s">
        <v>1590</v>
      </c>
      <c r="C440" t="s">
        <v>1596</v>
      </c>
      <c r="D440" t="s">
        <v>2369</v>
      </c>
      <c r="E440">
        <f>IFERROR(
   IF(D440="Líder",
      INDEX(ZACATECAS!E:E, MATCH(C440, ZACATECAS!F:F, 0)),
      INDEX(ZACATECAS!H:H, MATCH(C440, ZACATECAS!J:J, 0))
   ),
"")</f>
        <v>32197852</v>
      </c>
    </row>
    <row r="441" spans="1:5" x14ac:dyDescent="0.3">
      <c r="A441" t="s">
        <v>1584</v>
      </c>
      <c r="B441" t="s">
        <v>1590</v>
      </c>
      <c r="C441" t="s">
        <v>1598</v>
      </c>
      <c r="D441" t="s">
        <v>2369</v>
      </c>
      <c r="E441">
        <f>IFERROR(
   IF(D441="Líder",
      INDEX(ZACATECAS!E:E, MATCH(C441, ZACATECAS!F:F, 0)),
      INDEX(ZACATECAS!H:H, MATCH(C441, ZACATECAS!J:J, 0))
   ),
"")</f>
        <v>32198260</v>
      </c>
    </row>
    <row r="442" spans="1:5" x14ac:dyDescent="0.3">
      <c r="A442" t="s">
        <v>363</v>
      </c>
      <c r="B442" t="s">
        <v>1051</v>
      </c>
      <c r="C442" t="s">
        <v>1054</v>
      </c>
      <c r="D442" t="s">
        <v>2369</v>
      </c>
      <c r="E442">
        <f>IFERROR(
   IF(D442="Líder",
      INDEX(ZACATECAS!E:E, MATCH(C442, ZACATECAS!F:F, 0)),
      INDEX(ZACATECAS!H:H, MATCH(C442, ZACATECAS!J:J, 0))
   ),
"")</f>
        <v>32044475</v>
      </c>
    </row>
    <row r="443" spans="1:5" x14ac:dyDescent="0.3">
      <c r="A443" t="s">
        <v>363</v>
      </c>
      <c r="B443" t="s">
        <v>1051</v>
      </c>
      <c r="C443" t="s">
        <v>1067</v>
      </c>
      <c r="D443" t="s">
        <v>2369</v>
      </c>
      <c r="E443">
        <f>IFERROR(
   IF(D443="Líder",
      INDEX(ZACATECAS!E:E, MATCH(C443, ZACATECAS!F:F, 0)),
      INDEX(ZACATECAS!H:H, MATCH(C443, ZACATECAS!J:J, 0))
   ),
"")</f>
        <v>32132224</v>
      </c>
    </row>
    <row r="444" spans="1:5" x14ac:dyDescent="0.3">
      <c r="A444" t="s">
        <v>363</v>
      </c>
      <c r="B444" t="s">
        <v>1051</v>
      </c>
      <c r="C444" t="s">
        <v>1065</v>
      </c>
      <c r="D444" t="s">
        <v>2369</v>
      </c>
      <c r="E444">
        <f>IFERROR(
   IF(D444="Líder",
      INDEX(ZACATECAS!E:E, MATCH(C444, ZACATECAS!F:F, 0)),
      INDEX(ZACATECAS!H:H, MATCH(C444, ZACATECAS!J:J, 0))
   ),
"")</f>
        <v>32059341</v>
      </c>
    </row>
    <row r="445" spans="1:5" x14ac:dyDescent="0.3">
      <c r="A445" t="s">
        <v>363</v>
      </c>
      <c r="B445" t="s">
        <v>1051</v>
      </c>
      <c r="C445" t="s">
        <v>1057</v>
      </c>
      <c r="D445" t="s">
        <v>2369</v>
      </c>
      <c r="E445">
        <f>IFERROR(
   IF(D445="Líder",
      INDEX(ZACATECAS!E:E, MATCH(C445, ZACATECAS!F:F, 0)),
      INDEX(ZACATECAS!H:H, MATCH(C445, ZACATECAS!J:J, 0))
   ),
"")</f>
        <v>32044881</v>
      </c>
    </row>
    <row r="446" spans="1:5" x14ac:dyDescent="0.3">
      <c r="A446" t="s">
        <v>363</v>
      </c>
      <c r="B446" t="s">
        <v>1051</v>
      </c>
      <c r="C446" t="s">
        <v>1061</v>
      </c>
      <c r="D446" t="s">
        <v>2369</v>
      </c>
      <c r="E446">
        <f>IFERROR(
   IF(D446="Líder",
      INDEX(ZACATECAS!E:E, MATCH(C446, ZACATECAS!F:F, 0)),
      INDEX(ZACATECAS!H:H, MATCH(C446, ZACATECAS!J:J, 0))
   ),
"")</f>
        <v>32046338</v>
      </c>
    </row>
    <row r="447" spans="1:5" x14ac:dyDescent="0.3">
      <c r="A447" t="s">
        <v>363</v>
      </c>
      <c r="B447" t="s">
        <v>1051</v>
      </c>
      <c r="C447" t="s">
        <v>1063</v>
      </c>
      <c r="D447" t="s">
        <v>2369</v>
      </c>
      <c r="E447">
        <f>IFERROR(
   IF(D447="Líder",
      INDEX(ZACATECAS!E:E, MATCH(C447, ZACATECAS!F:F, 0)),
      INDEX(ZACATECAS!H:H, MATCH(C447, ZACATECAS!J:J, 0))
   ),
"")</f>
        <v>32058105</v>
      </c>
    </row>
    <row r="448" spans="1:5" x14ac:dyDescent="0.3">
      <c r="A448" t="s">
        <v>363</v>
      </c>
      <c r="B448" t="s">
        <v>1051</v>
      </c>
      <c r="C448" t="s">
        <v>1070</v>
      </c>
      <c r="D448" t="s">
        <v>2369</v>
      </c>
      <c r="E448">
        <f>IFERROR(
   IF(D448="Líder",
      INDEX(ZACATECAS!E:E, MATCH(C448, ZACATECAS!F:F, 0)),
      INDEX(ZACATECAS!H:H, MATCH(C448, ZACATECAS!J:J, 0))
   ),
"")</f>
        <v>32143043</v>
      </c>
    </row>
    <row r="449" spans="1:5" x14ac:dyDescent="0.3">
      <c r="A449" t="s">
        <v>363</v>
      </c>
      <c r="B449" t="s">
        <v>1051</v>
      </c>
      <c r="C449" t="s">
        <v>1072</v>
      </c>
      <c r="D449" t="s">
        <v>2369</v>
      </c>
      <c r="E449">
        <f>IFERROR(
   IF(D449="Líder",
      INDEX(ZACATECAS!E:E, MATCH(C449, ZACATECAS!F:F, 0)),
      INDEX(ZACATECAS!H:H, MATCH(C449, ZACATECAS!J:J, 0))
   ),
"")</f>
        <v>32144347</v>
      </c>
    </row>
    <row r="450" spans="1:5" x14ac:dyDescent="0.3">
      <c r="A450" t="s">
        <v>363</v>
      </c>
      <c r="B450" t="s">
        <v>1051</v>
      </c>
      <c r="C450" t="s">
        <v>1075</v>
      </c>
      <c r="D450" t="s">
        <v>2369</v>
      </c>
      <c r="E450">
        <f>IFERROR(
   IF(D450="Líder",
      INDEX(ZACATECAS!E:E, MATCH(C450, ZACATECAS!F:F, 0)),
      INDEX(ZACATECAS!H:H, MATCH(C450, ZACATECAS!J:J, 0))
   ),
"")</f>
        <v>32149078</v>
      </c>
    </row>
    <row r="451" spans="1:5" x14ac:dyDescent="0.3">
      <c r="A451" t="s">
        <v>363</v>
      </c>
      <c r="B451" t="s">
        <v>1051</v>
      </c>
      <c r="C451" t="s">
        <v>1059</v>
      </c>
      <c r="D451" t="s">
        <v>2369</v>
      </c>
      <c r="E451">
        <f>IFERROR(
   IF(D451="Líder",
      INDEX(ZACATECAS!E:E, MATCH(C451, ZACATECAS!F:F, 0)),
      INDEX(ZACATECAS!H:H, MATCH(C451, ZACATECAS!J:J, 0))
   ),
"")</f>
        <v>32046256</v>
      </c>
    </row>
    <row r="452" spans="1:5" x14ac:dyDescent="0.3">
      <c r="A452" t="s">
        <v>1</v>
      </c>
      <c r="B452" t="s">
        <v>6</v>
      </c>
      <c r="C452" t="s">
        <v>2003</v>
      </c>
      <c r="D452" t="s">
        <v>2369</v>
      </c>
      <c r="E452">
        <f>IFERROR(
   IF(D452="Líder",
      INDEX(ZACATECAS!E:E, MATCH(C452, ZACATECAS!F:F, 0)),
      INDEX(ZACATECAS!H:H, MATCH(C452, ZACATECAS!J:J, 0))
   ),
"")</f>
        <v>32150508</v>
      </c>
    </row>
    <row r="453" spans="1:5" x14ac:dyDescent="0.3">
      <c r="A453" t="s">
        <v>1</v>
      </c>
      <c r="B453" t="s">
        <v>6</v>
      </c>
      <c r="C453" t="s">
        <v>2051</v>
      </c>
      <c r="D453" t="s">
        <v>2369</v>
      </c>
      <c r="E453">
        <f>IFERROR(
   IF(D453="Líder",
      INDEX(ZACATECAS!E:E, MATCH(C453, ZACATECAS!F:F, 0)),
      INDEX(ZACATECAS!H:H, MATCH(C453, ZACATECAS!J:J, 0))
   ),
"")</f>
        <v>32045071</v>
      </c>
    </row>
    <row r="454" spans="1:5" x14ac:dyDescent="0.3">
      <c r="A454" t="s">
        <v>1</v>
      </c>
      <c r="B454" t="s">
        <v>6</v>
      </c>
      <c r="C454" t="s">
        <v>2005</v>
      </c>
      <c r="D454" t="s">
        <v>2369</v>
      </c>
      <c r="E454">
        <f>IFERROR(
   IF(D454="Líder",
      INDEX(ZACATECAS!E:E, MATCH(C454, ZACATECAS!F:F, 0)),
      INDEX(ZACATECAS!H:H, MATCH(C454, ZACATECAS!J:J, 0))
   ),
"")</f>
        <v>32045391</v>
      </c>
    </row>
    <row r="455" spans="1:5" x14ac:dyDescent="0.3">
      <c r="A455" t="s">
        <v>1</v>
      </c>
      <c r="B455" t="s">
        <v>6</v>
      </c>
      <c r="C455" t="s">
        <v>2007</v>
      </c>
      <c r="D455" t="s">
        <v>2369</v>
      </c>
      <c r="E455">
        <f>IFERROR(
   IF(D455="Líder",
      INDEX(ZACATECAS!E:E, MATCH(C455, ZACATECAS!F:F, 0)),
      INDEX(ZACATECAS!H:H, MATCH(C455, ZACATECAS!J:J, 0))
   ),
"")</f>
        <v>32044248</v>
      </c>
    </row>
    <row r="456" spans="1:5" x14ac:dyDescent="0.3">
      <c r="A456" t="s">
        <v>1</v>
      </c>
      <c r="B456" t="s">
        <v>6</v>
      </c>
      <c r="C456" t="s">
        <v>2009</v>
      </c>
      <c r="D456" t="s">
        <v>2369</v>
      </c>
      <c r="E456">
        <f>IFERROR(
   IF(D456="Líder",
      INDEX(ZACATECAS!E:E, MATCH(C456, ZACATECAS!F:F, 0)),
      INDEX(ZACATECAS!H:H, MATCH(C456, ZACATECAS!J:J, 0))
   ),
"")</f>
        <v>32043716</v>
      </c>
    </row>
    <row r="457" spans="1:5" x14ac:dyDescent="0.3">
      <c r="A457" t="s">
        <v>1</v>
      </c>
      <c r="B457" t="s">
        <v>6</v>
      </c>
      <c r="C457" t="s">
        <v>2011</v>
      </c>
      <c r="D457" t="s">
        <v>2369</v>
      </c>
      <c r="E457">
        <f>IFERROR(
   IF(D457="Líder",
      INDEX(ZACATECAS!E:E, MATCH(C457, ZACATECAS!F:F, 0)),
      INDEX(ZACATECAS!H:H, MATCH(C457, ZACATECAS!J:J, 0))
   ),
"")</f>
        <v>32144782</v>
      </c>
    </row>
    <row r="458" spans="1:5" x14ac:dyDescent="0.3">
      <c r="A458" t="s">
        <v>363</v>
      </c>
      <c r="B458" t="s">
        <v>557</v>
      </c>
      <c r="C458" t="s">
        <v>712</v>
      </c>
      <c r="D458" t="s">
        <v>2369</v>
      </c>
      <c r="E458">
        <f>IFERROR(
   IF(D458="Líder",
      INDEX(ZACATECAS!E:E, MATCH(C458, ZACATECAS!F:F, 0)),
      INDEX(ZACATECAS!H:H, MATCH(C458, ZACATECAS!J:J, 0))
   ),
"")</f>
        <v>32044647</v>
      </c>
    </row>
    <row r="459" spans="1:5" x14ac:dyDescent="0.3">
      <c r="A459" t="s">
        <v>363</v>
      </c>
      <c r="B459" t="s">
        <v>557</v>
      </c>
      <c r="C459" t="s">
        <v>655</v>
      </c>
      <c r="D459" t="s">
        <v>2369</v>
      </c>
      <c r="E459">
        <f>IFERROR(
   IF(D459="Líder",
      INDEX(ZACATECAS!E:E, MATCH(C459, ZACATECAS!F:F, 0)),
      INDEX(ZACATECAS!H:H, MATCH(C459, ZACATECAS!J:J, 0))
   ),
"")</f>
        <v>32060917</v>
      </c>
    </row>
    <row r="460" spans="1:5" x14ac:dyDescent="0.3">
      <c r="A460" t="s">
        <v>363</v>
      </c>
      <c r="B460" t="s">
        <v>557</v>
      </c>
      <c r="C460" t="s">
        <v>600</v>
      </c>
      <c r="D460" t="s">
        <v>2369</v>
      </c>
      <c r="E460">
        <f>IFERROR(
   IF(D460="Líder",
      INDEX(ZACATECAS!E:E, MATCH(C460, ZACATECAS!F:F, 0)),
      INDEX(ZACATECAS!H:H, MATCH(C460, ZACATECAS!J:J, 0))
   ),
"")</f>
        <v>32148612</v>
      </c>
    </row>
    <row r="461" spans="1:5" x14ac:dyDescent="0.3">
      <c r="A461" t="s">
        <v>363</v>
      </c>
      <c r="B461" t="s">
        <v>557</v>
      </c>
      <c r="C461" t="s">
        <v>517</v>
      </c>
      <c r="D461" t="s">
        <v>2369</v>
      </c>
      <c r="E461">
        <f>IFERROR(
   IF(D461="Líder",
      INDEX(ZACATECAS!E:E, MATCH(C461, ZACATECAS!F:F, 0)),
      INDEX(ZACATECAS!H:H, MATCH(C461, ZACATECAS!J:J, 0))
   ),
"")</f>
        <v>32044684</v>
      </c>
    </row>
    <row r="462" spans="1:5" x14ac:dyDescent="0.3">
      <c r="A462" t="s">
        <v>363</v>
      </c>
      <c r="B462" t="s">
        <v>557</v>
      </c>
      <c r="C462" t="s">
        <v>562</v>
      </c>
      <c r="D462" t="s">
        <v>2369</v>
      </c>
      <c r="E462">
        <f>IFERROR(
   IF(D462="Líder",
      INDEX(ZACATECAS!E:E, MATCH(C462, ZACATECAS!F:F, 0)),
      INDEX(ZACATECAS!H:H, MATCH(C462, ZACATECAS!J:J, 0))
   ),
"")</f>
        <v>32044615</v>
      </c>
    </row>
    <row r="463" spans="1:5" x14ac:dyDescent="0.3">
      <c r="A463" t="s">
        <v>363</v>
      </c>
      <c r="B463" t="s">
        <v>557</v>
      </c>
      <c r="C463" t="s">
        <v>569</v>
      </c>
      <c r="D463" t="s">
        <v>2369</v>
      </c>
      <c r="E463">
        <f>IFERROR(
   IF(D463="Líder",
      INDEX(ZACATECAS!E:E, MATCH(C463, ZACATECAS!F:F, 0)),
      INDEX(ZACATECAS!H:H, MATCH(C463, ZACATECAS!J:J, 0))
   ),
"")</f>
        <v>32045613</v>
      </c>
    </row>
    <row r="464" spans="1:5" x14ac:dyDescent="0.3">
      <c r="A464" t="s">
        <v>363</v>
      </c>
      <c r="B464" t="s">
        <v>557</v>
      </c>
      <c r="C464" t="s">
        <v>579</v>
      </c>
      <c r="D464" t="s">
        <v>2369</v>
      </c>
      <c r="E464">
        <f>IFERROR(
   IF(D464="Líder",
      INDEX(ZACATECAS!E:E, MATCH(C464, ZACATECAS!F:F, 0)),
      INDEX(ZACATECAS!H:H, MATCH(C464, ZACATECAS!J:J, 0))
   ),
"")</f>
        <v>32067003</v>
      </c>
    </row>
    <row r="465" spans="1:5" x14ac:dyDescent="0.3">
      <c r="A465" t="s">
        <v>363</v>
      </c>
      <c r="B465" t="s">
        <v>557</v>
      </c>
      <c r="C465" t="s">
        <v>576</v>
      </c>
      <c r="D465" t="s">
        <v>2369</v>
      </c>
      <c r="E465">
        <f>IFERROR(
   IF(D465="Líder",
      INDEX(ZACATECAS!E:E, MATCH(C465, ZACATECAS!F:F, 0)),
      INDEX(ZACATECAS!H:H, MATCH(C465, ZACATECAS!J:J, 0))
   ),
"")</f>
        <v>32046353</v>
      </c>
    </row>
    <row r="466" spans="1:5" x14ac:dyDescent="0.3">
      <c r="A466" t="s">
        <v>363</v>
      </c>
      <c r="B466" t="s">
        <v>557</v>
      </c>
      <c r="C466" t="s">
        <v>585</v>
      </c>
      <c r="D466" t="s">
        <v>2369</v>
      </c>
      <c r="E466">
        <f>IFERROR(
   IF(D466="Líder",
      INDEX(ZACATECAS!E:E, MATCH(C466, ZACATECAS!F:F, 0)),
      INDEX(ZACATECAS!H:H, MATCH(C466, ZACATECAS!J:J, 0))
   ),
"")</f>
        <v>32132237</v>
      </c>
    </row>
    <row r="467" spans="1:5" x14ac:dyDescent="0.3">
      <c r="A467" t="s">
        <v>363</v>
      </c>
      <c r="B467" t="s">
        <v>557</v>
      </c>
      <c r="C467" t="s">
        <v>566</v>
      </c>
      <c r="D467" t="s">
        <v>2369</v>
      </c>
      <c r="E467">
        <f>IFERROR(
   IF(D467="Líder",
      INDEX(ZACATECAS!E:E, MATCH(C467, ZACATECAS!F:F, 0)),
      INDEX(ZACATECAS!H:H, MATCH(C467, ZACATECAS!J:J, 0))
   ),
"")</f>
        <v>32045344</v>
      </c>
    </row>
    <row r="468" spans="1:5" x14ac:dyDescent="0.3">
      <c r="A468" t="s">
        <v>363</v>
      </c>
      <c r="B468" t="s">
        <v>557</v>
      </c>
      <c r="C468" t="s">
        <v>603</v>
      </c>
      <c r="D468" t="s">
        <v>2369</v>
      </c>
      <c r="E468">
        <f>IFERROR(
   IF(D468="Líder",
      INDEX(ZACATECAS!E:E, MATCH(C468, ZACATECAS!F:F, 0)),
      INDEX(ZACATECAS!H:H, MATCH(C468, ZACATECAS!J:J, 0))
   ),
"")</f>
        <v>32180204</v>
      </c>
    </row>
    <row r="469" spans="1:5" x14ac:dyDescent="0.3">
      <c r="A469" t="s">
        <v>363</v>
      </c>
      <c r="B469" t="s">
        <v>557</v>
      </c>
      <c r="C469" t="s">
        <v>582</v>
      </c>
      <c r="D469" t="s">
        <v>2369</v>
      </c>
      <c r="E469">
        <f>IFERROR(
   IF(D469="Líder",
      INDEX(ZACATECAS!E:E, MATCH(C469, ZACATECAS!F:F, 0)),
      INDEX(ZACATECAS!H:H, MATCH(C469, ZACATECAS!J:J, 0))
   ),
"")</f>
        <v>32132045</v>
      </c>
    </row>
    <row r="470" spans="1:5" x14ac:dyDescent="0.3">
      <c r="A470" t="s">
        <v>363</v>
      </c>
      <c r="B470" t="s">
        <v>557</v>
      </c>
      <c r="C470" t="s">
        <v>572</v>
      </c>
      <c r="D470" t="s">
        <v>2369</v>
      </c>
      <c r="E470">
        <f>IFERROR(
   IF(D470="Líder",
      INDEX(ZACATECAS!E:E, MATCH(C470, ZACATECAS!F:F, 0)),
      INDEX(ZACATECAS!H:H, MATCH(C470, ZACATECAS!J:J, 0))
   ),
"")</f>
        <v>32045807</v>
      </c>
    </row>
    <row r="471" spans="1:5" x14ac:dyDescent="0.3">
      <c r="A471" t="s">
        <v>363</v>
      </c>
      <c r="B471" t="s">
        <v>557</v>
      </c>
      <c r="C471" t="s">
        <v>738</v>
      </c>
      <c r="D471" t="s">
        <v>2369</v>
      </c>
      <c r="E471">
        <f>IFERROR(
   IF(D471="Líder",
      INDEX(ZACATECAS!E:E, MATCH(C471, ZACATECAS!F:F, 0)),
      INDEX(ZACATECAS!H:H, MATCH(C471, ZACATECAS!J:J, 0))
   ),
"")</f>
        <v>32180918</v>
      </c>
    </row>
    <row r="472" spans="1:5" x14ac:dyDescent="0.3">
      <c r="A472" t="s">
        <v>363</v>
      </c>
      <c r="B472" t="s">
        <v>557</v>
      </c>
      <c r="C472" t="s">
        <v>597</v>
      </c>
      <c r="D472" t="s">
        <v>2369</v>
      </c>
      <c r="E472">
        <f>IFERROR(
   IF(D472="Líder",
      INDEX(ZACATECAS!E:E, MATCH(C472, ZACATECAS!F:F, 0)),
      INDEX(ZACATECAS!H:H, MATCH(C472, ZACATECAS!J:J, 0))
   ),
"")</f>
        <v>32143658</v>
      </c>
    </row>
    <row r="473" spans="1:5" x14ac:dyDescent="0.3">
      <c r="A473" t="s">
        <v>363</v>
      </c>
      <c r="B473" t="s">
        <v>557</v>
      </c>
      <c r="C473" t="s">
        <v>574</v>
      </c>
      <c r="D473" t="s">
        <v>2369</v>
      </c>
      <c r="E473">
        <f>IFERROR(
   IF(D473="Líder",
      INDEX(ZACATECAS!E:E, MATCH(C473, ZACATECAS!F:F, 0)),
      INDEX(ZACATECAS!H:H, MATCH(C473, ZACATECAS!J:J, 0))
   ),
"")</f>
        <v>32046155</v>
      </c>
    </row>
    <row r="474" spans="1:5" x14ac:dyDescent="0.3">
      <c r="A474" t="s">
        <v>363</v>
      </c>
      <c r="B474" t="s">
        <v>557</v>
      </c>
      <c r="C474" t="s">
        <v>591</v>
      </c>
      <c r="D474" t="s">
        <v>2369</v>
      </c>
      <c r="E474">
        <f>IFERROR(
   IF(D474="Líder",
      INDEX(ZACATECAS!E:E, MATCH(C474, ZACATECAS!F:F, 0)),
      INDEX(ZACATECAS!H:H, MATCH(C474, ZACATECAS!J:J, 0))
   ),
"")</f>
        <v>32143287</v>
      </c>
    </row>
    <row r="475" spans="1:5" x14ac:dyDescent="0.3">
      <c r="A475" t="s">
        <v>363</v>
      </c>
      <c r="B475" t="s">
        <v>557</v>
      </c>
      <c r="C475" t="s">
        <v>588</v>
      </c>
      <c r="D475" t="s">
        <v>2369</v>
      </c>
      <c r="E475">
        <f>IFERROR(
   IF(D475="Líder",
      INDEX(ZACATECAS!E:E, MATCH(C475, ZACATECAS!F:F, 0)),
      INDEX(ZACATECAS!H:H, MATCH(C475, ZACATECAS!J:J, 0))
   ),
"")</f>
        <v>32143281</v>
      </c>
    </row>
    <row r="476" spans="1:5" x14ac:dyDescent="0.3">
      <c r="A476" t="s">
        <v>363</v>
      </c>
      <c r="B476" t="s">
        <v>557</v>
      </c>
      <c r="C476" t="s">
        <v>594</v>
      </c>
      <c r="D476" t="s">
        <v>2369</v>
      </c>
      <c r="E476">
        <f>IFERROR(
   IF(D476="Líder",
      INDEX(ZACATECAS!E:E, MATCH(C476, ZACATECAS!F:F, 0)),
      INDEX(ZACATECAS!H:H, MATCH(C476, ZACATECAS!J:J, 0))
   ),
"")</f>
        <v>32143290</v>
      </c>
    </row>
    <row r="477" spans="1:5" x14ac:dyDescent="0.3">
      <c r="A477" t="s">
        <v>1584</v>
      </c>
      <c r="B477" t="s">
        <v>2353</v>
      </c>
      <c r="C477" t="s">
        <v>2397</v>
      </c>
      <c r="D477" t="s">
        <v>2369</v>
      </c>
      <c r="E477" t="str">
        <f>IFERROR(
   IF(D477="Líder",
      INDEX(ZACATECAS!E:E, MATCH(C477, ZACATECAS!F:F, 0)),
      INDEX(ZACATECAS!H:H, MATCH(C477, ZACATECAS!J:J, 0))
   ),
"")</f>
        <v/>
      </c>
    </row>
    <row r="478" spans="1:5" x14ac:dyDescent="0.3">
      <c r="A478" t="s">
        <v>1584</v>
      </c>
      <c r="B478" t="s">
        <v>2353</v>
      </c>
      <c r="C478" t="s">
        <v>2398</v>
      </c>
      <c r="D478" t="s">
        <v>2369</v>
      </c>
      <c r="E478" t="str">
        <f>IFERROR(
   IF(D478="Líder",
      INDEX(ZACATECAS!E:E, MATCH(C478, ZACATECAS!F:F, 0)),
      INDEX(ZACATECAS!H:H, MATCH(C478, ZACATECAS!J:J, 0))
   ),
"")</f>
        <v/>
      </c>
    </row>
    <row r="479" spans="1:5" x14ac:dyDescent="0.3">
      <c r="A479" t="s">
        <v>1584</v>
      </c>
      <c r="B479" t="s">
        <v>2353</v>
      </c>
      <c r="C479" t="s">
        <v>1611</v>
      </c>
      <c r="D479" t="s">
        <v>2369</v>
      </c>
      <c r="E479">
        <f>IFERROR(
   IF(D479="Líder",
      INDEX(ZACATECAS!E:E, MATCH(C479, ZACATECAS!F:F, 0)),
      INDEX(ZACATECAS!H:H, MATCH(C479, ZACATECAS!J:J, 0))
   ),
"")</f>
        <v>32045688</v>
      </c>
    </row>
    <row r="480" spans="1:5" x14ac:dyDescent="0.3">
      <c r="A480" t="s">
        <v>1584</v>
      </c>
      <c r="B480" t="s">
        <v>2353</v>
      </c>
      <c r="C480" t="s">
        <v>2399</v>
      </c>
      <c r="D480" t="s">
        <v>2369</v>
      </c>
      <c r="E480" t="str">
        <f>IFERROR(
   IF(D480="Líder",
      INDEX(ZACATECAS!E:E, MATCH(C480, ZACATECAS!F:F, 0)),
      INDEX(ZACATECAS!H:H, MATCH(C480, ZACATECAS!J:J, 0))
   ),
"")</f>
        <v/>
      </c>
    </row>
    <row r="481" spans="1:5" x14ac:dyDescent="0.3">
      <c r="A481" t="s">
        <v>1584</v>
      </c>
      <c r="B481" t="s">
        <v>2353</v>
      </c>
      <c r="C481" t="s">
        <v>1608</v>
      </c>
      <c r="D481" t="s">
        <v>2369</v>
      </c>
      <c r="E481">
        <f>IFERROR(
   IF(D481="Líder",
      INDEX(ZACATECAS!E:E, MATCH(C481, ZACATECAS!F:F, 0)),
      INDEX(ZACATECAS!H:H, MATCH(C481, ZACATECAS!J:J, 0))
   ),
"")</f>
        <v>32218618</v>
      </c>
    </row>
    <row r="482" spans="1:5" x14ac:dyDescent="0.3">
      <c r="A482" t="s">
        <v>1584</v>
      </c>
      <c r="B482" t="s">
        <v>2353</v>
      </c>
      <c r="C482" t="s">
        <v>2400</v>
      </c>
      <c r="D482" t="s">
        <v>2369</v>
      </c>
      <c r="E482" t="str">
        <f>IFERROR(
   IF(D482="Líder",
      INDEX(ZACATECAS!E:E, MATCH(C482, ZACATECAS!F:F, 0)),
      INDEX(ZACATECAS!H:H, MATCH(C482, ZACATECAS!J:J, 0))
   ),
"")</f>
        <v/>
      </c>
    </row>
    <row r="483" spans="1:5" x14ac:dyDescent="0.3">
      <c r="A483" t="s">
        <v>1584</v>
      </c>
      <c r="B483" t="s">
        <v>2353</v>
      </c>
      <c r="C483" t="s">
        <v>1606</v>
      </c>
      <c r="D483" t="s">
        <v>2369</v>
      </c>
      <c r="E483">
        <f>IFERROR(
   IF(D483="Líder",
      INDEX(ZACATECAS!E:E, MATCH(C483, ZACATECAS!F:F, 0)),
      INDEX(ZACATECAS!H:H, MATCH(C483, ZACATECAS!J:J, 0))
   ),
"")</f>
        <v>32045650</v>
      </c>
    </row>
    <row r="484" spans="1:5" x14ac:dyDescent="0.3">
      <c r="A484" t="s">
        <v>1584</v>
      </c>
      <c r="B484" t="s">
        <v>2353</v>
      </c>
      <c r="C484" t="s">
        <v>2401</v>
      </c>
      <c r="D484" t="s">
        <v>2369</v>
      </c>
      <c r="E484" t="str">
        <f>IFERROR(
   IF(D484="Líder",
      INDEX(ZACATECAS!E:E, MATCH(C484, ZACATECAS!F:F, 0)),
      INDEX(ZACATECAS!H:H, MATCH(C484, ZACATECAS!J:J, 0))
   ),
"")</f>
        <v/>
      </c>
    </row>
    <row r="485" spans="1:5" x14ac:dyDescent="0.3">
      <c r="A485" t="s">
        <v>1584</v>
      </c>
      <c r="B485" t="s">
        <v>2353</v>
      </c>
      <c r="C485" t="s">
        <v>1604</v>
      </c>
      <c r="D485" t="s">
        <v>2369</v>
      </c>
      <c r="E485">
        <f>IFERROR(
   IF(D485="Líder",
      INDEX(ZACATECAS!E:E, MATCH(C485, ZACATECAS!F:F, 0)),
      INDEX(ZACATECAS!H:H, MATCH(C485, ZACATECAS!J:J, 0))
   ),
"")</f>
        <v>32216501</v>
      </c>
    </row>
    <row r="486" spans="1:5" x14ac:dyDescent="0.3">
      <c r="A486" t="s">
        <v>363</v>
      </c>
      <c r="B486" t="s">
        <v>1320</v>
      </c>
      <c r="C486" t="s">
        <v>1341</v>
      </c>
      <c r="D486" t="s">
        <v>2369</v>
      </c>
      <c r="E486">
        <f>IFERROR(
   IF(D486="Líder",
      INDEX(ZACATECAS!E:E, MATCH(C486, ZACATECAS!F:F, 0)),
      INDEX(ZACATECAS!H:H, MATCH(C486, ZACATECAS!J:J, 0))
   ),
"")</f>
        <v>32044915</v>
      </c>
    </row>
    <row r="487" spans="1:5" x14ac:dyDescent="0.3">
      <c r="A487" t="s">
        <v>363</v>
      </c>
      <c r="B487" t="s">
        <v>1320</v>
      </c>
      <c r="C487" t="s">
        <v>1339</v>
      </c>
      <c r="D487" t="s">
        <v>2369</v>
      </c>
      <c r="E487">
        <f>IFERROR(
   IF(D487="Líder",
      INDEX(ZACATECAS!E:E, MATCH(C487, ZACATECAS!F:F, 0)),
      INDEX(ZACATECAS!H:H, MATCH(C487, ZACATECAS!J:J, 0))
   ),
"")</f>
        <v>32044729</v>
      </c>
    </row>
    <row r="488" spans="1:5" x14ac:dyDescent="0.3">
      <c r="A488" t="s">
        <v>363</v>
      </c>
      <c r="B488" t="s">
        <v>1320</v>
      </c>
      <c r="C488" t="s">
        <v>1337</v>
      </c>
      <c r="D488" t="s">
        <v>2369</v>
      </c>
      <c r="E488">
        <f>IFERROR(
   IF(D488="Líder",
      INDEX(ZACATECAS!E:E, MATCH(C488, ZACATECAS!F:F, 0)),
      INDEX(ZACATECAS!H:H, MATCH(C488, ZACATECAS!J:J, 0))
   ),
"")</f>
        <v>32044731</v>
      </c>
    </row>
    <row r="489" spans="1:5" x14ac:dyDescent="0.3">
      <c r="A489" t="s">
        <v>363</v>
      </c>
      <c r="B489" t="s">
        <v>1320</v>
      </c>
      <c r="C489" t="s">
        <v>1335</v>
      </c>
      <c r="D489" t="s">
        <v>2369</v>
      </c>
      <c r="E489">
        <f>IFERROR(
   IF(D489="Líder",
      INDEX(ZACATECAS!E:E, MATCH(C489, ZACATECAS!F:F, 0)),
      INDEX(ZACATECAS!H:H, MATCH(C489, ZACATECAS!J:J, 0))
   ),
"")</f>
        <v>32046217</v>
      </c>
    </row>
    <row r="490" spans="1:5" x14ac:dyDescent="0.3">
      <c r="A490" t="s">
        <v>363</v>
      </c>
      <c r="B490" t="s">
        <v>1320</v>
      </c>
      <c r="C490" t="s">
        <v>1333</v>
      </c>
      <c r="D490" t="s">
        <v>2369</v>
      </c>
      <c r="E490">
        <f>IFERROR(
   IF(D490="Líder",
      INDEX(ZACATECAS!E:E, MATCH(C490, ZACATECAS!F:F, 0)),
      INDEX(ZACATECAS!H:H, MATCH(C490, ZACATECAS!J:J, 0))
   ),
"")</f>
        <v>32045237</v>
      </c>
    </row>
    <row r="491" spans="1:5" x14ac:dyDescent="0.3">
      <c r="A491" t="s">
        <v>363</v>
      </c>
      <c r="B491" t="s">
        <v>1320</v>
      </c>
      <c r="C491" t="s">
        <v>1331</v>
      </c>
      <c r="D491" t="s">
        <v>2369</v>
      </c>
      <c r="E491">
        <f>IFERROR(
   IF(D491="Líder",
      INDEX(ZACATECAS!E:E, MATCH(C491, ZACATECAS!F:F, 0)),
      INDEX(ZACATECAS!H:H, MATCH(C491, ZACATECAS!J:J, 0))
   ),
"")</f>
        <v>32132046</v>
      </c>
    </row>
    <row r="492" spans="1:5" x14ac:dyDescent="0.3">
      <c r="A492" t="s">
        <v>363</v>
      </c>
      <c r="B492" t="s">
        <v>1320</v>
      </c>
      <c r="C492" t="s">
        <v>1329</v>
      </c>
      <c r="D492" t="s">
        <v>2369</v>
      </c>
      <c r="E492">
        <f>IFERROR(
   IF(D492="Líder",
      INDEX(ZACATECAS!E:E, MATCH(C492, ZACATECAS!F:F, 0)),
      INDEX(ZACATECAS!H:H, MATCH(C492, ZACATECAS!J:J, 0))
   ),
"")</f>
        <v>32045206</v>
      </c>
    </row>
    <row r="493" spans="1:5" x14ac:dyDescent="0.3">
      <c r="A493" t="s">
        <v>363</v>
      </c>
      <c r="B493" t="s">
        <v>1320</v>
      </c>
      <c r="C493" t="s">
        <v>1327</v>
      </c>
      <c r="D493" t="s">
        <v>2369</v>
      </c>
      <c r="E493">
        <f>IFERROR(
   IF(D493="Líder",
      INDEX(ZACATECAS!E:E, MATCH(C493, ZACATECAS!F:F, 0)),
      INDEX(ZACATECAS!H:H, MATCH(C493, ZACATECAS!J:J, 0))
   ),
"")</f>
        <v>32044865</v>
      </c>
    </row>
    <row r="494" spans="1:5" x14ac:dyDescent="0.3">
      <c r="A494" t="s">
        <v>363</v>
      </c>
      <c r="B494" t="s">
        <v>1320</v>
      </c>
      <c r="C494" t="s">
        <v>1325</v>
      </c>
      <c r="D494" t="s">
        <v>2369</v>
      </c>
      <c r="E494">
        <f>IFERROR(
   IF(D494="Líder",
      INDEX(ZACATECAS!E:E, MATCH(C494, ZACATECAS!F:F, 0)),
      INDEX(ZACATECAS!H:H, MATCH(C494, ZACATECAS!J:J, 0))
   ),
"")</f>
        <v>32046080</v>
      </c>
    </row>
    <row r="495" spans="1:5" x14ac:dyDescent="0.3">
      <c r="A495" t="s">
        <v>363</v>
      </c>
      <c r="B495" t="s">
        <v>1320</v>
      </c>
      <c r="C495" t="s">
        <v>1323</v>
      </c>
      <c r="D495" t="s">
        <v>2369</v>
      </c>
      <c r="E495">
        <f>IFERROR(
   IF(D495="Líder",
      INDEX(ZACATECAS!E:E, MATCH(C495, ZACATECAS!F:F, 0)),
      INDEX(ZACATECAS!H:H, MATCH(C495, ZACATECAS!J:J, 0))
   ),
"")</f>
        <v>32132234</v>
      </c>
    </row>
    <row r="496" spans="1:5" x14ac:dyDescent="0.3">
      <c r="A496" t="s">
        <v>363</v>
      </c>
      <c r="B496" t="s">
        <v>1320</v>
      </c>
      <c r="C496" t="s">
        <v>1321</v>
      </c>
      <c r="D496" t="s">
        <v>2369</v>
      </c>
      <c r="E496">
        <f>IFERROR(
   IF(D496="Líder",
      INDEX(ZACATECAS!E:E, MATCH(C496, ZACATECAS!F:F, 0)),
      INDEX(ZACATECAS!H:H, MATCH(C496, ZACATECAS!J:J, 0))
   ),
"")</f>
        <v>32202290</v>
      </c>
    </row>
    <row r="497" spans="1:5" x14ac:dyDescent="0.3">
      <c r="A497" t="s">
        <v>1584</v>
      </c>
      <c r="B497" t="s">
        <v>1615</v>
      </c>
      <c r="C497" t="s">
        <v>1637</v>
      </c>
      <c r="D497" t="s">
        <v>2369</v>
      </c>
      <c r="E497">
        <f>IFERROR(
   IF(D497="Líder",
      INDEX(ZACATECAS!E:E, MATCH(C497, ZACATECAS!F:F, 0)),
      INDEX(ZACATECAS!H:H, MATCH(C497, ZACATECAS!J:J, 0))
   ),
"")</f>
        <v>32045439</v>
      </c>
    </row>
    <row r="498" spans="1:5" x14ac:dyDescent="0.3">
      <c r="A498" t="s">
        <v>1584</v>
      </c>
      <c r="B498" t="s">
        <v>1615</v>
      </c>
      <c r="C498" t="s">
        <v>1633</v>
      </c>
      <c r="D498" t="s">
        <v>2369</v>
      </c>
      <c r="E498">
        <f>IFERROR(
   IF(D498="Líder",
      INDEX(ZACATECAS!E:E, MATCH(C498, ZACATECAS!F:F, 0)),
      INDEX(ZACATECAS!H:H, MATCH(C498, ZACATECAS!J:J, 0))
   ),
"")</f>
        <v>32044337</v>
      </c>
    </row>
    <row r="499" spans="1:5" x14ac:dyDescent="0.3">
      <c r="A499" t="s">
        <v>1584</v>
      </c>
      <c r="B499" t="s">
        <v>1615</v>
      </c>
      <c r="C499" t="s">
        <v>1632</v>
      </c>
      <c r="D499" t="s">
        <v>2369</v>
      </c>
      <c r="E499">
        <f>IFERROR(
   IF(D499="Líder",
      INDEX(ZACATECAS!E:E, MATCH(C499, ZACATECAS!F:F, 0)),
      INDEX(ZACATECAS!H:H, MATCH(C499, ZACATECAS!J:J, 0))
   ),
"")</f>
        <v>32046212</v>
      </c>
    </row>
    <row r="500" spans="1:5" x14ac:dyDescent="0.3">
      <c r="A500" t="s">
        <v>1584</v>
      </c>
      <c r="B500" t="s">
        <v>1615</v>
      </c>
      <c r="C500" t="s">
        <v>2402</v>
      </c>
      <c r="D500" t="s">
        <v>2369</v>
      </c>
      <c r="E500" t="str">
        <f>IFERROR(
   IF(D500="Líder",
      INDEX(ZACATECAS!E:E, MATCH(C500, ZACATECAS!F:F, 0)),
      INDEX(ZACATECAS!H:H, MATCH(C500, ZACATECAS!J:J, 0))
   ),
"")</f>
        <v/>
      </c>
    </row>
    <row r="501" spans="1:5" x14ac:dyDescent="0.3">
      <c r="A501" t="s">
        <v>1584</v>
      </c>
      <c r="B501" t="s">
        <v>1615</v>
      </c>
      <c r="C501" t="s">
        <v>1626</v>
      </c>
      <c r="D501" t="s">
        <v>2369</v>
      </c>
      <c r="E501">
        <f>IFERROR(
   IF(D501="Líder",
      INDEX(ZACATECAS!E:E, MATCH(C501, ZACATECAS!F:F, 0)),
      INDEX(ZACATECAS!H:H, MATCH(C501, ZACATECAS!J:J, 0))
   ),
"")</f>
        <v>32044255</v>
      </c>
    </row>
    <row r="502" spans="1:5" x14ac:dyDescent="0.3">
      <c r="A502" t="s">
        <v>1584</v>
      </c>
      <c r="B502" t="s">
        <v>1615</v>
      </c>
      <c r="C502" t="s">
        <v>2403</v>
      </c>
      <c r="D502" t="s">
        <v>2369</v>
      </c>
      <c r="E502" t="str">
        <f>IFERROR(
   IF(D502="Líder",
      INDEX(ZACATECAS!E:E, MATCH(C502, ZACATECAS!F:F, 0)),
      INDEX(ZACATECAS!H:H, MATCH(C502, ZACATECAS!J:J, 0))
   ),
"")</f>
        <v/>
      </c>
    </row>
    <row r="503" spans="1:5" x14ac:dyDescent="0.3">
      <c r="A503" t="s">
        <v>1584</v>
      </c>
      <c r="B503" t="s">
        <v>1615</v>
      </c>
      <c r="C503" t="s">
        <v>2404</v>
      </c>
      <c r="D503" t="s">
        <v>2369</v>
      </c>
      <c r="E503" t="str">
        <f>IFERROR(
   IF(D503="Líder",
      INDEX(ZACATECAS!E:E, MATCH(C503, ZACATECAS!F:F, 0)),
      INDEX(ZACATECAS!H:H, MATCH(C503, ZACATECAS!J:J, 0))
   ),
"")</f>
        <v/>
      </c>
    </row>
    <row r="504" spans="1:5" x14ac:dyDescent="0.3">
      <c r="A504" t="s">
        <v>1584</v>
      </c>
      <c r="B504" t="s">
        <v>1615</v>
      </c>
      <c r="C504" t="s">
        <v>1624</v>
      </c>
      <c r="D504" t="s">
        <v>2369</v>
      </c>
      <c r="E504">
        <f>IFERROR(
   IF(D504="Líder",
      INDEX(ZACATECAS!E:E, MATCH(C504, ZACATECAS!F:F, 0)),
      INDEX(ZACATECAS!H:H, MATCH(C504, ZACATECAS!J:J, 0))
   ),
"")</f>
        <v>32058883</v>
      </c>
    </row>
    <row r="505" spans="1:5" x14ac:dyDescent="0.3">
      <c r="A505" t="s">
        <v>1584</v>
      </c>
      <c r="B505" t="s">
        <v>1615</v>
      </c>
      <c r="C505" t="s">
        <v>1622</v>
      </c>
      <c r="D505" t="s">
        <v>2369</v>
      </c>
      <c r="E505">
        <f>IFERROR(
   IF(D505="Líder",
      INDEX(ZACATECAS!E:E, MATCH(C505, ZACATECAS!F:F, 0)),
      INDEX(ZACATECAS!H:H, MATCH(C505, ZACATECAS!J:J, 0))
   ),
"")</f>
        <v>32046185</v>
      </c>
    </row>
    <row r="506" spans="1:5" x14ac:dyDescent="0.3">
      <c r="A506" t="s">
        <v>1584</v>
      </c>
      <c r="B506" t="s">
        <v>1615</v>
      </c>
      <c r="C506" t="s">
        <v>2405</v>
      </c>
      <c r="D506" t="s">
        <v>2369</v>
      </c>
      <c r="E506" t="str">
        <f>IFERROR(
   IF(D506="Líder",
      INDEX(ZACATECAS!E:E, MATCH(C506, ZACATECAS!F:F, 0)),
      INDEX(ZACATECAS!H:H, MATCH(C506, ZACATECAS!J:J, 0))
   ),
"")</f>
        <v/>
      </c>
    </row>
    <row r="507" spans="1:5" x14ac:dyDescent="0.3">
      <c r="A507" t="s">
        <v>1584</v>
      </c>
      <c r="B507" t="s">
        <v>1615</v>
      </c>
      <c r="C507" t="s">
        <v>2406</v>
      </c>
      <c r="D507" t="s">
        <v>2369</v>
      </c>
      <c r="E507" t="str">
        <f>IFERROR(
   IF(D507="Líder",
      INDEX(ZACATECAS!E:E, MATCH(C507, ZACATECAS!F:F, 0)),
      INDEX(ZACATECAS!H:H, MATCH(C507, ZACATECAS!J:J, 0))
   ),
"")</f>
        <v/>
      </c>
    </row>
    <row r="508" spans="1:5" x14ac:dyDescent="0.3">
      <c r="A508" t="s">
        <v>1584</v>
      </c>
      <c r="B508" t="s">
        <v>1615</v>
      </c>
      <c r="C508" t="s">
        <v>2407</v>
      </c>
      <c r="D508" t="s">
        <v>2369</v>
      </c>
      <c r="E508" t="str">
        <f>IFERROR(
   IF(D508="Líder",
      INDEX(ZACATECAS!E:E, MATCH(C508, ZACATECAS!F:F, 0)),
      INDEX(ZACATECAS!H:H, MATCH(C508, ZACATECAS!J:J, 0))
   ),
"")</f>
        <v/>
      </c>
    </row>
    <row r="509" spans="1:5" x14ac:dyDescent="0.3">
      <c r="A509" t="s">
        <v>1584</v>
      </c>
      <c r="B509" t="s">
        <v>1615</v>
      </c>
      <c r="C509" t="s">
        <v>2408</v>
      </c>
      <c r="D509" t="s">
        <v>2369</v>
      </c>
      <c r="E509" t="str">
        <f>IFERROR(
   IF(D509="Líder",
      INDEX(ZACATECAS!E:E, MATCH(C509, ZACATECAS!F:F, 0)),
      INDEX(ZACATECAS!H:H, MATCH(C509, ZACATECAS!J:J, 0))
   ),
"")</f>
        <v/>
      </c>
    </row>
    <row r="510" spans="1:5" x14ac:dyDescent="0.3">
      <c r="A510" t="s">
        <v>1584</v>
      </c>
      <c r="B510" t="s">
        <v>1615</v>
      </c>
      <c r="C510" t="s">
        <v>2409</v>
      </c>
      <c r="D510" t="s">
        <v>2369</v>
      </c>
      <c r="E510" t="str">
        <f>IFERROR(
   IF(D510="Líder",
      INDEX(ZACATECAS!E:E, MATCH(C510, ZACATECAS!F:F, 0)),
      INDEX(ZACATECAS!H:H, MATCH(C510, ZACATECAS!J:J, 0))
   ),
"")</f>
        <v/>
      </c>
    </row>
    <row r="511" spans="1:5" x14ac:dyDescent="0.3">
      <c r="A511" t="s">
        <v>1584</v>
      </c>
      <c r="B511" t="s">
        <v>1615</v>
      </c>
      <c r="C511" t="s">
        <v>2410</v>
      </c>
      <c r="D511" t="s">
        <v>2369</v>
      </c>
      <c r="E511" t="str">
        <f>IFERROR(
   IF(D511="Líder",
      INDEX(ZACATECAS!E:E, MATCH(C511, ZACATECAS!F:F, 0)),
      INDEX(ZACATECAS!H:H, MATCH(C511, ZACATECAS!J:J, 0))
   ),
"")</f>
        <v/>
      </c>
    </row>
    <row r="512" spans="1:5" x14ac:dyDescent="0.3">
      <c r="A512" t="s">
        <v>1584</v>
      </c>
      <c r="B512" t="s">
        <v>1615</v>
      </c>
      <c r="C512" t="s">
        <v>2411</v>
      </c>
      <c r="D512" t="s">
        <v>2369</v>
      </c>
      <c r="E512" t="str">
        <f>IFERROR(
   IF(D512="Líder",
      INDEX(ZACATECAS!E:E, MATCH(C512, ZACATECAS!F:F, 0)),
      INDEX(ZACATECAS!H:H, MATCH(C512, ZACATECAS!J:J, 0))
   ),
"")</f>
        <v/>
      </c>
    </row>
    <row r="513" spans="1:5" x14ac:dyDescent="0.3">
      <c r="A513" t="s">
        <v>363</v>
      </c>
      <c r="B513" t="s">
        <v>605</v>
      </c>
      <c r="C513" t="s">
        <v>611</v>
      </c>
      <c r="D513" t="s">
        <v>2369</v>
      </c>
      <c r="E513">
        <f>IFERROR(
   IF(D513="Líder",
      INDEX(ZACATECAS!E:E, MATCH(C513, ZACATECAS!F:F, 0)),
      INDEX(ZACATECAS!H:H, MATCH(C513, ZACATECAS!J:J, 0))
   ),
"")</f>
        <v>32044946</v>
      </c>
    </row>
    <row r="514" spans="1:5" x14ac:dyDescent="0.3">
      <c r="A514" t="s">
        <v>363</v>
      </c>
      <c r="B514" t="s">
        <v>605</v>
      </c>
      <c r="C514" t="s">
        <v>621</v>
      </c>
      <c r="D514" t="s">
        <v>2369</v>
      </c>
      <c r="E514">
        <f>IFERROR(
   IF(D514="Líder",
      INDEX(ZACATECAS!E:E, MATCH(C514, ZACATECAS!F:F, 0)),
      INDEX(ZACATECAS!H:H, MATCH(C514, ZACATECAS!J:J, 0))
   ),
"")</f>
        <v>32045731</v>
      </c>
    </row>
    <row r="515" spans="1:5" x14ac:dyDescent="0.3">
      <c r="A515" t="s">
        <v>363</v>
      </c>
      <c r="B515" t="s">
        <v>605</v>
      </c>
      <c r="C515" t="s">
        <v>609</v>
      </c>
      <c r="D515" t="s">
        <v>2369</v>
      </c>
      <c r="E515">
        <f>IFERROR(
   IF(D515="Líder",
      INDEX(ZACATECAS!E:E, MATCH(C515, ZACATECAS!F:F, 0)),
      INDEX(ZACATECAS!H:H, MATCH(C515, ZACATECAS!J:J, 0))
   ),
"")</f>
        <v>32044554</v>
      </c>
    </row>
    <row r="516" spans="1:5" x14ac:dyDescent="0.3">
      <c r="A516" t="s">
        <v>363</v>
      </c>
      <c r="B516" t="s">
        <v>605</v>
      </c>
      <c r="C516" t="s">
        <v>628</v>
      </c>
      <c r="D516" t="s">
        <v>2369</v>
      </c>
      <c r="E516">
        <f>IFERROR(
   IF(D516="Líder",
      INDEX(ZACATECAS!E:E, MATCH(C516, ZACATECAS!F:F, 0)),
      INDEX(ZACATECAS!H:H, MATCH(C516, ZACATECAS!J:J, 0))
   ),
"")</f>
        <v>32046135</v>
      </c>
    </row>
    <row r="517" spans="1:5" x14ac:dyDescent="0.3">
      <c r="A517" t="s">
        <v>363</v>
      </c>
      <c r="B517" t="s">
        <v>605</v>
      </c>
      <c r="C517" t="s">
        <v>608</v>
      </c>
      <c r="D517" t="s">
        <v>2369</v>
      </c>
      <c r="E517">
        <f>IFERROR(
   IF(D517="Líder",
      INDEX(ZACATECAS!E:E, MATCH(C517, ZACATECAS!F:F, 0)),
      INDEX(ZACATECAS!H:H, MATCH(C517, ZACATECAS!J:J, 0))
   ),
"")</f>
        <v>32044201</v>
      </c>
    </row>
    <row r="518" spans="1:5" x14ac:dyDescent="0.3">
      <c r="A518" t="s">
        <v>363</v>
      </c>
      <c r="B518" t="s">
        <v>605</v>
      </c>
      <c r="C518" t="s">
        <v>637</v>
      </c>
      <c r="D518" t="s">
        <v>2369</v>
      </c>
      <c r="E518">
        <f>IFERROR(
   IF(D518="Líder",
      INDEX(ZACATECAS!E:E, MATCH(C518, ZACATECAS!F:F, 0)),
      INDEX(ZACATECAS!H:H, MATCH(C518, ZACATECAS!J:J, 0))
   ),
"")</f>
        <v>32046511</v>
      </c>
    </row>
    <row r="519" spans="1:5" x14ac:dyDescent="0.3">
      <c r="A519" t="s">
        <v>363</v>
      </c>
      <c r="B519" t="s">
        <v>605</v>
      </c>
      <c r="C519" t="s">
        <v>619</v>
      </c>
      <c r="D519" t="s">
        <v>2369</v>
      </c>
      <c r="E519">
        <f>IFERROR(
   IF(D519="Líder",
      INDEX(ZACATECAS!E:E, MATCH(C519, ZACATECAS!F:F, 0)),
      INDEX(ZACATECAS!H:H, MATCH(C519, ZACATECAS!J:J, 0))
   ),
"")</f>
        <v>32045629</v>
      </c>
    </row>
    <row r="520" spans="1:5" x14ac:dyDescent="0.3">
      <c r="A520" t="s">
        <v>363</v>
      </c>
      <c r="B520" t="s">
        <v>605</v>
      </c>
      <c r="C520" t="s">
        <v>662</v>
      </c>
      <c r="D520" t="s">
        <v>2369</v>
      </c>
      <c r="E520">
        <f>IFERROR(
   IF(D520="Líder",
      INDEX(ZACATECAS!E:E, MATCH(C520, ZACATECAS!F:F, 0)),
      INDEX(ZACATECAS!H:H, MATCH(C520, ZACATECAS!J:J, 0))
   ),
"")</f>
        <v>32096559</v>
      </c>
    </row>
    <row r="521" spans="1:5" x14ac:dyDescent="0.3">
      <c r="A521" t="s">
        <v>363</v>
      </c>
      <c r="B521" t="s">
        <v>605</v>
      </c>
      <c r="C521" t="s">
        <v>617</v>
      </c>
      <c r="D521" t="s">
        <v>2369</v>
      </c>
      <c r="E521">
        <f>IFERROR(
   IF(D521="Líder",
      INDEX(ZACATECAS!E:E, MATCH(C521, ZACATECAS!F:F, 0)),
      INDEX(ZACATECAS!H:H, MATCH(C521, ZACATECAS!J:J, 0))
   ),
"")</f>
        <v>32045593</v>
      </c>
    </row>
    <row r="522" spans="1:5" x14ac:dyDescent="0.3">
      <c r="A522" t="s">
        <v>363</v>
      </c>
      <c r="B522" t="s">
        <v>605</v>
      </c>
      <c r="C522" t="s">
        <v>650</v>
      </c>
      <c r="D522" t="s">
        <v>2369</v>
      </c>
      <c r="E522">
        <f>IFERROR(
   IF(D522="Líder",
      INDEX(ZACATECAS!E:E, MATCH(C522, ZACATECAS!F:F, 0)),
      INDEX(ZACATECAS!H:H, MATCH(C522, ZACATECAS!J:J, 0))
   ),
"")</f>
        <v>32045202</v>
      </c>
    </row>
    <row r="523" spans="1:5" x14ac:dyDescent="0.3">
      <c r="A523" t="s">
        <v>363</v>
      </c>
      <c r="B523" t="s">
        <v>605</v>
      </c>
      <c r="C523" t="s">
        <v>624</v>
      </c>
      <c r="D523" t="s">
        <v>2369</v>
      </c>
      <c r="E523">
        <f>IFERROR(
   IF(D523="Líder",
      INDEX(ZACATECAS!E:E, MATCH(C523, ZACATECAS!F:F, 0)),
      INDEX(ZACATECAS!H:H, MATCH(C523, ZACATECAS!J:J, 0))
   ),
"")</f>
        <v>32045754</v>
      </c>
    </row>
    <row r="524" spans="1:5" x14ac:dyDescent="0.3">
      <c r="A524" t="s">
        <v>363</v>
      </c>
      <c r="B524" t="s">
        <v>605</v>
      </c>
      <c r="C524" t="s">
        <v>613</v>
      </c>
      <c r="D524" t="s">
        <v>2369</v>
      </c>
      <c r="E524">
        <f>IFERROR(
   IF(D524="Líder",
      INDEX(ZACATECAS!E:E, MATCH(C524, ZACATECAS!F:F, 0)),
      INDEX(ZACATECAS!H:H, MATCH(C524, ZACATECAS!J:J, 0))
   ),
"")</f>
        <v>32044986</v>
      </c>
    </row>
    <row r="525" spans="1:5" x14ac:dyDescent="0.3">
      <c r="A525" t="s">
        <v>363</v>
      </c>
      <c r="B525" t="s">
        <v>605</v>
      </c>
      <c r="C525" t="s">
        <v>615</v>
      </c>
      <c r="D525" t="s">
        <v>2369</v>
      </c>
      <c r="E525">
        <f>IFERROR(
   IF(D525="Líder",
      INDEX(ZACATECAS!E:E, MATCH(C525, ZACATECAS!F:F, 0)),
      INDEX(ZACATECAS!H:H, MATCH(C525, ZACATECAS!J:J, 0))
   ),
"")</f>
        <v>32045137</v>
      </c>
    </row>
    <row r="526" spans="1:5" x14ac:dyDescent="0.3">
      <c r="A526" t="s">
        <v>363</v>
      </c>
      <c r="B526" t="s">
        <v>605</v>
      </c>
      <c r="C526" t="s">
        <v>638</v>
      </c>
      <c r="D526" t="s">
        <v>2369</v>
      </c>
      <c r="E526">
        <f>IFERROR(
   IF(D526="Líder",
      INDEX(ZACATECAS!E:E, MATCH(C526, ZACATECAS!F:F, 0)),
      INDEX(ZACATECAS!H:H, MATCH(C526, ZACATECAS!J:J, 0))
   ),
"")</f>
        <v>32063475</v>
      </c>
    </row>
    <row r="527" spans="1:5" x14ac:dyDescent="0.3">
      <c r="A527" t="s">
        <v>363</v>
      </c>
      <c r="B527" t="s">
        <v>605</v>
      </c>
      <c r="C527" t="s">
        <v>633</v>
      </c>
      <c r="D527" t="s">
        <v>2369</v>
      </c>
      <c r="E527">
        <f>IFERROR(
   IF(D527="Líder",
      INDEX(ZACATECAS!E:E, MATCH(C527, ZACATECAS!F:F, 0)),
      INDEX(ZACATECAS!H:H, MATCH(C527, ZACATECAS!J:J, 0))
   ),
"")</f>
        <v>32046165</v>
      </c>
    </row>
    <row r="528" spans="1:5" x14ac:dyDescent="0.3">
      <c r="A528" t="s">
        <v>363</v>
      </c>
      <c r="B528" t="s">
        <v>605</v>
      </c>
      <c r="C528" t="s">
        <v>635</v>
      </c>
      <c r="D528" t="s">
        <v>2369</v>
      </c>
      <c r="E528">
        <f>IFERROR(
   IF(D528="Líder",
      INDEX(ZACATECAS!E:E, MATCH(C528, ZACATECAS!F:F, 0)),
      INDEX(ZACATECAS!H:H, MATCH(C528, ZACATECAS!J:J, 0))
   ),
"")</f>
        <v>32046468</v>
      </c>
    </row>
    <row r="529" spans="1:5" x14ac:dyDescent="0.3">
      <c r="A529" t="s">
        <v>363</v>
      </c>
      <c r="B529" t="s">
        <v>605</v>
      </c>
      <c r="C529" t="s">
        <v>626</v>
      </c>
      <c r="D529" t="s">
        <v>2369</v>
      </c>
      <c r="E529">
        <f>IFERROR(
   IF(D529="Líder",
      INDEX(ZACATECAS!E:E, MATCH(C529, ZACATECAS!F:F, 0)),
      INDEX(ZACATECAS!H:H, MATCH(C529, ZACATECAS!J:J, 0))
   ),
"")</f>
        <v>32045768</v>
      </c>
    </row>
    <row r="530" spans="1:5" x14ac:dyDescent="0.3">
      <c r="A530" t="s">
        <v>363</v>
      </c>
      <c r="B530" t="s">
        <v>435</v>
      </c>
      <c r="C530" t="s">
        <v>436</v>
      </c>
      <c r="D530" t="s">
        <v>2369</v>
      </c>
      <c r="E530">
        <f>IFERROR(
   IF(D530="Líder",
      INDEX(ZACATECAS!E:E, MATCH(C530, ZACATECAS!F:F, 0)),
      INDEX(ZACATECAS!H:H, MATCH(C530, ZACATECAS!J:J, 0))
   ),
"")</f>
        <v>32046406</v>
      </c>
    </row>
    <row r="531" spans="1:5" x14ac:dyDescent="0.3">
      <c r="A531" t="s">
        <v>363</v>
      </c>
      <c r="B531" t="s">
        <v>435</v>
      </c>
      <c r="C531" t="s">
        <v>438</v>
      </c>
      <c r="D531" t="s">
        <v>2369</v>
      </c>
      <c r="E531">
        <f>IFERROR(
   IF(D531="Líder",
      INDEX(ZACATECAS!E:E, MATCH(C531, ZACATECAS!F:F, 0)),
      INDEX(ZACATECAS!H:H, MATCH(C531, ZACATECAS!J:J, 0))
   ),
"")</f>
        <v>32131821</v>
      </c>
    </row>
    <row r="532" spans="1:5" x14ac:dyDescent="0.3">
      <c r="A532" t="s">
        <v>363</v>
      </c>
      <c r="B532" t="s">
        <v>435</v>
      </c>
      <c r="C532" t="s">
        <v>440</v>
      </c>
      <c r="D532" t="s">
        <v>2369</v>
      </c>
      <c r="E532">
        <f>IFERROR(
   IF(D532="Líder",
      INDEX(ZACATECAS!E:E, MATCH(C532, ZACATECAS!F:F, 0)),
      INDEX(ZACATECAS!H:H, MATCH(C532, ZACATECAS!J:J, 0))
   ),
"")</f>
        <v>32044448</v>
      </c>
    </row>
    <row r="533" spans="1:5" x14ac:dyDescent="0.3">
      <c r="A533" t="s">
        <v>363</v>
      </c>
      <c r="B533" t="s">
        <v>435</v>
      </c>
      <c r="C533" t="s">
        <v>442</v>
      </c>
      <c r="D533" t="s">
        <v>2369</v>
      </c>
      <c r="E533">
        <f>IFERROR(
   IF(D533="Líder",
      INDEX(ZACATECAS!E:E, MATCH(C533, ZACATECAS!F:F, 0)),
      INDEX(ZACATECAS!H:H, MATCH(C533, ZACATECAS!J:J, 0))
   ),
"")</f>
        <v>32155897</v>
      </c>
    </row>
    <row r="534" spans="1:5" x14ac:dyDescent="0.3">
      <c r="A534" t="s">
        <v>363</v>
      </c>
      <c r="B534" t="s">
        <v>435</v>
      </c>
      <c r="C534" t="s">
        <v>1266</v>
      </c>
      <c r="D534" t="s">
        <v>2369</v>
      </c>
      <c r="E534">
        <f>IFERROR(
   IF(D534="Líder",
      INDEX(ZACATECAS!E:E, MATCH(C534, ZACATECAS!F:F, 0)),
      INDEX(ZACATECAS!H:H, MATCH(C534, ZACATECAS!J:J, 0))
   ),
"")</f>
        <v>32199334</v>
      </c>
    </row>
    <row r="535" spans="1:5" x14ac:dyDescent="0.3">
      <c r="A535" t="s">
        <v>363</v>
      </c>
      <c r="B535" t="s">
        <v>435</v>
      </c>
      <c r="C535" t="s">
        <v>445</v>
      </c>
      <c r="D535" t="s">
        <v>2369</v>
      </c>
      <c r="E535">
        <f>IFERROR(
   IF(D535="Líder",
      INDEX(ZACATECAS!E:E, MATCH(C535, ZACATECAS!F:F, 0)),
      INDEX(ZACATECAS!H:H, MATCH(C535, ZACATECAS!J:J, 0))
   ),
"")</f>
        <v>32198267</v>
      </c>
    </row>
    <row r="536" spans="1:5" x14ac:dyDescent="0.3">
      <c r="A536" t="s">
        <v>363</v>
      </c>
      <c r="B536" t="s">
        <v>1137</v>
      </c>
      <c r="C536" t="s">
        <v>1150</v>
      </c>
      <c r="D536" t="s">
        <v>2369</v>
      </c>
      <c r="E536">
        <f>IFERROR(
   IF(D536="Líder",
      INDEX(ZACATECAS!E:E, MATCH(C536, ZACATECAS!F:F, 0)),
      INDEX(ZACATECAS!H:H, MATCH(C536, ZACATECAS!J:J, 0))
   ),
"")</f>
        <v>32132049</v>
      </c>
    </row>
    <row r="537" spans="1:5" x14ac:dyDescent="0.3">
      <c r="A537" t="s">
        <v>363</v>
      </c>
      <c r="B537" t="s">
        <v>1137</v>
      </c>
      <c r="C537" t="s">
        <v>2412</v>
      </c>
      <c r="D537" t="s">
        <v>2369</v>
      </c>
      <c r="E537" t="str">
        <f>IFERROR(
   IF(D537="Líder",
      INDEX(ZACATECAS!E:E, MATCH(C537, ZACATECAS!F:F, 0)),
      INDEX(ZACATECAS!H:H, MATCH(C537, ZACATECAS!J:J, 0))
   ),
"")</f>
        <v/>
      </c>
    </row>
    <row r="538" spans="1:5" x14ac:dyDescent="0.3">
      <c r="A538" t="s">
        <v>363</v>
      </c>
      <c r="B538" t="s">
        <v>1137</v>
      </c>
      <c r="C538" t="s">
        <v>1138</v>
      </c>
      <c r="D538" t="s">
        <v>2369</v>
      </c>
      <c r="E538">
        <f>IFERROR(
   IF(D538="Líder",
      INDEX(ZACATECAS!E:E, MATCH(C538, ZACATECAS!F:F, 0)),
      INDEX(ZACATECAS!H:H, MATCH(C538, ZACATECAS!J:J, 0))
   ),
"")</f>
        <v>32044476</v>
      </c>
    </row>
    <row r="539" spans="1:5" x14ac:dyDescent="0.3">
      <c r="A539" t="s">
        <v>363</v>
      </c>
      <c r="B539" t="s">
        <v>1137</v>
      </c>
      <c r="C539" t="s">
        <v>1144</v>
      </c>
      <c r="D539" t="s">
        <v>2369</v>
      </c>
      <c r="E539">
        <f>IFERROR(
   IF(D539="Líder",
      INDEX(ZACATECAS!E:E, MATCH(C539, ZACATECAS!F:F, 0)),
      INDEX(ZACATECAS!H:H, MATCH(C539, ZACATECAS!J:J, 0))
   ),
"")</f>
        <v>32044836</v>
      </c>
    </row>
    <row r="540" spans="1:5" x14ac:dyDescent="0.3">
      <c r="A540" t="s">
        <v>363</v>
      </c>
      <c r="B540" t="s">
        <v>1137</v>
      </c>
      <c r="C540" t="s">
        <v>429</v>
      </c>
      <c r="D540" t="s">
        <v>2369</v>
      </c>
      <c r="E540">
        <f>IFERROR(
   IF(D540="Líder",
      INDEX(ZACATECAS!E:E, MATCH(C540, ZACATECAS!F:F, 0)),
      INDEX(ZACATECAS!H:H, MATCH(C540, ZACATECAS!J:J, 0))
   ),
"")</f>
        <v>32143041</v>
      </c>
    </row>
    <row r="541" spans="1:5" x14ac:dyDescent="0.3">
      <c r="A541" t="s">
        <v>363</v>
      </c>
      <c r="B541" t="s">
        <v>1137</v>
      </c>
      <c r="C541" t="s">
        <v>1148</v>
      </c>
      <c r="D541" t="s">
        <v>2369</v>
      </c>
      <c r="E541">
        <f>IFERROR(
   IF(D541="Líder",
      INDEX(ZACATECAS!E:E, MATCH(C541, ZACATECAS!F:F, 0)),
      INDEX(ZACATECAS!H:H, MATCH(C541, ZACATECAS!J:J, 0))
   ),
"")</f>
        <v>32132018</v>
      </c>
    </row>
    <row r="542" spans="1:5" x14ac:dyDescent="0.3">
      <c r="A542" t="s">
        <v>363</v>
      </c>
      <c r="B542" t="s">
        <v>1137</v>
      </c>
      <c r="C542" t="s">
        <v>1154</v>
      </c>
      <c r="D542" t="s">
        <v>2369</v>
      </c>
      <c r="E542">
        <f>IFERROR(
   IF(D542="Líder",
      INDEX(ZACATECAS!E:E, MATCH(C542, ZACATECAS!F:F, 0)),
      INDEX(ZACATECAS!H:H, MATCH(C542, ZACATECAS!J:J, 0))
   ),
"")</f>
        <v>32132236</v>
      </c>
    </row>
    <row r="543" spans="1:5" x14ac:dyDescent="0.3">
      <c r="A543" t="s">
        <v>363</v>
      </c>
      <c r="B543" t="s">
        <v>1137</v>
      </c>
      <c r="C543" t="s">
        <v>1140</v>
      </c>
      <c r="D543" t="s">
        <v>2369</v>
      </c>
      <c r="E543">
        <f>IFERROR(
   IF(D543="Líder",
      INDEX(ZACATECAS!E:E, MATCH(C543, ZACATECAS!F:F, 0)),
      INDEX(ZACATECAS!H:H, MATCH(C543, ZACATECAS!J:J, 0))
   ),
"")</f>
        <v>32044522</v>
      </c>
    </row>
    <row r="544" spans="1:5" x14ac:dyDescent="0.3">
      <c r="A544" t="s">
        <v>363</v>
      </c>
      <c r="B544" t="s">
        <v>1137</v>
      </c>
      <c r="C544" t="s">
        <v>1152</v>
      </c>
      <c r="D544" t="s">
        <v>2369</v>
      </c>
      <c r="E544">
        <f>IFERROR(
   IF(D544="Líder",
      INDEX(ZACATECAS!E:E, MATCH(C544, ZACATECAS!F:F, 0)),
      INDEX(ZACATECAS!H:H, MATCH(C544, ZACATECAS!J:J, 0))
   ),
"")</f>
        <v>32132181</v>
      </c>
    </row>
    <row r="545" spans="1:5" x14ac:dyDescent="0.3">
      <c r="A545" t="s">
        <v>363</v>
      </c>
      <c r="B545" t="s">
        <v>1137</v>
      </c>
      <c r="C545" t="s">
        <v>1142</v>
      </c>
      <c r="D545" t="s">
        <v>2369</v>
      </c>
      <c r="E545">
        <f>IFERROR(
   IF(D545="Líder",
      INDEX(ZACATECAS!E:E, MATCH(C545, ZACATECAS!F:F, 0)),
      INDEX(ZACATECAS!H:H, MATCH(C545, ZACATECAS!J:J, 0))
   ),
"")</f>
        <v>32044641</v>
      </c>
    </row>
    <row r="546" spans="1:5" x14ac:dyDescent="0.3">
      <c r="A546" t="s">
        <v>363</v>
      </c>
      <c r="B546" t="s">
        <v>1137</v>
      </c>
      <c r="C546" t="s">
        <v>1146</v>
      </c>
      <c r="D546" t="s">
        <v>2369</v>
      </c>
      <c r="E546">
        <f>IFERROR(
   IF(D546="Líder",
      INDEX(ZACATECAS!E:E, MATCH(C546, ZACATECAS!F:F, 0)),
      INDEX(ZACATECAS!H:H, MATCH(C546, ZACATECAS!J:J, 0))
   ),
"")</f>
        <v>32057057</v>
      </c>
    </row>
    <row r="547" spans="1:5" x14ac:dyDescent="0.3">
      <c r="A547" t="s">
        <v>363</v>
      </c>
      <c r="B547" t="s">
        <v>1137</v>
      </c>
      <c r="C547" t="s">
        <v>2413</v>
      </c>
      <c r="D547" t="s">
        <v>2369</v>
      </c>
      <c r="E547" t="str">
        <f>IFERROR(
   IF(D547="Líder",
      INDEX(ZACATECAS!E:E, MATCH(C547, ZACATECAS!F:F, 0)),
      INDEX(ZACATECAS!H:H, MATCH(C547, ZACATECAS!J:J, 0))
   ),
"")</f>
        <v/>
      </c>
    </row>
    <row r="548" spans="1:5" x14ac:dyDescent="0.3">
      <c r="A548" t="s">
        <v>2127</v>
      </c>
      <c r="B548" t="s">
        <v>2285</v>
      </c>
      <c r="C548" t="s">
        <v>2294</v>
      </c>
      <c r="D548" t="s">
        <v>2369</v>
      </c>
      <c r="E548">
        <f>IFERROR(
   IF(D548="Líder",
      INDEX(ZACATECAS!E:E, MATCH(C548, ZACATECAS!F:F, 0)),
      INDEX(ZACATECAS!H:H, MATCH(C548, ZACATECAS!J:J, 0))
   ),
"")</f>
        <v>32046050</v>
      </c>
    </row>
    <row r="549" spans="1:5" x14ac:dyDescent="0.3">
      <c r="A549" t="s">
        <v>2127</v>
      </c>
      <c r="B549" t="s">
        <v>2285</v>
      </c>
      <c r="C549" t="s">
        <v>2291</v>
      </c>
      <c r="D549" t="s">
        <v>2369</v>
      </c>
      <c r="E549">
        <f>IFERROR(
   IF(D549="Líder",
      INDEX(ZACATECAS!E:E, MATCH(C549, ZACATECAS!F:F, 0)),
      INDEX(ZACATECAS!H:H, MATCH(C549, ZACATECAS!J:J, 0))
   ),
"")</f>
        <v>32045883</v>
      </c>
    </row>
    <row r="550" spans="1:5" x14ac:dyDescent="0.3">
      <c r="A550" t="s">
        <v>2127</v>
      </c>
      <c r="B550" t="s">
        <v>2285</v>
      </c>
      <c r="C550" t="s">
        <v>2289</v>
      </c>
      <c r="D550" t="s">
        <v>2369</v>
      </c>
      <c r="E550">
        <f>IFERROR(
   IF(D550="Líder",
      INDEX(ZACATECAS!E:E, MATCH(C550, ZACATECAS!F:F, 0)),
      INDEX(ZACATECAS!H:H, MATCH(C550, ZACATECAS!J:J, 0))
   ),
"")</f>
        <v>32044685</v>
      </c>
    </row>
    <row r="551" spans="1:5" x14ac:dyDescent="0.3">
      <c r="A551" t="s">
        <v>2127</v>
      </c>
      <c r="B551" t="s">
        <v>2285</v>
      </c>
      <c r="C551" t="s">
        <v>2414</v>
      </c>
      <c r="D551" t="s">
        <v>2369</v>
      </c>
      <c r="E551" t="str">
        <f>IFERROR(
   IF(D551="Líder",
      INDEX(ZACATECAS!E:E, MATCH(C551, ZACATECAS!F:F, 0)),
      INDEX(ZACATECAS!H:H, MATCH(C551, ZACATECAS!J:J, 0))
   ),
"")</f>
        <v/>
      </c>
    </row>
    <row r="552" spans="1:5" x14ac:dyDescent="0.3">
      <c r="A552" t="s">
        <v>2127</v>
      </c>
      <c r="B552" t="s">
        <v>2285</v>
      </c>
      <c r="C552" t="s">
        <v>2415</v>
      </c>
      <c r="D552" t="s">
        <v>2369</v>
      </c>
      <c r="E552" t="str">
        <f>IFERROR(
   IF(D552="Líder",
      INDEX(ZACATECAS!E:E, MATCH(C552, ZACATECAS!F:F, 0)),
      INDEX(ZACATECAS!H:H, MATCH(C552, ZACATECAS!J:J, 0))
   ),
"")</f>
        <v/>
      </c>
    </row>
    <row r="553" spans="1:5" x14ac:dyDescent="0.3">
      <c r="A553" t="s">
        <v>2127</v>
      </c>
      <c r="B553" t="s">
        <v>2285</v>
      </c>
      <c r="C553" t="s">
        <v>2287</v>
      </c>
      <c r="D553" t="s">
        <v>2369</v>
      </c>
      <c r="E553">
        <f>IFERROR(
   IF(D553="Líder",
      INDEX(ZACATECAS!E:E, MATCH(C553, ZACATECAS!F:F, 0)),
      INDEX(ZACATECAS!H:H, MATCH(C553, ZACATECAS!J:J, 0))
   ),
"")</f>
        <v>32044248</v>
      </c>
    </row>
    <row r="554" spans="1:5" x14ac:dyDescent="0.3">
      <c r="A554" t="s">
        <v>2127</v>
      </c>
      <c r="B554" t="s">
        <v>2285</v>
      </c>
      <c r="C554" t="s">
        <v>2295</v>
      </c>
      <c r="D554" t="s">
        <v>2369</v>
      </c>
      <c r="E554">
        <f>IFERROR(
   IF(D554="Líder",
      INDEX(ZACATECAS!E:E, MATCH(C554, ZACATECAS!F:F, 0)),
      INDEX(ZACATECAS!H:H, MATCH(C554, ZACATECAS!J:J, 0))
   ),
"")</f>
        <v>32044677</v>
      </c>
    </row>
    <row r="555" spans="1:5" x14ac:dyDescent="0.3">
      <c r="A555" t="s">
        <v>2127</v>
      </c>
      <c r="B555" t="s">
        <v>2285</v>
      </c>
      <c r="C555" t="s">
        <v>2290</v>
      </c>
      <c r="D555" t="s">
        <v>2369</v>
      </c>
      <c r="E555">
        <f>IFERROR(
   IF(D555="Líder",
      INDEX(ZACATECAS!E:E, MATCH(C555, ZACATECAS!F:F, 0)),
      INDEX(ZACATECAS!H:H, MATCH(C555, ZACATECAS!J:J, 0))
   ),
"")</f>
        <v>32045217</v>
      </c>
    </row>
    <row r="556" spans="1:5" x14ac:dyDescent="0.3">
      <c r="A556" t="s">
        <v>2127</v>
      </c>
      <c r="B556" t="s">
        <v>2285</v>
      </c>
      <c r="C556" t="s">
        <v>2293</v>
      </c>
      <c r="D556" t="s">
        <v>2369</v>
      </c>
      <c r="E556">
        <f>IFERROR(
   IF(D556="Líder",
      INDEX(ZACATECAS!E:E, MATCH(C556, ZACATECAS!F:F, 0)),
      INDEX(ZACATECAS!H:H, MATCH(C556, ZACATECAS!J:J, 0))
   ),
"")</f>
        <v>32044925</v>
      </c>
    </row>
    <row r="557" spans="1:5" x14ac:dyDescent="0.3">
      <c r="A557" t="s">
        <v>2127</v>
      </c>
      <c r="B557" t="s">
        <v>2285</v>
      </c>
      <c r="C557" t="s">
        <v>2288</v>
      </c>
      <c r="D557" t="s">
        <v>2369</v>
      </c>
      <c r="E557">
        <f>IFERROR(
   IF(D557="Líder",
      INDEX(ZACATECAS!E:E, MATCH(C557, ZACATECAS!F:F, 0)),
      INDEX(ZACATECAS!H:H, MATCH(C557, ZACATECAS!J:J, 0))
   ),
"")</f>
        <v>32044491</v>
      </c>
    </row>
    <row r="558" spans="1:5" x14ac:dyDescent="0.3">
      <c r="A558" t="s">
        <v>2127</v>
      </c>
      <c r="B558" t="s">
        <v>2285</v>
      </c>
      <c r="C558" t="s">
        <v>2416</v>
      </c>
      <c r="D558" t="s">
        <v>2369</v>
      </c>
      <c r="E558" t="str">
        <f>IFERROR(
   IF(D558="Líder",
      INDEX(ZACATECAS!E:E, MATCH(C558, ZACATECAS!F:F, 0)),
      INDEX(ZACATECAS!H:H, MATCH(C558, ZACATECAS!J:J, 0))
   ),
"")</f>
        <v/>
      </c>
    </row>
    <row r="559" spans="1:5" x14ac:dyDescent="0.3">
      <c r="A559" t="s">
        <v>2127</v>
      </c>
      <c r="B559" t="s">
        <v>2285</v>
      </c>
      <c r="C559" t="s">
        <v>2157</v>
      </c>
      <c r="D559" t="s">
        <v>2369</v>
      </c>
      <c r="E559">
        <f>IFERROR(
   IF(D559="Líder",
      INDEX(ZACATECAS!E:E, MATCH(C559, ZACATECAS!F:F, 0)),
      INDEX(ZACATECAS!H:H, MATCH(C559, ZACATECAS!J:J, 0))
   ),
"")</f>
        <v>32046677</v>
      </c>
    </row>
    <row r="560" spans="1:5" x14ac:dyDescent="0.3">
      <c r="A560" t="s">
        <v>2127</v>
      </c>
      <c r="B560" t="s">
        <v>2285</v>
      </c>
      <c r="C560" t="s">
        <v>2296</v>
      </c>
      <c r="D560" t="s">
        <v>2369</v>
      </c>
      <c r="E560">
        <f>IFERROR(
   IF(D560="Líder",
      INDEX(ZACATECAS!E:E, MATCH(C560, ZACATECAS!F:F, 0)),
      INDEX(ZACATECAS!H:H, MATCH(C560, ZACATECAS!J:J, 0))
   ),
"")</f>
        <v>32043986</v>
      </c>
    </row>
    <row r="561" spans="1:5" x14ac:dyDescent="0.3">
      <c r="A561" t="s">
        <v>2127</v>
      </c>
      <c r="B561" t="s">
        <v>2285</v>
      </c>
      <c r="C561" t="s">
        <v>2292</v>
      </c>
      <c r="D561" t="s">
        <v>2369</v>
      </c>
      <c r="E561">
        <f>IFERROR(
   IF(D561="Líder",
      INDEX(ZACATECAS!E:E, MATCH(C561, ZACATECAS!F:F, 0)),
      INDEX(ZACATECAS!H:H, MATCH(C561, ZACATECAS!J:J, 0))
   ),
"")</f>
        <v>32044063</v>
      </c>
    </row>
    <row r="562" spans="1:5" x14ac:dyDescent="0.3">
      <c r="A562" t="s">
        <v>363</v>
      </c>
      <c r="B562" t="s">
        <v>1417</v>
      </c>
      <c r="C562" t="s">
        <v>1421</v>
      </c>
      <c r="D562" t="s">
        <v>2369</v>
      </c>
      <c r="E562">
        <f>IFERROR(
   IF(D562="Líder",
      INDEX(ZACATECAS!E:E, MATCH(C562, ZACATECAS!F:F, 0)),
      INDEX(ZACATECAS!H:H, MATCH(C562, ZACATECAS!J:J, 0))
   ),
"")</f>
        <v>32061471</v>
      </c>
    </row>
    <row r="563" spans="1:5" x14ac:dyDescent="0.3">
      <c r="A563" t="s">
        <v>363</v>
      </c>
      <c r="B563" t="s">
        <v>1417</v>
      </c>
      <c r="C563" t="s">
        <v>2417</v>
      </c>
      <c r="D563" t="s">
        <v>2369</v>
      </c>
      <c r="E563" t="str">
        <f>IFERROR(
   IF(D563="Líder",
      INDEX(ZACATECAS!E:E, MATCH(C563, ZACATECAS!F:F, 0)),
      INDEX(ZACATECAS!H:H, MATCH(C563, ZACATECAS!J:J, 0))
   ),
"")</f>
        <v/>
      </c>
    </row>
    <row r="564" spans="1:5" x14ac:dyDescent="0.3">
      <c r="A564" t="s">
        <v>363</v>
      </c>
      <c r="B564" t="s">
        <v>1417</v>
      </c>
      <c r="C564" t="s">
        <v>1423</v>
      </c>
      <c r="D564" t="s">
        <v>2369</v>
      </c>
      <c r="E564">
        <f>IFERROR(
   IF(D564="Líder",
      INDEX(ZACATECAS!E:E, MATCH(C564, ZACATECAS!F:F, 0)),
      INDEX(ZACATECAS!H:H, MATCH(C564, ZACATECAS!J:J, 0))
   ),
"")</f>
        <v>32060912</v>
      </c>
    </row>
    <row r="565" spans="1:5" x14ac:dyDescent="0.3">
      <c r="A565" t="s">
        <v>363</v>
      </c>
      <c r="B565" t="s">
        <v>1417</v>
      </c>
      <c r="C565" t="s">
        <v>1425</v>
      </c>
      <c r="D565" t="s">
        <v>2369</v>
      </c>
      <c r="E565">
        <f>IFERROR(
   IF(D565="Líder",
      INDEX(ZACATECAS!E:E, MATCH(C565, ZACATECAS!F:F, 0)),
      INDEX(ZACATECAS!H:H, MATCH(C565, ZACATECAS!J:J, 0))
   ),
"")</f>
        <v>32197846</v>
      </c>
    </row>
    <row r="566" spans="1:5" x14ac:dyDescent="0.3">
      <c r="A566" t="s">
        <v>363</v>
      </c>
      <c r="B566" t="s">
        <v>1417</v>
      </c>
      <c r="C566" t="s">
        <v>412</v>
      </c>
      <c r="D566" t="s">
        <v>2369</v>
      </c>
      <c r="E566">
        <f>IFERROR(
   IF(D566="Líder",
      INDEX(ZACATECAS!E:E, MATCH(C566, ZACATECAS!F:F, 0)),
      INDEX(ZACATECAS!H:H, MATCH(C566, ZACATECAS!J:J, 0))
   ),
"")</f>
        <v>32197891</v>
      </c>
    </row>
    <row r="567" spans="1:5" x14ac:dyDescent="0.3">
      <c r="A567" t="s">
        <v>363</v>
      </c>
      <c r="B567" t="s">
        <v>1417</v>
      </c>
      <c r="C567" t="s">
        <v>1427</v>
      </c>
      <c r="D567" t="s">
        <v>2369</v>
      </c>
      <c r="E567">
        <f>IFERROR(
   IF(D567="Líder",
      INDEX(ZACATECAS!E:E, MATCH(C567, ZACATECAS!F:F, 0)),
      INDEX(ZACATECAS!H:H, MATCH(C567, ZACATECAS!J:J, 0))
   ),
"")</f>
        <v>32067355</v>
      </c>
    </row>
    <row r="568" spans="1:5" x14ac:dyDescent="0.3">
      <c r="A568" t="s">
        <v>363</v>
      </c>
      <c r="B568" t="s">
        <v>1417</v>
      </c>
      <c r="C568" t="s">
        <v>1429</v>
      </c>
      <c r="D568" t="s">
        <v>2369</v>
      </c>
      <c r="E568">
        <f>IFERROR(
   IF(D568="Líder",
      INDEX(ZACATECAS!E:E, MATCH(C568, ZACATECAS!F:F, 0)),
      INDEX(ZACATECAS!H:H, MATCH(C568, ZACATECAS!J:J, 0))
   ),
"")</f>
        <v>32044535</v>
      </c>
    </row>
    <row r="569" spans="1:5" x14ac:dyDescent="0.3">
      <c r="A569" t="s">
        <v>1</v>
      </c>
      <c r="B569" t="s">
        <v>12</v>
      </c>
      <c r="C569" t="s">
        <v>2015</v>
      </c>
      <c r="D569" t="s">
        <v>2369</v>
      </c>
      <c r="E569">
        <f>IFERROR(
   IF(D569="Líder",
      INDEX(ZACATECAS!E:E, MATCH(C569, ZACATECAS!F:F, 0)),
      INDEX(ZACATECAS!H:H, MATCH(C569, ZACATECAS!J:J, 0))
   ),
"")</f>
        <v>32045610</v>
      </c>
    </row>
    <row r="570" spans="1:5" x14ac:dyDescent="0.3">
      <c r="A570" t="s">
        <v>1</v>
      </c>
      <c r="B570" t="s">
        <v>12</v>
      </c>
      <c r="C570" t="s">
        <v>2418</v>
      </c>
      <c r="D570" t="s">
        <v>2369</v>
      </c>
      <c r="E570" t="str">
        <f>IFERROR(
   IF(D570="Líder",
      INDEX(ZACATECAS!E:E, MATCH(C570, ZACATECAS!F:F, 0)),
      INDEX(ZACATECAS!H:H, MATCH(C570, ZACATECAS!J:J, 0))
   ),
"")</f>
        <v/>
      </c>
    </row>
    <row r="571" spans="1:5" x14ac:dyDescent="0.3">
      <c r="A571" t="s">
        <v>1</v>
      </c>
      <c r="B571" t="s">
        <v>12</v>
      </c>
      <c r="C571" t="s">
        <v>2019</v>
      </c>
      <c r="D571" t="s">
        <v>2369</v>
      </c>
      <c r="E571">
        <f>IFERROR(
   IF(D571="Líder",
      INDEX(ZACATECAS!E:E, MATCH(C571, ZACATECAS!F:F, 0)),
      INDEX(ZACATECAS!H:H, MATCH(C571, ZACATECAS!J:J, 0))
   ),
"")</f>
        <v>32045120</v>
      </c>
    </row>
    <row r="572" spans="1:5" x14ac:dyDescent="0.3">
      <c r="A572" t="s">
        <v>1</v>
      </c>
      <c r="B572" t="s">
        <v>12</v>
      </c>
      <c r="C572" t="s">
        <v>2022</v>
      </c>
      <c r="D572" t="s">
        <v>2369</v>
      </c>
      <c r="E572">
        <f>IFERROR(
   IF(D572="Líder",
      INDEX(ZACATECAS!E:E, MATCH(C572, ZACATECAS!F:F, 0)),
      INDEX(ZACATECAS!H:H, MATCH(C572, ZACATECAS!J:J, 0))
   ),
"")</f>
        <v>32045931</v>
      </c>
    </row>
    <row r="573" spans="1:5" x14ac:dyDescent="0.3">
      <c r="A573" t="s">
        <v>1</v>
      </c>
      <c r="B573" t="s">
        <v>12</v>
      </c>
      <c r="C573" t="s">
        <v>2025</v>
      </c>
      <c r="D573" t="s">
        <v>2369</v>
      </c>
      <c r="E573">
        <f>IFERROR(
   IF(D573="Líder",
      INDEX(ZACATECAS!E:E, MATCH(C573, ZACATECAS!F:F, 0)),
      INDEX(ZACATECAS!H:H, MATCH(C573, ZACATECAS!J:J, 0))
   ),
"")</f>
        <v>32044445</v>
      </c>
    </row>
    <row r="574" spans="1:5" x14ac:dyDescent="0.3">
      <c r="A574" t="s">
        <v>1</v>
      </c>
      <c r="B574" t="s">
        <v>12</v>
      </c>
      <c r="C574" t="s">
        <v>2419</v>
      </c>
      <c r="D574" t="s">
        <v>2369</v>
      </c>
      <c r="E574" t="str">
        <f>IFERROR(
   IF(D574="Líder",
      INDEX(ZACATECAS!E:E, MATCH(C574, ZACATECAS!F:F, 0)),
      INDEX(ZACATECAS!H:H, MATCH(C574, ZACATECAS!J:J, 0))
   ),
"")</f>
        <v/>
      </c>
    </row>
    <row r="575" spans="1:5" x14ac:dyDescent="0.3">
      <c r="A575" t="s">
        <v>1</v>
      </c>
      <c r="B575" t="s">
        <v>12</v>
      </c>
      <c r="C575" t="s">
        <v>2027</v>
      </c>
      <c r="D575" t="s">
        <v>2369</v>
      </c>
      <c r="E575">
        <f>IFERROR(
   IF(D575="Líder",
      INDEX(ZACATECAS!E:E, MATCH(C575, ZACATECAS!F:F, 0)),
      INDEX(ZACATECAS!H:H, MATCH(C575, ZACATECAS!J:J, 0))
   ),
"")</f>
        <v>32045070</v>
      </c>
    </row>
    <row r="576" spans="1:5" x14ac:dyDescent="0.3">
      <c r="A576" t="s">
        <v>363</v>
      </c>
      <c r="B576" t="s">
        <v>1156</v>
      </c>
      <c r="C576" t="s">
        <v>1167</v>
      </c>
      <c r="D576" t="s">
        <v>2369</v>
      </c>
      <c r="E576">
        <f>IFERROR(
   IF(D576="Líder",
      INDEX(ZACATECAS!E:E, MATCH(C576, ZACATECAS!F:F, 0)),
      INDEX(ZACATECAS!H:H, MATCH(C576, ZACATECAS!J:J, 0))
   ),
"")</f>
        <v>32155922</v>
      </c>
    </row>
    <row r="577" spans="1:5" x14ac:dyDescent="0.3">
      <c r="A577" t="s">
        <v>363</v>
      </c>
      <c r="B577" t="s">
        <v>1156</v>
      </c>
      <c r="C577" t="s">
        <v>1159</v>
      </c>
      <c r="D577" t="s">
        <v>2369</v>
      </c>
      <c r="E577">
        <f>IFERROR(
   IF(D577="Líder",
      INDEX(ZACATECAS!E:E, MATCH(C577, ZACATECAS!F:F, 0)),
      INDEX(ZACATECAS!H:H, MATCH(C577, ZACATECAS!J:J, 0))
   ),
"")</f>
        <v>32044973</v>
      </c>
    </row>
    <row r="578" spans="1:5" x14ac:dyDescent="0.3">
      <c r="A578" t="s">
        <v>363</v>
      </c>
      <c r="B578" t="s">
        <v>1156</v>
      </c>
      <c r="C578" t="s">
        <v>1157</v>
      </c>
      <c r="D578" t="s">
        <v>2369</v>
      </c>
      <c r="E578">
        <f>IFERROR(
   IF(D578="Líder",
      INDEX(ZACATECAS!E:E, MATCH(C578, ZACATECAS!F:F, 0)),
      INDEX(ZACATECAS!H:H, MATCH(C578, ZACATECAS!J:J, 0))
   ),
"")</f>
        <v>32044327</v>
      </c>
    </row>
    <row r="579" spans="1:5" x14ac:dyDescent="0.3">
      <c r="A579" t="s">
        <v>363</v>
      </c>
      <c r="B579" t="s">
        <v>1156</v>
      </c>
      <c r="C579" t="s">
        <v>1163</v>
      </c>
      <c r="D579" t="s">
        <v>2369</v>
      </c>
      <c r="E579">
        <f>IFERROR(
   IF(D579="Líder",
      INDEX(ZACATECAS!E:E, MATCH(C579, ZACATECAS!F:F, 0)),
      INDEX(ZACATECAS!H:H, MATCH(C579, ZACATECAS!J:J, 0))
   ),
"")</f>
        <v>32045611</v>
      </c>
    </row>
    <row r="580" spans="1:5" x14ac:dyDescent="0.3">
      <c r="A580" t="s">
        <v>363</v>
      </c>
      <c r="B580" t="s">
        <v>1156</v>
      </c>
      <c r="C580" t="s">
        <v>1165</v>
      </c>
      <c r="D580" t="s">
        <v>2369</v>
      </c>
      <c r="E580">
        <f>IFERROR(
   IF(D580="Líder",
      INDEX(ZACATECAS!E:E, MATCH(C580, ZACATECAS!F:F, 0)),
      INDEX(ZACATECAS!H:H, MATCH(C580, ZACATECAS!J:J, 0))
   ),
"")</f>
        <v>32045813</v>
      </c>
    </row>
    <row r="581" spans="1:5" x14ac:dyDescent="0.3">
      <c r="A581" t="s">
        <v>363</v>
      </c>
      <c r="B581" t="s">
        <v>1156</v>
      </c>
      <c r="C581" t="s">
        <v>2420</v>
      </c>
      <c r="D581" t="s">
        <v>2369</v>
      </c>
      <c r="E581" t="str">
        <f>IFERROR(
   IF(D581="Líder",
      INDEX(ZACATECAS!E:E, MATCH(C581, ZACATECAS!F:F, 0)),
      INDEX(ZACATECAS!H:H, MATCH(C581, ZACATECAS!J:J, 0))
   ),
"")</f>
        <v/>
      </c>
    </row>
    <row r="582" spans="1:5" x14ac:dyDescent="0.3">
      <c r="A582" t="s">
        <v>363</v>
      </c>
      <c r="B582" t="s">
        <v>1156</v>
      </c>
      <c r="C582" t="s">
        <v>1161</v>
      </c>
      <c r="D582" t="s">
        <v>2369</v>
      </c>
      <c r="E582">
        <f>IFERROR(
   IF(D582="Líder",
      INDEX(ZACATECAS!E:E, MATCH(C582, ZACATECAS!F:F, 0)),
      INDEX(ZACATECAS!H:H, MATCH(C582, ZACATECAS!J:J, 0))
   ),
"")</f>
        <v>32045145</v>
      </c>
    </row>
    <row r="583" spans="1:5" x14ac:dyDescent="0.3">
      <c r="A583" t="s">
        <v>363</v>
      </c>
      <c r="B583" t="s">
        <v>677</v>
      </c>
      <c r="C583" t="s">
        <v>698</v>
      </c>
      <c r="D583" t="s">
        <v>2369</v>
      </c>
      <c r="E583">
        <f>IFERROR(
   IF(D583="Líder",
      INDEX(ZACATECAS!E:E, MATCH(C583, ZACATECAS!F:F, 0)),
      INDEX(ZACATECAS!H:H, MATCH(C583, ZACATECAS!J:J, 0))
   ),
"")</f>
        <v>32139709</v>
      </c>
    </row>
    <row r="584" spans="1:5" x14ac:dyDescent="0.3">
      <c r="A584" t="s">
        <v>363</v>
      </c>
      <c r="B584" t="s">
        <v>677</v>
      </c>
      <c r="C584" t="s">
        <v>691</v>
      </c>
      <c r="D584" t="s">
        <v>2369</v>
      </c>
      <c r="E584">
        <f>IFERROR(
   IF(D584="Líder",
      INDEX(ZACATECAS!E:E, MATCH(C584, ZACATECAS!F:F, 0)),
      INDEX(ZACATECAS!H:H, MATCH(C584, ZACATECAS!J:J, 0))
   ),
"")</f>
        <v>32046178</v>
      </c>
    </row>
    <row r="585" spans="1:5" x14ac:dyDescent="0.3">
      <c r="A585" t="s">
        <v>363</v>
      </c>
      <c r="B585" t="s">
        <v>677</v>
      </c>
      <c r="C585" t="s">
        <v>689</v>
      </c>
      <c r="D585" t="s">
        <v>2369</v>
      </c>
      <c r="E585">
        <f>IFERROR(
   IF(D585="Líder",
      INDEX(ZACATECAS!E:E, MATCH(C585, ZACATECAS!F:F, 0)),
      INDEX(ZACATECAS!H:H, MATCH(C585, ZACATECAS!J:J, 0))
   ),
"")</f>
        <v>32046143</v>
      </c>
    </row>
    <row r="586" spans="1:5" x14ac:dyDescent="0.3">
      <c r="A586" t="s">
        <v>363</v>
      </c>
      <c r="B586" t="s">
        <v>677</v>
      </c>
      <c r="C586" t="s">
        <v>696</v>
      </c>
      <c r="D586" t="s">
        <v>2369</v>
      </c>
      <c r="E586">
        <f>IFERROR(
   IF(D586="Líder",
      INDEX(ZACATECAS!E:E, MATCH(C586, ZACATECAS!F:F, 0)),
      INDEX(ZACATECAS!H:H, MATCH(C586, ZACATECAS!J:J, 0))
   ),
"")</f>
        <v>32132022</v>
      </c>
    </row>
    <row r="587" spans="1:5" x14ac:dyDescent="0.3">
      <c r="A587" t="s">
        <v>363</v>
      </c>
      <c r="B587" t="s">
        <v>677</v>
      </c>
      <c r="C587" t="s">
        <v>700</v>
      </c>
      <c r="D587" t="s">
        <v>2369</v>
      </c>
      <c r="E587">
        <f>IFERROR(
   IF(D587="Líder",
      INDEX(ZACATECAS!E:E, MATCH(C587, ZACATECAS!F:F, 0)),
      INDEX(ZACATECAS!H:H, MATCH(C587, ZACATECAS!J:J, 0))
   ),
"")</f>
        <v>32145464</v>
      </c>
    </row>
    <row r="588" spans="1:5" x14ac:dyDescent="0.3">
      <c r="A588" t="s">
        <v>363</v>
      </c>
      <c r="B588" t="s">
        <v>677</v>
      </c>
      <c r="C588" t="s">
        <v>2421</v>
      </c>
      <c r="D588" t="s">
        <v>2369</v>
      </c>
      <c r="E588" t="str">
        <f>IFERROR(
   IF(D588="Líder",
      INDEX(ZACATECAS!E:E, MATCH(C588, ZACATECAS!F:F, 0)),
      INDEX(ZACATECAS!H:H, MATCH(C588, ZACATECAS!J:J, 0))
   ),
"")</f>
        <v/>
      </c>
    </row>
    <row r="589" spans="1:5" x14ac:dyDescent="0.3">
      <c r="A589" t="s">
        <v>363</v>
      </c>
      <c r="B589" t="s">
        <v>677</v>
      </c>
      <c r="C589" t="s">
        <v>694</v>
      </c>
      <c r="D589" t="s">
        <v>2369</v>
      </c>
      <c r="E589">
        <f>IFERROR(
   IF(D589="Líder",
      INDEX(ZACATECAS!E:E, MATCH(C589, ZACATECAS!F:F, 0)),
      INDEX(ZACATECAS!H:H, MATCH(C589, ZACATECAS!J:J, 0))
   ),
"")</f>
        <v>32067738</v>
      </c>
    </row>
    <row r="590" spans="1:5" x14ac:dyDescent="0.3">
      <c r="A590" t="s">
        <v>363</v>
      </c>
      <c r="B590" t="s">
        <v>677</v>
      </c>
      <c r="C590" t="s">
        <v>687</v>
      </c>
      <c r="D590" t="s">
        <v>2369</v>
      </c>
      <c r="E590">
        <f>IFERROR(
   IF(D590="Líder",
      INDEX(ZACATECAS!E:E, MATCH(C590, ZACATECAS!F:F, 0)),
      INDEX(ZACATECAS!H:H, MATCH(C590, ZACATECAS!J:J, 0))
   ),
"")</f>
        <v>32045652</v>
      </c>
    </row>
    <row r="591" spans="1:5" x14ac:dyDescent="0.3">
      <c r="A591" t="s">
        <v>363</v>
      </c>
      <c r="B591" t="s">
        <v>677</v>
      </c>
      <c r="C591" t="s">
        <v>706</v>
      </c>
      <c r="D591" t="s">
        <v>2369</v>
      </c>
      <c r="E591">
        <f>IFERROR(
   IF(D591="Líder",
      INDEX(ZACATECAS!E:E, MATCH(C591, ZACATECAS!F:F, 0)),
      INDEX(ZACATECAS!H:H, MATCH(C591, ZACATECAS!J:J, 0))
   ),
"")</f>
        <v>32198273</v>
      </c>
    </row>
    <row r="592" spans="1:5" x14ac:dyDescent="0.3">
      <c r="A592" t="s">
        <v>363</v>
      </c>
      <c r="B592" t="s">
        <v>677</v>
      </c>
      <c r="C592" t="s">
        <v>702</v>
      </c>
      <c r="D592" t="s">
        <v>2369</v>
      </c>
      <c r="E592">
        <f>IFERROR(
   IF(D592="Líder",
      INDEX(ZACATECAS!E:E, MATCH(C592, ZACATECAS!F:F, 0)),
      INDEX(ZACATECAS!H:H, MATCH(C592, ZACATECAS!J:J, 0))
   ),
"")</f>
        <v>32150519</v>
      </c>
    </row>
    <row r="593" spans="1:5" x14ac:dyDescent="0.3">
      <c r="A593" t="s">
        <v>363</v>
      </c>
      <c r="B593" t="s">
        <v>677</v>
      </c>
      <c r="C593" t="s">
        <v>685</v>
      </c>
      <c r="D593" t="s">
        <v>2369</v>
      </c>
      <c r="E593">
        <f>IFERROR(
   IF(D593="Líder",
      INDEX(ZACATECAS!E:E, MATCH(C593, ZACATECAS!F:F, 0)),
      INDEX(ZACATECAS!H:H, MATCH(C593, ZACATECAS!J:J, 0))
   ),
"")</f>
        <v>32045397</v>
      </c>
    </row>
    <row r="594" spans="1:5" x14ac:dyDescent="0.3">
      <c r="A594" t="s">
        <v>363</v>
      </c>
      <c r="B594" t="s">
        <v>677</v>
      </c>
      <c r="C594" t="s">
        <v>680</v>
      </c>
      <c r="D594" t="s">
        <v>2369</v>
      </c>
      <c r="E594">
        <f>IFERROR(
   IF(D594="Líder",
      INDEX(ZACATECAS!E:E, MATCH(C594, ZACATECAS!F:F, 0)),
      INDEX(ZACATECAS!H:H, MATCH(C594, ZACATECAS!J:J, 0))
   ),
"")</f>
        <v>32044307</v>
      </c>
    </row>
    <row r="595" spans="1:5" x14ac:dyDescent="0.3">
      <c r="A595" t="s">
        <v>363</v>
      </c>
      <c r="B595" t="s">
        <v>677</v>
      </c>
      <c r="C595" t="s">
        <v>664</v>
      </c>
      <c r="D595" t="s">
        <v>2369</v>
      </c>
      <c r="E595">
        <f>IFERROR(
   IF(D595="Líder",
      INDEX(ZACATECAS!E:E, MATCH(C595, ZACATECAS!F:F, 0)),
      INDEX(ZACATECAS!H:H, MATCH(C595, ZACATECAS!J:J, 0))
   ),
"")</f>
        <v>32142777</v>
      </c>
    </row>
    <row r="596" spans="1:5" x14ac:dyDescent="0.3">
      <c r="A596" t="s">
        <v>363</v>
      </c>
      <c r="B596" t="s">
        <v>677</v>
      </c>
      <c r="C596" t="s">
        <v>678</v>
      </c>
      <c r="D596" t="s">
        <v>2369</v>
      </c>
      <c r="E596">
        <f>IFERROR(
   IF(D596="Líder",
      INDEX(ZACATECAS!E:E, MATCH(C596, ZACATECAS!F:F, 0)),
      INDEX(ZACATECAS!H:H, MATCH(C596, ZACATECAS!J:J, 0))
   ),
"")</f>
        <v>32044086</v>
      </c>
    </row>
    <row r="597" spans="1:5" x14ac:dyDescent="0.3">
      <c r="A597" t="s">
        <v>363</v>
      </c>
      <c r="B597" t="s">
        <v>494</v>
      </c>
      <c r="C597" t="s">
        <v>497</v>
      </c>
      <c r="D597" t="s">
        <v>2369</v>
      </c>
      <c r="E597">
        <f>IFERROR(
   IF(D597="Líder",
      INDEX(ZACATECAS!E:E, MATCH(C597, ZACATECAS!F:F, 0)),
      INDEX(ZACATECAS!H:H, MATCH(C597, ZACATECAS!J:J, 0))
   ),
"")</f>
        <v>32043938</v>
      </c>
    </row>
    <row r="598" spans="1:5" x14ac:dyDescent="0.3">
      <c r="A598" t="s">
        <v>363</v>
      </c>
      <c r="B598" t="s">
        <v>494</v>
      </c>
      <c r="C598" t="s">
        <v>500</v>
      </c>
      <c r="D598" t="s">
        <v>2369</v>
      </c>
      <c r="E598">
        <f>IFERROR(
   IF(D598="Líder",
      INDEX(ZACATECAS!E:E, MATCH(C598, ZACATECAS!F:F, 0)),
      INDEX(ZACATECAS!H:H, MATCH(C598, ZACATECAS!J:J, 0))
   ),
"")</f>
        <v>32198302</v>
      </c>
    </row>
    <row r="599" spans="1:5" x14ac:dyDescent="0.3">
      <c r="A599" t="s">
        <v>363</v>
      </c>
      <c r="B599" t="s">
        <v>494</v>
      </c>
      <c r="C599" t="s">
        <v>502</v>
      </c>
      <c r="D599" t="s">
        <v>2369</v>
      </c>
      <c r="E599">
        <f>IFERROR(
   IF(D599="Líder",
      INDEX(ZACATECAS!E:E, MATCH(C599, ZACATECAS!F:F, 0)),
      INDEX(ZACATECAS!H:H, MATCH(C599, ZACATECAS!J:J, 0))
   ),
"")</f>
        <v>32198296</v>
      </c>
    </row>
    <row r="600" spans="1:5" x14ac:dyDescent="0.3">
      <c r="A600" t="s">
        <v>363</v>
      </c>
      <c r="B600" t="s">
        <v>494</v>
      </c>
      <c r="C600" t="s">
        <v>504</v>
      </c>
      <c r="D600" t="s">
        <v>2369</v>
      </c>
      <c r="E600">
        <f>IFERROR(
   IF(D600="Líder",
      INDEX(ZACATECAS!E:E, MATCH(C600, ZACATECAS!F:F, 0)),
      INDEX(ZACATECAS!H:H, MATCH(C600, ZACATECAS!J:J, 0))
   ),
"")</f>
        <v>32198290</v>
      </c>
    </row>
    <row r="601" spans="1:5" x14ac:dyDescent="0.3">
      <c r="A601" t="s">
        <v>363</v>
      </c>
      <c r="B601" t="s">
        <v>494</v>
      </c>
      <c r="C601" t="s">
        <v>506</v>
      </c>
      <c r="D601" t="s">
        <v>2369</v>
      </c>
      <c r="E601">
        <f>IFERROR(
   IF(D601="Líder",
      INDEX(ZACATECAS!E:E, MATCH(C601, ZACATECAS!F:F, 0)),
      INDEX(ZACATECAS!H:H, MATCH(C601, ZACATECAS!J:J, 0))
   ),
"")</f>
        <v>32044283</v>
      </c>
    </row>
    <row r="602" spans="1:5" x14ac:dyDescent="0.3">
      <c r="A602" t="s">
        <v>363</v>
      </c>
      <c r="B602" t="s">
        <v>494</v>
      </c>
      <c r="C602" t="s">
        <v>507</v>
      </c>
      <c r="D602" t="s">
        <v>2369</v>
      </c>
      <c r="E602">
        <f>IFERROR(
   IF(D602="Líder",
      INDEX(ZACATECAS!E:E, MATCH(C602, ZACATECAS!F:F, 0)),
      INDEX(ZACATECAS!H:H, MATCH(C602, ZACATECAS!J:J, 0))
   ),
"")</f>
        <v>32045054</v>
      </c>
    </row>
    <row r="603" spans="1:5" x14ac:dyDescent="0.3">
      <c r="A603" t="s">
        <v>363</v>
      </c>
      <c r="B603" t="s">
        <v>494</v>
      </c>
      <c r="C603" t="s">
        <v>509</v>
      </c>
      <c r="D603" t="s">
        <v>2369</v>
      </c>
      <c r="E603">
        <f>IFERROR(
   IF(D603="Líder",
      INDEX(ZACATECAS!E:E, MATCH(C603, ZACATECAS!F:F, 0)),
      INDEX(ZACATECAS!H:H, MATCH(C603, ZACATECAS!J:J, 0))
   ),
"")</f>
        <v>32150512</v>
      </c>
    </row>
    <row r="604" spans="1:5" x14ac:dyDescent="0.3">
      <c r="A604" t="s">
        <v>363</v>
      </c>
      <c r="B604" t="s">
        <v>494</v>
      </c>
      <c r="C604" t="s">
        <v>512</v>
      </c>
      <c r="D604" t="s">
        <v>2369</v>
      </c>
      <c r="E604">
        <f>IFERROR(
   IF(D604="Líder",
      INDEX(ZACATECAS!E:E, MATCH(C604, ZACATECAS!F:F, 0)),
      INDEX(ZACATECAS!H:H, MATCH(C604, ZACATECAS!J:J, 0))
   ),
"")</f>
        <v>32044951</v>
      </c>
    </row>
    <row r="605" spans="1:5" x14ac:dyDescent="0.3">
      <c r="A605" t="s">
        <v>363</v>
      </c>
      <c r="B605" t="s">
        <v>494</v>
      </c>
      <c r="C605" t="s">
        <v>2422</v>
      </c>
      <c r="D605" t="s">
        <v>2369</v>
      </c>
      <c r="E605" t="str">
        <f>IFERROR(
   IF(D605="Líder",
      INDEX(ZACATECAS!E:E, MATCH(C605, ZACATECAS!F:F, 0)),
      INDEX(ZACATECAS!H:H, MATCH(C605, ZACATECAS!J:J, 0))
   ),
"")</f>
        <v/>
      </c>
    </row>
    <row r="606" spans="1:5" x14ac:dyDescent="0.3">
      <c r="A606" t="s">
        <v>28</v>
      </c>
      <c r="B606" t="s">
        <v>30</v>
      </c>
      <c r="C606" t="s">
        <v>33</v>
      </c>
      <c r="D606" t="s">
        <v>2369</v>
      </c>
      <c r="E606">
        <f>IFERROR(
   IF(D606="Líder",
      INDEX(ZACATECAS!E:E, MATCH(C606, ZACATECAS!F:F, 0)),
      INDEX(ZACATECAS!H:H, MATCH(C606, ZACATECAS!J:J, 0))
   ),
"")</f>
        <v>32045134</v>
      </c>
    </row>
    <row r="607" spans="1:5" x14ac:dyDescent="0.3">
      <c r="A607" t="s">
        <v>28</v>
      </c>
      <c r="B607" t="s">
        <v>30</v>
      </c>
      <c r="C607" t="s">
        <v>36</v>
      </c>
      <c r="D607" t="s">
        <v>2369</v>
      </c>
      <c r="E607">
        <f>IFERROR(
   IF(D607="Líder",
      INDEX(ZACATECAS!E:E, MATCH(C607, ZACATECAS!F:F, 0)),
      INDEX(ZACATECAS!H:H, MATCH(C607, ZACATECAS!J:J, 0))
   ),
"")</f>
        <v>32149605</v>
      </c>
    </row>
    <row r="608" spans="1:5" x14ac:dyDescent="0.3">
      <c r="A608" t="s">
        <v>28</v>
      </c>
      <c r="B608" t="s">
        <v>30</v>
      </c>
      <c r="C608" t="s">
        <v>39</v>
      </c>
      <c r="D608" t="s">
        <v>2369</v>
      </c>
      <c r="E608">
        <f>IFERROR(
   IF(D608="Líder",
      INDEX(ZACATECAS!E:E, MATCH(C608, ZACATECAS!F:F, 0)),
      INDEX(ZACATECAS!H:H, MATCH(C608, ZACATECAS!J:J, 0))
   ),
"")</f>
        <v>32157221</v>
      </c>
    </row>
    <row r="609" spans="1:5" x14ac:dyDescent="0.3">
      <c r="A609" t="s">
        <v>28</v>
      </c>
      <c r="B609" t="s">
        <v>30</v>
      </c>
      <c r="C609" t="s">
        <v>42</v>
      </c>
      <c r="D609" t="s">
        <v>2369</v>
      </c>
      <c r="E609">
        <f>IFERROR(
   IF(D609="Líder",
      INDEX(ZACATECAS!E:E, MATCH(C609, ZACATECAS!F:F, 0)),
      INDEX(ZACATECAS!H:H, MATCH(C609, ZACATECAS!J:J, 0))
   ),
"")</f>
        <v>32045128</v>
      </c>
    </row>
    <row r="610" spans="1:5" x14ac:dyDescent="0.3">
      <c r="A610" t="s">
        <v>28</v>
      </c>
      <c r="B610" t="s">
        <v>30</v>
      </c>
      <c r="C610" t="s">
        <v>45</v>
      </c>
      <c r="D610" t="s">
        <v>2369</v>
      </c>
      <c r="E610">
        <f>IFERROR(
   IF(D610="Líder",
      INDEX(ZACATECAS!E:E, MATCH(C610, ZACATECAS!F:F, 0)),
      INDEX(ZACATECAS!H:H, MATCH(C610, ZACATECAS!J:J, 0))
   ),
"")</f>
        <v>32188009</v>
      </c>
    </row>
    <row r="611" spans="1:5" x14ac:dyDescent="0.3">
      <c r="A611" t="s">
        <v>28</v>
      </c>
      <c r="B611" t="s">
        <v>49</v>
      </c>
      <c r="C611" t="s">
        <v>52</v>
      </c>
      <c r="D611" t="s">
        <v>2369</v>
      </c>
      <c r="E611">
        <f>IFERROR(
   IF(D611="Líder",
      INDEX(ZACATECAS!E:E, MATCH(C611, ZACATECAS!F:F, 0)),
      INDEX(ZACATECAS!H:H, MATCH(C611, ZACATECAS!J:J, 0))
   ),
"")</f>
        <v>32222224</v>
      </c>
    </row>
    <row r="612" spans="1:5" x14ac:dyDescent="0.3">
      <c r="A612" t="s">
        <v>28</v>
      </c>
      <c r="B612" t="s">
        <v>49</v>
      </c>
      <c r="C612" t="s">
        <v>54</v>
      </c>
      <c r="D612" t="s">
        <v>2369</v>
      </c>
      <c r="E612">
        <f>IFERROR(
   IF(D612="Líder",
      INDEX(ZACATECAS!E:E, MATCH(C612, ZACATECAS!F:F, 0)),
      INDEX(ZACATECAS!H:H, MATCH(C612, ZACATECAS!J:J, 0))
   ),
"")</f>
        <v>32149238</v>
      </c>
    </row>
    <row r="613" spans="1:5" x14ac:dyDescent="0.3">
      <c r="A613" t="s">
        <v>28</v>
      </c>
      <c r="B613" t="s">
        <v>49</v>
      </c>
      <c r="C613" t="s">
        <v>57</v>
      </c>
      <c r="D613" t="s">
        <v>2369</v>
      </c>
      <c r="E613">
        <f>IFERROR(
   IF(D613="Líder",
      INDEX(ZACATECAS!E:E, MATCH(C613, ZACATECAS!F:F, 0)),
      INDEX(ZACATECAS!H:H, MATCH(C613, ZACATECAS!J:J, 0))
   ),
"")</f>
        <v>32209921</v>
      </c>
    </row>
    <row r="614" spans="1:5" x14ac:dyDescent="0.3">
      <c r="A614" t="s">
        <v>28</v>
      </c>
      <c r="B614" t="s">
        <v>49</v>
      </c>
      <c r="C614" t="s">
        <v>60</v>
      </c>
      <c r="D614" t="s">
        <v>2369</v>
      </c>
      <c r="E614">
        <f>IFERROR(
   IF(D614="Líder",
      INDEX(ZACATECAS!E:E, MATCH(C614, ZACATECAS!F:F, 0)),
      INDEX(ZACATECAS!H:H, MATCH(C614, ZACATECAS!J:J, 0))
   ),
"")</f>
        <v>32188117</v>
      </c>
    </row>
    <row r="615" spans="1:5" x14ac:dyDescent="0.3">
      <c r="A615" t="s">
        <v>28</v>
      </c>
      <c r="B615" t="s">
        <v>49</v>
      </c>
      <c r="C615" t="s">
        <v>63</v>
      </c>
      <c r="D615" t="s">
        <v>2369</v>
      </c>
      <c r="E615">
        <f>IFERROR(
   IF(D615="Líder",
      INDEX(ZACATECAS!E:E, MATCH(C615, ZACATECAS!F:F, 0)),
      INDEX(ZACATECAS!H:H, MATCH(C615, ZACATECAS!J:J, 0))
   ),
"")</f>
        <v>32197835</v>
      </c>
    </row>
    <row r="616" spans="1:5" x14ac:dyDescent="0.3">
      <c r="A616" t="s">
        <v>28</v>
      </c>
      <c r="B616" t="s">
        <v>49</v>
      </c>
      <c r="C616" t="s">
        <v>65</v>
      </c>
      <c r="D616" t="s">
        <v>2369</v>
      </c>
      <c r="E616">
        <f>IFERROR(
   IF(D616="Líder",
      INDEX(ZACATECAS!E:E, MATCH(C616, ZACATECAS!F:F, 0)),
      INDEX(ZACATECAS!H:H, MATCH(C616, ZACATECAS!J:J, 0))
   ),
"")</f>
        <v>32197833</v>
      </c>
    </row>
    <row r="617" spans="1:5" x14ac:dyDescent="0.3">
      <c r="A617" t="s">
        <v>28</v>
      </c>
      <c r="B617" t="s">
        <v>67</v>
      </c>
      <c r="C617" t="s">
        <v>70</v>
      </c>
      <c r="D617" t="s">
        <v>2369</v>
      </c>
      <c r="E617">
        <f>IFERROR(
   IF(D617="Líder",
      INDEX(ZACATECAS!E:E, MATCH(C617, ZACATECAS!F:F, 0)),
      INDEX(ZACATECAS!H:H, MATCH(C617, ZACATECAS!J:J, 0))
   ),
"")</f>
        <v>32043886</v>
      </c>
    </row>
    <row r="618" spans="1:5" x14ac:dyDescent="0.3">
      <c r="A618" t="s">
        <v>28</v>
      </c>
      <c r="B618" t="s">
        <v>67</v>
      </c>
      <c r="C618" t="s">
        <v>73</v>
      </c>
      <c r="D618" t="s">
        <v>2369</v>
      </c>
      <c r="E618">
        <f>IFERROR(
   IF(D618="Líder",
      INDEX(ZACATECAS!E:E, MATCH(C618, ZACATECAS!F:F, 0)),
      INDEX(ZACATECAS!H:H, MATCH(C618, ZACATECAS!J:J, 0))
   ),
"")</f>
        <v>32209922</v>
      </c>
    </row>
    <row r="619" spans="1:5" x14ac:dyDescent="0.3">
      <c r="A619" t="s">
        <v>28</v>
      </c>
      <c r="B619" t="s">
        <v>67</v>
      </c>
      <c r="C619" t="s">
        <v>75</v>
      </c>
      <c r="D619" t="s">
        <v>2369</v>
      </c>
      <c r="E619">
        <f>IFERROR(
   IF(D619="Líder",
      INDEX(ZACATECAS!E:E, MATCH(C619, ZACATECAS!F:F, 0)),
      INDEX(ZACATECAS!H:H, MATCH(C619, ZACATECAS!J:J, 0))
   ),
"")</f>
        <v>32173446</v>
      </c>
    </row>
    <row r="620" spans="1:5" x14ac:dyDescent="0.3">
      <c r="A620" t="s">
        <v>28</v>
      </c>
      <c r="B620" t="s">
        <v>67</v>
      </c>
      <c r="C620" t="s">
        <v>77</v>
      </c>
      <c r="D620" t="s">
        <v>2369</v>
      </c>
      <c r="E620">
        <f>IFERROR(
   IF(D620="Líder",
      INDEX(ZACATECAS!E:E, MATCH(C620, ZACATECAS!F:F, 0)),
      INDEX(ZACATECAS!H:H, MATCH(C620, ZACATECAS!J:J, 0))
   ),
"")</f>
        <v>32149607</v>
      </c>
    </row>
    <row r="621" spans="1:5" x14ac:dyDescent="0.3">
      <c r="A621" t="s">
        <v>28</v>
      </c>
      <c r="B621" t="s">
        <v>67</v>
      </c>
      <c r="C621" t="s">
        <v>79</v>
      </c>
      <c r="D621" t="s">
        <v>2369</v>
      </c>
      <c r="E621">
        <f>IFERROR(
   IF(D621="Líder",
      INDEX(ZACATECAS!E:E, MATCH(C621, ZACATECAS!F:F, 0)),
      INDEX(ZACATECAS!H:H, MATCH(C621, ZACATECAS!J:J, 0))
   ),
"")</f>
        <v>32045076</v>
      </c>
    </row>
    <row r="622" spans="1:5" x14ac:dyDescent="0.3">
      <c r="A622" t="s">
        <v>28</v>
      </c>
      <c r="B622" t="s">
        <v>67</v>
      </c>
      <c r="C622" t="s">
        <v>81</v>
      </c>
      <c r="D622" t="s">
        <v>2369</v>
      </c>
      <c r="E622">
        <f>IFERROR(
   IF(D622="Líder",
      INDEX(ZACATECAS!E:E, MATCH(C622, ZACATECAS!F:F, 0)),
      INDEX(ZACATECAS!H:H, MATCH(C622, ZACATECAS!J:J, 0))
   ),
"")</f>
        <v>32222222</v>
      </c>
    </row>
    <row r="623" spans="1:5" x14ac:dyDescent="0.3">
      <c r="A623" t="s">
        <v>363</v>
      </c>
      <c r="B623" t="s">
        <v>743</v>
      </c>
      <c r="C623" t="s">
        <v>761</v>
      </c>
      <c r="D623" t="s">
        <v>2369</v>
      </c>
      <c r="E623">
        <f>IFERROR(
   IF(D623="Líder",
      INDEX(ZACATECAS!E:E, MATCH(C623, ZACATECAS!F:F, 0)),
      INDEX(ZACATECAS!H:H, MATCH(C623, ZACATECAS!J:J, 0))
   ),
"")</f>
        <v>32131838</v>
      </c>
    </row>
    <row r="624" spans="1:5" x14ac:dyDescent="0.3">
      <c r="A624" t="s">
        <v>363</v>
      </c>
      <c r="B624" t="s">
        <v>743</v>
      </c>
      <c r="C624" t="s">
        <v>777</v>
      </c>
      <c r="D624" t="s">
        <v>2369</v>
      </c>
      <c r="E624">
        <f>IFERROR(
   IF(D624="Líder",
      INDEX(ZACATECAS!E:E, MATCH(C624, ZACATECAS!F:F, 0)),
      INDEX(ZACATECAS!H:H, MATCH(C624, ZACATECAS!J:J, 0))
   ),
"")</f>
        <v>32188125</v>
      </c>
    </row>
    <row r="625" spans="1:5" x14ac:dyDescent="0.3">
      <c r="A625" t="s">
        <v>363</v>
      </c>
      <c r="B625" t="s">
        <v>743</v>
      </c>
      <c r="C625" t="s">
        <v>746</v>
      </c>
      <c r="D625" t="s">
        <v>2369</v>
      </c>
      <c r="E625">
        <f>IFERROR(
   IF(D625="Líder",
      INDEX(ZACATECAS!E:E, MATCH(C625, ZACATECAS!F:F, 0)),
      INDEX(ZACATECAS!H:H, MATCH(C625, ZACATECAS!J:J, 0))
   ),
"")</f>
        <v>32045310</v>
      </c>
    </row>
    <row r="626" spans="1:5" x14ac:dyDescent="0.3">
      <c r="A626" t="s">
        <v>363</v>
      </c>
      <c r="B626" t="s">
        <v>743</v>
      </c>
      <c r="C626" t="s">
        <v>770</v>
      </c>
      <c r="D626" t="s">
        <v>2369</v>
      </c>
      <c r="E626">
        <f>IFERROR(
   IF(D626="Líder",
      INDEX(ZACATECAS!E:E, MATCH(C626, ZACATECAS!F:F, 0)),
      INDEX(ZACATECAS!H:H, MATCH(C626, ZACATECAS!J:J, 0))
   ),
"")</f>
        <v>32143042</v>
      </c>
    </row>
    <row r="627" spans="1:5" x14ac:dyDescent="0.3">
      <c r="A627" t="s">
        <v>363</v>
      </c>
      <c r="B627" t="s">
        <v>743</v>
      </c>
      <c r="C627" t="s">
        <v>773</v>
      </c>
      <c r="D627" t="s">
        <v>2369</v>
      </c>
      <c r="E627">
        <f>IFERROR(
   IF(D627="Líder",
      INDEX(ZACATECAS!E:E, MATCH(C627, ZACATECAS!F:F, 0)),
      INDEX(ZACATECAS!H:H, MATCH(C627, ZACATECAS!J:J, 0))
   ),
"")</f>
        <v>32148626</v>
      </c>
    </row>
    <row r="628" spans="1:5" x14ac:dyDescent="0.3">
      <c r="A628" t="s">
        <v>363</v>
      </c>
      <c r="B628" t="s">
        <v>743</v>
      </c>
      <c r="C628" t="s">
        <v>768</v>
      </c>
      <c r="D628" t="s">
        <v>2369</v>
      </c>
      <c r="E628">
        <f>IFERROR(
   IF(D628="Líder",
      INDEX(ZACATECAS!E:E, MATCH(C628, ZACATECAS!F:F, 0)),
      INDEX(ZACATECAS!H:H, MATCH(C628, ZACATECAS!J:J, 0))
   ),
"")</f>
        <v>32142945</v>
      </c>
    </row>
    <row r="629" spans="1:5" x14ac:dyDescent="0.3">
      <c r="A629" t="s">
        <v>363</v>
      </c>
      <c r="B629" t="s">
        <v>743</v>
      </c>
      <c r="C629" t="s">
        <v>759</v>
      </c>
      <c r="D629" t="s">
        <v>2369</v>
      </c>
      <c r="E629">
        <f>IFERROR(
   IF(D629="Líder",
      INDEX(ZACATECAS!E:E, MATCH(C629, ZACATECAS!F:F, 0)),
      INDEX(ZACATECAS!H:H, MATCH(C629, ZACATECAS!J:J, 0))
   ),
"")</f>
        <v>32101568</v>
      </c>
    </row>
    <row r="630" spans="1:5" x14ac:dyDescent="0.3">
      <c r="A630" t="s">
        <v>363</v>
      </c>
      <c r="B630" t="s">
        <v>743</v>
      </c>
      <c r="C630" t="s">
        <v>756</v>
      </c>
      <c r="D630" t="s">
        <v>2369</v>
      </c>
      <c r="E630">
        <f>IFERROR(
   IF(D630="Líder",
      INDEX(ZACATECAS!E:E, MATCH(C630, ZACATECAS!F:F, 0)),
      INDEX(ZACATECAS!H:H, MATCH(C630, ZACATECAS!J:J, 0))
   ),
"")</f>
        <v>32070296</v>
      </c>
    </row>
    <row r="631" spans="1:5" x14ac:dyDescent="0.3">
      <c r="A631" t="s">
        <v>363</v>
      </c>
      <c r="B631" t="s">
        <v>743</v>
      </c>
      <c r="C631" t="s">
        <v>775</v>
      </c>
      <c r="D631" t="s">
        <v>2369</v>
      </c>
      <c r="E631">
        <f>IFERROR(
   IF(D631="Líder",
      INDEX(ZACATECAS!E:E, MATCH(C631, ZACATECAS!F:F, 0)),
      INDEX(ZACATECAS!H:H, MATCH(C631, ZACATECAS!J:J, 0))
   ),
"")</f>
        <v>32186164</v>
      </c>
    </row>
    <row r="632" spans="1:5" x14ac:dyDescent="0.3">
      <c r="A632" t="s">
        <v>363</v>
      </c>
      <c r="B632" t="s">
        <v>743</v>
      </c>
      <c r="C632" t="s">
        <v>2423</v>
      </c>
      <c r="D632" t="s">
        <v>2369</v>
      </c>
      <c r="E632" t="str">
        <f>IFERROR(
   IF(D632="Líder",
      INDEX(ZACATECAS!E:E, MATCH(C632, ZACATECAS!F:F, 0)),
      INDEX(ZACATECAS!H:H, MATCH(C632, ZACATECAS!J:J, 0))
   ),
"")</f>
        <v/>
      </c>
    </row>
    <row r="633" spans="1:5" x14ac:dyDescent="0.3">
      <c r="A633" t="s">
        <v>363</v>
      </c>
      <c r="B633" t="s">
        <v>743</v>
      </c>
      <c r="C633" t="s">
        <v>2424</v>
      </c>
      <c r="D633" t="s">
        <v>2369</v>
      </c>
      <c r="E633" t="str">
        <f>IFERROR(
   IF(D633="Líder",
      INDEX(ZACATECAS!E:E, MATCH(C633, ZACATECAS!F:F, 0)),
      INDEX(ZACATECAS!H:H, MATCH(C633, ZACATECAS!J:J, 0))
   ),
"")</f>
        <v/>
      </c>
    </row>
    <row r="634" spans="1:5" x14ac:dyDescent="0.3">
      <c r="A634" t="s">
        <v>363</v>
      </c>
      <c r="B634" t="s">
        <v>743</v>
      </c>
      <c r="C634" t="s">
        <v>763</v>
      </c>
      <c r="D634" t="s">
        <v>2369</v>
      </c>
      <c r="E634">
        <f>IFERROR(
   IF(D634="Líder",
      INDEX(ZACATECAS!E:E, MATCH(C634, ZACATECAS!F:F, 0)),
      INDEX(ZACATECAS!H:H, MATCH(C634, ZACATECAS!J:J, 0))
   ),
"")</f>
        <v>32132230</v>
      </c>
    </row>
    <row r="635" spans="1:5" x14ac:dyDescent="0.3">
      <c r="A635" t="s">
        <v>363</v>
      </c>
      <c r="B635" t="s">
        <v>743</v>
      </c>
      <c r="C635" t="s">
        <v>766</v>
      </c>
      <c r="D635" t="s">
        <v>2369</v>
      </c>
      <c r="E635">
        <f>IFERROR(
   IF(D635="Líder",
      INDEX(ZACATECAS!E:E, MATCH(C635, ZACATECAS!F:F, 0)),
      INDEX(ZACATECAS!H:H, MATCH(C635, ZACATECAS!J:J, 0))
   ),
"")</f>
        <v>32139711</v>
      </c>
    </row>
    <row r="636" spans="1:5" x14ac:dyDescent="0.3">
      <c r="A636" t="s">
        <v>263</v>
      </c>
      <c r="B636" t="s">
        <v>277</v>
      </c>
      <c r="C636" t="s">
        <v>280</v>
      </c>
      <c r="D636" t="s">
        <v>2369</v>
      </c>
      <c r="E636">
        <f>IFERROR(
   IF(D636="Líder",
      INDEX(ZACATECAS!E:E, MATCH(C636, ZACATECAS!F:F, 0)),
      INDEX(ZACATECAS!H:H, MATCH(C636, ZACATECAS!J:J, 0))
   ),
"")</f>
        <v>32197423</v>
      </c>
    </row>
    <row r="637" spans="1:5" x14ac:dyDescent="0.3">
      <c r="A637" t="s">
        <v>263</v>
      </c>
      <c r="B637" t="s">
        <v>277</v>
      </c>
      <c r="C637" t="s">
        <v>282</v>
      </c>
      <c r="D637" t="s">
        <v>2369</v>
      </c>
      <c r="E637">
        <f>IFERROR(
   IF(D637="Líder",
      INDEX(ZACATECAS!E:E, MATCH(C637, ZACATECAS!F:F, 0)),
      INDEX(ZACATECAS!H:H, MATCH(C637, ZACATECAS!J:J, 0))
   ),
"")</f>
        <v>32043796</v>
      </c>
    </row>
    <row r="638" spans="1:5" x14ac:dyDescent="0.3">
      <c r="A638" t="s">
        <v>263</v>
      </c>
      <c r="B638" t="s">
        <v>277</v>
      </c>
      <c r="C638" t="s">
        <v>284</v>
      </c>
      <c r="D638" t="s">
        <v>2369</v>
      </c>
      <c r="E638">
        <f>IFERROR(
   IF(D638="Líder",
      INDEX(ZACATECAS!E:E, MATCH(C638, ZACATECAS!F:F, 0)),
      INDEX(ZACATECAS!H:H, MATCH(C638, ZACATECAS!J:J, 0))
   ),
"")</f>
        <v>32148922</v>
      </c>
    </row>
    <row r="639" spans="1:5" x14ac:dyDescent="0.3">
      <c r="A639" t="s">
        <v>263</v>
      </c>
      <c r="B639" t="s">
        <v>277</v>
      </c>
      <c r="C639" t="s">
        <v>2425</v>
      </c>
      <c r="D639" t="s">
        <v>2369</v>
      </c>
      <c r="E639" t="str">
        <f>IFERROR(
   IF(D639="Líder",
      INDEX(ZACATECAS!E:E, MATCH(C639, ZACATECAS!F:F, 0)),
      INDEX(ZACATECAS!H:H, MATCH(C639, ZACATECAS!J:J, 0))
   ),
"")</f>
        <v/>
      </c>
    </row>
    <row r="640" spans="1:5" x14ac:dyDescent="0.3">
      <c r="A640" t="s">
        <v>263</v>
      </c>
      <c r="B640" t="s">
        <v>277</v>
      </c>
      <c r="C640" t="s">
        <v>286</v>
      </c>
      <c r="D640" t="s">
        <v>2369</v>
      </c>
      <c r="E640">
        <f>IFERROR(
   IF(D640="Líder",
      INDEX(ZACATECAS!E:E, MATCH(C640, ZACATECAS!F:F, 0)),
      INDEX(ZACATECAS!H:H, MATCH(C640, ZACATECAS!J:J, 0))
   ),
"")</f>
        <v>32173445</v>
      </c>
    </row>
    <row r="641" spans="1:5" x14ac:dyDescent="0.3">
      <c r="A641" t="s">
        <v>263</v>
      </c>
      <c r="B641" t="s">
        <v>277</v>
      </c>
      <c r="C641" t="s">
        <v>2426</v>
      </c>
      <c r="D641" t="s">
        <v>2369</v>
      </c>
      <c r="E641" t="str">
        <f>IFERROR(
   IF(D641="Líder",
      INDEX(ZACATECAS!E:E, MATCH(C641, ZACATECAS!F:F, 0)),
      INDEX(ZACATECAS!H:H, MATCH(C641, ZACATECAS!J:J, 0))
   ),
"")</f>
        <v/>
      </c>
    </row>
    <row r="642" spans="1:5" x14ac:dyDescent="0.3">
      <c r="A642" t="s">
        <v>263</v>
      </c>
      <c r="B642" t="s">
        <v>277</v>
      </c>
      <c r="C642" t="s">
        <v>289</v>
      </c>
      <c r="D642" t="s">
        <v>2369</v>
      </c>
      <c r="E642">
        <f>IFERROR(
   IF(D642="Líder",
      INDEX(ZACATECAS!E:E, MATCH(C642, ZACATECAS!F:F, 0)),
      INDEX(ZACATECAS!H:H, MATCH(C642, ZACATECAS!J:J, 0))
   ),
"")</f>
        <v>32044838</v>
      </c>
    </row>
    <row r="643" spans="1:5" x14ac:dyDescent="0.3">
      <c r="A643" t="s">
        <v>28</v>
      </c>
      <c r="B643" t="s">
        <v>84</v>
      </c>
      <c r="C643" t="s">
        <v>87</v>
      </c>
      <c r="D643" t="s">
        <v>2369</v>
      </c>
      <c r="E643">
        <f>IFERROR(
   IF(D643="Líder",
      INDEX(ZACATECAS!E:E, MATCH(C643, ZACATECAS!F:F, 0)),
      INDEX(ZACATECAS!H:H, MATCH(C643, ZACATECAS!J:J, 0))
   ),
"")</f>
        <v>32144776</v>
      </c>
    </row>
    <row r="644" spans="1:5" x14ac:dyDescent="0.3">
      <c r="A644" t="s">
        <v>28</v>
      </c>
      <c r="B644" t="s">
        <v>84</v>
      </c>
      <c r="C644" t="s">
        <v>89</v>
      </c>
      <c r="D644" t="s">
        <v>2369</v>
      </c>
      <c r="E644">
        <f>IFERROR(
   IF(D644="Líder",
      INDEX(ZACATECAS!E:E, MATCH(C644, ZACATECAS!F:F, 0)),
      INDEX(ZACATECAS!H:H, MATCH(C644, ZACATECAS!J:J, 0))
   ),
"")</f>
        <v>32196366</v>
      </c>
    </row>
    <row r="645" spans="1:5" x14ac:dyDescent="0.3">
      <c r="A645" t="s">
        <v>28</v>
      </c>
      <c r="B645" t="s">
        <v>84</v>
      </c>
      <c r="C645" t="s">
        <v>2325</v>
      </c>
      <c r="D645" t="s">
        <v>2369</v>
      </c>
      <c r="E645" t="str">
        <f>IFERROR(
   IF(D645="Líder",
      INDEX(ZACATECAS!E:E, MATCH(C645, ZACATECAS!F:F, 0)),
      INDEX(ZACATECAS!H:H, MATCH(C645, ZACATECAS!J:J, 0))
   ),
"")</f>
        <v/>
      </c>
    </row>
    <row r="646" spans="1:5" x14ac:dyDescent="0.3">
      <c r="A646" t="s">
        <v>28</v>
      </c>
      <c r="B646" t="s">
        <v>84</v>
      </c>
      <c r="C646" t="s">
        <v>91</v>
      </c>
      <c r="D646" t="s">
        <v>2369</v>
      </c>
      <c r="E646">
        <f>IFERROR(
   IF(D646="Líder",
      INDEX(ZACATECAS!E:E, MATCH(C646, ZACATECAS!F:F, 0)),
      INDEX(ZACATECAS!H:H, MATCH(C646, ZACATECAS!J:J, 0))
   ),
"")</f>
        <v>32144778</v>
      </c>
    </row>
    <row r="647" spans="1:5" x14ac:dyDescent="0.3">
      <c r="A647" t="s">
        <v>28</v>
      </c>
      <c r="B647" t="s">
        <v>84</v>
      </c>
      <c r="C647" t="s">
        <v>93</v>
      </c>
      <c r="D647" t="s">
        <v>2369</v>
      </c>
      <c r="E647">
        <f>IFERROR(
   IF(D647="Líder",
      INDEX(ZACATECAS!E:E, MATCH(C647, ZACATECAS!F:F, 0)),
      INDEX(ZACATECAS!H:H, MATCH(C647, ZACATECAS!J:J, 0))
   ),
"")</f>
        <v>32045357</v>
      </c>
    </row>
    <row r="648" spans="1:5" x14ac:dyDescent="0.3">
      <c r="A648" t="s">
        <v>28</v>
      </c>
      <c r="B648" t="s">
        <v>84</v>
      </c>
      <c r="C648" t="s">
        <v>94</v>
      </c>
      <c r="D648" t="s">
        <v>2369</v>
      </c>
      <c r="E648">
        <f>IFERROR(
   IF(D648="Líder",
      INDEX(ZACATECAS!E:E, MATCH(C648, ZACATECAS!F:F, 0)),
      INDEX(ZACATECAS!H:H, MATCH(C648, ZACATECAS!J:J, 0))
   ),
"")</f>
        <v>32044776</v>
      </c>
    </row>
    <row r="649" spans="1:5" x14ac:dyDescent="0.3">
      <c r="A649" t="s">
        <v>363</v>
      </c>
      <c r="B649" t="s">
        <v>1432</v>
      </c>
      <c r="C649" t="s">
        <v>1462</v>
      </c>
      <c r="D649" t="s">
        <v>2369</v>
      </c>
      <c r="E649">
        <f>IFERROR(
   IF(D649="Líder",
      INDEX(ZACATECAS!E:E, MATCH(C649, ZACATECAS!F:F, 0)),
      INDEX(ZACATECAS!H:H, MATCH(C649, ZACATECAS!J:J, 0))
   ),
"")</f>
        <v>32046553</v>
      </c>
    </row>
    <row r="650" spans="1:5" x14ac:dyDescent="0.3">
      <c r="A650" t="s">
        <v>363</v>
      </c>
      <c r="B650" t="s">
        <v>1432</v>
      </c>
      <c r="C650" t="s">
        <v>1459</v>
      </c>
      <c r="D650" t="s">
        <v>2369</v>
      </c>
      <c r="E650">
        <f>IFERROR(
   IF(D650="Líder",
      INDEX(ZACATECAS!E:E, MATCH(C650, ZACATECAS!F:F, 0)),
      INDEX(ZACATECAS!H:H, MATCH(C650, ZACATECAS!J:J, 0))
   ),
"")</f>
        <v>32197897</v>
      </c>
    </row>
    <row r="651" spans="1:5" x14ac:dyDescent="0.3">
      <c r="A651" t="s">
        <v>363</v>
      </c>
      <c r="B651" t="s">
        <v>1432</v>
      </c>
      <c r="C651" t="s">
        <v>1457</v>
      </c>
      <c r="D651" t="s">
        <v>2369</v>
      </c>
      <c r="E651">
        <f>IFERROR(
   IF(D651="Líder",
      INDEX(ZACATECAS!E:E, MATCH(C651, ZACATECAS!F:F, 0)),
      INDEX(ZACATECAS!H:H, MATCH(C651, ZACATECAS!J:J, 0))
   ),
"")</f>
        <v>32044543</v>
      </c>
    </row>
    <row r="652" spans="1:5" x14ac:dyDescent="0.3">
      <c r="A652" t="s">
        <v>363</v>
      </c>
      <c r="B652" t="s">
        <v>1432</v>
      </c>
      <c r="C652" t="s">
        <v>1455</v>
      </c>
      <c r="D652" t="s">
        <v>2369</v>
      </c>
      <c r="E652">
        <f>IFERROR(
   IF(D652="Líder",
      INDEX(ZACATECAS!E:E, MATCH(C652, ZACATECAS!F:F, 0)),
      INDEX(ZACATECAS!H:H, MATCH(C652, ZACATECAS!J:J, 0))
   ),
"")</f>
        <v>32132587</v>
      </c>
    </row>
    <row r="653" spans="1:5" x14ac:dyDescent="0.3">
      <c r="A653" t="s">
        <v>363</v>
      </c>
      <c r="B653" t="s">
        <v>1432</v>
      </c>
      <c r="C653" t="s">
        <v>1452</v>
      </c>
      <c r="D653" t="s">
        <v>2369</v>
      </c>
      <c r="E653">
        <f>IFERROR(
   IF(D653="Líder",
      INDEX(ZACATECAS!E:E, MATCH(C653, ZACATECAS!F:F, 0)),
      INDEX(ZACATECAS!H:H, MATCH(C653, ZACATECAS!J:J, 0))
   ),
"")</f>
        <v>32143052</v>
      </c>
    </row>
    <row r="654" spans="1:5" x14ac:dyDescent="0.3">
      <c r="A654" t="s">
        <v>363</v>
      </c>
      <c r="B654" t="s">
        <v>1432</v>
      </c>
      <c r="C654" t="s">
        <v>1449</v>
      </c>
      <c r="D654" t="s">
        <v>2369</v>
      </c>
      <c r="E654">
        <f>IFERROR(
   IF(D654="Líder",
      INDEX(ZACATECAS!E:E, MATCH(C654, ZACATECAS!F:F, 0)),
      INDEX(ZACATECAS!H:H, MATCH(C654, ZACATECAS!J:J, 0))
   ),
"")</f>
        <v>32046016</v>
      </c>
    </row>
    <row r="655" spans="1:5" x14ac:dyDescent="0.3">
      <c r="A655" t="s">
        <v>363</v>
      </c>
      <c r="B655" t="s">
        <v>1432</v>
      </c>
      <c r="C655" t="s">
        <v>1445</v>
      </c>
      <c r="D655" t="s">
        <v>2369</v>
      </c>
      <c r="E655">
        <f>IFERROR(
   IF(D655="Líder",
      INDEX(ZACATECAS!E:E, MATCH(C655, ZACATECAS!F:F, 0)),
      INDEX(ZACATECAS!H:H, MATCH(C655, ZACATECAS!J:J, 0))
   ),
"")</f>
        <v>32132051</v>
      </c>
    </row>
    <row r="656" spans="1:5" x14ac:dyDescent="0.3">
      <c r="A656" t="s">
        <v>363</v>
      </c>
      <c r="B656" t="s">
        <v>1432</v>
      </c>
      <c r="C656" t="s">
        <v>1442</v>
      </c>
      <c r="D656" t="s">
        <v>2369</v>
      </c>
      <c r="E656">
        <f>IFERROR(
   IF(D656="Líder",
      INDEX(ZACATECAS!E:E, MATCH(C656, ZACATECAS!F:F, 0)),
      INDEX(ZACATECAS!H:H, MATCH(C656, ZACATECAS!J:J, 0))
   ),
"")</f>
        <v>32143053</v>
      </c>
    </row>
    <row r="657" spans="1:5" x14ac:dyDescent="0.3">
      <c r="A657" t="s">
        <v>363</v>
      </c>
      <c r="B657" t="s">
        <v>1432</v>
      </c>
      <c r="C657" t="s">
        <v>1440</v>
      </c>
      <c r="D657" t="s">
        <v>2369</v>
      </c>
      <c r="E657">
        <f>IFERROR(
   IF(D657="Líder",
      INDEX(ZACATECAS!E:E, MATCH(C657, ZACATECAS!F:F, 0)),
      INDEX(ZACATECAS!H:H, MATCH(C657, ZACATECAS!J:J, 0))
   ),
"")</f>
        <v>32045507</v>
      </c>
    </row>
    <row r="658" spans="1:5" x14ac:dyDescent="0.3">
      <c r="A658" t="s">
        <v>363</v>
      </c>
      <c r="B658" t="s">
        <v>1432</v>
      </c>
      <c r="C658" t="s">
        <v>1438</v>
      </c>
      <c r="D658" t="s">
        <v>2369</v>
      </c>
      <c r="E658">
        <f>IFERROR(
   IF(D658="Líder",
      INDEX(ZACATECAS!E:E, MATCH(C658, ZACATECAS!F:F, 0)),
      INDEX(ZACATECAS!H:H, MATCH(C658, ZACATECAS!J:J, 0))
   ),
"")</f>
        <v>32045806</v>
      </c>
    </row>
    <row r="659" spans="1:5" x14ac:dyDescent="0.3">
      <c r="A659" t="s">
        <v>363</v>
      </c>
      <c r="B659" t="s">
        <v>1432</v>
      </c>
      <c r="C659" t="s">
        <v>1436</v>
      </c>
      <c r="D659" t="s">
        <v>2369</v>
      </c>
      <c r="E659">
        <f>IFERROR(
   IF(D659="Líder",
      INDEX(ZACATECAS!E:E, MATCH(C659, ZACATECAS!F:F, 0)),
      INDEX(ZACATECAS!H:H, MATCH(C659, ZACATECAS!J:J, 0))
   ),
"")</f>
        <v>32064299</v>
      </c>
    </row>
    <row r="660" spans="1:5" x14ac:dyDescent="0.3">
      <c r="A660" t="s">
        <v>363</v>
      </c>
      <c r="B660" t="s">
        <v>1432</v>
      </c>
      <c r="C660" t="s">
        <v>1434</v>
      </c>
      <c r="D660" t="s">
        <v>2369</v>
      </c>
      <c r="E660">
        <f>IFERROR(
   IF(D660="Líder",
      INDEX(ZACATECAS!E:E, MATCH(C660, ZACATECAS!F:F, 0)),
      INDEX(ZACATECAS!H:H, MATCH(C660, ZACATECAS!J:J, 0))
   ),
"")</f>
        <v>32044002</v>
      </c>
    </row>
    <row r="661" spans="1:5" x14ac:dyDescent="0.3">
      <c r="A661" t="s">
        <v>363</v>
      </c>
      <c r="B661" t="s">
        <v>1192</v>
      </c>
      <c r="C661" t="s">
        <v>1207</v>
      </c>
      <c r="D661" t="s">
        <v>2369</v>
      </c>
      <c r="E661">
        <f>IFERROR(
   IF(D661="Líder",
      INDEX(ZACATECAS!E:E, MATCH(C661, ZACATECAS!F:F, 0)),
      INDEX(ZACATECAS!H:H, MATCH(C661, ZACATECAS!J:J, 0))
   ),
"")</f>
        <v>32140576</v>
      </c>
    </row>
    <row r="662" spans="1:5" x14ac:dyDescent="0.3">
      <c r="A662" t="s">
        <v>363</v>
      </c>
      <c r="B662" t="s">
        <v>1192</v>
      </c>
      <c r="C662" t="s">
        <v>1211</v>
      </c>
      <c r="D662" t="s">
        <v>2369</v>
      </c>
      <c r="E662">
        <f>IFERROR(
   IF(D662="Líder",
      INDEX(ZACATECAS!E:E, MATCH(C662, ZACATECAS!F:F, 0)),
      INDEX(ZACATECAS!H:H, MATCH(C662, ZACATECAS!J:J, 0))
   ),
"")</f>
        <v>32143665</v>
      </c>
    </row>
    <row r="663" spans="1:5" x14ac:dyDescent="0.3">
      <c r="A663" t="s">
        <v>363</v>
      </c>
      <c r="B663" t="s">
        <v>1192</v>
      </c>
      <c r="C663" t="s">
        <v>1205</v>
      </c>
      <c r="D663" t="s">
        <v>2369</v>
      </c>
      <c r="E663">
        <f>IFERROR(
   IF(D663="Líder",
      INDEX(ZACATECAS!E:E, MATCH(C663, ZACATECAS!F:F, 0)),
      INDEX(ZACATECAS!H:H, MATCH(C663, ZACATECAS!J:J, 0))
   ),
"")</f>
        <v>32046671</v>
      </c>
    </row>
    <row r="664" spans="1:5" x14ac:dyDescent="0.3">
      <c r="A664" t="s">
        <v>363</v>
      </c>
      <c r="B664" t="s">
        <v>1192</v>
      </c>
      <c r="C664" t="s">
        <v>1174</v>
      </c>
      <c r="D664" t="s">
        <v>2369</v>
      </c>
      <c r="E664">
        <f>IFERROR(
   IF(D664="Líder",
      INDEX(ZACATECAS!E:E, MATCH(C664, ZACATECAS!F:F, 0)),
      INDEX(ZACATECAS!H:H, MATCH(C664, ZACATECAS!J:J, 0))
   ),
"")</f>
        <v>32044156</v>
      </c>
    </row>
    <row r="665" spans="1:5" x14ac:dyDescent="0.3">
      <c r="A665" t="s">
        <v>363</v>
      </c>
      <c r="B665" t="s">
        <v>1192</v>
      </c>
      <c r="C665" t="s">
        <v>1195</v>
      </c>
      <c r="D665" t="s">
        <v>2369</v>
      </c>
      <c r="E665">
        <f>IFERROR(
   IF(D665="Líder",
      INDEX(ZACATECAS!E:E, MATCH(C665, ZACATECAS!F:F, 0)),
      INDEX(ZACATECAS!H:H, MATCH(C665, ZACATECAS!J:J, 0))
   ),
"")</f>
        <v>32044370</v>
      </c>
    </row>
    <row r="666" spans="1:5" x14ac:dyDescent="0.3">
      <c r="A666" t="s">
        <v>363</v>
      </c>
      <c r="B666" t="s">
        <v>1192</v>
      </c>
      <c r="C666" t="s">
        <v>1193</v>
      </c>
      <c r="D666" t="s">
        <v>2369</v>
      </c>
      <c r="E666">
        <f>IFERROR(
   IF(D666="Líder",
      INDEX(ZACATECAS!E:E, MATCH(C666, ZACATECAS!F:F, 0)),
      INDEX(ZACATECAS!H:H, MATCH(C666, ZACATECAS!J:J, 0))
   ),
"")</f>
        <v>32044075</v>
      </c>
    </row>
    <row r="667" spans="1:5" x14ac:dyDescent="0.3">
      <c r="A667" t="s">
        <v>363</v>
      </c>
      <c r="B667" t="s">
        <v>1192</v>
      </c>
      <c r="C667" t="s">
        <v>1201</v>
      </c>
      <c r="D667" t="s">
        <v>2369</v>
      </c>
      <c r="E667">
        <f>IFERROR(
   IF(D667="Líder",
      INDEX(ZACATECAS!E:E, MATCH(C667, ZACATECAS!F:F, 0)),
      INDEX(ZACATECAS!H:H, MATCH(C667, ZACATECAS!J:J, 0))
   ),
"")</f>
        <v>32046355</v>
      </c>
    </row>
    <row r="668" spans="1:5" x14ac:dyDescent="0.3">
      <c r="A668" t="s">
        <v>363</v>
      </c>
      <c r="B668" t="s">
        <v>1192</v>
      </c>
      <c r="C668" t="s">
        <v>1199</v>
      </c>
      <c r="D668" t="s">
        <v>2369</v>
      </c>
      <c r="E668">
        <f>IFERROR(
   IF(D668="Líder",
      INDEX(ZACATECAS!E:E, MATCH(C668, ZACATECAS!F:F, 0)),
      INDEX(ZACATECAS!H:H, MATCH(C668, ZACATECAS!J:J, 0))
   ),
"")</f>
        <v>32046159</v>
      </c>
    </row>
    <row r="669" spans="1:5" x14ac:dyDescent="0.3">
      <c r="A669" t="s">
        <v>363</v>
      </c>
      <c r="B669" t="s">
        <v>1192</v>
      </c>
      <c r="C669" t="s">
        <v>1197</v>
      </c>
      <c r="D669" t="s">
        <v>2369</v>
      </c>
      <c r="E669">
        <f>IFERROR(
   IF(D669="Líder",
      INDEX(ZACATECAS!E:E, MATCH(C669, ZACATECAS!F:F, 0)),
      INDEX(ZACATECAS!H:H, MATCH(C669, ZACATECAS!J:J, 0))
   ),
"")</f>
        <v>32044561</v>
      </c>
    </row>
    <row r="670" spans="1:5" x14ac:dyDescent="0.3">
      <c r="A670" t="s">
        <v>363</v>
      </c>
      <c r="B670" t="s">
        <v>1192</v>
      </c>
      <c r="C670" t="s">
        <v>1209</v>
      </c>
      <c r="D670" t="s">
        <v>2369</v>
      </c>
      <c r="E670">
        <f>IFERROR(
   IF(D670="Líder",
      INDEX(ZACATECAS!E:E, MATCH(C670, ZACATECAS!F:F, 0)),
      INDEX(ZACATECAS!H:H, MATCH(C670, ZACATECAS!J:J, 0))
   ),
"")</f>
        <v>32143625</v>
      </c>
    </row>
    <row r="671" spans="1:5" x14ac:dyDescent="0.3">
      <c r="A671" t="s">
        <v>363</v>
      </c>
      <c r="B671" t="s">
        <v>1192</v>
      </c>
      <c r="C671" t="s">
        <v>1213</v>
      </c>
      <c r="D671" t="s">
        <v>2369</v>
      </c>
      <c r="E671">
        <f>IFERROR(
   IF(D671="Líder",
      INDEX(ZACATECAS!E:E, MATCH(C671, ZACATECAS!F:F, 0)),
      INDEX(ZACATECAS!H:H, MATCH(C671, ZACATECAS!J:J, 0))
   ),
"")</f>
        <v>32150657</v>
      </c>
    </row>
    <row r="672" spans="1:5" x14ac:dyDescent="0.3">
      <c r="A672" t="s">
        <v>363</v>
      </c>
      <c r="B672" t="s">
        <v>1192</v>
      </c>
      <c r="C672" t="s">
        <v>1203</v>
      </c>
      <c r="D672" t="s">
        <v>2369</v>
      </c>
      <c r="E672">
        <f>IFERROR(
   IF(D672="Líder",
      INDEX(ZACATECAS!E:E, MATCH(C672, ZACATECAS!F:F, 0)),
      INDEX(ZACATECAS!H:H, MATCH(C672, ZACATECAS!J:J, 0))
   ),
"")</f>
        <v>32046569</v>
      </c>
    </row>
    <row r="673" spans="1:5" x14ac:dyDescent="0.3">
      <c r="A673" t="s">
        <v>28</v>
      </c>
      <c r="B673" t="s">
        <v>96</v>
      </c>
      <c r="C673" t="s">
        <v>99</v>
      </c>
      <c r="D673" t="s">
        <v>2369</v>
      </c>
      <c r="E673">
        <f>IFERROR(
   IF(D673="Líder",
      INDEX(ZACATECAS!E:E, MATCH(C673, ZACATECAS!F:F, 0)),
      INDEX(ZACATECAS!H:H, MATCH(C673, ZACATECAS!J:J, 0))
   ),
"")</f>
        <v>32045556</v>
      </c>
    </row>
    <row r="674" spans="1:5" x14ac:dyDescent="0.3">
      <c r="A674" t="s">
        <v>28</v>
      </c>
      <c r="B674" t="s">
        <v>96</v>
      </c>
      <c r="C674" t="s">
        <v>101</v>
      </c>
      <c r="D674" t="s">
        <v>2369</v>
      </c>
      <c r="E674">
        <f>IFERROR(
   IF(D674="Líder",
      INDEX(ZACATECAS!E:E, MATCH(C674, ZACATECAS!F:F, 0)),
      INDEX(ZACATECAS!H:H, MATCH(C674, ZACATECAS!J:J, 0))
   ),
"")</f>
        <v>32045410</v>
      </c>
    </row>
    <row r="675" spans="1:5" x14ac:dyDescent="0.3">
      <c r="A675" t="s">
        <v>28</v>
      </c>
      <c r="B675" t="s">
        <v>96</v>
      </c>
      <c r="C675" t="s">
        <v>103</v>
      </c>
      <c r="D675" t="s">
        <v>2369</v>
      </c>
      <c r="E675">
        <f>IFERROR(
   IF(D675="Líder",
      INDEX(ZACATECAS!E:E, MATCH(C675, ZACATECAS!F:F, 0)),
      INDEX(ZACATECAS!H:H, MATCH(C675, ZACATECAS!J:J, 0))
   ),
"")</f>
        <v>32213349</v>
      </c>
    </row>
    <row r="676" spans="1:5" x14ac:dyDescent="0.3">
      <c r="A676" t="s">
        <v>28</v>
      </c>
      <c r="B676" t="s">
        <v>96</v>
      </c>
      <c r="C676" t="s">
        <v>105</v>
      </c>
      <c r="D676" t="s">
        <v>2369</v>
      </c>
      <c r="E676">
        <f>IFERROR(
   IF(D676="Líder",
      INDEX(ZACATECAS!E:E, MATCH(C676, ZACATECAS!F:F, 0)),
      INDEX(ZACATECAS!H:H, MATCH(C676, ZACATECAS!J:J, 0))
   ),
"")</f>
        <v>32043849</v>
      </c>
    </row>
    <row r="677" spans="1:5" x14ac:dyDescent="0.3">
      <c r="A677" t="s">
        <v>28</v>
      </c>
      <c r="B677" t="s">
        <v>96</v>
      </c>
      <c r="C677" t="s">
        <v>107</v>
      </c>
      <c r="D677" t="s">
        <v>2369</v>
      </c>
      <c r="E677">
        <f>IFERROR(
   IF(D677="Líder",
      INDEX(ZACATECAS!E:E, MATCH(C677, ZACATECAS!F:F, 0)),
      INDEX(ZACATECAS!H:H, MATCH(C677, ZACATECAS!J:J, 0))
   ),
"")</f>
        <v>32142953</v>
      </c>
    </row>
    <row r="678" spans="1:5" x14ac:dyDescent="0.3">
      <c r="A678" t="s">
        <v>28</v>
      </c>
      <c r="B678" t="s">
        <v>109</v>
      </c>
      <c r="C678" t="s">
        <v>112</v>
      </c>
      <c r="D678" t="s">
        <v>2369</v>
      </c>
      <c r="E678">
        <f>IFERROR(
   IF(D678="Líder",
      INDEX(ZACATECAS!E:E, MATCH(C678, ZACATECAS!F:F, 0)),
      INDEX(ZACATECAS!H:H, MATCH(C678, ZACATECAS!J:J, 0))
   ),
"")</f>
        <v>32201713</v>
      </c>
    </row>
    <row r="679" spans="1:5" x14ac:dyDescent="0.3">
      <c r="A679" t="s">
        <v>28</v>
      </c>
      <c r="B679" t="s">
        <v>109</v>
      </c>
      <c r="C679" t="s">
        <v>114</v>
      </c>
      <c r="D679" t="s">
        <v>2369</v>
      </c>
      <c r="E679">
        <f>IFERROR(
   IF(D679="Líder",
      INDEX(ZACATECAS!E:E, MATCH(C679, ZACATECAS!F:F, 0)),
      INDEX(ZACATECAS!H:H, MATCH(C679, ZACATECAS!J:J, 0))
   ),
"")</f>
        <v>32045396</v>
      </c>
    </row>
    <row r="680" spans="1:5" x14ac:dyDescent="0.3">
      <c r="A680" t="s">
        <v>28</v>
      </c>
      <c r="B680" t="s">
        <v>109</v>
      </c>
      <c r="C680" t="s">
        <v>116</v>
      </c>
      <c r="D680" t="s">
        <v>2369</v>
      </c>
      <c r="E680">
        <f>IFERROR(
   IF(D680="Líder",
      INDEX(ZACATECAS!E:E, MATCH(C680, ZACATECAS!F:F, 0)),
      INDEX(ZACATECAS!H:H, MATCH(C680, ZACATECAS!J:J, 0))
   ),
"")</f>
        <v>32201712</v>
      </c>
    </row>
    <row r="681" spans="1:5" x14ac:dyDescent="0.3">
      <c r="A681" t="s">
        <v>28</v>
      </c>
      <c r="B681" t="s">
        <v>109</v>
      </c>
      <c r="C681" t="s">
        <v>118</v>
      </c>
      <c r="D681" t="s">
        <v>2369</v>
      </c>
      <c r="E681">
        <f>IFERROR(
   IF(D681="Líder",
      INDEX(ZACATECAS!E:E, MATCH(C681, ZACATECAS!F:F, 0)),
      INDEX(ZACATECAS!H:H, MATCH(C681, ZACATECAS!J:J, 0))
   ),
"")</f>
        <v>32043902</v>
      </c>
    </row>
    <row r="682" spans="1:5" x14ac:dyDescent="0.3">
      <c r="A682" t="s">
        <v>1</v>
      </c>
      <c r="B682" t="s">
        <v>8</v>
      </c>
      <c r="C682" t="s">
        <v>2033</v>
      </c>
      <c r="D682" t="s">
        <v>2369</v>
      </c>
      <c r="E682">
        <f>IFERROR(
   IF(D682="Líder",
      INDEX(ZACATECAS!E:E, MATCH(C682, ZACATECAS!F:F, 0)),
      INDEX(ZACATECAS!H:H, MATCH(C682, ZACATECAS!J:J, 0))
   ),
"")</f>
        <v>32043794</v>
      </c>
    </row>
    <row r="683" spans="1:5" x14ac:dyDescent="0.3">
      <c r="A683" t="s">
        <v>1</v>
      </c>
      <c r="B683" t="s">
        <v>8</v>
      </c>
      <c r="C683" t="s">
        <v>2035</v>
      </c>
      <c r="D683" t="s">
        <v>2369</v>
      </c>
      <c r="E683">
        <f>IFERROR(
   IF(D683="Líder",
      INDEX(ZACATECAS!E:E, MATCH(C683, ZACATECAS!F:F, 0)),
      INDEX(ZACATECAS!H:H, MATCH(C683, ZACATECAS!J:J, 0))
   ),
"")</f>
        <v>32181713</v>
      </c>
    </row>
    <row r="684" spans="1:5" x14ac:dyDescent="0.3">
      <c r="A684" t="s">
        <v>1</v>
      </c>
      <c r="B684" t="s">
        <v>8</v>
      </c>
      <c r="C684" t="s">
        <v>2037</v>
      </c>
      <c r="D684" t="s">
        <v>2369</v>
      </c>
      <c r="E684">
        <f>IFERROR(
   IF(D684="Líder",
      INDEX(ZACATECAS!E:E, MATCH(C684, ZACATECAS!F:F, 0)),
      INDEX(ZACATECAS!H:H, MATCH(C684, ZACATECAS!J:J, 0))
   ),
"")</f>
        <v>32043868</v>
      </c>
    </row>
    <row r="685" spans="1:5" x14ac:dyDescent="0.3">
      <c r="A685" t="s">
        <v>1</v>
      </c>
      <c r="B685" t="s">
        <v>8</v>
      </c>
      <c r="C685" t="s">
        <v>2327</v>
      </c>
      <c r="D685" t="s">
        <v>2369</v>
      </c>
      <c r="E685" t="str">
        <f>IFERROR(
   IF(D685="Líder",
      INDEX(ZACATECAS!E:E, MATCH(C685, ZACATECAS!F:F, 0)),
      INDEX(ZACATECAS!H:H, MATCH(C685, ZACATECAS!J:J, 0))
   ),
"")</f>
        <v/>
      </c>
    </row>
    <row r="686" spans="1:5" x14ac:dyDescent="0.3">
      <c r="A686" t="s">
        <v>28</v>
      </c>
      <c r="B686" t="s">
        <v>120</v>
      </c>
      <c r="C686" t="s">
        <v>123</v>
      </c>
      <c r="D686" t="s">
        <v>2369</v>
      </c>
      <c r="E686">
        <f>IFERROR(
   IF(D686="Líder",
      INDEX(ZACATECAS!E:E, MATCH(C686, ZACATECAS!F:F, 0)),
      INDEX(ZACATECAS!H:H, MATCH(C686, ZACATECAS!J:J, 0))
   ),
"")</f>
        <v>32044036</v>
      </c>
    </row>
    <row r="687" spans="1:5" x14ac:dyDescent="0.3">
      <c r="A687" t="s">
        <v>28</v>
      </c>
      <c r="B687" t="s">
        <v>120</v>
      </c>
      <c r="C687" t="s">
        <v>126</v>
      </c>
      <c r="D687" t="s">
        <v>2369</v>
      </c>
      <c r="E687">
        <f>IFERROR(
   IF(D687="Líder",
      INDEX(ZACATECAS!E:E, MATCH(C687, ZACATECAS!F:F, 0)),
      INDEX(ZACATECAS!H:H, MATCH(C687, ZACATECAS!J:J, 0))
   ),
"")</f>
        <v>32044447</v>
      </c>
    </row>
    <row r="688" spans="1:5" x14ac:dyDescent="0.3">
      <c r="A688" t="s">
        <v>28</v>
      </c>
      <c r="B688" t="s">
        <v>120</v>
      </c>
      <c r="C688" t="s">
        <v>129</v>
      </c>
      <c r="D688" t="s">
        <v>2369</v>
      </c>
      <c r="E688">
        <f>IFERROR(
   IF(D688="Líder",
      INDEX(ZACATECAS!E:E, MATCH(C688, ZACATECAS!F:F, 0)),
      INDEX(ZACATECAS!H:H, MATCH(C688, ZACATECAS!J:J, 0))
   ),
"")</f>
        <v>32044771</v>
      </c>
    </row>
    <row r="689" spans="1:5" x14ac:dyDescent="0.3">
      <c r="A689" t="s">
        <v>28</v>
      </c>
      <c r="B689" t="s">
        <v>120</v>
      </c>
      <c r="C689" t="s">
        <v>131</v>
      </c>
      <c r="D689" t="s">
        <v>2369</v>
      </c>
      <c r="E689">
        <f>IFERROR(
   IF(D689="Líder",
      INDEX(ZACATECAS!E:E, MATCH(C689, ZACATECAS!F:F, 0)),
      INDEX(ZACATECAS!H:H, MATCH(C689, ZACATECAS!J:J, 0))
   ),
"")</f>
        <v>32213345</v>
      </c>
    </row>
    <row r="690" spans="1:5" x14ac:dyDescent="0.3">
      <c r="A690" t="s">
        <v>28</v>
      </c>
      <c r="B690" t="s">
        <v>120</v>
      </c>
      <c r="C690" t="s">
        <v>133</v>
      </c>
      <c r="D690" t="s">
        <v>2369</v>
      </c>
      <c r="E690">
        <f>IFERROR(
   IF(D690="Líder",
      INDEX(ZACATECAS!E:E, MATCH(C690, ZACATECAS!F:F, 0)),
      INDEX(ZACATECAS!H:H, MATCH(C690, ZACATECAS!J:J, 0))
   ),
"")</f>
        <v>32044514</v>
      </c>
    </row>
    <row r="691" spans="1:5" x14ac:dyDescent="0.3">
      <c r="A691" t="s">
        <v>28</v>
      </c>
      <c r="B691" t="s">
        <v>120</v>
      </c>
      <c r="C691" t="s">
        <v>135</v>
      </c>
      <c r="D691" t="s">
        <v>2369</v>
      </c>
      <c r="E691">
        <f>IFERROR(
   IF(D691="Líder",
      INDEX(ZACATECAS!E:E, MATCH(C691, ZACATECAS!F:F, 0)),
      INDEX(ZACATECAS!H:H, MATCH(C691, ZACATECAS!J:J, 0))
   ),
"")</f>
        <v>32043880</v>
      </c>
    </row>
    <row r="692" spans="1:5" x14ac:dyDescent="0.3">
      <c r="A692" t="s">
        <v>28</v>
      </c>
      <c r="B692" t="s">
        <v>120</v>
      </c>
      <c r="C692" t="s">
        <v>137</v>
      </c>
      <c r="D692" t="s">
        <v>2369</v>
      </c>
      <c r="E692">
        <f>IFERROR(
   IF(D692="Líder",
      INDEX(ZACATECAS!E:E, MATCH(C692, ZACATECAS!F:F, 0)),
      INDEX(ZACATECAS!H:H, MATCH(C692, ZACATECAS!J:J, 0))
   ),
"")</f>
        <v>32044513</v>
      </c>
    </row>
    <row r="693" spans="1:5" x14ac:dyDescent="0.3">
      <c r="A693" t="s">
        <v>28</v>
      </c>
      <c r="B693" t="s">
        <v>139</v>
      </c>
      <c r="C693" t="s">
        <v>142</v>
      </c>
      <c r="D693" t="s">
        <v>2369</v>
      </c>
      <c r="E693">
        <f>IFERROR(
   IF(D693="Líder",
      INDEX(ZACATECAS!E:E, MATCH(C693, ZACATECAS!F:F, 0)),
      INDEX(ZACATECAS!H:H, MATCH(C693, ZACATECAS!J:J, 0))
   ),
"")</f>
        <v>32045574</v>
      </c>
    </row>
    <row r="694" spans="1:5" x14ac:dyDescent="0.3">
      <c r="A694" t="s">
        <v>28</v>
      </c>
      <c r="B694" t="s">
        <v>139</v>
      </c>
      <c r="C694" t="s">
        <v>144</v>
      </c>
      <c r="D694" t="s">
        <v>2369</v>
      </c>
      <c r="E694">
        <f>IFERROR(
   IF(D694="Líder",
      INDEX(ZACATECAS!E:E, MATCH(C694, ZACATECAS!F:F, 0)),
      INDEX(ZACATECAS!H:H, MATCH(C694, ZACATECAS!J:J, 0))
   ),
"")</f>
        <v>32222223</v>
      </c>
    </row>
    <row r="695" spans="1:5" x14ac:dyDescent="0.3">
      <c r="A695" t="s">
        <v>28</v>
      </c>
      <c r="B695" t="s">
        <v>139</v>
      </c>
      <c r="C695" t="s">
        <v>146</v>
      </c>
      <c r="D695" t="s">
        <v>2369</v>
      </c>
      <c r="E695">
        <f>IFERROR(
   IF(D695="Líder",
      INDEX(ZACATECAS!E:E, MATCH(C695, ZACATECAS!F:F, 0)),
      INDEX(ZACATECAS!H:H, MATCH(C695, ZACATECAS!J:J, 0))
   ),
"")</f>
        <v>32111307</v>
      </c>
    </row>
    <row r="696" spans="1:5" x14ac:dyDescent="0.3">
      <c r="A696" t="s">
        <v>28</v>
      </c>
      <c r="B696" t="s">
        <v>139</v>
      </c>
      <c r="C696" t="s">
        <v>2427</v>
      </c>
      <c r="D696" t="s">
        <v>2369</v>
      </c>
      <c r="E696" t="str">
        <f>IFERROR(
   IF(D696="Líder",
      INDEX(ZACATECAS!E:E, MATCH(C696, ZACATECAS!F:F, 0)),
      INDEX(ZACATECAS!H:H, MATCH(C696, ZACATECAS!J:J, 0))
   ),
"")</f>
        <v/>
      </c>
    </row>
    <row r="697" spans="1:5" x14ac:dyDescent="0.3">
      <c r="A697" t="s">
        <v>28</v>
      </c>
      <c r="B697" t="s">
        <v>139</v>
      </c>
      <c r="C697" t="s">
        <v>148</v>
      </c>
      <c r="D697" t="s">
        <v>2369</v>
      </c>
      <c r="E697">
        <f>IFERROR(
   IF(D697="Líder",
      INDEX(ZACATECAS!E:E, MATCH(C697, ZACATECAS!F:F, 0)),
      INDEX(ZACATECAS!H:H, MATCH(C697, ZACATECAS!J:J, 0))
   ),
"")</f>
        <v>32043891</v>
      </c>
    </row>
    <row r="698" spans="1:5" x14ac:dyDescent="0.3">
      <c r="A698" t="s">
        <v>363</v>
      </c>
      <c r="B698" t="s">
        <v>780</v>
      </c>
      <c r="C698" t="s">
        <v>808</v>
      </c>
      <c r="D698" t="s">
        <v>2369</v>
      </c>
      <c r="E698">
        <f>IFERROR(
   IF(D698="Líder",
      INDEX(ZACATECAS!E:E, MATCH(C698, ZACATECAS!F:F, 0)),
      INDEX(ZACATECAS!H:H, MATCH(C698, ZACATECAS!J:J, 0))
   ),
"")</f>
        <v>32067180</v>
      </c>
    </row>
    <row r="699" spans="1:5" x14ac:dyDescent="0.3">
      <c r="A699" t="s">
        <v>363</v>
      </c>
      <c r="B699" t="s">
        <v>780</v>
      </c>
      <c r="C699" t="s">
        <v>785</v>
      </c>
      <c r="D699" t="s">
        <v>2369</v>
      </c>
      <c r="E699">
        <f>IFERROR(
   IF(D699="Líder",
      INDEX(ZACATECAS!E:E, MATCH(C699, ZACATECAS!F:F, 0)),
      INDEX(ZACATECAS!H:H, MATCH(C699, ZACATECAS!J:J, 0))
   ),
"")</f>
        <v>32044354</v>
      </c>
    </row>
    <row r="700" spans="1:5" x14ac:dyDescent="0.3">
      <c r="A700" t="s">
        <v>363</v>
      </c>
      <c r="B700" t="s">
        <v>780</v>
      </c>
      <c r="C700" t="s">
        <v>813</v>
      </c>
      <c r="D700" t="s">
        <v>2369</v>
      </c>
      <c r="E700">
        <f>IFERROR(
   IF(D700="Líder",
      INDEX(ZACATECAS!E:E, MATCH(C700, ZACATECAS!F:F, 0)),
      INDEX(ZACATECAS!H:H, MATCH(C700, ZACATECAS!J:J, 0))
   ),
"")</f>
        <v>32155905</v>
      </c>
    </row>
    <row r="701" spans="1:5" x14ac:dyDescent="0.3">
      <c r="A701" t="s">
        <v>363</v>
      </c>
      <c r="B701" t="s">
        <v>780</v>
      </c>
      <c r="C701" t="s">
        <v>791</v>
      </c>
      <c r="D701" t="s">
        <v>2369</v>
      </c>
      <c r="E701">
        <f>IFERROR(
   IF(D701="Líder",
      INDEX(ZACATECAS!E:E, MATCH(C701, ZACATECAS!F:F, 0)),
      INDEX(ZACATECAS!H:H, MATCH(C701, ZACATECAS!J:J, 0))
   ),
"")</f>
        <v>32044703</v>
      </c>
    </row>
    <row r="702" spans="1:5" x14ac:dyDescent="0.3">
      <c r="A702" t="s">
        <v>363</v>
      </c>
      <c r="B702" t="s">
        <v>780</v>
      </c>
      <c r="C702" t="s">
        <v>793</v>
      </c>
      <c r="D702" t="s">
        <v>2369</v>
      </c>
      <c r="E702">
        <f>IFERROR(
   IF(D702="Líder",
      INDEX(ZACATECAS!E:E, MATCH(C702, ZACATECAS!F:F, 0)),
      INDEX(ZACATECAS!H:H, MATCH(C702, ZACATECAS!J:J, 0))
   ),
"")</f>
        <v>32044710</v>
      </c>
    </row>
    <row r="703" spans="1:5" x14ac:dyDescent="0.3">
      <c r="A703" t="s">
        <v>363</v>
      </c>
      <c r="B703" t="s">
        <v>780</v>
      </c>
      <c r="C703" t="s">
        <v>799</v>
      </c>
      <c r="D703" t="s">
        <v>2369</v>
      </c>
      <c r="E703">
        <f>IFERROR(
   IF(D703="Líder",
      INDEX(ZACATECAS!E:E, MATCH(C703, ZACATECAS!F:F, 0)),
      INDEX(ZACATECAS!H:H, MATCH(C703, ZACATECAS!J:J, 0))
   ),
"")</f>
        <v>32045623</v>
      </c>
    </row>
    <row r="704" spans="1:5" x14ac:dyDescent="0.3">
      <c r="A704" t="s">
        <v>363</v>
      </c>
      <c r="B704" t="s">
        <v>780</v>
      </c>
      <c r="C704" t="s">
        <v>797</v>
      </c>
      <c r="D704" t="s">
        <v>2369</v>
      </c>
      <c r="E704">
        <f>IFERROR(
   IF(D704="Líder",
      INDEX(ZACATECAS!E:E, MATCH(C704, ZACATECAS!F:F, 0)),
      INDEX(ZACATECAS!H:H, MATCH(C704, ZACATECAS!J:J, 0))
   ),
"")</f>
        <v>32045551</v>
      </c>
    </row>
    <row r="705" spans="1:5" x14ac:dyDescent="0.3">
      <c r="A705" t="s">
        <v>363</v>
      </c>
      <c r="B705" t="s">
        <v>780</v>
      </c>
      <c r="C705" t="s">
        <v>810</v>
      </c>
      <c r="D705" t="s">
        <v>2369</v>
      </c>
      <c r="E705">
        <f>IFERROR(
   IF(D705="Líder",
      INDEX(ZACATECAS!E:E, MATCH(C705, ZACATECAS!F:F, 0)),
      INDEX(ZACATECAS!H:H, MATCH(C705, ZACATECAS!J:J, 0))
   ),
"")</f>
        <v>32132588</v>
      </c>
    </row>
    <row r="706" spans="1:5" x14ac:dyDescent="0.3">
      <c r="A706" t="s">
        <v>363</v>
      </c>
      <c r="B706" t="s">
        <v>780</v>
      </c>
      <c r="C706" t="s">
        <v>805</v>
      </c>
      <c r="D706" t="s">
        <v>2369</v>
      </c>
      <c r="E706">
        <f>IFERROR(
   IF(D706="Líder",
      INDEX(ZACATECAS!E:E, MATCH(C706, ZACATECAS!F:F, 0)),
      INDEX(ZACATECAS!H:H, MATCH(C706, ZACATECAS!J:J, 0))
   ),
"")</f>
        <v>32067156</v>
      </c>
    </row>
    <row r="707" spans="1:5" x14ac:dyDescent="0.3">
      <c r="A707" t="s">
        <v>363</v>
      </c>
      <c r="B707" t="s">
        <v>780</v>
      </c>
      <c r="C707" t="s">
        <v>801</v>
      </c>
      <c r="D707" t="s">
        <v>2369</v>
      </c>
      <c r="E707">
        <f>IFERROR(
   IF(D707="Líder",
      INDEX(ZACATECAS!E:E, MATCH(C707, ZACATECAS!F:F, 0)),
      INDEX(ZACATECAS!H:H, MATCH(C707, ZACATECAS!J:J, 0))
   ),
"")</f>
        <v>32056899</v>
      </c>
    </row>
    <row r="708" spans="1:5" x14ac:dyDescent="0.3">
      <c r="A708" t="s">
        <v>363</v>
      </c>
      <c r="B708" t="s">
        <v>780</v>
      </c>
      <c r="C708" t="s">
        <v>803</v>
      </c>
      <c r="D708" t="s">
        <v>2369</v>
      </c>
      <c r="E708">
        <f>IFERROR(
   IF(D708="Líder",
      INDEX(ZACATECAS!E:E, MATCH(C708, ZACATECAS!F:F, 0)),
      INDEX(ZACATECAS!H:H, MATCH(C708, ZACATECAS!J:J, 0))
   ),
"")</f>
        <v>32058093</v>
      </c>
    </row>
    <row r="709" spans="1:5" x14ac:dyDescent="0.3">
      <c r="A709" t="s">
        <v>363</v>
      </c>
      <c r="B709" t="s">
        <v>780</v>
      </c>
      <c r="C709" t="s">
        <v>783</v>
      </c>
      <c r="D709" t="s">
        <v>2369</v>
      </c>
      <c r="E709">
        <f>IFERROR(
   IF(D709="Líder",
      INDEX(ZACATECAS!E:E, MATCH(C709, ZACATECAS!F:F, 0)),
      INDEX(ZACATECAS!H:H, MATCH(C709, ZACATECAS!J:J, 0))
   ),
"")</f>
        <v>32043943</v>
      </c>
    </row>
    <row r="710" spans="1:5" x14ac:dyDescent="0.3">
      <c r="A710" t="s">
        <v>363</v>
      </c>
      <c r="B710" t="s">
        <v>780</v>
      </c>
      <c r="C710" t="s">
        <v>795</v>
      </c>
      <c r="D710" t="s">
        <v>2369</v>
      </c>
      <c r="E710">
        <f>IFERROR(
   IF(D710="Líder",
      INDEX(ZACATECAS!E:E, MATCH(C710, ZACATECAS!F:F, 0)),
      INDEX(ZACATECAS!H:H, MATCH(C710, ZACATECAS!J:J, 0))
   ),
"")</f>
        <v>32044745</v>
      </c>
    </row>
    <row r="711" spans="1:5" x14ac:dyDescent="0.3">
      <c r="A711" t="s">
        <v>363</v>
      </c>
      <c r="B711" t="s">
        <v>780</v>
      </c>
      <c r="C711" t="s">
        <v>787</v>
      </c>
      <c r="D711" t="s">
        <v>2369</v>
      </c>
      <c r="E711">
        <f>IFERROR(
   IF(D711="Líder",
      INDEX(ZACATECAS!E:E, MATCH(C711, ZACATECAS!F:F, 0)),
      INDEX(ZACATECAS!H:H, MATCH(C711, ZACATECAS!J:J, 0))
   ),
"")</f>
        <v>32044444</v>
      </c>
    </row>
    <row r="712" spans="1:5" x14ac:dyDescent="0.3">
      <c r="A712" t="s">
        <v>363</v>
      </c>
      <c r="B712" t="s">
        <v>780</v>
      </c>
      <c r="C712" t="s">
        <v>789</v>
      </c>
      <c r="D712" t="s">
        <v>2369</v>
      </c>
      <c r="E712">
        <f>IFERROR(
   IF(D712="Líder",
      INDEX(ZACATECAS!E:E, MATCH(C712, ZACATECAS!F:F, 0)),
      INDEX(ZACATECAS!H:H, MATCH(C712, ZACATECAS!J:J, 0))
   ),
"")</f>
        <v>32044622</v>
      </c>
    </row>
    <row r="713" spans="1:5" x14ac:dyDescent="0.3">
      <c r="A713" t="s">
        <v>363</v>
      </c>
      <c r="B713" t="s">
        <v>780</v>
      </c>
      <c r="C713" t="s">
        <v>815</v>
      </c>
      <c r="D713" t="s">
        <v>2369</v>
      </c>
      <c r="E713">
        <f>IFERROR(
   IF(D713="Líder",
      INDEX(ZACATECAS!E:E, MATCH(C713, ZACATECAS!F:F, 0)),
      INDEX(ZACATECAS!H:H, MATCH(C713, ZACATECAS!J:J, 0))
   ),
"")</f>
        <v>32171445</v>
      </c>
    </row>
    <row r="714" spans="1:5" x14ac:dyDescent="0.3">
      <c r="A714" t="s">
        <v>363</v>
      </c>
      <c r="B714" t="s">
        <v>1561</v>
      </c>
      <c r="C714" t="s">
        <v>1582</v>
      </c>
      <c r="D714" t="s">
        <v>2369</v>
      </c>
      <c r="E714">
        <f>IFERROR(
   IF(D714="Líder",
      INDEX(ZACATECAS!E:E, MATCH(C714, ZACATECAS!F:F, 0)),
      INDEX(ZACATECAS!H:H, MATCH(C714, ZACATECAS!J:J, 0))
   ),
"")</f>
        <v>32186046</v>
      </c>
    </row>
    <row r="715" spans="1:5" x14ac:dyDescent="0.3">
      <c r="A715" t="s">
        <v>363</v>
      </c>
      <c r="B715" t="s">
        <v>1561</v>
      </c>
      <c r="C715" t="s">
        <v>1107</v>
      </c>
      <c r="D715" t="s">
        <v>2369</v>
      </c>
      <c r="E715">
        <f>IFERROR(
   IF(D715="Líder",
      INDEX(ZACATECAS!E:E, MATCH(C715, ZACATECAS!F:F, 0)),
      INDEX(ZACATECAS!H:H, MATCH(C715, ZACATECAS!J:J, 0))
   ),
"")</f>
        <v>32046387</v>
      </c>
    </row>
    <row r="716" spans="1:5" x14ac:dyDescent="0.3">
      <c r="A716" t="s">
        <v>363</v>
      </c>
      <c r="B716" t="s">
        <v>1561</v>
      </c>
      <c r="C716" t="s">
        <v>1568</v>
      </c>
      <c r="D716" t="s">
        <v>2369</v>
      </c>
      <c r="E716">
        <f>IFERROR(
   IF(D716="Líder",
      INDEX(ZACATECAS!E:E, MATCH(C716, ZACATECAS!F:F, 0)),
      INDEX(ZACATECAS!H:H, MATCH(C716, ZACATECAS!J:J, 0))
   ),
"")</f>
        <v>32046310</v>
      </c>
    </row>
    <row r="717" spans="1:5" x14ac:dyDescent="0.3">
      <c r="A717" t="s">
        <v>363</v>
      </c>
      <c r="B717" t="s">
        <v>1561</v>
      </c>
      <c r="C717" t="s">
        <v>1565</v>
      </c>
      <c r="D717" t="s">
        <v>2369</v>
      </c>
      <c r="E717">
        <f>IFERROR(
   IF(D717="Líder",
      INDEX(ZACATECAS!E:E, MATCH(C717, ZACATECAS!F:F, 0)),
      INDEX(ZACATECAS!H:H, MATCH(C717, ZACATECAS!J:J, 0))
   ),
"")</f>
        <v>32046154</v>
      </c>
    </row>
    <row r="718" spans="1:5" x14ac:dyDescent="0.3">
      <c r="A718" t="s">
        <v>363</v>
      </c>
      <c r="B718" t="s">
        <v>1561</v>
      </c>
      <c r="C718" t="s">
        <v>2428</v>
      </c>
      <c r="D718" t="s">
        <v>2369</v>
      </c>
      <c r="E718" t="str">
        <f>IFERROR(
   IF(D718="Líder",
      INDEX(ZACATECAS!E:E, MATCH(C718, ZACATECAS!F:F, 0)),
      INDEX(ZACATECAS!H:H, MATCH(C718, ZACATECAS!J:J, 0))
   ),
"")</f>
        <v/>
      </c>
    </row>
    <row r="719" spans="1:5" x14ac:dyDescent="0.3">
      <c r="A719" t="s">
        <v>363</v>
      </c>
      <c r="B719" t="s">
        <v>1561</v>
      </c>
      <c r="C719" t="s">
        <v>1563</v>
      </c>
      <c r="D719" t="s">
        <v>2369</v>
      </c>
      <c r="E719">
        <f>IFERROR(
   IF(D719="Líder",
      INDEX(ZACATECAS!E:E, MATCH(C719, ZACATECAS!F:F, 0)),
      INDEX(ZACATECAS!H:H, MATCH(C719, ZACATECAS!J:J, 0))
   ),
"")</f>
        <v>32046029</v>
      </c>
    </row>
    <row r="720" spans="1:5" x14ac:dyDescent="0.3">
      <c r="A720" t="s">
        <v>363</v>
      </c>
      <c r="B720" t="s">
        <v>1561</v>
      </c>
      <c r="C720" t="s">
        <v>1580</v>
      </c>
      <c r="D720" t="s">
        <v>2369</v>
      </c>
      <c r="E720">
        <f>IFERROR(
   IF(D720="Líder",
      INDEX(ZACATECAS!E:E, MATCH(C720, ZACATECAS!F:F, 0)),
      INDEX(ZACATECAS!H:H, MATCH(C720, ZACATECAS!J:J, 0))
   ),
"")</f>
        <v>32149071</v>
      </c>
    </row>
    <row r="721" spans="1:5" x14ac:dyDescent="0.3">
      <c r="A721" t="s">
        <v>363</v>
      </c>
      <c r="B721" t="s">
        <v>1561</v>
      </c>
      <c r="C721" t="s">
        <v>1570</v>
      </c>
      <c r="D721" t="s">
        <v>2369</v>
      </c>
      <c r="E721">
        <f>IFERROR(
   IF(D721="Líder",
      INDEX(ZACATECAS!E:E, MATCH(C721, ZACATECAS!F:F, 0)),
      INDEX(ZACATECAS!H:H, MATCH(C721, ZACATECAS!J:J, 0))
   ),
"")</f>
        <v>32046348</v>
      </c>
    </row>
    <row r="722" spans="1:5" x14ac:dyDescent="0.3">
      <c r="A722" t="s">
        <v>363</v>
      </c>
      <c r="B722" t="s">
        <v>1561</v>
      </c>
      <c r="C722" t="s">
        <v>1576</v>
      </c>
      <c r="D722" t="s">
        <v>2369</v>
      </c>
      <c r="E722">
        <f>IFERROR(
   IF(D722="Líder",
      INDEX(ZACATECAS!E:E, MATCH(C722, ZACATECAS!F:F, 0)),
      INDEX(ZACATECAS!H:H, MATCH(C722, ZACATECAS!J:J, 0))
   ),
"")</f>
        <v>32132599</v>
      </c>
    </row>
    <row r="723" spans="1:5" x14ac:dyDescent="0.3">
      <c r="A723" t="s">
        <v>363</v>
      </c>
      <c r="B723" t="s">
        <v>1561</v>
      </c>
      <c r="C723" t="s">
        <v>1562</v>
      </c>
      <c r="D723" t="s">
        <v>2369</v>
      </c>
      <c r="E723">
        <f>IFERROR(
   IF(D723="Líder",
      INDEX(ZACATECAS!E:E, MATCH(C723, ZACATECAS!F:F, 0)),
      INDEX(ZACATECAS!H:H, MATCH(C723, ZACATECAS!J:J, 0))
   ),
"")</f>
        <v>32045984</v>
      </c>
    </row>
    <row r="724" spans="1:5" x14ac:dyDescent="0.3">
      <c r="A724" t="s">
        <v>363</v>
      </c>
      <c r="B724" t="s">
        <v>1561</v>
      </c>
      <c r="C724" t="s">
        <v>1574</v>
      </c>
      <c r="D724" t="s">
        <v>2369</v>
      </c>
      <c r="E724">
        <f>IFERROR(
   IF(D724="Líder",
      INDEX(ZACATECAS!E:E, MATCH(C724, ZACATECAS!F:F, 0)),
      INDEX(ZACATECAS!H:H, MATCH(C724, ZACATECAS!J:J, 0))
   ),
"")</f>
        <v>32046591</v>
      </c>
    </row>
    <row r="725" spans="1:5" x14ac:dyDescent="0.3">
      <c r="A725" t="s">
        <v>363</v>
      </c>
      <c r="B725" t="s">
        <v>1561</v>
      </c>
      <c r="C725" t="s">
        <v>2429</v>
      </c>
      <c r="D725" t="s">
        <v>2369</v>
      </c>
      <c r="E725" t="str">
        <f>IFERROR(
   IF(D725="Líder",
      INDEX(ZACATECAS!E:E, MATCH(C725, ZACATECAS!F:F, 0)),
      INDEX(ZACATECAS!H:H, MATCH(C725, ZACATECAS!J:J, 0))
   ),
"")</f>
        <v/>
      </c>
    </row>
    <row r="726" spans="1:5" x14ac:dyDescent="0.3">
      <c r="A726" t="s">
        <v>363</v>
      </c>
      <c r="B726" t="s">
        <v>1561</v>
      </c>
      <c r="C726" t="s">
        <v>1572</v>
      </c>
      <c r="D726" t="s">
        <v>2369</v>
      </c>
      <c r="E726">
        <f>IFERROR(
   IF(D726="Líder",
      INDEX(ZACATECAS!E:E, MATCH(C726, ZACATECAS!F:F, 0)),
      INDEX(ZACATECAS!H:H, MATCH(C726, ZACATECAS!J:J, 0))
   ),
"")</f>
        <v>32046503</v>
      </c>
    </row>
    <row r="727" spans="1:5" x14ac:dyDescent="0.3">
      <c r="A727" t="s">
        <v>363</v>
      </c>
      <c r="B727" t="s">
        <v>708</v>
      </c>
      <c r="C727" t="s">
        <v>720</v>
      </c>
      <c r="D727" t="s">
        <v>2369</v>
      </c>
      <c r="E727">
        <f>IFERROR(
   IF(D727="Líder",
      INDEX(ZACATECAS!E:E, MATCH(C727, ZACATECAS!F:F, 0)),
      INDEX(ZACATECAS!H:H, MATCH(C727, ZACATECAS!J:J, 0))
   ),
"")</f>
        <v>32045395</v>
      </c>
    </row>
    <row r="728" spans="1:5" x14ac:dyDescent="0.3">
      <c r="A728" t="s">
        <v>363</v>
      </c>
      <c r="B728" t="s">
        <v>708</v>
      </c>
      <c r="C728" t="s">
        <v>715</v>
      </c>
      <c r="D728" t="s">
        <v>2369</v>
      </c>
      <c r="E728">
        <f>IFERROR(
   IF(D728="Líder",
      INDEX(ZACATECAS!E:E, MATCH(C728, ZACATECAS!F:F, 0)),
      INDEX(ZACATECAS!H:H, MATCH(C728, ZACATECAS!J:J, 0))
   ),
"")</f>
        <v>32045170</v>
      </c>
    </row>
    <row r="729" spans="1:5" x14ac:dyDescent="0.3">
      <c r="A729" t="s">
        <v>363</v>
      </c>
      <c r="B729" t="s">
        <v>708</v>
      </c>
      <c r="C729" t="s">
        <v>722</v>
      </c>
      <c r="D729" t="s">
        <v>2369</v>
      </c>
      <c r="E729">
        <f>IFERROR(
   IF(D729="Líder",
      INDEX(ZACATECAS!E:E, MATCH(C729, ZACATECAS!F:F, 0)),
      INDEX(ZACATECAS!H:H, MATCH(C729, ZACATECAS!J:J, 0))
   ),
"")</f>
        <v>32045599</v>
      </c>
    </row>
    <row r="730" spans="1:5" x14ac:dyDescent="0.3">
      <c r="A730" t="s">
        <v>363</v>
      </c>
      <c r="B730" t="s">
        <v>708</v>
      </c>
      <c r="C730" t="s">
        <v>717</v>
      </c>
      <c r="D730" t="s">
        <v>2369</v>
      </c>
      <c r="E730">
        <f>IFERROR(
   IF(D730="Líder",
      INDEX(ZACATECAS!E:E, MATCH(C730, ZACATECAS!F:F, 0)),
      INDEX(ZACATECAS!H:H, MATCH(C730, ZACATECAS!J:J, 0))
   ),
"")</f>
        <v>32045207</v>
      </c>
    </row>
    <row r="731" spans="1:5" x14ac:dyDescent="0.3">
      <c r="A731" t="s">
        <v>363</v>
      </c>
      <c r="B731" t="s">
        <v>708</v>
      </c>
      <c r="C731" t="s">
        <v>730</v>
      </c>
      <c r="D731" t="s">
        <v>2369</v>
      </c>
      <c r="E731">
        <f>IFERROR(
   IF(D731="Líder",
      INDEX(ZACATECAS!E:E, MATCH(C731, ZACATECAS!F:F, 0)),
      INDEX(ZACATECAS!H:H, MATCH(C731, ZACATECAS!J:J, 0))
   ),
"")</f>
        <v>32132188</v>
      </c>
    </row>
    <row r="732" spans="1:5" x14ac:dyDescent="0.3">
      <c r="A732" t="s">
        <v>363</v>
      </c>
      <c r="B732" t="s">
        <v>708</v>
      </c>
      <c r="C732" t="s">
        <v>726</v>
      </c>
      <c r="D732" t="s">
        <v>2369</v>
      </c>
      <c r="E732">
        <f>IFERROR(
   IF(D732="Líder",
      INDEX(ZACATECAS!E:E, MATCH(C732, ZACATECAS!F:F, 0)),
      INDEX(ZACATECAS!H:H, MATCH(C732, ZACATECAS!J:J, 0))
   ),
"")</f>
        <v>32046477</v>
      </c>
    </row>
    <row r="733" spans="1:5" x14ac:dyDescent="0.3">
      <c r="A733" t="s">
        <v>363</v>
      </c>
      <c r="B733" t="s">
        <v>708</v>
      </c>
      <c r="C733" t="s">
        <v>724</v>
      </c>
      <c r="D733" t="s">
        <v>2369</v>
      </c>
      <c r="E733">
        <f>IFERROR(
   IF(D733="Líder",
      INDEX(ZACATECAS!E:E, MATCH(C733, ZACATECAS!F:F, 0)),
      INDEX(ZACATECAS!H:H, MATCH(C733, ZACATECAS!J:J, 0))
   ),
"")</f>
        <v>32045656</v>
      </c>
    </row>
    <row r="734" spans="1:5" x14ac:dyDescent="0.3">
      <c r="A734" t="s">
        <v>363</v>
      </c>
      <c r="B734" t="s">
        <v>708</v>
      </c>
      <c r="C734" t="s">
        <v>734</v>
      </c>
      <c r="D734" t="s">
        <v>2369</v>
      </c>
      <c r="E734">
        <f>IFERROR(
   IF(D734="Líder",
      INDEX(ZACATECAS!E:E, MATCH(C734, ZACATECAS!F:F, 0)),
      INDEX(ZACATECAS!H:H, MATCH(C734, ZACATECAS!J:J, 0))
   ),
"")</f>
        <v>32143263</v>
      </c>
    </row>
    <row r="735" spans="1:5" x14ac:dyDescent="0.3">
      <c r="A735" t="s">
        <v>363</v>
      </c>
      <c r="B735" t="s">
        <v>708</v>
      </c>
      <c r="C735" t="s">
        <v>1015</v>
      </c>
      <c r="D735" t="s">
        <v>2369</v>
      </c>
      <c r="E735">
        <f>IFERROR(
   IF(D735="Líder",
      INDEX(ZACATECAS!E:E, MATCH(C735, ZACATECAS!F:F, 0)),
      INDEX(ZACATECAS!H:H, MATCH(C735, ZACATECAS!J:J, 0))
   ),
"")</f>
        <v>32046149</v>
      </c>
    </row>
    <row r="736" spans="1:5" x14ac:dyDescent="0.3">
      <c r="A736" t="s">
        <v>363</v>
      </c>
      <c r="B736" t="s">
        <v>708</v>
      </c>
      <c r="C736" t="s">
        <v>732</v>
      </c>
      <c r="D736" t="s">
        <v>2369</v>
      </c>
      <c r="E736">
        <f>IFERROR(
   IF(D736="Líder",
      INDEX(ZACATECAS!E:E, MATCH(C736, ZACATECAS!F:F, 0)),
      INDEX(ZACATECAS!H:H, MATCH(C736, ZACATECAS!J:J, 0))
   ),
"")</f>
        <v>32142764</v>
      </c>
    </row>
    <row r="737" spans="1:5" x14ac:dyDescent="0.3">
      <c r="A737" t="s">
        <v>363</v>
      </c>
      <c r="B737" t="s">
        <v>708</v>
      </c>
      <c r="C737" t="s">
        <v>736</v>
      </c>
      <c r="D737" t="s">
        <v>2369</v>
      </c>
      <c r="E737">
        <f>IFERROR(
   IF(D737="Líder",
      INDEX(ZACATECAS!E:E, MATCH(C737, ZACATECAS!F:F, 0)),
      INDEX(ZACATECAS!H:H, MATCH(C737, ZACATECAS!J:J, 0))
   ),
"")</f>
        <v>32149072</v>
      </c>
    </row>
    <row r="738" spans="1:5" x14ac:dyDescent="0.3">
      <c r="A738" t="s">
        <v>363</v>
      </c>
      <c r="B738" t="s">
        <v>708</v>
      </c>
      <c r="C738" t="s">
        <v>709</v>
      </c>
      <c r="D738" t="s">
        <v>2369</v>
      </c>
      <c r="E738">
        <f>IFERROR(
   IF(D738="Líder",
      INDEX(ZACATECAS!E:E, MATCH(C738, ZACATECAS!F:F, 0)),
      INDEX(ZACATECAS!H:H, MATCH(C738, ZACATECAS!J:J, 0))
   ),
"")</f>
        <v>32044226</v>
      </c>
    </row>
    <row r="739" spans="1:5" x14ac:dyDescent="0.3">
      <c r="A739" t="s">
        <v>363</v>
      </c>
      <c r="B739" t="s">
        <v>708</v>
      </c>
      <c r="C739" t="s">
        <v>728</v>
      </c>
      <c r="D739" t="s">
        <v>2369</v>
      </c>
      <c r="E739">
        <f>IFERROR(
   IF(D739="Líder",
      INDEX(ZACATECAS!E:E, MATCH(C739, ZACATECAS!F:F, 0)),
      INDEX(ZACATECAS!H:H, MATCH(C739, ZACATECAS!J:J, 0))
   ),
"")</f>
        <v>32046615</v>
      </c>
    </row>
    <row r="740" spans="1:5" x14ac:dyDescent="0.3">
      <c r="A740" t="s">
        <v>2053</v>
      </c>
      <c r="B740" t="s">
        <v>2091</v>
      </c>
      <c r="C740" t="s">
        <v>2097</v>
      </c>
      <c r="D740" t="s">
        <v>2369</v>
      </c>
      <c r="E740">
        <f>IFERROR(
   IF(D740="Líder",
      INDEX(ZACATECAS!E:E, MATCH(C740, ZACATECAS!F:F, 0)),
      INDEX(ZACATECAS!H:H, MATCH(C740, ZACATECAS!J:J, 0))
   ),
"")</f>
        <v>32043646</v>
      </c>
    </row>
    <row r="741" spans="1:5" x14ac:dyDescent="0.3">
      <c r="A741" t="s">
        <v>2053</v>
      </c>
      <c r="B741" t="s">
        <v>2091</v>
      </c>
      <c r="C741" t="s">
        <v>2099</v>
      </c>
      <c r="D741" t="s">
        <v>2369</v>
      </c>
      <c r="E741">
        <f>IFERROR(
   IF(D741="Líder",
      INDEX(ZACATECAS!E:E, MATCH(C741, ZACATECAS!F:F, 0)),
      INDEX(ZACATECAS!H:H, MATCH(C741, ZACATECAS!J:J, 0))
   ),
"")</f>
        <v>32231913</v>
      </c>
    </row>
    <row r="742" spans="1:5" x14ac:dyDescent="0.3">
      <c r="A742" t="s">
        <v>2053</v>
      </c>
      <c r="B742" t="s">
        <v>2091</v>
      </c>
      <c r="C742" t="s">
        <v>2102</v>
      </c>
      <c r="D742" t="s">
        <v>2369</v>
      </c>
      <c r="E742">
        <f>IFERROR(
   IF(D742="Líder",
      INDEX(ZACATECAS!E:E, MATCH(C742, ZACATECAS!F:F, 0)),
      INDEX(ZACATECAS!H:H, MATCH(C742, ZACATECAS!J:J, 0))
   ),
"")</f>
        <v>32044344</v>
      </c>
    </row>
    <row r="743" spans="1:5" x14ac:dyDescent="0.3">
      <c r="A743" t="s">
        <v>2053</v>
      </c>
      <c r="B743" t="s">
        <v>2091</v>
      </c>
      <c r="C743" t="s">
        <v>2104</v>
      </c>
      <c r="D743" t="s">
        <v>2369</v>
      </c>
      <c r="E743">
        <f>IFERROR(
   IF(D743="Líder",
      INDEX(ZACATECAS!E:E, MATCH(C743, ZACATECAS!F:F, 0)),
      INDEX(ZACATECAS!H:H, MATCH(C743, ZACATECAS!J:J, 0))
   ),
"")</f>
        <v>32044492</v>
      </c>
    </row>
    <row r="744" spans="1:5" x14ac:dyDescent="0.3">
      <c r="A744" t="s">
        <v>2053</v>
      </c>
      <c r="B744" t="s">
        <v>2091</v>
      </c>
      <c r="C744" t="s">
        <v>2106</v>
      </c>
      <c r="D744" t="s">
        <v>2369</v>
      </c>
      <c r="E744">
        <f>IFERROR(
   IF(D744="Líder",
      INDEX(ZACATECAS!E:E, MATCH(C744, ZACATECAS!F:F, 0)),
      INDEX(ZACATECAS!H:H, MATCH(C744, ZACATECAS!J:J, 0))
   ),
"")</f>
        <v>32043771</v>
      </c>
    </row>
    <row r="745" spans="1:5" x14ac:dyDescent="0.3">
      <c r="A745" t="s">
        <v>2053</v>
      </c>
      <c r="B745" t="s">
        <v>2091</v>
      </c>
      <c r="C745" t="s">
        <v>2108</v>
      </c>
      <c r="D745" t="s">
        <v>2369</v>
      </c>
      <c r="E745">
        <f>IFERROR(
   IF(D745="Líder",
      INDEX(ZACATECAS!E:E, MATCH(C745, ZACATECAS!F:F, 0)),
      INDEX(ZACATECAS!H:H, MATCH(C745, ZACATECAS!J:J, 0))
   ),
"")</f>
        <v>32043979</v>
      </c>
    </row>
    <row r="746" spans="1:5" x14ac:dyDescent="0.3">
      <c r="A746" t="s">
        <v>1584</v>
      </c>
      <c r="B746" t="s">
        <v>2356</v>
      </c>
      <c r="D746" t="s">
        <v>2369</v>
      </c>
      <c r="E746" t="str">
        <f>IFERROR(
   IF(D746="Líder",
      INDEX(ZACATECAS!E:E, MATCH(C746, ZACATECAS!F:F, 0)),
      INDEX(ZACATECAS!H:H, MATCH(C746, ZACATECAS!J:J, 0))
   ),
"")</f>
        <v/>
      </c>
    </row>
    <row r="747" spans="1:5" x14ac:dyDescent="0.3">
      <c r="A747" t="s">
        <v>363</v>
      </c>
      <c r="B747" t="s">
        <v>974</v>
      </c>
      <c r="C747" t="s">
        <v>999</v>
      </c>
      <c r="D747" t="s">
        <v>2369</v>
      </c>
      <c r="E747">
        <f>IFERROR(
   IF(D747="Líder",
      INDEX(ZACATECAS!E:E, MATCH(C747, ZACATECAS!F:F, 0)),
      INDEX(ZACATECAS!H:H, MATCH(C747, ZACATECAS!J:J, 0))
   ),
"")</f>
        <v>32148854</v>
      </c>
    </row>
    <row r="748" spans="1:5" x14ac:dyDescent="0.3">
      <c r="A748" t="s">
        <v>363</v>
      </c>
      <c r="B748" t="s">
        <v>974</v>
      </c>
      <c r="C748" t="s">
        <v>1002</v>
      </c>
      <c r="D748" t="s">
        <v>2369</v>
      </c>
      <c r="E748">
        <f>IFERROR(
   IF(D748="Líder",
      INDEX(ZACATECAS!E:E, MATCH(C748, ZACATECAS!F:F, 0)),
      INDEX(ZACATECAS!H:H, MATCH(C748, ZACATECAS!J:J, 0))
   ),
"")</f>
        <v>32202288</v>
      </c>
    </row>
    <row r="749" spans="1:5" x14ac:dyDescent="0.3">
      <c r="A749" t="s">
        <v>363</v>
      </c>
      <c r="B749" t="s">
        <v>974</v>
      </c>
      <c r="C749" t="s">
        <v>1000</v>
      </c>
      <c r="D749" t="s">
        <v>2369</v>
      </c>
      <c r="E749">
        <f>IFERROR(
   IF(D749="Líder",
      INDEX(ZACATECAS!E:E, MATCH(C749, ZACATECAS!F:F, 0)),
      INDEX(ZACATECAS!H:H, MATCH(C749, ZACATECAS!J:J, 0))
   ),
"")</f>
        <v>32148854</v>
      </c>
    </row>
    <row r="750" spans="1:5" x14ac:dyDescent="0.3">
      <c r="A750" t="s">
        <v>363</v>
      </c>
      <c r="B750" t="s">
        <v>974</v>
      </c>
      <c r="C750" t="s">
        <v>982</v>
      </c>
      <c r="D750" t="s">
        <v>2369</v>
      </c>
      <c r="E750">
        <f>IFERROR(
   IF(D750="Líder",
      INDEX(ZACATECAS!E:E, MATCH(C750, ZACATECAS!F:F, 0)),
      INDEX(ZACATECAS!H:H, MATCH(C750, ZACATECAS!J:J, 0))
   ),
"")</f>
        <v>32044919</v>
      </c>
    </row>
    <row r="751" spans="1:5" x14ac:dyDescent="0.3">
      <c r="A751" t="s">
        <v>363</v>
      </c>
      <c r="B751" t="s">
        <v>974</v>
      </c>
      <c r="C751" t="s">
        <v>987</v>
      </c>
      <c r="D751" t="s">
        <v>2369</v>
      </c>
      <c r="E751">
        <f>IFERROR(
   IF(D751="Líder",
      INDEX(ZACATECAS!E:E, MATCH(C751, ZACATECAS!F:F, 0)),
      INDEX(ZACATECAS!H:H, MATCH(C751, ZACATECAS!J:J, 0))
   ),
"")</f>
        <v>32046585</v>
      </c>
    </row>
    <row r="752" spans="1:5" x14ac:dyDescent="0.3">
      <c r="A752" t="s">
        <v>363</v>
      </c>
      <c r="B752" t="s">
        <v>974</v>
      </c>
      <c r="C752" t="s">
        <v>993</v>
      </c>
      <c r="D752" t="s">
        <v>2369</v>
      </c>
      <c r="E752">
        <f>IFERROR(
   IF(D752="Líder",
      INDEX(ZACATECAS!E:E, MATCH(C752, ZACATECAS!F:F, 0)),
      INDEX(ZACATECAS!H:H, MATCH(C752, ZACATECAS!J:J, 0))
   ),
"")</f>
        <v>32067168</v>
      </c>
    </row>
    <row r="753" spans="1:5" x14ac:dyDescent="0.3">
      <c r="A753" t="s">
        <v>363</v>
      </c>
      <c r="B753" t="s">
        <v>974</v>
      </c>
      <c r="C753" t="s">
        <v>978</v>
      </c>
      <c r="D753" t="s">
        <v>2369</v>
      </c>
      <c r="E753">
        <f>IFERROR(
   IF(D753="Líder",
      INDEX(ZACATECAS!E:E, MATCH(C753, ZACATECAS!F:F, 0)),
      INDEX(ZACATECAS!H:H, MATCH(C753, ZACATECAS!J:J, 0))
   ),
"")</f>
        <v>32044117</v>
      </c>
    </row>
    <row r="754" spans="1:5" x14ac:dyDescent="0.3">
      <c r="A754" t="s">
        <v>363</v>
      </c>
      <c r="B754" t="s">
        <v>974</v>
      </c>
      <c r="C754" t="s">
        <v>888</v>
      </c>
      <c r="D754" t="s">
        <v>2369</v>
      </c>
      <c r="E754">
        <f>IFERROR(
   IF(D754="Líder",
      INDEX(ZACATECAS!E:E, MATCH(C754, ZACATECAS!F:F, 0)),
      INDEX(ZACATECAS!H:H, MATCH(C754, ZACATECAS!J:J, 0))
   ),
"")</f>
        <v>32045393</v>
      </c>
    </row>
    <row r="755" spans="1:5" x14ac:dyDescent="0.3">
      <c r="A755" t="s">
        <v>363</v>
      </c>
      <c r="B755" t="s">
        <v>974</v>
      </c>
      <c r="C755" t="s">
        <v>753</v>
      </c>
      <c r="D755" t="s">
        <v>2369</v>
      </c>
      <c r="E755">
        <f>IFERROR(
   IF(D755="Líder",
      INDEX(ZACATECAS!E:E, MATCH(C755, ZACATECAS!F:F, 0)),
      INDEX(ZACATECAS!H:H, MATCH(C755, ZACATECAS!J:J, 0))
   ),
"")</f>
        <v>32046220</v>
      </c>
    </row>
    <row r="756" spans="1:5" x14ac:dyDescent="0.3">
      <c r="A756" t="s">
        <v>363</v>
      </c>
      <c r="B756" t="s">
        <v>974</v>
      </c>
      <c r="C756" t="s">
        <v>994</v>
      </c>
      <c r="D756" t="s">
        <v>2369</v>
      </c>
      <c r="E756">
        <f>IFERROR(
   IF(D756="Líder",
      INDEX(ZACATECAS!E:E, MATCH(C756, ZACATECAS!F:F, 0)),
      INDEX(ZACATECAS!H:H, MATCH(C756, ZACATECAS!J:J, 0))
   ),
"")</f>
        <v>32067739</v>
      </c>
    </row>
    <row r="757" spans="1:5" x14ac:dyDescent="0.3">
      <c r="A757" t="s">
        <v>363</v>
      </c>
      <c r="B757" t="s">
        <v>974</v>
      </c>
      <c r="C757" t="s">
        <v>984</v>
      </c>
      <c r="D757" t="s">
        <v>2369</v>
      </c>
      <c r="E757">
        <f>IFERROR(
   IF(D757="Líder",
      INDEX(ZACATECAS!E:E, MATCH(C757, ZACATECAS!F:F, 0)),
      INDEX(ZACATECAS!H:H, MATCH(C757, ZACATECAS!J:J, 0))
   ),
"")</f>
        <v>32046156</v>
      </c>
    </row>
    <row r="758" spans="1:5" x14ac:dyDescent="0.3">
      <c r="A758" t="s">
        <v>363</v>
      </c>
      <c r="B758" t="s">
        <v>974</v>
      </c>
      <c r="C758" t="s">
        <v>996</v>
      </c>
      <c r="D758" t="s">
        <v>2369</v>
      </c>
      <c r="E758">
        <f>IFERROR(
   IF(D758="Líder",
      INDEX(ZACATECAS!E:E, MATCH(C758, ZACATECAS!F:F, 0)),
      INDEX(ZACATECAS!H:H, MATCH(C758, ZACATECAS!J:J, 0))
   ),
"")</f>
        <v>32068002</v>
      </c>
    </row>
    <row r="759" spans="1:5" x14ac:dyDescent="0.3">
      <c r="A759" t="s">
        <v>363</v>
      </c>
      <c r="B759" t="s">
        <v>974</v>
      </c>
      <c r="C759" t="s">
        <v>980</v>
      </c>
      <c r="D759" t="s">
        <v>2369</v>
      </c>
      <c r="E759">
        <f>IFERROR(
   IF(D759="Líder",
      INDEX(ZACATECAS!E:E, MATCH(C759, ZACATECAS!F:F, 0)),
      INDEX(ZACATECAS!H:H, MATCH(C759, ZACATECAS!J:J, 0))
   ),
"")</f>
        <v>32044772</v>
      </c>
    </row>
    <row r="760" spans="1:5" x14ac:dyDescent="0.3">
      <c r="A760" t="s">
        <v>363</v>
      </c>
      <c r="B760" t="s">
        <v>974</v>
      </c>
      <c r="C760" t="s">
        <v>989</v>
      </c>
      <c r="D760" t="s">
        <v>2369</v>
      </c>
      <c r="E760">
        <f>IFERROR(
   IF(D760="Líder",
      INDEX(ZACATECAS!E:E, MATCH(C760, ZACATECAS!F:F, 0)),
      INDEX(ZACATECAS!H:H, MATCH(C760, ZACATECAS!J:J, 0))
   ),
"")</f>
        <v>32046602</v>
      </c>
    </row>
    <row r="761" spans="1:5" x14ac:dyDescent="0.3">
      <c r="A761" t="s">
        <v>363</v>
      </c>
      <c r="B761" t="s">
        <v>974</v>
      </c>
      <c r="C761" t="s">
        <v>986</v>
      </c>
      <c r="D761" t="s">
        <v>2369</v>
      </c>
      <c r="E761">
        <f>IFERROR(
   IF(D761="Líder",
      INDEX(ZACATECAS!E:E, MATCH(C761, ZACATECAS!F:F, 0)),
      INDEX(ZACATECAS!H:H, MATCH(C761, ZACATECAS!J:J, 0))
   ),
"")</f>
        <v>32046584</v>
      </c>
    </row>
    <row r="762" spans="1:5" x14ac:dyDescent="0.3">
      <c r="A762" t="s">
        <v>363</v>
      </c>
      <c r="B762" t="s">
        <v>974</v>
      </c>
      <c r="C762" t="s">
        <v>1005</v>
      </c>
      <c r="D762" t="s">
        <v>2369</v>
      </c>
      <c r="E762">
        <f>IFERROR(
   IF(D762="Líder",
      INDEX(ZACATECAS!E:E, MATCH(C762, ZACATECAS!F:F, 0)),
      INDEX(ZACATECAS!H:H, MATCH(C762, ZACATECAS!J:J, 0))
   ),
"")</f>
        <v>32044265</v>
      </c>
    </row>
    <row r="763" spans="1:5" x14ac:dyDescent="0.3">
      <c r="A763" t="s">
        <v>363</v>
      </c>
      <c r="B763" t="s">
        <v>974</v>
      </c>
      <c r="C763" t="s">
        <v>981</v>
      </c>
      <c r="D763" t="s">
        <v>2369</v>
      </c>
      <c r="E763">
        <f>IFERROR(
   IF(D763="Líder",
      INDEX(ZACATECAS!E:E, MATCH(C763, ZACATECAS!F:F, 0)),
      INDEX(ZACATECAS!H:H, MATCH(C763, ZACATECAS!J:J, 0))
   ),
"")</f>
        <v>32044869</v>
      </c>
    </row>
    <row r="764" spans="1:5" x14ac:dyDescent="0.3">
      <c r="A764" t="s">
        <v>363</v>
      </c>
      <c r="B764" t="s">
        <v>974</v>
      </c>
      <c r="C764" t="s">
        <v>976</v>
      </c>
      <c r="D764" t="s">
        <v>2369</v>
      </c>
      <c r="E764">
        <f>IFERROR(
   IF(D764="Líder",
      INDEX(ZACATECAS!E:E, MATCH(C764, ZACATECAS!F:F, 0)),
      INDEX(ZACATECAS!H:H, MATCH(C764, ZACATECAS!J:J, 0))
   ),
"")</f>
        <v>32044009</v>
      </c>
    </row>
    <row r="765" spans="1:5" x14ac:dyDescent="0.3">
      <c r="A765" t="s">
        <v>363</v>
      </c>
      <c r="B765" t="s">
        <v>974</v>
      </c>
      <c r="C765" t="s">
        <v>991</v>
      </c>
      <c r="D765" t="s">
        <v>2369</v>
      </c>
      <c r="E765">
        <f>IFERROR(
   IF(D765="Líder",
      INDEX(ZACATECAS!E:E, MATCH(C765, ZACATECAS!F:F, 0)),
      INDEX(ZACATECAS!H:H, MATCH(C765, ZACATECAS!J:J, 0))
   ),
"")</f>
        <v>32061474</v>
      </c>
    </row>
    <row r="766" spans="1:5" x14ac:dyDescent="0.3">
      <c r="A766" t="s">
        <v>363</v>
      </c>
      <c r="B766" t="s">
        <v>1343</v>
      </c>
      <c r="C766" t="s">
        <v>1367</v>
      </c>
      <c r="D766" t="s">
        <v>2369</v>
      </c>
      <c r="E766">
        <f>IFERROR(
   IF(D766="Líder",
      INDEX(ZACATECAS!E:E, MATCH(C766, ZACATECAS!F:F, 0)),
      INDEX(ZACATECAS!H:H, MATCH(C766, ZACATECAS!J:J, 0))
   ),
"")</f>
        <v>32107030</v>
      </c>
    </row>
    <row r="767" spans="1:5" x14ac:dyDescent="0.3">
      <c r="A767" t="s">
        <v>363</v>
      </c>
      <c r="B767" t="s">
        <v>1343</v>
      </c>
      <c r="C767" t="s">
        <v>1364</v>
      </c>
      <c r="D767" t="s">
        <v>2369</v>
      </c>
      <c r="E767">
        <f>IFERROR(
   IF(D767="Líder",
      INDEX(ZACATECAS!E:E, MATCH(C767, ZACATECAS!F:F, 0)),
      INDEX(ZACATECAS!H:H, MATCH(C767, ZACATECAS!J:J, 0))
   ),
"")</f>
        <v>32046367</v>
      </c>
    </row>
    <row r="768" spans="1:5" x14ac:dyDescent="0.3">
      <c r="A768" t="s">
        <v>363</v>
      </c>
      <c r="B768" t="s">
        <v>1343</v>
      </c>
      <c r="C768" t="s">
        <v>1362</v>
      </c>
      <c r="D768" t="s">
        <v>2369</v>
      </c>
      <c r="E768">
        <f>IFERROR(
   IF(D768="Líder",
      INDEX(ZACATECAS!E:E, MATCH(C768, ZACATECAS!F:F, 0)),
      INDEX(ZACATECAS!H:H, MATCH(C768, ZACATECAS!J:J, 0))
   ),
"")</f>
        <v>32046352</v>
      </c>
    </row>
    <row r="769" spans="1:5" x14ac:dyDescent="0.3">
      <c r="A769" t="s">
        <v>363</v>
      </c>
      <c r="B769" t="s">
        <v>1343</v>
      </c>
      <c r="C769" t="s">
        <v>1360</v>
      </c>
      <c r="D769" t="s">
        <v>2369</v>
      </c>
      <c r="E769">
        <f>IFERROR(
   IF(D769="Líder",
      INDEX(ZACATECAS!E:E, MATCH(C769, ZACATECAS!F:F, 0)),
      INDEX(ZACATECAS!H:H, MATCH(C769, ZACATECAS!J:J, 0))
   ),
"")</f>
        <v>32148861</v>
      </c>
    </row>
    <row r="770" spans="1:5" x14ac:dyDescent="0.3">
      <c r="A770" t="s">
        <v>363</v>
      </c>
      <c r="B770" t="s">
        <v>1343</v>
      </c>
      <c r="C770" t="s">
        <v>1358</v>
      </c>
      <c r="D770" t="s">
        <v>2369</v>
      </c>
      <c r="E770">
        <f>IFERROR(
   IF(D770="Líder",
      INDEX(ZACATECAS!E:E, MATCH(C770, ZACATECAS!F:F, 0)),
      INDEX(ZACATECAS!H:H, MATCH(C770, ZACATECAS!J:J, 0))
   ),
"")</f>
        <v>32102190</v>
      </c>
    </row>
    <row r="771" spans="1:5" x14ac:dyDescent="0.3">
      <c r="A771" t="s">
        <v>363</v>
      </c>
      <c r="B771" t="s">
        <v>1343</v>
      </c>
      <c r="C771" t="s">
        <v>1355</v>
      </c>
      <c r="D771" t="s">
        <v>2369</v>
      </c>
      <c r="E771">
        <f>IFERROR(
   IF(D771="Líder",
      INDEX(ZACATECAS!E:E, MATCH(C771, ZACATECAS!F:F, 0)),
      INDEX(ZACATECAS!H:H, MATCH(C771, ZACATECAS!J:J, 0))
   ),
"")</f>
        <v>32138049</v>
      </c>
    </row>
    <row r="772" spans="1:5" x14ac:dyDescent="0.3">
      <c r="A772" t="s">
        <v>363</v>
      </c>
      <c r="B772" t="s">
        <v>1343</v>
      </c>
      <c r="C772" t="s">
        <v>1353</v>
      </c>
      <c r="D772" t="s">
        <v>2369</v>
      </c>
      <c r="E772">
        <f>IFERROR(
   IF(D772="Líder",
      INDEX(ZACATECAS!E:E, MATCH(C772, ZACATECAS!F:F, 0)),
      INDEX(ZACATECAS!H:H, MATCH(C772, ZACATECAS!J:J, 0))
   ),
"")</f>
        <v>32044961</v>
      </c>
    </row>
    <row r="773" spans="1:5" x14ac:dyDescent="0.3">
      <c r="A773" t="s">
        <v>363</v>
      </c>
      <c r="B773" t="s">
        <v>1343</v>
      </c>
      <c r="C773" t="s">
        <v>1351</v>
      </c>
      <c r="D773" t="s">
        <v>2369</v>
      </c>
      <c r="E773">
        <f>IFERROR(
   IF(D773="Líder",
      INDEX(ZACATECAS!E:E, MATCH(C773, ZACATECAS!F:F, 0)),
      INDEX(ZACATECAS!H:H, MATCH(C773, ZACATECAS!J:J, 0))
   ),
"")</f>
        <v>32187990</v>
      </c>
    </row>
    <row r="774" spans="1:5" x14ac:dyDescent="0.3">
      <c r="A774" t="s">
        <v>363</v>
      </c>
      <c r="B774" t="s">
        <v>1343</v>
      </c>
      <c r="C774" t="s">
        <v>1349</v>
      </c>
      <c r="D774" t="s">
        <v>2369</v>
      </c>
      <c r="E774">
        <f>IFERROR(
   IF(D774="Líder",
      INDEX(ZACATECAS!E:E, MATCH(C774, ZACATECAS!F:F, 0)),
      INDEX(ZACATECAS!H:H, MATCH(C774, ZACATECAS!J:J, 0))
   ),
"")</f>
        <v>32045523</v>
      </c>
    </row>
    <row r="775" spans="1:5" x14ac:dyDescent="0.3">
      <c r="A775" t="s">
        <v>363</v>
      </c>
      <c r="B775" t="s">
        <v>1343</v>
      </c>
      <c r="C775" t="s">
        <v>1346</v>
      </c>
      <c r="D775" t="s">
        <v>2369</v>
      </c>
      <c r="E775">
        <f>IFERROR(
   IF(D775="Líder",
      INDEX(ZACATECAS!E:E, MATCH(C775, ZACATECAS!F:F, 0)),
      INDEX(ZACATECAS!H:H, MATCH(C775, ZACATECAS!J:J, 0))
   ),
"")</f>
        <v>32131879</v>
      </c>
    </row>
    <row r="776" spans="1:5" x14ac:dyDescent="0.3">
      <c r="A776" t="s">
        <v>363</v>
      </c>
      <c r="B776" t="s">
        <v>1343</v>
      </c>
      <c r="C776" t="s">
        <v>1344</v>
      </c>
      <c r="D776" t="s">
        <v>2369</v>
      </c>
      <c r="E776">
        <f>IFERROR(
   IF(D776="Líder",
      INDEX(ZACATECAS!E:E, MATCH(C776, ZACATECAS!F:F, 0)),
      INDEX(ZACATECAS!H:H, MATCH(C776, ZACATECAS!J:J, 0))
   ),
"")</f>
        <v>32136509</v>
      </c>
    </row>
    <row r="777" spans="1:5" x14ac:dyDescent="0.3">
      <c r="A777" t="s">
        <v>363</v>
      </c>
      <c r="B777" t="s">
        <v>1465</v>
      </c>
      <c r="C777" t="s">
        <v>1471</v>
      </c>
      <c r="D777" t="s">
        <v>2369</v>
      </c>
      <c r="E777">
        <f>IFERROR(
   IF(D777="Líder",
      INDEX(ZACATECAS!E:E, MATCH(C777, ZACATECAS!F:F, 0)),
      INDEX(ZACATECAS!H:H, MATCH(C777, ZACATECAS!J:J, 0))
   ),
"")</f>
        <v>32044553</v>
      </c>
    </row>
    <row r="778" spans="1:5" x14ac:dyDescent="0.3">
      <c r="A778" t="s">
        <v>363</v>
      </c>
      <c r="B778" t="s">
        <v>1465</v>
      </c>
      <c r="C778" t="s">
        <v>1473</v>
      </c>
      <c r="D778" t="s">
        <v>2369</v>
      </c>
      <c r="E778">
        <f>IFERROR(
   IF(D778="Líder",
      INDEX(ZACATECAS!E:E, MATCH(C778, ZACATECAS!F:F, 0)),
      INDEX(ZACATECAS!H:H, MATCH(C778, ZACATECAS!J:J, 0))
   ),
"")</f>
        <v>32046209</v>
      </c>
    </row>
    <row r="779" spans="1:5" x14ac:dyDescent="0.3">
      <c r="A779" t="s">
        <v>363</v>
      </c>
      <c r="B779" t="s">
        <v>1465</v>
      </c>
      <c r="C779" t="s">
        <v>1475</v>
      </c>
      <c r="D779" t="s">
        <v>2369</v>
      </c>
      <c r="E779">
        <f>IFERROR(
   IF(D779="Líder",
      INDEX(ZACATECAS!E:E, MATCH(C779, ZACATECAS!F:F, 0)),
      INDEX(ZACATECAS!H:H, MATCH(C779, ZACATECAS!J:J, 0))
   ),
"")</f>
        <v>32044871</v>
      </c>
    </row>
    <row r="780" spans="1:5" x14ac:dyDescent="0.3">
      <c r="A780" t="s">
        <v>363</v>
      </c>
      <c r="B780" t="s">
        <v>1465</v>
      </c>
      <c r="C780" t="s">
        <v>1477</v>
      </c>
      <c r="D780" t="s">
        <v>2369</v>
      </c>
      <c r="E780">
        <f>IFERROR(
   IF(D780="Líder",
      INDEX(ZACATECAS!E:E, MATCH(C780, ZACATECAS!F:F, 0)),
      INDEX(ZACATECAS!H:H, MATCH(C780, ZACATECAS!J:J, 0))
   ),
"")</f>
        <v>32045621</v>
      </c>
    </row>
    <row r="781" spans="1:5" x14ac:dyDescent="0.3">
      <c r="A781" t="s">
        <v>363</v>
      </c>
      <c r="B781" t="s">
        <v>1465</v>
      </c>
      <c r="C781" t="s">
        <v>674</v>
      </c>
      <c r="D781" t="s">
        <v>2369</v>
      </c>
      <c r="E781">
        <f>IFERROR(
   IF(D781="Líder",
      INDEX(ZACATECAS!E:E, MATCH(C781, ZACATECAS!F:F, 0)),
      INDEX(ZACATECAS!H:H, MATCH(C781, ZACATECAS!J:J, 0))
   ),
"")</f>
        <v>32199797</v>
      </c>
    </row>
    <row r="782" spans="1:5" x14ac:dyDescent="0.3">
      <c r="A782" t="s">
        <v>363</v>
      </c>
      <c r="B782" t="s">
        <v>1465</v>
      </c>
      <c r="C782" t="s">
        <v>1480</v>
      </c>
      <c r="D782" t="s">
        <v>2369</v>
      </c>
      <c r="E782">
        <f>IFERROR(
   IF(D782="Líder",
      INDEX(ZACATECAS!E:E, MATCH(C782, ZACATECAS!F:F, 0)),
      INDEX(ZACATECAS!H:H, MATCH(C782, ZACATECAS!J:J, 0))
   ),
"")</f>
        <v>32044454</v>
      </c>
    </row>
    <row r="783" spans="1:5" x14ac:dyDescent="0.3">
      <c r="A783" t="s">
        <v>363</v>
      </c>
      <c r="B783" t="s">
        <v>1465</v>
      </c>
      <c r="C783" t="s">
        <v>1482</v>
      </c>
      <c r="D783" t="s">
        <v>2369</v>
      </c>
      <c r="E783">
        <f>IFERROR(
   IF(D783="Líder",
      INDEX(ZACATECAS!E:E, MATCH(C783, ZACATECAS!F:F, 0)),
      INDEX(ZACATECAS!H:H, MATCH(C783, ZACATECAS!J:J, 0))
   ),
"")</f>
        <v>32132603</v>
      </c>
    </row>
    <row r="784" spans="1:5" x14ac:dyDescent="0.3">
      <c r="A784" t="s">
        <v>363</v>
      </c>
      <c r="B784" t="s">
        <v>1465</v>
      </c>
      <c r="C784" t="s">
        <v>1484</v>
      </c>
      <c r="D784" t="s">
        <v>2369</v>
      </c>
      <c r="E784">
        <f>IFERROR(
   IF(D784="Líder",
      INDEX(ZACATECAS!E:E, MATCH(C784, ZACATECAS!F:F, 0)),
      INDEX(ZACATECAS!H:H, MATCH(C784, ZACATECAS!J:J, 0))
   ),
"")</f>
        <v>32149603</v>
      </c>
    </row>
    <row r="785" spans="1:5" x14ac:dyDescent="0.3">
      <c r="A785" t="s">
        <v>363</v>
      </c>
      <c r="B785" t="s">
        <v>1465</v>
      </c>
      <c r="C785" t="s">
        <v>1487</v>
      </c>
      <c r="D785" t="s">
        <v>2369</v>
      </c>
      <c r="E785">
        <f>IFERROR(
   IF(D785="Líder",
      INDEX(ZACATECAS!E:E, MATCH(C785, ZACATECAS!F:F, 0)),
      INDEX(ZACATECAS!H:H, MATCH(C785, ZACATECAS!J:J, 0))
   ),
"")</f>
        <v>32198294</v>
      </c>
    </row>
    <row r="786" spans="1:5" x14ac:dyDescent="0.3">
      <c r="A786" t="s">
        <v>363</v>
      </c>
      <c r="B786" t="s">
        <v>1465</v>
      </c>
      <c r="C786" t="s">
        <v>1489</v>
      </c>
      <c r="D786" t="s">
        <v>2369</v>
      </c>
      <c r="E786">
        <f>IFERROR(
   IF(D786="Líder",
      INDEX(ZACATECAS!E:E, MATCH(C786, ZACATECAS!F:F, 0)),
      INDEX(ZACATECAS!H:H, MATCH(C786, ZACATECAS!J:J, 0))
   ),
"")</f>
        <v>32107323</v>
      </c>
    </row>
    <row r="787" spans="1:5" x14ac:dyDescent="0.3">
      <c r="A787" t="s">
        <v>363</v>
      </c>
      <c r="B787" t="s">
        <v>1465</v>
      </c>
      <c r="C787" t="s">
        <v>1492</v>
      </c>
      <c r="D787" t="s">
        <v>2369</v>
      </c>
      <c r="E787">
        <f>IFERROR(
   IF(D787="Líder",
      INDEX(ZACATECAS!E:E, MATCH(C787, ZACATECAS!F:F, 0)),
      INDEX(ZACATECAS!H:H, MATCH(C787, ZACATECAS!J:J, 0))
   ),
"")</f>
        <v>32149609</v>
      </c>
    </row>
    <row r="788" spans="1:5" x14ac:dyDescent="0.3">
      <c r="A788" t="s">
        <v>363</v>
      </c>
      <c r="B788" t="s">
        <v>1465</v>
      </c>
      <c r="C788" t="s">
        <v>1494</v>
      </c>
      <c r="D788" t="s">
        <v>2369</v>
      </c>
      <c r="E788">
        <f>IFERROR(
   IF(D788="Líder",
      INDEX(ZACATECAS!E:E, MATCH(C788, ZACATECAS!F:F, 0)),
      INDEX(ZACATECAS!H:H, MATCH(C788, ZACATECAS!J:J, 0))
   ),
"")</f>
        <v>32148616</v>
      </c>
    </row>
    <row r="789" spans="1:5" x14ac:dyDescent="0.3">
      <c r="A789" t="s">
        <v>363</v>
      </c>
      <c r="B789" t="s">
        <v>1465</v>
      </c>
      <c r="C789" t="s">
        <v>1496</v>
      </c>
      <c r="D789" t="s">
        <v>2369</v>
      </c>
      <c r="E789">
        <f>IFERROR(
   IF(D789="Líder",
      INDEX(ZACATECAS!E:E, MATCH(C789, ZACATECAS!F:F, 0)),
      INDEX(ZACATECAS!H:H, MATCH(C789, ZACATECAS!J:J, 0))
   ),
"")</f>
        <v>32132174</v>
      </c>
    </row>
    <row r="790" spans="1:5" x14ac:dyDescent="0.3">
      <c r="A790" t="s">
        <v>363</v>
      </c>
      <c r="B790" t="s">
        <v>1465</v>
      </c>
      <c r="C790" t="s">
        <v>1498</v>
      </c>
      <c r="D790" t="s">
        <v>2369</v>
      </c>
      <c r="E790">
        <f>IFERROR(
   IF(D790="Líder",
      INDEX(ZACATECAS!E:E, MATCH(C790, ZACATECAS!F:F, 0)),
      INDEX(ZACATECAS!H:H, MATCH(C790, ZACATECAS!J:J, 0))
   ),
"")</f>
        <v>32045535</v>
      </c>
    </row>
    <row r="791" spans="1:5" x14ac:dyDescent="0.3">
      <c r="A791" t="s">
        <v>363</v>
      </c>
      <c r="B791" t="s">
        <v>1465</v>
      </c>
      <c r="C791" t="s">
        <v>1500</v>
      </c>
      <c r="D791" t="s">
        <v>2369</v>
      </c>
      <c r="E791">
        <f>IFERROR(
   IF(D791="Líder",
      INDEX(ZACATECAS!E:E, MATCH(C791, ZACATECAS!F:F, 0)),
      INDEX(ZACATECAS!H:H, MATCH(C791, ZACATECAS!J:J, 0))
   ),
"")</f>
        <v>32060942</v>
      </c>
    </row>
    <row r="792" spans="1:5" x14ac:dyDescent="0.3">
      <c r="A792" t="s">
        <v>263</v>
      </c>
      <c r="B792" t="s">
        <v>291</v>
      </c>
      <c r="C792" t="s">
        <v>294</v>
      </c>
      <c r="D792" t="s">
        <v>2369</v>
      </c>
      <c r="E792">
        <f>IFERROR(
   IF(D792="Líder",
      INDEX(ZACATECAS!E:E, MATCH(C792, ZACATECAS!F:F, 0)),
      INDEX(ZACATECAS!H:H, MATCH(C792, ZACATECAS!J:J, 0))
   ),
"")</f>
        <v>32043900</v>
      </c>
    </row>
    <row r="793" spans="1:5" x14ac:dyDescent="0.3">
      <c r="A793" t="s">
        <v>263</v>
      </c>
      <c r="B793" t="s">
        <v>291</v>
      </c>
      <c r="C793" t="s">
        <v>296</v>
      </c>
      <c r="D793" t="s">
        <v>2369</v>
      </c>
      <c r="E793">
        <f>IFERROR(
   IF(D793="Líder",
      INDEX(ZACATECAS!E:E, MATCH(C793, ZACATECAS!F:F, 0)),
      INDEX(ZACATECAS!H:H, MATCH(C793, ZACATECAS!J:J, 0))
   ),
"")</f>
        <v>32044316</v>
      </c>
    </row>
    <row r="794" spans="1:5" x14ac:dyDescent="0.3">
      <c r="A794" t="s">
        <v>263</v>
      </c>
      <c r="B794" t="s">
        <v>291</v>
      </c>
      <c r="C794" t="s">
        <v>298</v>
      </c>
      <c r="D794" t="s">
        <v>2369</v>
      </c>
      <c r="E794">
        <f>IFERROR(
   IF(D794="Líder",
      INDEX(ZACATECAS!E:E, MATCH(C794, ZACATECAS!F:F, 0)),
      INDEX(ZACATECAS!H:H, MATCH(C794, ZACATECAS!J:J, 0))
   ),
"")</f>
        <v>32173442</v>
      </c>
    </row>
    <row r="795" spans="1:5" x14ac:dyDescent="0.3">
      <c r="A795" t="s">
        <v>263</v>
      </c>
      <c r="B795" t="s">
        <v>291</v>
      </c>
      <c r="C795" t="s">
        <v>292</v>
      </c>
      <c r="D795" t="s">
        <v>2369</v>
      </c>
      <c r="E795" t="str">
        <f>IFERROR(
   IF(D795="Líder",
      INDEX(ZACATECAS!E:E, MATCH(C795, ZACATECAS!F:F, 0)),
      INDEX(ZACATECAS!H:H, MATCH(C795, ZACATECAS!J:J, 0))
   ),
"")</f>
        <v/>
      </c>
    </row>
    <row r="796" spans="1:5" x14ac:dyDescent="0.3">
      <c r="A796" t="s">
        <v>263</v>
      </c>
      <c r="B796" t="s">
        <v>291</v>
      </c>
      <c r="C796" t="s">
        <v>300</v>
      </c>
      <c r="D796" t="s">
        <v>2369</v>
      </c>
      <c r="E796">
        <f>IFERROR(
   IF(D796="Líder",
      INDEX(ZACATECAS!E:E, MATCH(C796, ZACATECAS!F:F, 0)),
      INDEX(ZACATECAS!H:H, MATCH(C796, ZACATECAS!J:J, 0))
   ),
"")</f>
        <v>32149490</v>
      </c>
    </row>
    <row r="797" spans="1:5" x14ac:dyDescent="0.3">
      <c r="A797" t="s">
        <v>263</v>
      </c>
      <c r="B797" t="s">
        <v>291</v>
      </c>
      <c r="C797" t="s">
        <v>302</v>
      </c>
      <c r="D797" t="s">
        <v>2369</v>
      </c>
      <c r="E797">
        <f>IFERROR(
   IF(D797="Líder",
      INDEX(ZACATECAS!E:E, MATCH(C797, ZACATECAS!F:F, 0)),
      INDEX(ZACATECAS!H:H, MATCH(C797, ZACATECAS!J:J, 0))
   ),
"")</f>
        <v>32092747</v>
      </c>
    </row>
    <row r="798" spans="1:5" x14ac:dyDescent="0.3">
      <c r="A798" t="s">
        <v>263</v>
      </c>
      <c r="B798" t="s">
        <v>291</v>
      </c>
      <c r="C798" t="s">
        <v>304</v>
      </c>
      <c r="D798" t="s">
        <v>2369</v>
      </c>
      <c r="E798">
        <f>IFERROR(
   IF(D798="Líder",
      INDEX(ZACATECAS!E:E, MATCH(C798, ZACATECAS!F:F, 0)),
      INDEX(ZACATECAS!H:H, MATCH(C798, ZACATECAS!J:J, 0))
   ),
"")</f>
        <v>32173435</v>
      </c>
    </row>
    <row r="799" spans="1:5" x14ac:dyDescent="0.3">
      <c r="A799" t="s">
        <v>263</v>
      </c>
      <c r="B799" t="s">
        <v>291</v>
      </c>
      <c r="C799" t="s">
        <v>306</v>
      </c>
      <c r="D799" t="s">
        <v>2369</v>
      </c>
      <c r="E799">
        <f>IFERROR(
   IF(D799="Líder",
      INDEX(ZACATECAS!E:E, MATCH(C799, ZACATECAS!F:F, 0)),
      INDEX(ZACATECAS!H:H, MATCH(C799, ZACATECAS!J:J, 0))
   ),
"")</f>
        <v>32145333</v>
      </c>
    </row>
    <row r="800" spans="1:5" x14ac:dyDescent="0.3">
      <c r="A800" t="s">
        <v>263</v>
      </c>
      <c r="B800" t="s">
        <v>291</v>
      </c>
      <c r="C800" t="s">
        <v>308</v>
      </c>
      <c r="D800" t="s">
        <v>2369</v>
      </c>
      <c r="E800">
        <f>IFERROR(
   IF(D800="Líder",
      INDEX(ZACATECAS!E:E, MATCH(C800, ZACATECAS!F:F, 0)),
      INDEX(ZACATECAS!H:H, MATCH(C800, ZACATECAS!J:J, 0))
   ),
"")</f>
        <v>32199772</v>
      </c>
    </row>
    <row r="801" spans="1:5" x14ac:dyDescent="0.3">
      <c r="A801" t="s">
        <v>263</v>
      </c>
      <c r="B801" t="s">
        <v>291</v>
      </c>
      <c r="C801" t="s">
        <v>310</v>
      </c>
      <c r="D801" t="s">
        <v>2369</v>
      </c>
      <c r="E801">
        <f>IFERROR(
   IF(D801="Líder",
      INDEX(ZACATECAS!E:E, MATCH(C801, ZACATECAS!F:F, 0)),
      INDEX(ZACATECAS!H:H, MATCH(C801, ZACATECAS!J:J, 0))
   ),
"")</f>
        <v>32045469</v>
      </c>
    </row>
    <row r="802" spans="1:5" x14ac:dyDescent="0.3">
      <c r="A802" t="s">
        <v>363</v>
      </c>
      <c r="B802" t="s">
        <v>1215</v>
      </c>
      <c r="C802" t="s">
        <v>1225</v>
      </c>
      <c r="D802" t="s">
        <v>2369</v>
      </c>
      <c r="E802">
        <f>IFERROR(
   IF(D802="Líder",
      INDEX(ZACATECAS!E:E, MATCH(C802, ZACATECAS!F:F, 0)),
      INDEX(ZACATECAS!H:H, MATCH(C802, ZACATECAS!J:J, 0))
   ),
"")</f>
        <v>32045140</v>
      </c>
    </row>
    <row r="803" spans="1:5" x14ac:dyDescent="0.3">
      <c r="A803" t="s">
        <v>363</v>
      </c>
      <c r="B803" t="s">
        <v>1215</v>
      </c>
      <c r="C803" t="s">
        <v>1227</v>
      </c>
      <c r="D803" t="s">
        <v>2369</v>
      </c>
      <c r="E803">
        <f>IFERROR(
   IF(D803="Líder",
      INDEX(ZACATECAS!E:E, MATCH(C803, ZACATECAS!F:F, 0)),
      INDEX(ZACATECAS!H:H, MATCH(C803, ZACATECAS!J:J, 0))
   ),
"")</f>
        <v>32046657</v>
      </c>
    </row>
    <row r="804" spans="1:5" x14ac:dyDescent="0.3">
      <c r="A804" t="s">
        <v>363</v>
      </c>
      <c r="B804" t="s">
        <v>1215</v>
      </c>
      <c r="C804" t="s">
        <v>1216</v>
      </c>
      <c r="D804" t="s">
        <v>2369</v>
      </c>
      <c r="E804">
        <f>IFERROR(
   IF(D804="Líder",
      INDEX(ZACATECAS!E:E, MATCH(C804, ZACATECAS!F:F, 0)),
      INDEX(ZACATECAS!H:H, MATCH(C804, ZACATECAS!J:J, 0))
   ),
"")</f>
        <v>32043920</v>
      </c>
    </row>
    <row r="805" spans="1:5" x14ac:dyDescent="0.3">
      <c r="A805" t="s">
        <v>363</v>
      </c>
      <c r="B805" t="s">
        <v>1215</v>
      </c>
      <c r="C805" t="s">
        <v>1220</v>
      </c>
      <c r="D805" t="s">
        <v>2369</v>
      </c>
      <c r="E805">
        <f>IFERROR(
   IF(D805="Líder",
      INDEX(ZACATECAS!E:E, MATCH(C805, ZACATECAS!F:F, 0)),
      INDEX(ZACATECAS!H:H, MATCH(C805, ZACATECAS!J:J, 0))
   ),
"")</f>
        <v>32044164</v>
      </c>
    </row>
    <row r="806" spans="1:5" x14ac:dyDescent="0.3">
      <c r="A806" t="s">
        <v>363</v>
      </c>
      <c r="B806" t="s">
        <v>1215</v>
      </c>
      <c r="C806" t="s">
        <v>1222</v>
      </c>
      <c r="D806" t="s">
        <v>2369</v>
      </c>
      <c r="E806">
        <f>IFERROR(
   IF(D806="Líder",
      INDEX(ZACATECAS!E:E, MATCH(C806, ZACATECAS!F:F, 0)),
      INDEX(ZACATECAS!H:H, MATCH(C806, ZACATECAS!J:J, 0))
   ),
"")</f>
        <v>32044644</v>
      </c>
    </row>
    <row r="807" spans="1:5" x14ac:dyDescent="0.3">
      <c r="A807" t="s">
        <v>363</v>
      </c>
      <c r="B807" t="s">
        <v>1215</v>
      </c>
      <c r="C807" t="s">
        <v>1223</v>
      </c>
      <c r="D807" t="s">
        <v>2369</v>
      </c>
      <c r="E807">
        <f>IFERROR(
   IF(D807="Líder",
      INDEX(ZACATECAS!E:E, MATCH(C807, ZACATECAS!F:F, 0)),
      INDEX(ZACATECAS!H:H, MATCH(C807, ZACATECAS!J:J, 0))
   ),
"")</f>
        <v>32044852</v>
      </c>
    </row>
    <row r="808" spans="1:5" x14ac:dyDescent="0.3">
      <c r="A808" t="s">
        <v>363</v>
      </c>
      <c r="B808" t="s">
        <v>1215</v>
      </c>
      <c r="C808" t="s">
        <v>1229</v>
      </c>
      <c r="D808" t="s">
        <v>2369</v>
      </c>
      <c r="E808">
        <f>IFERROR(
   IF(D808="Líder",
      INDEX(ZACATECAS!E:E, MATCH(C808, ZACATECAS!F:F, 0)),
      INDEX(ZACATECAS!H:H, MATCH(C808, ZACATECAS!J:J, 0))
   ),
"")</f>
        <v>32106989</v>
      </c>
    </row>
    <row r="809" spans="1:5" x14ac:dyDescent="0.3">
      <c r="A809" t="s">
        <v>363</v>
      </c>
      <c r="B809" t="s">
        <v>1215</v>
      </c>
      <c r="C809" t="s">
        <v>1232</v>
      </c>
      <c r="D809" t="s">
        <v>2369</v>
      </c>
      <c r="E809">
        <f>IFERROR(
   IF(D809="Líder",
      INDEX(ZACATECAS!E:E, MATCH(C809, ZACATECAS!F:F, 0)),
      INDEX(ZACATECAS!H:H, MATCH(C809, ZACATECAS!J:J, 0))
   ),
"")</f>
        <v>32132186</v>
      </c>
    </row>
    <row r="810" spans="1:5" x14ac:dyDescent="0.3">
      <c r="A810" t="s">
        <v>363</v>
      </c>
      <c r="B810" t="s">
        <v>1215</v>
      </c>
      <c r="C810" t="s">
        <v>1218</v>
      </c>
      <c r="D810" t="s">
        <v>2369</v>
      </c>
      <c r="E810">
        <f>IFERROR(
   IF(D810="Líder",
      INDEX(ZACATECAS!E:E, MATCH(C810, ZACATECAS!F:F, 0)),
      INDEX(ZACATECAS!H:H, MATCH(C810, ZACATECAS!J:J, 0))
   ),
"")</f>
        <v>32044051</v>
      </c>
    </row>
    <row r="811" spans="1:5" x14ac:dyDescent="0.3">
      <c r="A811" t="s">
        <v>363</v>
      </c>
      <c r="B811" t="s">
        <v>1215</v>
      </c>
      <c r="C811" t="s">
        <v>1234</v>
      </c>
      <c r="D811" t="s">
        <v>2369</v>
      </c>
      <c r="E811">
        <f>IFERROR(
   IF(D811="Líder",
      INDEX(ZACATECAS!E:E, MATCH(C811, ZACATECAS!F:F, 0)),
      INDEX(ZACATECAS!H:H, MATCH(C811, ZACATECAS!J:J, 0))
   ),
"")</f>
        <v>32132193</v>
      </c>
    </row>
    <row r="812" spans="1:5" x14ac:dyDescent="0.3">
      <c r="A812" t="s">
        <v>263</v>
      </c>
      <c r="B812" t="s">
        <v>312</v>
      </c>
      <c r="C812" t="s">
        <v>315</v>
      </c>
      <c r="D812" t="s">
        <v>2369</v>
      </c>
      <c r="E812">
        <f>IFERROR(
   IF(D812="Líder",
      INDEX(ZACATECAS!E:E, MATCH(C812, ZACATECAS!F:F, 0)),
      INDEX(ZACATECAS!H:H, MATCH(C812, ZACATECAS!J:J, 0))
   ),
"")</f>
        <v>32044783</v>
      </c>
    </row>
    <row r="813" spans="1:5" x14ac:dyDescent="0.3">
      <c r="A813" t="s">
        <v>263</v>
      </c>
      <c r="B813" t="s">
        <v>312</v>
      </c>
      <c r="C813" t="s">
        <v>317</v>
      </c>
      <c r="D813" t="s">
        <v>2369</v>
      </c>
      <c r="E813">
        <f>IFERROR(
   IF(D813="Líder",
      INDEX(ZACATECAS!E:E, MATCH(C813, ZACATECAS!F:F, 0)),
      INDEX(ZACATECAS!H:H, MATCH(C813, ZACATECAS!J:J, 0))
   ),
"")</f>
        <v>32044892</v>
      </c>
    </row>
    <row r="814" spans="1:5" x14ac:dyDescent="0.3">
      <c r="A814" t="s">
        <v>263</v>
      </c>
      <c r="B814" t="s">
        <v>312</v>
      </c>
      <c r="C814" t="s">
        <v>2430</v>
      </c>
      <c r="D814" t="s">
        <v>2369</v>
      </c>
      <c r="E814" t="str">
        <f>IFERROR(
   IF(D814="Líder",
      INDEX(ZACATECAS!E:E, MATCH(C814, ZACATECAS!F:F, 0)),
      INDEX(ZACATECAS!H:H, MATCH(C814, ZACATECAS!J:J, 0))
   ),
"")</f>
        <v/>
      </c>
    </row>
    <row r="815" spans="1:5" x14ac:dyDescent="0.3">
      <c r="A815" t="s">
        <v>263</v>
      </c>
      <c r="B815" t="s">
        <v>312</v>
      </c>
      <c r="C815" t="s">
        <v>321</v>
      </c>
      <c r="D815" t="s">
        <v>2369</v>
      </c>
      <c r="E815">
        <f>IFERROR(
   IF(D815="Líder",
      INDEX(ZACATECAS!E:E, MATCH(C815, ZACATECAS!F:F, 0)),
      INDEX(ZACATECAS!H:H, MATCH(C815, ZACATECAS!J:J, 0))
   ),
"")</f>
        <v>32046259</v>
      </c>
    </row>
    <row r="816" spans="1:5" x14ac:dyDescent="0.3">
      <c r="A816" t="s">
        <v>263</v>
      </c>
      <c r="B816" t="s">
        <v>312</v>
      </c>
      <c r="C816" t="s">
        <v>324</v>
      </c>
      <c r="D816" t="s">
        <v>2369</v>
      </c>
      <c r="E816">
        <f>IFERROR(
   IF(D816="Líder",
      INDEX(ZACATECAS!E:E, MATCH(C816, ZACATECAS!F:F, 0)),
      INDEX(ZACATECAS!H:H, MATCH(C816, ZACATECAS!J:J, 0))
   ),
"")</f>
        <v>32045572</v>
      </c>
    </row>
    <row r="817" spans="1:5" x14ac:dyDescent="0.3">
      <c r="A817" t="s">
        <v>263</v>
      </c>
      <c r="B817" t="s">
        <v>312</v>
      </c>
      <c r="C817" t="s">
        <v>326</v>
      </c>
      <c r="D817" t="s">
        <v>2369</v>
      </c>
      <c r="E817">
        <f>IFERROR(
   IF(D817="Líder",
      INDEX(ZACATECAS!E:E, MATCH(C817, ZACATECAS!F:F, 0)),
      INDEX(ZACATECAS!H:H, MATCH(C817, ZACATECAS!J:J, 0))
   ),
"")</f>
        <v>32045438</v>
      </c>
    </row>
    <row r="818" spans="1:5" x14ac:dyDescent="0.3">
      <c r="A818" t="s">
        <v>263</v>
      </c>
      <c r="B818" t="s">
        <v>312</v>
      </c>
      <c r="C818" t="s">
        <v>2329</v>
      </c>
      <c r="D818" t="s">
        <v>2369</v>
      </c>
      <c r="E818" t="str">
        <f>IFERROR(
   IF(D818="Líder",
      INDEX(ZACATECAS!E:E, MATCH(C818, ZACATECAS!F:F, 0)),
      INDEX(ZACATECAS!H:H, MATCH(C818, ZACATECAS!J:J, 0))
   ),
"")</f>
        <v/>
      </c>
    </row>
    <row r="819" spans="1:5" x14ac:dyDescent="0.3">
      <c r="A819" t="s">
        <v>263</v>
      </c>
      <c r="B819" t="s">
        <v>312</v>
      </c>
      <c r="C819" t="s">
        <v>328</v>
      </c>
      <c r="D819" t="s">
        <v>2369</v>
      </c>
      <c r="E819">
        <f>IFERROR(
   IF(D819="Líder",
      INDEX(ZACATECAS!E:E, MATCH(C819, ZACATECAS!F:F, 0)),
      INDEX(ZACATECAS!H:H, MATCH(C819, ZACATECAS!J:J, 0))
   ),
"")</f>
        <v>32204264</v>
      </c>
    </row>
    <row r="820" spans="1:5" x14ac:dyDescent="0.3">
      <c r="A820" t="s">
        <v>35</v>
      </c>
      <c r="B820" t="s">
        <v>1894</v>
      </c>
      <c r="C820" t="s">
        <v>1897</v>
      </c>
      <c r="D820" t="s">
        <v>2369</v>
      </c>
      <c r="E820">
        <f>IFERROR(
   IF(D820="Líder",
      INDEX(ZACATECAS!E:E, MATCH(C820, ZACATECAS!F:F, 0)),
      INDEX(ZACATECAS!H:H, MATCH(C820, ZACATECAS!J:J, 0))
   ),
"")</f>
        <v>32044273</v>
      </c>
    </row>
    <row r="821" spans="1:5" x14ac:dyDescent="0.3">
      <c r="A821" t="s">
        <v>35</v>
      </c>
      <c r="B821" t="s">
        <v>1894</v>
      </c>
      <c r="C821" t="s">
        <v>1899</v>
      </c>
      <c r="D821" t="s">
        <v>2369</v>
      </c>
      <c r="E821">
        <f>IFERROR(
   IF(D821="Líder",
      INDEX(ZACATECAS!E:E, MATCH(C821, ZACATECAS!F:F, 0)),
      INDEX(ZACATECAS!H:H, MATCH(C821, ZACATECAS!J:J, 0))
   ),
"")</f>
        <v>32044433</v>
      </c>
    </row>
    <row r="822" spans="1:5" x14ac:dyDescent="0.3">
      <c r="A822" t="s">
        <v>35</v>
      </c>
      <c r="B822" t="s">
        <v>1894</v>
      </c>
      <c r="C822" t="s">
        <v>1901</v>
      </c>
      <c r="D822" t="s">
        <v>2369</v>
      </c>
      <c r="E822">
        <f>IFERROR(
   IF(D822="Líder",
      INDEX(ZACATECAS!E:E, MATCH(C822, ZACATECAS!F:F, 0)),
      INDEX(ZACATECAS!H:H, MATCH(C822, ZACATECAS!J:J, 0))
   ),
"")</f>
        <v>32043851</v>
      </c>
    </row>
    <row r="823" spans="1:5" x14ac:dyDescent="0.3">
      <c r="A823" t="s">
        <v>35</v>
      </c>
      <c r="B823" t="s">
        <v>1894</v>
      </c>
      <c r="C823" t="s">
        <v>1903</v>
      </c>
      <c r="D823" t="s">
        <v>2369</v>
      </c>
      <c r="E823">
        <f>IFERROR(
   IF(D823="Líder",
      INDEX(ZACATECAS!E:E, MATCH(C823, ZACATECAS!F:F, 0)),
      INDEX(ZACATECAS!H:H, MATCH(C823, ZACATECAS!J:J, 0))
   ),
"")</f>
        <v>32044204</v>
      </c>
    </row>
    <row r="824" spans="1:5" x14ac:dyDescent="0.3">
      <c r="A824" t="s">
        <v>35</v>
      </c>
      <c r="B824" t="s">
        <v>1894</v>
      </c>
      <c r="C824" t="s">
        <v>1905</v>
      </c>
      <c r="D824" t="s">
        <v>2369</v>
      </c>
      <c r="E824">
        <f>IFERROR(
   IF(D824="Líder",
      INDEX(ZACATECAS!E:E, MATCH(C824, ZACATECAS!F:F, 0)),
      INDEX(ZACATECAS!H:H, MATCH(C824, ZACATECAS!J:J, 0))
   ),
"")</f>
        <v>32045864</v>
      </c>
    </row>
    <row r="825" spans="1:5" x14ac:dyDescent="0.3">
      <c r="A825" t="s">
        <v>35</v>
      </c>
      <c r="B825" t="s">
        <v>1894</v>
      </c>
      <c r="C825" t="s">
        <v>1907</v>
      </c>
      <c r="D825" t="s">
        <v>2369</v>
      </c>
      <c r="E825">
        <f>IFERROR(
   IF(D825="Líder",
      INDEX(ZACATECAS!E:E, MATCH(C825, ZACATECAS!F:F, 0)),
      INDEX(ZACATECAS!H:H, MATCH(C825, ZACATECAS!J:J, 0))
   ),
"")</f>
        <v>32044888</v>
      </c>
    </row>
    <row r="826" spans="1:5" x14ac:dyDescent="0.3">
      <c r="A826" t="s">
        <v>35</v>
      </c>
      <c r="B826" t="s">
        <v>1894</v>
      </c>
      <c r="C826" t="s">
        <v>1909</v>
      </c>
      <c r="D826" t="s">
        <v>2369</v>
      </c>
      <c r="E826">
        <f>IFERROR(
   IF(D826="Líder",
      INDEX(ZACATECAS!E:E, MATCH(C826, ZACATECAS!F:F, 0)),
      INDEX(ZACATECAS!H:H, MATCH(C826, ZACATECAS!J:J, 0))
   ),
"")</f>
        <v>32044303</v>
      </c>
    </row>
    <row r="827" spans="1:5" x14ac:dyDescent="0.3">
      <c r="A827" t="s">
        <v>35</v>
      </c>
      <c r="B827" t="s">
        <v>1894</v>
      </c>
      <c r="C827" t="s">
        <v>2330</v>
      </c>
      <c r="D827" t="s">
        <v>2369</v>
      </c>
      <c r="E827" t="str">
        <f>IFERROR(
   IF(D827="Líder",
      INDEX(ZACATECAS!E:E, MATCH(C827, ZACATECAS!F:F, 0)),
      INDEX(ZACATECAS!H:H, MATCH(C827, ZACATECAS!J:J, 0))
   ),
"")</f>
        <v/>
      </c>
    </row>
    <row r="828" spans="1:5" x14ac:dyDescent="0.3">
      <c r="A828" t="s">
        <v>363</v>
      </c>
      <c r="B828" t="s">
        <v>1264</v>
      </c>
      <c r="C828" t="s">
        <v>1272</v>
      </c>
      <c r="D828" t="s">
        <v>2369</v>
      </c>
      <c r="E828">
        <f>IFERROR(
   IF(D828="Líder",
      INDEX(ZACATECAS!E:E, MATCH(C828, ZACATECAS!F:F, 0)),
      INDEX(ZACATECAS!H:H, MATCH(C828, ZACATECAS!J:J, 0))
   ),
"")</f>
        <v>32044682</v>
      </c>
    </row>
    <row r="829" spans="1:5" x14ac:dyDescent="0.3">
      <c r="A829" t="s">
        <v>363</v>
      </c>
      <c r="B829" t="s">
        <v>1264</v>
      </c>
      <c r="C829" t="s">
        <v>1289</v>
      </c>
      <c r="D829" t="s">
        <v>2369</v>
      </c>
      <c r="E829">
        <f>IFERROR(
   IF(D829="Líder",
      INDEX(ZACATECAS!E:E, MATCH(C829, ZACATECAS!F:F, 0)),
      INDEX(ZACATECAS!H:H, MATCH(C829, ZACATECAS!J:J, 0))
   ),
"")</f>
        <v>32142975</v>
      </c>
    </row>
    <row r="830" spans="1:5" x14ac:dyDescent="0.3">
      <c r="A830" t="s">
        <v>363</v>
      </c>
      <c r="B830" t="s">
        <v>1264</v>
      </c>
      <c r="C830" t="s">
        <v>1282</v>
      </c>
      <c r="D830" t="s">
        <v>2369</v>
      </c>
      <c r="E830">
        <f>IFERROR(
   IF(D830="Líder",
      INDEX(ZACATECAS!E:E, MATCH(C830, ZACATECAS!F:F, 0)),
      INDEX(ZACATECAS!H:H, MATCH(C830, ZACATECAS!J:J, 0))
   ),
"")</f>
        <v>32138052</v>
      </c>
    </row>
    <row r="831" spans="1:5" x14ac:dyDescent="0.3">
      <c r="A831" t="s">
        <v>363</v>
      </c>
      <c r="B831" t="s">
        <v>1264</v>
      </c>
      <c r="C831" t="s">
        <v>1278</v>
      </c>
      <c r="D831" t="s">
        <v>2369</v>
      </c>
      <c r="E831">
        <f>IFERROR(
   IF(D831="Líder",
      INDEX(ZACATECAS!E:E, MATCH(C831, ZACATECAS!F:F, 0)),
      INDEX(ZACATECAS!H:H, MATCH(C831, ZACATECAS!J:J, 0))
   ),
"")</f>
        <v>32046268</v>
      </c>
    </row>
    <row r="832" spans="1:5" x14ac:dyDescent="0.3">
      <c r="A832" t="s">
        <v>363</v>
      </c>
      <c r="B832" t="s">
        <v>1264</v>
      </c>
      <c r="C832" t="s">
        <v>1284</v>
      </c>
      <c r="D832" t="s">
        <v>2369</v>
      </c>
      <c r="E832">
        <f>IFERROR(
   IF(D832="Líder",
      INDEX(ZACATECAS!E:E, MATCH(C832, ZACATECAS!F:F, 0)),
      INDEX(ZACATECAS!H:H, MATCH(C832, ZACATECAS!J:J, 0))
   ),
"")</f>
        <v>32140577</v>
      </c>
    </row>
    <row r="833" spans="1:5" x14ac:dyDescent="0.3">
      <c r="A833" t="s">
        <v>363</v>
      </c>
      <c r="B833" t="s">
        <v>1264</v>
      </c>
      <c r="C833" t="s">
        <v>2431</v>
      </c>
      <c r="D833" t="s">
        <v>2369</v>
      </c>
      <c r="E833" t="str">
        <f>IFERROR(
   IF(D833="Líder",
      INDEX(ZACATECAS!E:E, MATCH(C833, ZACATECAS!F:F, 0)),
      INDEX(ZACATECAS!H:H, MATCH(C833, ZACATECAS!J:J, 0))
   ),
"")</f>
        <v/>
      </c>
    </row>
    <row r="834" spans="1:5" x14ac:dyDescent="0.3">
      <c r="A834" t="s">
        <v>363</v>
      </c>
      <c r="B834" t="s">
        <v>1264</v>
      </c>
      <c r="C834" t="s">
        <v>1274</v>
      </c>
      <c r="D834" t="s">
        <v>2369</v>
      </c>
      <c r="E834">
        <f>IFERROR(
   IF(D834="Líder",
      INDEX(ZACATECAS!E:E, MATCH(C834, ZACATECAS!F:F, 0)),
      INDEX(ZACATECAS!H:H, MATCH(C834, ZACATECAS!J:J, 0))
   ),
"")</f>
        <v>32045180</v>
      </c>
    </row>
    <row r="835" spans="1:5" x14ac:dyDescent="0.3">
      <c r="A835" t="s">
        <v>363</v>
      </c>
      <c r="B835" t="s">
        <v>1264</v>
      </c>
      <c r="C835" t="s">
        <v>1268</v>
      </c>
      <c r="D835" t="s">
        <v>2369</v>
      </c>
      <c r="E835">
        <f>IFERROR(
   IF(D835="Líder",
      INDEX(ZACATECAS!E:E, MATCH(C835, ZACATECAS!F:F, 0)),
      INDEX(ZACATECAS!H:H, MATCH(C835, ZACATECAS!J:J, 0))
   ),
"")</f>
        <v>32043942</v>
      </c>
    </row>
    <row r="836" spans="1:5" x14ac:dyDescent="0.3">
      <c r="A836" t="s">
        <v>363</v>
      </c>
      <c r="B836" t="s">
        <v>1264</v>
      </c>
      <c r="C836" t="s">
        <v>1280</v>
      </c>
      <c r="D836" t="s">
        <v>2369</v>
      </c>
      <c r="E836">
        <f>IFERROR(
   IF(D836="Líder",
      INDEX(ZACATECAS!E:E, MATCH(C836, ZACATECAS!F:F, 0)),
      INDEX(ZACATECAS!H:H, MATCH(C836, ZACATECAS!J:J, 0))
   ),
"")</f>
        <v>32136709</v>
      </c>
    </row>
    <row r="837" spans="1:5" x14ac:dyDescent="0.3">
      <c r="A837" t="s">
        <v>363</v>
      </c>
      <c r="B837" t="s">
        <v>1264</v>
      </c>
      <c r="C837" t="s">
        <v>2432</v>
      </c>
      <c r="D837" t="s">
        <v>2369</v>
      </c>
      <c r="E837" t="str">
        <f>IFERROR(
   IF(D837="Líder",
      INDEX(ZACATECAS!E:E, MATCH(C837, ZACATECAS!F:F, 0)),
      INDEX(ZACATECAS!H:H, MATCH(C837, ZACATECAS!J:J, 0))
   ),
"")</f>
        <v/>
      </c>
    </row>
    <row r="838" spans="1:5" x14ac:dyDescent="0.3">
      <c r="A838" t="s">
        <v>363</v>
      </c>
      <c r="B838" t="s">
        <v>1264</v>
      </c>
      <c r="C838" t="s">
        <v>1270</v>
      </c>
      <c r="D838" t="s">
        <v>2369</v>
      </c>
      <c r="E838">
        <f>IFERROR(
   IF(D838="Líder",
      INDEX(ZACATECAS!E:E, MATCH(C838, ZACATECAS!F:F, 0)),
      INDEX(ZACATECAS!H:H, MATCH(C838, ZACATECAS!J:J, 0))
   ),
"")</f>
        <v>32044067</v>
      </c>
    </row>
    <row r="839" spans="1:5" x14ac:dyDescent="0.3">
      <c r="A839" t="s">
        <v>363</v>
      </c>
      <c r="B839" t="s">
        <v>1264</v>
      </c>
      <c r="C839" t="s">
        <v>1276</v>
      </c>
      <c r="D839" t="s">
        <v>2369</v>
      </c>
      <c r="E839">
        <f>IFERROR(
   IF(D839="Líder",
      INDEX(ZACATECAS!E:E, MATCH(C839, ZACATECAS!F:F, 0)),
      INDEX(ZACATECAS!H:H, MATCH(C839, ZACATECAS!J:J, 0))
   ),
"")</f>
        <v>32045538</v>
      </c>
    </row>
    <row r="840" spans="1:5" x14ac:dyDescent="0.3">
      <c r="A840" t="s">
        <v>363</v>
      </c>
      <c r="B840" t="s">
        <v>1264</v>
      </c>
      <c r="C840" t="s">
        <v>1287</v>
      </c>
      <c r="D840" t="s">
        <v>2369</v>
      </c>
      <c r="E840">
        <f>IFERROR(
   IF(D840="Líder",
      INDEX(ZACATECAS!E:E, MATCH(C840, ZACATECAS!F:F, 0)),
      INDEX(ZACATECAS!H:H, MATCH(C840, ZACATECAS!J:J, 0))
   ),
"")</f>
        <v>32142965</v>
      </c>
    </row>
    <row r="841" spans="1:5" x14ac:dyDescent="0.3">
      <c r="A841" t="s">
        <v>1584</v>
      </c>
      <c r="B841" t="s">
        <v>2357</v>
      </c>
      <c r="D841" t="s">
        <v>2369</v>
      </c>
      <c r="E841" t="str">
        <f>IFERROR(
   IF(D841="Líder",
      INDEX(ZACATECAS!E:E, MATCH(C841, ZACATECAS!F:F, 0)),
      INDEX(ZACATECAS!H:H, MATCH(C841, ZACATECAS!J:J, 0))
   ),
"")</f>
        <v/>
      </c>
    </row>
    <row r="842" spans="1:5" x14ac:dyDescent="0.3">
      <c r="A842" t="s">
        <v>363</v>
      </c>
      <c r="B842" t="s">
        <v>1078</v>
      </c>
      <c r="C842" t="s">
        <v>2433</v>
      </c>
      <c r="D842" t="s">
        <v>2369</v>
      </c>
      <c r="E842" t="str">
        <f>IFERROR(
   IF(D842="Líder",
      INDEX(ZACATECAS!E:E, MATCH(C842, ZACATECAS!F:F, 0)),
      INDEX(ZACATECAS!H:H, MATCH(C842, ZACATECAS!J:J, 0))
   ),
"")</f>
        <v/>
      </c>
    </row>
    <row r="843" spans="1:5" x14ac:dyDescent="0.3">
      <c r="A843" t="s">
        <v>363</v>
      </c>
      <c r="B843" t="s">
        <v>1078</v>
      </c>
      <c r="C843" t="s">
        <v>1084</v>
      </c>
      <c r="D843" t="s">
        <v>2369</v>
      </c>
      <c r="E843">
        <f>IFERROR(
   IF(D843="Líder",
      INDEX(ZACATECAS!E:E, MATCH(C843, ZACATECAS!F:F, 0)),
      INDEX(ZACATECAS!H:H, MATCH(C843, ZACATECAS!J:J, 0))
   ),
"")</f>
        <v>32045447</v>
      </c>
    </row>
    <row r="844" spans="1:5" x14ac:dyDescent="0.3">
      <c r="A844" t="s">
        <v>363</v>
      </c>
      <c r="B844" t="s">
        <v>1078</v>
      </c>
      <c r="C844" t="s">
        <v>1080</v>
      </c>
      <c r="D844" t="s">
        <v>2369</v>
      </c>
      <c r="E844">
        <f>IFERROR(
   IF(D844="Líder",
      INDEX(ZACATECAS!E:E, MATCH(C844, ZACATECAS!F:F, 0)),
      INDEX(ZACATECAS!H:H, MATCH(C844, ZACATECAS!J:J, 0))
   ),
"")</f>
        <v>32044026</v>
      </c>
    </row>
    <row r="845" spans="1:5" x14ac:dyDescent="0.3">
      <c r="A845" t="s">
        <v>363</v>
      </c>
      <c r="B845" t="s">
        <v>1078</v>
      </c>
      <c r="C845" t="s">
        <v>1090</v>
      </c>
      <c r="D845" t="s">
        <v>2369</v>
      </c>
      <c r="E845">
        <f>IFERROR(
   IF(D845="Líder",
      INDEX(ZACATECAS!E:E, MATCH(C845, ZACATECAS!F:F, 0)),
      INDEX(ZACATECAS!H:H, MATCH(C845, ZACATECAS!J:J, 0))
   ),
"")</f>
        <v>32142776</v>
      </c>
    </row>
    <row r="846" spans="1:5" x14ac:dyDescent="0.3">
      <c r="A846" t="s">
        <v>363</v>
      </c>
      <c r="B846" t="s">
        <v>1078</v>
      </c>
      <c r="C846" t="s">
        <v>1091</v>
      </c>
      <c r="D846" t="s">
        <v>2369</v>
      </c>
      <c r="E846">
        <f>IFERROR(
   IF(D846="Líder",
      INDEX(ZACATECAS!E:E, MATCH(C846, ZACATECAS!F:F, 0)),
      INDEX(ZACATECAS!H:H, MATCH(C846, ZACATECAS!J:J, 0))
   ),
"")</f>
        <v>32142784</v>
      </c>
    </row>
    <row r="847" spans="1:5" x14ac:dyDescent="0.3">
      <c r="A847" t="s">
        <v>363</v>
      </c>
      <c r="B847" t="s">
        <v>1078</v>
      </c>
      <c r="C847" t="s">
        <v>1082</v>
      </c>
      <c r="D847" t="s">
        <v>2369</v>
      </c>
      <c r="E847">
        <f>IFERROR(
   IF(D847="Líder",
      INDEX(ZACATECAS!E:E, MATCH(C847, ZACATECAS!F:F, 0)),
      INDEX(ZACATECAS!H:H, MATCH(C847, ZACATECAS!J:J, 0))
   ),
"")</f>
        <v>32044280</v>
      </c>
    </row>
    <row r="848" spans="1:5" x14ac:dyDescent="0.3">
      <c r="A848" t="s">
        <v>363</v>
      </c>
      <c r="B848" t="s">
        <v>1078</v>
      </c>
      <c r="C848" t="s">
        <v>2434</v>
      </c>
      <c r="D848" t="s">
        <v>2369</v>
      </c>
      <c r="E848" t="str">
        <f>IFERROR(
   IF(D848="Líder",
      INDEX(ZACATECAS!E:E, MATCH(C848, ZACATECAS!F:F, 0)),
      INDEX(ZACATECAS!H:H, MATCH(C848, ZACATECAS!J:J, 0))
   ),
"")</f>
        <v/>
      </c>
    </row>
    <row r="849" spans="1:5" x14ac:dyDescent="0.3">
      <c r="A849" t="s">
        <v>363</v>
      </c>
      <c r="B849" t="s">
        <v>1078</v>
      </c>
      <c r="C849" t="s">
        <v>1088</v>
      </c>
      <c r="D849" t="s">
        <v>2369</v>
      </c>
      <c r="E849">
        <f>IFERROR(
   IF(D849="Líder",
      INDEX(ZACATECAS!E:E, MATCH(C849, ZACATECAS!F:F, 0)),
      INDEX(ZACATECAS!H:H, MATCH(C849, ZACATECAS!J:J, 0))
   ),
"")</f>
        <v>32046635</v>
      </c>
    </row>
    <row r="850" spans="1:5" x14ac:dyDescent="0.3">
      <c r="A850" t="s">
        <v>363</v>
      </c>
      <c r="B850" t="s">
        <v>1078</v>
      </c>
      <c r="C850" t="s">
        <v>1086</v>
      </c>
      <c r="D850" t="s">
        <v>2369</v>
      </c>
      <c r="E850">
        <f>IFERROR(
   IF(D850="Líder",
      INDEX(ZACATECAS!E:E, MATCH(C850, ZACATECAS!F:F, 0)),
      INDEX(ZACATECAS!H:H, MATCH(C850, ZACATECAS!J:J, 0))
   ),
"")</f>
        <v>32046327</v>
      </c>
    </row>
    <row r="851" spans="1:5" x14ac:dyDescent="0.3">
      <c r="A851" t="s">
        <v>1</v>
      </c>
      <c r="B851" t="s">
        <v>10</v>
      </c>
      <c r="C851" t="s">
        <v>2045</v>
      </c>
      <c r="D851" t="s">
        <v>2369</v>
      </c>
      <c r="E851">
        <f>IFERROR(
   IF(D851="Líder",
      INDEX(ZACATECAS!E:E, MATCH(C851, ZACATECAS!F:F, 0)),
      INDEX(ZACATECAS!H:H, MATCH(C851, ZACATECAS!J:J, 0))
   ),
"")</f>
        <v>32144783</v>
      </c>
    </row>
    <row r="852" spans="1:5" x14ac:dyDescent="0.3">
      <c r="A852" t="s">
        <v>1</v>
      </c>
      <c r="B852" t="s">
        <v>10</v>
      </c>
      <c r="C852" t="s">
        <v>2047</v>
      </c>
      <c r="D852" t="s">
        <v>2369</v>
      </c>
      <c r="E852">
        <f>IFERROR(
   IF(D852="Líder",
      INDEX(ZACATECAS!E:E, MATCH(C852, ZACATECAS!F:F, 0)),
      INDEX(ZACATECAS!H:H, MATCH(C852, ZACATECAS!J:J, 0))
   ),
"")</f>
        <v>32044335</v>
      </c>
    </row>
    <row r="853" spans="1:5" x14ac:dyDescent="0.3">
      <c r="A853" t="s">
        <v>1</v>
      </c>
      <c r="B853" t="s">
        <v>10</v>
      </c>
      <c r="C853" t="s">
        <v>2049</v>
      </c>
      <c r="D853" t="s">
        <v>2369</v>
      </c>
      <c r="E853">
        <f>IFERROR(
   IF(D853="Líder",
      INDEX(ZACATECAS!E:E, MATCH(C853, ZACATECAS!F:F, 0)),
      INDEX(ZACATECAS!H:H, MATCH(C853, ZACATECAS!J:J, 0))
   ),
"")</f>
        <v>32045056</v>
      </c>
    </row>
    <row r="854" spans="1:5" x14ac:dyDescent="0.3">
      <c r="A854" t="s">
        <v>1</v>
      </c>
      <c r="B854" t="s">
        <v>10</v>
      </c>
      <c r="C854" t="s">
        <v>2435</v>
      </c>
      <c r="D854" t="s">
        <v>2369</v>
      </c>
      <c r="E854" t="str">
        <f>IFERROR(
   IF(D854="Líder",
      INDEX(ZACATECAS!E:E, MATCH(C854, ZACATECAS!F:F, 0)),
      INDEX(ZACATECAS!H:H, MATCH(C854, ZACATECAS!J:J, 0))
   ),
"")</f>
        <v/>
      </c>
    </row>
    <row r="855" spans="1:5" x14ac:dyDescent="0.3">
      <c r="A855" t="s">
        <v>363</v>
      </c>
      <c r="B855" t="s">
        <v>1369</v>
      </c>
      <c r="C855" t="s">
        <v>1390</v>
      </c>
      <c r="D855" t="s">
        <v>2369</v>
      </c>
      <c r="E855">
        <f>IFERROR(
   IF(D855="Líder",
      INDEX(ZACATECAS!E:E, MATCH(C855, ZACATECAS!F:F, 0)),
      INDEX(ZACATECAS!H:H, MATCH(C855, ZACATECAS!J:J, 0))
   ),
"")</f>
        <v>32044466</v>
      </c>
    </row>
    <row r="856" spans="1:5" x14ac:dyDescent="0.3">
      <c r="A856" t="s">
        <v>363</v>
      </c>
      <c r="B856" t="s">
        <v>1369</v>
      </c>
      <c r="C856" t="s">
        <v>1388</v>
      </c>
      <c r="D856" t="s">
        <v>2369</v>
      </c>
      <c r="E856">
        <f>IFERROR(
   IF(D856="Líder",
      INDEX(ZACATECAS!E:E, MATCH(C856, ZACATECAS!F:F, 0)),
      INDEX(ZACATECAS!H:H, MATCH(C856, ZACATECAS!J:J, 0))
   ),
"")</f>
        <v>32046176</v>
      </c>
    </row>
    <row r="857" spans="1:5" x14ac:dyDescent="0.3">
      <c r="A857" t="s">
        <v>363</v>
      </c>
      <c r="B857" t="s">
        <v>1369</v>
      </c>
      <c r="C857" t="s">
        <v>1386</v>
      </c>
      <c r="D857" t="s">
        <v>2369</v>
      </c>
      <c r="E857">
        <f>IFERROR(
   IF(D857="Líder",
      INDEX(ZACATECAS!E:E, MATCH(C857, ZACATECAS!F:F, 0)),
      INDEX(ZACATECAS!H:H, MATCH(C857, ZACATECAS!J:J, 0))
   ),
"")</f>
        <v>32044998</v>
      </c>
    </row>
    <row r="858" spans="1:5" x14ac:dyDescent="0.3">
      <c r="A858" t="s">
        <v>363</v>
      </c>
      <c r="B858" t="s">
        <v>1369</v>
      </c>
      <c r="C858" t="s">
        <v>1383</v>
      </c>
      <c r="D858" t="s">
        <v>2369</v>
      </c>
      <c r="E858">
        <f>IFERROR(
   IF(D858="Líder",
      INDEX(ZACATECAS!E:E, MATCH(C858, ZACATECAS!F:F, 0)),
      INDEX(ZACATECAS!H:H, MATCH(C858, ZACATECAS!J:J, 0))
   ),
"")</f>
        <v>32046372</v>
      </c>
    </row>
    <row r="859" spans="1:5" x14ac:dyDescent="0.3">
      <c r="A859" t="s">
        <v>363</v>
      </c>
      <c r="B859" t="s">
        <v>1369</v>
      </c>
      <c r="C859" t="s">
        <v>1381</v>
      </c>
      <c r="D859" t="s">
        <v>2369</v>
      </c>
      <c r="E859">
        <f>IFERROR(
   IF(D859="Líder",
      INDEX(ZACATECAS!E:E, MATCH(C859, ZACATECAS!F:F, 0)),
      INDEX(ZACATECAS!H:H, MATCH(C859, ZACATECAS!J:J, 0))
   ),
"")</f>
        <v>32044462</v>
      </c>
    </row>
    <row r="860" spans="1:5" x14ac:dyDescent="0.3">
      <c r="A860" t="s">
        <v>363</v>
      </c>
      <c r="B860" t="s">
        <v>1369</v>
      </c>
      <c r="C860" t="s">
        <v>1379</v>
      </c>
      <c r="D860" t="s">
        <v>2369</v>
      </c>
      <c r="E860">
        <f>IFERROR(
   IF(D860="Líder",
      INDEX(ZACATECAS!E:E, MATCH(C860, ZACATECAS!F:F, 0)),
      INDEX(ZACATECAS!H:H, MATCH(C860, ZACATECAS!J:J, 0))
   ),
"")</f>
        <v>32148856</v>
      </c>
    </row>
    <row r="861" spans="1:5" x14ac:dyDescent="0.3">
      <c r="A861" t="s">
        <v>363</v>
      </c>
      <c r="B861" t="s">
        <v>1369</v>
      </c>
      <c r="C861" t="s">
        <v>1375</v>
      </c>
      <c r="D861" t="s">
        <v>2369</v>
      </c>
      <c r="E861">
        <f>IFERROR(
   IF(D861="Líder",
      INDEX(ZACATECAS!E:E, MATCH(C861, ZACATECAS!F:F, 0)),
      INDEX(ZACATECAS!H:H, MATCH(C861, ZACATECAS!J:J, 0))
   ),
"")</f>
        <v>32045791</v>
      </c>
    </row>
    <row r="862" spans="1:5" x14ac:dyDescent="0.3">
      <c r="A862" t="s">
        <v>363</v>
      </c>
      <c r="B862" t="s">
        <v>1369</v>
      </c>
      <c r="C862" t="s">
        <v>1372</v>
      </c>
      <c r="D862" t="s">
        <v>2369</v>
      </c>
      <c r="E862">
        <f>IFERROR(
   IF(D862="Líder",
      INDEX(ZACATECAS!E:E, MATCH(C862, ZACATECAS!F:F, 0)),
      INDEX(ZACATECAS!H:H, MATCH(C862, ZACATECAS!J:J, 0))
   ),
"")</f>
        <v>32046340</v>
      </c>
    </row>
    <row r="863" spans="1:5" x14ac:dyDescent="0.3">
      <c r="A863" t="s">
        <v>363</v>
      </c>
      <c r="B863" t="s">
        <v>1369</v>
      </c>
      <c r="C863" t="s">
        <v>1370</v>
      </c>
      <c r="D863" t="s">
        <v>2369</v>
      </c>
      <c r="E863">
        <f>IFERROR(
   IF(D863="Líder",
      INDEX(ZACATECAS!E:E, MATCH(C863, ZACATECAS!F:F, 0)),
      INDEX(ZACATECAS!H:H, MATCH(C863, ZACATECAS!J:J, 0))
   ),
"")</f>
        <v>32044903</v>
      </c>
    </row>
    <row r="864" spans="1:5" x14ac:dyDescent="0.3">
      <c r="A864" t="s">
        <v>35</v>
      </c>
      <c r="B864" t="s">
        <v>1911</v>
      </c>
      <c r="C864" t="s">
        <v>1914</v>
      </c>
      <c r="D864" t="s">
        <v>2369</v>
      </c>
      <c r="E864">
        <f>IFERROR(
   IF(D864="Líder",
      INDEX(ZACATECAS!E:E, MATCH(C864, ZACATECAS!F:F, 0)),
      INDEX(ZACATECAS!H:H, MATCH(C864, ZACATECAS!J:J, 0))
   ),
"")</f>
        <v>32043834</v>
      </c>
    </row>
    <row r="865" spans="1:5" x14ac:dyDescent="0.3">
      <c r="A865" t="s">
        <v>35</v>
      </c>
      <c r="B865" t="s">
        <v>1911</v>
      </c>
      <c r="C865" t="s">
        <v>1916</v>
      </c>
      <c r="D865" t="s">
        <v>2369</v>
      </c>
      <c r="E865">
        <f>IFERROR(
   IF(D865="Líder",
      INDEX(ZACATECAS!E:E, MATCH(C865, ZACATECAS!F:F, 0)),
      INDEX(ZACATECAS!H:H, MATCH(C865, ZACATECAS!J:J, 0))
   ),
"")</f>
        <v>32045336</v>
      </c>
    </row>
    <row r="866" spans="1:5" x14ac:dyDescent="0.3">
      <c r="A866" t="s">
        <v>35</v>
      </c>
      <c r="B866" t="s">
        <v>1911</v>
      </c>
      <c r="C866" t="s">
        <v>1918</v>
      </c>
      <c r="D866" t="s">
        <v>2369</v>
      </c>
      <c r="E866">
        <f>IFERROR(
   IF(D866="Líder",
      INDEX(ZACATECAS!E:E, MATCH(C866, ZACATECAS!F:F, 0)),
      INDEX(ZACATECAS!H:H, MATCH(C866, ZACATECAS!J:J, 0))
   ),
"")</f>
        <v>32043751</v>
      </c>
    </row>
    <row r="867" spans="1:5" x14ac:dyDescent="0.3">
      <c r="A867" t="s">
        <v>35</v>
      </c>
      <c r="B867" t="s">
        <v>1911</v>
      </c>
      <c r="C867" t="s">
        <v>1920</v>
      </c>
      <c r="D867" t="s">
        <v>2369</v>
      </c>
      <c r="E867">
        <f>IFERROR(
   IF(D867="Líder",
      INDEX(ZACATECAS!E:E, MATCH(C867, ZACATECAS!F:F, 0)),
      INDEX(ZACATECAS!H:H, MATCH(C867, ZACATECAS!J:J, 0))
   ),
"")</f>
        <v>32045705</v>
      </c>
    </row>
    <row r="868" spans="1:5" x14ac:dyDescent="0.3">
      <c r="A868" t="s">
        <v>35</v>
      </c>
      <c r="B868" t="s">
        <v>1911</v>
      </c>
      <c r="C868" t="s">
        <v>1922</v>
      </c>
      <c r="D868" t="s">
        <v>2369</v>
      </c>
      <c r="E868">
        <f>IFERROR(
   IF(D868="Líder",
      INDEX(ZACATECAS!E:E, MATCH(C868, ZACATECAS!F:F, 0)),
      INDEX(ZACATECAS!H:H, MATCH(C868, ZACATECAS!J:J, 0))
   ),
"")</f>
        <v>32043737</v>
      </c>
    </row>
    <row r="869" spans="1:5" x14ac:dyDescent="0.3">
      <c r="A869" t="s">
        <v>35</v>
      </c>
      <c r="B869" t="s">
        <v>1911</v>
      </c>
      <c r="C869" t="s">
        <v>1924</v>
      </c>
      <c r="D869" t="s">
        <v>2369</v>
      </c>
      <c r="E869">
        <f>IFERROR(
   IF(D869="Líder",
      INDEX(ZACATECAS!E:E, MATCH(C869, ZACATECAS!F:F, 0)),
      INDEX(ZACATECAS!H:H, MATCH(C869, ZACATECAS!J:J, 0))
   ),
"")</f>
        <v>32045786</v>
      </c>
    </row>
    <row r="870" spans="1:5" x14ac:dyDescent="0.3">
      <c r="A870" t="s">
        <v>35</v>
      </c>
      <c r="B870" t="s">
        <v>1911</v>
      </c>
      <c r="C870" t="s">
        <v>1926</v>
      </c>
      <c r="D870" t="s">
        <v>2369</v>
      </c>
      <c r="E870">
        <f>IFERROR(
   IF(D870="Líder",
      INDEX(ZACATECAS!E:E, MATCH(C870, ZACATECAS!F:F, 0)),
      INDEX(ZACATECAS!H:H, MATCH(C870, ZACATECAS!J:J, 0))
   ),
"")</f>
        <v>32045497</v>
      </c>
    </row>
    <row r="871" spans="1:5" x14ac:dyDescent="0.3">
      <c r="A871" t="s">
        <v>35</v>
      </c>
      <c r="B871" t="s">
        <v>1911</v>
      </c>
      <c r="C871" t="s">
        <v>13</v>
      </c>
      <c r="D871" t="s">
        <v>2369</v>
      </c>
      <c r="E871" t="str">
        <f>IFERROR(
   IF(D871="Líder",
      INDEX(ZACATECAS!E:E, MATCH(C871, ZACATECAS!F:F, 0)),
      INDEX(ZACATECAS!H:H, MATCH(C871, ZACATECAS!J:J, 0))
   ),
"")</f>
        <v/>
      </c>
    </row>
    <row r="872" spans="1:5" x14ac:dyDescent="0.3">
      <c r="A872" t="s">
        <v>35</v>
      </c>
      <c r="B872" t="s">
        <v>1911</v>
      </c>
      <c r="C872" t="s">
        <v>1928</v>
      </c>
      <c r="D872" t="s">
        <v>2369</v>
      </c>
      <c r="E872">
        <f>IFERROR(
   IF(D872="Líder",
      INDEX(ZACATECAS!E:E, MATCH(C872, ZACATECAS!F:F, 0)),
      INDEX(ZACATECAS!H:H, MATCH(C872, ZACATECAS!J:J, 0))
   ),
"")</f>
        <v>32094845</v>
      </c>
    </row>
    <row r="873" spans="1:5" x14ac:dyDescent="0.3">
      <c r="A873" t="s">
        <v>35</v>
      </c>
      <c r="B873" t="s">
        <v>1911</v>
      </c>
      <c r="C873" t="s">
        <v>1930</v>
      </c>
      <c r="D873" t="s">
        <v>2369</v>
      </c>
      <c r="E873">
        <f>IFERROR(
   IF(D873="Líder",
      INDEX(ZACATECAS!E:E, MATCH(C873, ZACATECAS!F:F, 0)),
      INDEX(ZACATECAS!H:H, MATCH(C873, ZACATECAS!J:J, 0))
   ),
"")</f>
        <v>32044432</v>
      </c>
    </row>
    <row r="874" spans="1:5" x14ac:dyDescent="0.3">
      <c r="A874" t="s">
        <v>35</v>
      </c>
      <c r="B874" t="s">
        <v>1911</v>
      </c>
      <c r="C874" t="s">
        <v>1932</v>
      </c>
      <c r="D874" t="s">
        <v>2369</v>
      </c>
      <c r="E874">
        <f>IFERROR(
   IF(D874="Líder",
      INDEX(ZACATECAS!E:E, MATCH(C874, ZACATECAS!F:F, 0)),
      INDEX(ZACATECAS!H:H, MATCH(C874, ZACATECAS!J:J, 0))
   ),
"")</f>
        <v>32044261</v>
      </c>
    </row>
    <row r="875" spans="1:5" x14ac:dyDescent="0.3">
      <c r="A875" t="s">
        <v>363</v>
      </c>
      <c r="B875" t="s">
        <v>1093</v>
      </c>
      <c r="C875" t="s">
        <v>1095</v>
      </c>
      <c r="D875" t="s">
        <v>2369</v>
      </c>
      <c r="E875">
        <f>IFERROR(
   IF(D875="Líder",
      INDEX(ZACATECAS!E:E, MATCH(C875, ZACATECAS!F:F, 0)),
      INDEX(ZACATECAS!H:H, MATCH(C875, ZACATECAS!J:J, 0))
   ),
"")</f>
        <v>32043930</v>
      </c>
    </row>
    <row r="876" spans="1:5" x14ac:dyDescent="0.3">
      <c r="A876" t="s">
        <v>363</v>
      </c>
      <c r="B876" t="s">
        <v>1093</v>
      </c>
      <c r="C876" t="s">
        <v>1108</v>
      </c>
      <c r="D876" t="s">
        <v>2369</v>
      </c>
      <c r="E876">
        <f>IFERROR(
   IF(D876="Líder",
      INDEX(ZACATECAS!E:E, MATCH(C876, ZACATECAS!F:F, 0)),
      INDEX(ZACATECAS!H:H, MATCH(C876, ZACATECAS!J:J, 0))
   ),
"")</f>
        <v>32046509</v>
      </c>
    </row>
    <row r="877" spans="1:5" x14ac:dyDescent="0.3">
      <c r="A877" t="s">
        <v>363</v>
      </c>
      <c r="B877" t="s">
        <v>1093</v>
      </c>
      <c r="C877" t="s">
        <v>1104</v>
      </c>
      <c r="D877" t="s">
        <v>2369</v>
      </c>
      <c r="E877">
        <f>IFERROR(
   IF(D877="Líder",
      INDEX(ZACATECAS!E:E, MATCH(C877, ZACATECAS!F:F, 0)),
      INDEX(ZACATECAS!H:H, MATCH(C877, ZACATECAS!J:J, 0))
   ),
"")</f>
        <v>32046126</v>
      </c>
    </row>
    <row r="878" spans="1:5" x14ac:dyDescent="0.3">
      <c r="A878" t="s">
        <v>363</v>
      </c>
      <c r="B878" t="s">
        <v>1093</v>
      </c>
      <c r="C878" t="s">
        <v>1100</v>
      </c>
      <c r="D878" t="s">
        <v>2369</v>
      </c>
      <c r="E878">
        <f>IFERROR(
   IF(D878="Líder",
      INDEX(ZACATECAS!E:E, MATCH(C878, ZACATECAS!F:F, 0)),
      INDEX(ZACATECAS!H:H, MATCH(C878, ZACATECAS!J:J, 0))
   ),
"")</f>
        <v>32044861</v>
      </c>
    </row>
    <row r="879" spans="1:5" x14ac:dyDescent="0.3">
      <c r="A879" t="s">
        <v>363</v>
      </c>
      <c r="B879" t="s">
        <v>1093</v>
      </c>
      <c r="C879" t="s">
        <v>1114</v>
      </c>
      <c r="D879" t="s">
        <v>2369</v>
      </c>
      <c r="E879">
        <f>IFERROR(
   IF(D879="Líder",
      INDEX(ZACATECAS!E:E, MATCH(C879, ZACATECAS!F:F, 0)),
      INDEX(ZACATECAS!H:H, MATCH(C879, ZACATECAS!J:J, 0))
   ),
"")</f>
        <v>32132170</v>
      </c>
    </row>
    <row r="880" spans="1:5" x14ac:dyDescent="0.3">
      <c r="A880" t="s">
        <v>363</v>
      </c>
      <c r="B880" t="s">
        <v>1093</v>
      </c>
      <c r="C880" t="s">
        <v>1102</v>
      </c>
      <c r="D880" t="s">
        <v>2369</v>
      </c>
      <c r="E880">
        <f>IFERROR(
   IF(D880="Líder",
      INDEX(ZACATECAS!E:E, MATCH(C880, ZACATECAS!F:F, 0)),
      INDEX(ZACATECAS!H:H, MATCH(C880, ZACATECAS!J:J, 0))
   ),
"")</f>
        <v>32045995</v>
      </c>
    </row>
    <row r="881" spans="1:5" x14ac:dyDescent="0.3">
      <c r="A881" t="s">
        <v>363</v>
      </c>
      <c r="B881" t="s">
        <v>1093</v>
      </c>
      <c r="C881" t="s">
        <v>1112</v>
      </c>
      <c r="D881" t="s">
        <v>2369</v>
      </c>
      <c r="E881">
        <f>IFERROR(
   IF(D881="Líder",
      INDEX(ZACATECAS!E:E, MATCH(C881, ZACATECAS!F:F, 0)),
      INDEX(ZACATECAS!H:H, MATCH(C881, ZACATECAS!J:J, 0))
   ),
"")</f>
        <v>32132009</v>
      </c>
    </row>
    <row r="882" spans="1:5" x14ac:dyDescent="0.3">
      <c r="A882" t="s">
        <v>363</v>
      </c>
      <c r="B882" t="s">
        <v>1093</v>
      </c>
      <c r="C882" t="s">
        <v>1098</v>
      </c>
      <c r="D882" t="s">
        <v>2369</v>
      </c>
      <c r="E882">
        <f>IFERROR(
   IF(D882="Líder",
      INDEX(ZACATECAS!E:E, MATCH(C882, ZACATECAS!F:F, 0)),
      INDEX(ZACATECAS!H:H, MATCH(C882, ZACATECAS!J:J, 0))
   ),
"")</f>
        <v>32043993</v>
      </c>
    </row>
    <row r="883" spans="1:5" x14ac:dyDescent="0.3">
      <c r="A883" t="s">
        <v>363</v>
      </c>
      <c r="B883" t="s">
        <v>1093</v>
      </c>
      <c r="C883" t="s">
        <v>1110</v>
      </c>
      <c r="D883" t="s">
        <v>2369</v>
      </c>
      <c r="E883">
        <f>IFERROR(
   IF(D883="Líder",
      INDEX(ZACATECAS!E:E, MATCH(C883, ZACATECAS!F:F, 0)),
      INDEX(ZACATECAS!H:H, MATCH(C883, ZACATECAS!J:J, 0))
   ),
"")</f>
        <v>32058108</v>
      </c>
    </row>
    <row r="884" spans="1:5" x14ac:dyDescent="0.3">
      <c r="A884" t="s">
        <v>363</v>
      </c>
      <c r="B884" t="s">
        <v>1291</v>
      </c>
      <c r="C884" t="s">
        <v>1314</v>
      </c>
      <c r="D884" t="s">
        <v>2369</v>
      </c>
      <c r="E884">
        <f>IFERROR(
   IF(D884="Líder",
      INDEX(ZACATECAS!E:E, MATCH(C884, ZACATECAS!F:F, 0)),
      INDEX(ZACATECAS!H:H, MATCH(C884, ZACATECAS!J:J, 0))
   ),
"")</f>
        <v>32148864</v>
      </c>
    </row>
    <row r="885" spans="1:5" x14ac:dyDescent="0.3">
      <c r="A885" t="s">
        <v>363</v>
      </c>
      <c r="B885" t="s">
        <v>1291</v>
      </c>
      <c r="C885" t="s">
        <v>1304</v>
      </c>
      <c r="D885" t="s">
        <v>2369</v>
      </c>
      <c r="E885">
        <f>IFERROR(
   IF(D885="Líder",
      INDEX(ZACATECAS!E:E, MATCH(C885, ZACATECAS!F:F, 0)),
      INDEX(ZACATECAS!H:H, MATCH(C885, ZACATECAS!J:J, 0))
   ),
"")</f>
        <v>32046006</v>
      </c>
    </row>
    <row r="886" spans="1:5" x14ac:dyDescent="0.3">
      <c r="A886" t="s">
        <v>363</v>
      </c>
      <c r="B886" t="s">
        <v>1291</v>
      </c>
      <c r="C886" t="s">
        <v>1318</v>
      </c>
      <c r="D886" t="s">
        <v>2369</v>
      </c>
      <c r="E886">
        <f>IFERROR(
   IF(D886="Líder",
      INDEX(ZACATECAS!E:E, MATCH(C886, ZACATECAS!F:F, 0)),
      INDEX(ZACATECAS!H:H, MATCH(C886, ZACATECAS!J:J, 0))
   ),
"")</f>
        <v>32153534</v>
      </c>
    </row>
    <row r="887" spans="1:5" x14ac:dyDescent="0.3">
      <c r="A887" t="s">
        <v>363</v>
      </c>
      <c r="B887" t="s">
        <v>1291</v>
      </c>
      <c r="C887" t="s">
        <v>1302</v>
      </c>
      <c r="D887" t="s">
        <v>2369</v>
      </c>
      <c r="E887">
        <f>IFERROR(
   IF(D887="Líder",
      INDEX(ZACATECAS!E:E, MATCH(C887, ZACATECAS!F:F, 0)),
      INDEX(ZACATECAS!H:H, MATCH(C887, ZACATECAS!J:J, 0))
   ),
"")</f>
        <v>32045585</v>
      </c>
    </row>
    <row r="888" spans="1:5" x14ac:dyDescent="0.3">
      <c r="A888" t="s">
        <v>363</v>
      </c>
      <c r="B888" t="s">
        <v>1291</v>
      </c>
      <c r="C888" t="s">
        <v>1310</v>
      </c>
      <c r="D888" t="s">
        <v>2369</v>
      </c>
      <c r="E888">
        <f>IFERROR(
   IF(D888="Líder",
      INDEX(ZACATECAS!E:E, MATCH(C888, ZACATECAS!F:F, 0)),
      INDEX(ZACATECAS!H:H, MATCH(C888, ZACATECAS!J:J, 0))
   ),
"")</f>
        <v>32108864</v>
      </c>
    </row>
    <row r="889" spans="1:5" x14ac:dyDescent="0.3">
      <c r="A889" t="s">
        <v>363</v>
      </c>
      <c r="B889" t="s">
        <v>1291</v>
      </c>
      <c r="C889" t="s">
        <v>1312</v>
      </c>
      <c r="D889" t="s">
        <v>2369</v>
      </c>
      <c r="E889">
        <f>IFERROR(
   IF(D889="Líder",
      INDEX(ZACATECAS!E:E, MATCH(C889, ZACATECAS!F:F, 0)),
      INDEX(ZACATECAS!H:H, MATCH(C889, ZACATECAS!J:J, 0))
   ),
"")</f>
        <v>32142988</v>
      </c>
    </row>
    <row r="890" spans="1:5" x14ac:dyDescent="0.3">
      <c r="A890" t="s">
        <v>363</v>
      </c>
      <c r="B890" t="s">
        <v>1291</v>
      </c>
      <c r="C890" t="s">
        <v>1294</v>
      </c>
      <c r="D890" t="s">
        <v>2369</v>
      </c>
      <c r="E890">
        <f>IFERROR(
   IF(D890="Líder",
      INDEX(ZACATECAS!E:E, MATCH(C890, ZACATECAS!F:F, 0)),
      INDEX(ZACATECAS!H:H, MATCH(C890, ZACATECAS!J:J, 0))
   ),
"")</f>
        <v>32045021</v>
      </c>
    </row>
    <row r="891" spans="1:5" x14ac:dyDescent="0.3">
      <c r="A891" t="s">
        <v>363</v>
      </c>
      <c r="B891" t="s">
        <v>1291</v>
      </c>
      <c r="C891" t="s">
        <v>1301</v>
      </c>
      <c r="D891" t="s">
        <v>2369</v>
      </c>
      <c r="E891">
        <f>IFERROR(
   IF(D891="Líder",
      INDEX(ZACATECAS!E:E, MATCH(C891, ZACATECAS!F:F, 0)),
      INDEX(ZACATECAS!H:H, MATCH(C891, ZACATECAS!J:J, 0))
   ),
"")</f>
        <v>32045364</v>
      </c>
    </row>
    <row r="892" spans="1:5" x14ac:dyDescent="0.3">
      <c r="A892" t="s">
        <v>363</v>
      </c>
      <c r="B892" t="s">
        <v>1291</v>
      </c>
      <c r="C892" t="s">
        <v>1296</v>
      </c>
      <c r="D892" t="s">
        <v>2369</v>
      </c>
      <c r="E892">
        <f>IFERROR(
   IF(D892="Líder",
      INDEX(ZACATECAS!E:E, MATCH(C892, ZACATECAS!F:F, 0)),
      INDEX(ZACATECAS!H:H, MATCH(C892, ZACATECAS!J:J, 0))
   ),
"")</f>
        <v>32045059</v>
      </c>
    </row>
    <row r="893" spans="1:5" x14ac:dyDescent="0.3">
      <c r="A893" t="s">
        <v>363</v>
      </c>
      <c r="B893" t="s">
        <v>1291</v>
      </c>
      <c r="C893" t="s">
        <v>1298</v>
      </c>
      <c r="D893" t="s">
        <v>2369</v>
      </c>
      <c r="E893">
        <f>IFERROR(
   IF(D893="Líder",
      INDEX(ZACATECAS!E:E, MATCH(C893, ZACATECAS!F:F, 0)),
      INDEX(ZACATECAS!H:H, MATCH(C893, ZACATECAS!J:J, 0))
   ),
"")</f>
        <v>32045060</v>
      </c>
    </row>
    <row r="894" spans="1:5" x14ac:dyDescent="0.3">
      <c r="A894" t="s">
        <v>363</v>
      </c>
      <c r="B894" t="s">
        <v>1291</v>
      </c>
      <c r="C894" t="s">
        <v>1306</v>
      </c>
      <c r="D894" t="s">
        <v>2369</v>
      </c>
      <c r="E894">
        <f>IFERROR(
   IF(D894="Líder",
      INDEX(ZACATECAS!E:E, MATCH(C894, ZACATECAS!F:F, 0)),
      INDEX(ZACATECAS!H:H, MATCH(C894, ZACATECAS!J:J, 0))
   ),
"")</f>
        <v>32046316</v>
      </c>
    </row>
    <row r="895" spans="1:5" x14ac:dyDescent="0.3">
      <c r="A895" t="s">
        <v>363</v>
      </c>
      <c r="B895" t="s">
        <v>1291</v>
      </c>
      <c r="C895" t="s">
        <v>1308</v>
      </c>
      <c r="D895" t="s">
        <v>2369</v>
      </c>
      <c r="E895">
        <f>IFERROR(
   IF(D895="Líder",
      INDEX(ZACATECAS!E:E, MATCH(C895, ZACATECAS!F:F, 0)),
      INDEX(ZACATECAS!H:H, MATCH(C895, ZACATECAS!J:J, 0))
   ),
"")</f>
        <v>32061304</v>
      </c>
    </row>
    <row r="896" spans="1:5" x14ac:dyDescent="0.3">
      <c r="A896" t="s">
        <v>363</v>
      </c>
      <c r="B896" t="s">
        <v>1291</v>
      </c>
      <c r="C896" t="s">
        <v>1316</v>
      </c>
      <c r="D896" t="s">
        <v>2369</v>
      </c>
      <c r="E896">
        <f>IFERROR(
   IF(D896="Líder",
      INDEX(ZACATECAS!E:E, MATCH(C896, ZACATECAS!F:F, 0)),
      INDEX(ZACATECAS!H:H, MATCH(C896, ZACATECAS!J:J, 0))
   ),
"")</f>
        <v>32149074</v>
      </c>
    </row>
    <row r="897" spans="1:5" x14ac:dyDescent="0.3">
      <c r="A897" t="s">
        <v>363</v>
      </c>
      <c r="B897" t="s">
        <v>816</v>
      </c>
      <c r="C897" t="s">
        <v>839</v>
      </c>
      <c r="D897" t="s">
        <v>2369</v>
      </c>
      <c r="E897">
        <f>IFERROR(
   IF(D897="Líder",
      INDEX(ZACATECAS!E:E, MATCH(C897, ZACATECAS!F:F, 0)),
      INDEX(ZACATECAS!H:H, MATCH(C897, ZACATECAS!J:J, 0))
   ),
"")</f>
        <v>32143273</v>
      </c>
    </row>
    <row r="898" spans="1:5" x14ac:dyDescent="0.3">
      <c r="A898" t="s">
        <v>363</v>
      </c>
      <c r="B898" t="s">
        <v>816</v>
      </c>
      <c r="C898" t="s">
        <v>821</v>
      </c>
      <c r="D898" t="s">
        <v>2369</v>
      </c>
      <c r="E898">
        <f>IFERROR(
   IF(D898="Líder",
      INDEX(ZACATECAS!E:E, MATCH(C898, ZACATECAS!F:F, 0)),
      INDEX(ZACATECAS!H:H, MATCH(C898, ZACATECAS!J:J, 0))
   ),
"")</f>
        <v>32044705</v>
      </c>
    </row>
    <row r="899" spans="1:5" x14ac:dyDescent="0.3">
      <c r="A899" t="s">
        <v>363</v>
      </c>
      <c r="B899" t="s">
        <v>816</v>
      </c>
      <c r="C899" t="s">
        <v>844</v>
      </c>
      <c r="D899" t="s">
        <v>2369</v>
      </c>
      <c r="E899">
        <f>IFERROR(
   IF(D899="Líder",
      INDEX(ZACATECAS!E:E, MATCH(C899, ZACATECAS!F:F, 0)),
      INDEX(ZACATECAS!H:H, MATCH(C899, ZACATECAS!J:J, 0))
   ),
"")</f>
        <v>32171438</v>
      </c>
    </row>
    <row r="900" spans="1:5" x14ac:dyDescent="0.3">
      <c r="A900" t="s">
        <v>363</v>
      </c>
      <c r="B900" t="s">
        <v>816</v>
      </c>
      <c r="C900" t="s">
        <v>833</v>
      </c>
      <c r="D900" t="s">
        <v>2369</v>
      </c>
      <c r="E900">
        <f>IFERROR(
   IF(D900="Líder",
      INDEX(ZACATECAS!E:E, MATCH(C900, ZACATECAS!F:F, 0)),
      INDEX(ZACATECAS!H:H, MATCH(C900, ZACATECAS!J:J, 0))
   ),
"")</f>
        <v>32067362</v>
      </c>
    </row>
    <row r="901" spans="1:5" x14ac:dyDescent="0.3">
      <c r="A901" t="s">
        <v>363</v>
      </c>
      <c r="B901" t="s">
        <v>816</v>
      </c>
      <c r="C901" t="s">
        <v>837</v>
      </c>
      <c r="D901" t="s">
        <v>2369</v>
      </c>
      <c r="E901">
        <f>IFERROR(
   IF(D901="Líder",
      INDEX(ZACATECAS!E:E, MATCH(C901, ZACATECAS!F:F, 0)),
      INDEX(ZACATECAS!H:H, MATCH(C901, ZACATECAS!J:J, 0))
   ),
"")</f>
        <v>32143044</v>
      </c>
    </row>
    <row r="902" spans="1:5" x14ac:dyDescent="0.3">
      <c r="A902" t="s">
        <v>363</v>
      </c>
      <c r="B902" t="s">
        <v>816</v>
      </c>
      <c r="C902" t="s">
        <v>846</v>
      </c>
      <c r="D902" t="s">
        <v>2369</v>
      </c>
      <c r="E902">
        <f>IFERROR(
   IF(D902="Líder",
      INDEX(ZACATECAS!E:E, MATCH(C902, ZACATECAS!F:F, 0)),
      INDEX(ZACATECAS!H:H, MATCH(C902, ZACATECAS!J:J, 0))
   ),
"")</f>
        <v>32202291</v>
      </c>
    </row>
    <row r="903" spans="1:5" x14ac:dyDescent="0.3">
      <c r="A903" t="s">
        <v>363</v>
      </c>
      <c r="B903" t="s">
        <v>816</v>
      </c>
      <c r="C903" t="s">
        <v>829</v>
      </c>
      <c r="D903" t="s">
        <v>2369</v>
      </c>
      <c r="E903">
        <f>IFERROR(
   IF(D903="Líder",
      INDEX(ZACATECAS!E:E, MATCH(C903, ZACATECAS!F:F, 0)),
      INDEX(ZACATECAS!H:H, MATCH(C903, ZACATECAS!J:J, 0))
   ),
"")</f>
        <v>32046234</v>
      </c>
    </row>
    <row r="904" spans="1:5" x14ac:dyDescent="0.3">
      <c r="A904" t="s">
        <v>363</v>
      </c>
      <c r="B904" t="s">
        <v>816</v>
      </c>
      <c r="C904" t="s">
        <v>842</v>
      </c>
      <c r="D904" t="s">
        <v>2369</v>
      </c>
      <c r="E904">
        <f>IFERROR(
   IF(D904="Líder",
      INDEX(ZACATECAS!E:E, MATCH(C904, ZACATECAS!F:F, 0)),
      INDEX(ZACATECAS!H:H, MATCH(C904, ZACATECAS!J:J, 0))
   ),
"")</f>
        <v>32171437</v>
      </c>
    </row>
    <row r="905" spans="1:5" x14ac:dyDescent="0.3">
      <c r="A905" t="s">
        <v>363</v>
      </c>
      <c r="B905" t="s">
        <v>816</v>
      </c>
      <c r="C905" t="s">
        <v>823</v>
      </c>
      <c r="D905" t="s">
        <v>2369</v>
      </c>
      <c r="E905">
        <f>IFERROR(
   IF(D905="Líder",
      INDEX(ZACATECAS!E:E, MATCH(C905, ZACATECAS!F:F, 0)),
      INDEX(ZACATECAS!H:H, MATCH(C905, ZACATECAS!J:J, 0))
   ),
"")</f>
        <v>32045074</v>
      </c>
    </row>
    <row r="906" spans="1:5" x14ac:dyDescent="0.3">
      <c r="A906" t="s">
        <v>363</v>
      </c>
      <c r="B906" t="s">
        <v>816</v>
      </c>
      <c r="C906" t="s">
        <v>841</v>
      </c>
      <c r="D906" t="s">
        <v>2369</v>
      </c>
      <c r="E906">
        <f>IFERROR(
   IF(D906="Líder",
      INDEX(ZACATECAS!E:E, MATCH(C906, ZACATECAS!F:F, 0)),
      INDEX(ZACATECAS!H:H, MATCH(C906, ZACATECAS!J:J, 0))
   ),
"")</f>
        <v>32154115</v>
      </c>
    </row>
    <row r="907" spans="1:5" x14ac:dyDescent="0.3">
      <c r="A907" t="s">
        <v>363</v>
      </c>
      <c r="B907" t="s">
        <v>816</v>
      </c>
      <c r="C907" t="s">
        <v>825</v>
      </c>
      <c r="D907" t="s">
        <v>2369</v>
      </c>
      <c r="E907">
        <f>IFERROR(
   IF(D907="Líder",
      INDEX(ZACATECAS!E:E, MATCH(C907, ZACATECAS!F:F, 0)),
      INDEX(ZACATECAS!H:H, MATCH(C907, ZACATECAS!J:J, 0))
   ),
"")</f>
        <v>32045584</v>
      </c>
    </row>
    <row r="908" spans="1:5" x14ac:dyDescent="0.3">
      <c r="A908" t="s">
        <v>363</v>
      </c>
      <c r="B908" t="s">
        <v>816</v>
      </c>
      <c r="C908" t="s">
        <v>827</v>
      </c>
      <c r="D908" t="s">
        <v>2369</v>
      </c>
      <c r="E908">
        <f>IFERROR(
   IF(D908="Líder",
      INDEX(ZACATECAS!E:E, MATCH(C908, ZACATECAS!F:F, 0)),
      INDEX(ZACATECAS!H:H, MATCH(C908, ZACATECAS!J:J, 0))
   ),
"")</f>
        <v>32046011</v>
      </c>
    </row>
    <row r="909" spans="1:5" x14ac:dyDescent="0.3">
      <c r="A909" t="s">
        <v>363</v>
      </c>
      <c r="B909" t="s">
        <v>816</v>
      </c>
      <c r="C909" t="s">
        <v>835</v>
      </c>
      <c r="D909" t="s">
        <v>2369</v>
      </c>
      <c r="E909">
        <f>IFERROR(
   IF(D909="Líder",
      INDEX(ZACATECAS!E:E, MATCH(C909, ZACATECAS!F:F, 0)),
      INDEX(ZACATECAS!H:H, MATCH(C909, ZACATECAS!J:J, 0))
   ),
"")</f>
        <v>32110718</v>
      </c>
    </row>
    <row r="910" spans="1:5" x14ac:dyDescent="0.3">
      <c r="A910" t="s">
        <v>363</v>
      </c>
      <c r="B910" t="s">
        <v>816</v>
      </c>
      <c r="C910" t="s">
        <v>831</v>
      </c>
      <c r="D910" t="s">
        <v>2369</v>
      </c>
      <c r="E910">
        <f>IFERROR(
   IF(D910="Líder",
      INDEX(ZACATECAS!E:E, MATCH(C910, ZACATECAS!F:F, 0)),
      INDEX(ZACATECAS!H:H, MATCH(C910, ZACATECAS!J:J, 0))
   ),
"")</f>
        <v>32046441</v>
      </c>
    </row>
    <row r="911" spans="1:5" x14ac:dyDescent="0.3">
      <c r="A911" t="s">
        <v>363</v>
      </c>
      <c r="B911" t="s">
        <v>816</v>
      </c>
      <c r="C911" t="s">
        <v>819</v>
      </c>
      <c r="D911" t="s">
        <v>2369</v>
      </c>
      <c r="E911">
        <f>IFERROR(
   IF(D911="Líder",
      INDEX(ZACATECAS!E:E, MATCH(C911, ZACATECAS!F:F, 0)),
      INDEX(ZACATECAS!H:H, MATCH(C911, ZACATECAS!J:J, 0))
   ),
"")</f>
        <v>32044100</v>
      </c>
    </row>
    <row r="912" spans="1:5" x14ac:dyDescent="0.3">
      <c r="A912" t="s">
        <v>2127</v>
      </c>
      <c r="B912" t="s">
        <v>2264</v>
      </c>
      <c r="C912" t="s">
        <v>2272</v>
      </c>
      <c r="D912" t="s">
        <v>2369</v>
      </c>
      <c r="E912">
        <f>IFERROR(
   IF(D912="Líder",
      INDEX(ZACATECAS!E:E, MATCH(C912, ZACATECAS!F:F, 0)),
      INDEX(ZACATECAS!H:H, MATCH(C912, ZACATECAS!J:J, 0))
   ),
"")</f>
        <v>32137944</v>
      </c>
    </row>
    <row r="913" spans="1:5" x14ac:dyDescent="0.3">
      <c r="A913" t="s">
        <v>2127</v>
      </c>
      <c r="B913" t="s">
        <v>2264</v>
      </c>
      <c r="C913" t="s">
        <v>2266</v>
      </c>
      <c r="D913" t="s">
        <v>2369</v>
      </c>
      <c r="E913">
        <f>IFERROR(
   IF(D913="Líder",
      INDEX(ZACATECAS!E:E, MATCH(C913, ZACATECAS!F:F, 0)),
      INDEX(ZACATECAS!H:H, MATCH(C913, ZACATECAS!J:J, 0))
   ),
"")</f>
        <v>32045518</v>
      </c>
    </row>
    <row r="914" spans="1:5" x14ac:dyDescent="0.3">
      <c r="A914" t="s">
        <v>2127</v>
      </c>
      <c r="B914" t="s">
        <v>2264</v>
      </c>
      <c r="C914" t="s">
        <v>2269</v>
      </c>
      <c r="D914" t="s">
        <v>2369</v>
      </c>
      <c r="E914">
        <f>IFERROR(
   IF(D914="Líder",
      INDEX(ZACATECAS!E:E, MATCH(C914, ZACATECAS!F:F, 0)),
      INDEX(ZACATECAS!H:H, MATCH(C914, ZACATECAS!J:J, 0))
   ),
"")</f>
        <v>32044297</v>
      </c>
    </row>
    <row r="915" spans="1:5" x14ac:dyDescent="0.3">
      <c r="A915" t="s">
        <v>2127</v>
      </c>
      <c r="B915" t="s">
        <v>2264</v>
      </c>
      <c r="C915" t="s">
        <v>2267</v>
      </c>
      <c r="D915" t="s">
        <v>2369</v>
      </c>
      <c r="E915">
        <f>IFERROR(
   IF(D915="Líder",
      INDEX(ZACATECAS!E:E, MATCH(C915, ZACATECAS!F:F, 0)),
      INDEX(ZACATECAS!H:H, MATCH(C915, ZACATECAS!J:J, 0))
   ),
"")</f>
        <v>32045905</v>
      </c>
    </row>
    <row r="916" spans="1:5" x14ac:dyDescent="0.3">
      <c r="A916" t="s">
        <v>2127</v>
      </c>
      <c r="B916" t="s">
        <v>2264</v>
      </c>
      <c r="C916" t="s">
        <v>2271</v>
      </c>
      <c r="D916" t="s">
        <v>2369</v>
      </c>
      <c r="E916">
        <f>IFERROR(
   IF(D916="Líder",
      INDEX(ZACATECAS!E:E, MATCH(C916, ZACATECAS!F:F, 0)),
      INDEX(ZACATECAS!H:H, MATCH(C916, ZACATECAS!J:J, 0))
   ),
"")</f>
        <v>32044401</v>
      </c>
    </row>
    <row r="917" spans="1:5" x14ac:dyDescent="0.3">
      <c r="A917" t="s">
        <v>2127</v>
      </c>
      <c r="B917" t="s">
        <v>2264</v>
      </c>
      <c r="C917" t="s">
        <v>2270</v>
      </c>
      <c r="D917" t="s">
        <v>2369</v>
      </c>
      <c r="E917">
        <f>IFERROR(
   IF(D917="Líder",
      INDEX(ZACATECAS!E:E, MATCH(C917, ZACATECAS!F:F, 0)),
      INDEX(ZACATECAS!H:H, MATCH(C917, ZACATECAS!J:J, 0))
   ),
"")</f>
        <v>32072230</v>
      </c>
    </row>
    <row r="918" spans="1:5" x14ac:dyDescent="0.3">
      <c r="A918" t="s">
        <v>2127</v>
      </c>
      <c r="B918" t="s">
        <v>2264</v>
      </c>
      <c r="C918" t="s">
        <v>2277</v>
      </c>
      <c r="D918" t="s">
        <v>2369</v>
      </c>
      <c r="E918">
        <f>IFERROR(
   IF(D918="Líder",
      INDEX(ZACATECAS!E:E, MATCH(C918, ZACATECAS!F:F, 0)),
      INDEX(ZACATECAS!H:H, MATCH(C918, ZACATECAS!J:J, 0))
   ),
"")</f>
        <v>32146000</v>
      </c>
    </row>
    <row r="919" spans="1:5" x14ac:dyDescent="0.3">
      <c r="A919" t="s">
        <v>363</v>
      </c>
      <c r="B919" t="s">
        <v>1503</v>
      </c>
      <c r="C919" t="s">
        <v>1519</v>
      </c>
      <c r="D919" t="s">
        <v>2369</v>
      </c>
      <c r="E919">
        <f>IFERROR(
   IF(D919="Líder",
      INDEX(ZACATECAS!E:E, MATCH(C919, ZACATECAS!F:F, 0)),
      INDEX(ZACATECAS!H:H, MATCH(C919, ZACATECAS!J:J, 0))
   ),
"")</f>
        <v>32132238</v>
      </c>
    </row>
    <row r="920" spans="1:5" x14ac:dyDescent="0.3">
      <c r="A920" t="s">
        <v>363</v>
      </c>
      <c r="B920" t="s">
        <v>1503</v>
      </c>
      <c r="C920" t="s">
        <v>1515</v>
      </c>
      <c r="D920" t="s">
        <v>2369</v>
      </c>
      <c r="E920">
        <f>IFERROR(
   IF(D920="Líder",
      INDEX(ZACATECAS!E:E, MATCH(C920, ZACATECAS!F:F, 0)),
      INDEX(ZACATECAS!H:H, MATCH(C920, ZACATECAS!J:J, 0))
   ),
"")</f>
        <v>32046570</v>
      </c>
    </row>
    <row r="921" spans="1:5" x14ac:dyDescent="0.3">
      <c r="A921" t="s">
        <v>363</v>
      </c>
      <c r="B921" t="s">
        <v>1503</v>
      </c>
      <c r="C921" t="s">
        <v>1521</v>
      </c>
      <c r="D921" t="s">
        <v>2369</v>
      </c>
      <c r="E921">
        <f>IFERROR(
   IF(D921="Líder",
      INDEX(ZACATECAS!E:E, MATCH(C921, ZACATECAS!F:F, 0)),
      INDEX(ZACATECAS!H:H, MATCH(C921, ZACATECAS!J:J, 0))
   ),
"")</f>
        <v>32139710</v>
      </c>
    </row>
    <row r="922" spans="1:5" x14ac:dyDescent="0.3">
      <c r="A922" t="s">
        <v>363</v>
      </c>
      <c r="B922" t="s">
        <v>1503</v>
      </c>
      <c r="C922" t="s">
        <v>1510</v>
      </c>
      <c r="D922" t="s">
        <v>2369</v>
      </c>
      <c r="E922">
        <f>IFERROR(
   IF(D922="Líder",
      INDEX(ZACATECAS!E:E, MATCH(C922, ZACATECAS!F:F, 0)),
      INDEX(ZACATECAS!H:H, MATCH(C922, ZACATECAS!J:J, 0))
   ),
"")</f>
        <v>32044873</v>
      </c>
    </row>
    <row r="923" spans="1:5" x14ac:dyDescent="0.3">
      <c r="A923" t="s">
        <v>363</v>
      </c>
      <c r="B923" t="s">
        <v>1503</v>
      </c>
      <c r="C923" t="s">
        <v>1512</v>
      </c>
      <c r="D923" t="s">
        <v>2369</v>
      </c>
      <c r="E923">
        <f>IFERROR(
   IF(D923="Líder",
      INDEX(ZACATECAS!E:E, MATCH(C923, ZACATECAS!F:F, 0)),
      INDEX(ZACATECAS!H:H, MATCH(C923, ZACATECAS!J:J, 0))
   ),
"")</f>
        <v>32046248</v>
      </c>
    </row>
    <row r="924" spans="1:5" x14ac:dyDescent="0.3">
      <c r="A924" t="s">
        <v>363</v>
      </c>
      <c r="B924" t="s">
        <v>1503</v>
      </c>
      <c r="C924" t="s">
        <v>1506</v>
      </c>
      <c r="D924" t="s">
        <v>2369</v>
      </c>
      <c r="E924">
        <f>IFERROR(
   IF(D924="Líder",
      INDEX(ZACATECAS!E:E, MATCH(C924, ZACATECAS!F:F, 0)),
      INDEX(ZACATECAS!H:H, MATCH(C924, ZACATECAS!J:J, 0))
   ),
"")</f>
        <v>32044082</v>
      </c>
    </row>
    <row r="925" spans="1:5" x14ac:dyDescent="0.3">
      <c r="A925" t="s">
        <v>363</v>
      </c>
      <c r="B925" t="s">
        <v>1503</v>
      </c>
      <c r="C925" t="s">
        <v>1517</v>
      </c>
      <c r="D925" t="s">
        <v>2369</v>
      </c>
      <c r="E925">
        <f>IFERROR(
   IF(D925="Líder",
      INDEX(ZACATECAS!E:E, MATCH(C925, ZACATECAS!F:F, 0)),
      INDEX(ZACATECAS!H:H, MATCH(C925, ZACATECAS!J:J, 0))
   ),
"")</f>
        <v>32132050</v>
      </c>
    </row>
    <row r="926" spans="1:5" x14ac:dyDescent="0.3">
      <c r="A926" t="s">
        <v>363</v>
      </c>
      <c r="B926" t="s">
        <v>1503</v>
      </c>
      <c r="C926" t="s">
        <v>1523</v>
      </c>
      <c r="D926" t="s">
        <v>2369</v>
      </c>
      <c r="E926">
        <f>IFERROR(
   IF(D926="Líder",
      INDEX(ZACATECAS!E:E, MATCH(C926, ZACATECAS!F:F, 0)),
      INDEX(ZACATECAS!H:H, MATCH(C926, ZACATECAS!J:J, 0))
   ),
"")</f>
        <v>32149250</v>
      </c>
    </row>
    <row r="927" spans="1:5" x14ac:dyDescent="0.3">
      <c r="A927" t="s">
        <v>363</v>
      </c>
      <c r="B927" t="s">
        <v>1503</v>
      </c>
      <c r="C927" t="s">
        <v>1527</v>
      </c>
      <c r="D927" t="s">
        <v>2369</v>
      </c>
      <c r="E927">
        <f>IFERROR(
   IF(D927="Líder",
      INDEX(ZACATECAS!E:E, MATCH(C927, ZACATECAS!F:F, 0)),
      INDEX(ZACATECAS!H:H, MATCH(C927, ZACATECAS!J:J, 0))
   ),
"")</f>
        <v>32197895</v>
      </c>
    </row>
    <row r="928" spans="1:5" x14ac:dyDescent="0.3">
      <c r="A928" t="s">
        <v>363</v>
      </c>
      <c r="B928" t="s">
        <v>1503</v>
      </c>
      <c r="C928" t="s">
        <v>1525</v>
      </c>
      <c r="D928" t="s">
        <v>2369</v>
      </c>
      <c r="E928">
        <f>IFERROR(
   IF(D928="Líder",
      INDEX(ZACATECAS!E:E, MATCH(C928, ZACATECAS!F:F, 0)),
      INDEX(ZACATECAS!H:H, MATCH(C928, ZACATECAS!J:J, 0))
   ),
"")</f>
        <v>32149861</v>
      </c>
    </row>
    <row r="929" spans="1:5" x14ac:dyDescent="0.3">
      <c r="A929" t="s">
        <v>363</v>
      </c>
      <c r="B929" t="s">
        <v>1503</v>
      </c>
      <c r="C929" t="s">
        <v>1508</v>
      </c>
      <c r="D929" t="s">
        <v>2369</v>
      </c>
      <c r="E929">
        <f>IFERROR(
   IF(D929="Líder",
      INDEX(ZACATECAS!E:E, MATCH(C929, ZACATECAS!F:F, 0)),
      INDEX(ZACATECAS!H:H, MATCH(C929, ZACATECAS!J:J, 0))
   ),
"")</f>
        <v>32044094</v>
      </c>
    </row>
    <row r="930" spans="1:5" x14ac:dyDescent="0.3">
      <c r="A930" t="s">
        <v>363</v>
      </c>
      <c r="B930" t="s">
        <v>1503</v>
      </c>
      <c r="C930" t="s">
        <v>1513</v>
      </c>
      <c r="D930" t="s">
        <v>2369</v>
      </c>
      <c r="E930">
        <f>IFERROR(
   IF(D930="Líder",
      INDEX(ZACATECAS!E:E, MATCH(C930, ZACATECAS!F:F, 0)),
      INDEX(ZACATECAS!H:H, MATCH(C930, ZACATECAS!J:J, 0))
   ),
"")</f>
        <v>32046391</v>
      </c>
    </row>
    <row r="931" spans="1:5" x14ac:dyDescent="0.3">
      <c r="A931" t="s">
        <v>363</v>
      </c>
      <c r="B931" t="s">
        <v>397</v>
      </c>
      <c r="C931" t="s">
        <v>400</v>
      </c>
      <c r="D931" t="s">
        <v>2369</v>
      </c>
      <c r="E931">
        <f>IFERROR(
   IF(D931="Líder",
      INDEX(ZACATECAS!E:E, MATCH(C931, ZACATECAS!F:F, 0)),
      INDEX(ZACATECAS!H:H, MATCH(C931, ZACATECAS!J:J, 0))
   ),
"")</f>
        <v>32046520</v>
      </c>
    </row>
    <row r="932" spans="1:5" x14ac:dyDescent="0.3">
      <c r="A932" t="s">
        <v>363</v>
      </c>
      <c r="B932" t="s">
        <v>397</v>
      </c>
      <c r="C932" t="s">
        <v>402</v>
      </c>
      <c r="D932" t="s">
        <v>2369</v>
      </c>
      <c r="E932">
        <f>IFERROR(
   IF(D932="Líder",
      INDEX(ZACATECAS!E:E, MATCH(C932, ZACATECAS!F:F, 0)),
      INDEX(ZACATECAS!H:H, MATCH(C932, ZACATECAS!J:J, 0))
   ),
"")</f>
        <v>32044863</v>
      </c>
    </row>
    <row r="933" spans="1:5" x14ac:dyDescent="0.3">
      <c r="A933" t="s">
        <v>363</v>
      </c>
      <c r="B933" t="s">
        <v>397</v>
      </c>
      <c r="C933" t="s">
        <v>2436</v>
      </c>
      <c r="D933" t="s">
        <v>2369</v>
      </c>
      <c r="E933" t="str">
        <f>IFERROR(
   IF(D933="Líder",
      INDEX(ZACATECAS!E:E, MATCH(C933, ZACATECAS!F:F, 0)),
      INDEX(ZACATECAS!H:H, MATCH(C933, ZACATECAS!J:J, 0))
   ),
"")</f>
        <v/>
      </c>
    </row>
    <row r="934" spans="1:5" x14ac:dyDescent="0.3">
      <c r="A934" t="s">
        <v>363</v>
      </c>
      <c r="B934" t="s">
        <v>397</v>
      </c>
      <c r="C934" t="s">
        <v>404</v>
      </c>
      <c r="D934" t="s">
        <v>2369</v>
      </c>
      <c r="E934">
        <f>IFERROR(
   IF(D934="Líder",
      INDEX(ZACATECAS!E:E, MATCH(C934, ZACATECAS!F:F, 0)),
      INDEX(ZACATECAS!H:H, MATCH(C934, ZACATECAS!J:J, 0))
   ),
"")</f>
        <v>32046582</v>
      </c>
    </row>
    <row r="935" spans="1:5" x14ac:dyDescent="0.3">
      <c r="A935" t="s">
        <v>363</v>
      </c>
      <c r="B935" t="s">
        <v>397</v>
      </c>
      <c r="C935" t="s">
        <v>406</v>
      </c>
      <c r="D935" t="s">
        <v>2369</v>
      </c>
      <c r="E935">
        <f>IFERROR(
   IF(D935="Líder",
      INDEX(ZACATECAS!E:E, MATCH(C935, ZACATECAS!F:F, 0)),
      INDEX(ZACATECAS!H:H, MATCH(C935, ZACATECAS!J:J, 0))
   ),
"")</f>
        <v>32045229</v>
      </c>
    </row>
    <row r="936" spans="1:5" x14ac:dyDescent="0.3">
      <c r="A936" t="s">
        <v>363</v>
      </c>
      <c r="B936" t="s">
        <v>397</v>
      </c>
      <c r="C936" t="s">
        <v>409</v>
      </c>
      <c r="D936" t="s">
        <v>2369</v>
      </c>
      <c r="E936">
        <f>IFERROR(
   IF(D936="Líder",
      INDEX(ZACATECAS!E:E, MATCH(C936, ZACATECAS!F:F, 0)),
      INDEX(ZACATECAS!H:H, MATCH(C936, ZACATECAS!J:J, 0))
   ),
"")</f>
        <v>32132064</v>
      </c>
    </row>
    <row r="937" spans="1:5" x14ac:dyDescent="0.3">
      <c r="A937" t="s">
        <v>263</v>
      </c>
      <c r="B937" t="s">
        <v>330</v>
      </c>
      <c r="C937" t="s">
        <v>333</v>
      </c>
      <c r="D937" t="s">
        <v>2369</v>
      </c>
      <c r="E937">
        <f>IFERROR(
   IF(D937="Líder",
      INDEX(ZACATECAS!E:E, MATCH(C937, ZACATECAS!F:F, 0)),
      INDEX(ZACATECAS!H:H, MATCH(C937, ZACATECAS!J:J, 0))
   ),
"")</f>
        <v>32202297</v>
      </c>
    </row>
    <row r="938" spans="1:5" x14ac:dyDescent="0.3">
      <c r="A938" t="s">
        <v>263</v>
      </c>
      <c r="B938" t="s">
        <v>330</v>
      </c>
      <c r="C938" t="s">
        <v>335</v>
      </c>
      <c r="D938" t="s">
        <v>2369</v>
      </c>
      <c r="E938">
        <f>IFERROR(
   IF(D938="Líder",
      INDEX(ZACATECAS!E:E, MATCH(C938, ZACATECAS!F:F, 0)),
      INDEX(ZACATECAS!H:H, MATCH(C938, ZACATECAS!J:J, 0))
   ),
"")</f>
        <v>32044037</v>
      </c>
    </row>
    <row r="939" spans="1:5" x14ac:dyDescent="0.3">
      <c r="A939" t="s">
        <v>263</v>
      </c>
      <c r="B939" t="s">
        <v>330</v>
      </c>
      <c r="C939" t="s">
        <v>337</v>
      </c>
      <c r="D939" t="s">
        <v>2369</v>
      </c>
      <c r="E939">
        <f>IFERROR(
   IF(D939="Líder",
      INDEX(ZACATECAS!E:E, MATCH(C939, ZACATECAS!F:F, 0)),
      INDEX(ZACATECAS!H:H, MATCH(C939, ZACATECAS!J:J, 0))
   ),
"")</f>
        <v>32044839</v>
      </c>
    </row>
    <row r="940" spans="1:5" x14ac:dyDescent="0.3">
      <c r="A940" t="s">
        <v>263</v>
      </c>
      <c r="B940" t="s">
        <v>330</v>
      </c>
      <c r="C940" t="s">
        <v>339</v>
      </c>
      <c r="D940" t="s">
        <v>2369</v>
      </c>
      <c r="E940">
        <f>IFERROR(
   IF(D940="Líder",
      INDEX(ZACATECAS!E:E, MATCH(C940, ZACATECAS!F:F, 0)),
      INDEX(ZACATECAS!H:H, MATCH(C940, ZACATECAS!J:J, 0))
   ),
"")</f>
        <v>32045510</v>
      </c>
    </row>
    <row r="941" spans="1:5" x14ac:dyDescent="0.3">
      <c r="A941" t="s">
        <v>263</v>
      </c>
      <c r="B941" t="s">
        <v>330</v>
      </c>
      <c r="C941" t="s">
        <v>341</v>
      </c>
      <c r="D941" t="s">
        <v>2369</v>
      </c>
      <c r="E941">
        <f>IFERROR(
   IF(D941="Líder",
      INDEX(ZACATECAS!E:E, MATCH(C941, ZACATECAS!F:F, 0)),
      INDEX(ZACATECAS!H:H, MATCH(C941, ZACATECAS!J:J, 0))
   ),
"")</f>
        <v>32045004</v>
      </c>
    </row>
    <row r="942" spans="1:5" x14ac:dyDescent="0.3">
      <c r="A942" t="s">
        <v>263</v>
      </c>
      <c r="B942" t="s">
        <v>330</v>
      </c>
      <c r="C942" t="s">
        <v>343</v>
      </c>
      <c r="D942" t="s">
        <v>2369</v>
      </c>
      <c r="E942">
        <f>IFERROR(
   IF(D942="Líder",
      INDEX(ZACATECAS!E:E, MATCH(C942, ZACATECAS!F:F, 0)),
      INDEX(ZACATECAS!H:H, MATCH(C942, ZACATECAS!J:J, 0))
   ),
"")</f>
        <v>32137247</v>
      </c>
    </row>
    <row r="943" spans="1:5" x14ac:dyDescent="0.3">
      <c r="A943" t="s">
        <v>263</v>
      </c>
      <c r="B943" t="s">
        <v>330</v>
      </c>
      <c r="C943" t="s">
        <v>345</v>
      </c>
      <c r="D943" t="s">
        <v>2369</v>
      </c>
      <c r="E943">
        <f>IFERROR(
   IF(D943="Líder",
      INDEX(ZACATECAS!E:E, MATCH(C943, ZACATECAS!F:F, 0)),
      INDEX(ZACATECAS!H:H, MATCH(C943, ZACATECAS!J:J, 0))
   ),
"")</f>
        <v>32197427</v>
      </c>
    </row>
    <row r="944" spans="1:5" x14ac:dyDescent="0.3">
      <c r="A944" t="s">
        <v>263</v>
      </c>
      <c r="B944" t="s">
        <v>330</v>
      </c>
      <c r="C944" t="s">
        <v>346</v>
      </c>
      <c r="D944" t="s">
        <v>2369</v>
      </c>
      <c r="E944">
        <f>IFERROR(
   IF(D944="Líder",
      INDEX(ZACATECAS!E:E, MATCH(C944, ZACATECAS!F:F, 0)),
      INDEX(ZACATECAS!H:H, MATCH(C944, ZACATECAS!J:J, 0))
   ),
"")</f>
        <v>32209189</v>
      </c>
    </row>
    <row r="945" spans="1:5" x14ac:dyDescent="0.3">
      <c r="A945" t="s">
        <v>263</v>
      </c>
      <c r="B945" t="s">
        <v>330</v>
      </c>
      <c r="C945" t="s">
        <v>348</v>
      </c>
      <c r="D945" t="s">
        <v>2369</v>
      </c>
      <c r="E945">
        <f>IFERROR(
   IF(D945="Líder",
      INDEX(ZACATECAS!E:E, MATCH(C945, ZACATECAS!F:F, 0)),
      INDEX(ZACATECAS!H:H, MATCH(C945, ZACATECAS!J:J, 0))
   ),
"")</f>
        <v>32045409</v>
      </c>
    </row>
    <row r="946" spans="1:5" x14ac:dyDescent="0.3">
      <c r="A946" t="s">
        <v>1584</v>
      </c>
      <c r="B946" t="s">
        <v>2361</v>
      </c>
      <c r="C946" t="s">
        <v>2437</v>
      </c>
      <c r="D946" t="s">
        <v>2369</v>
      </c>
      <c r="E946" t="str">
        <f>IFERROR(
   IF(D946="Líder",
      INDEX(ZACATECAS!E:E, MATCH(C946, ZACATECAS!F:F, 0)),
      INDEX(ZACATECAS!H:H, MATCH(C946, ZACATECAS!J:J, 0))
   ),
"")</f>
        <v/>
      </c>
    </row>
    <row r="947" spans="1:5" x14ac:dyDescent="0.3">
      <c r="A947" t="s">
        <v>1584</v>
      </c>
      <c r="B947" t="s">
        <v>2361</v>
      </c>
      <c r="C947" t="s">
        <v>1824</v>
      </c>
      <c r="D947" t="s">
        <v>2369</v>
      </c>
      <c r="E947">
        <f>IFERROR(
   IF(D947="Líder",
      INDEX(ZACATECAS!E:E, MATCH(C947, ZACATECAS!F:F, 0)),
      INDEX(ZACATECAS!H:H, MATCH(C947, ZACATECAS!J:J, 0))
   ),
"")</f>
        <v>32044587</v>
      </c>
    </row>
    <row r="948" spans="1:5" x14ac:dyDescent="0.3">
      <c r="A948" t="s">
        <v>1584</v>
      </c>
      <c r="B948" t="s">
        <v>2361</v>
      </c>
      <c r="C948" t="s">
        <v>1666</v>
      </c>
      <c r="D948" t="s">
        <v>2369</v>
      </c>
      <c r="E948">
        <f>IFERROR(
   IF(D948="Líder",
      INDEX(ZACATECAS!E:E, MATCH(C948, ZACATECAS!F:F, 0)),
      INDEX(ZACATECAS!H:H, MATCH(C948, ZACATECAS!J:J, 0))
   ),
"")</f>
        <v>32044359</v>
      </c>
    </row>
    <row r="949" spans="1:5" x14ac:dyDescent="0.3">
      <c r="A949" t="s">
        <v>1584</v>
      </c>
      <c r="B949" t="s">
        <v>2361</v>
      </c>
      <c r="C949" t="s">
        <v>1664</v>
      </c>
      <c r="D949" t="s">
        <v>2369</v>
      </c>
      <c r="E949">
        <f>IFERROR(
   IF(D949="Líder",
      INDEX(ZACATECAS!E:E, MATCH(C949, ZACATECAS!F:F, 0)),
      INDEX(ZACATECAS!H:H, MATCH(C949, ZACATECAS!J:J, 0))
   ),
"")</f>
        <v>32046276</v>
      </c>
    </row>
    <row r="950" spans="1:5" x14ac:dyDescent="0.3">
      <c r="A950" t="s">
        <v>1584</v>
      </c>
      <c r="B950" t="s">
        <v>2361</v>
      </c>
      <c r="C950" t="s">
        <v>1661</v>
      </c>
      <c r="D950" t="s">
        <v>2369</v>
      </c>
      <c r="E950">
        <f>IFERROR(
   IF(D950="Líder",
      INDEX(ZACATECAS!E:E, MATCH(C950, ZACATECAS!F:F, 0)),
      INDEX(ZACATECAS!H:H, MATCH(C950, ZACATECAS!J:J, 0))
   ),
"")</f>
        <v>32057882</v>
      </c>
    </row>
    <row r="951" spans="1:5" x14ac:dyDescent="0.3">
      <c r="A951" t="s">
        <v>1584</v>
      </c>
      <c r="B951" t="s">
        <v>2361</v>
      </c>
      <c r="C951" t="s">
        <v>2438</v>
      </c>
      <c r="D951" t="s">
        <v>2369</v>
      </c>
      <c r="E951" t="str">
        <f>IFERROR(
   IF(D951="Líder",
      INDEX(ZACATECAS!E:E, MATCH(C951, ZACATECAS!F:F, 0)),
      INDEX(ZACATECAS!H:H, MATCH(C951, ZACATECAS!J:J, 0))
   ),
"")</f>
        <v/>
      </c>
    </row>
    <row r="952" spans="1:5" x14ac:dyDescent="0.3">
      <c r="A952" t="s">
        <v>1584</v>
      </c>
      <c r="B952" t="s">
        <v>2361</v>
      </c>
      <c r="C952" t="s">
        <v>2439</v>
      </c>
      <c r="D952" t="s">
        <v>2369</v>
      </c>
      <c r="E952" t="str">
        <f>IFERROR(
   IF(D952="Líder",
      INDEX(ZACATECAS!E:E, MATCH(C952, ZACATECAS!F:F, 0)),
      INDEX(ZACATECAS!H:H, MATCH(C952, ZACATECAS!J:J, 0))
   ),
"")</f>
        <v/>
      </c>
    </row>
    <row r="953" spans="1:5" x14ac:dyDescent="0.3">
      <c r="A953" t="s">
        <v>1584</v>
      </c>
      <c r="B953" t="s">
        <v>2361</v>
      </c>
      <c r="C953" t="s">
        <v>2440</v>
      </c>
      <c r="D953" t="s">
        <v>2369</v>
      </c>
      <c r="E953" t="str">
        <f>IFERROR(
   IF(D953="Líder",
      INDEX(ZACATECAS!E:E, MATCH(C953, ZACATECAS!F:F, 0)),
      INDEX(ZACATECAS!H:H, MATCH(C953, ZACATECAS!J:J, 0))
   ),
"")</f>
        <v/>
      </c>
    </row>
    <row r="954" spans="1:5" x14ac:dyDescent="0.3">
      <c r="A954" t="s">
        <v>1584</v>
      </c>
      <c r="B954" t="s">
        <v>2361</v>
      </c>
      <c r="C954" t="s">
        <v>2441</v>
      </c>
      <c r="D954" t="s">
        <v>2369</v>
      </c>
      <c r="E954" t="str">
        <f>IFERROR(
   IF(D954="Líder",
      INDEX(ZACATECAS!E:E, MATCH(C954, ZACATECAS!F:F, 0)),
      INDEX(ZACATECAS!H:H, MATCH(C954, ZACATECAS!J:J, 0))
   ),
"")</f>
        <v/>
      </c>
    </row>
    <row r="955" spans="1:5" x14ac:dyDescent="0.3">
      <c r="A955" t="s">
        <v>28</v>
      </c>
      <c r="B955" t="s">
        <v>150</v>
      </c>
      <c r="C955" t="s">
        <v>154</v>
      </c>
      <c r="D955" t="s">
        <v>2369</v>
      </c>
      <c r="E955">
        <f>IFERROR(
   IF(D955="Líder",
      INDEX(ZACATECAS!E:E, MATCH(C955, ZACATECAS!F:F, 0)),
      INDEX(ZACATECAS!H:H, MATCH(C955, ZACATECAS!J:J, 0))
   ),
"")</f>
        <v>32132025</v>
      </c>
    </row>
    <row r="956" spans="1:5" x14ac:dyDescent="0.3">
      <c r="A956" t="s">
        <v>28</v>
      </c>
      <c r="B956" t="s">
        <v>150</v>
      </c>
      <c r="C956" t="s">
        <v>153</v>
      </c>
      <c r="D956" t="s">
        <v>2369</v>
      </c>
      <c r="E956">
        <f>IFERROR(
   IF(D956="Líder",
      INDEX(ZACATECAS!E:E, MATCH(C956, ZACATECAS!F:F, 0)),
      INDEX(ZACATECAS!H:H, MATCH(C956, ZACATECAS!J:J, 0))
   ),
"")</f>
        <v>32144777</v>
      </c>
    </row>
    <row r="957" spans="1:5" x14ac:dyDescent="0.3">
      <c r="A957" t="s">
        <v>28</v>
      </c>
      <c r="B957" t="s">
        <v>150</v>
      </c>
      <c r="C957" t="s">
        <v>156</v>
      </c>
      <c r="D957" t="s">
        <v>2369</v>
      </c>
      <c r="E957">
        <f>IFERROR(
   IF(D957="Líder",
      INDEX(ZACATECAS!E:E, MATCH(C957, ZACATECAS!F:F, 0)),
      INDEX(ZACATECAS!H:H, MATCH(C957, ZACATECAS!J:J, 0))
   ),
"")</f>
        <v>32044760</v>
      </c>
    </row>
    <row r="958" spans="1:5" x14ac:dyDescent="0.3">
      <c r="A958" t="s">
        <v>28</v>
      </c>
      <c r="B958" t="s">
        <v>150</v>
      </c>
      <c r="C958" t="s">
        <v>157</v>
      </c>
      <c r="D958" t="s">
        <v>2369</v>
      </c>
      <c r="E958">
        <f>IFERROR(
   IF(D958="Líder",
      INDEX(ZACATECAS!E:E, MATCH(C958, ZACATECAS!F:F, 0)),
      INDEX(ZACATECAS!H:H, MATCH(C958, ZACATECAS!J:J, 0))
   ),
"")</f>
        <v>32197834</v>
      </c>
    </row>
    <row r="959" spans="1:5" x14ac:dyDescent="0.3">
      <c r="A959" t="s">
        <v>28</v>
      </c>
      <c r="B959" t="s">
        <v>150</v>
      </c>
      <c r="C959" t="s">
        <v>2334</v>
      </c>
      <c r="D959" t="s">
        <v>2369</v>
      </c>
      <c r="E959" t="str">
        <f>IFERROR(
   IF(D959="Líder",
      INDEX(ZACATECAS!E:E, MATCH(C959, ZACATECAS!F:F, 0)),
      INDEX(ZACATECAS!H:H, MATCH(C959, ZACATECAS!J:J, 0))
   ),
"")</f>
        <v/>
      </c>
    </row>
    <row r="960" spans="1:5" x14ac:dyDescent="0.3">
      <c r="A960" t="s">
        <v>28</v>
      </c>
      <c r="B960" t="s">
        <v>150</v>
      </c>
      <c r="C960" t="s">
        <v>161</v>
      </c>
      <c r="D960" t="s">
        <v>2369</v>
      </c>
      <c r="E960">
        <f>IFERROR(
   IF(D960="Líder",
      INDEX(ZACATECAS!E:E, MATCH(C960, ZACATECAS!F:F, 0)),
      INDEX(ZACATECAS!H:H, MATCH(C960, ZACATECAS!J:J, 0))
   ),
"")</f>
        <v>32045149</v>
      </c>
    </row>
    <row r="961" spans="1:5" x14ac:dyDescent="0.3">
      <c r="A961" t="s">
        <v>263</v>
      </c>
      <c r="B961" t="s">
        <v>350</v>
      </c>
      <c r="C961" t="s">
        <v>353</v>
      </c>
      <c r="D961" t="s">
        <v>2369</v>
      </c>
      <c r="E961">
        <f>IFERROR(
   IF(D961="Líder",
      INDEX(ZACATECAS!E:E, MATCH(C961, ZACATECAS!F:F, 0)),
      INDEX(ZACATECAS!H:H, MATCH(C961, ZACATECAS!J:J, 0))
   ),
"")</f>
        <v>32148846</v>
      </c>
    </row>
    <row r="962" spans="1:5" x14ac:dyDescent="0.3">
      <c r="A962" t="s">
        <v>263</v>
      </c>
      <c r="B962" t="s">
        <v>350</v>
      </c>
      <c r="C962" t="s">
        <v>355</v>
      </c>
      <c r="D962" t="s">
        <v>2369</v>
      </c>
      <c r="E962">
        <f>IFERROR(
   IF(D962="Líder",
      INDEX(ZACATECAS!E:E, MATCH(C962, ZACATECAS!F:F, 0)),
      INDEX(ZACATECAS!H:H, MATCH(C962, ZACATECAS!J:J, 0))
   ),
"")</f>
        <v>32188007</v>
      </c>
    </row>
    <row r="963" spans="1:5" x14ac:dyDescent="0.3">
      <c r="A963" t="s">
        <v>263</v>
      </c>
      <c r="B963" t="s">
        <v>350</v>
      </c>
      <c r="C963" t="s">
        <v>357</v>
      </c>
      <c r="D963" t="s">
        <v>2369</v>
      </c>
      <c r="E963">
        <f>IFERROR(
   IF(D963="Líder",
      INDEX(ZACATECAS!E:E, MATCH(C963, ZACATECAS!F:F, 0)),
      INDEX(ZACATECAS!H:H, MATCH(C963, ZACATECAS!J:J, 0))
   ),
"")</f>
        <v>32132055</v>
      </c>
    </row>
    <row r="964" spans="1:5" x14ac:dyDescent="0.3">
      <c r="A964" t="s">
        <v>263</v>
      </c>
      <c r="B964" t="s">
        <v>350</v>
      </c>
      <c r="C964" t="s">
        <v>359</v>
      </c>
      <c r="D964" t="s">
        <v>2369</v>
      </c>
      <c r="E964">
        <f>IFERROR(
   IF(D964="Líder",
      INDEX(ZACATECAS!E:E, MATCH(C964, ZACATECAS!F:F, 0)),
      INDEX(ZACATECAS!H:H, MATCH(C964, ZACATECAS!J:J, 0))
   ),
"")</f>
        <v>32132194</v>
      </c>
    </row>
    <row r="965" spans="1:5" x14ac:dyDescent="0.3">
      <c r="A965" t="s">
        <v>263</v>
      </c>
      <c r="B965" t="s">
        <v>350</v>
      </c>
      <c r="C965" t="s">
        <v>361</v>
      </c>
      <c r="D965" t="s">
        <v>2369</v>
      </c>
      <c r="E965">
        <f>IFERROR(
   IF(D965="Líder",
      INDEX(ZACATECAS!E:E, MATCH(C965, ZACATECAS!F:F, 0)),
      INDEX(ZACATECAS!H:H, MATCH(C965, ZACATECAS!J:J, 0))
   ),
"")</f>
        <v>32177483</v>
      </c>
    </row>
    <row r="966" spans="1:5" x14ac:dyDescent="0.3">
      <c r="A966" t="s">
        <v>28</v>
      </c>
      <c r="B966" t="s">
        <v>164</v>
      </c>
      <c r="C966" t="s">
        <v>167</v>
      </c>
      <c r="D966" t="s">
        <v>2369</v>
      </c>
      <c r="E966">
        <f>IFERROR(
   IF(D966="Líder",
      INDEX(ZACATECAS!E:E, MATCH(C966, ZACATECAS!F:F, 0)),
      INDEX(ZACATECAS!H:H, MATCH(C966, ZACATECAS!J:J, 0))
   ),
"")</f>
        <v>32045952</v>
      </c>
    </row>
    <row r="967" spans="1:5" x14ac:dyDescent="0.3">
      <c r="A967" t="s">
        <v>28</v>
      </c>
      <c r="B967" t="s">
        <v>164</v>
      </c>
      <c r="C967" t="s">
        <v>169</v>
      </c>
      <c r="D967" t="s">
        <v>2369</v>
      </c>
      <c r="E967">
        <f>IFERROR(
   IF(D967="Líder",
      INDEX(ZACATECAS!E:E, MATCH(C967, ZACATECAS!F:F, 0)),
      INDEX(ZACATECAS!H:H, MATCH(C967, ZACATECAS!J:J, 0))
   ),
"")</f>
        <v>32044478</v>
      </c>
    </row>
    <row r="968" spans="1:5" x14ac:dyDescent="0.3">
      <c r="A968" t="s">
        <v>28</v>
      </c>
      <c r="B968" t="s">
        <v>164</v>
      </c>
      <c r="C968" t="s">
        <v>171</v>
      </c>
      <c r="D968" t="s">
        <v>2369</v>
      </c>
      <c r="E968">
        <f>IFERROR(
   IF(D968="Líder",
      INDEX(ZACATECAS!E:E, MATCH(C968, ZACATECAS!F:F, 0)),
      INDEX(ZACATECAS!H:H, MATCH(C968, ZACATECAS!J:J, 0))
   ),
"")</f>
        <v>32146005</v>
      </c>
    </row>
    <row r="969" spans="1:5" x14ac:dyDescent="0.3">
      <c r="A969" t="s">
        <v>28</v>
      </c>
      <c r="B969" t="s">
        <v>164</v>
      </c>
      <c r="C969" t="s">
        <v>173</v>
      </c>
      <c r="D969" t="s">
        <v>2369</v>
      </c>
      <c r="E969">
        <f>IFERROR(
   IF(D969="Líder",
      INDEX(ZACATECAS!E:E, MATCH(C969, ZACATECAS!F:F, 0)),
      INDEX(ZACATECAS!H:H, MATCH(C969, ZACATECAS!J:J, 0))
   ),
"")</f>
        <v>32219006</v>
      </c>
    </row>
    <row r="970" spans="1:5" x14ac:dyDescent="0.3">
      <c r="A970" t="s">
        <v>28</v>
      </c>
      <c r="B970" t="s">
        <v>164</v>
      </c>
      <c r="C970" t="s">
        <v>175</v>
      </c>
      <c r="D970" t="s">
        <v>2369</v>
      </c>
      <c r="E970">
        <f>IFERROR(
   IF(D970="Líder",
      INDEX(ZACATECAS!E:E, MATCH(C970, ZACATECAS!F:F, 0)),
      INDEX(ZACATECAS!H:H, MATCH(C970, ZACATECAS!J:J, 0))
   ),
"")</f>
        <v>32199794</v>
      </c>
    </row>
    <row r="971" spans="1:5" x14ac:dyDescent="0.3">
      <c r="A971" t="s">
        <v>28</v>
      </c>
      <c r="B971" t="s">
        <v>164</v>
      </c>
      <c r="C971" t="s">
        <v>177</v>
      </c>
      <c r="D971" t="s">
        <v>2369</v>
      </c>
      <c r="E971">
        <f>IFERROR(
   IF(D971="Líder",
      INDEX(ZACATECAS!E:E, MATCH(C971, ZACATECAS!F:F, 0)),
      INDEX(ZACATECAS!H:H, MATCH(C971, ZACATECAS!J:J, 0))
   ),
"")</f>
        <v>32045043</v>
      </c>
    </row>
    <row r="972" spans="1:5" x14ac:dyDescent="0.3">
      <c r="A972" t="s">
        <v>28</v>
      </c>
      <c r="B972" t="s">
        <v>164</v>
      </c>
      <c r="C972" t="s">
        <v>180</v>
      </c>
      <c r="D972" t="s">
        <v>2369</v>
      </c>
      <c r="E972">
        <f>IFERROR(
   IF(D972="Líder",
      INDEX(ZACATECAS!E:E, MATCH(C972, ZACATECAS!F:F, 0)),
      INDEX(ZACATECAS!H:H, MATCH(C972, ZACATECAS!J:J, 0))
   ),
"")</f>
        <v>32045769</v>
      </c>
    </row>
    <row r="973" spans="1:5" x14ac:dyDescent="0.3">
      <c r="A973" t="s">
        <v>28</v>
      </c>
      <c r="B973" t="s">
        <v>164</v>
      </c>
      <c r="C973" t="s">
        <v>182</v>
      </c>
      <c r="D973" t="s">
        <v>2369</v>
      </c>
      <c r="E973">
        <f>IFERROR(
   IF(D973="Líder",
      INDEX(ZACATECAS!E:E, MATCH(C973, ZACATECAS!F:F, 0)),
      INDEX(ZACATECAS!H:H, MATCH(C973, ZACATECAS!J:J, 0))
   ),
"")</f>
        <v>32044789</v>
      </c>
    </row>
    <row r="974" spans="1:5" x14ac:dyDescent="0.3">
      <c r="A974" t="s">
        <v>28</v>
      </c>
      <c r="B974" t="s">
        <v>164</v>
      </c>
      <c r="C974" t="s">
        <v>184</v>
      </c>
      <c r="D974" t="s">
        <v>2369</v>
      </c>
      <c r="E974">
        <f>IFERROR(
   IF(D974="Líder",
      INDEX(ZACATECAS!E:E, MATCH(C974, ZACATECAS!F:F, 0)),
      INDEX(ZACATECAS!H:H, MATCH(C974, ZACATECAS!J:J, 0))
   ),
"")</f>
        <v>32176714</v>
      </c>
    </row>
    <row r="975" spans="1:5" x14ac:dyDescent="0.3">
      <c r="A975" t="s">
        <v>28</v>
      </c>
      <c r="B975" t="s">
        <v>164</v>
      </c>
      <c r="C975" t="s">
        <v>186</v>
      </c>
      <c r="D975" t="s">
        <v>2369</v>
      </c>
      <c r="E975">
        <f>IFERROR(
   IF(D975="Líder",
      INDEX(ZACATECAS!E:E, MATCH(C975, ZACATECAS!F:F, 0)),
      INDEX(ZACATECAS!H:H, MATCH(C975, ZACATECAS!J:J, 0))
   ),
"")</f>
        <v>32044909</v>
      </c>
    </row>
    <row r="976" spans="1:5" x14ac:dyDescent="0.3">
      <c r="A976" t="s">
        <v>28</v>
      </c>
      <c r="B976" t="s">
        <v>164</v>
      </c>
      <c r="C976" t="s">
        <v>188</v>
      </c>
      <c r="D976" t="s">
        <v>2369</v>
      </c>
      <c r="E976">
        <f>IFERROR(
   IF(D976="Líder",
      INDEX(ZACATECAS!E:E, MATCH(C976, ZACATECAS!F:F, 0)),
      INDEX(ZACATECAS!H:H, MATCH(C976, ZACATECAS!J:J, 0))
   ),
"")</f>
        <v>32045106</v>
      </c>
    </row>
    <row r="977" spans="1:5" x14ac:dyDescent="0.3">
      <c r="A977" t="s">
        <v>28</v>
      </c>
      <c r="B977" t="s">
        <v>164</v>
      </c>
      <c r="C977" t="s">
        <v>192</v>
      </c>
      <c r="D977" t="s">
        <v>2369</v>
      </c>
      <c r="E977">
        <f>IFERROR(
   IF(D977="Líder",
      INDEX(ZACATECAS!E:E, MATCH(C977, ZACATECAS!F:F, 0)),
      INDEX(ZACATECAS!H:H, MATCH(C977, ZACATECAS!J:J, 0))
   ),
"")</f>
        <v>32043804</v>
      </c>
    </row>
    <row r="978" spans="1:5" x14ac:dyDescent="0.3">
      <c r="A978" t="s">
        <v>28</v>
      </c>
      <c r="B978" t="s">
        <v>164</v>
      </c>
      <c r="C978" t="s">
        <v>194</v>
      </c>
      <c r="D978" t="s">
        <v>2369</v>
      </c>
      <c r="E978">
        <f>IFERROR(
   IF(D978="Líder",
      INDEX(ZACATECAS!E:E, MATCH(C978, ZACATECAS!F:F, 0)),
      INDEX(ZACATECAS!H:H, MATCH(C978, ZACATECAS!J:J, 0))
   ),
"")</f>
        <v>32173447</v>
      </c>
    </row>
    <row r="979" spans="1:5" x14ac:dyDescent="0.3">
      <c r="A979" t="s">
        <v>1584</v>
      </c>
      <c r="B979" t="s">
        <v>2363</v>
      </c>
      <c r="C979" t="s">
        <v>2332</v>
      </c>
      <c r="D979" t="s">
        <v>2369</v>
      </c>
      <c r="E979" t="str">
        <f>IFERROR(
   IF(D979="Líder",
      INDEX(ZACATECAS!E:E, MATCH(C979, ZACATECAS!F:F, 0)),
      INDEX(ZACATECAS!H:H, MATCH(C979, ZACATECAS!J:J, 0))
   ),
"")</f>
        <v/>
      </c>
    </row>
    <row r="980" spans="1:5" x14ac:dyDescent="0.3">
      <c r="A980" t="s">
        <v>1584</v>
      </c>
      <c r="B980" t="s">
        <v>2363</v>
      </c>
      <c r="C980" t="s">
        <v>2442</v>
      </c>
      <c r="D980" t="s">
        <v>2369</v>
      </c>
      <c r="E980" t="str">
        <f>IFERROR(
   IF(D980="Líder",
      INDEX(ZACATECAS!E:E, MATCH(C980, ZACATECAS!F:F, 0)),
      INDEX(ZACATECAS!H:H, MATCH(C980, ZACATECAS!J:J, 0))
   ),
"")</f>
        <v/>
      </c>
    </row>
    <row r="981" spans="1:5" x14ac:dyDescent="0.3">
      <c r="A981" t="s">
        <v>1584</v>
      </c>
      <c r="B981" t="s">
        <v>2363</v>
      </c>
      <c r="C981" t="s">
        <v>2443</v>
      </c>
      <c r="D981" t="s">
        <v>2369</v>
      </c>
      <c r="E981" t="str">
        <f>IFERROR(
   IF(D981="Líder",
      INDEX(ZACATECAS!E:E, MATCH(C981, ZACATECAS!F:F, 0)),
      INDEX(ZACATECAS!H:H, MATCH(C981, ZACATECAS!J:J, 0))
   ),
"")</f>
        <v/>
      </c>
    </row>
    <row r="982" spans="1:5" x14ac:dyDescent="0.3">
      <c r="A982" t="s">
        <v>1584</v>
      </c>
      <c r="B982" t="s">
        <v>2363</v>
      </c>
      <c r="C982" t="s">
        <v>2444</v>
      </c>
      <c r="D982" t="s">
        <v>2369</v>
      </c>
      <c r="E982" t="str">
        <f>IFERROR(
   IF(D982="Líder",
      INDEX(ZACATECAS!E:E, MATCH(C982, ZACATECAS!F:F, 0)),
      INDEX(ZACATECAS!H:H, MATCH(C982, ZACATECAS!J:J, 0))
   ),
"")</f>
        <v/>
      </c>
    </row>
    <row r="983" spans="1:5" x14ac:dyDescent="0.3">
      <c r="A983" t="s">
        <v>1584</v>
      </c>
      <c r="B983" t="s">
        <v>2363</v>
      </c>
      <c r="C983" t="s">
        <v>1653</v>
      </c>
      <c r="D983" t="s">
        <v>2369</v>
      </c>
      <c r="E983">
        <f>IFERROR(
   IF(D983="Líder",
      INDEX(ZACATECAS!E:E, MATCH(C983, ZACATECAS!F:F, 0)),
      INDEX(ZACATECAS!H:H, MATCH(C983, ZACATECAS!J:J, 0))
   ),
"")</f>
        <v>32046166</v>
      </c>
    </row>
    <row r="984" spans="1:5" x14ac:dyDescent="0.3">
      <c r="A984" t="s">
        <v>1584</v>
      </c>
      <c r="B984" t="s">
        <v>2363</v>
      </c>
      <c r="C984" t="s">
        <v>2445</v>
      </c>
      <c r="D984" t="s">
        <v>2369</v>
      </c>
      <c r="E984" t="str">
        <f>IFERROR(
   IF(D984="Líder",
      INDEX(ZACATECAS!E:E, MATCH(C984, ZACATECAS!F:F, 0)),
      INDEX(ZACATECAS!H:H, MATCH(C984, ZACATECAS!J:J, 0))
   ),
"")</f>
        <v/>
      </c>
    </row>
    <row r="985" spans="1:5" x14ac:dyDescent="0.3">
      <c r="A985" t="s">
        <v>1584</v>
      </c>
      <c r="B985" t="s">
        <v>2363</v>
      </c>
      <c r="C985" t="s">
        <v>2446</v>
      </c>
      <c r="D985" t="s">
        <v>2369</v>
      </c>
      <c r="E985" t="str">
        <f>IFERROR(
   IF(D985="Líder",
      INDEX(ZACATECAS!E:E, MATCH(C985, ZACATECAS!F:F, 0)),
      INDEX(ZACATECAS!H:H, MATCH(C985, ZACATECAS!J:J, 0))
   ),
"")</f>
        <v/>
      </c>
    </row>
    <row r="986" spans="1:5" x14ac:dyDescent="0.3">
      <c r="A986" t="s">
        <v>1584</v>
      </c>
      <c r="B986" t="s">
        <v>2363</v>
      </c>
      <c r="C986" t="s">
        <v>2447</v>
      </c>
      <c r="D986" t="s">
        <v>2369</v>
      </c>
      <c r="E986" t="str">
        <f>IFERROR(
   IF(D986="Líder",
      INDEX(ZACATECAS!E:E, MATCH(C986, ZACATECAS!F:F, 0)),
      INDEX(ZACATECAS!H:H, MATCH(C986, ZACATECAS!J:J, 0))
   ),
"")</f>
        <v/>
      </c>
    </row>
    <row r="987" spans="1:5" x14ac:dyDescent="0.3">
      <c r="A987" t="s">
        <v>2127</v>
      </c>
      <c r="B987" t="s">
        <v>2312</v>
      </c>
      <c r="C987" t="s">
        <v>2318</v>
      </c>
      <c r="D987" t="s">
        <v>2369</v>
      </c>
      <c r="E987">
        <f>IFERROR(
   IF(D987="Líder",
      INDEX(ZACATECAS!E:E, MATCH(C987, ZACATECAS!F:F, 0)),
      INDEX(ZACATECAS!H:H, MATCH(C987, ZACATECAS!J:J, 0))
   ),
"")</f>
        <v>32043846</v>
      </c>
    </row>
    <row r="988" spans="1:5" x14ac:dyDescent="0.3">
      <c r="A988" t="s">
        <v>2127</v>
      </c>
      <c r="B988" t="s">
        <v>2312</v>
      </c>
      <c r="C988" t="s">
        <v>2317</v>
      </c>
      <c r="D988" t="s">
        <v>2369</v>
      </c>
      <c r="E988">
        <f>IFERROR(
   IF(D988="Líder",
      INDEX(ZACATECAS!E:E, MATCH(C988, ZACATECAS!F:F, 0)),
      INDEX(ZACATECAS!H:H, MATCH(C988, ZACATECAS!J:J, 0))
   ),
"")</f>
        <v>32045048</v>
      </c>
    </row>
    <row r="989" spans="1:5" x14ac:dyDescent="0.3">
      <c r="A989" t="s">
        <v>2127</v>
      </c>
      <c r="B989" t="s">
        <v>2312</v>
      </c>
      <c r="C989" t="s">
        <v>2314</v>
      </c>
      <c r="D989" t="s">
        <v>2369</v>
      </c>
      <c r="E989">
        <f>IFERROR(
   IF(D989="Líder",
      INDEX(ZACATECAS!E:E, MATCH(C989, ZACATECAS!F:F, 0)),
      INDEX(ZACATECAS!H:H, MATCH(C989, ZACATECAS!J:J, 0))
   ),
"")</f>
        <v>32044306</v>
      </c>
    </row>
    <row r="990" spans="1:5" x14ac:dyDescent="0.3">
      <c r="A990" t="s">
        <v>2127</v>
      </c>
      <c r="B990" t="s">
        <v>2312</v>
      </c>
      <c r="C990" t="s">
        <v>2315</v>
      </c>
      <c r="D990" t="s">
        <v>2369</v>
      </c>
      <c r="E990">
        <f>IFERROR(
   IF(D990="Líder",
      INDEX(ZACATECAS!E:E, MATCH(C990, ZACATECAS!F:F, 0)),
      INDEX(ZACATECAS!H:H, MATCH(C990, ZACATECAS!J:J, 0))
   ),
"")</f>
        <v>32064462</v>
      </c>
    </row>
    <row r="991" spans="1:5" x14ac:dyDescent="0.3">
      <c r="A991" t="s">
        <v>2127</v>
      </c>
      <c r="B991" t="s">
        <v>2312</v>
      </c>
      <c r="C991" t="s">
        <v>2316</v>
      </c>
      <c r="D991" t="s">
        <v>2369</v>
      </c>
      <c r="E991">
        <f>IFERROR(
   IF(D991="Líder",
      INDEX(ZACATECAS!E:E, MATCH(C991, ZACATECAS!F:F, 0)),
      INDEX(ZACATECAS!H:H, MATCH(C991, ZACATECAS!J:J, 0))
   ),
"")</f>
        <v>32043837</v>
      </c>
    </row>
    <row r="992" spans="1:5" x14ac:dyDescent="0.3">
      <c r="A992" t="s">
        <v>2127</v>
      </c>
      <c r="B992" t="s">
        <v>2153</v>
      </c>
      <c r="C992" t="s">
        <v>2156</v>
      </c>
      <c r="D992" t="s">
        <v>2369</v>
      </c>
      <c r="E992">
        <f>IFERROR(
   IF(D992="Líder",
      INDEX(ZACATECAS!E:E, MATCH(C992, ZACATECAS!F:F, 0)),
      INDEX(ZACATECAS!H:H, MATCH(C992, ZACATECAS!J:J, 0))
   ),
"")</f>
        <v>32044441</v>
      </c>
    </row>
    <row r="993" spans="1:5" x14ac:dyDescent="0.3">
      <c r="A993" t="s">
        <v>2127</v>
      </c>
      <c r="B993" t="s">
        <v>2153</v>
      </c>
      <c r="C993" t="s">
        <v>2160</v>
      </c>
      <c r="D993" t="s">
        <v>2369</v>
      </c>
      <c r="E993">
        <f>IFERROR(
   IF(D993="Líder",
      INDEX(ZACATECAS!E:E, MATCH(C993, ZACATECAS!F:F, 0)),
      INDEX(ZACATECAS!H:H, MATCH(C993, ZACATECAS!J:J, 0))
   ),
"")</f>
        <v>32044825</v>
      </c>
    </row>
    <row r="994" spans="1:5" x14ac:dyDescent="0.3">
      <c r="A994" t="s">
        <v>2127</v>
      </c>
      <c r="B994" t="s">
        <v>2153</v>
      </c>
      <c r="C994" t="s">
        <v>2161</v>
      </c>
      <c r="D994" t="s">
        <v>2369</v>
      </c>
      <c r="E994">
        <f>IFERROR(
   IF(D994="Líder",
      INDEX(ZACATECAS!E:E, MATCH(C994, ZACATECAS!F:F, 0)),
      INDEX(ZACATECAS!H:H, MATCH(C994, ZACATECAS!J:J, 0))
   ),
"")</f>
        <v>32044065</v>
      </c>
    </row>
    <row r="995" spans="1:5" x14ac:dyDescent="0.3">
      <c r="A995" t="s">
        <v>2127</v>
      </c>
      <c r="B995" t="s">
        <v>2153</v>
      </c>
      <c r="C995" t="s">
        <v>2155</v>
      </c>
      <c r="D995" t="s">
        <v>2369</v>
      </c>
      <c r="E995">
        <f>IFERROR(
   IF(D995="Líder",
      INDEX(ZACATECAS!E:E, MATCH(C995, ZACATECAS!F:F, 0)),
      INDEX(ZACATECAS!H:H, MATCH(C995, ZACATECAS!J:J, 0))
   ),
"")</f>
        <v>32044526</v>
      </c>
    </row>
    <row r="996" spans="1:5" x14ac:dyDescent="0.3">
      <c r="A996" t="s">
        <v>2127</v>
      </c>
      <c r="B996" t="s">
        <v>2153</v>
      </c>
      <c r="C996" t="s">
        <v>2159</v>
      </c>
      <c r="D996" t="s">
        <v>2369</v>
      </c>
      <c r="E996">
        <f>IFERROR(
   IF(D996="Líder",
      INDEX(ZACATECAS!E:E, MATCH(C996, ZACATECAS!F:F, 0)),
      INDEX(ZACATECAS!H:H, MATCH(C996, ZACATECAS!J:J, 0))
   ),
"")</f>
        <v>32044223</v>
      </c>
    </row>
    <row r="997" spans="1:5" x14ac:dyDescent="0.3">
      <c r="A997" t="s">
        <v>2127</v>
      </c>
      <c r="B997" t="s">
        <v>2153</v>
      </c>
      <c r="C997" t="s">
        <v>2158</v>
      </c>
      <c r="D997" t="s">
        <v>2369</v>
      </c>
      <c r="E997">
        <f>IFERROR(
   IF(D997="Líder",
      INDEX(ZACATECAS!E:E, MATCH(C997, ZACATECAS!F:F, 0)),
      INDEX(ZACATECAS!H:H, MATCH(C997, ZACATECAS!J:J, 0))
   ),
"")</f>
        <v>32149469</v>
      </c>
    </row>
    <row r="998" spans="1:5" x14ac:dyDescent="0.3">
      <c r="A998" t="s">
        <v>1584</v>
      </c>
      <c r="B998" t="s">
        <v>1672</v>
      </c>
      <c r="C998" t="s">
        <v>1675</v>
      </c>
      <c r="D998" t="s">
        <v>2369</v>
      </c>
      <c r="E998">
        <f>IFERROR(
   IF(D998="Líder",
      INDEX(ZACATECAS!E:E, MATCH(C998, ZACATECAS!F:F, 0)),
      INDEX(ZACATECAS!H:H, MATCH(C998, ZACATECAS!J:J, 0))
   ),
"")</f>
        <v>32046210</v>
      </c>
    </row>
    <row r="999" spans="1:5" x14ac:dyDescent="0.3">
      <c r="A999" t="s">
        <v>1584</v>
      </c>
      <c r="B999" t="s">
        <v>1672</v>
      </c>
      <c r="C999" t="s">
        <v>1678</v>
      </c>
      <c r="D999" t="s">
        <v>2369</v>
      </c>
      <c r="E999">
        <f>IFERROR(
   IF(D999="Líder",
      INDEX(ZACATECAS!E:E, MATCH(C999, ZACATECAS!F:F, 0)),
      INDEX(ZACATECAS!H:H, MATCH(C999, ZACATECAS!J:J, 0))
   ),
"")</f>
        <v>32044876</v>
      </c>
    </row>
    <row r="1000" spans="1:5" x14ac:dyDescent="0.3">
      <c r="A1000" t="s">
        <v>1584</v>
      </c>
      <c r="B1000" t="s">
        <v>1672</v>
      </c>
      <c r="C1000" t="s">
        <v>1680</v>
      </c>
      <c r="D1000" t="s">
        <v>2369</v>
      </c>
      <c r="E1000">
        <f>IFERROR(
   IF(D1000="Líder",
      INDEX(ZACATECAS!E:E, MATCH(C1000, ZACATECAS!F:F, 0)),
      INDEX(ZACATECAS!H:H, MATCH(C1000, ZACATECAS!J:J, 0))
   ),
"")</f>
        <v>32045800</v>
      </c>
    </row>
    <row r="1001" spans="1:5" x14ac:dyDescent="0.3">
      <c r="A1001" t="s">
        <v>1584</v>
      </c>
      <c r="B1001" t="s">
        <v>1672</v>
      </c>
      <c r="C1001" t="s">
        <v>1682</v>
      </c>
      <c r="D1001" t="s">
        <v>2369</v>
      </c>
      <c r="E1001">
        <f>IFERROR(
   IF(D1001="Líder",
      INDEX(ZACATECAS!E:E, MATCH(C1001, ZACATECAS!F:F, 0)),
      INDEX(ZACATECAS!H:H, MATCH(C1001, ZACATECAS!J:J, 0))
   ),
"")</f>
        <v>32045381</v>
      </c>
    </row>
    <row r="1002" spans="1:5" x14ac:dyDescent="0.3">
      <c r="A1002" t="s">
        <v>1584</v>
      </c>
      <c r="B1002" t="s">
        <v>1672</v>
      </c>
      <c r="C1002" t="s">
        <v>1685</v>
      </c>
      <c r="D1002" t="s">
        <v>2369</v>
      </c>
      <c r="E1002">
        <f>IFERROR(
   IF(D1002="Líder",
      INDEX(ZACATECAS!E:E, MATCH(C1002, ZACATECAS!F:F, 0)),
      INDEX(ZACATECAS!H:H, MATCH(C1002, ZACATECAS!J:J, 0))
   ),
"")</f>
        <v>32045992</v>
      </c>
    </row>
    <row r="1003" spans="1:5" x14ac:dyDescent="0.3">
      <c r="A1003" t="s">
        <v>1584</v>
      </c>
      <c r="B1003" t="s">
        <v>1672</v>
      </c>
      <c r="C1003" t="s">
        <v>1687</v>
      </c>
      <c r="D1003" t="s">
        <v>2369</v>
      </c>
      <c r="E1003">
        <f>IFERROR(
   IF(D1003="Líder",
      INDEX(ZACATECAS!E:E, MATCH(C1003, ZACATECAS!F:F, 0)),
      INDEX(ZACATECAS!H:H, MATCH(C1003, ZACATECAS!J:J, 0))
   ),
"")</f>
        <v>32229412</v>
      </c>
    </row>
    <row r="1004" spans="1:5" x14ac:dyDescent="0.3">
      <c r="A1004" t="s">
        <v>1584</v>
      </c>
      <c r="B1004" t="s">
        <v>1689</v>
      </c>
      <c r="C1004" t="s">
        <v>2448</v>
      </c>
      <c r="D1004" t="s">
        <v>2369</v>
      </c>
      <c r="E1004" t="str">
        <f>IFERROR(
   IF(D1004="Líder",
      INDEX(ZACATECAS!E:E, MATCH(C1004, ZACATECAS!F:F, 0)),
      INDEX(ZACATECAS!H:H, MATCH(C1004, ZACATECAS!J:J, 0))
   ),
"")</f>
        <v/>
      </c>
    </row>
    <row r="1005" spans="1:5" x14ac:dyDescent="0.3">
      <c r="A1005" t="s">
        <v>1584</v>
      </c>
      <c r="B1005" t="s">
        <v>1689</v>
      </c>
      <c r="C1005" t="s">
        <v>2449</v>
      </c>
      <c r="D1005" t="s">
        <v>2369</v>
      </c>
      <c r="E1005" t="str">
        <f>IFERROR(
   IF(D1005="Líder",
      INDEX(ZACATECAS!E:E, MATCH(C1005, ZACATECAS!F:F, 0)),
      INDEX(ZACATECAS!H:H, MATCH(C1005, ZACATECAS!J:J, 0))
   ),
"")</f>
        <v/>
      </c>
    </row>
    <row r="1006" spans="1:5" x14ac:dyDescent="0.3">
      <c r="A1006" t="s">
        <v>1584</v>
      </c>
      <c r="B1006" t="s">
        <v>1689</v>
      </c>
      <c r="C1006" t="s">
        <v>1696</v>
      </c>
      <c r="D1006" t="s">
        <v>2369</v>
      </c>
      <c r="E1006">
        <f>IFERROR(
   IF(D1006="Líder",
      INDEX(ZACATECAS!E:E, MATCH(C1006, ZACATECAS!F:F, 0)),
      INDEX(ZACATECAS!H:H, MATCH(C1006, ZACATECAS!J:J, 0))
   ),
"")</f>
        <v>32187874</v>
      </c>
    </row>
    <row r="1007" spans="1:5" x14ac:dyDescent="0.3">
      <c r="A1007" t="s">
        <v>1584</v>
      </c>
      <c r="B1007" t="s">
        <v>1689</v>
      </c>
      <c r="C1007" t="s">
        <v>1655</v>
      </c>
      <c r="D1007" t="s">
        <v>2369</v>
      </c>
      <c r="E1007">
        <f>IFERROR(
   IF(D1007="Líder",
      INDEX(ZACATECAS!E:E, MATCH(C1007, ZACATECAS!F:F, 0)),
      INDEX(ZACATECAS!H:H, MATCH(C1007, ZACATECAS!J:J, 0))
   ),
"")</f>
        <v>32044576</v>
      </c>
    </row>
    <row r="1008" spans="1:5" x14ac:dyDescent="0.3">
      <c r="A1008" t="s">
        <v>1584</v>
      </c>
      <c r="B1008" t="s">
        <v>1689</v>
      </c>
      <c r="C1008" t="s">
        <v>2450</v>
      </c>
      <c r="D1008" t="s">
        <v>2369</v>
      </c>
      <c r="E1008" t="str">
        <f>IFERROR(
   IF(D1008="Líder",
      INDEX(ZACATECAS!E:E, MATCH(C1008, ZACATECAS!F:F, 0)),
      INDEX(ZACATECAS!H:H, MATCH(C1008, ZACATECAS!J:J, 0))
   ),
"")</f>
        <v/>
      </c>
    </row>
    <row r="1009" spans="1:5" x14ac:dyDescent="0.3">
      <c r="A1009" t="s">
        <v>1584</v>
      </c>
      <c r="B1009" t="s">
        <v>1689</v>
      </c>
      <c r="C1009" t="s">
        <v>1691</v>
      </c>
      <c r="D1009" t="s">
        <v>2369</v>
      </c>
      <c r="E1009">
        <f>IFERROR(
   IF(D1009="Líder",
      INDEX(ZACATECAS!E:E, MATCH(C1009, ZACATECAS!F:F, 0)),
      INDEX(ZACATECAS!H:H, MATCH(C1009, ZACATECAS!J:J, 0))
   ),
"")</f>
        <v>32045005</v>
      </c>
    </row>
    <row r="1010" spans="1:5" x14ac:dyDescent="0.3">
      <c r="A1010" t="s">
        <v>1584</v>
      </c>
      <c r="B1010" t="s">
        <v>1689</v>
      </c>
      <c r="C1010" t="s">
        <v>2451</v>
      </c>
      <c r="D1010" t="s">
        <v>2369</v>
      </c>
      <c r="E1010" t="str">
        <f>IFERROR(
   IF(D1010="Líder",
      INDEX(ZACATECAS!E:E, MATCH(C1010, ZACATECAS!F:F, 0)),
      INDEX(ZACATECAS!H:H, MATCH(C1010, ZACATECAS!J:J, 0))
   ),
"")</f>
        <v/>
      </c>
    </row>
    <row r="1011" spans="1:5" x14ac:dyDescent="0.3">
      <c r="A1011" t="s">
        <v>1584</v>
      </c>
      <c r="B1011" t="s">
        <v>1689</v>
      </c>
      <c r="C1011" t="s">
        <v>2452</v>
      </c>
      <c r="D1011" t="s">
        <v>2369</v>
      </c>
      <c r="E1011" t="str">
        <f>IFERROR(
   IF(D1011="Líder",
      INDEX(ZACATECAS!E:E, MATCH(C1011, ZACATECAS!F:F, 0)),
      INDEX(ZACATECAS!H:H, MATCH(C1011, ZACATECAS!J:J, 0))
   ),
"")</f>
        <v/>
      </c>
    </row>
    <row r="1012" spans="1:5" x14ac:dyDescent="0.3">
      <c r="A1012" t="s">
        <v>1584</v>
      </c>
      <c r="B1012" t="s">
        <v>1689</v>
      </c>
      <c r="C1012" t="s">
        <v>2453</v>
      </c>
      <c r="D1012" t="s">
        <v>2369</v>
      </c>
      <c r="E1012" t="str">
        <f>IFERROR(
   IF(D1012="Líder",
      INDEX(ZACATECAS!E:E, MATCH(C1012, ZACATECAS!F:F, 0)),
      INDEX(ZACATECAS!H:H, MATCH(C1012, ZACATECAS!J:J, 0))
   ),
"")</f>
        <v/>
      </c>
    </row>
    <row r="1013" spans="1:5" x14ac:dyDescent="0.3">
      <c r="A1013" t="s">
        <v>1584</v>
      </c>
      <c r="B1013" t="s">
        <v>1689</v>
      </c>
      <c r="C1013" t="s">
        <v>2454</v>
      </c>
      <c r="D1013" t="s">
        <v>2369</v>
      </c>
      <c r="E1013" t="str">
        <f>IFERROR(
   IF(D1013="Líder",
      INDEX(ZACATECAS!E:E, MATCH(C1013, ZACATECAS!F:F, 0)),
      INDEX(ZACATECAS!H:H, MATCH(C1013, ZACATECAS!J:J, 0))
   ),
"")</f>
        <v/>
      </c>
    </row>
    <row r="1014" spans="1:5" x14ac:dyDescent="0.3">
      <c r="A1014" t="s">
        <v>1584</v>
      </c>
      <c r="B1014" t="s">
        <v>1689</v>
      </c>
      <c r="C1014" t="s">
        <v>2455</v>
      </c>
      <c r="D1014" t="s">
        <v>2369</v>
      </c>
      <c r="E1014" t="str">
        <f>IFERROR(
   IF(D1014="Líder",
      INDEX(ZACATECAS!E:E, MATCH(C1014, ZACATECAS!F:F, 0)),
      INDEX(ZACATECAS!H:H, MATCH(C1014, ZACATECAS!J:J, 0))
   ),
"")</f>
        <v/>
      </c>
    </row>
    <row r="1015" spans="1:5" x14ac:dyDescent="0.3">
      <c r="A1015" t="s">
        <v>1584</v>
      </c>
      <c r="B1015" t="s">
        <v>1689</v>
      </c>
      <c r="C1015" t="s">
        <v>2456</v>
      </c>
      <c r="D1015" t="s">
        <v>2369</v>
      </c>
      <c r="E1015" t="str">
        <f>IFERROR(
   IF(D1015="Líder",
      INDEX(ZACATECAS!E:E, MATCH(C1015, ZACATECAS!F:F, 0)),
      INDEX(ZACATECAS!H:H, MATCH(C1015, ZACATECAS!J:J, 0))
   ),
"")</f>
        <v/>
      </c>
    </row>
    <row r="1016" spans="1:5" x14ac:dyDescent="0.3">
      <c r="A1016" t="s">
        <v>1584</v>
      </c>
      <c r="B1016" t="s">
        <v>1689</v>
      </c>
      <c r="C1016" t="s">
        <v>2457</v>
      </c>
      <c r="D1016" t="s">
        <v>2369</v>
      </c>
      <c r="E1016" t="str">
        <f>IFERROR(
   IF(D1016="Líder",
      INDEX(ZACATECAS!E:E, MATCH(C1016, ZACATECAS!F:F, 0)),
      INDEX(ZACATECAS!H:H, MATCH(C1016, ZACATECAS!J:J, 0))
   ),
"")</f>
        <v/>
      </c>
    </row>
    <row r="1017" spans="1:5" x14ac:dyDescent="0.3">
      <c r="A1017" t="s">
        <v>1584</v>
      </c>
      <c r="B1017" t="s">
        <v>1689</v>
      </c>
      <c r="C1017" t="s">
        <v>2458</v>
      </c>
      <c r="D1017" t="s">
        <v>2369</v>
      </c>
      <c r="E1017" t="str">
        <f>IFERROR(
   IF(D1017="Líder",
      INDEX(ZACATECAS!E:E, MATCH(C1017, ZACATECAS!F:F, 0)),
      INDEX(ZACATECAS!H:H, MATCH(C1017, ZACATECAS!J:J, 0))
   ),
"")</f>
        <v/>
      </c>
    </row>
    <row r="1018" spans="1:5" x14ac:dyDescent="0.3">
      <c r="A1018" t="s">
        <v>1584</v>
      </c>
      <c r="B1018" t="s">
        <v>1701</v>
      </c>
      <c r="C1018" t="s">
        <v>1720</v>
      </c>
      <c r="D1018" t="s">
        <v>2369</v>
      </c>
      <c r="E1018">
        <f>IFERROR(
   IF(D1018="Líder",
      INDEX(ZACATECAS!E:E, MATCH(C1018, ZACATECAS!F:F, 0)),
      INDEX(ZACATECAS!H:H, MATCH(C1018, ZACATECAS!J:J, 0))
   ),
"")</f>
        <v>32096550</v>
      </c>
    </row>
    <row r="1019" spans="1:5" x14ac:dyDescent="0.3">
      <c r="A1019" t="s">
        <v>1584</v>
      </c>
      <c r="B1019" t="s">
        <v>1701</v>
      </c>
      <c r="C1019" t="s">
        <v>1719</v>
      </c>
      <c r="D1019" t="s">
        <v>2369</v>
      </c>
      <c r="E1019">
        <f>IFERROR(
   IF(D1019="Líder",
      INDEX(ZACATECAS!E:E, MATCH(C1019, ZACATECAS!F:F, 0)),
      INDEX(ZACATECAS!H:H, MATCH(C1019, ZACATECAS!J:J, 0))
   ),
"")</f>
        <v>32046470</v>
      </c>
    </row>
    <row r="1020" spans="1:5" x14ac:dyDescent="0.3">
      <c r="A1020" t="s">
        <v>1584</v>
      </c>
      <c r="B1020" t="s">
        <v>1701</v>
      </c>
      <c r="C1020" t="s">
        <v>1718</v>
      </c>
      <c r="D1020" t="s">
        <v>2369</v>
      </c>
      <c r="E1020">
        <f>IFERROR(
   IF(D1020="Líder",
      INDEX(ZACATECAS!E:E, MATCH(C1020, ZACATECAS!F:F, 0)),
      INDEX(ZACATECAS!H:H, MATCH(C1020, ZACATECAS!J:J, 0))
   ),
"")</f>
        <v>32055315</v>
      </c>
    </row>
    <row r="1021" spans="1:5" x14ac:dyDescent="0.3">
      <c r="A1021" t="s">
        <v>1584</v>
      </c>
      <c r="B1021" t="s">
        <v>1701</v>
      </c>
      <c r="C1021" t="s">
        <v>1716</v>
      </c>
      <c r="D1021" t="s">
        <v>2369</v>
      </c>
      <c r="E1021">
        <f>IFERROR(
   IF(D1021="Líder",
      INDEX(ZACATECAS!E:E, MATCH(C1021, ZACATECAS!F:F, 0)),
      INDEX(ZACATECAS!H:H, MATCH(C1021, ZACATECAS!J:J, 0))
   ),
"")</f>
        <v>32045661</v>
      </c>
    </row>
    <row r="1022" spans="1:5" x14ac:dyDescent="0.3">
      <c r="A1022" t="s">
        <v>1584</v>
      </c>
      <c r="B1022" t="s">
        <v>1701</v>
      </c>
      <c r="C1022" t="s">
        <v>1714</v>
      </c>
      <c r="D1022" t="s">
        <v>2369</v>
      </c>
      <c r="E1022">
        <f>IFERROR(
   IF(D1022="Líder",
      INDEX(ZACATECAS!E:E, MATCH(C1022, ZACATECAS!F:F, 0)),
      INDEX(ZACATECAS!H:H, MATCH(C1022, ZACATECAS!J:J, 0))
   ),
"")</f>
        <v>32044139</v>
      </c>
    </row>
    <row r="1023" spans="1:5" x14ac:dyDescent="0.3">
      <c r="A1023" t="s">
        <v>1584</v>
      </c>
      <c r="B1023" t="s">
        <v>1701</v>
      </c>
      <c r="C1023" t="s">
        <v>1713</v>
      </c>
      <c r="D1023" t="s">
        <v>2369</v>
      </c>
      <c r="E1023">
        <f>IFERROR(
   IF(D1023="Líder",
      INDEX(ZACATECAS!E:E, MATCH(C1023, ZACATECAS!F:F, 0)),
      INDEX(ZACATECAS!H:H, MATCH(C1023, ZACATECAS!J:J, 0))
   ),
"")</f>
        <v>32056896</v>
      </c>
    </row>
    <row r="1024" spans="1:5" x14ac:dyDescent="0.3">
      <c r="A1024" t="s">
        <v>1584</v>
      </c>
      <c r="B1024" t="s">
        <v>1701</v>
      </c>
      <c r="C1024" t="s">
        <v>1711</v>
      </c>
      <c r="D1024" t="s">
        <v>2369</v>
      </c>
      <c r="E1024">
        <f>IFERROR(
   IF(D1024="Líder",
      INDEX(ZACATECAS!E:E, MATCH(C1024, ZACATECAS!F:F, 0)),
      INDEX(ZACATECAS!H:H, MATCH(C1024, ZACATECAS!J:J, 0))
   ),
"")</f>
        <v>32136861</v>
      </c>
    </row>
    <row r="1025" spans="1:5" x14ac:dyDescent="0.3">
      <c r="A1025" t="s">
        <v>1584</v>
      </c>
      <c r="B1025" t="s">
        <v>1701</v>
      </c>
      <c r="C1025" t="s">
        <v>1709</v>
      </c>
      <c r="D1025" t="s">
        <v>2369</v>
      </c>
      <c r="E1025">
        <f>IFERROR(
   IF(D1025="Líder",
      INDEX(ZACATECAS!E:E, MATCH(C1025, ZACATECAS!F:F, 0)),
      INDEX(ZACATECAS!H:H, MATCH(C1025, ZACATECAS!J:J, 0))
   ),
"")</f>
        <v>32043937</v>
      </c>
    </row>
    <row r="1026" spans="1:5" x14ac:dyDescent="0.3">
      <c r="A1026" t="s">
        <v>1584</v>
      </c>
      <c r="B1026" t="s">
        <v>1701</v>
      </c>
      <c r="C1026" t="s">
        <v>1707</v>
      </c>
      <c r="D1026" t="s">
        <v>2369</v>
      </c>
      <c r="E1026">
        <f>IFERROR(
   IF(D1026="Líder",
      INDEX(ZACATECAS!E:E, MATCH(C1026, ZACATECAS!F:F, 0)),
      INDEX(ZACATECAS!H:H, MATCH(C1026, ZACATECAS!J:J, 0))
   ),
"")</f>
        <v>32136857</v>
      </c>
    </row>
    <row r="1027" spans="1:5" x14ac:dyDescent="0.3">
      <c r="A1027" t="s">
        <v>1584</v>
      </c>
      <c r="B1027" t="s">
        <v>1701</v>
      </c>
      <c r="C1027" t="s">
        <v>2459</v>
      </c>
      <c r="D1027" t="s">
        <v>2369</v>
      </c>
      <c r="E1027" t="str">
        <f>IFERROR(
   IF(D1027="Líder",
      INDEX(ZACATECAS!E:E, MATCH(C1027, ZACATECAS!F:F, 0)),
      INDEX(ZACATECAS!H:H, MATCH(C1027, ZACATECAS!J:J, 0))
   ),
"")</f>
        <v/>
      </c>
    </row>
    <row r="1028" spans="1:5" x14ac:dyDescent="0.3">
      <c r="A1028" t="s">
        <v>1584</v>
      </c>
      <c r="B1028" t="s">
        <v>1701</v>
      </c>
      <c r="C1028" t="s">
        <v>2460</v>
      </c>
      <c r="D1028" t="s">
        <v>2369</v>
      </c>
      <c r="E1028" t="str">
        <f>IFERROR(
   IF(D1028="Líder",
      INDEX(ZACATECAS!E:E, MATCH(C1028, ZACATECAS!F:F, 0)),
      INDEX(ZACATECAS!H:H, MATCH(C1028, ZACATECAS!J:J, 0))
   ),
"")</f>
        <v/>
      </c>
    </row>
    <row r="1029" spans="1:5" x14ac:dyDescent="0.3">
      <c r="A1029" t="s">
        <v>1584</v>
      </c>
      <c r="B1029" t="s">
        <v>1701</v>
      </c>
      <c r="C1029" t="s">
        <v>2461</v>
      </c>
      <c r="D1029" t="s">
        <v>2369</v>
      </c>
      <c r="E1029" t="str">
        <f>IFERROR(
   IF(D1029="Líder",
      INDEX(ZACATECAS!E:E, MATCH(C1029, ZACATECAS!F:F, 0)),
      INDEX(ZACATECAS!H:H, MATCH(C1029, ZACATECAS!J:J, 0))
   ),
"")</f>
        <v/>
      </c>
    </row>
    <row r="1030" spans="1:5" x14ac:dyDescent="0.3">
      <c r="A1030" t="s">
        <v>1584</v>
      </c>
      <c r="B1030" t="s">
        <v>1701</v>
      </c>
      <c r="C1030" t="s">
        <v>2462</v>
      </c>
      <c r="D1030" t="s">
        <v>2369</v>
      </c>
      <c r="E1030" t="str">
        <f>IFERROR(
   IF(D1030="Líder",
      INDEX(ZACATECAS!E:E, MATCH(C1030, ZACATECAS!F:F, 0)),
      INDEX(ZACATECAS!H:H, MATCH(C1030, ZACATECAS!J:J, 0))
   ),
"")</f>
        <v/>
      </c>
    </row>
    <row r="1031" spans="1:5" x14ac:dyDescent="0.3">
      <c r="A1031" t="s">
        <v>1584</v>
      </c>
      <c r="B1031" t="s">
        <v>1701</v>
      </c>
      <c r="C1031" t="s">
        <v>2463</v>
      </c>
      <c r="D1031" t="s">
        <v>2369</v>
      </c>
      <c r="E1031" t="str">
        <f>IFERROR(
   IF(D1031="Líder",
      INDEX(ZACATECAS!E:E, MATCH(C1031, ZACATECAS!F:F, 0)),
      INDEX(ZACATECAS!H:H, MATCH(C1031, ZACATECAS!J:J, 0))
   ),
"")</f>
        <v/>
      </c>
    </row>
    <row r="1032" spans="1:5" x14ac:dyDescent="0.3">
      <c r="A1032" t="s">
        <v>1584</v>
      </c>
      <c r="B1032" t="s">
        <v>1701</v>
      </c>
      <c r="C1032" t="s">
        <v>2464</v>
      </c>
      <c r="D1032" t="s">
        <v>2369</v>
      </c>
      <c r="E1032" t="str">
        <f>IFERROR(
   IF(D1032="Líder",
      INDEX(ZACATECAS!E:E, MATCH(C1032, ZACATECAS!F:F, 0)),
      INDEX(ZACATECAS!H:H, MATCH(C1032, ZACATECAS!J:J, 0))
   ),
"")</f>
        <v/>
      </c>
    </row>
    <row r="1033" spans="1:5" x14ac:dyDescent="0.3">
      <c r="A1033" t="s">
        <v>1584</v>
      </c>
      <c r="B1033" t="s">
        <v>1701</v>
      </c>
      <c r="C1033" t="s">
        <v>2465</v>
      </c>
      <c r="D1033" t="s">
        <v>2369</v>
      </c>
      <c r="E1033" t="str">
        <f>IFERROR(
   IF(D1033="Líder",
      INDEX(ZACATECAS!E:E, MATCH(C1033, ZACATECAS!F:F, 0)),
      INDEX(ZACATECAS!H:H, MATCH(C1033, ZACATECAS!J:J, 0))
   ),
"")</f>
        <v/>
      </c>
    </row>
    <row r="1034" spans="1:5" x14ac:dyDescent="0.3">
      <c r="A1034" t="s">
        <v>1584</v>
      </c>
      <c r="B1034" t="s">
        <v>1701</v>
      </c>
      <c r="C1034" t="s">
        <v>2466</v>
      </c>
      <c r="D1034" t="s">
        <v>2369</v>
      </c>
      <c r="E1034" t="str">
        <f>IFERROR(
   IF(D1034="Líder",
      INDEX(ZACATECAS!E:E, MATCH(C1034, ZACATECAS!F:F, 0)),
      INDEX(ZACATECAS!H:H, MATCH(C1034, ZACATECAS!J:J, 0))
   ),
"")</f>
        <v/>
      </c>
    </row>
    <row r="1035" spans="1:5" x14ac:dyDescent="0.3">
      <c r="A1035" t="s">
        <v>1584</v>
      </c>
      <c r="B1035" t="s">
        <v>1701</v>
      </c>
      <c r="C1035" t="s">
        <v>2467</v>
      </c>
      <c r="D1035" t="s">
        <v>2369</v>
      </c>
      <c r="E1035" t="str">
        <f>IFERROR(
   IF(D1035="Líder",
      INDEX(ZACATECAS!E:E, MATCH(C1035, ZACATECAS!F:F, 0)),
      INDEX(ZACATECAS!H:H, MATCH(C1035, ZACATECAS!J:J, 0))
   ),
"")</f>
        <v/>
      </c>
    </row>
    <row r="1036" spans="1:5" x14ac:dyDescent="0.3">
      <c r="A1036" t="s">
        <v>1584</v>
      </c>
      <c r="B1036" t="s">
        <v>1701</v>
      </c>
      <c r="C1036" t="s">
        <v>2468</v>
      </c>
      <c r="D1036" t="s">
        <v>2369</v>
      </c>
      <c r="E1036" t="str">
        <f>IFERROR(
   IF(D1036="Líder",
      INDEX(ZACATECAS!E:E, MATCH(C1036, ZACATECAS!F:F, 0)),
      INDEX(ZACATECAS!H:H, MATCH(C1036, ZACATECAS!J:J, 0))
   ),
"")</f>
        <v/>
      </c>
    </row>
    <row r="1037" spans="1:5" x14ac:dyDescent="0.3">
      <c r="A1037" t="s">
        <v>1584</v>
      </c>
      <c r="B1037" t="s">
        <v>1722</v>
      </c>
      <c r="C1037" t="s">
        <v>1725</v>
      </c>
      <c r="D1037" t="s">
        <v>2369</v>
      </c>
      <c r="E1037">
        <f>IFERROR(
   IF(D1037="Líder",
      INDEX(ZACATECAS!E:E, MATCH(C1037, ZACATECAS!F:F, 0)),
      INDEX(ZACATECAS!H:H, MATCH(C1037, ZACATECAS!J:J, 0))
   ),
"")</f>
        <v>32044254</v>
      </c>
    </row>
    <row r="1038" spans="1:5" x14ac:dyDescent="0.3">
      <c r="A1038" t="s">
        <v>1584</v>
      </c>
      <c r="B1038" t="s">
        <v>1722</v>
      </c>
      <c r="C1038" t="s">
        <v>1723</v>
      </c>
      <c r="D1038" t="s">
        <v>2369</v>
      </c>
      <c r="E1038" t="str">
        <f>IFERROR(
   IF(D1038="Líder",
      INDEX(ZACATECAS!E:E, MATCH(C1038, ZACATECAS!F:F, 0)),
      INDEX(ZACATECAS!H:H, MATCH(C1038, ZACATECAS!J:J, 0))
   ),
"")</f>
        <v/>
      </c>
    </row>
    <row r="1039" spans="1:5" x14ac:dyDescent="0.3">
      <c r="A1039" t="s">
        <v>1584</v>
      </c>
      <c r="B1039" t="s">
        <v>1722</v>
      </c>
      <c r="C1039" t="s">
        <v>1727</v>
      </c>
      <c r="D1039" t="s">
        <v>2369</v>
      </c>
      <c r="E1039">
        <f>IFERROR(
   IF(D1039="Líder",
      INDEX(ZACATECAS!E:E, MATCH(C1039, ZACATECAS!F:F, 0)),
      INDEX(ZACATECAS!H:H, MATCH(C1039, ZACATECAS!J:J, 0))
   ),
"")</f>
        <v>32045689</v>
      </c>
    </row>
    <row r="1040" spans="1:5" x14ac:dyDescent="0.3">
      <c r="A1040" t="s">
        <v>1584</v>
      </c>
      <c r="B1040" t="s">
        <v>1722</v>
      </c>
      <c r="C1040" t="s">
        <v>1729</v>
      </c>
      <c r="D1040" t="s">
        <v>2369</v>
      </c>
      <c r="E1040">
        <f>IFERROR(
   IF(D1040="Líder",
      INDEX(ZACATECAS!E:E, MATCH(C1040, ZACATECAS!F:F, 0)),
      INDEX(ZACATECAS!H:H, MATCH(C1040, ZACATECAS!J:J, 0))
   ),
"")</f>
        <v>32044362</v>
      </c>
    </row>
    <row r="1041" spans="1:5" x14ac:dyDescent="0.3">
      <c r="A1041" t="s">
        <v>1584</v>
      </c>
      <c r="B1041" t="s">
        <v>1722</v>
      </c>
      <c r="C1041" t="s">
        <v>1731</v>
      </c>
      <c r="D1041" t="s">
        <v>2369</v>
      </c>
      <c r="E1041">
        <f>IFERROR(
   IF(D1041="Líder",
      INDEX(ZACATECAS!E:E, MATCH(C1041, ZACATECAS!F:F, 0)),
      INDEX(ZACATECAS!H:H, MATCH(C1041, ZACATECAS!J:J, 0))
   ),
"")</f>
        <v>32044024</v>
      </c>
    </row>
    <row r="1042" spans="1:5" x14ac:dyDescent="0.3">
      <c r="A1042" t="s">
        <v>1584</v>
      </c>
      <c r="B1042" t="s">
        <v>1722</v>
      </c>
      <c r="C1042" t="s">
        <v>2336</v>
      </c>
      <c r="D1042" t="s">
        <v>2369</v>
      </c>
      <c r="E1042" t="str">
        <f>IFERROR(
   IF(D1042="Líder",
      INDEX(ZACATECAS!E:E, MATCH(C1042, ZACATECAS!F:F, 0)),
      INDEX(ZACATECAS!H:H, MATCH(C1042, ZACATECAS!J:J, 0))
   ),
"")</f>
        <v/>
      </c>
    </row>
    <row r="1043" spans="1:5" x14ac:dyDescent="0.3">
      <c r="A1043" t="s">
        <v>1584</v>
      </c>
      <c r="B1043" t="s">
        <v>1722</v>
      </c>
      <c r="C1043" t="s">
        <v>1733</v>
      </c>
      <c r="D1043" t="s">
        <v>2369</v>
      </c>
      <c r="E1043">
        <f>IFERROR(
   IF(D1043="Líder",
      INDEX(ZACATECAS!E:E, MATCH(C1043, ZACATECAS!F:F, 0)),
      INDEX(ZACATECAS!H:H, MATCH(C1043, ZACATECAS!J:J, 0))
   ),
"")</f>
        <v>32057497</v>
      </c>
    </row>
    <row r="1044" spans="1:5" x14ac:dyDescent="0.3">
      <c r="A1044" t="s">
        <v>2127</v>
      </c>
      <c r="B1044" t="s">
        <v>2195</v>
      </c>
      <c r="C1044" t="s">
        <v>2198</v>
      </c>
      <c r="D1044" t="s">
        <v>2369</v>
      </c>
      <c r="E1044">
        <f>IFERROR(
   IF(D1044="Líder",
      INDEX(ZACATECAS!E:E, MATCH(C1044, ZACATECAS!F:F, 0)),
      INDEX(ZACATECAS!H:H, MATCH(C1044, ZACATECAS!J:J, 0))
   ),
"")</f>
        <v>32043647</v>
      </c>
    </row>
    <row r="1045" spans="1:5" x14ac:dyDescent="0.3">
      <c r="A1045" t="s">
        <v>2127</v>
      </c>
      <c r="B1045" t="s">
        <v>2195</v>
      </c>
      <c r="C1045" t="s">
        <v>2199</v>
      </c>
      <c r="D1045" t="s">
        <v>2369</v>
      </c>
      <c r="E1045">
        <f>IFERROR(
   IF(D1045="Líder",
      INDEX(ZACATECAS!E:E, MATCH(C1045, ZACATECAS!F:F, 0)),
      INDEX(ZACATECAS!H:H, MATCH(C1045, ZACATECAS!J:J, 0))
   ),
"")</f>
        <v>32045015</v>
      </c>
    </row>
    <row r="1046" spans="1:5" x14ac:dyDescent="0.3">
      <c r="A1046" t="s">
        <v>2127</v>
      </c>
      <c r="B1046" t="s">
        <v>2195</v>
      </c>
      <c r="C1046" t="s">
        <v>2197</v>
      </c>
      <c r="D1046" t="s">
        <v>2369</v>
      </c>
      <c r="E1046">
        <f>IFERROR(
   IF(D1046="Líder",
      INDEX(ZACATECAS!E:E, MATCH(C1046, ZACATECAS!F:F, 0)),
      INDEX(ZACATECAS!H:H, MATCH(C1046, ZACATECAS!J:J, 0))
   ),
"")</f>
        <v>32043723</v>
      </c>
    </row>
    <row r="1047" spans="1:5" x14ac:dyDescent="0.3">
      <c r="A1047" t="s">
        <v>2127</v>
      </c>
      <c r="B1047" t="s">
        <v>2195</v>
      </c>
      <c r="C1047" t="s">
        <v>2201</v>
      </c>
      <c r="D1047" t="s">
        <v>2369</v>
      </c>
      <c r="E1047">
        <f>IFERROR(
   IF(D1047="Líder",
      INDEX(ZACATECAS!E:E, MATCH(C1047, ZACATECAS!F:F, 0)),
      INDEX(ZACATECAS!H:H, MATCH(C1047, ZACATECAS!J:J, 0))
   ),
"")</f>
        <v>32045901</v>
      </c>
    </row>
    <row r="1048" spans="1:5" x14ac:dyDescent="0.3">
      <c r="A1048" t="s">
        <v>2127</v>
      </c>
      <c r="B1048" t="s">
        <v>2195</v>
      </c>
      <c r="C1048" t="s">
        <v>2200</v>
      </c>
      <c r="D1048" t="s">
        <v>2369</v>
      </c>
      <c r="E1048">
        <f>IFERROR(
   IF(D1048="Líder",
      INDEX(ZACATECAS!E:E, MATCH(C1048, ZACATECAS!F:F, 0)),
      INDEX(ZACATECAS!H:H, MATCH(C1048, ZACATECAS!J:J, 0))
   ),
"")</f>
        <v>32044396</v>
      </c>
    </row>
    <row r="1049" spans="1:5" x14ac:dyDescent="0.3">
      <c r="A1049" t="s">
        <v>2127</v>
      </c>
      <c r="B1049" t="s">
        <v>2195</v>
      </c>
      <c r="C1049" t="s">
        <v>2208</v>
      </c>
      <c r="D1049" t="s">
        <v>2369</v>
      </c>
      <c r="E1049">
        <f>IFERROR(
   IF(D1049="Líder",
      INDEX(ZACATECAS!E:E, MATCH(C1049, ZACATECAS!F:F, 0)),
      INDEX(ZACATECAS!H:H, MATCH(C1049, ZACATECAS!J:J, 0))
   ),
"")</f>
        <v>32045045</v>
      </c>
    </row>
    <row r="1050" spans="1:5" x14ac:dyDescent="0.3">
      <c r="A1050" t="s">
        <v>2127</v>
      </c>
      <c r="B1050" t="s">
        <v>2195</v>
      </c>
      <c r="C1050" t="s">
        <v>2207</v>
      </c>
      <c r="D1050" t="s">
        <v>2369</v>
      </c>
      <c r="E1050">
        <f>IFERROR(
   IF(D1050="Líder",
      INDEX(ZACATECAS!E:E, MATCH(C1050, ZACATECAS!F:F, 0)),
      INDEX(ZACATECAS!H:H, MATCH(C1050, ZACATECAS!J:J, 0))
   ),
"")</f>
        <v>32044984</v>
      </c>
    </row>
    <row r="1051" spans="1:5" x14ac:dyDescent="0.3">
      <c r="A1051" t="s">
        <v>2127</v>
      </c>
      <c r="B1051" t="s">
        <v>2243</v>
      </c>
      <c r="C1051" t="s">
        <v>2246</v>
      </c>
      <c r="D1051" t="s">
        <v>2369</v>
      </c>
      <c r="E1051">
        <f>IFERROR(
   IF(D1051="Líder",
      INDEX(ZACATECAS!E:E, MATCH(C1051, ZACATECAS!F:F, 0)),
      INDEX(ZACATECAS!H:H, MATCH(C1051, ZACATECAS!J:J, 0))
   ),
"")</f>
        <v>32043790</v>
      </c>
    </row>
    <row r="1052" spans="1:5" x14ac:dyDescent="0.3">
      <c r="A1052" t="s">
        <v>2127</v>
      </c>
      <c r="B1052" t="s">
        <v>2243</v>
      </c>
      <c r="C1052" t="s">
        <v>2247</v>
      </c>
      <c r="D1052" t="s">
        <v>2369</v>
      </c>
      <c r="E1052">
        <f>IFERROR(
   IF(D1052="Líder",
      INDEX(ZACATECAS!E:E, MATCH(C1052, ZACATECAS!F:F, 0)),
      INDEX(ZACATECAS!H:H, MATCH(C1052, ZACATECAS!J:J, 0))
   ),
"")</f>
        <v>32044976</v>
      </c>
    </row>
    <row r="1053" spans="1:5" x14ac:dyDescent="0.3">
      <c r="A1053" t="s">
        <v>2127</v>
      </c>
      <c r="B1053" t="s">
        <v>2243</v>
      </c>
      <c r="C1053" t="s">
        <v>2245</v>
      </c>
      <c r="D1053" t="s">
        <v>2369</v>
      </c>
      <c r="E1053">
        <f>IFERROR(
   IF(D1053="Líder",
      INDEX(ZACATECAS!E:E, MATCH(C1053, ZACATECAS!F:F, 0)),
      INDEX(ZACATECAS!H:H, MATCH(C1053, ZACATECAS!J:J, 0))
   ),
"")</f>
        <v>32064464</v>
      </c>
    </row>
    <row r="1054" spans="1:5" x14ac:dyDescent="0.3">
      <c r="A1054" t="s">
        <v>2127</v>
      </c>
      <c r="B1054" t="s">
        <v>2243</v>
      </c>
      <c r="C1054" t="s">
        <v>2260</v>
      </c>
      <c r="D1054" t="s">
        <v>2369</v>
      </c>
      <c r="E1054">
        <f>IFERROR(
   IF(D1054="Líder",
      INDEX(ZACATECAS!E:E, MATCH(C1054, ZACATECAS!F:F, 0)),
      INDEX(ZACATECAS!H:H, MATCH(C1054, ZACATECAS!J:J, 0))
   ),
"")</f>
        <v>32045337</v>
      </c>
    </row>
    <row r="1055" spans="1:5" x14ac:dyDescent="0.3">
      <c r="A1055" t="s">
        <v>2127</v>
      </c>
      <c r="B1055" t="s">
        <v>2243</v>
      </c>
      <c r="C1055" t="s">
        <v>2250</v>
      </c>
      <c r="D1055" t="s">
        <v>2369</v>
      </c>
      <c r="E1055">
        <f>IFERROR(
   IF(D1055="Líder",
      INDEX(ZACATECAS!E:E, MATCH(C1055, ZACATECAS!F:F, 0)),
      INDEX(ZACATECAS!H:H, MATCH(C1055, ZACATECAS!J:J, 0))
   ),
"")</f>
        <v>32067987</v>
      </c>
    </row>
    <row r="1056" spans="1:5" x14ac:dyDescent="0.3">
      <c r="A1056" t="s">
        <v>2127</v>
      </c>
      <c r="B1056" t="s">
        <v>2162</v>
      </c>
      <c r="C1056" t="s">
        <v>2167</v>
      </c>
      <c r="D1056" t="s">
        <v>2369</v>
      </c>
      <c r="E1056">
        <f>IFERROR(
   IF(D1056="Líder",
      INDEX(ZACATECAS!E:E, MATCH(C1056, ZACATECAS!F:F, 0)),
      INDEX(ZACATECAS!H:H, MATCH(C1056, ZACATECAS!J:J, 0))
   ),
"")</f>
        <v>32045706</v>
      </c>
    </row>
    <row r="1057" spans="1:5" x14ac:dyDescent="0.3">
      <c r="A1057" t="s">
        <v>2127</v>
      </c>
      <c r="B1057" t="s">
        <v>2162</v>
      </c>
      <c r="C1057" t="s">
        <v>2166</v>
      </c>
      <c r="D1057" t="s">
        <v>2369</v>
      </c>
      <c r="E1057">
        <f>IFERROR(
   IF(D1057="Líder",
      INDEX(ZACATECAS!E:E, MATCH(C1057, ZACATECAS!F:F, 0)),
      INDEX(ZACATECAS!H:H, MATCH(C1057, ZACATECAS!J:J, 0))
   ),
"")</f>
        <v>32043982</v>
      </c>
    </row>
    <row r="1058" spans="1:5" x14ac:dyDescent="0.3">
      <c r="A1058" t="s">
        <v>2127</v>
      </c>
      <c r="B1058" t="s">
        <v>2162</v>
      </c>
      <c r="C1058" t="s">
        <v>2170</v>
      </c>
      <c r="D1058" t="s">
        <v>2369</v>
      </c>
      <c r="E1058">
        <f>IFERROR(
   IF(D1058="Líder",
      INDEX(ZACATECAS!E:E, MATCH(C1058, ZACATECAS!F:F, 0)),
      INDEX(ZACATECAS!H:H, MATCH(C1058, ZACATECAS!J:J, 0))
   ),
"")</f>
        <v>32044212</v>
      </c>
    </row>
    <row r="1059" spans="1:5" x14ac:dyDescent="0.3">
      <c r="A1059" t="s">
        <v>2127</v>
      </c>
      <c r="B1059" t="s">
        <v>2162</v>
      </c>
      <c r="C1059" t="s">
        <v>2171</v>
      </c>
      <c r="D1059" t="s">
        <v>2369</v>
      </c>
      <c r="E1059">
        <f>IFERROR(
   IF(D1059="Líder",
      INDEX(ZACATECAS!E:E, MATCH(C1059, ZACATECAS!F:F, 0)),
      INDEX(ZACATECAS!H:H, MATCH(C1059, ZACATECAS!J:J, 0))
   ),
"")</f>
        <v>32044078</v>
      </c>
    </row>
    <row r="1060" spans="1:5" x14ac:dyDescent="0.3">
      <c r="A1060" t="s">
        <v>2127</v>
      </c>
      <c r="B1060" t="s">
        <v>2162</v>
      </c>
      <c r="C1060" t="s">
        <v>2169</v>
      </c>
      <c r="D1060" t="s">
        <v>2369</v>
      </c>
      <c r="E1060">
        <f>IFERROR(
   IF(D1060="Líder",
      INDEX(ZACATECAS!E:E, MATCH(C1060, ZACATECAS!F:F, 0)),
      INDEX(ZACATECAS!H:H, MATCH(C1060, ZACATECAS!J:J, 0))
   ),
"")</f>
        <v>32137942</v>
      </c>
    </row>
    <row r="1061" spans="1:5" x14ac:dyDescent="0.3">
      <c r="A1061" t="s">
        <v>2127</v>
      </c>
      <c r="B1061" t="s">
        <v>2162</v>
      </c>
      <c r="C1061" t="s">
        <v>2165</v>
      </c>
      <c r="D1061" t="s">
        <v>2369</v>
      </c>
      <c r="E1061">
        <f>IFERROR(
   IF(D1061="Líder",
      INDEX(ZACATECAS!E:E, MATCH(C1061, ZACATECAS!F:F, 0)),
      INDEX(ZACATECAS!H:H, MATCH(C1061, ZACATECAS!J:J, 0))
   ),
"")</f>
        <v>32043975</v>
      </c>
    </row>
    <row r="1062" spans="1:5" x14ac:dyDescent="0.3">
      <c r="A1062" t="s">
        <v>2127</v>
      </c>
      <c r="B1062" t="s">
        <v>2162</v>
      </c>
      <c r="C1062" t="s">
        <v>2168</v>
      </c>
      <c r="D1062" t="s">
        <v>2369</v>
      </c>
      <c r="E1062">
        <f>IFERROR(
   IF(D1062="Líder",
      INDEX(ZACATECAS!E:E, MATCH(C1062, ZACATECAS!F:F, 0)),
      INDEX(ZACATECAS!H:H, MATCH(C1062, ZACATECAS!J:J, 0))
   ),
"")</f>
        <v>32045496</v>
      </c>
    </row>
    <row r="1063" spans="1:5" x14ac:dyDescent="0.3">
      <c r="A1063" t="s">
        <v>2127</v>
      </c>
      <c r="B1063" t="s">
        <v>2162</v>
      </c>
      <c r="C1063" t="s">
        <v>2164</v>
      </c>
      <c r="D1063" t="s">
        <v>2369</v>
      </c>
      <c r="E1063">
        <f>IFERROR(
   IF(D1063="Líder",
      INDEX(ZACATECAS!E:E, MATCH(C1063, ZACATECAS!F:F, 0)),
      INDEX(ZACATECAS!H:H, MATCH(C1063, ZACATECAS!J:J, 0))
   ),
"")</f>
        <v>32044803</v>
      </c>
    </row>
    <row r="1064" spans="1:5" x14ac:dyDescent="0.3">
      <c r="A1064" t="s">
        <v>35</v>
      </c>
      <c r="B1064" t="s">
        <v>1934</v>
      </c>
      <c r="C1064" t="s">
        <v>1937</v>
      </c>
      <c r="D1064" t="s">
        <v>2369</v>
      </c>
      <c r="E1064">
        <f>IFERROR(
   IF(D1064="Líder",
      INDEX(ZACATECAS!E:E, MATCH(C1064, ZACATECAS!F:F, 0)),
      INDEX(ZACATECAS!H:H, MATCH(C1064, ZACATECAS!J:J, 0))
   ),
"")</f>
        <v>32043813</v>
      </c>
    </row>
    <row r="1065" spans="1:5" x14ac:dyDescent="0.3">
      <c r="A1065" t="s">
        <v>35</v>
      </c>
      <c r="B1065" t="s">
        <v>1934</v>
      </c>
      <c r="C1065" t="s">
        <v>1939</v>
      </c>
      <c r="D1065" t="s">
        <v>2369</v>
      </c>
      <c r="E1065">
        <f>IFERROR(
   IF(D1065="Líder",
      INDEX(ZACATECAS!E:E, MATCH(C1065, ZACATECAS!F:F, 0)),
      INDEX(ZACATECAS!H:H, MATCH(C1065, ZACATECAS!J:J, 0))
   ),
"")</f>
        <v>32045837</v>
      </c>
    </row>
    <row r="1066" spans="1:5" x14ac:dyDescent="0.3">
      <c r="A1066" t="s">
        <v>35</v>
      </c>
      <c r="B1066" t="s">
        <v>1934</v>
      </c>
      <c r="C1066" t="s">
        <v>1941</v>
      </c>
      <c r="D1066" t="s">
        <v>2369</v>
      </c>
      <c r="E1066">
        <f>IFERROR(
   IF(D1066="Líder",
      INDEX(ZACATECAS!E:E, MATCH(C1066, ZACATECAS!F:F, 0)),
      INDEX(ZACATECAS!H:H, MATCH(C1066, ZACATECAS!J:J, 0))
   ),
"")</f>
        <v>32044591</v>
      </c>
    </row>
    <row r="1067" spans="1:5" x14ac:dyDescent="0.3">
      <c r="A1067" t="s">
        <v>35</v>
      </c>
      <c r="B1067" t="s">
        <v>1934</v>
      </c>
      <c r="C1067" t="s">
        <v>1943</v>
      </c>
      <c r="D1067" t="s">
        <v>2369</v>
      </c>
      <c r="E1067">
        <f>IFERROR(
   IF(D1067="Líder",
      INDEX(ZACATECAS!E:E, MATCH(C1067, ZACATECAS!F:F, 0)),
      INDEX(ZACATECAS!H:H, MATCH(C1067, ZACATECAS!J:J, 0))
   ),
"")</f>
        <v>32044678</v>
      </c>
    </row>
    <row r="1068" spans="1:5" x14ac:dyDescent="0.3">
      <c r="A1068" t="s">
        <v>35</v>
      </c>
      <c r="B1068" t="s">
        <v>1934</v>
      </c>
      <c r="C1068" t="s">
        <v>1945</v>
      </c>
      <c r="D1068" t="s">
        <v>2369</v>
      </c>
      <c r="E1068">
        <f>IFERROR(
   IF(D1068="Líder",
      INDEX(ZACATECAS!E:E, MATCH(C1068, ZACATECAS!F:F, 0)),
      INDEX(ZACATECAS!H:H, MATCH(C1068, ZACATECAS!J:J, 0))
   ),
"")</f>
        <v>32044323</v>
      </c>
    </row>
    <row r="1069" spans="1:5" x14ac:dyDescent="0.3">
      <c r="A1069" t="s">
        <v>35</v>
      </c>
      <c r="B1069" t="s">
        <v>1934</v>
      </c>
      <c r="C1069" t="s">
        <v>1947</v>
      </c>
      <c r="D1069" t="s">
        <v>2369</v>
      </c>
      <c r="E1069">
        <f>IFERROR(
   IF(D1069="Líder",
      INDEX(ZACATECAS!E:E, MATCH(C1069, ZACATECAS!F:F, 0)),
      INDEX(ZACATECAS!H:H, MATCH(C1069, ZACATECAS!J:J, 0))
   ),
"")</f>
        <v>32044422</v>
      </c>
    </row>
    <row r="1070" spans="1:5" x14ac:dyDescent="0.3">
      <c r="A1070" t="s">
        <v>35</v>
      </c>
      <c r="B1070" t="s">
        <v>1934</v>
      </c>
      <c r="C1070" t="s">
        <v>1949</v>
      </c>
      <c r="D1070" t="s">
        <v>2369</v>
      </c>
      <c r="E1070">
        <f>IFERROR(
   IF(D1070="Líder",
      INDEX(ZACATECAS!E:E, MATCH(C1070, ZACATECAS!F:F, 0)),
      INDEX(ZACATECAS!H:H, MATCH(C1070, ZACATECAS!J:J, 0))
   ),
"")</f>
        <v>32044985</v>
      </c>
    </row>
    <row r="1071" spans="1:5" x14ac:dyDescent="0.3">
      <c r="A1071" t="s">
        <v>35</v>
      </c>
      <c r="B1071" t="s">
        <v>1951</v>
      </c>
      <c r="C1071" t="s">
        <v>1954</v>
      </c>
      <c r="D1071" t="s">
        <v>2369</v>
      </c>
      <c r="E1071">
        <f>IFERROR(
   IF(D1071="Líder",
      INDEX(ZACATECAS!E:E, MATCH(C1071, ZACATECAS!F:F, 0)),
      INDEX(ZACATECAS!H:H, MATCH(C1071, ZACATECAS!J:J, 0))
   ),
"")</f>
        <v>32044566</v>
      </c>
    </row>
    <row r="1072" spans="1:5" x14ac:dyDescent="0.3">
      <c r="A1072" t="s">
        <v>35</v>
      </c>
      <c r="B1072" t="s">
        <v>1951</v>
      </c>
      <c r="C1072" t="s">
        <v>1956</v>
      </c>
      <c r="D1072" t="s">
        <v>2369</v>
      </c>
      <c r="E1072">
        <f>IFERROR(
   IF(D1072="Líder",
      INDEX(ZACATECAS!E:E, MATCH(C1072, ZACATECAS!F:F, 0)),
      INDEX(ZACATECAS!H:H, MATCH(C1072, ZACATECAS!J:J, 0))
   ),
"")</f>
        <v>32043734</v>
      </c>
    </row>
    <row r="1073" spans="1:5" x14ac:dyDescent="0.3">
      <c r="A1073" t="s">
        <v>35</v>
      </c>
      <c r="B1073" t="s">
        <v>1951</v>
      </c>
      <c r="C1073" t="s">
        <v>1958</v>
      </c>
      <c r="D1073" t="s">
        <v>2369</v>
      </c>
      <c r="E1073">
        <f>IFERROR(
   IF(D1073="Líder",
      INDEX(ZACATECAS!E:E, MATCH(C1073, ZACATECAS!F:F, 0)),
      INDEX(ZACATECAS!H:H, MATCH(C1073, ZACATECAS!J:J, 0))
   ),
"")</f>
        <v>32043632</v>
      </c>
    </row>
    <row r="1074" spans="1:5" x14ac:dyDescent="0.3">
      <c r="A1074" t="s">
        <v>35</v>
      </c>
      <c r="B1074" t="s">
        <v>1951</v>
      </c>
      <c r="C1074" t="s">
        <v>1960</v>
      </c>
      <c r="D1074" t="s">
        <v>2369</v>
      </c>
      <c r="E1074">
        <f>IFERROR(
   IF(D1074="Líder",
      INDEX(ZACATECAS!E:E, MATCH(C1074, ZACATECAS!F:F, 0)),
      INDEX(ZACATECAS!H:H, MATCH(C1074, ZACATECAS!J:J, 0))
   ),
"")</f>
        <v>32045514</v>
      </c>
    </row>
    <row r="1075" spans="1:5" x14ac:dyDescent="0.3">
      <c r="A1075" t="s">
        <v>35</v>
      </c>
      <c r="B1075" t="s">
        <v>1951</v>
      </c>
      <c r="C1075" t="s">
        <v>2469</v>
      </c>
      <c r="D1075" t="s">
        <v>2369</v>
      </c>
      <c r="E1075" t="str">
        <f>IFERROR(
   IF(D1075="Líder",
      INDEX(ZACATECAS!E:E, MATCH(C1075, ZACATECAS!F:F, 0)),
      INDEX(ZACATECAS!H:H, MATCH(C1075, ZACATECAS!J:J, 0))
   ),
"")</f>
        <v/>
      </c>
    </row>
    <row r="1076" spans="1:5" x14ac:dyDescent="0.3">
      <c r="A1076" t="s">
        <v>363</v>
      </c>
      <c r="B1076" t="s">
        <v>1003</v>
      </c>
      <c r="C1076" t="s">
        <v>1021</v>
      </c>
      <c r="D1076" t="s">
        <v>2369</v>
      </c>
      <c r="E1076">
        <f>IFERROR(
   IF(D1076="Líder",
      INDEX(ZACATECAS!E:E, MATCH(C1076, ZACATECAS!F:F, 0)),
      INDEX(ZACATECAS!H:H, MATCH(C1076, ZACATECAS!J:J, 0))
   ),
"")</f>
        <v>32046230</v>
      </c>
    </row>
    <row r="1077" spans="1:5" x14ac:dyDescent="0.3">
      <c r="A1077" t="s">
        <v>363</v>
      </c>
      <c r="B1077" t="s">
        <v>1003</v>
      </c>
      <c r="C1077" t="s">
        <v>1013</v>
      </c>
      <c r="D1077" t="s">
        <v>2369</v>
      </c>
      <c r="E1077">
        <f>IFERROR(
   IF(D1077="Líder",
      INDEX(ZACATECAS!E:E, MATCH(C1077, ZACATECAS!F:F, 0)),
      INDEX(ZACATECAS!H:H, MATCH(C1077, ZACATECAS!J:J, 0))
   ),
"")</f>
        <v>32046073</v>
      </c>
    </row>
    <row r="1078" spans="1:5" x14ac:dyDescent="0.3">
      <c r="A1078" t="s">
        <v>363</v>
      </c>
      <c r="B1078" t="s">
        <v>1003</v>
      </c>
      <c r="C1078" t="s">
        <v>1567</v>
      </c>
      <c r="D1078" t="s">
        <v>2369</v>
      </c>
      <c r="E1078">
        <f>IFERROR(
   IF(D1078="Líder",
      INDEX(ZACATECAS!E:E, MATCH(C1078, ZACATECAS!F:F, 0)),
      INDEX(ZACATECAS!H:H, MATCH(C1078, ZACATECAS!J:J, 0))
   ),
"")</f>
        <v>32046198</v>
      </c>
    </row>
    <row r="1079" spans="1:5" x14ac:dyDescent="0.3">
      <c r="A1079" t="s">
        <v>363</v>
      </c>
      <c r="B1079" t="s">
        <v>1003</v>
      </c>
      <c r="C1079" t="s">
        <v>682</v>
      </c>
      <c r="D1079" t="s">
        <v>2369</v>
      </c>
      <c r="E1079">
        <f>IFERROR(
   IF(D1079="Líder",
      INDEX(ZACATECAS!E:E, MATCH(C1079, ZACATECAS!F:F, 0)),
      INDEX(ZACATECAS!H:H, MATCH(C1079, ZACATECAS!J:J, 0))
   ),
"")</f>
        <v>32044464</v>
      </c>
    </row>
    <row r="1080" spans="1:5" x14ac:dyDescent="0.3">
      <c r="A1080" t="s">
        <v>363</v>
      </c>
      <c r="B1080" t="s">
        <v>1003</v>
      </c>
      <c r="C1080" t="s">
        <v>2470</v>
      </c>
      <c r="D1080" t="s">
        <v>2369</v>
      </c>
      <c r="E1080" t="str">
        <f>IFERROR(
   IF(D1080="Líder",
      INDEX(ZACATECAS!E:E, MATCH(C1080, ZACATECAS!F:F, 0)),
      INDEX(ZACATECAS!H:H, MATCH(C1080, ZACATECAS!J:J, 0))
   ),
"")</f>
        <v/>
      </c>
    </row>
    <row r="1081" spans="1:5" x14ac:dyDescent="0.3">
      <c r="A1081" t="s">
        <v>363</v>
      </c>
      <c r="B1081" t="s">
        <v>1003</v>
      </c>
      <c r="C1081" t="s">
        <v>741</v>
      </c>
      <c r="D1081" t="s">
        <v>2369</v>
      </c>
      <c r="E1081">
        <f>IFERROR(
   IF(D1081="Líder",
      INDEX(ZACATECAS!E:E, MATCH(C1081, ZACATECAS!F:F, 0)),
      INDEX(ZACATECAS!H:H, MATCH(C1081, ZACATECAS!J:J, 0))
   ),
"")</f>
        <v>32045118</v>
      </c>
    </row>
    <row r="1082" spans="1:5" x14ac:dyDescent="0.3">
      <c r="A1082" t="s">
        <v>363</v>
      </c>
      <c r="B1082" t="s">
        <v>1003</v>
      </c>
      <c r="C1082" t="s">
        <v>1010</v>
      </c>
      <c r="D1082" t="s">
        <v>2369</v>
      </c>
      <c r="E1082">
        <f>IFERROR(
   IF(D1082="Líder",
      INDEX(ZACATECAS!E:E, MATCH(C1082, ZACATECAS!F:F, 0)),
      INDEX(ZACATECAS!H:H, MATCH(C1082, ZACATECAS!J:J, 0))
   ),
"")</f>
        <v>32045959</v>
      </c>
    </row>
    <row r="1083" spans="1:5" x14ac:dyDescent="0.3">
      <c r="A1083" t="s">
        <v>363</v>
      </c>
      <c r="B1083" t="s">
        <v>1003</v>
      </c>
      <c r="C1083" t="s">
        <v>1037</v>
      </c>
      <c r="D1083" t="s">
        <v>2369</v>
      </c>
      <c r="E1083">
        <f>IFERROR(
   IF(D1083="Líder",
      INDEX(ZACATECAS!E:E, MATCH(C1083, ZACATECAS!F:F, 0)),
      INDEX(ZACATECAS!H:H, MATCH(C1083, ZACATECAS!J:J, 0))
   ),
"")</f>
        <v>32061941</v>
      </c>
    </row>
    <row r="1084" spans="1:5" x14ac:dyDescent="0.3">
      <c r="A1084" t="s">
        <v>363</v>
      </c>
      <c r="B1084" t="s">
        <v>1003</v>
      </c>
      <c r="C1084" t="s">
        <v>1024</v>
      </c>
      <c r="D1084" t="s">
        <v>2369</v>
      </c>
      <c r="E1084">
        <f>IFERROR(
   IF(D1084="Líder",
      INDEX(ZACATECAS!E:E, MATCH(C1084, ZACATECAS!F:F, 0)),
      INDEX(ZACATECAS!H:H, MATCH(C1084, ZACATECAS!J:J, 0))
   ),
"")</f>
        <v>32046386</v>
      </c>
    </row>
    <row r="1085" spans="1:5" x14ac:dyDescent="0.3">
      <c r="A1085" t="s">
        <v>363</v>
      </c>
      <c r="B1085" t="s">
        <v>1003</v>
      </c>
      <c r="C1085" t="s">
        <v>1048</v>
      </c>
      <c r="D1085" t="s">
        <v>2369</v>
      </c>
      <c r="E1085">
        <f>IFERROR(
   IF(D1085="Líder",
      INDEX(ZACATECAS!E:E, MATCH(C1085, ZACATECAS!F:F, 0)),
      INDEX(ZACATECAS!H:H, MATCH(C1085, ZACATECAS!J:J, 0))
   ),
"")</f>
        <v>32180198</v>
      </c>
    </row>
    <row r="1086" spans="1:5" x14ac:dyDescent="0.3">
      <c r="A1086" t="s">
        <v>363</v>
      </c>
      <c r="B1086" t="s">
        <v>1003</v>
      </c>
      <c r="C1086" t="s">
        <v>1040</v>
      </c>
      <c r="D1086" t="s">
        <v>2369</v>
      </c>
      <c r="E1086">
        <f>IFERROR(
   IF(D1086="Líder",
      INDEX(ZACATECAS!E:E, MATCH(C1086, ZACATECAS!F:F, 0)),
      INDEX(ZACATECAS!H:H, MATCH(C1086, ZACATECAS!J:J, 0))
   ),
"")</f>
        <v>32149860</v>
      </c>
    </row>
    <row r="1087" spans="1:5" x14ac:dyDescent="0.3">
      <c r="A1087" t="s">
        <v>363</v>
      </c>
      <c r="B1087" t="s">
        <v>1003</v>
      </c>
      <c r="C1087" t="s">
        <v>1030</v>
      </c>
      <c r="D1087" t="s">
        <v>2369</v>
      </c>
      <c r="E1087">
        <f>IFERROR(
   IF(D1087="Líder",
      INDEX(ZACATECAS!E:E, MATCH(C1087, ZACATECAS!F:F, 0)),
      INDEX(ZACATECAS!H:H, MATCH(C1087, ZACATECAS!J:J, 0))
   ),
"")</f>
        <v>32046415</v>
      </c>
    </row>
    <row r="1088" spans="1:5" x14ac:dyDescent="0.3">
      <c r="A1088" t="s">
        <v>363</v>
      </c>
      <c r="B1088" t="s">
        <v>1003</v>
      </c>
      <c r="C1088" t="s">
        <v>2471</v>
      </c>
      <c r="D1088" t="s">
        <v>2369</v>
      </c>
      <c r="E1088" t="str">
        <f>IFERROR(
   IF(D1088="Líder",
      INDEX(ZACATECAS!E:E, MATCH(C1088, ZACATECAS!F:F, 0)),
      INDEX(ZACATECAS!H:H, MATCH(C1088, ZACATECAS!J:J, 0))
   ),
"")</f>
        <v/>
      </c>
    </row>
    <row r="1089" spans="1:5" x14ac:dyDescent="0.3">
      <c r="A1089" t="s">
        <v>363</v>
      </c>
      <c r="B1089" t="s">
        <v>1003</v>
      </c>
      <c r="C1089" t="s">
        <v>1032</v>
      </c>
      <c r="D1089" t="s">
        <v>2369</v>
      </c>
      <c r="E1089">
        <f>IFERROR(
   IF(D1089="Líder",
      INDEX(ZACATECAS!E:E, MATCH(C1089, ZACATECAS!F:F, 0)),
      INDEX(ZACATECAS!H:H, MATCH(C1089, ZACATECAS!J:J, 0))
   ),
"")</f>
        <v>32046558</v>
      </c>
    </row>
    <row r="1090" spans="1:5" x14ac:dyDescent="0.3">
      <c r="A1090" t="s">
        <v>363</v>
      </c>
      <c r="B1090" t="s">
        <v>1003</v>
      </c>
      <c r="C1090" t="s">
        <v>1008</v>
      </c>
      <c r="D1090" t="s">
        <v>2369</v>
      </c>
      <c r="E1090">
        <f>IFERROR(
   IF(D1090="Líder",
      INDEX(ZACATECAS!E:E, MATCH(C1090, ZACATECAS!F:F, 0)),
      INDEX(ZACATECAS!H:H, MATCH(C1090, ZACATECAS!J:J, 0))
   ),
"")</f>
        <v>32045040</v>
      </c>
    </row>
    <row r="1091" spans="1:5" x14ac:dyDescent="0.3">
      <c r="A1091" t="s">
        <v>363</v>
      </c>
      <c r="B1091" t="s">
        <v>1003</v>
      </c>
      <c r="C1091" t="s">
        <v>1578</v>
      </c>
      <c r="D1091" t="s">
        <v>2369</v>
      </c>
      <c r="E1091">
        <f>IFERROR(
   IF(D1091="Líder",
      INDEX(ZACATECAS!E:E, MATCH(C1091, ZACATECAS!F:F, 0)),
      INDEX(ZACATECAS!H:H, MATCH(C1091, ZACATECAS!J:J, 0))
   ),
"")</f>
        <v>32148632</v>
      </c>
    </row>
    <row r="1092" spans="1:5" x14ac:dyDescent="0.3">
      <c r="A1092" t="s">
        <v>363</v>
      </c>
      <c r="B1092" t="s">
        <v>1003</v>
      </c>
      <c r="C1092" t="s">
        <v>1018</v>
      </c>
      <c r="D1092" t="s">
        <v>2369</v>
      </c>
      <c r="E1092">
        <f>IFERROR(
   IF(D1092="Líder",
      INDEX(ZACATECAS!E:E, MATCH(C1092, ZACATECAS!F:F, 0)),
      INDEX(ZACATECAS!H:H, MATCH(C1092, ZACATECAS!J:J, 0))
   ),
"")</f>
        <v>32046201</v>
      </c>
    </row>
    <row r="1093" spans="1:5" x14ac:dyDescent="0.3">
      <c r="A1093" t="s">
        <v>363</v>
      </c>
      <c r="B1093" t="s">
        <v>1003</v>
      </c>
      <c r="C1093" t="s">
        <v>1045</v>
      </c>
      <c r="D1093" t="s">
        <v>2369</v>
      </c>
      <c r="E1093">
        <f>IFERROR(
   IF(D1093="Líder",
      INDEX(ZACATECAS!E:E, MATCH(C1093, ZACATECAS!F:F, 0)),
      INDEX(ZACATECAS!H:H, MATCH(C1093, ZACATECAS!J:J, 0))
   ),
"")</f>
        <v>32153095</v>
      </c>
    </row>
    <row r="1094" spans="1:5" x14ac:dyDescent="0.3">
      <c r="A1094" t="s">
        <v>363</v>
      </c>
      <c r="B1094" t="s">
        <v>1003</v>
      </c>
      <c r="C1094" t="s">
        <v>1027</v>
      </c>
      <c r="D1094" t="s">
        <v>2369</v>
      </c>
      <c r="E1094">
        <f>IFERROR(
   IF(D1094="Líder",
      INDEX(ZACATECAS!E:E, MATCH(C1094, ZACATECAS!F:F, 0)),
      INDEX(ZACATECAS!H:H, MATCH(C1094, ZACATECAS!J:J, 0))
   ),
"")</f>
        <v>32046394</v>
      </c>
    </row>
    <row r="1095" spans="1:5" x14ac:dyDescent="0.3">
      <c r="A1095" t="s">
        <v>363</v>
      </c>
      <c r="B1095" t="s">
        <v>1003</v>
      </c>
      <c r="C1095" t="s">
        <v>542</v>
      </c>
      <c r="D1095" t="s">
        <v>2369</v>
      </c>
      <c r="E1095">
        <f>IFERROR(
   IF(D1095="Líder",
      INDEX(ZACATECAS!E:E, MATCH(C1095, ZACATECAS!F:F, 0)),
      INDEX(ZACATECAS!H:H, MATCH(C1095, ZACATECAS!J:J, 0))
   ),
"")</f>
        <v>32132058</v>
      </c>
    </row>
    <row r="1096" spans="1:5" x14ac:dyDescent="0.3">
      <c r="A1096" t="s">
        <v>363</v>
      </c>
      <c r="B1096" t="s">
        <v>1003</v>
      </c>
      <c r="C1096" t="s">
        <v>1043</v>
      </c>
      <c r="D1096" t="s">
        <v>2369</v>
      </c>
      <c r="E1096">
        <f>IFERROR(
   IF(D1096="Líder",
      INDEX(ZACATECAS!E:E, MATCH(C1096, ZACATECAS!F:F, 0)),
      INDEX(ZACATECAS!H:H, MATCH(C1096, ZACATECAS!J:J, 0))
   ),
"")</f>
        <v>32149877</v>
      </c>
    </row>
    <row r="1097" spans="1:5" x14ac:dyDescent="0.3">
      <c r="A1097" t="s">
        <v>363</v>
      </c>
      <c r="B1097" t="s">
        <v>1003</v>
      </c>
      <c r="C1097" t="s">
        <v>1034</v>
      </c>
      <c r="D1097" t="s">
        <v>2369</v>
      </c>
      <c r="E1097">
        <f>IFERROR(
   IF(D1097="Líder",
      INDEX(ZACATECAS!E:E, MATCH(C1097, ZACATECAS!F:F, 0)),
      INDEX(ZACATECAS!H:H, MATCH(C1097, ZACATECAS!J:J, 0))
   ),
"")</f>
        <v>32060919</v>
      </c>
    </row>
    <row r="1098" spans="1:5" x14ac:dyDescent="0.3">
      <c r="A1098" t="s">
        <v>28</v>
      </c>
      <c r="B1098" t="s">
        <v>197</v>
      </c>
      <c r="C1098" t="s">
        <v>199</v>
      </c>
      <c r="D1098" t="s">
        <v>2369</v>
      </c>
      <c r="E1098">
        <f>IFERROR(
   IF(D1098="Líder",
      INDEX(ZACATECAS!E:E, MATCH(C1098, ZACATECAS!F:F, 0)),
      INDEX(ZACATECAS!H:H, MATCH(C1098, ZACATECAS!J:J, 0))
   ),
"")</f>
        <v>32175115</v>
      </c>
    </row>
    <row r="1099" spans="1:5" x14ac:dyDescent="0.3">
      <c r="A1099" t="s">
        <v>28</v>
      </c>
      <c r="B1099" t="s">
        <v>197</v>
      </c>
      <c r="C1099" t="s">
        <v>201</v>
      </c>
      <c r="D1099" t="s">
        <v>2369</v>
      </c>
      <c r="E1099">
        <f>IFERROR(
   IF(D1099="Líder",
      INDEX(ZACATECAS!E:E, MATCH(C1099, ZACATECAS!F:F, 0)),
      INDEX(ZACATECAS!H:H, MATCH(C1099, ZACATECAS!J:J, 0))
   ),
"")</f>
        <v>32197975</v>
      </c>
    </row>
    <row r="1100" spans="1:5" x14ac:dyDescent="0.3">
      <c r="A1100" t="s">
        <v>28</v>
      </c>
      <c r="B1100" t="s">
        <v>197</v>
      </c>
      <c r="C1100" t="s">
        <v>203</v>
      </c>
      <c r="D1100" t="s">
        <v>2369</v>
      </c>
      <c r="E1100">
        <f>IFERROR(
   IF(D1100="Líder",
      INDEX(ZACATECAS!E:E, MATCH(C1100, ZACATECAS!F:F, 0)),
      INDEX(ZACATECAS!H:H, MATCH(C1100, ZACATECAS!J:J, 0))
   ),
"")</f>
        <v>32183480</v>
      </c>
    </row>
    <row r="1101" spans="1:5" x14ac:dyDescent="0.3">
      <c r="A1101" t="s">
        <v>28</v>
      </c>
      <c r="B1101" t="s">
        <v>197</v>
      </c>
      <c r="C1101" t="s">
        <v>205</v>
      </c>
      <c r="D1101" t="s">
        <v>2369</v>
      </c>
      <c r="E1101">
        <f>IFERROR(
   IF(D1101="Líder",
      INDEX(ZACATECAS!E:E, MATCH(C1101, ZACATECAS!F:F, 0)),
      INDEX(ZACATECAS!H:H, MATCH(C1101, ZACATECAS!J:J, 0))
   ),
"")</f>
        <v>32176720</v>
      </c>
    </row>
    <row r="1102" spans="1:5" x14ac:dyDescent="0.3">
      <c r="A1102" t="s">
        <v>28</v>
      </c>
      <c r="B1102" t="s">
        <v>197</v>
      </c>
      <c r="C1102" t="s">
        <v>207</v>
      </c>
      <c r="D1102" t="s">
        <v>2369</v>
      </c>
      <c r="E1102">
        <f>IFERROR(
   IF(D1102="Líder",
      INDEX(ZACATECAS!E:E, MATCH(C1102, ZACATECAS!F:F, 0)),
      INDEX(ZACATECAS!H:H, MATCH(C1102, ZACATECAS!J:J, 0))
   ),
"")</f>
        <v>32149237</v>
      </c>
    </row>
    <row r="1103" spans="1:5" x14ac:dyDescent="0.3">
      <c r="A1103" t="s">
        <v>28</v>
      </c>
      <c r="B1103" t="s">
        <v>197</v>
      </c>
      <c r="C1103" t="s">
        <v>209</v>
      </c>
      <c r="D1103" t="s">
        <v>2369</v>
      </c>
      <c r="E1103">
        <f>IFERROR(
   IF(D1103="Líder",
      INDEX(ZACATECAS!E:E, MATCH(C1103, ZACATECAS!F:F, 0)),
      INDEX(ZACATECAS!H:H, MATCH(C1103, ZACATECAS!J:J, 0))
   ),
"")</f>
        <v>32181712</v>
      </c>
    </row>
    <row r="1104" spans="1:5" x14ac:dyDescent="0.3">
      <c r="A1104" t="s">
        <v>2127</v>
      </c>
      <c r="B1104" t="s">
        <v>2172</v>
      </c>
      <c r="C1104" t="s">
        <v>2174</v>
      </c>
      <c r="D1104" t="s">
        <v>2369</v>
      </c>
      <c r="E1104">
        <f>IFERROR(
   IF(D1104="Líder",
      INDEX(ZACATECAS!E:E, MATCH(C1104, ZACATECAS!F:F, 0)),
      INDEX(ZACATECAS!H:H, MATCH(C1104, ZACATECAS!J:J, 0))
   ),
"")</f>
        <v>32045757</v>
      </c>
    </row>
    <row r="1105" spans="1:5" x14ac:dyDescent="0.3">
      <c r="A1105" t="s">
        <v>2127</v>
      </c>
      <c r="B1105" t="s">
        <v>2172</v>
      </c>
      <c r="C1105" t="s">
        <v>2179</v>
      </c>
      <c r="D1105" t="s">
        <v>2369</v>
      </c>
      <c r="E1105">
        <f>IFERROR(
   IF(D1105="Líder",
      INDEX(ZACATECAS!E:E, MATCH(C1105, ZACATECAS!F:F, 0)),
      INDEX(ZACATECAS!H:H, MATCH(C1105, ZACATECAS!J:J, 0))
   ),
"")</f>
        <v>32137941</v>
      </c>
    </row>
    <row r="1106" spans="1:5" x14ac:dyDescent="0.3">
      <c r="A1106" t="s">
        <v>2127</v>
      </c>
      <c r="B1106" t="s">
        <v>2172</v>
      </c>
      <c r="C1106" t="s">
        <v>2472</v>
      </c>
      <c r="D1106" t="s">
        <v>2369</v>
      </c>
      <c r="E1106" t="str">
        <f>IFERROR(
   IF(D1106="Líder",
      INDEX(ZACATECAS!E:E, MATCH(C1106, ZACATECAS!F:F, 0)),
      INDEX(ZACATECAS!H:H, MATCH(C1106, ZACATECAS!J:J, 0))
   ),
"")</f>
        <v/>
      </c>
    </row>
    <row r="1107" spans="1:5" x14ac:dyDescent="0.3">
      <c r="A1107" t="s">
        <v>2127</v>
      </c>
      <c r="B1107" t="s">
        <v>2172</v>
      </c>
      <c r="C1107" t="s">
        <v>2176</v>
      </c>
      <c r="D1107" t="s">
        <v>2369</v>
      </c>
      <c r="E1107">
        <f>IFERROR(
   IF(D1107="Líder",
      INDEX(ZACATECAS!E:E, MATCH(C1107, ZACATECAS!F:F, 0)),
      INDEX(ZACATECAS!H:H, MATCH(C1107, ZACATECAS!J:J, 0))
   ),
"")</f>
        <v>32044189</v>
      </c>
    </row>
    <row r="1108" spans="1:5" x14ac:dyDescent="0.3">
      <c r="A1108" t="s">
        <v>2127</v>
      </c>
      <c r="B1108" t="s">
        <v>2172</v>
      </c>
      <c r="C1108" t="s">
        <v>2178</v>
      </c>
      <c r="D1108" t="s">
        <v>2369</v>
      </c>
      <c r="E1108">
        <f>IFERROR(
   IF(D1108="Líder",
      INDEX(ZACATECAS!E:E, MATCH(C1108, ZACATECAS!F:F, 0)),
      INDEX(ZACATECAS!H:H, MATCH(C1108, ZACATECAS!J:J, 0))
   ),
"")</f>
        <v>32149475</v>
      </c>
    </row>
    <row r="1109" spans="1:5" x14ac:dyDescent="0.3">
      <c r="A1109" t="s">
        <v>2127</v>
      </c>
      <c r="B1109" t="s">
        <v>2172</v>
      </c>
      <c r="C1109" t="s">
        <v>2180</v>
      </c>
      <c r="D1109" t="s">
        <v>2369</v>
      </c>
      <c r="E1109">
        <f>IFERROR(
   IF(D1109="Líder",
      INDEX(ZACATECAS!E:E, MATCH(C1109, ZACATECAS!F:F, 0)),
      INDEX(ZACATECAS!H:H, MATCH(C1109, ZACATECAS!J:J, 0))
   ),
"")</f>
        <v>32044412</v>
      </c>
    </row>
    <row r="1110" spans="1:5" x14ac:dyDescent="0.3">
      <c r="A1110" t="s">
        <v>2127</v>
      </c>
      <c r="B1110" t="s">
        <v>2172</v>
      </c>
      <c r="C1110" t="s">
        <v>2131</v>
      </c>
      <c r="D1110" t="s">
        <v>2369</v>
      </c>
      <c r="E1110">
        <f>IFERROR(
   IF(D1110="Líder",
      INDEX(ZACATECAS!E:E, MATCH(C1110, ZACATECAS!F:F, 0)),
      INDEX(ZACATECAS!H:H, MATCH(C1110, ZACATECAS!J:J, 0))
   ),
"")</f>
        <v>32044330</v>
      </c>
    </row>
    <row r="1111" spans="1:5" x14ac:dyDescent="0.3">
      <c r="A1111" t="s">
        <v>1584</v>
      </c>
      <c r="B1111" t="s">
        <v>2364</v>
      </c>
      <c r="C1111" t="s">
        <v>1739</v>
      </c>
      <c r="D1111" t="s">
        <v>2369</v>
      </c>
      <c r="E1111">
        <f>IFERROR(
   IF(D1111="Líder",
      INDEX(ZACATECAS!E:E, MATCH(C1111, ZACATECAS!F:F, 0)),
      INDEX(ZACATECAS!H:H, MATCH(C1111, ZACATECAS!J:J, 0))
   ),
"")</f>
        <v>32216902</v>
      </c>
    </row>
    <row r="1112" spans="1:5" x14ac:dyDescent="0.3">
      <c r="A1112" t="s">
        <v>1584</v>
      </c>
      <c r="B1112" t="s">
        <v>2364</v>
      </c>
      <c r="C1112" t="s">
        <v>2338</v>
      </c>
      <c r="D1112" t="s">
        <v>2369</v>
      </c>
      <c r="E1112" t="str">
        <f>IFERROR(
   IF(D1112="Líder",
      INDEX(ZACATECAS!E:E, MATCH(C1112, ZACATECAS!F:F, 0)),
      INDEX(ZACATECAS!H:H, MATCH(C1112, ZACATECAS!J:J, 0))
   ),
"")</f>
        <v/>
      </c>
    </row>
    <row r="1113" spans="1:5" x14ac:dyDescent="0.3">
      <c r="A1113" t="s">
        <v>1584</v>
      </c>
      <c r="B1113" t="s">
        <v>2364</v>
      </c>
      <c r="C1113" t="s">
        <v>1742</v>
      </c>
      <c r="D1113" t="s">
        <v>2369</v>
      </c>
      <c r="E1113">
        <f>IFERROR(
   IF(D1113="Líder",
      INDEX(ZACATECAS!E:E, MATCH(C1113, ZACATECAS!F:F, 0)),
      INDEX(ZACATECAS!H:H, MATCH(C1113, ZACATECAS!J:J, 0))
   ),
"")</f>
        <v>32045325</v>
      </c>
    </row>
    <row r="1114" spans="1:5" x14ac:dyDescent="0.3">
      <c r="A1114" t="s">
        <v>1584</v>
      </c>
      <c r="B1114" t="s">
        <v>2364</v>
      </c>
      <c r="C1114" t="s">
        <v>1744</v>
      </c>
      <c r="D1114" t="s">
        <v>2369</v>
      </c>
      <c r="E1114">
        <f>IFERROR(
   IF(D1114="Líder",
      INDEX(ZACATECAS!E:E, MATCH(C1114, ZACATECAS!F:F, 0)),
      INDEX(ZACATECAS!H:H, MATCH(C1114, ZACATECAS!J:J, 0))
   ),
"")</f>
        <v>32045068</v>
      </c>
    </row>
    <row r="1115" spans="1:5" x14ac:dyDescent="0.3">
      <c r="A1115" t="s">
        <v>1584</v>
      </c>
      <c r="B1115" t="s">
        <v>2364</v>
      </c>
      <c r="C1115" t="s">
        <v>1746</v>
      </c>
      <c r="D1115" t="s">
        <v>2369</v>
      </c>
      <c r="E1115">
        <f>IFERROR(
   IF(D1115="Líder",
      INDEX(ZACATECAS!E:E, MATCH(C1115, ZACATECAS!F:F, 0)),
      INDEX(ZACATECAS!H:H, MATCH(C1115, ZACATECAS!J:J, 0))
   ),
"")</f>
        <v>32046004</v>
      </c>
    </row>
    <row r="1116" spans="1:5" x14ac:dyDescent="0.3">
      <c r="A1116" t="s">
        <v>1584</v>
      </c>
      <c r="B1116" t="s">
        <v>2364</v>
      </c>
      <c r="C1116" t="s">
        <v>1748</v>
      </c>
      <c r="D1116" t="s">
        <v>2369</v>
      </c>
      <c r="E1116">
        <f>IFERROR(
   IF(D1116="Líder",
      INDEX(ZACATECAS!E:E, MATCH(C1116, ZACATECAS!F:F, 0)),
      INDEX(ZACATECAS!H:H, MATCH(C1116, ZACATECAS!J:J, 0))
   ),
"")</f>
        <v>32046598</v>
      </c>
    </row>
    <row r="1117" spans="1:5" x14ac:dyDescent="0.3">
      <c r="A1117" t="s">
        <v>1584</v>
      </c>
      <c r="B1117" t="s">
        <v>2364</v>
      </c>
      <c r="C1117" t="s">
        <v>1750</v>
      </c>
      <c r="D1117" t="s">
        <v>2369</v>
      </c>
      <c r="E1117">
        <f>IFERROR(
   IF(D1117="Líder",
      INDEX(ZACATECAS!E:E, MATCH(C1117, ZACATECAS!F:F, 0)),
      INDEX(ZACATECAS!H:H, MATCH(C1117, ZACATECAS!J:J, 0))
   ),
"")</f>
        <v>32044358</v>
      </c>
    </row>
    <row r="1118" spans="1:5" x14ac:dyDescent="0.3">
      <c r="A1118" t="s">
        <v>1584</v>
      </c>
      <c r="B1118" t="s">
        <v>2364</v>
      </c>
      <c r="C1118" t="s">
        <v>1752</v>
      </c>
      <c r="D1118" t="s">
        <v>2369</v>
      </c>
      <c r="E1118">
        <f>IFERROR(
   IF(D1118="Líder",
      INDEX(ZACATECAS!E:E, MATCH(C1118, ZACATECAS!F:F, 0)),
      INDEX(ZACATECAS!H:H, MATCH(C1118, ZACATECAS!J:J, 0))
   ),
"")</f>
        <v>32046184</v>
      </c>
    </row>
    <row r="1119" spans="1:5" x14ac:dyDescent="0.3">
      <c r="A1119" t="s">
        <v>2127</v>
      </c>
      <c r="B1119" t="s">
        <v>2236</v>
      </c>
      <c r="C1119" t="s">
        <v>2473</v>
      </c>
      <c r="D1119" t="s">
        <v>2369</v>
      </c>
      <c r="E1119" t="str">
        <f>IFERROR(
   IF(D1119="Líder",
      INDEX(ZACATECAS!E:E, MATCH(C1119, ZACATECAS!F:F, 0)),
      INDEX(ZACATECAS!H:H, MATCH(C1119, ZACATECAS!J:J, 0))
   ),
"")</f>
        <v/>
      </c>
    </row>
    <row r="1120" spans="1:5" x14ac:dyDescent="0.3">
      <c r="A1120" t="s">
        <v>2127</v>
      </c>
      <c r="B1120" t="s">
        <v>2236</v>
      </c>
      <c r="C1120" t="s">
        <v>2242</v>
      </c>
      <c r="D1120" t="s">
        <v>2369</v>
      </c>
      <c r="E1120">
        <f>IFERROR(
   IF(D1120="Líder",
      INDEX(ZACATECAS!E:E, MATCH(C1120, ZACATECAS!F:F, 0)),
      INDEX(ZACATECAS!H:H, MATCH(C1120, ZACATECAS!J:J, 0))
   ),
"")</f>
        <v>32044381</v>
      </c>
    </row>
    <row r="1121" spans="1:5" x14ac:dyDescent="0.3">
      <c r="A1121" t="s">
        <v>2127</v>
      </c>
      <c r="B1121" t="s">
        <v>2236</v>
      </c>
      <c r="C1121" t="s">
        <v>2240</v>
      </c>
      <c r="D1121" t="s">
        <v>2369</v>
      </c>
      <c r="E1121">
        <f>IFERROR(
   IF(D1121="Líder",
      INDEX(ZACATECAS!E:E, MATCH(C1121, ZACATECAS!F:F, 0)),
      INDEX(ZACATECAS!H:H, MATCH(C1121, ZACATECAS!J:J, 0))
   ),
"")</f>
        <v>32044650</v>
      </c>
    </row>
    <row r="1122" spans="1:5" x14ac:dyDescent="0.3">
      <c r="A1122" t="s">
        <v>2127</v>
      </c>
      <c r="B1122" t="s">
        <v>2236</v>
      </c>
      <c r="C1122" t="s">
        <v>2241</v>
      </c>
      <c r="D1122" t="s">
        <v>2369</v>
      </c>
      <c r="E1122">
        <f>IFERROR(
   IF(D1122="Líder",
      INDEX(ZACATECAS!E:E, MATCH(C1122, ZACATECAS!F:F, 0)),
      INDEX(ZACATECAS!H:H, MATCH(C1122, ZACATECAS!J:J, 0))
   ),
"")</f>
        <v>32146289</v>
      </c>
    </row>
    <row r="1123" spans="1:5" x14ac:dyDescent="0.3">
      <c r="A1123" t="s">
        <v>2127</v>
      </c>
      <c r="B1123" t="s">
        <v>2236</v>
      </c>
      <c r="C1123" t="s">
        <v>2238</v>
      </c>
      <c r="D1123" t="s">
        <v>2369</v>
      </c>
      <c r="E1123">
        <f>IFERROR(
   IF(D1123="Líder",
      INDEX(ZACATECAS!E:E, MATCH(C1123, ZACATECAS!F:F, 0)),
      INDEX(ZACATECAS!H:H, MATCH(C1123, ZACATECAS!J:J, 0))
   ),
"")</f>
        <v>32044247</v>
      </c>
    </row>
    <row r="1124" spans="1:5" x14ac:dyDescent="0.3">
      <c r="A1124" t="s">
        <v>35</v>
      </c>
      <c r="B1124" t="s">
        <v>1962</v>
      </c>
      <c r="C1124" t="s">
        <v>1965</v>
      </c>
      <c r="D1124" t="s">
        <v>2369</v>
      </c>
      <c r="E1124">
        <f>IFERROR(
   IF(D1124="Líder",
      INDEX(ZACATECAS!E:E, MATCH(C1124, ZACATECAS!F:F, 0)),
      INDEX(ZACATECAS!H:H, MATCH(C1124, ZACATECAS!J:J, 0))
   ),
"")</f>
        <v>32045544</v>
      </c>
    </row>
    <row r="1125" spans="1:5" x14ac:dyDescent="0.3">
      <c r="A1125" t="s">
        <v>35</v>
      </c>
      <c r="B1125" t="s">
        <v>1962</v>
      </c>
      <c r="C1125" t="s">
        <v>1967</v>
      </c>
      <c r="D1125" t="s">
        <v>2369</v>
      </c>
      <c r="E1125">
        <f>IFERROR(
   IF(D1125="Líder",
      INDEX(ZACATECAS!E:E, MATCH(C1125, ZACATECAS!F:F, 0)),
      INDEX(ZACATECAS!H:H, MATCH(C1125, ZACATECAS!J:J, 0))
   ),
"")</f>
        <v>32044266</v>
      </c>
    </row>
    <row r="1126" spans="1:5" x14ac:dyDescent="0.3">
      <c r="A1126" t="s">
        <v>35</v>
      </c>
      <c r="B1126" t="s">
        <v>1962</v>
      </c>
      <c r="C1126" t="s">
        <v>1969</v>
      </c>
      <c r="D1126" t="s">
        <v>2369</v>
      </c>
      <c r="E1126">
        <f>IFERROR(
   IF(D1126="Líder",
      INDEX(ZACATECAS!E:E, MATCH(C1126, ZACATECAS!F:F, 0)),
      INDEX(ZACATECAS!H:H, MATCH(C1126, ZACATECAS!J:J, 0))
   ),
"")</f>
        <v>32045442</v>
      </c>
    </row>
    <row r="1127" spans="1:5" x14ac:dyDescent="0.3">
      <c r="A1127" t="s">
        <v>35</v>
      </c>
      <c r="B1127" t="s">
        <v>1962</v>
      </c>
      <c r="C1127" t="s">
        <v>1971</v>
      </c>
      <c r="D1127" t="s">
        <v>2369</v>
      </c>
      <c r="E1127">
        <f>IFERROR(
   IF(D1127="Líder",
      INDEX(ZACATECAS!E:E, MATCH(C1127, ZACATECAS!F:F, 0)),
      INDEX(ZACATECAS!H:H, MATCH(C1127, ZACATECAS!J:J, 0))
   ),
"")</f>
        <v>32045490</v>
      </c>
    </row>
    <row r="1128" spans="1:5" x14ac:dyDescent="0.3">
      <c r="A1128" t="s">
        <v>35</v>
      </c>
      <c r="B1128" t="s">
        <v>1962</v>
      </c>
      <c r="C1128" t="s">
        <v>1973</v>
      </c>
      <c r="D1128" t="s">
        <v>2369</v>
      </c>
      <c r="E1128">
        <f>IFERROR(
   IF(D1128="Líder",
      INDEX(ZACATECAS!E:E, MATCH(C1128, ZACATECAS!F:F, 0)),
      INDEX(ZACATECAS!H:H, MATCH(C1128, ZACATECAS!J:J, 0))
   ),
"")</f>
        <v>32045840</v>
      </c>
    </row>
    <row r="1129" spans="1:5" x14ac:dyDescent="0.3">
      <c r="A1129" t="s">
        <v>35</v>
      </c>
      <c r="B1129" t="s">
        <v>1962</v>
      </c>
      <c r="C1129" t="s">
        <v>1975</v>
      </c>
      <c r="D1129" t="s">
        <v>2369</v>
      </c>
      <c r="E1129">
        <f>IFERROR(
   IF(D1129="Líder",
      INDEX(ZACATECAS!E:E, MATCH(C1129, ZACATECAS!F:F, 0)),
      INDEX(ZACATECAS!H:H, MATCH(C1129, ZACATECAS!J:J, 0))
   ),
"")</f>
        <v>32045441</v>
      </c>
    </row>
    <row r="1130" spans="1:5" x14ac:dyDescent="0.3">
      <c r="A1130" t="s">
        <v>35</v>
      </c>
      <c r="B1130" t="s">
        <v>1962</v>
      </c>
      <c r="C1130" t="s">
        <v>1977</v>
      </c>
      <c r="D1130" t="s">
        <v>2369</v>
      </c>
      <c r="E1130">
        <f>IFERROR(
   IF(D1130="Líder",
      INDEX(ZACATECAS!E:E, MATCH(C1130, ZACATECAS!F:F, 0)),
      INDEX(ZACATECAS!H:H, MATCH(C1130, ZACATECAS!J:J, 0))
   ),
"")</f>
        <v>32132187</v>
      </c>
    </row>
    <row r="1131" spans="1:5" x14ac:dyDescent="0.3">
      <c r="A1131" t="s">
        <v>35</v>
      </c>
      <c r="B1131" t="s">
        <v>1962</v>
      </c>
      <c r="C1131" t="s">
        <v>1979</v>
      </c>
      <c r="D1131" t="s">
        <v>2369</v>
      </c>
      <c r="E1131">
        <f>IFERROR(
   IF(D1131="Líder",
      INDEX(ZACATECAS!E:E, MATCH(C1131, ZACATECAS!F:F, 0)),
      INDEX(ZACATECAS!H:H, MATCH(C1131, ZACATECAS!J:J, 0))
   ),
"")</f>
        <v>32045491</v>
      </c>
    </row>
    <row r="1132" spans="1:5" x14ac:dyDescent="0.3">
      <c r="A1132" t="s">
        <v>35</v>
      </c>
      <c r="B1132" t="s">
        <v>1962</v>
      </c>
      <c r="C1132" t="s">
        <v>1981</v>
      </c>
      <c r="D1132" t="s">
        <v>2369</v>
      </c>
      <c r="E1132">
        <f>IFERROR(
   IF(D1132="Líder",
      INDEX(ZACATECAS!E:E, MATCH(C1132, ZACATECAS!F:F, 0)),
      INDEX(ZACATECAS!H:H, MATCH(C1132, ZACATECAS!J:J, 0))
   ),
"")</f>
        <v>32045857</v>
      </c>
    </row>
    <row r="1133" spans="1:5" x14ac:dyDescent="0.3">
      <c r="A1133" t="s">
        <v>35</v>
      </c>
      <c r="B1133" t="s">
        <v>1962</v>
      </c>
      <c r="C1133" t="s">
        <v>1983</v>
      </c>
      <c r="D1133" t="s">
        <v>2369</v>
      </c>
      <c r="E1133">
        <f>IFERROR(
   IF(D1133="Líder",
      INDEX(ZACATECAS!E:E, MATCH(C1133, ZACATECAS!F:F, 0)),
      INDEX(ZACATECAS!H:H, MATCH(C1133, ZACATECAS!J:J, 0))
   ),
"")</f>
        <v>32045419</v>
      </c>
    </row>
    <row r="1134" spans="1:5" x14ac:dyDescent="0.3">
      <c r="A1134" t="s">
        <v>35</v>
      </c>
      <c r="B1134" t="s">
        <v>1962</v>
      </c>
      <c r="C1134" t="s">
        <v>1985</v>
      </c>
      <c r="D1134" t="s">
        <v>2369</v>
      </c>
      <c r="E1134">
        <f>IFERROR(
   IF(D1134="Líder",
      INDEX(ZACATECAS!E:E, MATCH(C1134, ZACATECAS!F:F, 0)),
      INDEX(ZACATECAS!H:H, MATCH(C1134, ZACATECAS!J:J, 0))
   ),
"")</f>
        <v>32044798</v>
      </c>
    </row>
    <row r="1135" spans="1:5" x14ac:dyDescent="0.3">
      <c r="A1135" t="s">
        <v>35</v>
      </c>
      <c r="B1135" t="s">
        <v>1962</v>
      </c>
      <c r="C1135" t="s">
        <v>1987</v>
      </c>
      <c r="D1135" t="s">
        <v>2369</v>
      </c>
      <c r="E1135">
        <f>IFERROR(
   IF(D1135="Líder",
      INDEX(ZACATECAS!E:E, MATCH(C1135, ZACATECAS!F:F, 0)),
      INDEX(ZACATECAS!H:H, MATCH(C1135, ZACATECAS!J:J, 0))
   ),
"")</f>
        <v>32044309</v>
      </c>
    </row>
    <row r="1136" spans="1:5" x14ac:dyDescent="0.3">
      <c r="A1136" t="s">
        <v>35</v>
      </c>
      <c r="B1136" t="s">
        <v>1962</v>
      </c>
      <c r="C1136" t="s">
        <v>1989</v>
      </c>
      <c r="D1136" t="s">
        <v>2369</v>
      </c>
      <c r="E1136">
        <f>IFERROR(
   IF(D1136="Líder",
      INDEX(ZACATECAS!E:E, MATCH(C1136, ZACATECAS!F:F, 0)),
      INDEX(ZACATECAS!H:H, MATCH(C1136, ZACATECAS!J:J, 0))
   ),
"")</f>
        <v>32044517</v>
      </c>
    </row>
    <row r="1137" spans="1:5" x14ac:dyDescent="0.3">
      <c r="A1137" t="s">
        <v>1584</v>
      </c>
      <c r="B1137" t="s">
        <v>2366</v>
      </c>
      <c r="D1137" t="s">
        <v>2369</v>
      </c>
      <c r="E1137" t="str">
        <f>IFERROR(
   IF(D1137="Líder",
      INDEX(ZACATECAS!E:E, MATCH(C1137, ZACATECAS!F:F, 0)),
      INDEX(ZACATECAS!H:H, MATCH(C1137, ZACATECAS!J:J, 0))
   ),
"")</f>
        <v/>
      </c>
    </row>
    <row r="1138" spans="1:5" x14ac:dyDescent="0.3">
      <c r="A1138" t="s">
        <v>1584</v>
      </c>
      <c r="B1138" t="s">
        <v>1782</v>
      </c>
      <c r="D1138" t="s">
        <v>2369</v>
      </c>
      <c r="E1138" t="str">
        <f>IFERROR(
   IF(D1138="Líder",
      INDEX(ZACATECAS!E:E, MATCH(C1138, ZACATECAS!F:F, 0)),
      INDEX(ZACATECAS!H:H, MATCH(C1138, ZACATECAS!J:J, 0))
   ),
"")</f>
        <v/>
      </c>
    </row>
    <row r="1139" spans="1:5" x14ac:dyDescent="0.3">
      <c r="A1139" t="s">
        <v>363</v>
      </c>
      <c r="B1139" t="s">
        <v>1393</v>
      </c>
      <c r="C1139" t="s">
        <v>1404</v>
      </c>
      <c r="D1139" t="s">
        <v>2369</v>
      </c>
      <c r="E1139">
        <f>IFERROR(
   IF(D1139="Líder",
      INDEX(ZACATECAS!E:E, MATCH(C1139, ZACATECAS!F:F, 0)),
      INDEX(ZACATECAS!H:H, MATCH(C1139, ZACATECAS!J:J, 0))
   ),
"")</f>
        <v>32107143</v>
      </c>
    </row>
    <row r="1140" spans="1:5" x14ac:dyDescent="0.3">
      <c r="A1140" t="s">
        <v>363</v>
      </c>
      <c r="B1140" t="s">
        <v>1393</v>
      </c>
      <c r="C1140" t="s">
        <v>1414</v>
      </c>
      <c r="D1140" t="s">
        <v>2369</v>
      </c>
      <c r="E1140">
        <f>IFERROR(
   IF(D1140="Líder",
      INDEX(ZACATECAS!E:E, MATCH(C1140, ZACATECAS!F:F, 0)),
      INDEX(ZACATECAS!H:H, MATCH(C1140, ZACATECAS!J:J, 0))
   ),
"")</f>
        <v>32178729</v>
      </c>
    </row>
    <row r="1141" spans="1:5" x14ac:dyDescent="0.3">
      <c r="A1141" t="s">
        <v>363</v>
      </c>
      <c r="B1141" t="s">
        <v>1393</v>
      </c>
      <c r="C1141" t="s">
        <v>2474</v>
      </c>
      <c r="D1141" t="s">
        <v>2369</v>
      </c>
      <c r="E1141" t="str">
        <f>IFERROR(
   IF(D1141="Líder",
      INDEX(ZACATECAS!E:E, MATCH(C1141, ZACATECAS!F:F, 0)),
      INDEX(ZACATECAS!H:H, MATCH(C1141, ZACATECAS!J:J, 0))
   ),
"")</f>
        <v/>
      </c>
    </row>
    <row r="1142" spans="1:5" x14ac:dyDescent="0.3">
      <c r="A1142" t="s">
        <v>363</v>
      </c>
      <c r="B1142" t="s">
        <v>1393</v>
      </c>
      <c r="C1142" t="s">
        <v>1169</v>
      </c>
      <c r="D1142" t="s">
        <v>2369</v>
      </c>
      <c r="E1142">
        <f>IFERROR(
   IF(D1142="Líder",
      INDEX(ZACATECAS!E:E, MATCH(C1142, ZACATECAS!F:F, 0)),
      INDEX(ZACATECAS!H:H, MATCH(C1142, ZACATECAS!J:J, 0))
   ),
"")</f>
        <v>32067361</v>
      </c>
    </row>
    <row r="1143" spans="1:5" x14ac:dyDescent="0.3">
      <c r="A1143" t="s">
        <v>363</v>
      </c>
      <c r="B1143" t="s">
        <v>1393</v>
      </c>
      <c r="C1143" t="s">
        <v>1402</v>
      </c>
      <c r="D1143" t="s">
        <v>2369</v>
      </c>
      <c r="E1143">
        <f>IFERROR(
   IF(D1143="Líder",
      INDEX(ZACATECAS!E:E, MATCH(C1143, ZACATECAS!F:F, 0)),
      INDEX(ZACATECAS!H:H, MATCH(C1143, ZACATECAS!J:J, 0))
   ),
"")</f>
        <v>32061469</v>
      </c>
    </row>
    <row r="1144" spans="1:5" x14ac:dyDescent="0.3">
      <c r="A1144" t="s">
        <v>363</v>
      </c>
      <c r="B1144" t="s">
        <v>1393</v>
      </c>
      <c r="C1144" t="s">
        <v>1419</v>
      </c>
      <c r="D1144" t="s">
        <v>2369</v>
      </c>
      <c r="E1144">
        <f>IFERROR(
   IF(D1144="Líder",
      INDEX(ZACATECAS!E:E, MATCH(C1144, ZACATECAS!F:F, 0)),
      INDEX(ZACATECAS!H:H, MATCH(C1144, ZACATECAS!J:J, 0))
   ),
"")</f>
        <v>32188121</v>
      </c>
    </row>
    <row r="1145" spans="1:5" x14ac:dyDescent="0.3">
      <c r="A1145" t="s">
        <v>363</v>
      </c>
      <c r="B1145" t="s">
        <v>1393</v>
      </c>
      <c r="C1145" t="s">
        <v>1395</v>
      </c>
      <c r="D1145" t="s">
        <v>2369</v>
      </c>
      <c r="E1145">
        <f>IFERROR(
   IF(D1145="Líder",
      INDEX(ZACATECAS!E:E, MATCH(C1145, ZACATECAS!F:F, 0)),
      INDEX(ZACATECAS!H:H, MATCH(C1145, ZACATECAS!J:J, 0))
   ),
"")</f>
        <v>32044841</v>
      </c>
    </row>
    <row r="1146" spans="1:5" x14ac:dyDescent="0.3">
      <c r="A1146" t="s">
        <v>363</v>
      </c>
      <c r="B1146" t="s">
        <v>1393</v>
      </c>
      <c r="C1146" t="s">
        <v>1412</v>
      </c>
      <c r="D1146" t="s">
        <v>2369</v>
      </c>
      <c r="E1146">
        <f>IFERROR(
   IF(D1146="Líder",
      INDEX(ZACATECAS!E:E, MATCH(C1146, ZACATECAS!F:F, 0)),
      INDEX(ZACATECAS!H:H, MATCH(C1146, ZACATECAS!J:J, 0))
   ),
"")</f>
        <v>32143627</v>
      </c>
    </row>
    <row r="1147" spans="1:5" x14ac:dyDescent="0.3">
      <c r="A1147" t="s">
        <v>363</v>
      </c>
      <c r="B1147" t="s">
        <v>1393</v>
      </c>
      <c r="C1147" t="s">
        <v>1400</v>
      </c>
      <c r="D1147" t="s">
        <v>2369</v>
      </c>
      <c r="E1147">
        <f>IFERROR(
   IF(D1147="Líder",
      INDEX(ZACATECAS!E:E, MATCH(C1147, ZACATECAS!F:F, 0)),
      INDEX(ZACATECAS!H:H, MATCH(C1147, ZACATECAS!J:J, 0))
   ),
"")</f>
        <v>32046218</v>
      </c>
    </row>
    <row r="1148" spans="1:5" x14ac:dyDescent="0.3">
      <c r="A1148" t="s">
        <v>363</v>
      </c>
      <c r="B1148" t="s">
        <v>1393</v>
      </c>
      <c r="C1148" t="s">
        <v>1408</v>
      </c>
      <c r="D1148" t="s">
        <v>2369</v>
      </c>
      <c r="E1148">
        <f>IFERROR(
   IF(D1148="Líder",
      INDEX(ZACATECAS!E:E, MATCH(C1148, ZACATECAS!F:F, 0)),
      INDEX(ZACATECAS!H:H, MATCH(C1148, ZACATECAS!J:J, 0))
   ),
"")</f>
        <v>32132594</v>
      </c>
    </row>
    <row r="1149" spans="1:5" x14ac:dyDescent="0.3">
      <c r="A1149" t="s">
        <v>363</v>
      </c>
      <c r="B1149" t="s">
        <v>1393</v>
      </c>
      <c r="C1149" t="s">
        <v>1398</v>
      </c>
      <c r="D1149" t="s">
        <v>2369</v>
      </c>
      <c r="E1149">
        <f>IFERROR(
   IF(D1149="Líder",
      INDEX(ZACATECAS!E:E, MATCH(C1149, ZACATECAS!F:F, 0)),
      INDEX(ZACATECAS!H:H, MATCH(C1149, ZACATECAS!J:J, 0))
   ),
"")</f>
        <v>32046145</v>
      </c>
    </row>
    <row r="1150" spans="1:5" x14ac:dyDescent="0.3">
      <c r="A1150" t="s">
        <v>363</v>
      </c>
      <c r="B1150" t="s">
        <v>1393</v>
      </c>
      <c r="C1150" t="s">
        <v>1410</v>
      </c>
      <c r="D1150" t="s">
        <v>2369</v>
      </c>
      <c r="E1150">
        <f>IFERROR(
   IF(D1150="Líder",
      INDEX(ZACATECAS!E:E, MATCH(C1150, ZACATECAS!F:F, 0)),
      INDEX(ZACATECAS!H:H, MATCH(C1150, ZACATECAS!J:J, 0))
   ),
"")</f>
        <v>32142771</v>
      </c>
    </row>
    <row r="1151" spans="1:5" x14ac:dyDescent="0.3">
      <c r="A1151" t="s">
        <v>363</v>
      </c>
      <c r="B1151" t="s">
        <v>1393</v>
      </c>
      <c r="C1151" t="s">
        <v>1406</v>
      </c>
      <c r="D1151" t="s">
        <v>2369</v>
      </c>
      <c r="E1151">
        <f>IFERROR(
   IF(D1151="Líder",
      INDEX(ZACATECAS!E:E, MATCH(C1151, ZACATECAS!F:F, 0)),
      INDEX(ZACATECAS!H:H, MATCH(C1151, ZACATECAS!J:J, 0))
   ),
"")</f>
        <v>32131834</v>
      </c>
    </row>
    <row r="1152" spans="1:5" x14ac:dyDescent="0.3">
      <c r="A1152" t="s">
        <v>363</v>
      </c>
      <c r="B1152" t="s">
        <v>1393</v>
      </c>
      <c r="C1152" t="s">
        <v>1396</v>
      </c>
      <c r="D1152" t="s">
        <v>2369</v>
      </c>
      <c r="E1152">
        <f>IFERROR(
   IF(D1152="Líder",
      INDEX(ZACATECAS!E:E, MATCH(C1152, ZACATECAS!F:F, 0)),
      INDEX(ZACATECAS!H:H, MATCH(C1152, ZACATECAS!J:J, 0))
   ),
"")</f>
        <v>32045850</v>
      </c>
    </row>
    <row r="1153" spans="1:5" x14ac:dyDescent="0.3">
      <c r="A1153" t="s">
        <v>2127</v>
      </c>
      <c r="B1153" t="s">
        <v>2297</v>
      </c>
      <c r="C1153" t="s">
        <v>2303</v>
      </c>
      <c r="D1153" t="s">
        <v>2369</v>
      </c>
      <c r="E1153">
        <f>IFERROR(
   IF(D1153="Líder",
      INDEX(ZACATECAS!E:E, MATCH(C1153, ZACATECAS!F:F, 0)),
      INDEX(ZACATECAS!H:H, MATCH(C1153, ZACATECAS!J:J, 0))
   ),
"")</f>
        <v>32043788</v>
      </c>
    </row>
    <row r="1154" spans="1:5" x14ac:dyDescent="0.3">
      <c r="A1154" t="s">
        <v>2127</v>
      </c>
      <c r="B1154" t="s">
        <v>2297</v>
      </c>
      <c r="C1154" t="s">
        <v>2475</v>
      </c>
      <c r="D1154" t="s">
        <v>2369</v>
      </c>
      <c r="E1154" t="str">
        <f>IFERROR(
   IF(D1154="Líder",
      INDEX(ZACATECAS!E:E, MATCH(C1154, ZACATECAS!F:F, 0)),
      INDEX(ZACATECAS!H:H, MATCH(C1154, ZACATECAS!J:J, 0))
   ),
"")</f>
        <v/>
      </c>
    </row>
    <row r="1155" spans="1:5" x14ac:dyDescent="0.3">
      <c r="A1155" t="s">
        <v>2127</v>
      </c>
      <c r="B1155" t="s">
        <v>2297</v>
      </c>
      <c r="C1155" t="s">
        <v>2307</v>
      </c>
      <c r="D1155" t="s">
        <v>2369</v>
      </c>
      <c r="E1155">
        <f>IFERROR(
   IF(D1155="Líder",
      INDEX(ZACATECAS!E:E, MATCH(C1155, ZACATECAS!F:F, 0)),
      INDEX(ZACATECAS!H:H, MATCH(C1155, ZACATECAS!J:J, 0))
   ),
"")</f>
        <v>32043833</v>
      </c>
    </row>
    <row r="1156" spans="1:5" x14ac:dyDescent="0.3">
      <c r="A1156" t="s">
        <v>2127</v>
      </c>
      <c r="B1156" t="s">
        <v>2297</v>
      </c>
      <c r="C1156" t="s">
        <v>2300</v>
      </c>
      <c r="D1156" t="s">
        <v>2369</v>
      </c>
      <c r="E1156">
        <f>IFERROR(
   IF(D1156="Líder",
      INDEX(ZACATECAS!E:E, MATCH(C1156, ZACATECAS!F:F, 0)),
      INDEX(ZACATECAS!H:H, MATCH(C1156, ZACATECAS!J:J, 0))
   ),
"")</f>
        <v>32044250</v>
      </c>
    </row>
    <row r="1157" spans="1:5" x14ac:dyDescent="0.3">
      <c r="A1157" t="s">
        <v>2127</v>
      </c>
      <c r="B1157" t="s">
        <v>2297</v>
      </c>
      <c r="C1157" t="s">
        <v>2306</v>
      </c>
      <c r="D1157" t="s">
        <v>2369</v>
      </c>
      <c r="E1157">
        <f>IFERROR(
   IF(D1157="Líder",
      INDEX(ZACATECAS!E:E, MATCH(C1157, ZACATECAS!F:F, 0)),
      INDEX(ZACATECAS!H:H, MATCH(C1157, ZACATECAS!J:J, 0))
   ),
"")</f>
        <v>32044190</v>
      </c>
    </row>
    <row r="1158" spans="1:5" x14ac:dyDescent="0.3">
      <c r="A1158" t="s">
        <v>2127</v>
      </c>
      <c r="B1158" t="s">
        <v>2297</v>
      </c>
      <c r="C1158" t="s">
        <v>2476</v>
      </c>
      <c r="D1158" t="s">
        <v>2369</v>
      </c>
      <c r="E1158" t="str">
        <f>IFERROR(
   IF(D1158="Líder",
      INDEX(ZACATECAS!E:E, MATCH(C1158, ZACATECAS!F:F, 0)),
      INDEX(ZACATECAS!H:H, MATCH(C1158, ZACATECAS!J:J, 0))
   ),
"")</f>
        <v/>
      </c>
    </row>
    <row r="1159" spans="1:5" x14ac:dyDescent="0.3">
      <c r="A1159" t="s">
        <v>2127</v>
      </c>
      <c r="B1159" t="s">
        <v>2297</v>
      </c>
      <c r="C1159" t="s">
        <v>2305</v>
      </c>
      <c r="D1159" t="s">
        <v>2369</v>
      </c>
      <c r="E1159">
        <f>IFERROR(
   IF(D1159="Líder",
      INDEX(ZACATECAS!E:E, MATCH(C1159, ZACATECAS!F:F, 0)),
      INDEX(ZACATECAS!H:H, MATCH(C1159, ZACATECAS!J:J, 0))
   ),
"")</f>
        <v>32043828</v>
      </c>
    </row>
    <row r="1160" spans="1:5" x14ac:dyDescent="0.3">
      <c r="A1160" t="s">
        <v>2127</v>
      </c>
      <c r="B1160" t="s">
        <v>2297</v>
      </c>
      <c r="C1160" t="s">
        <v>2309</v>
      </c>
      <c r="D1160" t="s">
        <v>2369</v>
      </c>
      <c r="E1160">
        <f>IFERROR(
   IF(D1160="Líder",
      INDEX(ZACATECAS!E:E, MATCH(C1160, ZACATECAS!F:F, 0)),
      INDEX(ZACATECAS!H:H, MATCH(C1160, ZACATECAS!J:J, 0))
   ),
"")</f>
        <v>32146674</v>
      </c>
    </row>
    <row r="1161" spans="1:5" x14ac:dyDescent="0.3">
      <c r="A1161" t="s">
        <v>2127</v>
      </c>
      <c r="B1161" t="s">
        <v>2297</v>
      </c>
      <c r="C1161" t="s">
        <v>2310</v>
      </c>
      <c r="D1161" t="s">
        <v>2369</v>
      </c>
      <c r="E1161">
        <f>IFERROR(
   IF(D1161="Líder",
      INDEX(ZACATECAS!E:E, MATCH(C1161, ZACATECAS!F:F, 0)),
      INDEX(ZACATECAS!H:H, MATCH(C1161, ZACATECAS!J:J, 0))
   ),
"")</f>
        <v>32044064</v>
      </c>
    </row>
    <row r="1162" spans="1:5" x14ac:dyDescent="0.3">
      <c r="A1162" t="s">
        <v>2127</v>
      </c>
      <c r="B1162" t="s">
        <v>2297</v>
      </c>
      <c r="C1162" t="s">
        <v>2308</v>
      </c>
      <c r="D1162" t="s">
        <v>2369</v>
      </c>
      <c r="E1162">
        <f>IFERROR(
   IF(D1162="Líder",
      INDEX(ZACATECAS!E:E, MATCH(C1162, ZACATECAS!F:F, 0)),
      INDEX(ZACATECAS!H:H, MATCH(C1162, ZACATECAS!J:J, 0))
   ),
"")</f>
        <v>32045537</v>
      </c>
    </row>
    <row r="1163" spans="1:5" x14ac:dyDescent="0.3">
      <c r="A1163" t="s">
        <v>2127</v>
      </c>
      <c r="B1163" t="s">
        <v>2297</v>
      </c>
      <c r="C1163" t="s">
        <v>2302</v>
      </c>
      <c r="D1163" t="s">
        <v>2369</v>
      </c>
      <c r="E1163">
        <f>IFERROR(
   IF(D1163="Líder",
      INDEX(ZACATECAS!E:E, MATCH(C1163, ZACATECAS!F:F, 0)),
      INDEX(ZACATECAS!H:H, MATCH(C1163, ZACATECAS!J:J, 0))
   ),
"")</f>
        <v>32146288</v>
      </c>
    </row>
    <row r="1164" spans="1:5" x14ac:dyDescent="0.3">
      <c r="A1164" t="s">
        <v>2127</v>
      </c>
      <c r="B1164" t="s">
        <v>2297</v>
      </c>
      <c r="C1164" t="s">
        <v>2477</v>
      </c>
      <c r="D1164" t="s">
        <v>2369</v>
      </c>
      <c r="E1164" t="str">
        <f>IFERROR(
   IF(D1164="Líder",
      INDEX(ZACATECAS!E:E, MATCH(C1164, ZACATECAS!F:F, 0)),
      INDEX(ZACATECAS!H:H, MATCH(C1164, ZACATECAS!J:J, 0))
   ),
"")</f>
        <v/>
      </c>
    </row>
    <row r="1165" spans="1:5" x14ac:dyDescent="0.3">
      <c r="A1165" t="s">
        <v>2127</v>
      </c>
      <c r="B1165" t="s">
        <v>2297</v>
      </c>
      <c r="C1165" t="s">
        <v>2299</v>
      </c>
      <c r="D1165" t="s">
        <v>2369</v>
      </c>
      <c r="E1165">
        <f>IFERROR(
   IF(D1165="Líder",
      INDEX(ZACATECAS!E:E, MATCH(C1165, ZACATECAS!F:F, 0)),
      INDEX(ZACATECAS!H:H, MATCH(C1165, ZACATECAS!J:J, 0))
   ),
"")</f>
        <v>32046064</v>
      </c>
    </row>
    <row r="1166" spans="1:5" x14ac:dyDescent="0.3">
      <c r="A1166" t="s">
        <v>2127</v>
      </c>
      <c r="B1166" t="s">
        <v>2297</v>
      </c>
      <c r="C1166" t="s">
        <v>2304</v>
      </c>
      <c r="D1166" t="s">
        <v>2369</v>
      </c>
      <c r="E1166">
        <f>IFERROR(
   IF(D1166="Líder",
      INDEX(ZACATECAS!E:E, MATCH(C1166, ZACATECAS!F:F, 0)),
      INDEX(ZACATECAS!H:H, MATCH(C1166, ZACATECAS!J:J, 0))
   ),
"")</f>
        <v>32044292</v>
      </c>
    </row>
    <row r="1167" spans="1:5" x14ac:dyDescent="0.3">
      <c r="A1167" t="s">
        <v>2127</v>
      </c>
      <c r="B1167" t="s">
        <v>2297</v>
      </c>
      <c r="C1167" t="s">
        <v>2301</v>
      </c>
      <c r="D1167" t="s">
        <v>2369</v>
      </c>
      <c r="E1167">
        <f>IFERROR(
   IF(D1167="Líder",
      INDEX(ZACATECAS!E:E, MATCH(C1167, ZACATECAS!F:F, 0)),
      INDEX(ZACATECAS!H:H, MATCH(C1167, ZACATECAS!J:J, 0))
   ),
"")</f>
        <v>32045215</v>
      </c>
    </row>
    <row r="1168" spans="1:5" x14ac:dyDescent="0.3">
      <c r="A1168" t="s">
        <v>1584</v>
      </c>
      <c r="B1168" t="s">
        <v>1754</v>
      </c>
      <c r="C1168" t="s">
        <v>2478</v>
      </c>
      <c r="D1168" t="s">
        <v>2369</v>
      </c>
      <c r="E1168" t="str">
        <f>IFERROR(
   IF(D1168="Líder",
      INDEX(ZACATECAS!E:E, MATCH(C1168, ZACATECAS!F:F, 0)),
      INDEX(ZACATECAS!H:H, MATCH(C1168, ZACATECAS!J:J, 0))
   ),
"")</f>
        <v/>
      </c>
    </row>
    <row r="1169" spans="1:5" x14ac:dyDescent="0.3">
      <c r="A1169" t="s">
        <v>1584</v>
      </c>
      <c r="B1169" t="s">
        <v>1754</v>
      </c>
      <c r="C1169" t="s">
        <v>1760</v>
      </c>
      <c r="D1169" t="s">
        <v>2369</v>
      </c>
      <c r="E1169">
        <f>IFERROR(
   IF(D1169="Líder",
      INDEX(ZACATECAS!E:E, MATCH(C1169, ZACATECAS!F:F, 0)),
      INDEX(ZACATECAS!H:H, MATCH(C1169, ZACATECAS!J:J, 0))
   ),
"")</f>
        <v>32057886</v>
      </c>
    </row>
    <row r="1170" spans="1:5" x14ac:dyDescent="0.3">
      <c r="A1170" t="s">
        <v>1584</v>
      </c>
      <c r="B1170" t="s">
        <v>1754</v>
      </c>
      <c r="C1170" t="s">
        <v>2479</v>
      </c>
      <c r="D1170" t="s">
        <v>2369</v>
      </c>
      <c r="E1170" t="str">
        <f>IFERROR(
   IF(D1170="Líder",
      INDEX(ZACATECAS!E:E, MATCH(C1170, ZACATECAS!F:F, 0)),
      INDEX(ZACATECAS!H:H, MATCH(C1170, ZACATECAS!J:J, 0))
   ),
"")</f>
        <v/>
      </c>
    </row>
    <row r="1171" spans="1:5" x14ac:dyDescent="0.3">
      <c r="A1171" t="s">
        <v>1584</v>
      </c>
      <c r="B1171" t="s">
        <v>1754</v>
      </c>
      <c r="C1171" t="s">
        <v>1758</v>
      </c>
      <c r="D1171" t="s">
        <v>2369</v>
      </c>
      <c r="E1171">
        <f>IFERROR(
   IF(D1171="Líder",
      INDEX(ZACATECAS!E:E, MATCH(C1171, ZACATECAS!F:F, 0)),
      INDEX(ZACATECAS!H:H, MATCH(C1171, ZACATECAS!J:J, 0))
   ),
"")</f>
        <v>32180190</v>
      </c>
    </row>
    <row r="1172" spans="1:5" x14ac:dyDescent="0.3">
      <c r="A1172" t="s">
        <v>1584</v>
      </c>
      <c r="B1172" t="s">
        <v>1754</v>
      </c>
      <c r="C1172" t="s">
        <v>2480</v>
      </c>
      <c r="D1172" t="s">
        <v>2369</v>
      </c>
      <c r="E1172" t="str">
        <f>IFERROR(
   IF(D1172="Líder",
      INDEX(ZACATECAS!E:E, MATCH(C1172, ZACATECAS!F:F, 0)),
      INDEX(ZACATECAS!H:H, MATCH(C1172, ZACATECAS!J:J, 0))
   ),
"")</f>
        <v/>
      </c>
    </row>
    <row r="1173" spans="1:5" x14ac:dyDescent="0.3">
      <c r="A1173" t="s">
        <v>1584</v>
      </c>
      <c r="B1173" t="s">
        <v>1754</v>
      </c>
      <c r="C1173" t="s">
        <v>2481</v>
      </c>
      <c r="D1173" t="s">
        <v>2369</v>
      </c>
      <c r="E1173" t="str">
        <f>IFERROR(
   IF(D1173="Líder",
      INDEX(ZACATECAS!E:E, MATCH(C1173, ZACATECAS!F:F, 0)),
      INDEX(ZACATECAS!H:H, MATCH(C1173, ZACATECAS!J:J, 0))
   ),
"")</f>
        <v/>
      </c>
    </row>
    <row r="1174" spans="1:5" x14ac:dyDescent="0.3">
      <c r="A1174" t="s">
        <v>1584</v>
      </c>
      <c r="B1174" t="s">
        <v>1754</v>
      </c>
      <c r="C1174" t="s">
        <v>2482</v>
      </c>
      <c r="D1174" t="s">
        <v>2369</v>
      </c>
      <c r="E1174" t="str">
        <f>IFERROR(
   IF(D1174="Líder",
      INDEX(ZACATECAS!E:E, MATCH(C1174, ZACATECAS!F:F, 0)),
      INDEX(ZACATECAS!H:H, MATCH(C1174, ZACATECAS!J:J, 0))
   ),
"")</f>
        <v/>
      </c>
    </row>
    <row r="1175" spans="1:5" x14ac:dyDescent="0.3">
      <c r="A1175" t="s">
        <v>1584</v>
      </c>
      <c r="B1175" t="s">
        <v>1754</v>
      </c>
      <c r="C1175" t="s">
        <v>2483</v>
      </c>
      <c r="D1175" t="s">
        <v>2369</v>
      </c>
      <c r="E1175" t="str">
        <f>IFERROR(
   IF(D1175="Líder",
      INDEX(ZACATECAS!E:E, MATCH(C1175, ZACATECAS!F:F, 0)),
      INDEX(ZACATECAS!H:H, MATCH(C1175, ZACATECAS!J:J, 0))
   ),
"")</f>
        <v/>
      </c>
    </row>
    <row r="1176" spans="1:5" x14ac:dyDescent="0.3">
      <c r="A1176" t="s">
        <v>2127</v>
      </c>
      <c r="B1176" t="s">
        <v>2253</v>
      </c>
      <c r="C1176" t="s">
        <v>2256</v>
      </c>
      <c r="D1176" t="s">
        <v>2369</v>
      </c>
      <c r="E1176">
        <f>IFERROR(
   IF(D1176="Líder",
      INDEX(ZACATECAS!E:E, MATCH(C1176, ZACATECAS!F:F, 0)),
      INDEX(ZACATECAS!H:H, MATCH(C1176, ZACATECAS!J:J, 0))
   ),
"")</f>
        <v>32044386</v>
      </c>
    </row>
    <row r="1177" spans="1:5" x14ac:dyDescent="0.3">
      <c r="A1177" t="s">
        <v>2127</v>
      </c>
      <c r="B1177" t="s">
        <v>2253</v>
      </c>
      <c r="C1177" t="s">
        <v>2262</v>
      </c>
      <c r="D1177" t="s">
        <v>2369</v>
      </c>
      <c r="E1177">
        <f>IFERROR(
   IF(D1177="Líder",
      INDEX(ZACATECAS!E:E, MATCH(C1177, ZACATECAS!F:F, 0)),
      INDEX(ZACATECAS!H:H, MATCH(C1177, ZACATECAS!J:J, 0))
   ),
"")</f>
        <v>32138750</v>
      </c>
    </row>
    <row r="1178" spans="1:5" x14ac:dyDescent="0.3">
      <c r="A1178" t="s">
        <v>2127</v>
      </c>
      <c r="B1178" t="s">
        <v>2253</v>
      </c>
      <c r="C1178" t="s">
        <v>2258</v>
      </c>
      <c r="D1178" t="s">
        <v>2369</v>
      </c>
      <c r="E1178">
        <f>IFERROR(
   IF(D1178="Líder",
      INDEX(ZACATECAS!E:E, MATCH(C1178, ZACATECAS!F:F, 0)),
      INDEX(ZACATECAS!H:H, MATCH(C1178, ZACATECAS!J:J, 0))
   ),
"")</f>
        <v>32045161</v>
      </c>
    </row>
    <row r="1179" spans="1:5" x14ac:dyDescent="0.3">
      <c r="A1179" t="s">
        <v>2127</v>
      </c>
      <c r="B1179" t="s">
        <v>2253</v>
      </c>
      <c r="C1179" t="s">
        <v>2261</v>
      </c>
      <c r="D1179" t="s">
        <v>2369</v>
      </c>
      <c r="E1179">
        <f>IFERROR(
   IF(D1179="Líder",
      INDEX(ZACATECAS!E:E, MATCH(C1179, ZACATECAS!F:F, 0)),
      INDEX(ZACATECAS!H:H, MATCH(C1179, ZACATECAS!J:J, 0))
   ),
"")</f>
        <v>32044054</v>
      </c>
    </row>
    <row r="1180" spans="1:5" x14ac:dyDescent="0.3">
      <c r="A1180" t="s">
        <v>2127</v>
      </c>
      <c r="B1180" t="s">
        <v>2253</v>
      </c>
      <c r="C1180" t="s">
        <v>2259</v>
      </c>
      <c r="D1180" t="s">
        <v>2369</v>
      </c>
      <c r="E1180">
        <f>IFERROR(
   IF(D1180="Líder",
      INDEX(ZACATECAS!E:E, MATCH(C1180, ZACATECAS!F:F, 0)),
      INDEX(ZACATECAS!H:H, MATCH(C1180, ZACATECAS!J:J, 0))
   ),
"")</f>
        <v>32043985</v>
      </c>
    </row>
    <row r="1181" spans="1:5" x14ac:dyDescent="0.3">
      <c r="A1181" t="s">
        <v>2127</v>
      </c>
      <c r="B1181" t="s">
        <v>2253</v>
      </c>
      <c r="C1181" t="s">
        <v>2257</v>
      </c>
      <c r="D1181" t="s">
        <v>2369</v>
      </c>
      <c r="E1181">
        <f>IFERROR(
   IF(D1181="Líder",
      INDEX(ZACATECAS!E:E, MATCH(C1181, ZACATECAS!F:F, 0)),
      INDEX(ZACATECAS!H:H, MATCH(C1181, ZACATECAS!J:J, 0))
   ),
"")</f>
        <v>32072163</v>
      </c>
    </row>
    <row r="1182" spans="1:5" x14ac:dyDescent="0.3">
      <c r="A1182" t="s">
        <v>2127</v>
      </c>
      <c r="B1182" t="s">
        <v>2253</v>
      </c>
      <c r="C1182" t="s">
        <v>2263</v>
      </c>
      <c r="D1182" t="s">
        <v>2369</v>
      </c>
      <c r="E1182">
        <f>IFERROR(
   IF(D1182="Líder",
      INDEX(ZACATECAS!E:E, MATCH(C1182, ZACATECAS!F:F, 0)),
      INDEX(ZACATECAS!H:H, MATCH(C1182, ZACATECAS!J:J, 0))
   ),
"")</f>
        <v>32043826</v>
      </c>
    </row>
    <row r="1183" spans="1:5" x14ac:dyDescent="0.3">
      <c r="A1183" t="s">
        <v>2127</v>
      </c>
      <c r="B1183" t="s">
        <v>2253</v>
      </c>
      <c r="C1183" t="s">
        <v>2239</v>
      </c>
      <c r="D1183" t="s">
        <v>2369</v>
      </c>
      <c r="E1183">
        <f>IFERROR(
   IF(D1183="Líder",
      INDEX(ZACATECAS!E:E, MATCH(C1183, ZACATECAS!F:F, 0)),
      INDEX(ZACATECAS!H:H, MATCH(C1183, ZACATECAS!J:J, 0))
   ),
"")</f>
        <v>32044217</v>
      </c>
    </row>
    <row r="1184" spans="1:5" x14ac:dyDescent="0.3">
      <c r="A1184" t="s">
        <v>2127</v>
      </c>
      <c r="B1184" t="s">
        <v>2253</v>
      </c>
      <c r="C1184" t="s">
        <v>2255</v>
      </c>
      <c r="D1184" t="s">
        <v>2369</v>
      </c>
      <c r="E1184">
        <f>IFERROR(
   IF(D1184="Líder",
      INDEX(ZACATECAS!E:E, MATCH(C1184, ZACATECAS!F:F, 0)),
      INDEX(ZACATECAS!H:H, MATCH(C1184, ZACATECAS!J:J, 0))
   ),
"")</f>
        <v>32045823</v>
      </c>
    </row>
    <row r="1185" spans="1:5" x14ac:dyDescent="0.3">
      <c r="A1185" t="s">
        <v>2127</v>
      </c>
      <c r="B1185" t="s">
        <v>2253</v>
      </c>
      <c r="C1185" t="s">
        <v>2279</v>
      </c>
      <c r="D1185" t="s">
        <v>2369</v>
      </c>
      <c r="E1185">
        <f>IFERROR(
   IF(D1185="Líder",
      INDEX(ZACATECAS!E:E, MATCH(C1185, ZACATECAS!F:F, 0)),
      INDEX(ZACATECAS!H:H, MATCH(C1185, ZACATECAS!J:J, 0))
   ),
"")</f>
        <v>32044357</v>
      </c>
    </row>
    <row r="1186" spans="1:5" x14ac:dyDescent="0.3">
      <c r="A1186" t="s">
        <v>2127</v>
      </c>
      <c r="B1186" t="s">
        <v>2220</v>
      </c>
      <c r="C1186" t="s">
        <v>2224</v>
      </c>
      <c r="D1186" t="s">
        <v>2369</v>
      </c>
      <c r="E1186">
        <f>IFERROR(
   IF(D1186="Líder",
      INDEX(ZACATECAS!E:E, MATCH(C1186, ZACATECAS!F:F, 0)),
      INDEX(ZACATECAS!H:H, MATCH(C1186, ZACATECAS!J:J, 0))
   ),
"")</f>
        <v>32072178</v>
      </c>
    </row>
    <row r="1187" spans="1:5" x14ac:dyDescent="0.3">
      <c r="A1187" t="s">
        <v>2127</v>
      </c>
      <c r="B1187" t="s">
        <v>2220</v>
      </c>
      <c r="C1187" t="s">
        <v>2225</v>
      </c>
      <c r="D1187" t="s">
        <v>2369</v>
      </c>
      <c r="E1187">
        <f>IFERROR(
   IF(D1187="Líder",
      INDEX(ZACATECAS!E:E, MATCH(C1187, ZACATECAS!F:F, 0)),
      INDEX(ZACATECAS!H:H, MATCH(C1187, ZACATECAS!J:J, 0))
   ),
"")</f>
        <v>32044593</v>
      </c>
    </row>
    <row r="1188" spans="1:5" x14ac:dyDescent="0.3">
      <c r="A1188" t="s">
        <v>2127</v>
      </c>
      <c r="B1188" t="s">
        <v>2220</v>
      </c>
      <c r="C1188" t="s">
        <v>2226</v>
      </c>
      <c r="D1188" t="s">
        <v>2369</v>
      </c>
      <c r="E1188">
        <f>IFERROR(
   IF(D1188="Líder",
      INDEX(ZACATECAS!E:E, MATCH(C1188, ZACATECAS!F:F, 0)),
      INDEX(ZACATECAS!H:H, MATCH(C1188, ZACATECAS!J:J, 0))
   ),
"")</f>
        <v>32044718</v>
      </c>
    </row>
    <row r="1189" spans="1:5" x14ac:dyDescent="0.3">
      <c r="A1189" t="s">
        <v>2127</v>
      </c>
      <c r="B1189" t="s">
        <v>2220</v>
      </c>
      <c r="C1189" t="s">
        <v>2223</v>
      </c>
      <c r="D1189" t="s">
        <v>2369</v>
      </c>
      <c r="E1189">
        <f>IFERROR(
   IF(D1189="Líder",
      INDEX(ZACATECAS!E:E, MATCH(C1189, ZACATECAS!F:F, 0)),
      INDEX(ZACATECAS!H:H, MATCH(C1189, ZACATECAS!J:J, 0))
   ),
"")</f>
        <v>32043984</v>
      </c>
    </row>
    <row r="1190" spans="1:5" x14ac:dyDescent="0.3">
      <c r="A1190" t="s">
        <v>2127</v>
      </c>
      <c r="B1190" t="s">
        <v>2220</v>
      </c>
      <c r="C1190" t="s">
        <v>2222</v>
      </c>
      <c r="D1190" t="s">
        <v>2369</v>
      </c>
      <c r="E1190">
        <f>IFERROR(
   IF(D1190="Líder",
      INDEX(ZACATECAS!E:E, MATCH(C1190, ZACATECAS!F:F, 0)),
      INDEX(ZACATECAS!H:H, MATCH(C1190, ZACATECAS!J:J, 0))
   ),
"")</f>
        <v>32043792</v>
      </c>
    </row>
    <row r="1191" spans="1:5" x14ac:dyDescent="0.3">
      <c r="A1191" t="s">
        <v>1584</v>
      </c>
      <c r="B1191" t="s">
        <v>1761</v>
      </c>
      <c r="C1191" t="s">
        <v>2484</v>
      </c>
      <c r="D1191" t="s">
        <v>2369</v>
      </c>
      <c r="E1191" t="str">
        <f>IFERROR(
   IF(D1191="Líder",
      INDEX(ZACATECAS!E:E, MATCH(C1191, ZACATECAS!F:F, 0)),
      INDEX(ZACATECAS!H:H, MATCH(C1191, ZACATECAS!J:J, 0))
   ),
"")</f>
        <v/>
      </c>
    </row>
    <row r="1192" spans="1:5" x14ac:dyDescent="0.3">
      <c r="A1192" t="s">
        <v>1584</v>
      </c>
      <c r="B1192" t="s">
        <v>1761</v>
      </c>
      <c r="C1192" t="s">
        <v>2485</v>
      </c>
      <c r="D1192" t="s">
        <v>2369</v>
      </c>
      <c r="E1192" t="str">
        <f>IFERROR(
   IF(D1192="Líder",
      INDEX(ZACATECAS!E:E, MATCH(C1192, ZACATECAS!F:F, 0)),
      INDEX(ZACATECAS!H:H, MATCH(C1192, ZACATECAS!J:J, 0))
   ),
"")</f>
        <v/>
      </c>
    </row>
    <row r="1193" spans="1:5" x14ac:dyDescent="0.3">
      <c r="A1193" t="s">
        <v>1584</v>
      </c>
      <c r="B1193" t="s">
        <v>1761</v>
      </c>
      <c r="C1193" t="s">
        <v>1768</v>
      </c>
      <c r="D1193" t="s">
        <v>2369</v>
      </c>
      <c r="E1193">
        <f>IFERROR(
   IF(D1193="Líder",
      INDEX(ZACATECAS!E:E, MATCH(C1193, ZACATECAS!F:F, 0)),
      INDEX(ZACATECAS!H:H, MATCH(C1193, ZACATECAS!J:J, 0))
   ),
"")</f>
        <v>32180197</v>
      </c>
    </row>
    <row r="1194" spans="1:5" x14ac:dyDescent="0.3">
      <c r="A1194" t="s">
        <v>1584</v>
      </c>
      <c r="B1194" t="s">
        <v>1761</v>
      </c>
      <c r="C1194" t="s">
        <v>1778</v>
      </c>
      <c r="D1194" t="s">
        <v>2369</v>
      </c>
      <c r="E1194">
        <f>IFERROR(
   IF(D1194="Líder",
      INDEX(ZACATECAS!E:E, MATCH(C1194, ZACATECAS!F:F, 0)),
      INDEX(ZACATECAS!H:H, MATCH(C1194, ZACATECAS!J:J, 0))
   ),
"")</f>
        <v>32046614</v>
      </c>
    </row>
    <row r="1195" spans="1:5" x14ac:dyDescent="0.3">
      <c r="A1195" t="s">
        <v>1584</v>
      </c>
      <c r="B1195" t="s">
        <v>1761</v>
      </c>
      <c r="C1195" t="s">
        <v>1771</v>
      </c>
      <c r="D1195" t="s">
        <v>2369</v>
      </c>
      <c r="E1195">
        <f>IFERROR(
   IF(D1195="Líder",
      INDEX(ZACATECAS!E:E, MATCH(C1195, ZACATECAS!F:F, 0)),
      INDEX(ZACATECAS!H:H, MATCH(C1195, ZACATECAS!J:J, 0))
   ),
"")</f>
        <v>32070294</v>
      </c>
    </row>
    <row r="1196" spans="1:5" x14ac:dyDescent="0.3">
      <c r="A1196" t="s">
        <v>1584</v>
      </c>
      <c r="B1196" t="s">
        <v>1761</v>
      </c>
      <c r="C1196" t="s">
        <v>2486</v>
      </c>
      <c r="D1196" t="s">
        <v>2369</v>
      </c>
      <c r="E1196" t="str">
        <f>IFERROR(
   IF(D1196="Líder",
      INDEX(ZACATECAS!E:E, MATCH(C1196, ZACATECAS!F:F, 0)),
      INDEX(ZACATECAS!H:H, MATCH(C1196, ZACATECAS!J:J, 0))
   ),
"")</f>
        <v/>
      </c>
    </row>
    <row r="1197" spans="1:5" x14ac:dyDescent="0.3">
      <c r="A1197" t="s">
        <v>1584</v>
      </c>
      <c r="B1197" t="s">
        <v>1761</v>
      </c>
      <c r="C1197" t="s">
        <v>1780</v>
      </c>
      <c r="D1197" t="s">
        <v>2369</v>
      </c>
      <c r="E1197">
        <f>IFERROR(
   IF(D1197="Líder",
      INDEX(ZACATECAS!E:E, MATCH(C1197, ZACATECAS!F:F, 0)),
      INDEX(ZACATECAS!H:H, MATCH(C1197, ZACATECAS!J:J, 0))
   ),
"")</f>
        <v>32187986</v>
      </c>
    </row>
    <row r="1198" spans="1:5" x14ac:dyDescent="0.3">
      <c r="A1198" t="s">
        <v>1584</v>
      </c>
      <c r="B1198" t="s">
        <v>1761</v>
      </c>
      <c r="C1198" t="s">
        <v>1770</v>
      </c>
      <c r="D1198" t="s">
        <v>2369</v>
      </c>
      <c r="E1198">
        <f>IFERROR(
   IF(D1198="Líder",
      INDEX(ZACATECAS!E:E, MATCH(C1198, ZACATECAS!F:F, 0)),
      INDEX(ZACATECAS!H:H, MATCH(C1198, ZACATECAS!J:J, 0))
   ),
"")</f>
        <v>32044712</v>
      </c>
    </row>
    <row r="1199" spans="1:5" x14ac:dyDescent="0.3">
      <c r="A1199" t="s">
        <v>1584</v>
      </c>
      <c r="B1199" t="s">
        <v>1761</v>
      </c>
      <c r="C1199" t="s">
        <v>1767</v>
      </c>
      <c r="D1199" t="s">
        <v>2369</v>
      </c>
      <c r="E1199">
        <f>IFERROR(
   IF(D1199="Líder",
      INDEX(ZACATECAS!E:E, MATCH(C1199, ZACATECAS!F:F, 0)),
      INDEX(ZACATECAS!H:H, MATCH(C1199, ZACATECAS!J:J, 0))
   ),
"")</f>
        <v>32044151</v>
      </c>
    </row>
    <row r="1200" spans="1:5" x14ac:dyDescent="0.3">
      <c r="A1200" t="s">
        <v>1584</v>
      </c>
      <c r="B1200" t="s">
        <v>1761</v>
      </c>
      <c r="C1200" t="s">
        <v>2487</v>
      </c>
      <c r="D1200" t="s">
        <v>2369</v>
      </c>
      <c r="E1200" t="str">
        <f>IFERROR(
   IF(D1200="Líder",
      INDEX(ZACATECAS!E:E, MATCH(C1200, ZACATECAS!F:F, 0)),
      INDEX(ZACATECAS!H:H, MATCH(C1200, ZACATECAS!J:J, 0))
   ),
"")</f>
        <v/>
      </c>
    </row>
    <row r="1201" spans="1:5" x14ac:dyDescent="0.3">
      <c r="A1201" t="s">
        <v>1584</v>
      </c>
      <c r="B1201" t="s">
        <v>1761</v>
      </c>
      <c r="C1201" t="s">
        <v>2488</v>
      </c>
      <c r="D1201" t="s">
        <v>2369</v>
      </c>
      <c r="E1201" t="str">
        <f>IFERROR(
   IF(D1201="Líder",
      INDEX(ZACATECAS!E:E, MATCH(C1201, ZACATECAS!F:F, 0)),
      INDEX(ZACATECAS!H:H, MATCH(C1201, ZACATECAS!J:J, 0))
   ),
"")</f>
        <v/>
      </c>
    </row>
    <row r="1202" spans="1:5" x14ac:dyDescent="0.3">
      <c r="A1202" t="s">
        <v>1584</v>
      </c>
      <c r="B1202" t="s">
        <v>1761</v>
      </c>
      <c r="C1202" t="s">
        <v>2489</v>
      </c>
      <c r="D1202" t="s">
        <v>2369</v>
      </c>
      <c r="E1202" t="str">
        <f>IFERROR(
   IF(D1202="Líder",
      INDEX(ZACATECAS!E:E, MATCH(C1202, ZACATECAS!F:F, 0)),
      INDEX(ZACATECAS!H:H, MATCH(C1202, ZACATECAS!J:J, 0))
   ),
"")</f>
        <v/>
      </c>
    </row>
    <row r="1203" spans="1:5" x14ac:dyDescent="0.3">
      <c r="A1203" t="s">
        <v>1584</v>
      </c>
      <c r="B1203" t="s">
        <v>1761</v>
      </c>
      <c r="C1203" t="s">
        <v>1774</v>
      </c>
      <c r="D1203" t="s">
        <v>2369</v>
      </c>
      <c r="E1203">
        <f>IFERROR(
   IF(D1203="Líder",
      INDEX(ZACATECAS!E:E, MATCH(C1203, ZACATECAS!F:F, 0)),
      INDEX(ZACATECAS!H:H, MATCH(C1203, ZACATECAS!J:J, 0))
   ),
"")</f>
        <v>32046463</v>
      </c>
    </row>
    <row r="1204" spans="1:5" x14ac:dyDescent="0.3">
      <c r="A1204" t="s">
        <v>1584</v>
      </c>
      <c r="B1204" t="s">
        <v>1761</v>
      </c>
      <c r="C1204" t="s">
        <v>1764</v>
      </c>
      <c r="D1204" t="s">
        <v>2369</v>
      </c>
      <c r="E1204">
        <f>IFERROR(
   IF(D1204="Líder",
      INDEX(ZACATECAS!E:E, MATCH(C1204, ZACATECAS!F:F, 0)),
      INDEX(ZACATECAS!H:H, MATCH(C1204, ZACATECAS!J:J, 0))
   ),
"")</f>
        <v>32045437</v>
      </c>
    </row>
    <row r="1205" spans="1:5" x14ac:dyDescent="0.3">
      <c r="A1205" t="s">
        <v>1584</v>
      </c>
      <c r="B1205" t="s">
        <v>1761</v>
      </c>
      <c r="C1205" t="s">
        <v>2490</v>
      </c>
      <c r="D1205" t="s">
        <v>2369</v>
      </c>
      <c r="E1205" t="str">
        <f>IFERROR(
   IF(D1205="Líder",
      INDEX(ZACATECAS!E:E, MATCH(C1205, ZACATECAS!F:F, 0)),
      INDEX(ZACATECAS!H:H, MATCH(C1205, ZACATECAS!J:J, 0))
   ),
"")</f>
        <v/>
      </c>
    </row>
    <row r="1206" spans="1:5" x14ac:dyDescent="0.3">
      <c r="A1206" t="s">
        <v>1584</v>
      </c>
      <c r="B1206" t="s">
        <v>1761</v>
      </c>
      <c r="C1206" t="s">
        <v>2491</v>
      </c>
      <c r="D1206" t="s">
        <v>2369</v>
      </c>
      <c r="E1206" t="str">
        <f>IFERROR(
   IF(D1206="Líder",
      INDEX(ZACATECAS!E:E, MATCH(C1206, ZACATECAS!F:F, 0)),
      INDEX(ZACATECAS!H:H, MATCH(C1206, ZACATECAS!J:J, 0))
   ),
"")</f>
        <v/>
      </c>
    </row>
    <row r="1207" spans="1:5" x14ac:dyDescent="0.3">
      <c r="A1207" t="s">
        <v>1584</v>
      </c>
      <c r="B1207" t="s">
        <v>1761</v>
      </c>
      <c r="C1207" t="s">
        <v>2492</v>
      </c>
      <c r="D1207" t="s">
        <v>2369</v>
      </c>
      <c r="E1207" t="str">
        <f>IFERROR(
   IF(D1207="Líder",
      INDEX(ZACATECAS!E:E, MATCH(C1207, ZACATECAS!F:F, 0)),
      INDEX(ZACATECAS!H:H, MATCH(C1207, ZACATECAS!J:J, 0))
   ),
"")</f>
        <v/>
      </c>
    </row>
    <row r="1208" spans="1:5" x14ac:dyDescent="0.3">
      <c r="A1208" t="s">
        <v>1584</v>
      </c>
      <c r="B1208" t="s">
        <v>1761</v>
      </c>
      <c r="C1208" t="s">
        <v>2493</v>
      </c>
      <c r="D1208" t="s">
        <v>2369</v>
      </c>
      <c r="E1208" t="str">
        <f>IFERROR(
   IF(D1208="Líder",
      INDEX(ZACATECAS!E:E, MATCH(C1208, ZACATECAS!F:F, 0)),
      INDEX(ZACATECAS!H:H, MATCH(C1208, ZACATECAS!J:J, 0))
   ),
"")</f>
        <v/>
      </c>
    </row>
    <row r="1209" spans="1:5" x14ac:dyDescent="0.3">
      <c r="A1209" t="s">
        <v>1584</v>
      </c>
      <c r="B1209" t="s">
        <v>1761</v>
      </c>
      <c r="C1209" t="s">
        <v>2494</v>
      </c>
      <c r="D1209" t="s">
        <v>2369</v>
      </c>
      <c r="E1209" t="str">
        <f>IFERROR(
   IF(D1209="Líder",
      INDEX(ZACATECAS!E:E, MATCH(C1209, ZACATECAS!F:F, 0)),
      INDEX(ZACATECAS!H:H, MATCH(C1209, ZACATECAS!J:J, 0))
   ),
"")</f>
        <v/>
      </c>
    </row>
    <row r="1210" spans="1:5" x14ac:dyDescent="0.3">
      <c r="A1210" t="s">
        <v>2053</v>
      </c>
      <c r="B1210" t="s">
        <v>2110</v>
      </c>
      <c r="C1210" t="s">
        <v>2113</v>
      </c>
      <c r="D1210" t="s">
        <v>2369</v>
      </c>
      <c r="E1210">
        <f>IFERROR(
   IF(D1210="Líder",
      INDEX(ZACATECAS!E:E, MATCH(C1210, ZACATECAS!F:F, 0)),
      INDEX(ZACATECAS!H:H, MATCH(C1210, ZACATECAS!J:J, 0))
   ),
"")</f>
        <v>32145467</v>
      </c>
    </row>
    <row r="1211" spans="1:5" x14ac:dyDescent="0.3">
      <c r="A1211" t="s">
        <v>2053</v>
      </c>
      <c r="B1211" t="s">
        <v>2110</v>
      </c>
      <c r="C1211" t="s">
        <v>2114</v>
      </c>
      <c r="D1211" t="s">
        <v>2369</v>
      </c>
      <c r="E1211">
        <f>IFERROR(
   IF(D1211="Líder",
      INDEX(ZACATECAS!E:E, MATCH(C1211, ZACATECAS!F:F, 0)),
      INDEX(ZACATECAS!H:H, MATCH(C1211, ZACATECAS!J:J, 0))
   ),
"")</f>
        <v>32043741</v>
      </c>
    </row>
    <row r="1212" spans="1:5" x14ac:dyDescent="0.3">
      <c r="A1212" t="s">
        <v>2053</v>
      </c>
      <c r="B1212" t="s">
        <v>2110</v>
      </c>
      <c r="C1212" t="s">
        <v>2117</v>
      </c>
      <c r="D1212" t="s">
        <v>2369</v>
      </c>
      <c r="E1212">
        <f>IFERROR(
   IF(D1212="Líder",
      INDEX(ZACATECAS!E:E, MATCH(C1212, ZACATECAS!F:F, 0)),
      INDEX(ZACATECAS!H:H, MATCH(C1212, ZACATECAS!J:J, 0))
   ),
"")</f>
        <v>32043799</v>
      </c>
    </row>
    <row r="1213" spans="1:5" x14ac:dyDescent="0.3">
      <c r="A1213" t="s">
        <v>2053</v>
      </c>
      <c r="B1213" t="s">
        <v>2110</v>
      </c>
      <c r="C1213" t="s">
        <v>2119</v>
      </c>
      <c r="D1213" t="s">
        <v>2369</v>
      </c>
      <c r="E1213">
        <f>IFERROR(
   IF(D1213="Líder",
      INDEX(ZACATECAS!E:E, MATCH(C1213, ZACATECAS!F:F, 0)),
      INDEX(ZACATECAS!H:H, MATCH(C1213, ZACATECAS!J:J, 0))
   ),
"")</f>
        <v>32043860</v>
      </c>
    </row>
    <row r="1214" spans="1:5" x14ac:dyDescent="0.3">
      <c r="A1214" t="s">
        <v>2053</v>
      </c>
      <c r="B1214" t="s">
        <v>2110</v>
      </c>
      <c r="C1214" t="s">
        <v>2121</v>
      </c>
      <c r="D1214" t="s">
        <v>2369</v>
      </c>
      <c r="E1214">
        <f>IFERROR(
   IF(D1214="Líder",
      INDEX(ZACATECAS!E:E, MATCH(C1214, ZACATECAS!F:F, 0)),
      INDEX(ZACATECAS!H:H, MATCH(C1214, ZACATECAS!J:J, 0))
   ),
"")</f>
        <v>32045871</v>
      </c>
    </row>
    <row r="1215" spans="1:5" x14ac:dyDescent="0.3">
      <c r="A1215" t="s">
        <v>2053</v>
      </c>
      <c r="B1215" t="s">
        <v>2110</v>
      </c>
      <c r="C1215" t="s">
        <v>2123</v>
      </c>
      <c r="D1215" t="s">
        <v>2369</v>
      </c>
      <c r="E1215">
        <f>IFERROR(
   IF(D1215="Líder",
      INDEX(ZACATECAS!E:E, MATCH(C1215, ZACATECAS!F:F, 0)),
      INDEX(ZACATECAS!H:H, MATCH(C1215, ZACATECAS!J:J, 0))
   ),
"")</f>
        <v>32043908</v>
      </c>
    </row>
    <row r="1216" spans="1:5" x14ac:dyDescent="0.3">
      <c r="A1216" t="s">
        <v>2053</v>
      </c>
      <c r="B1216" t="s">
        <v>2110</v>
      </c>
      <c r="C1216" t="s">
        <v>2125</v>
      </c>
      <c r="D1216" t="s">
        <v>2369</v>
      </c>
      <c r="E1216">
        <f>IFERROR(
   IF(D1216="Líder",
      INDEX(ZACATECAS!E:E, MATCH(C1216, ZACATECAS!F:F, 0)),
      INDEX(ZACATECAS!H:H, MATCH(C1216, ZACATECAS!J:J, 0))
   ),
"")</f>
        <v>32043916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1440-5C0E-40C5-A483-7CCC2F00ED3A}">
  <dimension ref="B2:F965"/>
  <sheetViews>
    <sheetView showGridLines="0" zoomScale="104" zoomScaleNormal="55" workbookViewId="0">
      <selection activeCell="G103" sqref="G103"/>
    </sheetView>
  </sheetViews>
  <sheetFormatPr baseColWidth="10" defaultColWidth="9.109375" defaultRowHeight="14.4" x14ac:dyDescent="0.3"/>
  <cols>
    <col min="2" max="2" width="10" customWidth="1"/>
    <col min="3" max="3" width="36.109375" style="2" customWidth="1"/>
    <col min="4" max="4" width="18.88671875" customWidth="1"/>
    <col min="5" max="5" width="63" customWidth="1"/>
  </cols>
  <sheetData>
    <row r="2" spans="2:5" ht="34.5" customHeight="1" x14ac:dyDescent="0.3">
      <c r="B2" s="93" t="s">
        <v>16</v>
      </c>
      <c r="C2" s="1" t="s">
        <v>17</v>
      </c>
      <c r="D2" s="1" t="s">
        <v>18</v>
      </c>
      <c r="E2" s="1" t="s">
        <v>19</v>
      </c>
    </row>
    <row r="3" spans="2:5" x14ac:dyDescent="0.3">
      <c r="B3" s="84" t="s">
        <v>2495</v>
      </c>
      <c r="C3" s="84" t="s">
        <v>212</v>
      </c>
      <c r="D3" s="85">
        <v>32162568</v>
      </c>
      <c r="E3" s="86" t="s">
        <v>213</v>
      </c>
    </row>
    <row r="4" spans="2:5" x14ac:dyDescent="0.3">
      <c r="B4" s="84" t="s">
        <v>2496</v>
      </c>
      <c r="C4" s="84" t="s">
        <v>2497</v>
      </c>
      <c r="D4" s="85">
        <v>32231912</v>
      </c>
      <c r="E4" s="86" t="s">
        <v>265</v>
      </c>
    </row>
    <row r="5" spans="2:5" x14ac:dyDescent="0.3">
      <c r="B5" s="84" t="s">
        <v>2496</v>
      </c>
      <c r="C5" s="84" t="s">
        <v>197</v>
      </c>
      <c r="D5" s="85">
        <v>32196674</v>
      </c>
      <c r="E5" s="86" t="s">
        <v>198</v>
      </c>
    </row>
    <row r="6" spans="2:5" x14ac:dyDescent="0.3">
      <c r="B6" s="84" t="s">
        <v>2496</v>
      </c>
      <c r="C6" s="84" t="s">
        <v>2498</v>
      </c>
      <c r="D6" s="85">
        <v>32174889</v>
      </c>
      <c r="E6" s="86" t="s">
        <v>278</v>
      </c>
    </row>
    <row r="7" spans="2:5" x14ac:dyDescent="0.3">
      <c r="B7" s="84" t="s">
        <v>2496</v>
      </c>
      <c r="C7" s="84" t="s">
        <v>30</v>
      </c>
      <c r="D7" s="85">
        <v>32146684</v>
      </c>
      <c r="E7" s="86" t="s">
        <v>31</v>
      </c>
    </row>
    <row r="8" spans="2:5" x14ac:dyDescent="0.3">
      <c r="B8" s="84" t="s">
        <v>2496</v>
      </c>
      <c r="C8" s="84" t="s">
        <v>2499</v>
      </c>
      <c r="D8" s="85">
        <v>32186665</v>
      </c>
      <c r="E8" s="86" t="s">
        <v>50</v>
      </c>
    </row>
    <row r="9" spans="2:5" x14ac:dyDescent="0.3">
      <c r="B9" s="84" t="s">
        <v>2496</v>
      </c>
      <c r="C9" s="84" t="s">
        <v>67</v>
      </c>
      <c r="D9" s="85">
        <v>32045174</v>
      </c>
      <c r="E9" s="86" t="s">
        <v>68</v>
      </c>
    </row>
    <row r="10" spans="2:5" x14ac:dyDescent="0.3">
      <c r="B10" s="84" t="s">
        <v>2496</v>
      </c>
      <c r="C10" s="84" t="s">
        <v>84</v>
      </c>
      <c r="D10" s="85">
        <v>32052981</v>
      </c>
      <c r="E10" s="86" t="s">
        <v>85</v>
      </c>
    </row>
    <row r="11" spans="2:5" x14ac:dyDescent="0.3">
      <c r="B11" s="84" t="s">
        <v>2496</v>
      </c>
      <c r="C11" s="84" t="s">
        <v>96</v>
      </c>
      <c r="D11" s="85">
        <v>32044049</v>
      </c>
      <c r="E11" s="86" t="s">
        <v>2500</v>
      </c>
    </row>
    <row r="12" spans="2:5" x14ac:dyDescent="0.3">
      <c r="B12" s="84" t="s">
        <v>2496</v>
      </c>
      <c r="C12" s="84" t="s">
        <v>2501</v>
      </c>
      <c r="D12" s="85">
        <v>32224377</v>
      </c>
      <c r="E12" s="86" t="s">
        <v>110</v>
      </c>
    </row>
    <row r="13" spans="2:5" x14ac:dyDescent="0.3">
      <c r="B13" s="84" t="s">
        <v>2496</v>
      </c>
      <c r="C13" s="84" t="s">
        <v>2502</v>
      </c>
      <c r="D13" s="85">
        <v>32146677</v>
      </c>
      <c r="E13" s="86" t="s">
        <v>121</v>
      </c>
    </row>
    <row r="14" spans="2:5" x14ac:dyDescent="0.3">
      <c r="B14" s="84" t="s">
        <v>2496</v>
      </c>
      <c r="C14" s="84" t="s">
        <v>2503</v>
      </c>
      <c r="D14" s="85">
        <v>32046063</v>
      </c>
      <c r="E14" s="86" t="s">
        <v>2504</v>
      </c>
    </row>
    <row r="15" spans="2:5" x14ac:dyDescent="0.3">
      <c r="B15" s="84" t="s">
        <v>2496</v>
      </c>
      <c r="C15" s="84" t="s">
        <v>2505</v>
      </c>
      <c r="D15" s="85">
        <v>32045378</v>
      </c>
      <c r="E15" s="86" t="s">
        <v>313</v>
      </c>
    </row>
    <row r="16" spans="2:5" x14ac:dyDescent="0.3">
      <c r="B16" s="84" t="s">
        <v>2496</v>
      </c>
      <c r="C16" s="84" t="s">
        <v>330</v>
      </c>
      <c r="D16" s="85">
        <v>32209640</v>
      </c>
      <c r="E16" s="86" t="s">
        <v>331</v>
      </c>
    </row>
    <row r="17" spans="2:5" x14ac:dyDescent="0.3">
      <c r="B17" s="84" t="s">
        <v>2496</v>
      </c>
      <c r="C17" s="84" t="s">
        <v>150</v>
      </c>
      <c r="D17" s="85">
        <v>32052750</v>
      </c>
      <c r="E17" s="86" t="s">
        <v>2506</v>
      </c>
    </row>
    <row r="18" spans="2:5" x14ac:dyDescent="0.3">
      <c r="B18" s="84" t="s">
        <v>2496</v>
      </c>
      <c r="C18" s="84" t="s">
        <v>350</v>
      </c>
      <c r="D18" s="85">
        <v>32044983</v>
      </c>
      <c r="E18" s="86" t="s">
        <v>351</v>
      </c>
    </row>
    <row r="19" spans="2:5" x14ac:dyDescent="0.3">
      <c r="B19" s="84" t="s">
        <v>2507</v>
      </c>
      <c r="C19" s="84" t="s">
        <v>2508</v>
      </c>
      <c r="D19" s="85">
        <v>32148105</v>
      </c>
      <c r="E19" s="86" t="s">
        <v>515</v>
      </c>
    </row>
    <row r="20" spans="2:5" x14ac:dyDescent="0.3">
      <c r="B20" s="84" t="s">
        <v>2507</v>
      </c>
      <c r="C20" s="84" t="s">
        <v>2509</v>
      </c>
      <c r="D20" s="85">
        <v>32147380</v>
      </c>
      <c r="E20" s="86" t="s">
        <v>386</v>
      </c>
    </row>
    <row r="21" spans="2:5" x14ac:dyDescent="0.3">
      <c r="B21" s="84" t="s">
        <v>2507</v>
      </c>
      <c r="C21" s="84" t="s">
        <v>2510</v>
      </c>
      <c r="D21" s="85">
        <v>32141851</v>
      </c>
      <c r="E21" s="86" t="s">
        <v>606</v>
      </c>
    </row>
    <row r="22" spans="2:5" x14ac:dyDescent="0.3">
      <c r="B22" s="84" t="s">
        <v>2507</v>
      </c>
      <c r="C22" s="84" t="s">
        <v>2511</v>
      </c>
      <c r="D22" s="85">
        <v>32046005</v>
      </c>
      <c r="E22" s="86" t="s">
        <v>2355</v>
      </c>
    </row>
    <row r="23" spans="2:5" x14ac:dyDescent="0.3">
      <c r="B23" s="84" t="s">
        <v>2507</v>
      </c>
      <c r="C23" s="84" t="s">
        <v>2512</v>
      </c>
      <c r="D23" s="85">
        <v>32168008</v>
      </c>
      <c r="E23" s="183" t="s">
        <v>1418</v>
      </c>
    </row>
    <row r="24" spans="2:5" x14ac:dyDescent="0.3">
      <c r="B24" s="84" t="s">
        <v>2507</v>
      </c>
      <c r="C24" s="84" t="s">
        <v>2513</v>
      </c>
      <c r="D24" s="85">
        <v>32174381</v>
      </c>
      <c r="E24" s="86" t="s">
        <v>449</v>
      </c>
    </row>
    <row r="25" spans="2:5" x14ac:dyDescent="0.3">
      <c r="B25" s="84" t="s">
        <v>2507</v>
      </c>
      <c r="C25" s="84" t="s">
        <v>2514</v>
      </c>
      <c r="D25" s="85">
        <v>32203898</v>
      </c>
      <c r="E25" s="86" t="s">
        <v>475</v>
      </c>
    </row>
    <row r="26" spans="2:5" x14ac:dyDescent="0.3">
      <c r="B26" s="84" t="s">
        <v>2507</v>
      </c>
      <c r="C26" s="84" t="s">
        <v>2515</v>
      </c>
      <c r="D26" s="85">
        <v>32146001</v>
      </c>
      <c r="E26" s="86" t="s">
        <v>398</v>
      </c>
    </row>
    <row r="27" spans="2:5" x14ac:dyDescent="0.3">
      <c r="B27" s="84" t="s">
        <v>2507</v>
      </c>
      <c r="C27" s="84" t="s">
        <v>2516</v>
      </c>
      <c r="D27" s="85">
        <v>32045977</v>
      </c>
      <c r="E27" s="86" t="s">
        <v>744</v>
      </c>
    </row>
    <row r="28" spans="2:5" x14ac:dyDescent="0.3">
      <c r="B28" s="84" t="s">
        <v>2507</v>
      </c>
      <c r="C28" s="84" t="s">
        <v>2517</v>
      </c>
      <c r="D28" s="85">
        <v>32045047</v>
      </c>
      <c r="E28" s="86" t="s">
        <v>2349</v>
      </c>
    </row>
    <row r="29" spans="2:5" x14ac:dyDescent="0.3">
      <c r="B29" s="84" t="s">
        <v>2507</v>
      </c>
      <c r="C29" s="84" t="s">
        <v>2518</v>
      </c>
      <c r="D29" s="85">
        <v>32146685</v>
      </c>
      <c r="E29" s="86" t="s">
        <v>1394</v>
      </c>
    </row>
    <row r="30" spans="2:5" x14ac:dyDescent="0.3">
      <c r="B30" s="84" t="s">
        <v>2507</v>
      </c>
      <c r="C30" s="84" t="s">
        <v>2519</v>
      </c>
      <c r="D30" s="85">
        <v>32148109</v>
      </c>
      <c r="E30" s="86" t="s">
        <v>2345</v>
      </c>
    </row>
    <row r="31" spans="2:5" x14ac:dyDescent="0.3">
      <c r="B31" s="84" t="s">
        <v>2507</v>
      </c>
      <c r="C31" s="84" t="s">
        <v>2520</v>
      </c>
      <c r="D31" s="85">
        <v>32155926</v>
      </c>
      <c r="E31" s="86" t="s">
        <v>2346</v>
      </c>
    </row>
    <row r="32" spans="2:5" x14ac:dyDescent="0.3">
      <c r="B32" s="84" t="s">
        <v>2507</v>
      </c>
      <c r="C32" s="84" t="s">
        <v>2521</v>
      </c>
      <c r="D32" s="85">
        <v>32143096</v>
      </c>
      <c r="E32" s="86" t="s">
        <v>2522</v>
      </c>
    </row>
    <row r="33" spans="2:5" x14ac:dyDescent="0.3">
      <c r="B33" s="84" t="s">
        <v>2507</v>
      </c>
      <c r="C33" s="84" t="s">
        <v>2523</v>
      </c>
      <c r="D33" s="85">
        <v>32046689</v>
      </c>
      <c r="E33" s="86" t="s">
        <v>365</v>
      </c>
    </row>
    <row r="34" spans="2:5" x14ac:dyDescent="0.3">
      <c r="B34" s="84" t="s">
        <v>2507</v>
      </c>
      <c r="C34" s="84" t="s">
        <v>2524</v>
      </c>
      <c r="D34" s="85">
        <v>32141851</v>
      </c>
      <c r="E34" s="86" t="s">
        <v>606</v>
      </c>
    </row>
    <row r="35" spans="2:5" x14ac:dyDescent="0.3">
      <c r="B35" s="84" t="s">
        <v>2507</v>
      </c>
      <c r="C35" s="84" t="s">
        <v>2525</v>
      </c>
      <c r="D35" s="85">
        <v>32155926</v>
      </c>
      <c r="E35" s="86" t="s">
        <v>2346</v>
      </c>
    </row>
    <row r="36" spans="2:5" x14ac:dyDescent="0.3">
      <c r="B36" s="84" t="s">
        <v>2507</v>
      </c>
      <c r="C36" s="84" t="s">
        <v>2526</v>
      </c>
      <c r="D36" s="85">
        <v>32147381</v>
      </c>
      <c r="E36" s="86" t="s">
        <v>817</v>
      </c>
    </row>
    <row r="37" spans="2:5" x14ac:dyDescent="0.3">
      <c r="B37" s="84" t="s">
        <v>2507</v>
      </c>
      <c r="C37" s="84" t="s">
        <v>2527</v>
      </c>
      <c r="D37" s="85">
        <v>32148860</v>
      </c>
      <c r="E37" s="86" t="s">
        <v>2347</v>
      </c>
    </row>
    <row r="38" spans="2:5" x14ac:dyDescent="0.3">
      <c r="B38" s="84" t="s">
        <v>2507</v>
      </c>
      <c r="C38" s="84" t="s">
        <v>2528</v>
      </c>
      <c r="D38" s="85">
        <v>32096563</v>
      </c>
      <c r="E38" s="86" t="s">
        <v>1094</v>
      </c>
    </row>
    <row r="39" spans="2:5" x14ac:dyDescent="0.3">
      <c r="B39" s="84" t="s">
        <v>2507</v>
      </c>
      <c r="C39" s="84" t="s">
        <v>2529</v>
      </c>
      <c r="D39" s="85">
        <v>32148109</v>
      </c>
      <c r="E39" s="86" t="s">
        <v>2345</v>
      </c>
    </row>
    <row r="40" spans="2:5" x14ac:dyDescent="0.3">
      <c r="B40" s="84" t="s">
        <v>2507</v>
      </c>
      <c r="C40" s="84" t="s">
        <v>2530</v>
      </c>
      <c r="D40" s="85">
        <v>32045047</v>
      </c>
      <c r="E40" s="86" t="s">
        <v>2349</v>
      </c>
    </row>
    <row r="41" spans="2:5" x14ac:dyDescent="0.3">
      <c r="B41" s="84" t="s">
        <v>2507</v>
      </c>
      <c r="C41" s="84" t="s">
        <v>2531</v>
      </c>
      <c r="D41" s="85">
        <v>32168009</v>
      </c>
      <c r="E41" s="86" t="s">
        <v>781</v>
      </c>
    </row>
    <row r="42" spans="2:5" x14ac:dyDescent="0.3">
      <c r="B42" s="84" t="s">
        <v>2507</v>
      </c>
      <c r="C42" s="84" t="s">
        <v>2532</v>
      </c>
      <c r="D42" s="85">
        <v>32156051</v>
      </c>
      <c r="E42" s="86" t="s">
        <v>2352</v>
      </c>
    </row>
    <row r="43" spans="2:5" x14ac:dyDescent="0.3">
      <c r="B43" s="84" t="s">
        <v>2507</v>
      </c>
      <c r="C43" s="84" t="s">
        <v>2533</v>
      </c>
      <c r="D43" s="85">
        <v>32231920</v>
      </c>
      <c r="E43" s="86" t="s">
        <v>1079</v>
      </c>
    </row>
    <row r="44" spans="2:5" x14ac:dyDescent="0.3">
      <c r="B44" s="84" t="s">
        <v>2507</v>
      </c>
      <c r="C44" s="84" t="s">
        <v>2534</v>
      </c>
      <c r="D44" s="85">
        <v>32046695</v>
      </c>
      <c r="E44" s="86" t="s">
        <v>1292</v>
      </c>
    </row>
    <row r="45" spans="2:5" x14ac:dyDescent="0.3">
      <c r="B45" s="84" t="s">
        <v>2507</v>
      </c>
      <c r="C45" s="84" t="s">
        <v>2535</v>
      </c>
      <c r="D45" s="85">
        <v>32168009</v>
      </c>
      <c r="E45" s="86" t="s">
        <v>781</v>
      </c>
    </row>
    <row r="46" spans="2:5" x14ac:dyDescent="0.3">
      <c r="B46" s="84" t="s">
        <v>2507</v>
      </c>
      <c r="C46" s="84" t="s">
        <v>2536</v>
      </c>
      <c r="D46" s="85">
        <v>32046689</v>
      </c>
      <c r="E46" s="86" t="s">
        <v>365</v>
      </c>
    </row>
    <row r="47" spans="2:5" x14ac:dyDescent="0.3">
      <c r="B47" s="84" t="s">
        <v>2507</v>
      </c>
      <c r="C47" s="84" t="s">
        <v>2537</v>
      </c>
      <c r="D47" s="85">
        <v>32156051</v>
      </c>
      <c r="E47" s="86" t="s">
        <v>2352</v>
      </c>
    </row>
    <row r="48" spans="2:5" x14ac:dyDescent="0.3">
      <c r="B48" s="84" t="s">
        <v>2507</v>
      </c>
      <c r="C48" s="84" t="s">
        <v>2538</v>
      </c>
      <c r="D48" s="85">
        <v>32096563</v>
      </c>
      <c r="E48" s="86" t="s">
        <v>1094</v>
      </c>
    </row>
    <row r="49" spans="2:5" x14ac:dyDescent="0.3">
      <c r="B49" s="84" t="s">
        <v>2507</v>
      </c>
      <c r="C49" s="84" t="s">
        <v>2539</v>
      </c>
      <c r="D49" s="85">
        <v>32148105</v>
      </c>
      <c r="E49" s="86" t="s">
        <v>515</v>
      </c>
    </row>
    <row r="50" spans="2:5" x14ac:dyDescent="0.3">
      <c r="B50" s="84" t="s">
        <v>2507</v>
      </c>
      <c r="C50" s="84" t="s">
        <v>2540</v>
      </c>
      <c r="D50" s="85">
        <v>32203898</v>
      </c>
      <c r="E50" s="86" t="s">
        <v>495</v>
      </c>
    </row>
    <row r="51" spans="2:5" x14ac:dyDescent="0.3">
      <c r="B51" s="84" t="s">
        <v>2507</v>
      </c>
      <c r="C51" s="84" t="s">
        <v>2541</v>
      </c>
      <c r="D51" s="85">
        <v>32147380</v>
      </c>
      <c r="E51" s="86" t="s">
        <v>386</v>
      </c>
    </row>
    <row r="52" spans="2:5" x14ac:dyDescent="0.3">
      <c r="B52" s="84" t="s">
        <v>2507</v>
      </c>
      <c r="C52" s="84" t="s">
        <v>2542</v>
      </c>
      <c r="D52" s="85">
        <v>32045820</v>
      </c>
      <c r="E52" s="86" t="s">
        <v>975</v>
      </c>
    </row>
    <row r="53" spans="2:5" x14ac:dyDescent="0.3">
      <c r="B53" s="84" t="s">
        <v>2507</v>
      </c>
      <c r="C53" s="84" t="s">
        <v>2543</v>
      </c>
      <c r="D53" s="85">
        <v>32156641</v>
      </c>
      <c r="E53" s="183" t="s">
        <v>2360</v>
      </c>
    </row>
    <row r="54" spans="2:5" x14ac:dyDescent="0.3">
      <c r="B54" s="84" t="s">
        <v>2507</v>
      </c>
      <c r="C54" s="84" t="s">
        <v>2544</v>
      </c>
      <c r="D54" s="85">
        <v>32231920</v>
      </c>
      <c r="E54" s="86" t="s">
        <v>1079</v>
      </c>
    </row>
    <row r="55" spans="2:5" x14ac:dyDescent="0.3">
      <c r="B55" s="84" t="s">
        <v>2507</v>
      </c>
      <c r="C55" s="84" t="s">
        <v>2545</v>
      </c>
      <c r="D55" s="85">
        <v>32146001</v>
      </c>
      <c r="E55" s="86" t="s">
        <v>398</v>
      </c>
    </row>
    <row r="56" spans="2:5" x14ac:dyDescent="0.3">
      <c r="B56" s="84" t="s">
        <v>2507</v>
      </c>
      <c r="C56" s="84" t="s">
        <v>2546</v>
      </c>
      <c r="D56" s="85">
        <v>32060808</v>
      </c>
      <c r="E56" s="86" t="s">
        <v>1265</v>
      </c>
    </row>
    <row r="57" spans="2:5" x14ac:dyDescent="0.3">
      <c r="B57" s="84" t="s">
        <v>2507</v>
      </c>
      <c r="C57" s="84" t="s">
        <v>2547</v>
      </c>
      <c r="D57" s="85">
        <v>32156051</v>
      </c>
      <c r="E57" s="86" t="s">
        <v>2352</v>
      </c>
    </row>
    <row r="58" spans="2:5" x14ac:dyDescent="0.3">
      <c r="B58" s="84" t="s">
        <v>2507</v>
      </c>
      <c r="C58" s="84" t="s">
        <v>2548</v>
      </c>
      <c r="D58" s="85">
        <v>32060808</v>
      </c>
      <c r="E58" s="86" t="s">
        <v>1265</v>
      </c>
    </row>
    <row r="59" spans="2:5" x14ac:dyDescent="0.3">
      <c r="B59" s="84" t="s">
        <v>2507</v>
      </c>
      <c r="C59" s="84" t="s">
        <v>2549</v>
      </c>
      <c r="D59" s="85">
        <v>32155926</v>
      </c>
      <c r="E59" s="86" t="s">
        <v>2346</v>
      </c>
    </row>
    <row r="60" spans="2:5" x14ac:dyDescent="0.3">
      <c r="B60" s="84" t="s">
        <v>2507</v>
      </c>
      <c r="C60" s="84" t="s">
        <v>2550</v>
      </c>
      <c r="D60" s="85">
        <v>32148202</v>
      </c>
      <c r="E60" s="86" t="s">
        <v>1004</v>
      </c>
    </row>
    <row r="61" spans="2:5" x14ac:dyDescent="0.3">
      <c r="B61" s="84" t="s">
        <v>2507</v>
      </c>
      <c r="C61" s="84" t="s">
        <v>2551</v>
      </c>
      <c r="D61" s="85">
        <v>32143096</v>
      </c>
      <c r="E61" s="86" t="s">
        <v>2522</v>
      </c>
    </row>
    <row r="62" spans="2:5" x14ac:dyDescent="0.3">
      <c r="B62" s="84" t="s">
        <v>2507</v>
      </c>
      <c r="C62" s="84" t="s">
        <v>2552</v>
      </c>
      <c r="D62" s="85">
        <v>32096563</v>
      </c>
      <c r="E62" s="86" t="s">
        <v>1094</v>
      </c>
    </row>
    <row r="63" spans="2:5" x14ac:dyDescent="0.3">
      <c r="B63" s="84" t="s">
        <v>2507</v>
      </c>
      <c r="C63" s="84" t="s">
        <v>2553</v>
      </c>
      <c r="D63" s="85">
        <v>32046695</v>
      </c>
      <c r="E63" s="86" t="s">
        <v>1292</v>
      </c>
    </row>
    <row r="64" spans="2:5" x14ac:dyDescent="0.3">
      <c r="B64" s="84" t="s">
        <v>2507</v>
      </c>
      <c r="C64" s="84" t="s">
        <v>2554</v>
      </c>
      <c r="D64" s="85">
        <v>32147381</v>
      </c>
      <c r="E64" s="86" t="s">
        <v>817</v>
      </c>
    </row>
    <row r="65" spans="2:5" x14ac:dyDescent="0.3">
      <c r="B65" s="84" t="s">
        <v>2555</v>
      </c>
      <c r="C65" s="84" t="s">
        <v>2129</v>
      </c>
      <c r="D65" s="85">
        <v>32045873</v>
      </c>
      <c r="E65" s="86" t="s">
        <v>2130</v>
      </c>
    </row>
    <row r="66" spans="2:5" x14ac:dyDescent="0.3">
      <c r="B66" s="84" t="s">
        <v>2555</v>
      </c>
      <c r="C66" s="84" t="s">
        <v>2137</v>
      </c>
      <c r="D66" s="85">
        <v>32146124</v>
      </c>
      <c r="E66" s="86" t="s">
        <v>2138</v>
      </c>
    </row>
    <row r="67" spans="2:5" x14ac:dyDescent="0.3">
      <c r="B67" s="84" t="s">
        <v>2555</v>
      </c>
      <c r="C67" s="84" t="s">
        <v>2210</v>
      </c>
      <c r="D67" s="85">
        <v>32068308</v>
      </c>
      <c r="E67" s="86" t="s">
        <v>2211</v>
      </c>
    </row>
    <row r="68" spans="2:5" x14ac:dyDescent="0.3">
      <c r="B68" s="84" t="s">
        <v>2555</v>
      </c>
      <c r="C68" s="84" t="s">
        <v>2273</v>
      </c>
      <c r="D68" s="85">
        <v>32044061</v>
      </c>
      <c r="E68" s="86" t="s">
        <v>2274</v>
      </c>
    </row>
    <row r="69" spans="2:5" x14ac:dyDescent="0.3">
      <c r="B69" s="84" t="s">
        <v>2555</v>
      </c>
      <c r="C69" s="84" t="s">
        <v>2248</v>
      </c>
      <c r="D69" s="85">
        <v>32145055</v>
      </c>
      <c r="E69" s="86" t="s">
        <v>2244</v>
      </c>
    </row>
    <row r="70" spans="2:5" x14ac:dyDescent="0.3">
      <c r="B70" s="84" t="s">
        <v>2555</v>
      </c>
      <c r="C70" s="84" t="s">
        <v>2556</v>
      </c>
      <c r="D70" s="85">
        <v>32172669</v>
      </c>
      <c r="E70" s="86" t="s">
        <v>2228</v>
      </c>
    </row>
    <row r="71" spans="2:5" x14ac:dyDescent="0.3">
      <c r="B71" s="84" t="s">
        <v>2555</v>
      </c>
      <c r="C71" s="84" t="s">
        <v>2147</v>
      </c>
      <c r="D71" s="85">
        <v>32151314</v>
      </c>
      <c r="E71" s="86" t="s">
        <v>2148</v>
      </c>
    </row>
    <row r="72" spans="2:5" x14ac:dyDescent="0.3">
      <c r="B72" s="84" t="s">
        <v>2555</v>
      </c>
      <c r="C72" s="84" t="s">
        <v>2183</v>
      </c>
      <c r="D72" s="85">
        <v>32172813</v>
      </c>
      <c r="E72" s="86" t="s">
        <v>2184</v>
      </c>
    </row>
    <row r="73" spans="2:5" x14ac:dyDescent="0.3">
      <c r="B73" s="84" t="s">
        <v>2555</v>
      </c>
      <c r="C73" s="84" t="s">
        <v>2285</v>
      </c>
      <c r="D73" s="85">
        <v>32044913</v>
      </c>
      <c r="E73" s="86" t="s">
        <v>2286</v>
      </c>
    </row>
    <row r="74" spans="2:5" x14ac:dyDescent="0.3">
      <c r="B74" s="84" t="s">
        <v>2555</v>
      </c>
      <c r="C74" s="84" t="s">
        <v>2264</v>
      </c>
      <c r="D74" s="85">
        <v>32151318</v>
      </c>
      <c r="E74" s="86" t="s">
        <v>2557</v>
      </c>
    </row>
    <row r="75" spans="2:5" x14ac:dyDescent="0.3">
      <c r="B75" s="84" t="s">
        <v>2555</v>
      </c>
      <c r="C75" s="84" t="s">
        <v>2312</v>
      </c>
      <c r="D75" s="85">
        <v>32045081</v>
      </c>
      <c r="E75" s="86" t="s">
        <v>2313</v>
      </c>
    </row>
    <row r="76" spans="2:5" x14ac:dyDescent="0.3">
      <c r="B76" s="84" t="s">
        <v>2555</v>
      </c>
      <c r="C76" s="84" t="s">
        <v>2153</v>
      </c>
      <c r="D76" s="85">
        <v>32055317</v>
      </c>
      <c r="E76" s="86" t="s">
        <v>2154</v>
      </c>
    </row>
    <row r="77" spans="2:5" x14ac:dyDescent="0.3">
      <c r="B77" s="84" t="s">
        <v>2555</v>
      </c>
      <c r="C77" s="84" t="s">
        <v>2195</v>
      </c>
      <c r="D77" s="85">
        <v>32149977</v>
      </c>
      <c r="E77" s="86" t="s">
        <v>2196</v>
      </c>
    </row>
    <row r="78" spans="2:5" x14ac:dyDescent="0.3">
      <c r="B78" s="84" t="s">
        <v>2555</v>
      </c>
      <c r="C78" s="84" t="s">
        <v>2243</v>
      </c>
      <c r="D78" s="85">
        <v>32145055</v>
      </c>
      <c r="E78" s="86" t="s">
        <v>2244</v>
      </c>
    </row>
    <row r="79" spans="2:5" x14ac:dyDescent="0.3">
      <c r="B79" s="84" t="s">
        <v>2555</v>
      </c>
      <c r="C79" s="84" t="s">
        <v>2162</v>
      </c>
      <c r="D79" s="85">
        <v>32172000</v>
      </c>
      <c r="E79" s="86" t="s">
        <v>2163</v>
      </c>
    </row>
    <row r="80" spans="2:5" x14ac:dyDescent="0.3">
      <c r="B80" s="84" t="s">
        <v>2555</v>
      </c>
      <c r="C80" s="84" t="s">
        <v>2172</v>
      </c>
      <c r="D80" s="85">
        <v>32149973</v>
      </c>
      <c r="E80" s="86" t="s">
        <v>2173</v>
      </c>
    </row>
    <row r="81" spans="2:5" x14ac:dyDescent="0.3">
      <c r="B81" s="84" t="s">
        <v>2555</v>
      </c>
      <c r="C81" s="84" t="s">
        <v>2236</v>
      </c>
      <c r="D81" s="85">
        <v>32149972</v>
      </c>
      <c r="E81" s="86" t="s">
        <v>2365</v>
      </c>
    </row>
    <row r="82" spans="2:5" x14ac:dyDescent="0.3">
      <c r="B82" s="84" t="s">
        <v>2555</v>
      </c>
      <c r="C82" s="84" t="s">
        <v>2297</v>
      </c>
      <c r="D82" s="85">
        <v>32045092</v>
      </c>
      <c r="E82" s="86" t="s">
        <v>2298</v>
      </c>
    </row>
    <row r="83" spans="2:5" x14ac:dyDescent="0.3">
      <c r="B83" s="84" t="s">
        <v>2555</v>
      </c>
      <c r="C83" s="84" t="s">
        <v>2253</v>
      </c>
      <c r="D83" s="85">
        <v>32145438</v>
      </c>
      <c r="E83" s="86" t="s">
        <v>2558</v>
      </c>
    </row>
    <row r="84" spans="2:5" x14ac:dyDescent="0.3">
      <c r="B84" s="84" t="s">
        <v>2555</v>
      </c>
      <c r="C84" s="84" t="s">
        <v>2220</v>
      </c>
      <c r="D84" s="85">
        <v>32146125</v>
      </c>
      <c r="E84" s="86" t="s">
        <v>2221</v>
      </c>
    </row>
    <row r="85" spans="2:5" x14ac:dyDescent="0.3">
      <c r="B85" s="84" t="s">
        <v>2559</v>
      </c>
      <c r="C85" s="84" t="s">
        <v>1869</v>
      </c>
      <c r="D85" s="85">
        <v>32172003</v>
      </c>
      <c r="E85" s="86" t="s">
        <v>1870</v>
      </c>
    </row>
    <row r="86" spans="2:5" x14ac:dyDescent="0.3">
      <c r="B86" s="84" t="s">
        <v>2496</v>
      </c>
      <c r="C86" s="84" t="s">
        <v>2560</v>
      </c>
      <c r="D86" s="85">
        <v>32145498</v>
      </c>
      <c r="E86" s="86" t="s">
        <v>292</v>
      </c>
    </row>
    <row r="87" spans="2:5" x14ac:dyDescent="0.3">
      <c r="B87" s="84" t="s">
        <v>2559</v>
      </c>
      <c r="C87" s="84" t="s">
        <v>2561</v>
      </c>
      <c r="D87" s="85">
        <v>32164996</v>
      </c>
      <c r="E87" s="86" t="s">
        <v>1895</v>
      </c>
    </row>
    <row r="88" spans="2:5" x14ac:dyDescent="0.3">
      <c r="B88" s="84" t="s">
        <v>2559</v>
      </c>
      <c r="C88" s="84" t="s">
        <v>2562</v>
      </c>
      <c r="D88" s="85">
        <v>32045909</v>
      </c>
      <c r="E88" s="86" t="s">
        <v>1935</v>
      </c>
    </row>
    <row r="89" spans="2:5" x14ac:dyDescent="0.3">
      <c r="B89" s="84" t="s">
        <v>2496</v>
      </c>
      <c r="C89" s="84" t="s">
        <v>164</v>
      </c>
      <c r="D89" s="85">
        <v>32044762</v>
      </c>
      <c r="E89" s="86" t="s">
        <v>2335</v>
      </c>
    </row>
    <row r="90" spans="2:5" x14ac:dyDescent="0.3">
      <c r="B90" s="84" t="s">
        <v>2559</v>
      </c>
      <c r="C90" s="84" t="s">
        <v>1962</v>
      </c>
      <c r="D90" s="85">
        <v>32045881</v>
      </c>
      <c r="E90" s="86" t="s">
        <v>2563</v>
      </c>
    </row>
    <row r="91" spans="2:5" x14ac:dyDescent="0.3">
      <c r="B91" s="84" t="s">
        <v>2559</v>
      </c>
      <c r="C91" s="84" t="s">
        <v>2564</v>
      </c>
      <c r="D91" s="85">
        <v>32045053</v>
      </c>
      <c r="E91" s="86" t="s">
        <v>1912</v>
      </c>
    </row>
    <row r="92" spans="2:5" x14ac:dyDescent="0.3">
      <c r="B92" s="84" t="s">
        <v>2053</v>
      </c>
      <c r="C92" s="84" t="s">
        <v>2565</v>
      </c>
      <c r="D92" s="85">
        <v>32069642</v>
      </c>
      <c r="E92" s="86" t="s">
        <v>2111</v>
      </c>
    </row>
    <row r="93" spans="2:5" x14ac:dyDescent="0.3">
      <c r="B93" s="84" t="s">
        <v>2053</v>
      </c>
      <c r="C93" s="84" t="s">
        <v>2566</v>
      </c>
      <c r="D93" s="85">
        <v>32217652</v>
      </c>
      <c r="E93" s="183" t="s">
        <v>2072</v>
      </c>
    </row>
    <row r="94" spans="2:5" x14ac:dyDescent="0.3">
      <c r="B94" s="84" t="s">
        <v>2053</v>
      </c>
      <c r="C94" s="84" t="s">
        <v>2567</v>
      </c>
      <c r="D94" s="85">
        <v>32149492</v>
      </c>
      <c r="E94" s="86" t="s">
        <v>2568</v>
      </c>
    </row>
    <row r="95" spans="2:5" x14ac:dyDescent="0.3">
      <c r="B95" s="84" t="s">
        <v>2053</v>
      </c>
      <c r="C95" s="84" t="s">
        <v>2569</v>
      </c>
      <c r="D95" s="85">
        <v>32231914</v>
      </c>
      <c r="E95" s="183" t="s">
        <v>2570</v>
      </c>
    </row>
    <row r="96" spans="2:5" x14ac:dyDescent="0.3">
      <c r="B96" s="84" t="s">
        <v>2571</v>
      </c>
      <c r="C96" s="84" t="s">
        <v>6</v>
      </c>
      <c r="D96" s="85">
        <v>32045105</v>
      </c>
      <c r="E96" s="86" t="s">
        <v>7</v>
      </c>
    </row>
    <row r="97" spans="2:6" x14ac:dyDescent="0.3">
      <c r="B97" s="84" t="s">
        <v>2571</v>
      </c>
      <c r="C97" s="84" t="s">
        <v>4</v>
      </c>
      <c r="D97" s="85">
        <v>32110715</v>
      </c>
      <c r="E97" s="86" t="s">
        <v>1992</v>
      </c>
    </row>
    <row r="98" spans="2:6" x14ac:dyDescent="0.3">
      <c r="B98" s="84" t="s">
        <v>2571</v>
      </c>
      <c r="C98" s="84" t="s">
        <v>12</v>
      </c>
      <c r="D98" s="85">
        <v>32149491</v>
      </c>
      <c r="E98" s="86" t="s">
        <v>13</v>
      </c>
    </row>
    <row r="99" spans="2:6" x14ac:dyDescent="0.3">
      <c r="B99" s="84" t="s">
        <v>2571</v>
      </c>
      <c r="C99" s="84" t="s">
        <v>2030</v>
      </c>
      <c r="D99" s="85">
        <v>32044637</v>
      </c>
      <c r="E99" s="86" t="s">
        <v>2031</v>
      </c>
    </row>
    <row r="100" spans="2:6" x14ac:dyDescent="0.3">
      <c r="B100" s="84" t="s">
        <v>2571</v>
      </c>
      <c r="C100" s="84" t="s">
        <v>2572</v>
      </c>
      <c r="D100" s="85">
        <v>32151311</v>
      </c>
      <c r="E100" s="86" t="s">
        <v>5</v>
      </c>
    </row>
    <row r="101" spans="2:6" x14ac:dyDescent="0.3">
      <c r="B101" s="87" t="s">
        <v>2573</v>
      </c>
      <c r="C101" s="87" t="s">
        <v>2363</v>
      </c>
      <c r="D101" s="88">
        <v>32198469</v>
      </c>
      <c r="E101" s="89" t="s">
        <v>1587</v>
      </c>
    </row>
    <row r="102" spans="2:6" x14ac:dyDescent="0.3">
      <c r="B102" s="87" t="s">
        <v>2573</v>
      </c>
      <c r="C102" s="87" t="s">
        <v>1615</v>
      </c>
      <c r="D102" s="88">
        <v>32199317</v>
      </c>
      <c r="E102" s="89" t="s">
        <v>1616</v>
      </c>
    </row>
    <row r="103" spans="2:6" x14ac:dyDescent="0.3">
      <c r="B103" s="87" t="s">
        <v>2573</v>
      </c>
      <c r="C103" s="87" t="s">
        <v>1689</v>
      </c>
      <c r="D103" s="88">
        <v>32217868</v>
      </c>
      <c r="E103" s="92" t="s">
        <v>1690</v>
      </c>
    </row>
    <row r="104" spans="2:6" x14ac:dyDescent="0.3">
      <c r="B104" s="87" t="s">
        <v>2573</v>
      </c>
      <c r="C104" s="87" t="s">
        <v>1761</v>
      </c>
      <c r="D104" s="88">
        <v>32155712</v>
      </c>
      <c r="E104" s="89" t="s">
        <v>1762</v>
      </c>
    </row>
    <row r="105" spans="2:6" x14ac:dyDescent="0.3">
      <c r="B105" s="87" t="s">
        <v>2573</v>
      </c>
      <c r="C105" s="87" t="s">
        <v>1590</v>
      </c>
      <c r="D105" s="88">
        <v>32173125</v>
      </c>
      <c r="E105" s="89" t="s">
        <v>1591</v>
      </c>
    </row>
    <row r="106" spans="2:6" x14ac:dyDescent="0.3">
      <c r="B106" s="87" t="s">
        <v>2573</v>
      </c>
      <c r="C106" s="87" t="s">
        <v>2574</v>
      </c>
      <c r="D106" s="88">
        <v>32214649</v>
      </c>
      <c r="E106" s="92" t="s">
        <v>2368</v>
      </c>
      <c r="F106" s="184"/>
    </row>
    <row r="107" spans="2:6" x14ac:dyDescent="0.3">
      <c r="B107" s="87" t="s">
        <v>2573</v>
      </c>
      <c r="C107" s="87" t="s">
        <v>2575</v>
      </c>
      <c r="D107" s="88">
        <v>32178853</v>
      </c>
      <c r="E107" s="89" t="s">
        <v>1702</v>
      </c>
    </row>
    <row r="108" spans="2:6" x14ac:dyDescent="0.3">
      <c r="B108" s="87" t="s">
        <v>2573</v>
      </c>
      <c r="C108" s="87" t="s">
        <v>2361</v>
      </c>
      <c r="D108" s="88">
        <v>32217529</v>
      </c>
      <c r="E108" s="92" t="s">
        <v>2362</v>
      </c>
    </row>
    <row r="109" spans="2:6" x14ac:dyDescent="0.3">
      <c r="B109" s="87" t="s">
        <v>2573</v>
      </c>
      <c r="C109" s="87" t="s">
        <v>1722</v>
      </c>
      <c r="D109" s="88">
        <v>32045834</v>
      </c>
      <c r="E109" s="92" t="s">
        <v>1723</v>
      </c>
    </row>
    <row r="110" spans="2:6" x14ac:dyDescent="0.3">
      <c r="B110" s="87" t="s">
        <v>2573</v>
      </c>
      <c r="C110" s="87" t="s">
        <v>1677</v>
      </c>
      <c r="D110" s="88">
        <v>32174892</v>
      </c>
      <c r="E110" s="92" t="s">
        <v>1673</v>
      </c>
    </row>
    <row r="111" spans="2:6" x14ac:dyDescent="0.3">
      <c r="B111" s="87" t="s">
        <v>2573</v>
      </c>
      <c r="C111" s="90" t="s">
        <v>2576</v>
      </c>
      <c r="D111" s="91">
        <v>32225725</v>
      </c>
      <c r="E111" s="89" t="s">
        <v>1737</v>
      </c>
    </row>
    <row r="112" spans="2:6" x14ac:dyDescent="0.3">
      <c r="B112" s="87" t="s">
        <v>2573</v>
      </c>
      <c r="C112" s="90" t="s">
        <v>2577</v>
      </c>
      <c r="D112" s="91">
        <v>32044224</v>
      </c>
      <c r="E112" s="89" t="s">
        <v>2340</v>
      </c>
    </row>
    <row r="113" spans="2:6" x14ac:dyDescent="0.3">
      <c r="B113" s="87" t="s">
        <v>2573</v>
      </c>
      <c r="C113" s="90" t="s">
        <v>2366</v>
      </c>
      <c r="D113" s="91">
        <v>32223611</v>
      </c>
      <c r="E113" s="89" t="s">
        <v>2367</v>
      </c>
    </row>
    <row r="114" spans="2:6" x14ac:dyDescent="0.3">
      <c r="B114" s="87" t="s">
        <v>2573</v>
      </c>
      <c r="C114" s="90" t="s">
        <v>2356</v>
      </c>
      <c r="D114" s="91">
        <v>32172282</v>
      </c>
      <c r="E114" s="89" t="s">
        <v>1641</v>
      </c>
    </row>
    <row r="115" spans="2:6" x14ac:dyDescent="0.3">
      <c r="B115" s="87" t="s">
        <v>2573</v>
      </c>
      <c r="C115" s="90" t="s">
        <v>2357</v>
      </c>
      <c r="D115" s="91">
        <v>32195392</v>
      </c>
      <c r="E115" s="89" t="s">
        <v>1833</v>
      </c>
    </row>
    <row r="116" spans="2:6" x14ac:dyDescent="0.3">
      <c r="B116" s="87" t="s">
        <v>2573</v>
      </c>
      <c r="C116" s="90" t="s">
        <v>1782</v>
      </c>
      <c r="D116" s="91">
        <v>32214584</v>
      </c>
      <c r="E116" s="92" t="s">
        <v>1783</v>
      </c>
      <c r="F116" s="184"/>
    </row>
    <row r="117" spans="2:6" x14ac:dyDescent="0.3">
      <c r="C117"/>
    </row>
    <row r="118" spans="2:6" x14ac:dyDescent="0.3">
      <c r="C118"/>
    </row>
    <row r="119" spans="2:6" x14ac:dyDescent="0.3">
      <c r="C119"/>
    </row>
    <row r="120" spans="2:6" x14ac:dyDescent="0.3">
      <c r="C120"/>
    </row>
    <row r="121" spans="2:6" x14ac:dyDescent="0.3">
      <c r="C121"/>
    </row>
    <row r="122" spans="2:6" x14ac:dyDescent="0.3">
      <c r="C122"/>
    </row>
    <row r="123" spans="2:6" x14ac:dyDescent="0.3">
      <c r="C123"/>
    </row>
    <row r="124" spans="2:6" x14ac:dyDescent="0.3">
      <c r="C124"/>
    </row>
    <row r="125" spans="2:6" x14ac:dyDescent="0.3">
      <c r="C125"/>
    </row>
    <row r="126" spans="2:6" x14ac:dyDescent="0.3">
      <c r="C126"/>
    </row>
    <row r="127" spans="2:6" x14ac:dyDescent="0.3">
      <c r="C127"/>
    </row>
    <row r="128" spans="2:6"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row r="378" spans="3:3" x14ac:dyDescent="0.3">
      <c r="C378"/>
    </row>
    <row r="379" spans="3:3" x14ac:dyDescent="0.3">
      <c r="C379"/>
    </row>
    <row r="380" spans="3:3" x14ac:dyDescent="0.3">
      <c r="C380"/>
    </row>
    <row r="381" spans="3:3" x14ac:dyDescent="0.3">
      <c r="C381"/>
    </row>
    <row r="382" spans="3:3" x14ac:dyDescent="0.3">
      <c r="C382"/>
    </row>
    <row r="383" spans="3:3" x14ac:dyDescent="0.3">
      <c r="C383"/>
    </row>
    <row r="384" spans="3:3" x14ac:dyDescent="0.3">
      <c r="C384"/>
    </row>
    <row r="385" spans="3:3" x14ac:dyDescent="0.3">
      <c r="C385"/>
    </row>
    <row r="386" spans="3:3" x14ac:dyDescent="0.3">
      <c r="C386"/>
    </row>
    <row r="387" spans="3:3" x14ac:dyDescent="0.3">
      <c r="C387"/>
    </row>
    <row r="388" spans="3:3" x14ac:dyDescent="0.3">
      <c r="C388"/>
    </row>
    <row r="389" spans="3:3" x14ac:dyDescent="0.3">
      <c r="C389"/>
    </row>
    <row r="390" spans="3:3" x14ac:dyDescent="0.3">
      <c r="C390"/>
    </row>
    <row r="391" spans="3:3" x14ac:dyDescent="0.3">
      <c r="C391"/>
    </row>
    <row r="392" spans="3:3" x14ac:dyDescent="0.3">
      <c r="C392"/>
    </row>
    <row r="393" spans="3:3" x14ac:dyDescent="0.3">
      <c r="C393"/>
    </row>
    <row r="394" spans="3:3" x14ac:dyDescent="0.3">
      <c r="C394"/>
    </row>
    <row r="395" spans="3:3" x14ac:dyDescent="0.3">
      <c r="C395"/>
    </row>
    <row r="396" spans="3:3" x14ac:dyDescent="0.3">
      <c r="C396"/>
    </row>
    <row r="397" spans="3:3" x14ac:dyDescent="0.3">
      <c r="C397"/>
    </row>
    <row r="398" spans="3:3" x14ac:dyDescent="0.3">
      <c r="C398"/>
    </row>
    <row r="399" spans="3:3" x14ac:dyDescent="0.3">
      <c r="C399"/>
    </row>
    <row r="400" spans="3:3" x14ac:dyDescent="0.3">
      <c r="C400"/>
    </row>
    <row r="401" spans="3:3" x14ac:dyDescent="0.3">
      <c r="C401"/>
    </row>
    <row r="402" spans="3:3" x14ac:dyDescent="0.3">
      <c r="C402"/>
    </row>
    <row r="403" spans="3:3" x14ac:dyDescent="0.3">
      <c r="C403"/>
    </row>
    <row r="404" spans="3:3" x14ac:dyDescent="0.3">
      <c r="C404"/>
    </row>
    <row r="405" spans="3:3" x14ac:dyDescent="0.3">
      <c r="C405"/>
    </row>
    <row r="406" spans="3:3" x14ac:dyDescent="0.3">
      <c r="C406"/>
    </row>
    <row r="407" spans="3:3" x14ac:dyDescent="0.3">
      <c r="C407"/>
    </row>
    <row r="408" spans="3:3" x14ac:dyDescent="0.3">
      <c r="C408"/>
    </row>
    <row r="409" spans="3:3" x14ac:dyDescent="0.3">
      <c r="C409"/>
    </row>
    <row r="410" spans="3:3" x14ac:dyDescent="0.3">
      <c r="C410"/>
    </row>
    <row r="411" spans="3:3" x14ac:dyDescent="0.3">
      <c r="C411"/>
    </row>
    <row r="412" spans="3:3" x14ac:dyDescent="0.3">
      <c r="C412"/>
    </row>
    <row r="413" spans="3:3" x14ac:dyDescent="0.3">
      <c r="C413"/>
    </row>
    <row r="414" spans="3:3" x14ac:dyDescent="0.3">
      <c r="C414"/>
    </row>
    <row r="415" spans="3:3" x14ac:dyDescent="0.3">
      <c r="C415"/>
    </row>
    <row r="416" spans="3:3" x14ac:dyDescent="0.3">
      <c r="C416"/>
    </row>
    <row r="417" spans="3:3" x14ac:dyDescent="0.3">
      <c r="C417"/>
    </row>
    <row r="418" spans="3:3" x14ac:dyDescent="0.3">
      <c r="C418"/>
    </row>
    <row r="419" spans="3:3" x14ac:dyDescent="0.3">
      <c r="C419"/>
    </row>
    <row r="420" spans="3:3" x14ac:dyDescent="0.3">
      <c r="C420"/>
    </row>
    <row r="421" spans="3:3" x14ac:dyDescent="0.3">
      <c r="C421"/>
    </row>
    <row r="422" spans="3:3" x14ac:dyDescent="0.3">
      <c r="C422"/>
    </row>
    <row r="423" spans="3:3" x14ac:dyDescent="0.3">
      <c r="C423"/>
    </row>
    <row r="424" spans="3:3" x14ac:dyDescent="0.3">
      <c r="C424"/>
    </row>
    <row r="425" spans="3:3" x14ac:dyDescent="0.3">
      <c r="C425"/>
    </row>
    <row r="426" spans="3:3" x14ac:dyDescent="0.3">
      <c r="C426"/>
    </row>
    <row r="427" spans="3:3" x14ac:dyDescent="0.3">
      <c r="C427"/>
    </row>
    <row r="428" spans="3:3" x14ac:dyDescent="0.3">
      <c r="C428"/>
    </row>
    <row r="429" spans="3:3" x14ac:dyDescent="0.3">
      <c r="C429"/>
    </row>
    <row r="430" spans="3:3" x14ac:dyDescent="0.3">
      <c r="C430"/>
    </row>
    <row r="431" spans="3:3" x14ac:dyDescent="0.3">
      <c r="C431"/>
    </row>
    <row r="432" spans="3:3" x14ac:dyDescent="0.3">
      <c r="C432"/>
    </row>
    <row r="433" spans="3:3" x14ac:dyDescent="0.3">
      <c r="C433"/>
    </row>
    <row r="434" spans="3:3" x14ac:dyDescent="0.3">
      <c r="C434"/>
    </row>
    <row r="435" spans="3:3" x14ac:dyDescent="0.3">
      <c r="C435"/>
    </row>
    <row r="436" spans="3:3" x14ac:dyDescent="0.3">
      <c r="C436"/>
    </row>
    <row r="437" spans="3:3" x14ac:dyDescent="0.3">
      <c r="C437"/>
    </row>
    <row r="438" spans="3:3" x14ac:dyDescent="0.3">
      <c r="C438"/>
    </row>
    <row r="439" spans="3:3" x14ac:dyDescent="0.3">
      <c r="C439"/>
    </row>
    <row r="440" spans="3:3" x14ac:dyDescent="0.3">
      <c r="C440"/>
    </row>
    <row r="441" spans="3:3" x14ac:dyDescent="0.3">
      <c r="C441"/>
    </row>
    <row r="442" spans="3:3" x14ac:dyDescent="0.3">
      <c r="C442"/>
    </row>
    <row r="443" spans="3:3" x14ac:dyDescent="0.3">
      <c r="C443"/>
    </row>
    <row r="444" spans="3:3" x14ac:dyDescent="0.3">
      <c r="C444"/>
    </row>
    <row r="445" spans="3:3" x14ac:dyDescent="0.3">
      <c r="C445"/>
    </row>
    <row r="446" spans="3:3" x14ac:dyDescent="0.3">
      <c r="C446"/>
    </row>
    <row r="447" spans="3:3" x14ac:dyDescent="0.3">
      <c r="C447"/>
    </row>
    <row r="448" spans="3:3" x14ac:dyDescent="0.3">
      <c r="C448"/>
    </row>
    <row r="449" spans="3:3" x14ac:dyDescent="0.3">
      <c r="C449"/>
    </row>
    <row r="450" spans="3:3" x14ac:dyDescent="0.3">
      <c r="C450"/>
    </row>
    <row r="451" spans="3:3" x14ac:dyDescent="0.3">
      <c r="C451"/>
    </row>
    <row r="452" spans="3:3" x14ac:dyDescent="0.3">
      <c r="C452"/>
    </row>
    <row r="453" spans="3:3" x14ac:dyDescent="0.3">
      <c r="C453"/>
    </row>
    <row r="454" spans="3:3" x14ac:dyDescent="0.3">
      <c r="C454"/>
    </row>
    <row r="455" spans="3:3" x14ac:dyDescent="0.3">
      <c r="C455"/>
    </row>
    <row r="456" spans="3:3" x14ac:dyDescent="0.3">
      <c r="C456"/>
    </row>
    <row r="457" spans="3:3" x14ac:dyDescent="0.3">
      <c r="C457"/>
    </row>
    <row r="458" spans="3:3" x14ac:dyDescent="0.3">
      <c r="C458"/>
    </row>
    <row r="459" spans="3:3" x14ac:dyDescent="0.3">
      <c r="C459"/>
    </row>
    <row r="460" spans="3:3" x14ac:dyDescent="0.3">
      <c r="C460"/>
    </row>
    <row r="461" spans="3:3" x14ac:dyDescent="0.3">
      <c r="C461"/>
    </row>
    <row r="462" spans="3:3" x14ac:dyDescent="0.3">
      <c r="C462"/>
    </row>
    <row r="463" spans="3:3" x14ac:dyDescent="0.3">
      <c r="C463"/>
    </row>
    <row r="464" spans="3:3" x14ac:dyDescent="0.3">
      <c r="C464"/>
    </row>
    <row r="465" spans="3:3" x14ac:dyDescent="0.3">
      <c r="C465"/>
    </row>
    <row r="466" spans="3:3" x14ac:dyDescent="0.3">
      <c r="C466"/>
    </row>
    <row r="467" spans="3:3" x14ac:dyDescent="0.3">
      <c r="C467"/>
    </row>
    <row r="468" spans="3:3" x14ac:dyDescent="0.3">
      <c r="C468"/>
    </row>
    <row r="469" spans="3:3" x14ac:dyDescent="0.3">
      <c r="C469"/>
    </row>
    <row r="470" spans="3:3" x14ac:dyDescent="0.3">
      <c r="C470"/>
    </row>
    <row r="471" spans="3:3" x14ac:dyDescent="0.3">
      <c r="C471"/>
    </row>
    <row r="472" spans="3:3" x14ac:dyDescent="0.3">
      <c r="C472"/>
    </row>
    <row r="473" spans="3:3" x14ac:dyDescent="0.3">
      <c r="C473"/>
    </row>
    <row r="474" spans="3:3" x14ac:dyDescent="0.3">
      <c r="C474"/>
    </row>
    <row r="475" spans="3:3" x14ac:dyDescent="0.3">
      <c r="C475"/>
    </row>
    <row r="476" spans="3:3" x14ac:dyDescent="0.3">
      <c r="C476"/>
    </row>
    <row r="477" spans="3:3" x14ac:dyDescent="0.3">
      <c r="C477"/>
    </row>
    <row r="478" spans="3:3" x14ac:dyDescent="0.3">
      <c r="C478"/>
    </row>
    <row r="479" spans="3:3" x14ac:dyDescent="0.3">
      <c r="C479"/>
    </row>
    <row r="480" spans="3:3" x14ac:dyDescent="0.3">
      <c r="C480"/>
    </row>
    <row r="481" spans="3:3" x14ac:dyDescent="0.3">
      <c r="C481"/>
    </row>
    <row r="482" spans="3:3" x14ac:dyDescent="0.3">
      <c r="C482"/>
    </row>
    <row r="483" spans="3:3" x14ac:dyDescent="0.3">
      <c r="C483"/>
    </row>
    <row r="484" spans="3:3" x14ac:dyDescent="0.3">
      <c r="C484"/>
    </row>
    <row r="485" spans="3:3" x14ac:dyDescent="0.3">
      <c r="C485"/>
    </row>
    <row r="486" spans="3:3" x14ac:dyDescent="0.3">
      <c r="C486"/>
    </row>
    <row r="487" spans="3:3" x14ac:dyDescent="0.3">
      <c r="C487"/>
    </row>
    <row r="488" spans="3:3" x14ac:dyDescent="0.3">
      <c r="C488"/>
    </row>
    <row r="489" spans="3:3" x14ac:dyDescent="0.3">
      <c r="C489"/>
    </row>
    <row r="490" spans="3:3" x14ac:dyDescent="0.3">
      <c r="C490"/>
    </row>
    <row r="491" spans="3:3" x14ac:dyDescent="0.3">
      <c r="C491"/>
    </row>
    <row r="492" spans="3:3" x14ac:dyDescent="0.3">
      <c r="C492"/>
    </row>
    <row r="493" spans="3:3" x14ac:dyDescent="0.3">
      <c r="C493"/>
    </row>
    <row r="494" spans="3:3" x14ac:dyDescent="0.3">
      <c r="C494"/>
    </row>
    <row r="495" spans="3:3" x14ac:dyDescent="0.3">
      <c r="C495"/>
    </row>
    <row r="496" spans="3:3" x14ac:dyDescent="0.3">
      <c r="C496"/>
    </row>
    <row r="497" spans="3:3" x14ac:dyDescent="0.3">
      <c r="C497"/>
    </row>
    <row r="498" spans="3:3" x14ac:dyDescent="0.3">
      <c r="C498"/>
    </row>
    <row r="499" spans="3:3" x14ac:dyDescent="0.3">
      <c r="C499"/>
    </row>
    <row r="500" spans="3:3" x14ac:dyDescent="0.3">
      <c r="C500"/>
    </row>
    <row r="501" spans="3:3" x14ac:dyDescent="0.3">
      <c r="C501"/>
    </row>
    <row r="502" spans="3:3" x14ac:dyDescent="0.3">
      <c r="C502"/>
    </row>
    <row r="503" spans="3:3" x14ac:dyDescent="0.3">
      <c r="C503"/>
    </row>
    <row r="504" spans="3:3" x14ac:dyDescent="0.3">
      <c r="C504"/>
    </row>
    <row r="505" spans="3:3" x14ac:dyDescent="0.3">
      <c r="C505"/>
    </row>
    <row r="506" spans="3:3" x14ac:dyDescent="0.3">
      <c r="C506"/>
    </row>
    <row r="507" spans="3:3" x14ac:dyDescent="0.3">
      <c r="C507"/>
    </row>
    <row r="508" spans="3:3" x14ac:dyDescent="0.3">
      <c r="C508"/>
    </row>
    <row r="509" spans="3:3" x14ac:dyDescent="0.3">
      <c r="C509"/>
    </row>
    <row r="510" spans="3:3" x14ac:dyDescent="0.3">
      <c r="C510"/>
    </row>
    <row r="511" spans="3:3" x14ac:dyDescent="0.3">
      <c r="C511"/>
    </row>
    <row r="512" spans="3:3" x14ac:dyDescent="0.3">
      <c r="C512"/>
    </row>
    <row r="513" spans="3:3" x14ac:dyDescent="0.3">
      <c r="C513"/>
    </row>
    <row r="514" spans="3:3" x14ac:dyDescent="0.3">
      <c r="C514"/>
    </row>
    <row r="515" spans="3:3" x14ac:dyDescent="0.3">
      <c r="C515"/>
    </row>
    <row r="516" spans="3:3" x14ac:dyDescent="0.3">
      <c r="C516"/>
    </row>
    <row r="517" spans="3:3" x14ac:dyDescent="0.3">
      <c r="C517"/>
    </row>
    <row r="518" spans="3:3" x14ac:dyDescent="0.3">
      <c r="C518"/>
    </row>
    <row r="519" spans="3:3" x14ac:dyDescent="0.3">
      <c r="C519"/>
    </row>
    <row r="520" spans="3:3" x14ac:dyDescent="0.3">
      <c r="C520"/>
    </row>
    <row r="521" spans="3:3" x14ac:dyDescent="0.3">
      <c r="C521"/>
    </row>
    <row r="522" spans="3:3" x14ac:dyDescent="0.3">
      <c r="C522"/>
    </row>
    <row r="523" spans="3:3" x14ac:dyDescent="0.3">
      <c r="C523"/>
    </row>
    <row r="524" spans="3:3" x14ac:dyDescent="0.3">
      <c r="C524"/>
    </row>
    <row r="525" spans="3:3" x14ac:dyDescent="0.3">
      <c r="C525"/>
    </row>
    <row r="526" spans="3:3" x14ac:dyDescent="0.3">
      <c r="C526"/>
    </row>
    <row r="527" spans="3:3" x14ac:dyDescent="0.3">
      <c r="C527"/>
    </row>
    <row r="528" spans="3:3" x14ac:dyDescent="0.3">
      <c r="C528"/>
    </row>
    <row r="529" spans="3:3" x14ac:dyDescent="0.3">
      <c r="C529"/>
    </row>
    <row r="530" spans="3:3" x14ac:dyDescent="0.3">
      <c r="C530"/>
    </row>
    <row r="531" spans="3:3" x14ac:dyDescent="0.3">
      <c r="C531"/>
    </row>
    <row r="532" spans="3:3" x14ac:dyDescent="0.3">
      <c r="C532"/>
    </row>
    <row r="533" spans="3:3" x14ac:dyDescent="0.3">
      <c r="C533"/>
    </row>
    <row r="534" spans="3:3" x14ac:dyDescent="0.3">
      <c r="C534"/>
    </row>
    <row r="535" spans="3:3" x14ac:dyDescent="0.3">
      <c r="C535"/>
    </row>
    <row r="536" spans="3:3" x14ac:dyDescent="0.3">
      <c r="C536"/>
    </row>
    <row r="537" spans="3:3" x14ac:dyDescent="0.3">
      <c r="C537"/>
    </row>
    <row r="538" spans="3:3" x14ac:dyDescent="0.3">
      <c r="C538"/>
    </row>
    <row r="539" spans="3:3" x14ac:dyDescent="0.3">
      <c r="C539"/>
    </row>
    <row r="540" spans="3:3" x14ac:dyDescent="0.3">
      <c r="C540"/>
    </row>
    <row r="541" spans="3:3" x14ac:dyDescent="0.3">
      <c r="C541"/>
    </row>
    <row r="542" spans="3:3" x14ac:dyDescent="0.3">
      <c r="C542"/>
    </row>
    <row r="543" spans="3:3" x14ac:dyDescent="0.3">
      <c r="C543"/>
    </row>
    <row r="544" spans="3:3" x14ac:dyDescent="0.3">
      <c r="C544"/>
    </row>
    <row r="545" spans="3:3" x14ac:dyDescent="0.3">
      <c r="C545"/>
    </row>
    <row r="546" spans="3:3" x14ac:dyDescent="0.3">
      <c r="C546"/>
    </row>
    <row r="547" spans="3:3" x14ac:dyDescent="0.3">
      <c r="C547"/>
    </row>
    <row r="548" spans="3:3" x14ac:dyDescent="0.3">
      <c r="C548"/>
    </row>
    <row r="549" spans="3:3" x14ac:dyDescent="0.3">
      <c r="C549"/>
    </row>
    <row r="550" spans="3:3" x14ac:dyDescent="0.3">
      <c r="C550"/>
    </row>
    <row r="551" spans="3:3" x14ac:dyDescent="0.3">
      <c r="C551"/>
    </row>
    <row r="552" spans="3:3" x14ac:dyDescent="0.3">
      <c r="C552"/>
    </row>
    <row r="553" spans="3:3" x14ac:dyDescent="0.3">
      <c r="C553"/>
    </row>
    <row r="554" spans="3:3" x14ac:dyDescent="0.3">
      <c r="C554"/>
    </row>
    <row r="555" spans="3:3" x14ac:dyDescent="0.3">
      <c r="C555"/>
    </row>
    <row r="556" spans="3:3" x14ac:dyDescent="0.3">
      <c r="C556"/>
    </row>
    <row r="557" spans="3:3" x14ac:dyDescent="0.3">
      <c r="C557"/>
    </row>
    <row r="558" spans="3:3" x14ac:dyDescent="0.3">
      <c r="C558"/>
    </row>
    <row r="559" spans="3:3" x14ac:dyDescent="0.3">
      <c r="C559"/>
    </row>
    <row r="560" spans="3:3" x14ac:dyDescent="0.3">
      <c r="C560"/>
    </row>
    <row r="561" spans="3:3" x14ac:dyDescent="0.3">
      <c r="C561"/>
    </row>
    <row r="562" spans="3:3" x14ac:dyDescent="0.3">
      <c r="C562"/>
    </row>
    <row r="563" spans="3:3" x14ac:dyDescent="0.3">
      <c r="C563"/>
    </row>
    <row r="564" spans="3:3" x14ac:dyDescent="0.3">
      <c r="C564"/>
    </row>
    <row r="565" spans="3:3" x14ac:dyDescent="0.3">
      <c r="C565"/>
    </row>
    <row r="566" spans="3:3" x14ac:dyDescent="0.3">
      <c r="C566"/>
    </row>
    <row r="567" spans="3:3" x14ac:dyDescent="0.3">
      <c r="C567"/>
    </row>
    <row r="568" spans="3:3" x14ac:dyDescent="0.3">
      <c r="C568"/>
    </row>
    <row r="569" spans="3:3" x14ac:dyDescent="0.3">
      <c r="C569"/>
    </row>
    <row r="570" spans="3:3" x14ac:dyDescent="0.3">
      <c r="C570"/>
    </row>
    <row r="571" spans="3:3" x14ac:dyDescent="0.3">
      <c r="C571"/>
    </row>
    <row r="572" spans="3:3" x14ac:dyDescent="0.3">
      <c r="C572"/>
    </row>
    <row r="573" spans="3:3" x14ac:dyDescent="0.3">
      <c r="C573"/>
    </row>
    <row r="574" spans="3:3" x14ac:dyDescent="0.3">
      <c r="C574"/>
    </row>
    <row r="575" spans="3:3" x14ac:dyDescent="0.3">
      <c r="C575"/>
    </row>
    <row r="576" spans="3:3" x14ac:dyDescent="0.3">
      <c r="C576"/>
    </row>
    <row r="577" spans="3:3" x14ac:dyDescent="0.3">
      <c r="C577"/>
    </row>
    <row r="578" spans="3:3" x14ac:dyDescent="0.3">
      <c r="C578"/>
    </row>
    <row r="579" spans="3:3" x14ac:dyDescent="0.3">
      <c r="C579"/>
    </row>
    <row r="580" spans="3:3" x14ac:dyDescent="0.3">
      <c r="C580"/>
    </row>
    <row r="581" spans="3:3" x14ac:dyDescent="0.3">
      <c r="C581"/>
    </row>
    <row r="582" spans="3:3" x14ac:dyDescent="0.3">
      <c r="C582"/>
    </row>
    <row r="583" spans="3:3" x14ac:dyDescent="0.3">
      <c r="C583"/>
    </row>
    <row r="584" spans="3:3" x14ac:dyDescent="0.3">
      <c r="C584"/>
    </row>
    <row r="585" spans="3:3" x14ac:dyDescent="0.3">
      <c r="C585"/>
    </row>
    <row r="586" spans="3:3" x14ac:dyDescent="0.3">
      <c r="C586"/>
    </row>
    <row r="587" spans="3:3" x14ac:dyDescent="0.3">
      <c r="C587"/>
    </row>
    <row r="588" spans="3:3" x14ac:dyDescent="0.3">
      <c r="C588"/>
    </row>
    <row r="589" spans="3:3" x14ac:dyDescent="0.3">
      <c r="C589"/>
    </row>
    <row r="590" spans="3:3" x14ac:dyDescent="0.3">
      <c r="C590"/>
    </row>
    <row r="591" spans="3:3" x14ac:dyDescent="0.3">
      <c r="C591"/>
    </row>
    <row r="592" spans="3:3" x14ac:dyDescent="0.3">
      <c r="C592"/>
    </row>
    <row r="593" spans="3:3" x14ac:dyDescent="0.3">
      <c r="C593"/>
    </row>
    <row r="594" spans="3:3" x14ac:dyDescent="0.3">
      <c r="C594"/>
    </row>
    <row r="595" spans="3:3" x14ac:dyDescent="0.3">
      <c r="C595"/>
    </row>
    <row r="596" spans="3:3" x14ac:dyDescent="0.3">
      <c r="C596"/>
    </row>
    <row r="597" spans="3:3" x14ac:dyDescent="0.3">
      <c r="C597"/>
    </row>
    <row r="598" spans="3:3" x14ac:dyDescent="0.3">
      <c r="C598"/>
    </row>
    <row r="599" spans="3:3" x14ac:dyDescent="0.3">
      <c r="C599"/>
    </row>
    <row r="600" spans="3:3" x14ac:dyDescent="0.3">
      <c r="C600"/>
    </row>
    <row r="601" spans="3:3" x14ac:dyDescent="0.3">
      <c r="C601"/>
    </row>
    <row r="602" spans="3:3" x14ac:dyDescent="0.3">
      <c r="C602"/>
    </row>
    <row r="603" spans="3:3" x14ac:dyDescent="0.3">
      <c r="C603"/>
    </row>
    <row r="604" spans="3:3" x14ac:dyDescent="0.3">
      <c r="C604"/>
    </row>
    <row r="605" spans="3:3" x14ac:dyDescent="0.3">
      <c r="C605"/>
    </row>
    <row r="606" spans="3:3" x14ac:dyDescent="0.3">
      <c r="C606"/>
    </row>
    <row r="607" spans="3:3" x14ac:dyDescent="0.3">
      <c r="C607"/>
    </row>
    <row r="608" spans="3:3" x14ac:dyDescent="0.3">
      <c r="C608"/>
    </row>
    <row r="609" spans="3:3" x14ac:dyDescent="0.3">
      <c r="C609"/>
    </row>
    <row r="610" spans="3:3" x14ac:dyDescent="0.3">
      <c r="C610"/>
    </row>
    <row r="611" spans="3:3" x14ac:dyDescent="0.3">
      <c r="C611"/>
    </row>
    <row r="612" spans="3:3" x14ac:dyDescent="0.3">
      <c r="C612"/>
    </row>
    <row r="613" spans="3:3" x14ac:dyDescent="0.3">
      <c r="C613"/>
    </row>
    <row r="614" spans="3:3" x14ac:dyDescent="0.3">
      <c r="C614"/>
    </row>
    <row r="615" spans="3:3" x14ac:dyDescent="0.3">
      <c r="C615"/>
    </row>
    <row r="616" spans="3:3" x14ac:dyDescent="0.3">
      <c r="C616"/>
    </row>
    <row r="617" spans="3:3" x14ac:dyDescent="0.3">
      <c r="C617"/>
    </row>
    <row r="618" spans="3:3" x14ac:dyDescent="0.3">
      <c r="C618"/>
    </row>
    <row r="619" spans="3:3" x14ac:dyDescent="0.3">
      <c r="C619"/>
    </row>
    <row r="620" spans="3:3" x14ac:dyDescent="0.3">
      <c r="C620"/>
    </row>
    <row r="621" spans="3:3" x14ac:dyDescent="0.3">
      <c r="C621"/>
    </row>
    <row r="622" spans="3:3" x14ac:dyDescent="0.3">
      <c r="C622"/>
    </row>
    <row r="623" spans="3:3" x14ac:dyDescent="0.3">
      <c r="C623"/>
    </row>
    <row r="624" spans="3:3" x14ac:dyDescent="0.3">
      <c r="C624"/>
    </row>
    <row r="625" spans="3:3" x14ac:dyDescent="0.3">
      <c r="C625"/>
    </row>
    <row r="626" spans="3:3" x14ac:dyDescent="0.3">
      <c r="C626"/>
    </row>
    <row r="627" spans="3:3" x14ac:dyDescent="0.3">
      <c r="C627"/>
    </row>
    <row r="628" spans="3:3" x14ac:dyDescent="0.3">
      <c r="C628"/>
    </row>
    <row r="629" spans="3:3" x14ac:dyDescent="0.3">
      <c r="C629"/>
    </row>
    <row r="630" spans="3:3" x14ac:dyDescent="0.3">
      <c r="C630"/>
    </row>
    <row r="631" spans="3:3" x14ac:dyDescent="0.3">
      <c r="C631"/>
    </row>
    <row r="632" spans="3:3" x14ac:dyDescent="0.3">
      <c r="C632"/>
    </row>
    <row r="633" spans="3:3" x14ac:dyDescent="0.3">
      <c r="C633"/>
    </row>
    <row r="634" spans="3:3" x14ac:dyDescent="0.3">
      <c r="C634"/>
    </row>
    <row r="635" spans="3:3" x14ac:dyDescent="0.3">
      <c r="C635"/>
    </row>
    <row r="636" spans="3:3" x14ac:dyDescent="0.3">
      <c r="C636"/>
    </row>
    <row r="637" spans="3:3" x14ac:dyDescent="0.3">
      <c r="C637"/>
    </row>
    <row r="638" spans="3:3" x14ac:dyDescent="0.3">
      <c r="C638"/>
    </row>
    <row r="639" spans="3:3" x14ac:dyDescent="0.3">
      <c r="C639"/>
    </row>
    <row r="640" spans="3:3" x14ac:dyDescent="0.3">
      <c r="C640"/>
    </row>
    <row r="641" spans="3:3" x14ac:dyDescent="0.3">
      <c r="C641"/>
    </row>
    <row r="642" spans="3:3" x14ac:dyDescent="0.3">
      <c r="C642"/>
    </row>
    <row r="643" spans="3:3" x14ac:dyDescent="0.3">
      <c r="C643"/>
    </row>
    <row r="644" spans="3:3" x14ac:dyDescent="0.3">
      <c r="C644"/>
    </row>
    <row r="645" spans="3:3" x14ac:dyDescent="0.3">
      <c r="C645"/>
    </row>
    <row r="646" spans="3:3" x14ac:dyDescent="0.3">
      <c r="C646"/>
    </row>
    <row r="647" spans="3:3" x14ac:dyDescent="0.3">
      <c r="C647"/>
    </row>
    <row r="648" spans="3:3" x14ac:dyDescent="0.3">
      <c r="C648"/>
    </row>
    <row r="649" spans="3:3" x14ac:dyDescent="0.3">
      <c r="C649"/>
    </row>
    <row r="650" spans="3:3" x14ac:dyDescent="0.3">
      <c r="C650"/>
    </row>
    <row r="651" spans="3:3" x14ac:dyDescent="0.3">
      <c r="C651"/>
    </row>
    <row r="652" spans="3:3" x14ac:dyDescent="0.3">
      <c r="C652"/>
    </row>
    <row r="653" spans="3:3" x14ac:dyDescent="0.3">
      <c r="C653"/>
    </row>
    <row r="654" spans="3:3" x14ac:dyDescent="0.3">
      <c r="C654"/>
    </row>
    <row r="655" spans="3:3" x14ac:dyDescent="0.3">
      <c r="C655"/>
    </row>
    <row r="656" spans="3:3" x14ac:dyDescent="0.3">
      <c r="C656"/>
    </row>
    <row r="657" spans="3:3" x14ac:dyDescent="0.3">
      <c r="C657"/>
    </row>
    <row r="658" spans="3:3" x14ac:dyDescent="0.3">
      <c r="C658"/>
    </row>
    <row r="659" spans="3:3" x14ac:dyDescent="0.3">
      <c r="C659"/>
    </row>
    <row r="660" spans="3:3" x14ac:dyDescent="0.3">
      <c r="C660"/>
    </row>
    <row r="661" spans="3:3" x14ac:dyDescent="0.3">
      <c r="C661"/>
    </row>
    <row r="662" spans="3:3" x14ac:dyDescent="0.3">
      <c r="C662"/>
    </row>
    <row r="663" spans="3:3" x14ac:dyDescent="0.3">
      <c r="C663"/>
    </row>
    <row r="664" spans="3:3" x14ac:dyDescent="0.3">
      <c r="C664"/>
    </row>
    <row r="665" spans="3:3" x14ac:dyDescent="0.3">
      <c r="C665"/>
    </row>
    <row r="666" spans="3:3" x14ac:dyDescent="0.3">
      <c r="C666"/>
    </row>
    <row r="667" spans="3:3" x14ac:dyDescent="0.3">
      <c r="C667"/>
    </row>
    <row r="668" spans="3:3" x14ac:dyDescent="0.3">
      <c r="C668"/>
    </row>
    <row r="669" spans="3:3" x14ac:dyDescent="0.3">
      <c r="C669"/>
    </row>
    <row r="670" spans="3:3" x14ac:dyDescent="0.3">
      <c r="C670"/>
    </row>
    <row r="671" spans="3:3" x14ac:dyDescent="0.3">
      <c r="C671"/>
    </row>
    <row r="672" spans="3:3" x14ac:dyDescent="0.3">
      <c r="C672"/>
    </row>
    <row r="673" spans="3:3" x14ac:dyDescent="0.3">
      <c r="C673"/>
    </row>
    <row r="674" spans="3:3" x14ac:dyDescent="0.3">
      <c r="C674"/>
    </row>
    <row r="675" spans="3:3" x14ac:dyDescent="0.3">
      <c r="C675"/>
    </row>
    <row r="676" spans="3:3" x14ac:dyDescent="0.3">
      <c r="C676"/>
    </row>
    <row r="677" spans="3:3" x14ac:dyDescent="0.3">
      <c r="C677"/>
    </row>
    <row r="678" spans="3:3" x14ac:dyDescent="0.3">
      <c r="C678"/>
    </row>
    <row r="679" spans="3:3" x14ac:dyDescent="0.3">
      <c r="C679"/>
    </row>
    <row r="680" spans="3:3" x14ac:dyDescent="0.3">
      <c r="C680"/>
    </row>
    <row r="681" spans="3:3" x14ac:dyDescent="0.3">
      <c r="C681"/>
    </row>
    <row r="682" spans="3:3" x14ac:dyDescent="0.3">
      <c r="C682"/>
    </row>
    <row r="683" spans="3:3" x14ac:dyDescent="0.3">
      <c r="C683"/>
    </row>
    <row r="684" spans="3:3" x14ac:dyDescent="0.3">
      <c r="C684"/>
    </row>
    <row r="685" spans="3:3" x14ac:dyDescent="0.3">
      <c r="C685"/>
    </row>
    <row r="686" spans="3:3" x14ac:dyDescent="0.3">
      <c r="C686"/>
    </row>
    <row r="687" spans="3:3" x14ac:dyDescent="0.3">
      <c r="C687"/>
    </row>
    <row r="688" spans="3:3" x14ac:dyDescent="0.3">
      <c r="C688"/>
    </row>
    <row r="689" spans="3:3" x14ac:dyDescent="0.3">
      <c r="C689"/>
    </row>
    <row r="690" spans="3:3" x14ac:dyDescent="0.3">
      <c r="C690"/>
    </row>
    <row r="691" spans="3:3" x14ac:dyDescent="0.3">
      <c r="C691"/>
    </row>
    <row r="692" spans="3:3" x14ac:dyDescent="0.3">
      <c r="C692"/>
    </row>
    <row r="693" spans="3:3" x14ac:dyDescent="0.3">
      <c r="C693"/>
    </row>
    <row r="694" spans="3:3" x14ac:dyDescent="0.3">
      <c r="C694"/>
    </row>
    <row r="695" spans="3:3" x14ac:dyDescent="0.3">
      <c r="C695"/>
    </row>
    <row r="696" spans="3:3" x14ac:dyDescent="0.3">
      <c r="C696"/>
    </row>
    <row r="697" spans="3:3" x14ac:dyDescent="0.3">
      <c r="C697"/>
    </row>
    <row r="698" spans="3:3" x14ac:dyDescent="0.3">
      <c r="C698"/>
    </row>
    <row r="699" spans="3:3" x14ac:dyDescent="0.3">
      <c r="C699"/>
    </row>
    <row r="700" spans="3:3" x14ac:dyDescent="0.3">
      <c r="C700"/>
    </row>
    <row r="701" spans="3:3" x14ac:dyDescent="0.3">
      <c r="C701"/>
    </row>
    <row r="702" spans="3:3" x14ac:dyDescent="0.3">
      <c r="C702"/>
    </row>
    <row r="703" spans="3:3" x14ac:dyDescent="0.3">
      <c r="C703"/>
    </row>
    <row r="704" spans="3:3" x14ac:dyDescent="0.3">
      <c r="C704"/>
    </row>
    <row r="705" spans="3:3" x14ac:dyDescent="0.3">
      <c r="C705"/>
    </row>
    <row r="706" spans="3:3" x14ac:dyDescent="0.3">
      <c r="C706"/>
    </row>
    <row r="707" spans="3:3" x14ac:dyDescent="0.3">
      <c r="C707"/>
    </row>
    <row r="708" spans="3:3" x14ac:dyDescent="0.3">
      <c r="C708"/>
    </row>
    <row r="709" spans="3:3" x14ac:dyDescent="0.3">
      <c r="C709"/>
    </row>
    <row r="710" spans="3:3" x14ac:dyDescent="0.3">
      <c r="C710"/>
    </row>
    <row r="711" spans="3:3" x14ac:dyDescent="0.3">
      <c r="C711"/>
    </row>
    <row r="712" spans="3:3" x14ac:dyDescent="0.3">
      <c r="C712"/>
    </row>
    <row r="713" spans="3:3" x14ac:dyDescent="0.3">
      <c r="C713"/>
    </row>
    <row r="714" spans="3:3" x14ac:dyDescent="0.3">
      <c r="C714"/>
    </row>
    <row r="715" spans="3:3" x14ac:dyDescent="0.3">
      <c r="C715"/>
    </row>
    <row r="716" spans="3:3" x14ac:dyDescent="0.3">
      <c r="C716"/>
    </row>
    <row r="717" spans="3:3" x14ac:dyDescent="0.3">
      <c r="C717"/>
    </row>
    <row r="718" spans="3:3" x14ac:dyDescent="0.3">
      <c r="C718"/>
    </row>
    <row r="719" spans="3:3" x14ac:dyDescent="0.3">
      <c r="C719"/>
    </row>
    <row r="720" spans="3:3" x14ac:dyDescent="0.3">
      <c r="C720"/>
    </row>
    <row r="721" spans="3:3" x14ac:dyDescent="0.3">
      <c r="C721"/>
    </row>
    <row r="722" spans="3:3" x14ac:dyDescent="0.3">
      <c r="C722"/>
    </row>
    <row r="723" spans="3:3" x14ac:dyDescent="0.3">
      <c r="C723"/>
    </row>
    <row r="724" spans="3:3" x14ac:dyDescent="0.3">
      <c r="C724"/>
    </row>
    <row r="725" spans="3:3" x14ac:dyDescent="0.3">
      <c r="C725"/>
    </row>
    <row r="726" spans="3:3" x14ac:dyDescent="0.3">
      <c r="C726"/>
    </row>
    <row r="727" spans="3:3" x14ac:dyDescent="0.3">
      <c r="C727"/>
    </row>
    <row r="728" spans="3:3" x14ac:dyDescent="0.3">
      <c r="C728"/>
    </row>
    <row r="729" spans="3:3" x14ac:dyDescent="0.3">
      <c r="C729"/>
    </row>
    <row r="730" spans="3:3" x14ac:dyDescent="0.3">
      <c r="C730"/>
    </row>
    <row r="731" spans="3:3" x14ac:dyDescent="0.3">
      <c r="C731"/>
    </row>
    <row r="732" spans="3:3" x14ac:dyDescent="0.3">
      <c r="C732"/>
    </row>
    <row r="733" spans="3:3" x14ac:dyDescent="0.3">
      <c r="C733"/>
    </row>
    <row r="734" spans="3:3" x14ac:dyDescent="0.3">
      <c r="C734"/>
    </row>
    <row r="735" spans="3:3" x14ac:dyDescent="0.3">
      <c r="C735"/>
    </row>
    <row r="736" spans="3:3" x14ac:dyDescent="0.3">
      <c r="C736"/>
    </row>
    <row r="737" spans="3:3" x14ac:dyDescent="0.3">
      <c r="C737"/>
    </row>
    <row r="738" spans="3:3" x14ac:dyDescent="0.3">
      <c r="C738"/>
    </row>
    <row r="739" spans="3:3" x14ac:dyDescent="0.3">
      <c r="C739"/>
    </row>
    <row r="740" spans="3:3" x14ac:dyDescent="0.3">
      <c r="C740"/>
    </row>
    <row r="741" spans="3:3" x14ac:dyDescent="0.3">
      <c r="C741"/>
    </row>
    <row r="742" spans="3:3" x14ac:dyDescent="0.3">
      <c r="C742"/>
    </row>
    <row r="743" spans="3:3" x14ac:dyDescent="0.3">
      <c r="C743"/>
    </row>
    <row r="744" spans="3:3" x14ac:dyDescent="0.3">
      <c r="C744"/>
    </row>
    <row r="745" spans="3:3" x14ac:dyDescent="0.3">
      <c r="C745"/>
    </row>
    <row r="746" spans="3:3" x14ac:dyDescent="0.3">
      <c r="C746"/>
    </row>
    <row r="747" spans="3:3" x14ac:dyDescent="0.3">
      <c r="C747"/>
    </row>
    <row r="748" spans="3:3" x14ac:dyDescent="0.3">
      <c r="C748"/>
    </row>
    <row r="749" spans="3:3" x14ac:dyDescent="0.3">
      <c r="C749"/>
    </row>
    <row r="750" spans="3:3" x14ac:dyDescent="0.3">
      <c r="C750"/>
    </row>
    <row r="751" spans="3:3" x14ac:dyDescent="0.3">
      <c r="C751"/>
    </row>
    <row r="752" spans="3:3" x14ac:dyDescent="0.3">
      <c r="C752"/>
    </row>
    <row r="753" spans="3:3" x14ac:dyDescent="0.3">
      <c r="C753"/>
    </row>
    <row r="754" spans="3:3" x14ac:dyDescent="0.3">
      <c r="C754"/>
    </row>
    <row r="755" spans="3:3" x14ac:dyDescent="0.3">
      <c r="C755"/>
    </row>
    <row r="756" spans="3:3" x14ac:dyDescent="0.3">
      <c r="C756"/>
    </row>
    <row r="757" spans="3:3" x14ac:dyDescent="0.3">
      <c r="C757"/>
    </row>
    <row r="758" spans="3:3" x14ac:dyDescent="0.3">
      <c r="C758"/>
    </row>
    <row r="759" spans="3:3" x14ac:dyDescent="0.3">
      <c r="C759"/>
    </row>
    <row r="760" spans="3:3" x14ac:dyDescent="0.3">
      <c r="C760"/>
    </row>
    <row r="761" spans="3:3" x14ac:dyDescent="0.3">
      <c r="C761"/>
    </row>
    <row r="762" spans="3:3" x14ac:dyDescent="0.3">
      <c r="C762"/>
    </row>
    <row r="763" spans="3:3" x14ac:dyDescent="0.3">
      <c r="C763"/>
    </row>
    <row r="764" spans="3:3" x14ac:dyDescent="0.3">
      <c r="C764"/>
    </row>
    <row r="765" spans="3:3" x14ac:dyDescent="0.3">
      <c r="C765"/>
    </row>
    <row r="766" spans="3:3" x14ac:dyDescent="0.3">
      <c r="C766"/>
    </row>
    <row r="767" spans="3:3" x14ac:dyDescent="0.3">
      <c r="C767"/>
    </row>
    <row r="768" spans="3:3" x14ac:dyDescent="0.3">
      <c r="C768"/>
    </row>
    <row r="769" spans="3:3" x14ac:dyDescent="0.3">
      <c r="C769"/>
    </row>
    <row r="770" spans="3:3" x14ac:dyDescent="0.3">
      <c r="C770"/>
    </row>
    <row r="771" spans="3:3" x14ac:dyDescent="0.3">
      <c r="C771"/>
    </row>
    <row r="772" spans="3:3" x14ac:dyDescent="0.3">
      <c r="C772"/>
    </row>
    <row r="773" spans="3:3" x14ac:dyDescent="0.3">
      <c r="C773"/>
    </row>
    <row r="774" spans="3:3" x14ac:dyDescent="0.3">
      <c r="C774"/>
    </row>
    <row r="775" spans="3:3" x14ac:dyDescent="0.3">
      <c r="C775"/>
    </row>
    <row r="776" spans="3:3" x14ac:dyDescent="0.3">
      <c r="C776"/>
    </row>
    <row r="777" spans="3:3" x14ac:dyDescent="0.3">
      <c r="C777"/>
    </row>
    <row r="778" spans="3:3" x14ac:dyDescent="0.3">
      <c r="C778"/>
    </row>
    <row r="779" spans="3:3" x14ac:dyDescent="0.3">
      <c r="C779"/>
    </row>
    <row r="780" spans="3:3" x14ac:dyDescent="0.3">
      <c r="C780"/>
    </row>
    <row r="781" spans="3:3" x14ac:dyDescent="0.3">
      <c r="C781"/>
    </row>
    <row r="782" spans="3:3" x14ac:dyDescent="0.3">
      <c r="C782"/>
    </row>
    <row r="783" spans="3:3" x14ac:dyDescent="0.3">
      <c r="C783"/>
    </row>
    <row r="784" spans="3:3" x14ac:dyDescent="0.3">
      <c r="C784"/>
    </row>
    <row r="785" spans="3:3" x14ac:dyDescent="0.3">
      <c r="C785"/>
    </row>
    <row r="786" spans="3:3" x14ac:dyDescent="0.3">
      <c r="C786"/>
    </row>
    <row r="787" spans="3:3" x14ac:dyDescent="0.3">
      <c r="C787"/>
    </row>
    <row r="788" spans="3:3" x14ac:dyDescent="0.3">
      <c r="C788"/>
    </row>
    <row r="789" spans="3:3" x14ac:dyDescent="0.3">
      <c r="C789"/>
    </row>
    <row r="790" spans="3:3" x14ac:dyDescent="0.3">
      <c r="C790"/>
    </row>
    <row r="791" spans="3:3" x14ac:dyDescent="0.3">
      <c r="C791"/>
    </row>
    <row r="792" spans="3:3" x14ac:dyDescent="0.3">
      <c r="C792"/>
    </row>
    <row r="793" spans="3:3" x14ac:dyDescent="0.3">
      <c r="C793"/>
    </row>
    <row r="794" spans="3:3" x14ac:dyDescent="0.3">
      <c r="C794"/>
    </row>
    <row r="795" spans="3:3" x14ac:dyDescent="0.3">
      <c r="C795"/>
    </row>
    <row r="796" spans="3:3" x14ac:dyDescent="0.3">
      <c r="C796"/>
    </row>
    <row r="797" spans="3:3" x14ac:dyDescent="0.3">
      <c r="C797"/>
    </row>
    <row r="798" spans="3:3" x14ac:dyDescent="0.3">
      <c r="C798"/>
    </row>
    <row r="799" spans="3:3" x14ac:dyDescent="0.3">
      <c r="C799"/>
    </row>
    <row r="800" spans="3:3" x14ac:dyDescent="0.3">
      <c r="C800"/>
    </row>
    <row r="801" spans="3:3" x14ac:dyDescent="0.3">
      <c r="C801"/>
    </row>
    <row r="802" spans="3:3" x14ac:dyDescent="0.3">
      <c r="C802"/>
    </row>
    <row r="803" spans="3:3" x14ac:dyDescent="0.3">
      <c r="C803"/>
    </row>
    <row r="804" spans="3:3" x14ac:dyDescent="0.3">
      <c r="C804"/>
    </row>
    <row r="805" spans="3:3" x14ac:dyDescent="0.3">
      <c r="C805"/>
    </row>
    <row r="806" spans="3:3" x14ac:dyDescent="0.3">
      <c r="C806"/>
    </row>
    <row r="807" spans="3:3" x14ac:dyDescent="0.3">
      <c r="C807"/>
    </row>
    <row r="808" spans="3:3" x14ac:dyDescent="0.3">
      <c r="C808"/>
    </row>
    <row r="809" spans="3:3" x14ac:dyDescent="0.3">
      <c r="C809"/>
    </row>
    <row r="810" spans="3:3" x14ac:dyDescent="0.3">
      <c r="C810"/>
    </row>
    <row r="811" spans="3:3" x14ac:dyDescent="0.3">
      <c r="C811"/>
    </row>
    <row r="812" spans="3:3" x14ac:dyDescent="0.3">
      <c r="C812"/>
    </row>
    <row r="813" spans="3:3" x14ac:dyDescent="0.3">
      <c r="C813"/>
    </row>
    <row r="814" spans="3:3" x14ac:dyDescent="0.3">
      <c r="C814"/>
    </row>
    <row r="815" spans="3:3" x14ac:dyDescent="0.3">
      <c r="C815"/>
    </row>
    <row r="816" spans="3:3" x14ac:dyDescent="0.3">
      <c r="C816"/>
    </row>
    <row r="817" spans="3:3" x14ac:dyDescent="0.3">
      <c r="C817"/>
    </row>
    <row r="818" spans="3:3" x14ac:dyDescent="0.3">
      <c r="C818"/>
    </row>
    <row r="819" spans="3:3" x14ac:dyDescent="0.3">
      <c r="C819"/>
    </row>
    <row r="820" spans="3:3" x14ac:dyDescent="0.3">
      <c r="C820"/>
    </row>
    <row r="821" spans="3:3" x14ac:dyDescent="0.3">
      <c r="C821"/>
    </row>
    <row r="822" spans="3:3" x14ac:dyDescent="0.3">
      <c r="C822"/>
    </row>
    <row r="823" spans="3:3" x14ac:dyDescent="0.3">
      <c r="C823"/>
    </row>
    <row r="824" spans="3:3" x14ac:dyDescent="0.3">
      <c r="C824"/>
    </row>
    <row r="825" spans="3:3" x14ac:dyDescent="0.3">
      <c r="C825"/>
    </row>
    <row r="826" spans="3:3" x14ac:dyDescent="0.3">
      <c r="C826"/>
    </row>
    <row r="827" spans="3:3" x14ac:dyDescent="0.3">
      <c r="C827"/>
    </row>
    <row r="828" spans="3:3" x14ac:dyDescent="0.3">
      <c r="C828"/>
    </row>
    <row r="829" spans="3:3" x14ac:dyDescent="0.3">
      <c r="C829"/>
    </row>
    <row r="830" spans="3:3" x14ac:dyDescent="0.3">
      <c r="C830"/>
    </row>
    <row r="831" spans="3:3" x14ac:dyDescent="0.3">
      <c r="C831"/>
    </row>
    <row r="832" spans="3:3" x14ac:dyDescent="0.3">
      <c r="C832"/>
    </row>
    <row r="833" spans="3:3" x14ac:dyDescent="0.3">
      <c r="C833"/>
    </row>
    <row r="834" spans="3:3" x14ac:dyDescent="0.3">
      <c r="C834"/>
    </row>
    <row r="835" spans="3:3" x14ac:dyDescent="0.3">
      <c r="C835"/>
    </row>
    <row r="836" spans="3:3" x14ac:dyDescent="0.3">
      <c r="C836"/>
    </row>
    <row r="837" spans="3:3" x14ac:dyDescent="0.3">
      <c r="C837"/>
    </row>
    <row r="838" spans="3:3" x14ac:dyDescent="0.3">
      <c r="C838"/>
    </row>
    <row r="839" spans="3:3" x14ac:dyDescent="0.3">
      <c r="C839"/>
    </row>
    <row r="840" spans="3:3" x14ac:dyDescent="0.3">
      <c r="C840"/>
    </row>
    <row r="841" spans="3:3" x14ac:dyDescent="0.3">
      <c r="C841"/>
    </row>
    <row r="842" spans="3:3" x14ac:dyDescent="0.3">
      <c r="C842"/>
    </row>
    <row r="843" spans="3:3" x14ac:dyDescent="0.3">
      <c r="C843"/>
    </row>
    <row r="844" spans="3:3" x14ac:dyDescent="0.3">
      <c r="C844"/>
    </row>
    <row r="845" spans="3:3" x14ac:dyDescent="0.3">
      <c r="C845"/>
    </row>
    <row r="846" spans="3:3" x14ac:dyDescent="0.3">
      <c r="C846"/>
    </row>
    <row r="847" spans="3:3" x14ac:dyDescent="0.3">
      <c r="C847"/>
    </row>
    <row r="848" spans="3:3" x14ac:dyDescent="0.3">
      <c r="C848"/>
    </row>
    <row r="849" spans="3:3" x14ac:dyDescent="0.3">
      <c r="C849"/>
    </row>
    <row r="850" spans="3:3" x14ac:dyDescent="0.3">
      <c r="C850"/>
    </row>
    <row r="851" spans="3:3" x14ac:dyDescent="0.3">
      <c r="C851"/>
    </row>
    <row r="852" spans="3:3" x14ac:dyDescent="0.3">
      <c r="C852"/>
    </row>
    <row r="853" spans="3:3" x14ac:dyDescent="0.3">
      <c r="C853"/>
    </row>
    <row r="854" spans="3:3" x14ac:dyDescent="0.3">
      <c r="C854"/>
    </row>
    <row r="855" spans="3:3" x14ac:dyDescent="0.3">
      <c r="C855"/>
    </row>
    <row r="856" spans="3:3" x14ac:dyDescent="0.3">
      <c r="C856"/>
    </row>
    <row r="857" spans="3:3" x14ac:dyDescent="0.3">
      <c r="C857"/>
    </row>
    <row r="858" spans="3:3" x14ac:dyDescent="0.3">
      <c r="C858"/>
    </row>
    <row r="859" spans="3:3" x14ac:dyDescent="0.3">
      <c r="C859"/>
    </row>
    <row r="860" spans="3:3" x14ac:dyDescent="0.3">
      <c r="C860"/>
    </row>
    <row r="861" spans="3:3" x14ac:dyDescent="0.3">
      <c r="C861"/>
    </row>
    <row r="862" spans="3:3" x14ac:dyDescent="0.3">
      <c r="C862"/>
    </row>
    <row r="863" spans="3:3" x14ac:dyDescent="0.3">
      <c r="C863"/>
    </row>
    <row r="864" spans="3:3" x14ac:dyDescent="0.3">
      <c r="C864"/>
    </row>
    <row r="865" spans="3:3" x14ac:dyDescent="0.3">
      <c r="C865"/>
    </row>
    <row r="866" spans="3:3" x14ac:dyDescent="0.3">
      <c r="C866"/>
    </row>
    <row r="867" spans="3:3" x14ac:dyDescent="0.3">
      <c r="C867"/>
    </row>
    <row r="868" spans="3:3" x14ac:dyDescent="0.3">
      <c r="C868"/>
    </row>
    <row r="869" spans="3:3" x14ac:dyDescent="0.3">
      <c r="C869"/>
    </row>
    <row r="870" spans="3:3" x14ac:dyDescent="0.3">
      <c r="C870"/>
    </row>
    <row r="871" spans="3:3" x14ac:dyDescent="0.3">
      <c r="C871"/>
    </row>
    <row r="872" spans="3:3" x14ac:dyDescent="0.3">
      <c r="C872"/>
    </row>
    <row r="873" spans="3:3" x14ac:dyDescent="0.3">
      <c r="C873"/>
    </row>
    <row r="874" spans="3:3" x14ac:dyDescent="0.3">
      <c r="C874"/>
    </row>
    <row r="875" spans="3:3" x14ac:dyDescent="0.3">
      <c r="C875"/>
    </row>
    <row r="876" spans="3:3" x14ac:dyDescent="0.3">
      <c r="C876"/>
    </row>
    <row r="877" spans="3:3" x14ac:dyDescent="0.3">
      <c r="C877"/>
    </row>
    <row r="878" spans="3:3" x14ac:dyDescent="0.3">
      <c r="C878"/>
    </row>
    <row r="879" spans="3:3" x14ac:dyDescent="0.3">
      <c r="C879"/>
    </row>
    <row r="880" spans="3:3" x14ac:dyDescent="0.3">
      <c r="C880"/>
    </row>
    <row r="881" spans="3:3" x14ac:dyDescent="0.3">
      <c r="C881"/>
    </row>
    <row r="882" spans="3:3" x14ac:dyDescent="0.3">
      <c r="C882"/>
    </row>
    <row r="883" spans="3:3" x14ac:dyDescent="0.3">
      <c r="C883"/>
    </row>
    <row r="884" spans="3:3" x14ac:dyDescent="0.3">
      <c r="C884"/>
    </row>
    <row r="885" spans="3:3" x14ac:dyDescent="0.3">
      <c r="C885"/>
    </row>
    <row r="886" spans="3:3" x14ac:dyDescent="0.3">
      <c r="C886"/>
    </row>
    <row r="887" spans="3:3" x14ac:dyDescent="0.3">
      <c r="C887"/>
    </row>
    <row r="888" spans="3:3" x14ac:dyDescent="0.3">
      <c r="C888"/>
    </row>
    <row r="889" spans="3:3" x14ac:dyDescent="0.3">
      <c r="C889"/>
    </row>
    <row r="890" spans="3:3" x14ac:dyDescent="0.3">
      <c r="C890"/>
    </row>
    <row r="891" spans="3:3" x14ac:dyDescent="0.3">
      <c r="C891"/>
    </row>
    <row r="892" spans="3:3" x14ac:dyDescent="0.3">
      <c r="C892"/>
    </row>
    <row r="893" spans="3:3" x14ac:dyDescent="0.3">
      <c r="C893"/>
    </row>
    <row r="894" spans="3:3" x14ac:dyDescent="0.3">
      <c r="C894"/>
    </row>
    <row r="895" spans="3:3" x14ac:dyDescent="0.3">
      <c r="C895"/>
    </row>
    <row r="896" spans="3:3" x14ac:dyDescent="0.3">
      <c r="C896"/>
    </row>
    <row r="897" spans="3:3" x14ac:dyDescent="0.3">
      <c r="C897"/>
    </row>
    <row r="898" spans="3:3" x14ac:dyDescent="0.3">
      <c r="C898"/>
    </row>
    <row r="899" spans="3:3" x14ac:dyDescent="0.3">
      <c r="C899"/>
    </row>
    <row r="900" spans="3:3" x14ac:dyDescent="0.3">
      <c r="C900"/>
    </row>
    <row r="901" spans="3:3" x14ac:dyDescent="0.3">
      <c r="C901"/>
    </row>
    <row r="902" spans="3:3" x14ac:dyDescent="0.3">
      <c r="C902"/>
    </row>
    <row r="903" spans="3:3" x14ac:dyDescent="0.3">
      <c r="C903"/>
    </row>
    <row r="904" spans="3:3" x14ac:dyDescent="0.3">
      <c r="C904"/>
    </row>
    <row r="905" spans="3:3" x14ac:dyDescent="0.3">
      <c r="C905"/>
    </row>
    <row r="906" spans="3:3" x14ac:dyDescent="0.3">
      <c r="C906"/>
    </row>
    <row r="907" spans="3:3" x14ac:dyDescent="0.3">
      <c r="C907"/>
    </row>
    <row r="908" spans="3:3" x14ac:dyDescent="0.3">
      <c r="C908"/>
    </row>
    <row r="909" spans="3:3" x14ac:dyDescent="0.3">
      <c r="C909"/>
    </row>
    <row r="910" spans="3:3" x14ac:dyDescent="0.3">
      <c r="C910"/>
    </row>
    <row r="911" spans="3:3" x14ac:dyDescent="0.3">
      <c r="C911"/>
    </row>
    <row r="912" spans="3:3" x14ac:dyDescent="0.3">
      <c r="C912"/>
    </row>
    <row r="913" spans="3:3" x14ac:dyDescent="0.3">
      <c r="C913"/>
    </row>
    <row r="914" spans="3:3" x14ac:dyDescent="0.3">
      <c r="C914"/>
    </row>
    <row r="915" spans="3:3" x14ac:dyDescent="0.3">
      <c r="C915"/>
    </row>
    <row r="916" spans="3:3" x14ac:dyDescent="0.3">
      <c r="C916"/>
    </row>
    <row r="917" spans="3:3" x14ac:dyDescent="0.3">
      <c r="C917"/>
    </row>
    <row r="918" spans="3:3" x14ac:dyDescent="0.3">
      <c r="C918"/>
    </row>
    <row r="919" spans="3:3" x14ac:dyDescent="0.3">
      <c r="C919"/>
    </row>
    <row r="920" spans="3:3" x14ac:dyDescent="0.3">
      <c r="C920"/>
    </row>
    <row r="921" spans="3:3" x14ac:dyDescent="0.3">
      <c r="C921"/>
    </row>
    <row r="922" spans="3:3" x14ac:dyDescent="0.3">
      <c r="C922"/>
    </row>
    <row r="923" spans="3:3" x14ac:dyDescent="0.3">
      <c r="C923"/>
    </row>
    <row r="924" spans="3:3" x14ac:dyDescent="0.3">
      <c r="C924"/>
    </row>
    <row r="925" spans="3:3" x14ac:dyDescent="0.3">
      <c r="C925"/>
    </row>
    <row r="926" spans="3:3" x14ac:dyDescent="0.3">
      <c r="C926"/>
    </row>
    <row r="927" spans="3:3" x14ac:dyDescent="0.3">
      <c r="C927"/>
    </row>
    <row r="928" spans="3:3" x14ac:dyDescent="0.3">
      <c r="C928"/>
    </row>
    <row r="929" spans="3:3" x14ac:dyDescent="0.3">
      <c r="C929"/>
    </row>
    <row r="930" spans="3:3" x14ac:dyDescent="0.3">
      <c r="C930"/>
    </row>
    <row r="931" spans="3:3" x14ac:dyDescent="0.3">
      <c r="C931"/>
    </row>
    <row r="932" spans="3:3" x14ac:dyDescent="0.3">
      <c r="C932"/>
    </row>
    <row r="933" spans="3:3" x14ac:dyDescent="0.3">
      <c r="C933"/>
    </row>
    <row r="934" spans="3:3" x14ac:dyDescent="0.3">
      <c r="C934"/>
    </row>
    <row r="935" spans="3:3" x14ac:dyDescent="0.3">
      <c r="C935"/>
    </row>
    <row r="936" spans="3:3" x14ac:dyDescent="0.3">
      <c r="C936"/>
    </row>
    <row r="937" spans="3:3" x14ac:dyDescent="0.3">
      <c r="C937"/>
    </row>
    <row r="938" spans="3:3" x14ac:dyDescent="0.3">
      <c r="C938"/>
    </row>
    <row r="939" spans="3:3" x14ac:dyDescent="0.3">
      <c r="C939"/>
    </row>
    <row r="940" spans="3:3" x14ac:dyDescent="0.3">
      <c r="C940"/>
    </row>
    <row r="941" spans="3:3" x14ac:dyDescent="0.3">
      <c r="C941"/>
    </row>
    <row r="942" spans="3:3" x14ac:dyDescent="0.3">
      <c r="C942"/>
    </row>
    <row r="943" spans="3:3" x14ac:dyDescent="0.3">
      <c r="C943"/>
    </row>
    <row r="944" spans="3:3" x14ac:dyDescent="0.3">
      <c r="C944"/>
    </row>
    <row r="945" spans="3:3" x14ac:dyDescent="0.3">
      <c r="C945"/>
    </row>
    <row r="946" spans="3:3" x14ac:dyDescent="0.3">
      <c r="C946"/>
    </row>
    <row r="947" spans="3:3" x14ac:dyDescent="0.3">
      <c r="C947"/>
    </row>
    <row r="948" spans="3:3" x14ac:dyDescent="0.3">
      <c r="C948"/>
    </row>
    <row r="949" spans="3:3" x14ac:dyDescent="0.3">
      <c r="C949"/>
    </row>
    <row r="950" spans="3:3" x14ac:dyDescent="0.3">
      <c r="C950"/>
    </row>
    <row r="951" spans="3:3" x14ac:dyDescent="0.3">
      <c r="C951"/>
    </row>
    <row r="952" spans="3:3" x14ac:dyDescent="0.3">
      <c r="C952"/>
    </row>
    <row r="953" spans="3:3" x14ac:dyDescent="0.3">
      <c r="C953"/>
    </row>
    <row r="954" spans="3:3" x14ac:dyDescent="0.3">
      <c r="C954"/>
    </row>
    <row r="955" spans="3:3" x14ac:dyDescent="0.3">
      <c r="C955"/>
    </row>
    <row r="956" spans="3:3" x14ac:dyDescent="0.3">
      <c r="C956"/>
    </row>
    <row r="957" spans="3:3" x14ac:dyDescent="0.3">
      <c r="C957"/>
    </row>
    <row r="958" spans="3:3" x14ac:dyDescent="0.3">
      <c r="C958"/>
    </row>
    <row r="959" spans="3:3" x14ac:dyDescent="0.3">
      <c r="C959"/>
    </row>
    <row r="960" spans="3:3" x14ac:dyDescent="0.3">
      <c r="C960"/>
    </row>
    <row r="961" spans="3:3" x14ac:dyDescent="0.3">
      <c r="C961"/>
    </row>
    <row r="962" spans="3:3" x14ac:dyDescent="0.3">
      <c r="C962"/>
    </row>
    <row r="963" spans="3:3" x14ac:dyDescent="0.3">
      <c r="C963"/>
    </row>
    <row r="964" spans="3:3" x14ac:dyDescent="0.3">
      <c r="C964"/>
    </row>
    <row r="965" spans="3:3" x14ac:dyDescent="0.3">
      <c r="C965"/>
    </row>
  </sheetData>
  <autoFilter ref="B2:B116" xr:uid="{5FF91440-5C0E-40C5-A483-7CCC2F00ED3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5A11-E8A0-4B78-B327-F590E316DB7D}">
  <dimension ref="A1:D126"/>
  <sheetViews>
    <sheetView workbookViewId="0"/>
  </sheetViews>
  <sheetFormatPr baseColWidth="10" defaultColWidth="11.44140625" defaultRowHeight="14.4" x14ac:dyDescent="0.3"/>
  <cols>
    <col min="1" max="1" width="16.6640625" bestFit="1" customWidth="1"/>
    <col min="2" max="2" width="33.109375" bestFit="1" customWidth="1"/>
    <col min="3" max="3" width="38.33203125" bestFit="1" customWidth="1"/>
    <col min="4" max="4" width="14.33203125" bestFit="1" customWidth="1"/>
  </cols>
  <sheetData>
    <row r="1" spans="1:4" x14ac:dyDescent="0.3">
      <c r="A1" t="s">
        <v>0</v>
      </c>
      <c r="B1" t="s">
        <v>17</v>
      </c>
      <c r="C1" t="s">
        <v>2341</v>
      </c>
      <c r="D1" t="s">
        <v>2342</v>
      </c>
    </row>
    <row r="2" spans="1:4" x14ac:dyDescent="0.3">
      <c r="A2" t="s">
        <v>35</v>
      </c>
      <c r="B2" t="s">
        <v>1851</v>
      </c>
      <c r="C2" t="s">
        <v>1852</v>
      </c>
      <c r="D2" t="s">
        <v>2344</v>
      </c>
    </row>
    <row r="3" spans="1:4" x14ac:dyDescent="0.3">
      <c r="A3" t="s">
        <v>2127</v>
      </c>
      <c r="B3" t="s">
        <v>2129</v>
      </c>
      <c r="C3" t="s">
        <v>2130</v>
      </c>
      <c r="D3" t="s">
        <v>2344</v>
      </c>
    </row>
    <row r="4" spans="1:4" x14ac:dyDescent="0.3">
      <c r="A4" t="s">
        <v>363</v>
      </c>
      <c r="B4" t="s">
        <v>448</v>
      </c>
      <c r="C4" t="s">
        <v>449</v>
      </c>
      <c r="D4" t="s">
        <v>2344</v>
      </c>
    </row>
    <row r="5" spans="1:4" x14ac:dyDescent="0.3">
      <c r="A5" t="s">
        <v>2127</v>
      </c>
      <c r="B5" t="s">
        <v>2137</v>
      </c>
      <c r="C5" t="s">
        <v>2138</v>
      </c>
      <c r="D5" t="s">
        <v>2344</v>
      </c>
    </row>
    <row r="6" spans="1:4" x14ac:dyDescent="0.3">
      <c r="A6" t="s">
        <v>363</v>
      </c>
      <c r="B6" t="s">
        <v>474</v>
      </c>
      <c r="C6" t="s">
        <v>475</v>
      </c>
      <c r="D6" t="s">
        <v>2344</v>
      </c>
    </row>
    <row r="7" spans="1:4" x14ac:dyDescent="0.3">
      <c r="A7" t="s">
        <v>363</v>
      </c>
      <c r="B7" t="s">
        <v>414</v>
      </c>
      <c r="C7" t="s">
        <v>398</v>
      </c>
      <c r="D7" t="s">
        <v>2344</v>
      </c>
    </row>
    <row r="8" spans="1:4" x14ac:dyDescent="0.3">
      <c r="A8" t="s">
        <v>363</v>
      </c>
      <c r="B8" t="s">
        <v>933</v>
      </c>
      <c r="C8" t="s">
        <v>744</v>
      </c>
      <c r="D8" t="s">
        <v>2344</v>
      </c>
    </row>
    <row r="9" spans="1:4" x14ac:dyDescent="0.3">
      <c r="A9" t="s">
        <v>2053</v>
      </c>
      <c r="B9" t="s">
        <v>2055</v>
      </c>
      <c r="C9" t="s">
        <v>2056</v>
      </c>
      <c r="D9" t="s">
        <v>2344</v>
      </c>
    </row>
    <row r="10" spans="1:4" x14ac:dyDescent="0.3">
      <c r="A10" t="s">
        <v>47</v>
      </c>
      <c r="B10" t="s">
        <v>212</v>
      </c>
      <c r="C10" t="s">
        <v>213</v>
      </c>
      <c r="D10" t="s">
        <v>2344</v>
      </c>
    </row>
    <row r="11" spans="1:4" x14ac:dyDescent="0.3">
      <c r="A11" t="s">
        <v>363</v>
      </c>
      <c r="B11" t="s">
        <v>426</v>
      </c>
      <c r="C11" t="s">
        <v>2345</v>
      </c>
      <c r="D11" t="s">
        <v>2344</v>
      </c>
    </row>
    <row r="12" spans="1:4" x14ac:dyDescent="0.3">
      <c r="A12" t="s">
        <v>1</v>
      </c>
      <c r="B12" t="s">
        <v>4</v>
      </c>
      <c r="C12" t="s">
        <v>5</v>
      </c>
      <c r="D12" t="s">
        <v>2344</v>
      </c>
    </row>
    <row r="13" spans="1:4" x14ac:dyDescent="0.3">
      <c r="A13" t="s">
        <v>1</v>
      </c>
      <c r="B13" t="s">
        <v>4</v>
      </c>
      <c r="C13" t="s">
        <v>1992</v>
      </c>
      <c r="D13" t="s">
        <v>2344</v>
      </c>
    </row>
    <row r="14" spans="1:4" x14ac:dyDescent="0.3">
      <c r="A14" t="s">
        <v>363</v>
      </c>
      <c r="B14" t="s">
        <v>1236</v>
      </c>
      <c r="C14" t="s">
        <v>1237</v>
      </c>
      <c r="D14" t="s">
        <v>2344</v>
      </c>
    </row>
    <row r="15" spans="1:4" x14ac:dyDescent="0.3">
      <c r="A15" t="s">
        <v>363</v>
      </c>
      <c r="B15" t="s">
        <v>514</v>
      </c>
      <c r="C15" t="s">
        <v>515</v>
      </c>
      <c r="D15" t="s">
        <v>2344</v>
      </c>
    </row>
    <row r="16" spans="1:4" x14ac:dyDescent="0.3">
      <c r="A16" t="s">
        <v>363</v>
      </c>
      <c r="B16" t="s">
        <v>364</v>
      </c>
      <c r="C16" t="s">
        <v>365</v>
      </c>
      <c r="D16" t="s">
        <v>2344</v>
      </c>
    </row>
    <row r="17" spans="1:4" x14ac:dyDescent="0.3">
      <c r="A17" t="s">
        <v>363</v>
      </c>
      <c r="B17" t="s">
        <v>640</v>
      </c>
      <c r="C17" t="s">
        <v>606</v>
      </c>
      <c r="D17" t="s">
        <v>2344</v>
      </c>
    </row>
    <row r="18" spans="1:4" x14ac:dyDescent="0.3">
      <c r="A18" t="s">
        <v>363</v>
      </c>
      <c r="B18" t="s">
        <v>1116</v>
      </c>
      <c r="C18" t="s">
        <v>2346</v>
      </c>
      <c r="D18" t="s">
        <v>2344</v>
      </c>
    </row>
    <row r="19" spans="1:4" x14ac:dyDescent="0.3">
      <c r="A19" t="s">
        <v>263</v>
      </c>
      <c r="B19" t="s">
        <v>264</v>
      </c>
      <c r="C19" t="s">
        <v>265</v>
      </c>
      <c r="D19" t="s">
        <v>2344</v>
      </c>
    </row>
    <row r="20" spans="1:4" x14ac:dyDescent="0.3">
      <c r="A20" t="s">
        <v>2053</v>
      </c>
      <c r="B20" t="s">
        <v>2071</v>
      </c>
      <c r="C20" t="s">
        <v>2072</v>
      </c>
      <c r="D20" t="s">
        <v>2344</v>
      </c>
    </row>
    <row r="21" spans="1:4" x14ac:dyDescent="0.3">
      <c r="A21" t="s">
        <v>2127</v>
      </c>
      <c r="B21" t="s">
        <v>2210</v>
      </c>
      <c r="C21" t="s">
        <v>2211</v>
      </c>
      <c r="D21" t="s">
        <v>2344</v>
      </c>
    </row>
    <row r="22" spans="1:4" x14ac:dyDescent="0.3">
      <c r="A22" t="s">
        <v>363</v>
      </c>
      <c r="B22" t="s">
        <v>847</v>
      </c>
      <c r="C22" t="s">
        <v>817</v>
      </c>
      <c r="D22" t="s">
        <v>2344</v>
      </c>
    </row>
    <row r="23" spans="1:4" x14ac:dyDescent="0.3">
      <c r="A23" t="s">
        <v>35</v>
      </c>
      <c r="B23" t="s">
        <v>1869</v>
      </c>
      <c r="C23" t="s">
        <v>1870</v>
      </c>
      <c r="D23" t="s">
        <v>2344</v>
      </c>
    </row>
    <row r="24" spans="1:4" x14ac:dyDescent="0.3">
      <c r="A24" t="s">
        <v>2127</v>
      </c>
      <c r="B24" t="s">
        <v>2273</v>
      </c>
      <c r="C24" t="s">
        <v>2274</v>
      </c>
      <c r="D24" t="s">
        <v>2344</v>
      </c>
    </row>
    <row r="25" spans="1:4" x14ac:dyDescent="0.3">
      <c r="A25" t="s">
        <v>363</v>
      </c>
      <c r="B25" t="s">
        <v>1530</v>
      </c>
      <c r="C25" t="s">
        <v>2347</v>
      </c>
      <c r="D25" t="s">
        <v>2344</v>
      </c>
    </row>
    <row r="26" spans="1:4" x14ac:dyDescent="0.3">
      <c r="A26" t="s">
        <v>363</v>
      </c>
      <c r="B26" t="s">
        <v>1171</v>
      </c>
      <c r="C26" t="s">
        <v>1094</v>
      </c>
      <c r="D26" t="s">
        <v>2344</v>
      </c>
    </row>
    <row r="27" spans="1:4" x14ac:dyDescent="0.3">
      <c r="A27" t="s">
        <v>2127</v>
      </c>
      <c r="B27" t="s">
        <v>2248</v>
      </c>
      <c r="C27" t="s">
        <v>2244</v>
      </c>
      <c r="D27" t="s">
        <v>2344</v>
      </c>
    </row>
    <row r="28" spans="1:4" x14ac:dyDescent="0.3">
      <c r="A28" t="s">
        <v>2127</v>
      </c>
      <c r="B28" t="s">
        <v>2227</v>
      </c>
      <c r="C28" t="s">
        <v>2348</v>
      </c>
      <c r="D28" t="s">
        <v>2344</v>
      </c>
    </row>
    <row r="29" spans="1:4" x14ac:dyDescent="0.3">
      <c r="A29" t="s">
        <v>2127</v>
      </c>
      <c r="B29" t="s">
        <v>2227</v>
      </c>
      <c r="C29" t="s">
        <v>2228</v>
      </c>
      <c r="D29" t="s">
        <v>2344</v>
      </c>
    </row>
    <row r="30" spans="1:4" x14ac:dyDescent="0.3">
      <c r="A30" t="s">
        <v>363</v>
      </c>
      <c r="B30" t="s">
        <v>385</v>
      </c>
      <c r="C30" t="s">
        <v>2345</v>
      </c>
      <c r="D30" t="s">
        <v>2344</v>
      </c>
    </row>
    <row r="31" spans="1:4" x14ac:dyDescent="0.3">
      <c r="A31" t="s">
        <v>363</v>
      </c>
      <c r="B31" t="s">
        <v>875</v>
      </c>
      <c r="C31" t="s">
        <v>2349</v>
      </c>
      <c r="D31" t="s">
        <v>2344</v>
      </c>
    </row>
    <row r="32" spans="1:4" x14ac:dyDescent="0.3">
      <c r="A32" t="s">
        <v>1584</v>
      </c>
      <c r="B32" t="s">
        <v>2350</v>
      </c>
      <c r="C32" t="s">
        <v>1737</v>
      </c>
      <c r="D32" t="s">
        <v>2344</v>
      </c>
    </row>
    <row r="33" spans="1:4" x14ac:dyDescent="0.3">
      <c r="A33" t="s">
        <v>2127</v>
      </c>
      <c r="B33" t="s">
        <v>2147</v>
      </c>
      <c r="C33" t="s">
        <v>2148</v>
      </c>
      <c r="D33" t="s">
        <v>2344</v>
      </c>
    </row>
    <row r="34" spans="1:4" x14ac:dyDescent="0.3">
      <c r="A34" t="s">
        <v>2127</v>
      </c>
      <c r="B34" t="s">
        <v>2183</v>
      </c>
      <c r="C34" t="s">
        <v>2184</v>
      </c>
      <c r="D34" t="s">
        <v>2344</v>
      </c>
    </row>
    <row r="35" spans="1:4" x14ac:dyDescent="0.3">
      <c r="A35" t="s">
        <v>2127</v>
      </c>
      <c r="B35" t="s">
        <v>2183</v>
      </c>
      <c r="C35" t="s">
        <v>2351</v>
      </c>
      <c r="D35" t="s">
        <v>2344</v>
      </c>
    </row>
    <row r="36" spans="1:4" x14ac:dyDescent="0.3">
      <c r="A36" t="s">
        <v>363</v>
      </c>
      <c r="B36" t="s">
        <v>907</v>
      </c>
      <c r="C36" t="s">
        <v>781</v>
      </c>
      <c r="D36" t="s">
        <v>2344</v>
      </c>
    </row>
    <row r="37" spans="1:4" x14ac:dyDescent="0.3">
      <c r="A37" t="s">
        <v>1584</v>
      </c>
      <c r="B37" t="s">
        <v>1590</v>
      </c>
      <c r="C37" t="s">
        <v>1591</v>
      </c>
      <c r="D37" t="s">
        <v>2344</v>
      </c>
    </row>
    <row r="38" spans="1:4" x14ac:dyDescent="0.3">
      <c r="A38" t="s">
        <v>363</v>
      </c>
      <c r="B38" t="s">
        <v>1051</v>
      </c>
      <c r="C38" t="s">
        <v>2352</v>
      </c>
      <c r="D38" t="s">
        <v>2344</v>
      </c>
    </row>
    <row r="39" spans="1:4" x14ac:dyDescent="0.3">
      <c r="A39" t="s">
        <v>1</v>
      </c>
      <c r="B39" t="s">
        <v>6</v>
      </c>
      <c r="C39" t="s">
        <v>7</v>
      </c>
      <c r="D39" t="s">
        <v>2344</v>
      </c>
    </row>
    <row r="40" spans="1:4" x14ac:dyDescent="0.3">
      <c r="A40" t="s">
        <v>363</v>
      </c>
      <c r="B40" t="s">
        <v>557</v>
      </c>
      <c r="C40" t="s">
        <v>386</v>
      </c>
      <c r="D40" t="s">
        <v>2344</v>
      </c>
    </row>
    <row r="41" spans="1:4" x14ac:dyDescent="0.3">
      <c r="A41" t="s">
        <v>363</v>
      </c>
      <c r="B41" t="s">
        <v>557</v>
      </c>
      <c r="C41" t="s">
        <v>558</v>
      </c>
      <c r="D41" t="s">
        <v>2344</v>
      </c>
    </row>
    <row r="42" spans="1:4" x14ac:dyDescent="0.3">
      <c r="A42" t="s">
        <v>1584</v>
      </c>
      <c r="B42" t="s">
        <v>2353</v>
      </c>
      <c r="C42" t="s">
        <v>1602</v>
      </c>
      <c r="D42" t="s">
        <v>2344</v>
      </c>
    </row>
    <row r="43" spans="1:4" x14ac:dyDescent="0.3">
      <c r="A43" t="s">
        <v>363</v>
      </c>
      <c r="B43" t="s">
        <v>1320</v>
      </c>
      <c r="C43" t="s">
        <v>1292</v>
      </c>
      <c r="D43" t="s">
        <v>2344</v>
      </c>
    </row>
    <row r="44" spans="1:4" x14ac:dyDescent="0.3">
      <c r="A44" t="s">
        <v>1584</v>
      </c>
      <c r="B44" t="s">
        <v>1615</v>
      </c>
      <c r="C44" t="s">
        <v>1616</v>
      </c>
      <c r="D44" t="s">
        <v>2344</v>
      </c>
    </row>
    <row r="45" spans="1:4" x14ac:dyDescent="0.3">
      <c r="A45" t="s">
        <v>363</v>
      </c>
      <c r="B45" t="s">
        <v>605</v>
      </c>
      <c r="C45" t="s">
        <v>606</v>
      </c>
      <c r="D45" t="s">
        <v>2344</v>
      </c>
    </row>
    <row r="46" spans="1:4" x14ac:dyDescent="0.3">
      <c r="A46" t="s">
        <v>363</v>
      </c>
      <c r="B46" t="s">
        <v>435</v>
      </c>
      <c r="C46" t="s">
        <v>365</v>
      </c>
      <c r="D46" t="s">
        <v>2344</v>
      </c>
    </row>
    <row r="47" spans="1:4" x14ac:dyDescent="0.3">
      <c r="A47" t="s">
        <v>363</v>
      </c>
      <c r="B47" t="s">
        <v>1137</v>
      </c>
      <c r="C47" t="s">
        <v>2352</v>
      </c>
      <c r="D47" t="s">
        <v>2344</v>
      </c>
    </row>
    <row r="48" spans="1:4" x14ac:dyDescent="0.3">
      <c r="A48" t="s">
        <v>2127</v>
      </c>
      <c r="B48" t="s">
        <v>2285</v>
      </c>
      <c r="C48" t="s">
        <v>2286</v>
      </c>
      <c r="D48" t="s">
        <v>2344</v>
      </c>
    </row>
    <row r="49" spans="1:4" x14ac:dyDescent="0.3">
      <c r="A49" t="s">
        <v>363</v>
      </c>
      <c r="B49" t="s">
        <v>1417</v>
      </c>
      <c r="C49" t="s">
        <v>1418</v>
      </c>
      <c r="D49" t="s">
        <v>2344</v>
      </c>
    </row>
    <row r="50" spans="1:4" x14ac:dyDescent="0.3">
      <c r="A50" t="s">
        <v>1</v>
      </c>
      <c r="B50" t="s">
        <v>12</v>
      </c>
      <c r="C50" t="s">
        <v>2354</v>
      </c>
      <c r="D50" t="s">
        <v>2344</v>
      </c>
    </row>
    <row r="51" spans="1:4" x14ac:dyDescent="0.3">
      <c r="A51" t="s">
        <v>363</v>
      </c>
      <c r="B51" t="s">
        <v>1156</v>
      </c>
      <c r="C51" t="s">
        <v>1094</v>
      </c>
      <c r="D51" t="s">
        <v>2344</v>
      </c>
    </row>
    <row r="52" spans="1:4" x14ac:dyDescent="0.3">
      <c r="A52" t="s">
        <v>363</v>
      </c>
      <c r="B52" t="s">
        <v>677</v>
      </c>
      <c r="C52" t="s">
        <v>515</v>
      </c>
      <c r="D52" t="s">
        <v>2344</v>
      </c>
    </row>
    <row r="53" spans="1:4" x14ac:dyDescent="0.3">
      <c r="A53" t="s">
        <v>363</v>
      </c>
      <c r="B53" t="s">
        <v>494</v>
      </c>
      <c r="C53" t="s">
        <v>495</v>
      </c>
      <c r="D53" t="s">
        <v>2344</v>
      </c>
    </row>
    <row r="54" spans="1:4" x14ac:dyDescent="0.3">
      <c r="A54" t="s">
        <v>28</v>
      </c>
      <c r="B54" t="s">
        <v>30</v>
      </c>
      <c r="C54" t="s">
        <v>31</v>
      </c>
      <c r="D54" t="s">
        <v>2344</v>
      </c>
    </row>
    <row r="55" spans="1:4" x14ac:dyDescent="0.3">
      <c r="A55" t="s">
        <v>28</v>
      </c>
      <c r="B55" t="s">
        <v>49</v>
      </c>
      <c r="C55" t="s">
        <v>50</v>
      </c>
      <c r="D55" t="s">
        <v>2344</v>
      </c>
    </row>
    <row r="56" spans="1:4" x14ac:dyDescent="0.3">
      <c r="A56" t="s">
        <v>28</v>
      </c>
      <c r="B56" t="s">
        <v>67</v>
      </c>
      <c r="C56" t="s">
        <v>68</v>
      </c>
      <c r="D56" t="s">
        <v>2344</v>
      </c>
    </row>
    <row r="57" spans="1:4" x14ac:dyDescent="0.3">
      <c r="A57" t="s">
        <v>363</v>
      </c>
      <c r="B57" t="s">
        <v>743</v>
      </c>
      <c r="C57" t="s">
        <v>2349</v>
      </c>
      <c r="D57" t="s">
        <v>2344</v>
      </c>
    </row>
    <row r="58" spans="1:4" x14ac:dyDescent="0.3">
      <c r="A58" t="s">
        <v>263</v>
      </c>
      <c r="B58" t="s">
        <v>277</v>
      </c>
      <c r="C58" t="s">
        <v>278</v>
      </c>
      <c r="D58" t="s">
        <v>2344</v>
      </c>
    </row>
    <row r="59" spans="1:4" x14ac:dyDescent="0.3">
      <c r="A59" t="s">
        <v>28</v>
      </c>
      <c r="B59" t="s">
        <v>84</v>
      </c>
      <c r="C59" t="s">
        <v>85</v>
      </c>
      <c r="D59" t="s">
        <v>2344</v>
      </c>
    </row>
    <row r="60" spans="1:4" x14ac:dyDescent="0.3">
      <c r="A60" t="s">
        <v>363</v>
      </c>
      <c r="B60" t="s">
        <v>1432</v>
      </c>
      <c r="C60" t="s">
        <v>1394</v>
      </c>
      <c r="D60" t="s">
        <v>2344</v>
      </c>
    </row>
    <row r="61" spans="1:4" x14ac:dyDescent="0.3">
      <c r="A61" t="s">
        <v>363</v>
      </c>
      <c r="B61" t="s">
        <v>1192</v>
      </c>
      <c r="C61" t="s">
        <v>2346</v>
      </c>
      <c r="D61" t="s">
        <v>2344</v>
      </c>
    </row>
    <row r="62" spans="1:4" x14ac:dyDescent="0.3">
      <c r="A62" t="s">
        <v>28</v>
      </c>
      <c r="B62" t="s">
        <v>96</v>
      </c>
      <c r="C62" t="s">
        <v>97</v>
      </c>
      <c r="D62" t="s">
        <v>2344</v>
      </c>
    </row>
    <row r="63" spans="1:4" x14ac:dyDescent="0.3">
      <c r="A63" t="s">
        <v>28</v>
      </c>
      <c r="B63" t="s">
        <v>109</v>
      </c>
      <c r="C63" t="s">
        <v>110</v>
      </c>
      <c r="D63" t="s">
        <v>2344</v>
      </c>
    </row>
    <row r="64" spans="1:4" x14ac:dyDescent="0.3">
      <c r="A64" t="s">
        <v>1</v>
      </c>
      <c r="B64" t="s">
        <v>8</v>
      </c>
      <c r="C64" t="s">
        <v>2031</v>
      </c>
      <c r="D64" t="s">
        <v>2344</v>
      </c>
    </row>
    <row r="65" spans="1:4" x14ac:dyDescent="0.3">
      <c r="A65" t="s">
        <v>28</v>
      </c>
      <c r="B65" t="s">
        <v>120</v>
      </c>
      <c r="C65" t="s">
        <v>121</v>
      </c>
      <c r="D65" t="s">
        <v>2344</v>
      </c>
    </row>
    <row r="66" spans="1:4" x14ac:dyDescent="0.3">
      <c r="A66" t="s">
        <v>28</v>
      </c>
      <c r="B66" t="s">
        <v>139</v>
      </c>
      <c r="C66" t="s">
        <v>140</v>
      </c>
      <c r="D66" t="s">
        <v>2344</v>
      </c>
    </row>
    <row r="67" spans="1:4" x14ac:dyDescent="0.3">
      <c r="A67" t="s">
        <v>363</v>
      </c>
      <c r="B67" t="s">
        <v>780</v>
      </c>
      <c r="C67" t="s">
        <v>781</v>
      </c>
      <c r="D67" t="s">
        <v>2344</v>
      </c>
    </row>
    <row r="68" spans="1:4" x14ac:dyDescent="0.3">
      <c r="A68" t="s">
        <v>363</v>
      </c>
      <c r="B68" t="s">
        <v>1561</v>
      </c>
      <c r="C68" t="s">
        <v>1079</v>
      </c>
      <c r="D68" t="s">
        <v>2344</v>
      </c>
    </row>
    <row r="69" spans="1:4" x14ac:dyDescent="0.3">
      <c r="A69" t="s">
        <v>363</v>
      </c>
      <c r="B69" t="s">
        <v>708</v>
      </c>
      <c r="C69" t="s">
        <v>2355</v>
      </c>
      <c r="D69" t="s">
        <v>2344</v>
      </c>
    </row>
    <row r="70" spans="1:4" x14ac:dyDescent="0.3">
      <c r="A70" t="s">
        <v>363</v>
      </c>
      <c r="B70" t="s">
        <v>708</v>
      </c>
      <c r="C70" t="s">
        <v>386</v>
      </c>
      <c r="D70" t="s">
        <v>2344</v>
      </c>
    </row>
    <row r="71" spans="1:4" x14ac:dyDescent="0.3">
      <c r="A71" t="s">
        <v>2053</v>
      </c>
      <c r="B71" t="s">
        <v>2091</v>
      </c>
      <c r="C71" t="s">
        <v>2092</v>
      </c>
      <c r="D71" t="s">
        <v>2344</v>
      </c>
    </row>
    <row r="72" spans="1:4" x14ac:dyDescent="0.3">
      <c r="A72" t="s">
        <v>1584</v>
      </c>
      <c r="B72" t="s">
        <v>2356</v>
      </c>
      <c r="C72" t="s">
        <v>1641</v>
      </c>
      <c r="D72" t="s">
        <v>2344</v>
      </c>
    </row>
    <row r="73" spans="1:4" x14ac:dyDescent="0.3">
      <c r="A73" t="s">
        <v>363</v>
      </c>
      <c r="B73" t="s">
        <v>974</v>
      </c>
      <c r="C73" t="s">
        <v>975</v>
      </c>
      <c r="D73" t="s">
        <v>2344</v>
      </c>
    </row>
    <row r="74" spans="1:4" x14ac:dyDescent="0.3">
      <c r="A74" t="s">
        <v>363</v>
      </c>
      <c r="B74" t="s">
        <v>1343</v>
      </c>
      <c r="C74" t="s">
        <v>1265</v>
      </c>
      <c r="D74" t="s">
        <v>2344</v>
      </c>
    </row>
    <row r="75" spans="1:4" x14ac:dyDescent="0.3">
      <c r="A75" t="s">
        <v>363</v>
      </c>
      <c r="B75" t="s">
        <v>1465</v>
      </c>
      <c r="C75" t="s">
        <v>2355</v>
      </c>
      <c r="D75" t="s">
        <v>2344</v>
      </c>
    </row>
    <row r="76" spans="1:4" x14ac:dyDescent="0.3">
      <c r="A76" t="s">
        <v>263</v>
      </c>
      <c r="B76" t="s">
        <v>291</v>
      </c>
      <c r="C76" t="s">
        <v>292</v>
      </c>
      <c r="D76" t="s">
        <v>2344</v>
      </c>
    </row>
    <row r="77" spans="1:4" x14ac:dyDescent="0.3">
      <c r="A77" t="s">
        <v>363</v>
      </c>
      <c r="B77" t="s">
        <v>1215</v>
      </c>
      <c r="C77" t="s">
        <v>2352</v>
      </c>
      <c r="D77" t="s">
        <v>2344</v>
      </c>
    </row>
    <row r="78" spans="1:4" x14ac:dyDescent="0.3">
      <c r="A78" t="s">
        <v>263</v>
      </c>
      <c r="B78" t="s">
        <v>312</v>
      </c>
      <c r="C78" t="s">
        <v>313</v>
      </c>
      <c r="D78" t="s">
        <v>2344</v>
      </c>
    </row>
    <row r="79" spans="1:4" x14ac:dyDescent="0.3">
      <c r="A79" t="s">
        <v>35</v>
      </c>
      <c r="B79" t="s">
        <v>1894</v>
      </c>
      <c r="C79" t="s">
        <v>1895</v>
      </c>
      <c r="D79" t="s">
        <v>2344</v>
      </c>
    </row>
    <row r="80" spans="1:4" x14ac:dyDescent="0.3">
      <c r="A80" t="s">
        <v>363</v>
      </c>
      <c r="B80" t="s">
        <v>1264</v>
      </c>
      <c r="C80" t="s">
        <v>1265</v>
      </c>
      <c r="D80" t="s">
        <v>2344</v>
      </c>
    </row>
    <row r="81" spans="1:4" x14ac:dyDescent="0.3">
      <c r="A81" t="s">
        <v>1584</v>
      </c>
      <c r="B81" t="s">
        <v>2357</v>
      </c>
      <c r="C81" t="s">
        <v>1833</v>
      </c>
      <c r="D81" t="s">
        <v>2344</v>
      </c>
    </row>
    <row r="82" spans="1:4" x14ac:dyDescent="0.3">
      <c r="A82" t="s">
        <v>363</v>
      </c>
      <c r="B82" t="s">
        <v>1078</v>
      </c>
      <c r="C82" t="s">
        <v>2358</v>
      </c>
      <c r="D82" t="s">
        <v>2344</v>
      </c>
    </row>
    <row r="83" spans="1:4" x14ac:dyDescent="0.3">
      <c r="A83" t="s">
        <v>363</v>
      </c>
      <c r="B83" t="s">
        <v>1078</v>
      </c>
      <c r="C83" t="s">
        <v>2346</v>
      </c>
      <c r="D83" t="s">
        <v>2344</v>
      </c>
    </row>
    <row r="84" spans="1:4" x14ac:dyDescent="0.3">
      <c r="A84" t="s">
        <v>1</v>
      </c>
      <c r="B84" t="s">
        <v>10</v>
      </c>
      <c r="C84" t="s">
        <v>11</v>
      </c>
      <c r="D84" t="s">
        <v>2344</v>
      </c>
    </row>
    <row r="85" spans="1:4" x14ac:dyDescent="0.3">
      <c r="A85" t="s">
        <v>363</v>
      </c>
      <c r="B85" t="s">
        <v>1369</v>
      </c>
      <c r="C85" t="s">
        <v>1237</v>
      </c>
      <c r="D85" t="s">
        <v>2344</v>
      </c>
    </row>
    <row r="86" spans="1:4" x14ac:dyDescent="0.3">
      <c r="A86" t="s">
        <v>35</v>
      </c>
      <c r="B86" t="s">
        <v>1911</v>
      </c>
      <c r="C86" t="s">
        <v>1912</v>
      </c>
      <c r="D86" t="s">
        <v>2344</v>
      </c>
    </row>
    <row r="87" spans="1:4" x14ac:dyDescent="0.3">
      <c r="A87" t="s">
        <v>363</v>
      </c>
      <c r="B87" t="s">
        <v>1093</v>
      </c>
      <c r="C87" t="s">
        <v>2358</v>
      </c>
      <c r="D87" t="s">
        <v>2344</v>
      </c>
    </row>
    <row r="88" spans="1:4" x14ac:dyDescent="0.3">
      <c r="A88" t="s">
        <v>363</v>
      </c>
      <c r="B88" t="s">
        <v>1093</v>
      </c>
      <c r="C88" t="s">
        <v>1094</v>
      </c>
      <c r="D88" t="s">
        <v>2344</v>
      </c>
    </row>
    <row r="89" spans="1:4" x14ac:dyDescent="0.3">
      <c r="A89" t="s">
        <v>363</v>
      </c>
      <c r="B89" t="s">
        <v>1291</v>
      </c>
      <c r="C89" t="s">
        <v>1292</v>
      </c>
      <c r="D89" t="s">
        <v>2344</v>
      </c>
    </row>
    <row r="90" spans="1:4" x14ac:dyDescent="0.3">
      <c r="A90" t="s">
        <v>363</v>
      </c>
      <c r="B90" t="s">
        <v>816</v>
      </c>
      <c r="C90" t="s">
        <v>817</v>
      </c>
      <c r="D90" t="s">
        <v>2344</v>
      </c>
    </row>
    <row r="91" spans="1:4" x14ac:dyDescent="0.3">
      <c r="A91" t="s">
        <v>2127</v>
      </c>
      <c r="B91" t="s">
        <v>2264</v>
      </c>
      <c r="C91" t="s">
        <v>2359</v>
      </c>
      <c r="D91" t="s">
        <v>2344</v>
      </c>
    </row>
    <row r="92" spans="1:4" x14ac:dyDescent="0.3">
      <c r="A92" t="s">
        <v>2127</v>
      </c>
      <c r="B92" t="s">
        <v>2264</v>
      </c>
      <c r="C92" t="s">
        <v>2265</v>
      </c>
      <c r="D92" t="s">
        <v>2344</v>
      </c>
    </row>
    <row r="93" spans="1:4" x14ac:dyDescent="0.3">
      <c r="A93" t="s">
        <v>363</v>
      </c>
      <c r="B93" t="s">
        <v>1503</v>
      </c>
      <c r="C93" t="s">
        <v>2360</v>
      </c>
      <c r="D93" t="s">
        <v>2344</v>
      </c>
    </row>
    <row r="94" spans="1:4" x14ac:dyDescent="0.3">
      <c r="A94" t="s">
        <v>363</v>
      </c>
      <c r="B94" t="s">
        <v>397</v>
      </c>
      <c r="C94" t="s">
        <v>398</v>
      </c>
      <c r="D94" t="s">
        <v>2344</v>
      </c>
    </row>
    <row r="95" spans="1:4" x14ac:dyDescent="0.3">
      <c r="A95" t="s">
        <v>263</v>
      </c>
      <c r="B95" t="s">
        <v>330</v>
      </c>
      <c r="C95" t="s">
        <v>331</v>
      </c>
      <c r="D95" t="s">
        <v>2344</v>
      </c>
    </row>
    <row r="96" spans="1:4" x14ac:dyDescent="0.3">
      <c r="A96" t="s">
        <v>1584</v>
      </c>
      <c r="B96" t="s">
        <v>2361</v>
      </c>
      <c r="C96" t="s">
        <v>2362</v>
      </c>
      <c r="D96" t="s">
        <v>2344</v>
      </c>
    </row>
    <row r="97" spans="1:4" x14ac:dyDescent="0.3">
      <c r="A97" t="s">
        <v>28</v>
      </c>
      <c r="B97" t="s">
        <v>150</v>
      </c>
      <c r="C97" t="s">
        <v>151</v>
      </c>
      <c r="D97" t="s">
        <v>2344</v>
      </c>
    </row>
    <row r="98" spans="1:4" x14ac:dyDescent="0.3">
      <c r="A98" t="s">
        <v>263</v>
      </c>
      <c r="B98" t="s">
        <v>350</v>
      </c>
      <c r="C98" t="s">
        <v>351</v>
      </c>
      <c r="D98" t="s">
        <v>2344</v>
      </c>
    </row>
    <row r="99" spans="1:4" x14ac:dyDescent="0.3">
      <c r="A99" t="s">
        <v>28</v>
      </c>
      <c r="B99" t="s">
        <v>164</v>
      </c>
      <c r="C99" t="s">
        <v>2335</v>
      </c>
      <c r="D99" t="s">
        <v>2344</v>
      </c>
    </row>
    <row r="100" spans="1:4" x14ac:dyDescent="0.3">
      <c r="A100" t="s">
        <v>1584</v>
      </c>
      <c r="B100" t="s">
        <v>2363</v>
      </c>
      <c r="C100" t="s">
        <v>1587</v>
      </c>
      <c r="D100" t="s">
        <v>2344</v>
      </c>
    </row>
    <row r="101" spans="1:4" x14ac:dyDescent="0.3">
      <c r="A101" t="s">
        <v>2127</v>
      </c>
      <c r="B101" t="s">
        <v>2312</v>
      </c>
      <c r="C101" t="s">
        <v>2313</v>
      </c>
      <c r="D101" t="s">
        <v>2344</v>
      </c>
    </row>
    <row r="102" spans="1:4" x14ac:dyDescent="0.3">
      <c r="A102" t="s">
        <v>2127</v>
      </c>
      <c r="B102" t="s">
        <v>2153</v>
      </c>
      <c r="C102" t="s">
        <v>2154</v>
      </c>
      <c r="D102" t="s">
        <v>2344</v>
      </c>
    </row>
    <row r="103" spans="1:4" x14ac:dyDescent="0.3">
      <c r="A103" t="s">
        <v>1584</v>
      </c>
      <c r="B103" t="s">
        <v>1672</v>
      </c>
      <c r="C103" t="s">
        <v>1673</v>
      </c>
      <c r="D103" t="s">
        <v>2344</v>
      </c>
    </row>
    <row r="104" spans="1:4" x14ac:dyDescent="0.3">
      <c r="A104" t="s">
        <v>1584</v>
      </c>
      <c r="B104" t="s">
        <v>1689</v>
      </c>
      <c r="C104" t="s">
        <v>1690</v>
      </c>
      <c r="D104" t="s">
        <v>2344</v>
      </c>
    </row>
    <row r="105" spans="1:4" x14ac:dyDescent="0.3">
      <c r="A105" t="s">
        <v>1584</v>
      </c>
      <c r="B105" t="s">
        <v>1701</v>
      </c>
      <c r="C105" t="s">
        <v>1702</v>
      </c>
      <c r="D105" t="s">
        <v>2344</v>
      </c>
    </row>
    <row r="106" spans="1:4" x14ac:dyDescent="0.3">
      <c r="A106" t="s">
        <v>1584</v>
      </c>
      <c r="B106" t="s">
        <v>1722</v>
      </c>
      <c r="C106" t="s">
        <v>1723</v>
      </c>
      <c r="D106" t="s">
        <v>2344</v>
      </c>
    </row>
    <row r="107" spans="1:4" x14ac:dyDescent="0.3">
      <c r="A107" t="s">
        <v>2127</v>
      </c>
      <c r="B107" t="s">
        <v>2195</v>
      </c>
      <c r="C107" t="s">
        <v>2196</v>
      </c>
      <c r="D107" t="s">
        <v>2344</v>
      </c>
    </row>
    <row r="108" spans="1:4" x14ac:dyDescent="0.3">
      <c r="A108" t="s">
        <v>2127</v>
      </c>
      <c r="B108" t="s">
        <v>2243</v>
      </c>
      <c r="C108" t="s">
        <v>2244</v>
      </c>
      <c r="D108" t="s">
        <v>2344</v>
      </c>
    </row>
    <row r="109" spans="1:4" x14ac:dyDescent="0.3">
      <c r="A109" t="s">
        <v>2127</v>
      </c>
      <c r="B109" t="s">
        <v>2162</v>
      </c>
      <c r="C109" t="s">
        <v>2163</v>
      </c>
      <c r="D109" t="s">
        <v>2344</v>
      </c>
    </row>
    <row r="110" spans="1:4" x14ac:dyDescent="0.3">
      <c r="A110" t="s">
        <v>35</v>
      </c>
      <c r="B110" t="s">
        <v>1934</v>
      </c>
      <c r="C110" t="s">
        <v>1935</v>
      </c>
      <c r="D110" t="s">
        <v>2344</v>
      </c>
    </row>
    <row r="111" spans="1:4" x14ac:dyDescent="0.3">
      <c r="A111" t="s">
        <v>35</v>
      </c>
      <c r="B111" t="s">
        <v>1951</v>
      </c>
      <c r="C111" t="s">
        <v>1952</v>
      </c>
      <c r="D111" t="s">
        <v>2344</v>
      </c>
    </row>
    <row r="112" spans="1:4" x14ac:dyDescent="0.3">
      <c r="A112" t="s">
        <v>363</v>
      </c>
      <c r="B112" t="s">
        <v>1003</v>
      </c>
      <c r="C112" t="s">
        <v>1004</v>
      </c>
      <c r="D112" t="s">
        <v>2344</v>
      </c>
    </row>
    <row r="113" spans="1:4" x14ac:dyDescent="0.3">
      <c r="A113" t="s">
        <v>28</v>
      </c>
      <c r="B113" t="s">
        <v>197</v>
      </c>
      <c r="C113" t="s">
        <v>198</v>
      </c>
      <c r="D113" t="s">
        <v>2344</v>
      </c>
    </row>
    <row r="114" spans="1:4" x14ac:dyDescent="0.3">
      <c r="A114" t="s">
        <v>2127</v>
      </c>
      <c r="B114" t="s">
        <v>2172</v>
      </c>
      <c r="C114" t="s">
        <v>2173</v>
      </c>
      <c r="D114" t="s">
        <v>2344</v>
      </c>
    </row>
    <row r="115" spans="1:4" x14ac:dyDescent="0.3">
      <c r="A115" t="s">
        <v>1584</v>
      </c>
      <c r="B115" t="s">
        <v>2364</v>
      </c>
      <c r="C115" t="s">
        <v>2340</v>
      </c>
      <c r="D115" t="s">
        <v>2344</v>
      </c>
    </row>
    <row r="116" spans="1:4" x14ac:dyDescent="0.3">
      <c r="A116" t="s">
        <v>2127</v>
      </c>
      <c r="B116" t="s">
        <v>2236</v>
      </c>
      <c r="C116" t="s">
        <v>2365</v>
      </c>
      <c r="D116" t="s">
        <v>2344</v>
      </c>
    </row>
    <row r="117" spans="1:4" x14ac:dyDescent="0.3">
      <c r="A117" t="s">
        <v>35</v>
      </c>
      <c r="B117" t="s">
        <v>1962</v>
      </c>
      <c r="C117" t="s">
        <v>1963</v>
      </c>
      <c r="D117" t="s">
        <v>2344</v>
      </c>
    </row>
    <row r="118" spans="1:4" x14ac:dyDescent="0.3">
      <c r="A118" t="s">
        <v>1584</v>
      </c>
      <c r="B118" t="s">
        <v>2366</v>
      </c>
      <c r="C118" t="s">
        <v>2367</v>
      </c>
      <c r="D118" t="s">
        <v>2344</v>
      </c>
    </row>
    <row r="119" spans="1:4" x14ac:dyDescent="0.3">
      <c r="A119" t="s">
        <v>1584</v>
      </c>
      <c r="B119" t="s">
        <v>1782</v>
      </c>
      <c r="C119" t="s">
        <v>1783</v>
      </c>
      <c r="D119" t="s">
        <v>2344</v>
      </c>
    </row>
    <row r="120" spans="1:4" x14ac:dyDescent="0.3">
      <c r="A120" t="s">
        <v>363</v>
      </c>
      <c r="B120" t="s">
        <v>1393</v>
      </c>
      <c r="C120" t="s">
        <v>1079</v>
      </c>
      <c r="D120" t="s">
        <v>2344</v>
      </c>
    </row>
    <row r="121" spans="1:4" x14ac:dyDescent="0.3">
      <c r="A121" t="s">
        <v>2127</v>
      </c>
      <c r="B121" t="s">
        <v>2297</v>
      </c>
      <c r="C121" t="s">
        <v>2298</v>
      </c>
      <c r="D121" t="s">
        <v>2344</v>
      </c>
    </row>
    <row r="122" spans="1:4" x14ac:dyDescent="0.3">
      <c r="A122" t="s">
        <v>1584</v>
      </c>
      <c r="B122" t="s">
        <v>1754</v>
      </c>
      <c r="C122" t="s">
        <v>2368</v>
      </c>
      <c r="D122" t="s">
        <v>2344</v>
      </c>
    </row>
    <row r="123" spans="1:4" x14ac:dyDescent="0.3">
      <c r="A123" t="s">
        <v>2127</v>
      </c>
      <c r="B123" t="s">
        <v>2253</v>
      </c>
      <c r="C123" t="s">
        <v>2254</v>
      </c>
      <c r="D123" t="s">
        <v>2344</v>
      </c>
    </row>
    <row r="124" spans="1:4" x14ac:dyDescent="0.3">
      <c r="A124" t="s">
        <v>2127</v>
      </c>
      <c r="B124" t="s">
        <v>2220</v>
      </c>
      <c r="C124" t="s">
        <v>2221</v>
      </c>
      <c r="D124" t="s">
        <v>2344</v>
      </c>
    </row>
    <row r="125" spans="1:4" x14ac:dyDescent="0.3">
      <c r="A125" t="s">
        <v>1584</v>
      </c>
      <c r="B125" t="s">
        <v>1761</v>
      </c>
      <c r="C125" t="s">
        <v>1762</v>
      </c>
      <c r="D125" t="s">
        <v>2344</v>
      </c>
    </row>
    <row r="126" spans="1:4" x14ac:dyDescent="0.3">
      <c r="A126" t="s">
        <v>2053</v>
      </c>
      <c r="B126" t="s">
        <v>2110</v>
      </c>
      <c r="C126" t="s">
        <v>2111</v>
      </c>
      <c r="D126" t="s">
        <v>2344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0EF5-2EC9-44A2-8892-39C9FA9D0E03}">
  <dimension ref="A1:D1091"/>
  <sheetViews>
    <sheetView workbookViewId="0"/>
  </sheetViews>
  <sheetFormatPr baseColWidth="10" defaultColWidth="11.44140625" defaultRowHeight="14.4" x14ac:dyDescent="0.3"/>
  <cols>
    <col min="1" max="1" width="16.6640625" bestFit="1" customWidth="1"/>
    <col min="2" max="2" width="33.109375" bestFit="1" customWidth="1"/>
    <col min="3" max="3" width="45.109375" bestFit="1" customWidth="1"/>
    <col min="4" max="4" width="14.33203125" bestFit="1" customWidth="1"/>
  </cols>
  <sheetData>
    <row r="1" spans="1:4" x14ac:dyDescent="0.3">
      <c r="A1" t="s">
        <v>0</v>
      </c>
      <c r="B1" t="s">
        <v>17</v>
      </c>
      <c r="C1" t="s">
        <v>2341</v>
      </c>
      <c r="D1" t="s">
        <v>2342</v>
      </c>
    </row>
    <row r="2" spans="1:4" x14ac:dyDescent="0.3">
      <c r="A2" t="s">
        <v>35</v>
      </c>
      <c r="B2" t="s">
        <v>1851</v>
      </c>
      <c r="C2" t="s">
        <v>1854</v>
      </c>
      <c r="D2" t="s">
        <v>2369</v>
      </c>
    </row>
    <row r="3" spans="1:4" x14ac:dyDescent="0.3">
      <c r="A3" t="s">
        <v>35</v>
      </c>
      <c r="B3" t="s">
        <v>1851</v>
      </c>
      <c r="C3" t="s">
        <v>1856</v>
      </c>
      <c r="D3" t="s">
        <v>2369</v>
      </c>
    </row>
    <row r="4" spans="1:4" x14ac:dyDescent="0.3">
      <c r="A4" t="s">
        <v>35</v>
      </c>
      <c r="B4" t="s">
        <v>1851</v>
      </c>
      <c r="C4" t="s">
        <v>1859</v>
      </c>
      <c r="D4" t="s">
        <v>2369</v>
      </c>
    </row>
    <row r="5" spans="1:4" x14ac:dyDescent="0.3">
      <c r="A5" t="s">
        <v>35</v>
      </c>
      <c r="B5" t="s">
        <v>1851</v>
      </c>
      <c r="C5" t="s">
        <v>1861</v>
      </c>
      <c r="D5" t="s">
        <v>2369</v>
      </c>
    </row>
    <row r="6" spans="1:4" x14ac:dyDescent="0.3">
      <c r="A6" t="s">
        <v>35</v>
      </c>
      <c r="B6" t="s">
        <v>1851</v>
      </c>
      <c r="C6" t="s">
        <v>1863</v>
      </c>
      <c r="D6" t="s">
        <v>2369</v>
      </c>
    </row>
    <row r="7" spans="1:4" x14ac:dyDescent="0.3">
      <c r="A7" t="s">
        <v>35</v>
      </c>
      <c r="B7" t="s">
        <v>1851</v>
      </c>
      <c r="C7" t="s">
        <v>1865</v>
      </c>
      <c r="D7" t="s">
        <v>2369</v>
      </c>
    </row>
    <row r="8" spans="1:4" x14ac:dyDescent="0.3">
      <c r="A8" t="s">
        <v>35</v>
      </c>
      <c r="B8" t="s">
        <v>1851</v>
      </c>
      <c r="C8" t="s">
        <v>1867</v>
      </c>
      <c r="D8" t="s">
        <v>2369</v>
      </c>
    </row>
    <row r="9" spans="1:4" x14ac:dyDescent="0.3">
      <c r="A9" t="s">
        <v>2127</v>
      </c>
      <c r="B9" t="s">
        <v>2129</v>
      </c>
      <c r="C9" t="s">
        <v>2133</v>
      </c>
      <c r="D9" t="s">
        <v>2369</v>
      </c>
    </row>
    <row r="10" spans="1:4" x14ac:dyDescent="0.3">
      <c r="A10" t="s">
        <v>2127</v>
      </c>
      <c r="B10" t="s">
        <v>2129</v>
      </c>
      <c r="C10" t="s">
        <v>2134</v>
      </c>
      <c r="D10" t="s">
        <v>2369</v>
      </c>
    </row>
    <row r="11" spans="1:4" x14ac:dyDescent="0.3">
      <c r="A11" t="s">
        <v>2127</v>
      </c>
      <c r="B11" t="s">
        <v>2129</v>
      </c>
      <c r="C11" t="s">
        <v>2143</v>
      </c>
      <c r="D11" t="s">
        <v>2369</v>
      </c>
    </row>
    <row r="12" spans="1:4" x14ac:dyDescent="0.3">
      <c r="A12" t="s">
        <v>2127</v>
      </c>
      <c r="B12" t="s">
        <v>2129</v>
      </c>
      <c r="C12" t="s">
        <v>2135</v>
      </c>
      <c r="D12" t="s">
        <v>2369</v>
      </c>
    </row>
    <row r="13" spans="1:4" x14ac:dyDescent="0.3">
      <c r="A13" t="s">
        <v>2127</v>
      </c>
      <c r="B13" t="s">
        <v>2129</v>
      </c>
      <c r="C13" t="s">
        <v>2370</v>
      </c>
      <c r="D13" t="s">
        <v>2369</v>
      </c>
    </row>
    <row r="14" spans="1:4" x14ac:dyDescent="0.3">
      <c r="A14" t="s">
        <v>2127</v>
      </c>
      <c r="B14" t="s">
        <v>2129</v>
      </c>
      <c r="C14" t="s">
        <v>2175</v>
      </c>
      <c r="D14" t="s">
        <v>2369</v>
      </c>
    </row>
    <row r="15" spans="1:4" x14ac:dyDescent="0.3">
      <c r="A15" t="s">
        <v>2127</v>
      </c>
      <c r="B15" t="s">
        <v>2129</v>
      </c>
      <c r="C15" t="s">
        <v>2132</v>
      </c>
      <c r="D15" t="s">
        <v>2369</v>
      </c>
    </row>
    <row r="16" spans="1:4" x14ac:dyDescent="0.3">
      <c r="A16" t="s">
        <v>2127</v>
      </c>
      <c r="B16" t="s">
        <v>2129</v>
      </c>
      <c r="C16" t="s">
        <v>2177</v>
      </c>
      <c r="D16" t="s">
        <v>2369</v>
      </c>
    </row>
    <row r="17" spans="1:4" x14ac:dyDescent="0.3">
      <c r="A17" t="s">
        <v>2127</v>
      </c>
      <c r="B17" t="s">
        <v>2129</v>
      </c>
      <c r="C17" t="s">
        <v>2136</v>
      </c>
      <c r="D17" t="s">
        <v>2369</v>
      </c>
    </row>
    <row r="18" spans="1:4" x14ac:dyDescent="0.3">
      <c r="A18" t="s">
        <v>363</v>
      </c>
      <c r="B18" t="s">
        <v>448</v>
      </c>
      <c r="C18" t="s">
        <v>451</v>
      </c>
      <c r="D18" t="s">
        <v>2369</v>
      </c>
    </row>
    <row r="19" spans="1:4" x14ac:dyDescent="0.3">
      <c r="A19" t="s">
        <v>363</v>
      </c>
      <c r="B19" t="s">
        <v>448</v>
      </c>
      <c r="C19" t="s">
        <v>454</v>
      </c>
      <c r="D19" t="s">
        <v>2369</v>
      </c>
    </row>
    <row r="20" spans="1:4" x14ac:dyDescent="0.3">
      <c r="A20" t="s">
        <v>363</v>
      </c>
      <c r="B20" t="s">
        <v>448</v>
      </c>
      <c r="C20" t="s">
        <v>457</v>
      </c>
      <c r="D20" t="s">
        <v>2369</v>
      </c>
    </row>
    <row r="21" spans="1:4" x14ac:dyDescent="0.3">
      <c r="A21" t="s">
        <v>363</v>
      </c>
      <c r="B21" t="s">
        <v>448</v>
      </c>
      <c r="C21" t="s">
        <v>459</v>
      </c>
      <c r="D21" t="s">
        <v>2369</v>
      </c>
    </row>
    <row r="22" spans="1:4" x14ac:dyDescent="0.3">
      <c r="A22" t="s">
        <v>363</v>
      </c>
      <c r="B22" t="s">
        <v>448</v>
      </c>
      <c r="C22" t="s">
        <v>462</v>
      </c>
      <c r="D22" t="s">
        <v>2369</v>
      </c>
    </row>
    <row r="23" spans="1:4" x14ac:dyDescent="0.3">
      <c r="A23" t="s">
        <v>363</v>
      </c>
      <c r="B23" t="s">
        <v>448</v>
      </c>
      <c r="C23" t="s">
        <v>1467</v>
      </c>
      <c r="D23" t="s">
        <v>2369</v>
      </c>
    </row>
    <row r="24" spans="1:4" x14ac:dyDescent="0.3">
      <c r="A24" t="s">
        <v>363</v>
      </c>
      <c r="B24" t="s">
        <v>448</v>
      </c>
      <c r="C24" t="s">
        <v>2371</v>
      </c>
      <c r="D24" t="s">
        <v>2369</v>
      </c>
    </row>
    <row r="25" spans="1:4" x14ac:dyDescent="0.3">
      <c r="A25" t="s">
        <v>363</v>
      </c>
      <c r="B25" t="s">
        <v>448</v>
      </c>
      <c r="C25" t="s">
        <v>468</v>
      </c>
      <c r="D25" t="s">
        <v>2369</v>
      </c>
    </row>
    <row r="26" spans="1:4" x14ac:dyDescent="0.3">
      <c r="A26" t="s">
        <v>363</v>
      </c>
      <c r="B26" t="s">
        <v>448</v>
      </c>
      <c r="C26" t="s">
        <v>471</v>
      </c>
      <c r="D26" t="s">
        <v>2369</v>
      </c>
    </row>
    <row r="27" spans="1:4" x14ac:dyDescent="0.3">
      <c r="A27" t="s">
        <v>2127</v>
      </c>
      <c r="B27" t="s">
        <v>2137</v>
      </c>
      <c r="C27" t="s">
        <v>2139</v>
      </c>
      <c r="D27" t="s">
        <v>2369</v>
      </c>
    </row>
    <row r="28" spans="1:4" x14ac:dyDescent="0.3">
      <c r="A28" t="s">
        <v>2127</v>
      </c>
      <c r="B28" t="s">
        <v>2137</v>
      </c>
      <c r="C28" t="s">
        <v>2141</v>
      </c>
      <c r="D28" t="s">
        <v>2369</v>
      </c>
    </row>
    <row r="29" spans="1:4" x14ac:dyDescent="0.3">
      <c r="A29" t="s">
        <v>2127</v>
      </c>
      <c r="B29" t="s">
        <v>2137</v>
      </c>
      <c r="C29" t="s">
        <v>2142</v>
      </c>
      <c r="D29" t="s">
        <v>2369</v>
      </c>
    </row>
    <row r="30" spans="1:4" x14ac:dyDescent="0.3">
      <c r="A30" t="s">
        <v>2127</v>
      </c>
      <c r="B30" t="s">
        <v>2137</v>
      </c>
      <c r="C30" t="s">
        <v>2140</v>
      </c>
      <c r="D30" t="s">
        <v>2369</v>
      </c>
    </row>
    <row r="31" spans="1:4" x14ac:dyDescent="0.3">
      <c r="A31" t="s">
        <v>2127</v>
      </c>
      <c r="B31" t="s">
        <v>2137</v>
      </c>
      <c r="C31" t="s">
        <v>2146</v>
      </c>
      <c r="D31" t="s">
        <v>2369</v>
      </c>
    </row>
    <row r="32" spans="1:4" x14ac:dyDescent="0.3">
      <c r="A32" t="s">
        <v>2127</v>
      </c>
      <c r="B32" t="s">
        <v>2137</v>
      </c>
      <c r="C32" t="s">
        <v>2144</v>
      </c>
      <c r="D32" t="s">
        <v>2369</v>
      </c>
    </row>
    <row r="33" spans="1:4" x14ac:dyDescent="0.3">
      <c r="A33" t="s">
        <v>363</v>
      </c>
      <c r="B33" t="s">
        <v>474</v>
      </c>
      <c r="C33" t="s">
        <v>477</v>
      </c>
      <c r="D33" t="s">
        <v>2369</v>
      </c>
    </row>
    <row r="34" spans="1:4" x14ac:dyDescent="0.3">
      <c r="A34" t="s">
        <v>363</v>
      </c>
      <c r="B34" t="s">
        <v>474</v>
      </c>
      <c r="C34" t="s">
        <v>479</v>
      </c>
      <c r="D34" t="s">
        <v>2369</v>
      </c>
    </row>
    <row r="35" spans="1:4" x14ac:dyDescent="0.3">
      <c r="A35" t="s">
        <v>363</v>
      </c>
      <c r="B35" t="s">
        <v>474</v>
      </c>
      <c r="C35" t="s">
        <v>482</v>
      </c>
      <c r="D35" t="s">
        <v>2369</v>
      </c>
    </row>
    <row r="36" spans="1:4" x14ac:dyDescent="0.3">
      <c r="A36" t="s">
        <v>363</v>
      </c>
      <c r="B36" t="s">
        <v>474</v>
      </c>
      <c r="C36" t="s">
        <v>2372</v>
      </c>
      <c r="D36" t="s">
        <v>2369</v>
      </c>
    </row>
    <row r="37" spans="1:4" x14ac:dyDescent="0.3">
      <c r="A37" t="s">
        <v>363</v>
      </c>
      <c r="B37" t="s">
        <v>474</v>
      </c>
      <c r="C37" t="s">
        <v>484</v>
      </c>
      <c r="D37" t="s">
        <v>2369</v>
      </c>
    </row>
    <row r="38" spans="1:4" x14ac:dyDescent="0.3">
      <c r="A38" t="s">
        <v>363</v>
      </c>
      <c r="B38" t="s">
        <v>474</v>
      </c>
      <c r="C38" t="s">
        <v>486</v>
      </c>
      <c r="D38" t="s">
        <v>2369</v>
      </c>
    </row>
    <row r="39" spans="1:4" x14ac:dyDescent="0.3">
      <c r="A39" t="s">
        <v>363</v>
      </c>
      <c r="B39" t="s">
        <v>474</v>
      </c>
      <c r="C39" t="s">
        <v>488</v>
      </c>
      <c r="D39" t="s">
        <v>2369</v>
      </c>
    </row>
    <row r="40" spans="1:4" x14ac:dyDescent="0.3">
      <c r="A40" t="s">
        <v>363</v>
      </c>
      <c r="B40" t="s">
        <v>474</v>
      </c>
      <c r="C40" t="s">
        <v>490</v>
      </c>
      <c r="D40" t="s">
        <v>2369</v>
      </c>
    </row>
    <row r="41" spans="1:4" x14ac:dyDescent="0.3">
      <c r="A41" t="s">
        <v>363</v>
      </c>
      <c r="B41" t="s">
        <v>474</v>
      </c>
      <c r="C41" t="s">
        <v>492</v>
      </c>
      <c r="D41" t="s">
        <v>2369</v>
      </c>
    </row>
    <row r="42" spans="1:4" x14ac:dyDescent="0.3">
      <c r="A42" t="s">
        <v>363</v>
      </c>
      <c r="B42" t="s">
        <v>414</v>
      </c>
      <c r="C42" t="s">
        <v>415</v>
      </c>
      <c r="D42" t="s">
        <v>2369</v>
      </c>
    </row>
    <row r="43" spans="1:4" x14ac:dyDescent="0.3">
      <c r="A43" t="s">
        <v>363</v>
      </c>
      <c r="B43" t="s">
        <v>414</v>
      </c>
      <c r="C43" t="s">
        <v>417</v>
      </c>
      <c r="D43" t="s">
        <v>2369</v>
      </c>
    </row>
    <row r="44" spans="1:4" x14ac:dyDescent="0.3">
      <c r="A44" t="s">
        <v>363</v>
      </c>
      <c r="B44" t="s">
        <v>414</v>
      </c>
      <c r="C44" t="s">
        <v>418</v>
      </c>
      <c r="D44" t="s">
        <v>2369</v>
      </c>
    </row>
    <row r="45" spans="1:4" x14ac:dyDescent="0.3">
      <c r="A45" t="s">
        <v>363</v>
      </c>
      <c r="B45" t="s">
        <v>414</v>
      </c>
      <c r="C45" t="s">
        <v>420</v>
      </c>
      <c r="D45" t="s">
        <v>2369</v>
      </c>
    </row>
    <row r="46" spans="1:4" x14ac:dyDescent="0.3">
      <c r="A46" t="s">
        <v>363</v>
      </c>
      <c r="B46" t="s">
        <v>414</v>
      </c>
      <c r="C46" t="s">
        <v>422</v>
      </c>
      <c r="D46" t="s">
        <v>2369</v>
      </c>
    </row>
    <row r="47" spans="1:4" x14ac:dyDescent="0.3">
      <c r="A47" t="s">
        <v>363</v>
      </c>
      <c r="B47" t="s">
        <v>414</v>
      </c>
      <c r="C47" t="s">
        <v>424</v>
      </c>
      <c r="D47" t="s">
        <v>2369</v>
      </c>
    </row>
    <row r="48" spans="1:4" x14ac:dyDescent="0.3">
      <c r="A48" t="s">
        <v>363</v>
      </c>
      <c r="B48" t="s">
        <v>933</v>
      </c>
      <c r="C48" t="s">
        <v>947</v>
      </c>
      <c r="D48" t="s">
        <v>2369</v>
      </c>
    </row>
    <row r="49" spans="1:4" x14ac:dyDescent="0.3">
      <c r="A49" t="s">
        <v>363</v>
      </c>
      <c r="B49" t="s">
        <v>933</v>
      </c>
      <c r="C49" t="s">
        <v>942</v>
      </c>
      <c r="D49" t="s">
        <v>2369</v>
      </c>
    </row>
    <row r="50" spans="1:4" x14ac:dyDescent="0.3">
      <c r="A50" t="s">
        <v>363</v>
      </c>
      <c r="B50" t="s">
        <v>933</v>
      </c>
      <c r="C50" t="s">
        <v>963</v>
      </c>
      <c r="D50" t="s">
        <v>2369</v>
      </c>
    </row>
    <row r="51" spans="1:4" x14ac:dyDescent="0.3">
      <c r="A51" t="s">
        <v>363</v>
      </c>
      <c r="B51" t="s">
        <v>933</v>
      </c>
      <c r="C51" t="s">
        <v>949</v>
      </c>
      <c r="D51" t="s">
        <v>2369</v>
      </c>
    </row>
    <row r="52" spans="1:4" x14ac:dyDescent="0.3">
      <c r="A52" t="s">
        <v>363</v>
      </c>
      <c r="B52" t="s">
        <v>933</v>
      </c>
      <c r="C52" t="s">
        <v>2373</v>
      </c>
      <c r="D52" t="s">
        <v>2369</v>
      </c>
    </row>
    <row r="53" spans="1:4" x14ac:dyDescent="0.3">
      <c r="A53" t="s">
        <v>363</v>
      </c>
      <c r="B53" t="s">
        <v>933</v>
      </c>
      <c r="C53" t="s">
        <v>2374</v>
      </c>
      <c r="D53" t="s">
        <v>2369</v>
      </c>
    </row>
    <row r="54" spans="1:4" x14ac:dyDescent="0.3">
      <c r="A54" t="s">
        <v>363</v>
      </c>
      <c r="B54" t="s">
        <v>933</v>
      </c>
      <c r="C54" t="s">
        <v>945</v>
      </c>
      <c r="D54" t="s">
        <v>2369</v>
      </c>
    </row>
    <row r="55" spans="1:4" x14ac:dyDescent="0.3">
      <c r="A55" t="s">
        <v>363</v>
      </c>
      <c r="B55" t="s">
        <v>933</v>
      </c>
      <c r="C55" t="s">
        <v>959</v>
      </c>
      <c r="D55" t="s">
        <v>2369</v>
      </c>
    </row>
    <row r="56" spans="1:4" x14ac:dyDescent="0.3">
      <c r="A56" t="s">
        <v>363</v>
      </c>
      <c r="B56" t="s">
        <v>933</v>
      </c>
      <c r="C56" t="s">
        <v>897</v>
      </c>
      <c r="D56" t="s">
        <v>2369</v>
      </c>
    </row>
    <row r="57" spans="1:4" x14ac:dyDescent="0.3">
      <c r="A57" t="s">
        <v>363</v>
      </c>
      <c r="B57" t="s">
        <v>933</v>
      </c>
      <c r="C57" t="s">
        <v>956</v>
      </c>
      <c r="D57" t="s">
        <v>2369</v>
      </c>
    </row>
    <row r="58" spans="1:4" x14ac:dyDescent="0.3">
      <c r="A58" t="s">
        <v>363</v>
      </c>
      <c r="B58" t="s">
        <v>933</v>
      </c>
      <c r="C58" t="s">
        <v>938</v>
      </c>
      <c r="D58" t="s">
        <v>2369</v>
      </c>
    </row>
    <row r="59" spans="1:4" x14ac:dyDescent="0.3">
      <c r="A59" t="s">
        <v>363</v>
      </c>
      <c r="B59" t="s">
        <v>933</v>
      </c>
      <c r="C59" t="s">
        <v>940</v>
      </c>
      <c r="D59" t="s">
        <v>2369</v>
      </c>
    </row>
    <row r="60" spans="1:4" x14ac:dyDescent="0.3">
      <c r="A60" t="s">
        <v>363</v>
      </c>
      <c r="B60" t="s">
        <v>933</v>
      </c>
      <c r="C60" t="s">
        <v>954</v>
      </c>
      <c r="D60" t="s">
        <v>2369</v>
      </c>
    </row>
    <row r="61" spans="1:4" x14ac:dyDescent="0.3">
      <c r="A61" t="s">
        <v>363</v>
      </c>
      <c r="B61" t="s">
        <v>933</v>
      </c>
      <c r="C61" t="s">
        <v>952</v>
      </c>
      <c r="D61" t="s">
        <v>2369</v>
      </c>
    </row>
    <row r="62" spans="1:4" x14ac:dyDescent="0.3">
      <c r="A62" t="s">
        <v>363</v>
      </c>
      <c r="B62" t="s">
        <v>933</v>
      </c>
      <c r="C62" t="s">
        <v>935</v>
      </c>
      <c r="D62" t="s">
        <v>2369</v>
      </c>
    </row>
    <row r="63" spans="1:4" x14ac:dyDescent="0.3">
      <c r="A63" t="s">
        <v>363</v>
      </c>
      <c r="B63" t="s">
        <v>933</v>
      </c>
      <c r="C63" t="s">
        <v>749</v>
      </c>
      <c r="D63" t="s">
        <v>2369</v>
      </c>
    </row>
    <row r="64" spans="1:4" x14ac:dyDescent="0.3">
      <c r="A64" t="s">
        <v>363</v>
      </c>
      <c r="B64" t="s">
        <v>933</v>
      </c>
      <c r="C64" t="s">
        <v>964</v>
      </c>
      <c r="D64" t="s">
        <v>2369</v>
      </c>
    </row>
    <row r="65" spans="1:4" x14ac:dyDescent="0.3">
      <c r="A65" t="s">
        <v>363</v>
      </c>
      <c r="B65" t="s">
        <v>933</v>
      </c>
      <c r="C65" t="s">
        <v>961</v>
      </c>
      <c r="D65" t="s">
        <v>2369</v>
      </c>
    </row>
    <row r="66" spans="1:4" x14ac:dyDescent="0.3">
      <c r="A66" t="s">
        <v>363</v>
      </c>
      <c r="B66" t="s">
        <v>933</v>
      </c>
      <c r="C66" t="s">
        <v>967</v>
      </c>
      <c r="D66" t="s">
        <v>2369</v>
      </c>
    </row>
    <row r="67" spans="1:4" x14ac:dyDescent="0.3">
      <c r="A67" t="s">
        <v>2053</v>
      </c>
      <c r="B67" t="s">
        <v>2055</v>
      </c>
      <c r="C67" t="s">
        <v>2058</v>
      </c>
      <c r="D67" t="s">
        <v>2369</v>
      </c>
    </row>
    <row r="68" spans="1:4" x14ac:dyDescent="0.3">
      <c r="A68" t="s">
        <v>2053</v>
      </c>
      <c r="B68" t="s">
        <v>2055</v>
      </c>
      <c r="C68" t="s">
        <v>2061</v>
      </c>
      <c r="D68" t="s">
        <v>2369</v>
      </c>
    </row>
    <row r="69" spans="1:4" x14ac:dyDescent="0.3">
      <c r="A69" t="s">
        <v>2053</v>
      </c>
      <c r="B69" t="s">
        <v>2055</v>
      </c>
      <c r="C69" t="s">
        <v>2093</v>
      </c>
      <c r="D69" t="s">
        <v>2369</v>
      </c>
    </row>
    <row r="70" spans="1:4" x14ac:dyDescent="0.3">
      <c r="A70" t="s">
        <v>2053</v>
      </c>
      <c r="B70" t="s">
        <v>2055</v>
      </c>
      <c r="C70" t="s">
        <v>2064</v>
      </c>
      <c r="D70" t="s">
        <v>2369</v>
      </c>
    </row>
    <row r="71" spans="1:4" x14ac:dyDescent="0.3">
      <c r="A71" t="s">
        <v>2053</v>
      </c>
      <c r="B71" t="s">
        <v>2055</v>
      </c>
      <c r="C71" t="s">
        <v>2067</v>
      </c>
      <c r="D71" t="s">
        <v>2369</v>
      </c>
    </row>
    <row r="72" spans="1:4" x14ac:dyDescent="0.3">
      <c r="A72" t="s">
        <v>2053</v>
      </c>
      <c r="B72" t="s">
        <v>2055</v>
      </c>
      <c r="C72" t="s">
        <v>2319</v>
      </c>
      <c r="D72" t="s">
        <v>2369</v>
      </c>
    </row>
    <row r="73" spans="1:4" x14ac:dyDescent="0.3">
      <c r="A73" t="s">
        <v>2053</v>
      </c>
      <c r="B73" t="s">
        <v>2055</v>
      </c>
      <c r="C73" t="s">
        <v>2069</v>
      </c>
      <c r="D73" t="s">
        <v>2369</v>
      </c>
    </row>
    <row r="74" spans="1:4" x14ac:dyDescent="0.3">
      <c r="A74" t="s">
        <v>47</v>
      </c>
      <c r="B74" t="s">
        <v>212</v>
      </c>
      <c r="C74" t="s">
        <v>245</v>
      </c>
      <c r="D74" t="s">
        <v>2369</v>
      </c>
    </row>
    <row r="75" spans="1:4" x14ac:dyDescent="0.3">
      <c r="A75" t="s">
        <v>47</v>
      </c>
      <c r="B75" t="s">
        <v>212</v>
      </c>
      <c r="C75" t="s">
        <v>229</v>
      </c>
      <c r="D75" t="s">
        <v>2369</v>
      </c>
    </row>
    <row r="76" spans="1:4" x14ac:dyDescent="0.3">
      <c r="A76" t="s">
        <v>47</v>
      </c>
      <c r="B76" t="s">
        <v>212</v>
      </c>
      <c r="C76" t="s">
        <v>258</v>
      </c>
      <c r="D76" t="s">
        <v>2369</v>
      </c>
    </row>
    <row r="77" spans="1:4" x14ac:dyDescent="0.3">
      <c r="A77" t="s">
        <v>47</v>
      </c>
      <c r="B77" t="s">
        <v>212</v>
      </c>
      <c r="C77" t="s">
        <v>221</v>
      </c>
      <c r="D77" t="s">
        <v>2369</v>
      </c>
    </row>
    <row r="78" spans="1:4" x14ac:dyDescent="0.3">
      <c r="A78" t="s">
        <v>47</v>
      </c>
      <c r="B78" t="s">
        <v>212</v>
      </c>
      <c r="C78" t="s">
        <v>218</v>
      </c>
      <c r="D78" t="s">
        <v>2369</v>
      </c>
    </row>
    <row r="79" spans="1:4" x14ac:dyDescent="0.3">
      <c r="A79" t="s">
        <v>47</v>
      </c>
      <c r="B79" t="s">
        <v>212</v>
      </c>
      <c r="C79" t="s">
        <v>2375</v>
      </c>
      <c r="D79" t="s">
        <v>2369</v>
      </c>
    </row>
    <row r="80" spans="1:4" x14ac:dyDescent="0.3">
      <c r="A80" t="s">
        <v>47</v>
      </c>
      <c r="B80" t="s">
        <v>212</v>
      </c>
      <c r="C80" t="s">
        <v>261</v>
      </c>
      <c r="D80" t="s">
        <v>2369</v>
      </c>
    </row>
    <row r="81" spans="1:4" x14ac:dyDescent="0.3">
      <c r="A81" t="s">
        <v>47</v>
      </c>
      <c r="B81" t="s">
        <v>212</v>
      </c>
      <c r="C81" t="s">
        <v>247</v>
      </c>
      <c r="D81" t="s">
        <v>2369</v>
      </c>
    </row>
    <row r="82" spans="1:4" x14ac:dyDescent="0.3">
      <c r="A82" t="s">
        <v>47</v>
      </c>
      <c r="B82" t="s">
        <v>212</v>
      </c>
      <c r="C82" t="s">
        <v>238</v>
      </c>
      <c r="D82" t="s">
        <v>2369</v>
      </c>
    </row>
    <row r="83" spans="1:4" x14ac:dyDescent="0.3">
      <c r="A83" t="s">
        <v>47</v>
      </c>
      <c r="B83" t="s">
        <v>212</v>
      </c>
      <c r="C83" t="s">
        <v>254</v>
      </c>
      <c r="D83" t="s">
        <v>2369</v>
      </c>
    </row>
    <row r="84" spans="1:4" x14ac:dyDescent="0.3">
      <c r="A84" t="s">
        <v>47</v>
      </c>
      <c r="B84" t="s">
        <v>212</v>
      </c>
      <c r="C84" t="s">
        <v>232</v>
      </c>
      <c r="D84" t="s">
        <v>2369</v>
      </c>
    </row>
    <row r="85" spans="1:4" x14ac:dyDescent="0.3">
      <c r="A85" t="s">
        <v>47</v>
      </c>
      <c r="B85" t="s">
        <v>212</v>
      </c>
      <c r="C85" t="s">
        <v>235</v>
      </c>
      <c r="D85" t="s">
        <v>2369</v>
      </c>
    </row>
    <row r="86" spans="1:4" x14ac:dyDescent="0.3">
      <c r="A86" t="s">
        <v>47</v>
      </c>
      <c r="B86" t="s">
        <v>212</v>
      </c>
      <c r="C86" t="s">
        <v>240</v>
      </c>
      <c r="D86" t="s">
        <v>2369</v>
      </c>
    </row>
    <row r="87" spans="1:4" x14ac:dyDescent="0.3">
      <c r="A87" t="s">
        <v>47</v>
      </c>
      <c r="B87" t="s">
        <v>212</v>
      </c>
      <c r="C87" t="s">
        <v>242</v>
      </c>
      <c r="D87" t="s">
        <v>2369</v>
      </c>
    </row>
    <row r="88" spans="1:4" x14ac:dyDescent="0.3">
      <c r="A88" t="s">
        <v>47</v>
      </c>
      <c r="B88" t="s">
        <v>212</v>
      </c>
      <c r="C88" t="s">
        <v>215</v>
      </c>
      <c r="D88" t="s">
        <v>2369</v>
      </c>
    </row>
    <row r="89" spans="1:4" x14ac:dyDescent="0.3">
      <c r="A89" t="s">
        <v>47</v>
      </c>
      <c r="B89" t="s">
        <v>212</v>
      </c>
      <c r="C89" t="s">
        <v>226</v>
      </c>
      <c r="D89" t="s">
        <v>2369</v>
      </c>
    </row>
    <row r="90" spans="1:4" x14ac:dyDescent="0.3">
      <c r="A90" t="s">
        <v>47</v>
      </c>
      <c r="B90" t="s">
        <v>212</v>
      </c>
      <c r="C90" t="s">
        <v>249</v>
      </c>
      <c r="D90" t="s">
        <v>2369</v>
      </c>
    </row>
    <row r="91" spans="1:4" x14ac:dyDescent="0.3">
      <c r="A91" t="s">
        <v>47</v>
      </c>
      <c r="B91" t="s">
        <v>212</v>
      </c>
      <c r="C91" t="s">
        <v>256</v>
      </c>
      <c r="D91" t="s">
        <v>2369</v>
      </c>
    </row>
    <row r="92" spans="1:4" x14ac:dyDescent="0.3">
      <c r="A92" t="s">
        <v>47</v>
      </c>
      <c r="B92" t="s">
        <v>212</v>
      </c>
      <c r="C92" t="s">
        <v>251</v>
      </c>
      <c r="D92" t="s">
        <v>2369</v>
      </c>
    </row>
    <row r="93" spans="1:4" x14ac:dyDescent="0.3">
      <c r="A93" t="s">
        <v>47</v>
      </c>
      <c r="B93" t="s">
        <v>212</v>
      </c>
      <c r="C93" t="s">
        <v>224</v>
      </c>
      <c r="D93" t="s">
        <v>2369</v>
      </c>
    </row>
    <row r="94" spans="1:4" x14ac:dyDescent="0.3">
      <c r="A94" t="s">
        <v>363</v>
      </c>
      <c r="B94" t="s">
        <v>426</v>
      </c>
      <c r="C94" t="s">
        <v>2376</v>
      </c>
      <c r="D94" t="s">
        <v>2369</v>
      </c>
    </row>
    <row r="95" spans="1:4" x14ac:dyDescent="0.3">
      <c r="A95" t="s">
        <v>363</v>
      </c>
      <c r="B95" t="s">
        <v>426</v>
      </c>
      <c r="C95" t="s">
        <v>2377</v>
      </c>
      <c r="D95" t="s">
        <v>2369</v>
      </c>
    </row>
    <row r="96" spans="1:4" x14ac:dyDescent="0.3">
      <c r="A96" t="s">
        <v>363</v>
      </c>
      <c r="B96" t="s">
        <v>426</v>
      </c>
      <c r="C96" t="s">
        <v>2378</v>
      </c>
      <c r="D96" t="s">
        <v>2369</v>
      </c>
    </row>
    <row r="97" spans="1:4" x14ac:dyDescent="0.3">
      <c r="A97" t="s">
        <v>363</v>
      </c>
      <c r="B97" t="s">
        <v>426</v>
      </c>
      <c r="C97" t="s">
        <v>427</v>
      </c>
      <c r="D97" t="s">
        <v>2369</v>
      </c>
    </row>
    <row r="98" spans="1:4" x14ac:dyDescent="0.3">
      <c r="A98" t="s">
        <v>363</v>
      </c>
      <c r="B98" t="s">
        <v>426</v>
      </c>
      <c r="C98" t="s">
        <v>431</v>
      </c>
      <c r="D98" t="s">
        <v>2369</v>
      </c>
    </row>
    <row r="99" spans="1:4" x14ac:dyDescent="0.3">
      <c r="A99" t="s">
        <v>363</v>
      </c>
      <c r="B99" t="s">
        <v>426</v>
      </c>
      <c r="C99" t="s">
        <v>433</v>
      </c>
      <c r="D99" t="s">
        <v>2369</v>
      </c>
    </row>
    <row r="100" spans="1:4" x14ac:dyDescent="0.3">
      <c r="A100" t="s">
        <v>1</v>
      </c>
      <c r="B100" t="s">
        <v>4</v>
      </c>
      <c r="C100" t="s">
        <v>1994</v>
      </c>
      <c r="D100" t="s">
        <v>2369</v>
      </c>
    </row>
    <row r="101" spans="1:4" x14ac:dyDescent="0.3">
      <c r="A101" t="s">
        <v>1</v>
      </c>
      <c r="B101" t="s">
        <v>4</v>
      </c>
      <c r="C101" t="s">
        <v>1996</v>
      </c>
      <c r="D101" t="s">
        <v>2369</v>
      </c>
    </row>
    <row r="102" spans="1:4" x14ac:dyDescent="0.3">
      <c r="A102" t="s">
        <v>1</v>
      </c>
      <c r="B102" t="s">
        <v>4</v>
      </c>
      <c r="C102" t="s">
        <v>1998</v>
      </c>
      <c r="D102" t="s">
        <v>2369</v>
      </c>
    </row>
    <row r="103" spans="1:4" x14ac:dyDescent="0.3">
      <c r="A103" t="s">
        <v>1</v>
      </c>
      <c r="B103" t="s">
        <v>4</v>
      </c>
      <c r="C103" t="s">
        <v>2000</v>
      </c>
      <c r="D103" t="s">
        <v>2369</v>
      </c>
    </row>
    <row r="104" spans="1:4" x14ac:dyDescent="0.3">
      <c r="A104" t="s">
        <v>363</v>
      </c>
      <c r="B104" t="s">
        <v>1236</v>
      </c>
      <c r="C104" t="s">
        <v>1243</v>
      </c>
      <c r="D104" t="s">
        <v>2369</v>
      </c>
    </row>
    <row r="105" spans="1:4" x14ac:dyDescent="0.3">
      <c r="A105" t="s">
        <v>363</v>
      </c>
      <c r="B105" t="s">
        <v>1236</v>
      </c>
      <c r="C105" t="s">
        <v>2379</v>
      </c>
      <c r="D105" t="s">
        <v>2369</v>
      </c>
    </row>
    <row r="106" spans="1:4" x14ac:dyDescent="0.3">
      <c r="A106" t="s">
        <v>363</v>
      </c>
      <c r="B106" t="s">
        <v>1236</v>
      </c>
      <c r="C106" t="s">
        <v>1254</v>
      </c>
      <c r="D106" t="s">
        <v>2369</v>
      </c>
    </row>
    <row r="107" spans="1:4" x14ac:dyDescent="0.3">
      <c r="A107" t="s">
        <v>363</v>
      </c>
      <c r="B107" t="s">
        <v>1236</v>
      </c>
      <c r="C107" t="s">
        <v>1239</v>
      </c>
      <c r="D107" t="s">
        <v>2369</v>
      </c>
    </row>
    <row r="108" spans="1:4" x14ac:dyDescent="0.3">
      <c r="A108" t="s">
        <v>363</v>
      </c>
      <c r="B108" t="s">
        <v>1236</v>
      </c>
      <c r="C108" t="s">
        <v>1250</v>
      </c>
      <c r="D108" t="s">
        <v>2369</v>
      </c>
    </row>
    <row r="109" spans="1:4" x14ac:dyDescent="0.3">
      <c r="A109" t="s">
        <v>363</v>
      </c>
      <c r="B109" t="s">
        <v>1236</v>
      </c>
      <c r="C109" t="s">
        <v>1246</v>
      </c>
      <c r="D109" t="s">
        <v>2369</v>
      </c>
    </row>
    <row r="110" spans="1:4" x14ac:dyDescent="0.3">
      <c r="A110" t="s">
        <v>363</v>
      </c>
      <c r="B110" t="s">
        <v>1236</v>
      </c>
      <c r="C110" t="s">
        <v>1252</v>
      </c>
      <c r="D110" t="s">
        <v>2369</v>
      </c>
    </row>
    <row r="111" spans="1:4" x14ac:dyDescent="0.3">
      <c r="A111" t="s">
        <v>363</v>
      </c>
      <c r="B111" t="s">
        <v>1236</v>
      </c>
      <c r="C111" t="s">
        <v>1377</v>
      </c>
      <c r="D111" t="s">
        <v>2369</v>
      </c>
    </row>
    <row r="112" spans="1:4" x14ac:dyDescent="0.3">
      <c r="A112" t="s">
        <v>363</v>
      </c>
      <c r="B112" t="s">
        <v>1236</v>
      </c>
      <c r="C112" t="s">
        <v>1258</v>
      </c>
      <c r="D112" t="s">
        <v>2369</v>
      </c>
    </row>
    <row r="113" spans="1:4" x14ac:dyDescent="0.3">
      <c r="A113" t="s">
        <v>363</v>
      </c>
      <c r="B113" t="s">
        <v>1236</v>
      </c>
      <c r="C113" t="s">
        <v>1241</v>
      </c>
      <c r="D113" t="s">
        <v>2369</v>
      </c>
    </row>
    <row r="114" spans="1:4" x14ac:dyDescent="0.3">
      <c r="A114" t="s">
        <v>363</v>
      </c>
      <c r="B114" t="s">
        <v>1236</v>
      </c>
      <c r="C114" t="s">
        <v>1260</v>
      </c>
      <c r="D114" t="s">
        <v>2369</v>
      </c>
    </row>
    <row r="115" spans="1:4" x14ac:dyDescent="0.3">
      <c r="A115" t="s">
        <v>363</v>
      </c>
      <c r="B115" t="s">
        <v>1236</v>
      </c>
      <c r="C115" t="s">
        <v>1262</v>
      </c>
      <c r="D115" t="s">
        <v>2369</v>
      </c>
    </row>
    <row r="116" spans="1:4" x14ac:dyDescent="0.3">
      <c r="A116" t="s">
        <v>363</v>
      </c>
      <c r="B116" t="s">
        <v>1236</v>
      </c>
      <c r="C116" t="s">
        <v>1256</v>
      </c>
      <c r="D116" t="s">
        <v>2369</v>
      </c>
    </row>
    <row r="117" spans="1:4" x14ac:dyDescent="0.3">
      <c r="A117" t="s">
        <v>363</v>
      </c>
      <c r="B117" t="s">
        <v>1236</v>
      </c>
      <c r="C117" t="s">
        <v>1248</v>
      </c>
      <c r="D117" t="s">
        <v>2369</v>
      </c>
    </row>
    <row r="118" spans="1:4" x14ac:dyDescent="0.3">
      <c r="A118" t="s">
        <v>363</v>
      </c>
      <c r="B118" t="s">
        <v>514</v>
      </c>
      <c r="C118" t="s">
        <v>531</v>
      </c>
      <c r="D118" t="s">
        <v>2369</v>
      </c>
    </row>
    <row r="119" spans="1:4" x14ac:dyDescent="0.3">
      <c r="A119" t="s">
        <v>363</v>
      </c>
      <c r="B119" t="s">
        <v>514</v>
      </c>
      <c r="C119" t="s">
        <v>548</v>
      </c>
      <c r="D119" t="s">
        <v>2369</v>
      </c>
    </row>
    <row r="120" spans="1:4" x14ac:dyDescent="0.3">
      <c r="A120" t="s">
        <v>363</v>
      </c>
      <c r="B120" t="s">
        <v>514</v>
      </c>
      <c r="C120" t="s">
        <v>630</v>
      </c>
      <c r="D120" t="s">
        <v>2369</v>
      </c>
    </row>
    <row r="121" spans="1:4" x14ac:dyDescent="0.3">
      <c r="A121" t="s">
        <v>363</v>
      </c>
      <c r="B121" t="s">
        <v>514</v>
      </c>
      <c r="C121" t="s">
        <v>537</v>
      </c>
      <c r="D121" t="s">
        <v>2369</v>
      </c>
    </row>
    <row r="122" spans="1:4" x14ac:dyDescent="0.3">
      <c r="A122" t="s">
        <v>363</v>
      </c>
      <c r="B122" t="s">
        <v>514</v>
      </c>
      <c r="C122" t="s">
        <v>555</v>
      </c>
      <c r="D122" t="s">
        <v>2369</v>
      </c>
    </row>
    <row r="123" spans="1:4" x14ac:dyDescent="0.3">
      <c r="A123" t="s">
        <v>363</v>
      </c>
      <c r="B123" t="s">
        <v>514</v>
      </c>
      <c r="C123" t="s">
        <v>539</v>
      </c>
      <c r="D123" t="s">
        <v>2369</v>
      </c>
    </row>
    <row r="124" spans="1:4" x14ac:dyDescent="0.3">
      <c r="A124" t="s">
        <v>363</v>
      </c>
      <c r="B124" t="s">
        <v>514</v>
      </c>
      <c r="C124" t="s">
        <v>521</v>
      </c>
      <c r="D124" t="s">
        <v>2369</v>
      </c>
    </row>
    <row r="125" spans="1:4" x14ac:dyDescent="0.3">
      <c r="A125" t="s">
        <v>363</v>
      </c>
      <c r="B125" t="s">
        <v>514</v>
      </c>
      <c r="C125" t="s">
        <v>660</v>
      </c>
      <c r="D125" t="s">
        <v>2369</v>
      </c>
    </row>
    <row r="126" spans="1:4" x14ac:dyDescent="0.3">
      <c r="A126" t="s">
        <v>363</v>
      </c>
      <c r="B126" t="s">
        <v>514</v>
      </c>
      <c r="C126" t="s">
        <v>533</v>
      </c>
      <c r="D126" t="s">
        <v>2369</v>
      </c>
    </row>
    <row r="127" spans="1:4" x14ac:dyDescent="0.3">
      <c r="A127" t="s">
        <v>363</v>
      </c>
      <c r="B127" t="s">
        <v>514</v>
      </c>
      <c r="C127" t="s">
        <v>550</v>
      </c>
      <c r="D127" t="s">
        <v>2369</v>
      </c>
    </row>
    <row r="128" spans="1:4" x14ac:dyDescent="0.3">
      <c r="A128" t="s">
        <v>363</v>
      </c>
      <c r="B128" t="s">
        <v>514</v>
      </c>
      <c r="C128" t="s">
        <v>559</v>
      </c>
      <c r="D128" t="s">
        <v>2369</v>
      </c>
    </row>
    <row r="129" spans="1:4" x14ac:dyDescent="0.3">
      <c r="A129" t="s">
        <v>363</v>
      </c>
      <c r="B129" t="s">
        <v>514</v>
      </c>
      <c r="C129" t="s">
        <v>526</v>
      </c>
      <c r="D129" t="s">
        <v>2369</v>
      </c>
    </row>
    <row r="130" spans="1:4" x14ac:dyDescent="0.3">
      <c r="A130" t="s">
        <v>363</v>
      </c>
      <c r="B130" t="s">
        <v>514</v>
      </c>
      <c r="C130" t="s">
        <v>528</v>
      </c>
      <c r="D130" t="s">
        <v>2369</v>
      </c>
    </row>
    <row r="131" spans="1:4" x14ac:dyDescent="0.3">
      <c r="A131" t="s">
        <v>363</v>
      </c>
      <c r="B131" t="s">
        <v>514</v>
      </c>
      <c r="C131" t="s">
        <v>552</v>
      </c>
      <c r="D131" t="s">
        <v>2369</v>
      </c>
    </row>
    <row r="132" spans="1:4" x14ac:dyDescent="0.3">
      <c r="A132" t="s">
        <v>363</v>
      </c>
      <c r="B132" t="s">
        <v>514</v>
      </c>
      <c r="C132" t="s">
        <v>545</v>
      </c>
      <c r="D132" t="s">
        <v>2369</v>
      </c>
    </row>
    <row r="133" spans="1:4" x14ac:dyDescent="0.3">
      <c r="A133" t="s">
        <v>363</v>
      </c>
      <c r="B133" t="s">
        <v>514</v>
      </c>
      <c r="C133" t="s">
        <v>2380</v>
      </c>
      <c r="D133" t="s">
        <v>2369</v>
      </c>
    </row>
    <row r="134" spans="1:4" x14ac:dyDescent="0.3">
      <c r="A134" t="s">
        <v>363</v>
      </c>
      <c r="B134" t="s">
        <v>514</v>
      </c>
      <c r="C134" t="s">
        <v>535</v>
      </c>
      <c r="D134" t="s">
        <v>2369</v>
      </c>
    </row>
    <row r="135" spans="1:4" x14ac:dyDescent="0.3">
      <c r="A135" t="s">
        <v>363</v>
      </c>
      <c r="B135" t="s">
        <v>514</v>
      </c>
      <c r="C135" t="s">
        <v>523</v>
      </c>
      <c r="D135" t="s">
        <v>2369</v>
      </c>
    </row>
    <row r="136" spans="1:4" x14ac:dyDescent="0.3">
      <c r="A136" t="s">
        <v>363</v>
      </c>
      <c r="B136" t="s">
        <v>514</v>
      </c>
      <c r="C136" t="s">
        <v>971</v>
      </c>
      <c r="D136" t="s">
        <v>2369</v>
      </c>
    </row>
    <row r="137" spans="1:4" x14ac:dyDescent="0.3">
      <c r="A137" t="s">
        <v>363</v>
      </c>
      <c r="B137" t="s">
        <v>364</v>
      </c>
      <c r="C137" t="s">
        <v>367</v>
      </c>
      <c r="D137" t="s">
        <v>2369</v>
      </c>
    </row>
    <row r="138" spans="1:4" x14ac:dyDescent="0.3">
      <c r="A138" t="s">
        <v>363</v>
      </c>
      <c r="B138" t="s">
        <v>364</v>
      </c>
      <c r="C138" t="s">
        <v>370</v>
      </c>
      <c r="D138" t="s">
        <v>2369</v>
      </c>
    </row>
    <row r="139" spans="1:4" x14ac:dyDescent="0.3">
      <c r="A139" t="s">
        <v>363</v>
      </c>
      <c r="B139" t="s">
        <v>364</v>
      </c>
      <c r="C139" t="s">
        <v>373</v>
      </c>
      <c r="D139" t="s">
        <v>2369</v>
      </c>
    </row>
    <row r="140" spans="1:4" x14ac:dyDescent="0.3">
      <c r="A140" t="s">
        <v>363</v>
      </c>
      <c r="B140" t="s">
        <v>364</v>
      </c>
      <c r="C140" t="s">
        <v>376</v>
      </c>
      <c r="D140" t="s">
        <v>2369</v>
      </c>
    </row>
    <row r="141" spans="1:4" x14ac:dyDescent="0.3">
      <c r="A141" t="s">
        <v>363</v>
      </c>
      <c r="B141" t="s">
        <v>364</v>
      </c>
      <c r="C141" t="s">
        <v>379</v>
      </c>
      <c r="D141" t="s">
        <v>2369</v>
      </c>
    </row>
    <row r="142" spans="1:4" x14ac:dyDescent="0.3">
      <c r="A142" t="s">
        <v>363</v>
      </c>
      <c r="B142" t="s">
        <v>364</v>
      </c>
      <c r="C142" t="s">
        <v>382</v>
      </c>
      <c r="D142" t="s">
        <v>2369</v>
      </c>
    </row>
    <row r="143" spans="1:4" x14ac:dyDescent="0.3">
      <c r="A143" t="s">
        <v>363</v>
      </c>
      <c r="B143" t="s">
        <v>640</v>
      </c>
      <c r="C143" t="s">
        <v>2381</v>
      </c>
      <c r="D143" t="s">
        <v>2369</v>
      </c>
    </row>
    <row r="144" spans="1:4" x14ac:dyDescent="0.3">
      <c r="A144" t="s">
        <v>363</v>
      </c>
      <c r="B144" t="s">
        <v>640</v>
      </c>
      <c r="C144" t="s">
        <v>671</v>
      </c>
      <c r="D144" t="s">
        <v>2369</v>
      </c>
    </row>
    <row r="145" spans="1:4" x14ac:dyDescent="0.3">
      <c r="A145" t="s">
        <v>363</v>
      </c>
      <c r="B145" t="s">
        <v>640</v>
      </c>
      <c r="C145" t="s">
        <v>647</v>
      </c>
      <c r="D145" t="s">
        <v>2369</v>
      </c>
    </row>
    <row r="146" spans="1:4" x14ac:dyDescent="0.3">
      <c r="A146" t="s">
        <v>363</v>
      </c>
      <c r="B146" t="s">
        <v>640</v>
      </c>
      <c r="C146" t="s">
        <v>2382</v>
      </c>
      <c r="D146" t="s">
        <v>2369</v>
      </c>
    </row>
    <row r="147" spans="1:4" x14ac:dyDescent="0.3">
      <c r="A147" t="s">
        <v>363</v>
      </c>
      <c r="B147" t="s">
        <v>640</v>
      </c>
      <c r="C147" t="s">
        <v>2383</v>
      </c>
      <c r="D147" t="s">
        <v>2369</v>
      </c>
    </row>
    <row r="148" spans="1:4" x14ac:dyDescent="0.3">
      <c r="A148" t="s">
        <v>363</v>
      </c>
      <c r="B148" t="s">
        <v>640</v>
      </c>
      <c r="C148" t="s">
        <v>669</v>
      </c>
      <c r="D148" t="s">
        <v>2369</v>
      </c>
    </row>
    <row r="149" spans="1:4" x14ac:dyDescent="0.3">
      <c r="A149" t="s">
        <v>363</v>
      </c>
      <c r="B149" t="s">
        <v>640</v>
      </c>
      <c r="C149" t="s">
        <v>645</v>
      </c>
      <c r="D149" t="s">
        <v>2369</v>
      </c>
    </row>
    <row r="150" spans="1:4" x14ac:dyDescent="0.3">
      <c r="A150" t="s">
        <v>363</v>
      </c>
      <c r="B150" t="s">
        <v>640</v>
      </c>
      <c r="C150" t="s">
        <v>667</v>
      </c>
      <c r="D150" t="s">
        <v>2369</v>
      </c>
    </row>
    <row r="151" spans="1:4" x14ac:dyDescent="0.3">
      <c r="A151" t="s">
        <v>363</v>
      </c>
      <c r="B151" t="s">
        <v>640</v>
      </c>
      <c r="C151" t="s">
        <v>652</v>
      </c>
      <c r="D151" t="s">
        <v>2369</v>
      </c>
    </row>
    <row r="152" spans="1:4" x14ac:dyDescent="0.3">
      <c r="A152" t="s">
        <v>363</v>
      </c>
      <c r="B152" t="s">
        <v>640</v>
      </c>
      <c r="C152" t="s">
        <v>1469</v>
      </c>
      <c r="D152" t="s">
        <v>2369</v>
      </c>
    </row>
    <row r="153" spans="1:4" x14ac:dyDescent="0.3">
      <c r="A153" t="s">
        <v>363</v>
      </c>
      <c r="B153" t="s">
        <v>640</v>
      </c>
      <c r="C153" t="s">
        <v>2384</v>
      </c>
      <c r="D153" t="s">
        <v>2369</v>
      </c>
    </row>
    <row r="154" spans="1:4" x14ac:dyDescent="0.3">
      <c r="A154" t="s">
        <v>363</v>
      </c>
      <c r="B154" t="s">
        <v>640</v>
      </c>
      <c r="C154" t="s">
        <v>657</v>
      </c>
      <c r="D154" t="s">
        <v>2369</v>
      </c>
    </row>
    <row r="155" spans="1:4" x14ac:dyDescent="0.3">
      <c r="A155" t="s">
        <v>363</v>
      </c>
      <c r="B155" t="s">
        <v>640</v>
      </c>
      <c r="C155" t="s">
        <v>641</v>
      </c>
      <c r="D155" t="s">
        <v>2369</v>
      </c>
    </row>
    <row r="156" spans="1:4" x14ac:dyDescent="0.3">
      <c r="A156" t="s">
        <v>363</v>
      </c>
      <c r="B156" t="s">
        <v>640</v>
      </c>
      <c r="C156" t="s">
        <v>653</v>
      </c>
      <c r="D156" t="s">
        <v>2369</v>
      </c>
    </row>
    <row r="157" spans="1:4" x14ac:dyDescent="0.3">
      <c r="A157" t="s">
        <v>363</v>
      </c>
      <c r="B157" t="s">
        <v>640</v>
      </c>
      <c r="C157" t="s">
        <v>643</v>
      </c>
      <c r="D157" t="s">
        <v>2369</v>
      </c>
    </row>
    <row r="158" spans="1:4" x14ac:dyDescent="0.3">
      <c r="A158" t="s">
        <v>363</v>
      </c>
      <c r="B158" t="s">
        <v>1116</v>
      </c>
      <c r="C158" t="s">
        <v>1117</v>
      </c>
      <c r="D158" t="s">
        <v>2369</v>
      </c>
    </row>
    <row r="159" spans="1:4" x14ac:dyDescent="0.3">
      <c r="A159" t="s">
        <v>363</v>
      </c>
      <c r="B159" t="s">
        <v>1116</v>
      </c>
      <c r="C159" t="s">
        <v>1119</v>
      </c>
      <c r="D159" t="s">
        <v>2369</v>
      </c>
    </row>
    <row r="160" spans="1:4" x14ac:dyDescent="0.3">
      <c r="A160" t="s">
        <v>363</v>
      </c>
      <c r="B160" t="s">
        <v>1116</v>
      </c>
      <c r="C160" t="s">
        <v>1135</v>
      </c>
      <c r="D160" t="s">
        <v>2369</v>
      </c>
    </row>
    <row r="161" spans="1:4" x14ac:dyDescent="0.3">
      <c r="A161" t="s">
        <v>363</v>
      </c>
      <c r="B161" t="s">
        <v>1116</v>
      </c>
      <c r="C161" t="s">
        <v>1125</v>
      </c>
      <c r="D161" t="s">
        <v>2369</v>
      </c>
    </row>
    <row r="162" spans="1:4" x14ac:dyDescent="0.3">
      <c r="A162" t="s">
        <v>363</v>
      </c>
      <c r="B162" t="s">
        <v>1116</v>
      </c>
      <c r="C162" t="s">
        <v>1123</v>
      </c>
      <c r="D162" t="s">
        <v>2369</v>
      </c>
    </row>
    <row r="163" spans="1:4" x14ac:dyDescent="0.3">
      <c r="A163" t="s">
        <v>363</v>
      </c>
      <c r="B163" t="s">
        <v>1116</v>
      </c>
      <c r="C163" t="s">
        <v>1121</v>
      </c>
      <c r="D163" t="s">
        <v>2369</v>
      </c>
    </row>
    <row r="164" spans="1:4" x14ac:dyDescent="0.3">
      <c r="A164" t="s">
        <v>363</v>
      </c>
      <c r="B164" t="s">
        <v>1116</v>
      </c>
      <c r="C164" t="s">
        <v>1133</v>
      </c>
      <c r="D164" t="s">
        <v>2369</v>
      </c>
    </row>
    <row r="165" spans="1:4" x14ac:dyDescent="0.3">
      <c r="A165" t="s">
        <v>363</v>
      </c>
      <c r="B165" t="s">
        <v>1116</v>
      </c>
      <c r="C165" t="s">
        <v>1131</v>
      </c>
      <c r="D165" t="s">
        <v>2369</v>
      </c>
    </row>
    <row r="166" spans="1:4" x14ac:dyDescent="0.3">
      <c r="A166" t="s">
        <v>363</v>
      </c>
      <c r="B166" t="s">
        <v>1116</v>
      </c>
      <c r="C166" t="s">
        <v>2385</v>
      </c>
      <c r="D166" t="s">
        <v>2369</v>
      </c>
    </row>
    <row r="167" spans="1:4" x14ac:dyDescent="0.3">
      <c r="A167" t="s">
        <v>363</v>
      </c>
      <c r="B167" t="s">
        <v>1116</v>
      </c>
      <c r="C167" t="s">
        <v>1127</v>
      </c>
      <c r="D167" t="s">
        <v>2369</v>
      </c>
    </row>
    <row r="168" spans="1:4" x14ac:dyDescent="0.3">
      <c r="A168" t="s">
        <v>363</v>
      </c>
      <c r="B168" t="s">
        <v>1116</v>
      </c>
      <c r="C168" t="s">
        <v>1129</v>
      </c>
      <c r="D168" t="s">
        <v>2369</v>
      </c>
    </row>
    <row r="169" spans="1:4" x14ac:dyDescent="0.3">
      <c r="A169" t="s">
        <v>263</v>
      </c>
      <c r="B169" t="s">
        <v>264</v>
      </c>
      <c r="C169" t="s">
        <v>267</v>
      </c>
      <c r="D169" t="s">
        <v>2369</v>
      </c>
    </row>
    <row r="170" spans="1:4" x14ac:dyDescent="0.3">
      <c r="A170" t="s">
        <v>263</v>
      </c>
      <c r="B170" t="s">
        <v>264</v>
      </c>
      <c r="C170" t="s">
        <v>269</v>
      </c>
      <c r="D170" t="s">
        <v>2369</v>
      </c>
    </row>
    <row r="171" spans="1:4" x14ac:dyDescent="0.3">
      <c r="A171" t="s">
        <v>263</v>
      </c>
      <c r="B171" t="s">
        <v>264</v>
      </c>
      <c r="C171" t="s">
        <v>2321</v>
      </c>
      <c r="D171" t="s">
        <v>2369</v>
      </c>
    </row>
    <row r="172" spans="1:4" x14ac:dyDescent="0.3">
      <c r="A172" t="s">
        <v>263</v>
      </c>
      <c r="B172" t="s">
        <v>264</v>
      </c>
      <c r="C172" t="s">
        <v>271</v>
      </c>
      <c r="D172" t="s">
        <v>2369</v>
      </c>
    </row>
    <row r="173" spans="1:4" x14ac:dyDescent="0.3">
      <c r="A173" t="s">
        <v>263</v>
      </c>
      <c r="B173" t="s">
        <v>264</v>
      </c>
      <c r="C173" t="s">
        <v>275</v>
      </c>
      <c r="D173" t="s">
        <v>2369</v>
      </c>
    </row>
    <row r="174" spans="1:4" x14ac:dyDescent="0.3">
      <c r="A174" t="s">
        <v>2053</v>
      </c>
      <c r="B174" t="s">
        <v>2071</v>
      </c>
      <c r="C174" t="s">
        <v>2074</v>
      </c>
      <c r="D174" t="s">
        <v>2369</v>
      </c>
    </row>
    <row r="175" spans="1:4" x14ac:dyDescent="0.3">
      <c r="A175" t="s">
        <v>2053</v>
      </c>
      <c r="B175" t="s">
        <v>2071</v>
      </c>
      <c r="C175" t="s">
        <v>2323</v>
      </c>
      <c r="D175" t="s">
        <v>2369</v>
      </c>
    </row>
    <row r="176" spans="1:4" x14ac:dyDescent="0.3">
      <c r="A176" t="s">
        <v>2053</v>
      </c>
      <c r="B176" t="s">
        <v>2071</v>
      </c>
      <c r="C176" t="s">
        <v>2077</v>
      </c>
      <c r="D176" t="s">
        <v>2369</v>
      </c>
    </row>
    <row r="177" spans="1:4" x14ac:dyDescent="0.3">
      <c r="A177" t="s">
        <v>2053</v>
      </c>
      <c r="B177" t="s">
        <v>2071</v>
      </c>
      <c r="C177" t="s">
        <v>2079</v>
      </c>
      <c r="D177" t="s">
        <v>2369</v>
      </c>
    </row>
    <row r="178" spans="1:4" x14ac:dyDescent="0.3">
      <c r="A178" t="s">
        <v>2053</v>
      </c>
      <c r="B178" t="s">
        <v>2071</v>
      </c>
      <c r="C178" t="s">
        <v>2082</v>
      </c>
      <c r="D178" t="s">
        <v>2369</v>
      </c>
    </row>
    <row r="179" spans="1:4" x14ac:dyDescent="0.3">
      <c r="A179" t="s">
        <v>2053</v>
      </c>
      <c r="B179" t="s">
        <v>2071</v>
      </c>
      <c r="C179" t="s">
        <v>2084</v>
      </c>
      <c r="D179" t="s">
        <v>2369</v>
      </c>
    </row>
    <row r="180" spans="1:4" x14ac:dyDescent="0.3">
      <c r="A180" t="s">
        <v>2053</v>
      </c>
      <c r="B180" t="s">
        <v>2071</v>
      </c>
      <c r="C180" t="s">
        <v>2086</v>
      </c>
      <c r="D180" t="s">
        <v>2369</v>
      </c>
    </row>
    <row r="181" spans="1:4" x14ac:dyDescent="0.3">
      <c r="A181" t="s">
        <v>2053</v>
      </c>
      <c r="B181" t="s">
        <v>2071</v>
      </c>
      <c r="C181" t="s">
        <v>2088</v>
      </c>
      <c r="D181" t="s">
        <v>2369</v>
      </c>
    </row>
    <row r="182" spans="1:4" x14ac:dyDescent="0.3">
      <c r="A182" t="s">
        <v>2127</v>
      </c>
      <c r="B182" t="s">
        <v>2210</v>
      </c>
      <c r="C182" t="s">
        <v>2217</v>
      </c>
      <c r="D182" t="s">
        <v>2369</v>
      </c>
    </row>
    <row r="183" spans="1:4" x14ac:dyDescent="0.3">
      <c r="A183" t="s">
        <v>2127</v>
      </c>
      <c r="B183" t="s">
        <v>2210</v>
      </c>
      <c r="C183" t="s">
        <v>2202</v>
      </c>
      <c r="D183" t="s">
        <v>2369</v>
      </c>
    </row>
    <row r="184" spans="1:4" x14ac:dyDescent="0.3">
      <c r="A184" t="s">
        <v>2127</v>
      </c>
      <c r="B184" t="s">
        <v>2210</v>
      </c>
      <c r="C184" t="s">
        <v>2205</v>
      </c>
      <c r="D184" t="s">
        <v>2369</v>
      </c>
    </row>
    <row r="185" spans="1:4" x14ac:dyDescent="0.3">
      <c r="A185" t="s">
        <v>2127</v>
      </c>
      <c r="B185" t="s">
        <v>2210</v>
      </c>
      <c r="C185" t="s">
        <v>2203</v>
      </c>
      <c r="D185" t="s">
        <v>2369</v>
      </c>
    </row>
    <row r="186" spans="1:4" x14ac:dyDescent="0.3">
      <c r="A186" t="s">
        <v>2127</v>
      </c>
      <c r="B186" t="s">
        <v>2210</v>
      </c>
      <c r="C186" t="s">
        <v>2218</v>
      </c>
      <c r="D186" t="s">
        <v>2369</v>
      </c>
    </row>
    <row r="187" spans="1:4" x14ac:dyDescent="0.3">
      <c r="A187" t="s">
        <v>2127</v>
      </c>
      <c r="B187" t="s">
        <v>2210</v>
      </c>
      <c r="C187" t="s">
        <v>2219</v>
      </c>
      <c r="D187" t="s">
        <v>2369</v>
      </c>
    </row>
    <row r="188" spans="1:4" x14ac:dyDescent="0.3">
      <c r="A188" t="s">
        <v>2127</v>
      </c>
      <c r="B188" t="s">
        <v>2210</v>
      </c>
      <c r="C188" t="s">
        <v>2206</v>
      </c>
      <c r="D188" t="s">
        <v>2369</v>
      </c>
    </row>
    <row r="189" spans="1:4" x14ac:dyDescent="0.3">
      <c r="A189" t="s">
        <v>2127</v>
      </c>
      <c r="B189" t="s">
        <v>2210</v>
      </c>
      <c r="C189" t="s">
        <v>2204</v>
      </c>
      <c r="D189" t="s">
        <v>2369</v>
      </c>
    </row>
    <row r="190" spans="1:4" x14ac:dyDescent="0.3">
      <c r="A190" t="s">
        <v>363</v>
      </c>
      <c r="B190" t="s">
        <v>847</v>
      </c>
      <c r="C190" t="s">
        <v>850</v>
      </c>
      <c r="D190" t="s">
        <v>2369</v>
      </c>
    </row>
    <row r="191" spans="1:4" x14ac:dyDescent="0.3">
      <c r="A191" t="s">
        <v>363</v>
      </c>
      <c r="B191" t="s">
        <v>847</v>
      </c>
      <c r="C191" t="s">
        <v>856</v>
      </c>
      <c r="D191" t="s">
        <v>2369</v>
      </c>
    </row>
    <row r="192" spans="1:4" x14ac:dyDescent="0.3">
      <c r="A192" t="s">
        <v>363</v>
      </c>
      <c r="B192" t="s">
        <v>847</v>
      </c>
      <c r="C192" t="s">
        <v>873</v>
      </c>
      <c r="D192" t="s">
        <v>2369</v>
      </c>
    </row>
    <row r="193" spans="1:4" x14ac:dyDescent="0.3">
      <c r="A193" t="s">
        <v>363</v>
      </c>
      <c r="B193" t="s">
        <v>847</v>
      </c>
      <c r="C193" t="s">
        <v>861</v>
      </c>
      <c r="D193" t="s">
        <v>2369</v>
      </c>
    </row>
    <row r="194" spans="1:4" x14ac:dyDescent="0.3">
      <c r="A194" t="s">
        <v>363</v>
      </c>
      <c r="B194" t="s">
        <v>847</v>
      </c>
      <c r="C194" t="s">
        <v>854</v>
      </c>
      <c r="D194" t="s">
        <v>2369</v>
      </c>
    </row>
    <row r="195" spans="1:4" x14ac:dyDescent="0.3">
      <c r="A195" t="s">
        <v>363</v>
      </c>
      <c r="B195" t="s">
        <v>847</v>
      </c>
      <c r="C195" t="s">
        <v>853</v>
      </c>
      <c r="D195" t="s">
        <v>2369</v>
      </c>
    </row>
    <row r="196" spans="1:4" x14ac:dyDescent="0.3">
      <c r="A196" t="s">
        <v>363</v>
      </c>
      <c r="B196" t="s">
        <v>847</v>
      </c>
      <c r="C196" t="s">
        <v>867</v>
      </c>
      <c r="D196" t="s">
        <v>2369</v>
      </c>
    </row>
    <row r="197" spans="1:4" x14ac:dyDescent="0.3">
      <c r="A197" t="s">
        <v>363</v>
      </c>
      <c r="B197" t="s">
        <v>847</v>
      </c>
      <c r="C197" t="s">
        <v>869</v>
      </c>
      <c r="D197" t="s">
        <v>2369</v>
      </c>
    </row>
    <row r="198" spans="1:4" x14ac:dyDescent="0.3">
      <c r="A198" t="s">
        <v>363</v>
      </c>
      <c r="B198" t="s">
        <v>847</v>
      </c>
      <c r="C198" t="s">
        <v>871</v>
      </c>
      <c r="D198" t="s">
        <v>2369</v>
      </c>
    </row>
    <row r="199" spans="1:4" x14ac:dyDescent="0.3">
      <c r="A199" t="s">
        <v>363</v>
      </c>
      <c r="B199" t="s">
        <v>847</v>
      </c>
      <c r="C199" t="s">
        <v>848</v>
      </c>
      <c r="D199" t="s">
        <v>2369</v>
      </c>
    </row>
    <row r="200" spans="1:4" x14ac:dyDescent="0.3">
      <c r="A200" t="s">
        <v>363</v>
      </c>
      <c r="B200" t="s">
        <v>847</v>
      </c>
      <c r="C200" t="s">
        <v>864</v>
      </c>
      <c r="D200" t="s">
        <v>2369</v>
      </c>
    </row>
    <row r="201" spans="1:4" x14ac:dyDescent="0.3">
      <c r="A201" t="s">
        <v>363</v>
      </c>
      <c r="B201" t="s">
        <v>847</v>
      </c>
      <c r="C201" t="s">
        <v>859</v>
      </c>
      <c r="D201" t="s">
        <v>2369</v>
      </c>
    </row>
    <row r="202" spans="1:4" x14ac:dyDescent="0.3">
      <c r="A202" t="s">
        <v>363</v>
      </c>
      <c r="B202" t="s">
        <v>847</v>
      </c>
      <c r="C202" t="s">
        <v>857</v>
      </c>
      <c r="D202" t="s">
        <v>2369</v>
      </c>
    </row>
    <row r="203" spans="1:4" x14ac:dyDescent="0.3">
      <c r="A203" t="s">
        <v>363</v>
      </c>
      <c r="B203" t="s">
        <v>847</v>
      </c>
      <c r="C203" t="s">
        <v>866</v>
      </c>
      <c r="D203" t="s">
        <v>2369</v>
      </c>
    </row>
    <row r="204" spans="1:4" x14ac:dyDescent="0.3">
      <c r="A204" t="s">
        <v>363</v>
      </c>
      <c r="B204" t="s">
        <v>847</v>
      </c>
      <c r="C204" t="s">
        <v>852</v>
      </c>
      <c r="D204" t="s">
        <v>2369</v>
      </c>
    </row>
    <row r="205" spans="1:4" x14ac:dyDescent="0.3">
      <c r="A205" t="s">
        <v>35</v>
      </c>
      <c r="B205" t="s">
        <v>1869</v>
      </c>
      <c r="C205" t="s">
        <v>1872</v>
      </c>
      <c r="D205" t="s">
        <v>2369</v>
      </c>
    </row>
    <row r="206" spans="1:4" x14ac:dyDescent="0.3">
      <c r="A206" t="s">
        <v>35</v>
      </c>
      <c r="B206" t="s">
        <v>1869</v>
      </c>
      <c r="C206" t="s">
        <v>1874</v>
      </c>
      <c r="D206" t="s">
        <v>2369</v>
      </c>
    </row>
    <row r="207" spans="1:4" x14ac:dyDescent="0.3">
      <c r="A207" t="s">
        <v>35</v>
      </c>
      <c r="B207" t="s">
        <v>1869</v>
      </c>
      <c r="C207" t="s">
        <v>1876</v>
      </c>
      <c r="D207" t="s">
        <v>2369</v>
      </c>
    </row>
    <row r="208" spans="1:4" x14ac:dyDescent="0.3">
      <c r="A208" t="s">
        <v>35</v>
      </c>
      <c r="B208" t="s">
        <v>1869</v>
      </c>
      <c r="C208" t="s">
        <v>1878</v>
      </c>
      <c r="D208" t="s">
        <v>2369</v>
      </c>
    </row>
    <row r="209" spans="1:4" x14ac:dyDescent="0.3">
      <c r="A209" t="s">
        <v>35</v>
      </c>
      <c r="B209" t="s">
        <v>1869</v>
      </c>
      <c r="C209" t="s">
        <v>1880</v>
      </c>
      <c r="D209" t="s">
        <v>2369</v>
      </c>
    </row>
    <row r="210" spans="1:4" x14ac:dyDescent="0.3">
      <c r="A210" t="s">
        <v>35</v>
      </c>
      <c r="B210" t="s">
        <v>1869</v>
      </c>
      <c r="C210" t="s">
        <v>1882</v>
      </c>
      <c r="D210" t="s">
        <v>2369</v>
      </c>
    </row>
    <row r="211" spans="1:4" x14ac:dyDescent="0.3">
      <c r="A211" t="s">
        <v>35</v>
      </c>
      <c r="B211" t="s">
        <v>1869</v>
      </c>
      <c r="C211" t="s">
        <v>1884</v>
      </c>
      <c r="D211" t="s">
        <v>2369</v>
      </c>
    </row>
    <row r="212" spans="1:4" x14ac:dyDescent="0.3">
      <c r="A212" t="s">
        <v>35</v>
      </c>
      <c r="B212" t="s">
        <v>1869</v>
      </c>
      <c r="C212" t="s">
        <v>1886</v>
      </c>
      <c r="D212" t="s">
        <v>2369</v>
      </c>
    </row>
    <row r="213" spans="1:4" x14ac:dyDescent="0.3">
      <c r="A213" t="s">
        <v>35</v>
      </c>
      <c r="B213" t="s">
        <v>1869</v>
      </c>
      <c r="C213" t="s">
        <v>1888</v>
      </c>
      <c r="D213" t="s">
        <v>2369</v>
      </c>
    </row>
    <row r="214" spans="1:4" x14ac:dyDescent="0.3">
      <c r="A214" t="s">
        <v>35</v>
      </c>
      <c r="B214" t="s">
        <v>1869</v>
      </c>
      <c r="C214" t="s">
        <v>1890</v>
      </c>
      <c r="D214" t="s">
        <v>2369</v>
      </c>
    </row>
    <row r="215" spans="1:4" x14ac:dyDescent="0.3">
      <c r="A215" t="s">
        <v>35</v>
      </c>
      <c r="B215" t="s">
        <v>1869</v>
      </c>
      <c r="C215" t="s">
        <v>1892</v>
      </c>
      <c r="D215" t="s">
        <v>2369</v>
      </c>
    </row>
    <row r="216" spans="1:4" x14ac:dyDescent="0.3">
      <c r="A216" t="s">
        <v>2127</v>
      </c>
      <c r="B216" t="s">
        <v>2273</v>
      </c>
      <c r="C216" t="s">
        <v>2280</v>
      </c>
      <c r="D216" t="s">
        <v>2369</v>
      </c>
    </row>
    <row r="217" spans="1:4" x14ac:dyDescent="0.3">
      <c r="A217" t="s">
        <v>2127</v>
      </c>
      <c r="B217" t="s">
        <v>2273</v>
      </c>
      <c r="C217" t="s">
        <v>2278</v>
      </c>
      <c r="D217" t="s">
        <v>2369</v>
      </c>
    </row>
    <row r="218" spans="1:4" x14ac:dyDescent="0.3">
      <c r="A218" t="s">
        <v>2127</v>
      </c>
      <c r="B218" t="s">
        <v>2273</v>
      </c>
      <c r="C218" t="s">
        <v>2275</v>
      </c>
      <c r="D218" t="s">
        <v>2369</v>
      </c>
    </row>
    <row r="219" spans="1:4" x14ac:dyDescent="0.3">
      <c r="A219" t="s">
        <v>2127</v>
      </c>
      <c r="B219" t="s">
        <v>2273</v>
      </c>
      <c r="C219" t="s">
        <v>2282</v>
      </c>
      <c r="D219" t="s">
        <v>2369</v>
      </c>
    </row>
    <row r="220" spans="1:4" x14ac:dyDescent="0.3">
      <c r="A220" t="s">
        <v>2127</v>
      </c>
      <c r="B220" t="s">
        <v>2273</v>
      </c>
      <c r="C220" t="s">
        <v>2283</v>
      </c>
      <c r="D220" t="s">
        <v>2369</v>
      </c>
    </row>
    <row r="221" spans="1:4" x14ac:dyDescent="0.3">
      <c r="A221" t="s">
        <v>2127</v>
      </c>
      <c r="B221" t="s">
        <v>2273</v>
      </c>
      <c r="C221" t="s">
        <v>2268</v>
      </c>
      <c r="D221" t="s">
        <v>2369</v>
      </c>
    </row>
    <row r="222" spans="1:4" x14ac:dyDescent="0.3">
      <c r="A222" t="s">
        <v>2127</v>
      </c>
      <c r="B222" t="s">
        <v>2273</v>
      </c>
      <c r="C222" t="s">
        <v>2281</v>
      </c>
      <c r="D222" t="s">
        <v>2369</v>
      </c>
    </row>
    <row r="223" spans="1:4" x14ac:dyDescent="0.3">
      <c r="A223" t="s">
        <v>363</v>
      </c>
      <c r="B223" t="s">
        <v>1530</v>
      </c>
      <c r="C223" t="s">
        <v>1544</v>
      </c>
      <c r="D223" t="s">
        <v>2369</v>
      </c>
    </row>
    <row r="224" spans="1:4" x14ac:dyDescent="0.3">
      <c r="A224" t="s">
        <v>363</v>
      </c>
      <c r="B224" t="s">
        <v>1530</v>
      </c>
      <c r="C224" t="s">
        <v>1546</v>
      </c>
      <c r="D224" t="s">
        <v>2369</v>
      </c>
    </row>
    <row r="225" spans="1:4" x14ac:dyDescent="0.3">
      <c r="A225" t="s">
        <v>363</v>
      </c>
      <c r="B225" t="s">
        <v>1530</v>
      </c>
      <c r="C225" t="s">
        <v>1543</v>
      </c>
      <c r="D225" t="s">
        <v>2369</v>
      </c>
    </row>
    <row r="226" spans="1:4" x14ac:dyDescent="0.3">
      <c r="A226" t="s">
        <v>363</v>
      </c>
      <c r="B226" t="s">
        <v>1530</v>
      </c>
      <c r="C226" t="s">
        <v>1555</v>
      </c>
      <c r="D226" t="s">
        <v>2369</v>
      </c>
    </row>
    <row r="227" spans="1:4" x14ac:dyDescent="0.3">
      <c r="A227" t="s">
        <v>363</v>
      </c>
      <c r="B227" t="s">
        <v>1530</v>
      </c>
      <c r="C227" t="s">
        <v>1549</v>
      </c>
      <c r="D227" t="s">
        <v>2369</v>
      </c>
    </row>
    <row r="228" spans="1:4" x14ac:dyDescent="0.3">
      <c r="A228" t="s">
        <v>363</v>
      </c>
      <c r="B228" t="s">
        <v>1530</v>
      </c>
      <c r="C228" t="s">
        <v>1553</v>
      </c>
      <c r="D228" t="s">
        <v>2369</v>
      </c>
    </row>
    <row r="229" spans="1:4" x14ac:dyDescent="0.3">
      <c r="A229" t="s">
        <v>363</v>
      </c>
      <c r="B229" t="s">
        <v>1530</v>
      </c>
      <c r="C229" t="s">
        <v>1534</v>
      </c>
      <c r="D229" t="s">
        <v>2369</v>
      </c>
    </row>
    <row r="230" spans="1:4" x14ac:dyDescent="0.3">
      <c r="A230" t="s">
        <v>363</v>
      </c>
      <c r="B230" t="s">
        <v>1530</v>
      </c>
      <c r="C230" t="s">
        <v>1536</v>
      </c>
      <c r="D230" t="s">
        <v>2369</v>
      </c>
    </row>
    <row r="231" spans="1:4" x14ac:dyDescent="0.3">
      <c r="A231" t="s">
        <v>363</v>
      </c>
      <c r="B231" t="s">
        <v>1530</v>
      </c>
      <c r="C231" t="s">
        <v>1558</v>
      </c>
      <c r="D231" t="s">
        <v>2369</v>
      </c>
    </row>
    <row r="232" spans="1:4" x14ac:dyDescent="0.3">
      <c r="A232" t="s">
        <v>363</v>
      </c>
      <c r="B232" t="s">
        <v>1530</v>
      </c>
      <c r="C232" t="s">
        <v>1556</v>
      </c>
      <c r="D232" t="s">
        <v>2369</v>
      </c>
    </row>
    <row r="233" spans="1:4" x14ac:dyDescent="0.3">
      <c r="A233" t="s">
        <v>363</v>
      </c>
      <c r="B233" t="s">
        <v>1530</v>
      </c>
      <c r="C233" t="s">
        <v>1538</v>
      </c>
      <c r="D233" t="s">
        <v>2369</v>
      </c>
    </row>
    <row r="234" spans="1:4" x14ac:dyDescent="0.3">
      <c r="A234" t="s">
        <v>363</v>
      </c>
      <c r="B234" t="s">
        <v>1530</v>
      </c>
      <c r="C234" t="s">
        <v>1532</v>
      </c>
      <c r="D234" t="s">
        <v>2369</v>
      </c>
    </row>
    <row r="235" spans="1:4" x14ac:dyDescent="0.3">
      <c r="A235" t="s">
        <v>363</v>
      </c>
      <c r="B235" t="s">
        <v>1530</v>
      </c>
      <c r="C235" t="s">
        <v>1542</v>
      </c>
      <c r="D235" t="s">
        <v>2369</v>
      </c>
    </row>
    <row r="236" spans="1:4" x14ac:dyDescent="0.3">
      <c r="A236" t="s">
        <v>363</v>
      </c>
      <c r="B236" t="s">
        <v>1530</v>
      </c>
      <c r="C236" t="s">
        <v>1540</v>
      </c>
      <c r="D236" t="s">
        <v>2369</v>
      </c>
    </row>
    <row r="237" spans="1:4" x14ac:dyDescent="0.3">
      <c r="A237" t="s">
        <v>363</v>
      </c>
      <c r="B237" t="s">
        <v>1530</v>
      </c>
      <c r="C237" t="s">
        <v>1551</v>
      </c>
      <c r="D237" t="s">
        <v>2369</v>
      </c>
    </row>
    <row r="238" spans="1:4" x14ac:dyDescent="0.3">
      <c r="A238" t="s">
        <v>363</v>
      </c>
      <c r="B238" t="s">
        <v>1171</v>
      </c>
      <c r="C238" t="s">
        <v>1180</v>
      </c>
      <c r="D238" t="s">
        <v>2369</v>
      </c>
    </row>
    <row r="239" spans="1:4" x14ac:dyDescent="0.3">
      <c r="A239" t="s">
        <v>363</v>
      </c>
      <c r="B239" t="s">
        <v>1171</v>
      </c>
      <c r="C239" t="s">
        <v>1176</v>
      </c>
      <c r="D239" t="s">
        <v>2369</v>
      </c>
    </row>
    <row r="240" spans="1:4" x14ac:dyDescent="0.3">
      <c r="A240" t="s">
        <v>363</v>
      </c>
      <c r="B240" t="s">
        <v>1171</v>
      </c>
      <c r="C240" t="s">
        <v>1185</v>
      </c>
      <c r="D240" t="s">
        <v>2369</v>
      </c>
    </row>
    <row r="241" spans="1:4" x14ac:dyDescent="0.3">
      <c r="A241" t="s">
        <v>363</v>
      </c>
      <c r="B241" t="s">
        <v>1171</v>
      </c>
      <c r="C241" t="s">
        <v>1191</v>
      </c>
      <c r="D241" t="s">
        <v>2369</v>
      </c>
    </row>
    <row r="242" spans="1:4" x14ac:dyDescent="0.3">
      <c r="A242" t="s">
        <v>363</v>
      </c>
      <c r="B242" t="s">
        <v>1171</v>
      </c>
      <c r="C242" t="s">
        <v>1183</v>
      </c>
      <c r="D242" t="s">
        <v>2369</v>
      </c>
    </row>
    <row r="243" spans="1:4" x14ac:dyDescent="0.3">
      <c r="A243" t="s">
        <v>363</v>
      </c>
      <c r="B243" t="s">
        <v>1171</v>
      </c>
      <c r="C243" t="s">
        <v>1189</v>
      </c>
      <c r="D243" t="s">
        <v>2369</v>
      </c>
    </row>
    <row r="244" spans="1:4" x14ac:dyDescent="0.3">
      <c r="A244" t="s">
        <v>363</v>
      </c>
      <c r="B244" t="s">
        <v>1171</v>
      </c>
      <c r="C244" t="s">
        <v>1172</v>
      </c>
      <c r="D244" t="s">
        <v>2369</v>
      </c>
    </row>
    <row r="245" spans="1:4" x14ac:dyDescent="0.3">
      <c r="A245" t="s">
        <v>363</v>
      </c>
      <c r="B245" t="s">
        <v>1171</v>
      </c>
      <c r="C245" t="s">
        <v>1178</v>
      </c>
      <c r="D245" t="s">
        <v>2369</v>
      </c>
    </row>
    <row r="246" spans="1:4" x14ac:dyDescent="0.3">
      <c r="A246" t="s">
        <v>363</v>
      </c>
      <c r="B246" t="s">
        <v>1171</v>
      </c>
      <c r="C246" t="s">
        <v>1182</v>
      </c>
      <c r="D246" t="s">
        <v>2369</v>
      </c>
    </row>
    <row r="247" spans="1:4" x14ac:dyDescent="0.3">
      <c r="A247" t="s">
        <v>363</v>
      </c>
      <c r="B247" t="s">
        <v>1171</v>
      </c>
      <c r="C247" t="s">
        <v>1187</v>
      </c>
      <c r="D247" t="s">
        <v>2369</v>
      </c>
    </row>
    <row r="248" spans="1:4" x14ac:dyDescent="0.3">
      <c r="A248" t="s">
        <v>2127</v>
      </c>
      <c r="B248" t="s">
        <v>2248</v>
      </c>
      <c r="C248" t="s">
        <v>2252</v>
      </c>
      <c r="D248" t="s">
        <v>2369</v>
      </c>
    </row>
    <row r="249" spans="1:4" x14ac:dyDescent="0.3">
      <c r="A249" t="s">
        <v>2127</v>
      </c>
      <c r="B249" t="s">
        <v>2248</v>
      </c>
      <c r="C249" t="s">
        <v>2251</v>
      </c>
      <c r="D249" t="s">
        <v>2369</v>
      </c>
    </row>
    <row r="250" spans="1:4" x14ac:dyDescent="0.3">
      <c r="A250" t="s">
        <v>2127</v>
      </c>
      <c r="B250" t="s">
        <v>2248</v>
      </c>
      <c r="C250" t="s">
        <v>2249</v>
      </c>
      <c r="D250" t="s">
        <v>2369</v>
      </c>
    </row>
    <row r="251" spans="1:4" x14ac:dyDescent="0.3">
      <c r="A251" t="s">
        <v>2127</v>
      </c>
      <c r="B251" t="s">
        <v>2248</v>
      </c>
      <c r="C251" t="s">
        <v>2386</v>
      </c>
      <c r="D251" t="s">
        <v>2369</v>
      </c>
    </row>
    <row r="252" spans="1:4" x14ac:dyDescent="0.3">
      <c r="A252" t="s">
        <v>2127</v>
      </c>
      <c r="B252" t="s">
        <v>2227</v>
      </c>
      <c r="C252" t="s">
        <v>2232</v>
      </c>
      <c r="D252" t="s">
        <v>2369</v>
      </c>
    </row>
    <row r="253" spans="1:4" x14ac:dyDescent="0.3">
      <c r="A253" t="s">
        <v>2127</v>
      </c>
      <c r="B253" t="s">
        <v>2227</v>
      </c>
      <c r="C253" t="s">
        <v>2214</v>
      </c>
      <c r="D253" t="s">
        <v>2369</v>
      </c>
    </row>
    <row r="254" spans="1:4" x14ac:dyDescent="0.3">
      <c r="A254" t="s">
        <v>2127</v>
      </c>
      <c r="B254" t="s">
        <v>2227</v>
      </c>
      <c r="C254" t="s">
        <v>2215</v>
      </c>
      <c r="D254" t="s">
        <v>2369</v>
      </c>
    </row>
    <row r="255" spans="1:4" x14ac:dyDescent="0.3">
      <c r="A255" t="s">
        <v>2127</v>
      </c>
      <c r="B255" t="s">
        <v>2227</v>
      </c>
      <c r="C255" t="s">
        <v>2234</v>
      </c>
      <c r="D255" t="s">
        <v>2369</v>
      </c>
    </row>
    <row r="256" spans="1:4" x14ac:dyDescent="0.3">
      <c r="A256" t="s">
        <v>2127</v>
      </c>
      <c r="B256" t="s">
        <v>2227</v>
      </c>
      <c r="C256" t="s">
        <v>2387</v>
      </c>
      <c r="D256" t="s">
        <v>2369</v>
      </c>
    </row>
    <row r="257" spans="1:4" x14ac:dyDescent="0.3">
      <c r="A257" t="s">
        <v>2127</v>
      </c>
      <c r="B257" t="s">
        <v>2227</v>
      </c>
      <c r="C257" t="s">
        <v>2216</v>
      </c>
      <c r="D257" t="s">
        <v>2369</v>
      </c>
    </row>
    <row r="258" spans="1:4" x14ac:dyDescent="0.3">
      <c r="A258" t="s">
        <v>2127</v>
      </c>
      <c r="B258" t="s">
        <v>2227</v>
      </c>
      <c r="C258" t="s">
        <v>2213</v>
      </c>
      <c r="D258" t="s">
        <v>2369</v>
      </c>
    </row>
    <row r="259" spans="1:4" x14ac:dyDescent="0.3">
      <c r="A259" t="s">
        <v>2127</v>
      </c>
      <c r="B259" t="s">
        <v>2227</v>
      </c>
      <c r="C259" t="s">
        <v>2233</v>
      </c>
      <c r="D259" t="s">
        <v>2369</v>
      </c>
    </row>
    <row r="260" spans="1:4" x14ac:dyDescent="0.3">
      <c r="A260" t="s">
        <v>2127</v>
      </c>
      <c r="B260" t="s">
        <v>2227</v>
      </c>
      <c r="C260" t="s">
        <v>2229</v>
      </c>
      <c r="D260" t="s">
        <v>2369</v>
      </c>
    </row>
    <row r="261" spans="1:4" x14ac:dyDescent="0.3">
      <c r="A261" t="s">
        <v>2127</v>
      </c>
      <c r="B261" t="s">
        <v>2227</v>
      </c>
      <c r="C261" t="s">
        <v>2212</v>
      </c>
      <c r="D261" t="s">
        <v>2369</v>
      </c>
    </row>
    <row r="262" spans="1:4" x14ac:dyDescent="0.3">
      <c r="A262" t="s">
        <v>2127</v>
      </c>
      <c r="B262" t="s">
        <v>2227</v>
      </c>
      <c r="C262" t="s">
        <v>2230</v>
      </c>
      <c r="D262" t="s">
        <v>2369</v>
      </c>
    </row>
    <row r="263" spans="1:4" x14ac:dyDescent="0.3">
      <c r="A263" t="s">
        <v>2127</v>
      </c>
      <c r="B263" t="s">
        <v>2227</v>
      </c>
      <c r="C263" t="s">
        <v>2231</v>
      </c>
      <c r="D263" t="s">
        <v>2369</v>
      </c>
    </row>
    <row r="264" spans="1:4" x14ac:dyDescent="0.3">
      <c r="A264" t="s">
        <v>363</v>
      </c>
      <c r="B264" t="s">
        <v>385</v>
      </c>
      <c r="C264" t="s">
        <v>387</v>
      </c>
      <c r="D264" t="s">
        <v>2369</v>
      </c>
    </row>
    <row r="265" spans="1:4" x14ac:dyDescent="0.3">
      <c r="A265" t="s">
        <v>363</v>
      </c>
      <c r="B265" t="s">
        <v>385</v>
      </c>
      <c r="C265" t="s">
        <v>389</v>
      </c>
      <c r="D265" t="s">
        <v>2369</v>
      </c>
    </row>
    <row r="266" spans="1:4" x14ac:dyDescent="0.3">
      <c r="A266" t="s">
        <v>363</v>
      </c>
      <c r="B266" t="s">
        <v>385</v>
      </c>
      <c r="C266" t="s">
        <v>391</v>
      </c>
      <c r="D266" t="s">
        <v>2369</v>
      </c>
    </row>
    <row r="267" spans="1:4" x14ac:dyDescent="0.3">
      <c r="A267" t="s">
        <v>363</v>
      </c>
      <c r="B267" t="s">
        <v>385</v>
      </c>
      <c r="C267" t="s">
        <v>393</v>
      </c>
      <c r="D267" t="s">
        <v>2369</v>
      </c>
    </row>
    <row r="268" spans="1:4" x14ac:dyDescent="0.3">
      <c r="A268" t="s">
        <v>363</v>
      </c>
      <c r="B268" t="s">
        <v>385</v>
      </c>
      <c r="C268" t="s">
        <v>2388</v>
      </c>
      <c r="D268" t="s">
        <v>2369</v>
      </c>
    </row>
    <row r="269" spans="1:4" x14ac:dyDescent="0.3">
      <c r="A269" t="s">
        <v>363</v>
      </c>
      <c r="B269" t="s">
        <v>385</v>
      </c>
      <c r="C269" t="s">
        <v>395</v>
      </c>
      <c r="D269" t="s">
        <v>2369</v>
      </c>
    </row>
    <row r="270" spans="1:4" x14ac:dyDescent="0.3">
      <c r="A270" t="s">
        <v>363</v>
      </c>
      <c r="B270" t="s">
        <v>875</v>
      </c>
      <c r="C270" t="s">
        <v>895</v>
      </c>
      <c r="D270" t="s">
        <v>2369</v>
      </c>
    </row>
    <row r="271" spans="1:4" x14ac:dyDescent="0.3">
      <c r="A271" t="s">
        <v>363</v>
      </c>
      <c r="B271" t="s">
        <v>875</v>
      </c>
      <c r="C271" t="s">
        <v>905</v>
      </c>
      <c r="D271" t="s">
        <v>2369</v>
      </c>
    </row>
    <row r="272" spans="1:4" x14ac:dyDescent="0.3">
      <c r="A272" t="s">
        <v>363</v>
      </c>
      <c r="B272" t="s">
        <v>875</v>
      </c>
      <c r="C272" t="s">
        <v>901</v>
      </c>
      <c r="D272" t="s">
        <v>2369</v>
      </c>
    </row>
    <row r="273" spans="1:4" x14ac:dyDescent="0.3">
      <c r="A273" t="s">
        <v>363</v>
      </c>
      <c r="B273" t="s">
        <v>875</v>
      </c>
      <c r="C273" t="s">
        <v>887</v>
      </c>
      <c r="D273" t="s">
        <v>2369</v>
      </c>
    </row>
    <row r="274" spans="1:4" x14ac:dyDescent="0.3">
      <c r="A274" t="s">
        <v>363</v>
      </c>
      <c r="B274" t="s">
        <v>875</v>
      </c>
      <c r="C274" t="s">
        <v>880</v>
      </c>
      <c r="D274" t="s">
        <v>2369</v>
      </c>
    </row>
    <row r="275" spans="1:4" x14ac:dyDescent="0.3">
      <c r="A275" t="s">
        <v>363</v>
      </c>
      <c r="B275" t="s">
        <v>875</v>
      </c>
      <c r="C275" t="s">
        <v>903</v>
      </c>
      <c r="D275" t="s">
        <v>2369</v>
      </c>
    </row>
    <row r="276" spans="1:4" x14ac:dyDescent="0.3">
      <c r="A276" t="s">
        <v>363</v>
      </c>
      <c r="B276" t="s">
        <v>875</v>
      </c>
      <c r="C276" t="s">
        <v>878</v>
      </c>
      <c r="D276" t="s">
        <v>2369</v>
      </c>
    </row>
    <row r="277" spans="1:4" x14ac:dyDescent="0.3">
      <c r="A277" t="s">
        <v>363</v>
      </c>
      <c r="B277" t="s">
        <v>875</v>
      </c>
      <c r="C277" t="s">
        <v>891</v>
      </c>
      <c r="D277" t="s">
        <v>2369</v>
      </c>
    </row>
    <row r="278" spans="1:4" x14ac:dyDescent="0.3">
      <c r="A278" t="s">
        <v>363</v>
      </c>
      <c r="B278" t="s">
        <v>875</v>
      </c>
      <c r="C278" t="s">
        <v>876</v>
      </c>
      <c r="D278" t="s">
        <v>2369</v>
      </c>
    </row>
    <row r="279" spans="1:4" x14ac:dyDescent="0.3">
      <c r="A279" t="s">
        <v>363</v>
      </c>
      <c r="B279" t="s">
        <v>875</v>
      </c>
      <c r="C279" t="s">
        <v>893</v>
      </c>
      <c r="D279" t="s">
        <v>2369</v>
      </c>
    </row>
    <row r="280" spans="1:4" x14ac:dyDescent="0.3">
      <c r="A280" t="s">
        <v>363</v>
      </c>
      <c r="B280" t="s">
        <v>875</v>
      </c>
      <c r="C280" t="s">
        <v>882</v>
      </c>
      <c r="D280" t="s">
        <v>2369</v>
      </c>
    </row>
    <row r="281" spans="1:4" x14ac:dyDescent="0.3">
      <c r="A281" t="s">
        <v>363</v>
      </c>
      <c r="B281" t="s">
        <v>875</v>
      </c>
      <c r="C281" t="s">
        <v>884</v>
      </c>
      <c r="D281" t="s">
        <v>2369</v>
      </c>
    </row>
    <row r="282" spans="1:4" x14ac:dyDescent="0.3">
      <c r="A282" t="s">
        <v>1584</v>
      </c>
      <c r="B282" t="s">
        <v>2350</v>
      </c>
      <c r="C282" t="s">
        <v>2389</v>
      </c>
      <c r="D282" t="s">
        <v>2369</v>
      </c>
    </row>
    <row r="283" spans="1:4" x14ac:dyDescent="0.3">
      <c r="A283" t="s">
        <v>2127</v>
      </c>
      <c r="B283" t="s">
        <v>2147</v>
      </c>
      <c r="C283" t="s">
        <v>2150</v>
      </c>
      <c r="D283" t="s">
        <v>2369</v>
      </c>
    </row>
    <row r="284" spans="1:4" x14ac:dyDescent="0.3">
      <c r="A284" t="s">
        <v>2127</v>
      </c>
      <c r="B284" t="s">
        <v>2147</v>
      </c>
      <c r="C284" t="s">
        <v>2152</v>
      </c>
      <c r="D284" t="s">
        <v>2369</v>
      </c>
    </row>
    <row r="285" spans="1:4" x14ac:dyDescent="0.3">
      <c r="A285" t="s">
        <v>2127</v>
      </c>
      <c r="B285" t="s">
        <v>2147</v>
      </c>
      <c r="C285" t="s">
        <v>2149</v>
      </c>
      <c r="D285" t="s">
        <v>2369</v>
      </c>
    </row>
    <row r="286" spans="1:4" x14ac:dyDescent="0.3">
      <c r="A286" t="s">
        <v>2127</v>
      </c>
      <c r="B286" t="s">
        <v>2147</v>
      </c>
      <c r="C286" t="s">
        <v>2151</v>
      </c>
      <c r="D286" t="s">
        <v>2369</v>
      </c>
    </row>
    <row r="287" spans="1:4" x14ac:dyDescent="0.3">
      <c r="A287" t="s">
        <v>2127</v>
      </c>
      <c r="B287" t="s">
        <v>2183</v>
      </c>
      <c r="C287" t="s">
        <v>2390</v>
      </c>
      <c r="D287" t="s">
        <v>2369</v>
      </c>
    </row>
    <row r="288" spans="1:4" x14ac:dyDescent="0.3">
      <c r="A288" t="s">
        <v>2127</v>
      </c>
      <c r="B288" t="s">
        <v>2183</v>
      </c>
      <c r="C288" t="s">
        <v>2391</v>
      </c>
      <c r="D288" t="s">
        <v>2369</v>
      </c>
    </row>
    <row r="289" spans="1:4" x14ac:dyDescent="0.3">
      <c r="A289" t="s">
        <v>2127</v>
      </c>
      <c r="B289" t="s">
        <v>2183</v>
      </c>
      <c r="C289" t="s">
        <v>2392</v>
      </c>
      <c r="D289" t="s">
        <v>2369</v>
      </c>
    </row>
    <row r="290" spans="1:4" x14ac:dyDescent="0.3">
      <c r="A290" t="s">
        <v>2127</v>
      </c>
      <c r="B290" t="s">
        <v>2183</v>
      </c>
      <c r="C290" t="s">
        <v>2393</v>
      </c>
      <c r="D290" t="s">
        <v>2369</v>
      </c>
    </row>
    <row r="291" spans="1:4" x14ac:dyDescent="0.3">
      <c r="A291" t="s">
        <v>2127</v>
      </c>
      <c r="B291" t="s">
        <v>2183</v>
      </c>
      <c r="C291" t="s">
        <v>2394</v>
      </c>
      <c r="D291" t="s">
        <v>2369</v>
      </c>
    </row>
    <row r="292" spans="1:4" x14ac:dyDescent="0.3">
      <c r="A292" t="s">
        <v>2127</v>
      </c>
      <c r="B292" t="s">
        <v>2183</v>
      </c>
      <c r="C292" t="s">
        <v>2395</v>
      </c>
      <c r="D292" t="s">
        <v>2369</v>
      </c>
    </row>
    <row r="293" spans="1:4" x14ac:dyDescent="0.3">
      <c r="A293" t="s">
        <v>2127</v>
      </c>
      <c r="B293" t="s">
        <v>2183</v>
      </c>
      <c r="C293" t="s">
        <v>2185</v>
      </c>
      <c r="D293" t="s">
        <v>2369</v>
      </c>
    </row>
    <row r="294" spans="1:4" x14ac:dyDescent="0.3">
      <c r="A294" t="s">
        <v>2127</v>
      </c>
      <c r="B294" t="s">
        <v>2183</v>
      </c>
      <c r="C294" t="s">
        <v>2193</v>
      </c>
      <c r="D294" t="s">
        <v>2369</v>
      </c>
    </row>
    <row r="295" spans="1:4" x14ac:dyDescent="0.3">
      <c r="A295" t="s">
        <v>2127</v>
      </c>
      <c r="B295" t="s">
        <v>2183</v>
      </c>
      <c r="C295" t="s">
        <v>2192</v>
      </c>
      <c r="D295" t="s">
        <v>2369</v>
      </c>
    </row>
    <row r="296" spans="1:4" x14ac:dyDescent="0.3">
      <c r="A296" t="s">
        <v>2127</v>
      </c>
      <c r="B296" t="s">
        <v>2183</v>
      </c>
      <c r="C296" t="s">
        <v>2396</v>
      </c>
      <c r="D296" t="s">
        <v>2369</v>
      </c>
    </row>
    <row r="297" spans="1:4" x14ac:dyDescent="0.3">
      <c r="A297" t="s">
        <v>2127</v>
      </c>
      <c r="B297" t="s">
        <v>2183</v>
      </c>
      <c r="C297" t="s">
        <v>2191</v>
      </c>
      <c r="D297" t="s">
        <v>2369</v>
      </c>
    </row>
    <row r="298" spans="1:4" x14ac:dyDescent="0.3">
      <c r="A298" t="s">
        <v>363</v>
      </c>
      <c r="B298" t="s">
        <v>907</v>
      </c>
      <c r="C298" t="s">
        <v>931</v>
      </c>
      <c r="D298" t="s">
        <v>2369</v>
      </c>
    </row>
    <row r="299" spans="1:4" x14ac:dyDescent="0.3">
      <c r="A299" t="s">
        <v>363</v>
      </c>
      <c r="B299" t="s">
        <v>907</v>
      </c>
      <c r="C299" t="s">
        <v>930</v>
      </c>
      <c r="D299" t="s">
        <v>2369</v>
      </c>
    </row>
    <row r="300" spans="1:4" x14ac:dyDescent="0.3">
      <c r="A300" t="s">
        <v>363</v>
      </c>
      <c r="B300" t="s">
        <v>907</v>
      </c>
      <c r="C300" t="s">
        <v>926</v>
      </c>
      <c r="D300" t="s">
        <v>2369</v>
      </c>
    </row>
    <row r="301" spans="1:4" x14ac:dyDescent="0.3">
      <c r="A301" t="s">
        <v>363</v>
      </c>
      <c r="B301" t="s">
        <v>907</v>
      </c>
      <c r="C301" t="s">
        <v>908</v>
      </c>
      <c r="D301" t="s">
        <v>2369</v>
      </c>
    </row>
    <row r="302" spans="1:4" x14ac:dyDescent="0.3">
      <c r="A302" t="s">
        <v>363</v>
      </c>
      <c r="B302" t="s">
        <v>907</v>
      </c>
      <c r="C302" t="s">
        <v>928</v>
      </c>
      <c r="D302" t="s">
        <v>2369</v>
      </c>
    </row>
    <row r="303" spans="1:4" x14ac:dyDescent="0.3">
      <c r="A303" t="s">
        <v>363</v>
      </c>
      <c r="B303" t="s">
        <v>907</v>
      </c>
      <c r="C303" t="s">
        <v>910</v>
      </c>
      <c r="D303" t="s">
        <v>2369</v>
      </c>
    </row>
    <row r="304" spans="1:4" x14ac:dyDescent="0.3">
      <c r="A304" t="s">
        <v>363</v>
      </c>
      <c r="B304" t="s">
        <v>907</v>
      </c>
      <c r="C304" t="s">
        <v>914</v>
      </c>
      <c r="D304" t="s">
        <v>2369</v>
      </c>
    </row>
    <row r="305" spans="1:4" x14ac:dyDescent="0.3">
      <c r="A305" t="s">
        <v>363</v>
      </c>
      <c r="B305" t="s">
        <v>907</v>
      </c>
      <c r="C305" t="s">
        <v>920</v>
      </c>
      <c r="D305" t="s">
        <v>2369</v>
      </c>
    </row>
    <row r="306" spans="1:4" x14ac:dyDescent="0.3">
      <c r="A306" t="s">
        <v>363</v>
      </c>
      <c r="B306" t="s">
        <v>907</v>
      </c>
      <c r="C306" t="s">
        <v>922</v>
      </c>
      <c r="D306" t="s">
        <v>2369</v>
      </c>
    </row>
    <row r="307" spans="1:4" x14ac:dyDescent="0.3">
      <c r="A307" t="s">
        <v>363</v>
      </c>
      <c r="B307" t="s">
        <v>907</v>
      </c>
      <c r="C307" t="s">
        <v>912</v>
      </c>
      <c r="D307" t="s">
        <v>2369</v>
      </c>
    </row>
    <row r="308" spans="1:4" x14ac:dyDescent="0.3">
      <c r="A308" t="s">
        <v>363</v>
      </c>
      <c r="B308" t="s">
        <v>907</v>
      </c>
      <c r="C308" t="s">
        <v>924</v>
      </c>
      <c r="D308" t="s">
        <v>2369</v>
      </c>
    </row>
    <row r="309" spans="1:4" x14ac:dyDescent="0.3">
      <c r="A309" t="s">
        <v>363</v>
      </c>
      <c r="B309" t="s">
        <v>907</v>
      </c>
      <c r="C309" t="s">
        <v>921</v>
      </c>
      <c r="D309" t="s">
        <v>2369</v>
      </c>
    </row>
    <row r="310" spans="1:4" x14ac:dyDescent="0.3">
      <c r="A310" t="s">
        <v>363</v>
      </c>
      <c r="B310" t="s">
        <v>907</v>
      </c>
      <c r="C310" t="s">
        <v>911</v>
      </c>
      <c r="D310" t="s">
        <v>2369</v>
      </c>
    </row>
    <row r="311" spans="1:4" x14ac:dyDescent="0.3">
      <c r="A311" t="s">
        <v>363</v>
      </c>
      <c r="B311" t="s">
        <v>907</v>
      </c>
      <c r="C311" t="s">
        <v>916</v>
      </c>
      <c r="D311" t="s">
        <v>2369</v>
      </c>
    </row>
    <row r="312" spans="1:4" x14ac:dyDescent="0.3">
      <c r="A312" t="s">
        <v>363</v>
      </c>
      <c r="B312" t="s">
        <v>907</v>
      </c>
      <c r="C312" t="s">
        <v>918</v>
      </c>
      <c r="D312" t="s">
        <v>2369</v>
      </c>
    </row>
    <row r="313" spans="1:4" x14ac:dyDescent="0.3">
      <c r="A313" t="s">
        <v>1584</v>
      </c>
      <c r="B313" t="s">
        <v>1590</v>
      </c>
      <c r="C313" t="s">
        <v>1593</v>
      </c>
      <c r="D313" t="s">
        <v>2369</v>
      </c>
    </row>
    <row r="314" spans="1:4" x14ac:dyDescent="0.3">
      <c r="A314" t="s">
        <v>1584</v>
      </c>
      <c r="B314" t="s">
        <v>1590</v>
      </c>
      <c r="C314" t="s">
        <v>1595</v>
      </c>
      <c r="D314" t="s">
        <v>2369</v>
      </c>
    </row>
    <row r="315" spans="1:4" x14ac:dyDescent="0.3">
      <c r="A315" t="s">
        <v>1584</v>
      </c>
      <c r="B315" t="s">
        <v>1590</v>
      </c>
      <c r="C315" t="s">
        <v>1596</v>
      </c>
      <c r="D315" t="s">
        <v>2369</v>
      </c>
    </row>
    <row r="316" spans="1:4" x14ac:dyDescent="0.3">
      <c r="A316" t="s">
        <v>1584</v>
      </c>
      <c r="B316" t="s">
        <v>1590</v>
      </c>
      <c r="C316" t="s">
        <v>1598</v>
      </c>
      <c r="D316" t="s">
        <v>2369</v>
      </c>
    </row>
    <row r="317" spans="1:4" x14ac:dyDescent="0.3">
      <c r="A317" t="s">
        <v>363</v>
      </c>
      <c r="B317" t="s">
        <v>1051</v>
      </c>
      <c r="C317" t="s">
        <v>1054</v>
      </c>
      <c r="D317" t="s">
        <v>2369</v>
      </c>
    </row>
    <row r="318" spans="1:4" x14ac:dyDescent="0.3">
      <c r="A318" t="s">
        <v>363</v>
      </c>
      <c r="B318" t="s">
        <v>1051</v>
      </c>
      <c r="C318" t="s">
        <v>1067</v>
      </c>
      <c r="D318" t="s">
        <v>2369</v>
      </c>
    </row>
    <row r="319" spans="1:4" x14ac:dyDescent="0.3">
      <c r="A319" t="s">
        <v>363</v>
      </c>
      <c r="B319" t="s">
        <v>1051</v>
      </c>
      <c r="C319" t="s">
        <v>1065</v>
      </c>
      <c r="D319" t="s">
        <v>2369</v>
      </c>
    </row>
    <row r="320" spans="1:4" x14ac:dyDescent="0.3">
      <c r="A320" t="s">
        <v>363</v>
      </c>
      <c r="B320" t="s">
        <v>1051</v>
      </c>
      <c r="C320" t="s">
        <v>1057</v>
      </c>
      <c r="D320" t="s">
        <v>2369</v>
      </c>
    </row>
    <row r="321" spans="1:4" x14ac:dyDescent="0.3">
      <c r="A321" t="s">
        <v>363</v>
      </c>
      <c r="B321" t="s">
        <v>1051</v>
      </c>
      <c r="C321" t="s">
        <v>1061</v>
      </c>
      <c r="D321" t="s">
        <v>2369</v>
      </c>
    </row>
    <row r="322" spans="1:4" x14ac:dyDescent="0.3">
      <c r="A322" t="s">
        <v>363</v>
      </c>
      <c r="B322" t="s">
        <v>1051</v>
      </c>
      <c r="C322" t="s">
        <v>1063</v>
      </c>
      <c r="D322" t="s">
        <v>2369</v>
      </c>
    </row>
    <row r="323" spans="1:4" x14ac:dyDescent="0.3">
      <c r="A323" t="s">
        <v>363</v>
      </c>
      <c r="B323" t="s">
        <v>1051</v>
      </c>
      <c r="C323" t="s">
        <v>1070</v>
      </c>
      <c r="D323" t="s">
        <v>2369</v>
      </c>
    </row>
    <row r="324" spans="1:4" x14ac:dyDescent="0.3">
      <c r="A324" t="s">
        <v>363</v>
      </c>
      <c r="B324" t="s">
        <v>1051</v>
      </c>
      <c r="C324" t="s">
        <v>1072</v>
      </c>
      <c r="D324" t="s">
        <v>2369</v>
      </c>
    </row>
    <row r="325" spans="1:4" x14ac:dyDescent="0.3">
      <c r="A325" t="s">
        <v>363</v>
      </c>
      <c r="B325" t="s">
        <v>1051</v>
      </c>
      <c r="C325" t="s">
        <v>1075</v>
      </c>
      <c r="D325" t="s">
        <v>2369</v>
      </c>
    </row>
    <row r="326" spans="1:4" x14ac:dyDescent="0.3">
      <c r="A326" t="s">
        <v>363</v>
      </c>
      <c r="B326" t="s">
        <v>1051</v>
      </c>
      <c r="C326" t="s">
        <v>1059</v>
      </c>
      <c r="D326" t="s">
        <v>2369</v>
      </c>
    </row>
    <row r="327" spans="1:4" x14ac:dyDescent="0.3">
      <c r="A327" t="s">
        <v>1</v>
      </c>
      <c r="B327" t="s">
        <v>6</v>
      </c>
      <c r="C327" t="s">
        <v>2003</v>
      </c>
      <c r="D327" t="s">
        <v>2369</v>
      </c>
    </row>
    <row r="328" spans="1:4" x14ac:dyDescent="0.3">
      <c r="A328" t="s">
        <v>1</v>
      </c>
      <c r="B328" t="s">
        <v>6</v>
      </c>
      <c r="C328" t="s">
        <v>2051</v>
      </c>
      <c r="D328" t="s">
        <v>2369</v>
      </c>
    </row>
    <row r="329" spans="1:4" x14ac:dyDescent="0.3">
      <c r="A329" t="s">
        <v>1</v>
      </c>
      <c r="B329" t="s">
        <v>6</v>
      </c>
      <c r="C329" t="s">
        <v>2005</v>
      </c>
      <c r="D329" t="s">
        <v>2369</v>
      </c>
    </row>
    <row r="330" spans="1:4" x14ac:dyDescent="0.3">
      <c r="A330" t="s">
        <v>1</v>
      </c>
      <c r="B330" t="s">
        <v>6</v>
      </c>
      <c r="C330" t="s">
        <v>2007</v>
      </c>
      <c r="D330" t="s">
        <v>2369</v>
      </c>
    </row>
    <row r="331" spans="1:4" x14ac:dyDescent="0.3">
      <c r="A331" t="s">
        <v>1</v>
      </c>
      <c r="B331" t="s">
        <v>6</v>
      </c>
      <c r="C331" t="s">
        <v>2009</v>
      </c>
      <c r="D331" t="s">
        <v>2369</v>
      </c>
    </row>
    <row r="332" spans="1:4" x14ac:dyDescent="0.3">
      <c r="A332" t="s">
        <v>1</v>
      </c>
      <c r="B332" t="s">
        <v>6</v>
      </c>
      <c r="C332" t="s">
        <v>2011</v>
      </c>
      <c r="D332" t="s">
        <v>2369</v>
      </c>
    </row>
    <row r="333" spans="1:4" x14ac:dyDescent="0.3">
      <c r="A333" t="s">
        <v>363</v>
      </c>
      <c r="B333" t="s">
        <v>557</v>
      </c>
      <c r="C333" t="s">
        <v>712</v>
      </c>
      <c r="D333" t="s">
        <v>2369</v>
      </c>
    </row>
    <row r="334" spans="1:4" x14ac:dyDescent="0.3">
      <c r="A334" t="s">
        <v>363</v>
      </c>
      <c r="B334" t="s">
        <v>557</v>
      </c>
      <c r="C334" t="s">
        <v>655</v>
      </c>
      <c r="D334" t="s">
        <v>2369</v>
      </c>
    </row>
    <row r="335" spans="1:4" x14ac:dyDescent="0.3">
      <c r="A335" t="s">
        <v>363</v>
      </c>
      <c r="B335" t="s">
        <v>557</v>
      </c>
      <c r="C335" t="s">
        <v>600</v>
      </c>
      <c r="D335" t="s">
        <v>2369</v>
      </c>
    </row>
    <row r="336" spans="1:4" x14ac:dyDescent="0.3">
      <c r="A336" t="s">
        <v>363</v>
      </c>
      <c r="B336" t="s">
        <v>557</v>
      </c>
      <c r="C336" t="s">
        <v>517</v>
      </c>
      <c r="D336" t="s">
        <v>2369</v>
      </c>
    </row>
    <row r="337" spans="1:4" x14ac:dyDescent="0.3">
      <c r="A337" t="s">
        <v>363</v>
      </c>
      <c r="B337" t="s">
        <v>557</v>
      </c>
      <c r="C337" t="s">
        <v>562</v>
      </c>
      <c r="D337" t="s">
        <v>2369</v>
      </c>
    </row>
    <row r="338" spans="1:4" x14ac:dyDescent="0.3">
      <c r="A338" t="s">
        <v>363</v>
      </c>
      <c r="B338" t="s">
        <v>557</v>
      </c>
      <c r="C338" t="s">
        <v>569</v>
      </c>
      <c r="D338" t="s">
        <v>2369</v>
      </c>
    </row>
    <row r="339" spans="1:4" x14ac:dyDescent="0.3">
      <c r="A339" t="s">
        <v>363</v>
      </c>
      <c r="B339" t="s">
        <v>557</v>
      </c>
      <c r="C339" t="s">
        <v>579</v>
      </c>
      <c r="D339" t="s">
        <v>2369</v>
      </c>
    </row>
    <row r="340" spans="1:4" x14ac:dyDescent="0.3">
      <c r="A340" t="s">
        <v>363</v>
      </c>
      <c r="B340" t="s">
        <v>557</v>
      </c>
      <c r="C340" t="s">
        <v>576</v>
      </c>
      <c r="D340" t="s">
        <v>2369</v>
      </c>
    </row>
    <row r="341" spans="1:4" x14ac:dyDescent="0.3">
      <c r="A341" t="s">
        <v>363</v>
      </c>
      <c r="B341" t="s">
        <v>557</v>
      </c>
      <c r="C341" t="s">
        <v>585</v>
      </c>
      <c r="D341" t="s">
        <v>2369</v>
      </c>
    </row>
    <row r="342" spans="1:4" x14ac:dyDescent="0.3">
      <c r="A342" t="s">
        <v>363</v>
      </c>
      <c r="B342" t="s">
        <v>557</v>
      </c>
      <c r="C342" t="s">
        <v>566</v>
      </c>
      <c r="D342" t="s">
        <v>2369</v>
      </c>
    </row>
    <row r="343" spans="1:4" x14ac:dyDescent="0.3">
      <c r="A343" t="s">
        <v>363</v>
      </c>
      <c r="B343" t="s">
        <v>557</v>
      </c>
      <c r="C343" t="s">
        <v>603</v>
      </c>
      <c r="D343" t="s">
        <v>2369</v>
      </c>
    </row>
    <row r="344" spans="1:4" x14ac:dyDescent="0.3">
      <c r="A344" t="s">
        <v>363</v>
      </c>
      <c r="B344" t="s">
        <v>557</v>
      </c>
      <c r="C344" t="s">
        <v>582</v>
      </c>
      <c r="D344" t="s">
        <v>2369</v>
      </c>
    </row>
    <row r="345" spans="1:4" x14ac:dyDescent="0.3">
      <c r="A345" t="s">
        <v>363</v>
      </c>
      <c r="B345" t="s">
        <v>557</v>
      </c>
      <c r="C345" t="s">
        <v>572</v>
      </c>
      <c r="D345" t="s">
        <v>2369</v>
      </c>
    </row>
    <row r="346" spans="1:4" x14ac:dyDescent="0.3">
      <c r="A346" t="s">
        <v>363</v>
      </c>
      <c r="B346" t="s">
        <v>557</v>
      </c>
      <c r="C346" t="s">
        <v>738</v>
      </c>
      <c r="D346" t="s">
        <v>2369</v>
      </c>
    </row>
    <row r="347" spans="1:4" x14ac:dyDescent="0.3">
      <c r="A347" t="s">
        <v>363</v>
      </c>
      <c r="B347" t="s">
        <v>557</v>
      </c>
      <c r="C347" t="s">
        <v>597</v>
      </c>
      <c r="D347" t="s">
        <v>2369</v>
      </c>
    </row>
    <row r="348" spans="1:4" x14ac:dyDescent="0.3">
      <c r="A348" t="s">
        <v>363</v>
      </c>
      <c r="B348" t="s">
        <v>557</v>
      </c>
      <c r="C348" t="s">
        <v>574</v>
      </c>
      <c r="D348" t="s">
        <v>2369</v>
      </c>
    </row>
    <row r="349" spans="1:4" x14ac:dyDescent="0.3">
      <c r="A349" t="s">
        <v>363</v>
      </c>
      <c r="B349" t="s">
        <v>557</v>
      </c>
      <c r="C349" t="s">
        <v>591</v>
      </c>
      <c r="D349" t="s">
        <v>2369</v>
      </c>
    </row>
    <row r="350" spans="1:4" x14ac:dyDescent="0.3">
      <c r="A350" t="s">
        <v>363</v>
      </c>
      <c r="B350" t="s">
        <v>557</v>
      </c>
      <c r="C350" t="s">
        <v>588</v>
      </c>
      <c r="D350" t="s">
        <v>2369</v>
      </c>
    </row>
    <row r="351" spans="1:4" x14ac:dyDescent="0.3">
      <c r="A351" t="s">
        <v>363</v>
      </c>
      <c r="B351" t="s">
        <v>557</v>
      </c>
      <c r="C351" t="s">
        <v>594</v>
      </c>
      <c r="D351" t="s">
        <v>2369</v>
      </c>
    </row>
    <row r="352" spans="1:4" x14ac:dyDescent="0.3">
      <c r="A352" t="s">
        <v>1584</v>
      </c>
      <c r="B352" t="s">
        <v>2353</v>
      </c>
      <c r="C352" t="s">
        <v>2397</v>
      </c>
      <c r="D352" t="s">
        <v>2369</v>
      </c>
    </row>
    <row r="353" spans="1:4" x14ac:dyDescent="0.3">
      <c r="A353" t="s">
        <v>1584</v>
      </c>
      <c r="B353" t="s">
        <v>2353</v>
      </c>
      <c r="C353" t="s">
        <v>2398</v>
      </c>
      <c r="D353" t="s">
        <v>2369</v>
      </c>
    </row>
    <row r="354" spans="1:4" x14ac:dyDescent="0.3">
      <c r="A354" t="s">
        <v>1584</v>
      </c>
      <c r="B354" t="s">
        <v>2353</v>
      </c>
      <c r="C354" t="s">
        <v>1611</v>
      </c>
      <c r="D354" t="s">
        <v>2369</v>
      </c>
    </row>
    <row r="355" spans="1:4" x14ac:dyDescent="0.3">
      <c r="A355" t="s">
        <v>1584</v>
      </c>
      <c r="B355" t="s">
        <v>2353</v>
      </c>
      <c r="C355" t="s">
        <v>2399</v>
      </c>
      <c r="D355" t="s">
        <v>2369</v>
      </c>
    </row>
    <row r="356" spans="1:4" x14ac:dyDescent="0.3">
      <c r="A356" t="s">
        <v>1584</v>
      </c>
      <c r="B356" t="s">
        <v>2353</v>
      </c>
      <c r="C356" t="s">
        <v>1608</v>
      </c>
      <c r="D356" t="s">
        <v>2369</v>
      </c>
    </row>
    <row r="357" spans="1:4" x14ac:dyDescent="0.3">
      <c r="A357" t="s">
        <v>1584</v>
      </c>
      <c r="B357" t="s">
        <v>2353</v>
      </c>
      <c r="C357" t="s">
        <v>2400</v>
      </c>
      <c r="D357" t="s">
        <v>2369</v>
      </c>
    </row>
    <row r="358" spans="1:4" x14ac:dyDescent="0.3">
      <c r="A358" t="s">
        <v>1584</v>
      </c>
      <c r="B358" t="s">
        <v>2353</v>
      </c>
      <c r="C358" t="s">
        <v>1606</v>
      </c>
      <c r="D358" t="s">
        <v>2369</v>
      </c>
    </row>
    <row r="359" spans="1:4" x14ac:dyDescent="0.3">
      <c r="A359" t="s">
        <v>1584</v>
      </c>
      <c r="B359" t="s">
        <v>2353</v>
      </c>
      <c r="C359" t="s">
        <v>2401</v>
      </c>
      <c r="D359" t="s">
        <v>2369</v>
      </c>
    </row>
    <row r="360" spans="1:4" x14ac:dyDescent="0.3">
      <c r="A360" t="s">
        <v>1584</v>
      </c>
      <c r="B360" t="s">
        <v>2353</v>
      </c>
      <c r="C360" t="s">
        <v>1604</v>
      </c>
      <c r="D360" t="s">
        <v>2369</v>
      </c>
    </row>
    <row r="361" spans="1:4" x14ac:dyDescent="0.3">
      <c r="A361" t="s">
        <v>363</v>
      </c>
      <c r="B361" t="s">
        <v>1320</v>
      </c>
      <c r="C361" t="s">
        <v>1341</v>
      </c>
      <c r="D361" t="s">
        <v>2369</v>
      </c>
    </row>
    <row r="362" spans="1:4" x14ac:dyDescent="0.3">
      <c r="A362" t="s">
        <v>363</v>
      </c>
      <c r="B362" t="s">
        <v>1320</v>
      </c>
      <c r="C362" t="s">
        <v>1339</v>
      </c>
      <c r="D362" t="s">
        <v>2369</v>
      </c>
    </row>
    <row r="363" spans="1:4" x14ac:dyDescent="0.3">
      <c r="A363" t="s">
        <v>363</v>
      </c>
      <c r="B363" t="s">
        <v>1320</v>
      </c>
      <c r="C363" t="s">
        <v>1337</v>
      </c>
      <c r="D363" t="s">
        <v>2369</v>
      </c>
    </row>
    <row r="364" spans="1:4" x14ac:dyDescent="0.3">
      <c r="A364" t="s">
        <v>363</v>
      </c>
      <c r="B364" t="s">
        <v>1320</v>
      </c>
      <c r="C364" t="s">
        <v>1335</v>
      </c>
      <c r="D364" t="s">
        <v>2369</v>
      </c>
    </row>
    <row r="365" spans="1:4" x14ac:dyDescent="0.3">
      <c r="A365" t="s">
        <v>363</v>
      </c>
      <c r="B365" t="s">
        <v>1320</v>
      </c>
      <c r="C365" t="s">
        <v>1333</v>
      </c>
      <c r="D365" t="s">
        <v>2369</v>
      </c>
    </row>
    <row r="366" spans="1:4" x14ac:dyDescent="0.3">
      <c r="A366" t="s">
        <v>363</v>
      </c>
      <c r="B366" t="s">
        <v>1320</v>
      </c>
      <c r="C366" t="s">
        <v>1331</v>
      </c>
      <c r="D366" t="s">
        <v>2369</v>
      </c>
    </row>
    <row r="367" spans="1:4" x14ac:dyDescent="0.3">
      <c r="A367" t="s">
        <v>363</v>
      </c>
      <c r="B367" t="s">
        <v>1320</v>
      </c>
      <c r="C367" t="s">
        <v>1329</v>
      </c>
      <c r="D367" t="s">
        <v>2369</v>
      </c>
    </row>
    <row r="368" spans="1:4" x14ac:dyDescent="0.3">
      <c r="A368" t="s">
        <v>363</v>
      </c>
      <c r="B368" t="s">
        <v>1320</v>
      </c>
      <c r="C368" t="s">
        <v>1327</v>
      </c>
      <c r="D368" t="s">
        <v>2369</v>
      </c>
    </row>
    <row r="369" spans="1:4" x14ac:dyDescent="0.3">
      <c r="A369" t="s">
        <v>363</v>
      </c>
      <c r="B369" t="s">
        <v>1320</v>
      </c>
      <c r="C369" t="s">
        <v>1325</v>
      </c>
      <c r="D369" t="s">
        <v>2369</v>
      </c>
    </row>
    <row r="370" spans="1:4" x14ac:dyDescent="0.3">
      <c r="A370" t="s">
        <v>363</v>
      </c>
      <c r="B370" t="s">
        <v>1320</v>
      </c>
      <c r="C370" t="s">
        <v>1323</v>
      </c>
      <c r="D370" t="s">
        <v>2369</v>
      </c>
    </row>
    <row r="371" spans="1:4" x14ac:dyDescent="0.3">
      <c r="A371" t="s">
        <v>363</v>
      </c>
      <c r="B371" t="s">
        <v>1320</v>
      </c>
      <c r="C371" t="s">
        <v>1321</v>
      </c>
      <c r="D371" t="s">
        <v>2369</v>
      </c>
    </row>
    <row r="372" spans="1:4" x14ac:dyDescent="0.3">
      <c r="A372" t="s">
        <v>1584</v>
      </c>
      <c r="B372" t="s">
        <v>1615</v>
      </c>
      <c r="C372" t="s">
        <v>1637</v>
      </c>
      <c r="D372" t="s">
        <v>2369</v>
      </c>
    </row>
    <row r="373" spans="1:4" x14ac:dyDescent="0.3">
      <c r="A373" t="s">
        <v>1584</v>
      </c>
      <c r="B373" t="s">
        <v>1615</v>
      </c>
      <c r="C373" t="s">
        <v>1633</v>
      </c>
      <c r="D373" t="s">
        <v>2369</v>
      </c>
    </row>
    <row r="374" spans="1:4" x14ac:dyDescent="0.3">
      <c r="A374" t="s">
        <v>1584</v>
      </c>
      <c r="B374" t="s">
        <v>1615</v>
      </c>
      <c r="C374" t="s">
        <v>1632</v>
      </c>
      <c r="D374" t="s">
        <v>2369</v>
      </c>
    </row>
    <row r="375" spans="1:4" x14ac:dyDescent="0.3">
      <c r="A375" t="s">
        <v>1584</v>
      </c>
      <c r="B375" t="s">
        <v>1615</v>
      </c>
      <c r="C375" t="s">
        <v>2402</v>
      </c>
      <c r="D375" t="s">
        <v>2369</v>
      </c>
    </row>
    <row r="376" spans="1:4" x14ac:dyDescent="0.3">
      <c r="A376" t="s">
        <v>1584</v>
      </c>
      <c r="B376" t="s">
        <v>1615</v>
      </c>
      <c r="C376" t="s">
        <v>1626</v>
      </c>
      <c r="D376" t="s">
        <v>2369</v>
      </c>
    </row>
    <row r="377" spans="1:4" x14ac:dyDescent="0.3">
      <c r="A377" t="s">
        <v>1584</v>
      </c>
      <c r="B377" t="s">
        <v>1615</v>
      </c>
      <c r="C377" t="s">
        <v>2403</v>
      </c>
      <c r="D377" t="s">
        <v>2369</v>
      </c>
    </row>
    <row r="378" spans="1:4" x14ac:dyDescent="0.3">
      <c r="A378" t="s">
        <v>1584</v>
      </c>
      <c r="B378" t="s">
        <v>1615</v>
      </c>
      <c r="C378" t="s">
        <v>2404</v>
      </c>
      <c r="D378" t="s">
        <v>2369</v>
      </c>
    </row>
    <row r="379" spans="1:4" x14ac:dyDescent="0.3">
      <c r="A379" t="s">
        <v>1584</v>
      </c>
      <c r="B379" t="s">
        <v>1615</v>
      </c>
      <c r="C379" t="s">
        <v>1624</v>
      </c>
      <c r="D379" t="s">
        <v>2369</v>
      </c>
    </row>
    <row r="380" spans="1:4" x14ac:dyDescent="0.3">
      <c r="A380" t="s">
        <v>1584</v>
      </c>
      <c r="B380" t="s">
        <v>1615</v>
      </c>
      <c r="C380" t="s">
        <v>1622</v>
      </c>
      <c r="D380" t="s">
        <v>2369</v>
      </c>
    </row>
    <row r="381" spans="1:4" x14ac:dyDescent="0.3">
      <c r="A381" t="s">
        <v>1584</v>
      </c>
      <c r="B381" t="s">
        <v>1615</v>
      </c>
      <c r="C381" t="s">
        <v>2405</v>
      </c>
      <c r="D381" t="s">
        <v>2369</v>
      </c>
    </row>
    <row r="382" spans="1:4" x14ac:dyDescent="0.3">
      <c r="A382" t="s">
        <v>1584</v>
      </c>
      <c r="B382" t="s">
        <v>1615</v>
      </c>
      <c r="C382" t="s">
        <v>2406</v>
      </c>
      <c r="D382" t="s">
        <v>2369</v>
      </c>
    </row>
    <row r="383" spans="1:4" x14ac:dyDescent="0.3">
      <c r="A383" t="s">
        <v>1584</v>
      </c>
      <c r="B383" t="s">
        <v>1615</v>
      </c>
      <c r="C383" t="s">
        <v>2407</v>
      </c>
      <c r="D383" t="s">
        <v>2369</v>
      </c>
    </row>
    <row r="384" spans="1:4" x14ac:dyDescent="0.3">
      <c r="A384" t="s">
        <v>1584</v>
      </c>
      <c r="B384" t="s">
        <v>1615</v>
      </c>
      <c r="C384" t="s">
        <v>2408</v>
      </c>
      <c r="D384" t="s">
        <v>2369</v>
      </c>
    </row>
    <row r="385" spans="1:4" x14ac:dyDescent="0.3">
      <c r="A385" t="s">
        <v>1584</v>
      </c>
      <c r="B385" t="s">
        <v>1615</v>
      </c>
      <c r="C385" t="s">
        <v>2409</v>
      </c>
      <c r="D385" t="s">
        <v>2369</v>
      </c>
    </row>
    <row r="386" spans="1:4" x14ac:dyDescent="0.3">
      <c r="A386" t="s">
        <v>1584</v>
      </c>
      <c r="B386" t="s">
        <v>1615</v>
      </c>
      <c r="C386" t="s">
        <v>2410</v>
      </c>
      <c r="D386" t="s">
        <v>2369</v>
      </c>
    </row>
    <row r="387" spans="1:4" x14ac:dyDescent="0.3">
      <c r="A387" t="s">
        <v>1584</v>
      </c>
      <c r="B387" t="s">
        <v>1615</v>
      </c>
      <c r="C387" t="s">
        <v>2411</v>
      </c>
      <c r="D387" t="s">
        <v>2369</v>
      </c>
    </row>
    <row r="388" spans="1:4" x14ac:dyDescent="0.3">
      <c r="A388" t="s">
        <v>363</v>
      </c>
      <c r="B388" t="s">
        <v>605</v>
      </c>
      <c r="C388" t="s">
        <v>611</v>
      </c>
      <c r="D388" t="s">
        <v>2369</v>
      </c>
    </row>
    <row r="389" spans="1:4" x14ac:dyDescent="0.3">
      <c r="A389" t="s">
        <v>363</v>
      </c>
      <c r="B389" t="s">
        <v>605</v>
      </c>
      <c r="C389" t="s">
        <v>621</v>
      </c>
      <c r="D389" t="s">
        <v>2369</v>
      </c>
    </row>
    <row r="390" spans="1:4" x14ac:dyDescent="0.3">
      <c r="A390" t="s">
        <v>363</v>
      </c>
      <c r="B390" t="s">
        <v>605</v>
      </c>
      <c r="C390" t="s">
        <v>609</v>
      </c>
      <c r="D390" t="s">
        <v>2369</v>
      </c>
    </row>
    <row r="391" spans="1:4" x14ac:dyDescent="0.3">
      <c r="A391" t="s">
        <v>363</v>
      </c>
      <c r="B391" t="s">
        <v>605</v>
      </c>
      <c r="C391" t="s">
        <v>628</v>
      </c>
      <c r="D391" t="s">
        <v>2369</v>
      </c>
    </row>
    <row r="392" spans="1:4" x14ac:dyDescent="0.3">
      <c r="A392" t="s">
        <v>363</v>
      </c>
      <c r="B392" t="s">
        <v>605</v>
      </c>
      <c r="C392" t="s">
        <v>608</v>
      </c>
      <c r="D392" t="s">
        <v>2369</v>
      </c>
    </row>
    <row r="393" spans="1:4" x14ac:dyDescent="0.3">
      <c r="A393" t="s">
        <v>363</v>
      </c>
      <c r="B393" t="s">
        <v>605</v>
      </c>
      <c r="C393" t="s">
        <v>637</v>
      </c>
      <c r="D393" t="s">
        <v>2369</v>
      </c>
    </row>
    <row r="394" spans="1:4" x14ac:dyDescent="0.3">
      <c r="A394" t="s">
        <v>363</v>
      </c>
      <c r="B394" t="s">
        <v>605</v>
      </c>
      <c r="C394" t="s">
        <v>619</v>
      </c>
      <c r="D394" t="s">
        <v>2369</v>
      </c>
    </row>
    <row r="395" spans="1:4" x14ac:dyDescent="0.3">
      <c r="A395" t="s">
        <v>363</v>
      </c>
      <c r="B395" t="s">
        <v>605</v>
      </c>
      <c r="C395" t="s">
        <v>662</v>
      </c>
      <c r="D395" t="s">
        <v>2369</v>
      </c>
    </row>
    <row r="396" spans="1:4" x14ac:dyDescent="0.3">
      <c r="A396" t="s">
        <v>363</v>
      </c>
      <c r="B396" t="s">
        <v>605</v>
      </c>
      <c r="C396" t="s">
        <v>617</v>
      </c>
      <c r="D396" t="s">
        <v>2369</v>
      </c>
    </row>
    <row r="397" spans="1:4" x14ac:dyDescent="0.3">
      <c r="A397" t="s">
        <v>363</v>
      </c>
      <c r="B397" t="s">
        <v>605</v>
      </c>
      <c r="C397" t="s">
        <v>650</v>
      </c>
      <c r="D397" t="s">
        <v>2369</v>
      </c>
    </row>
    <row r="398" spans="1:4" x14ac:dyDescent="0.3">
      <c r="A398" t="s">
        <v>363</v>
      </c>
      <c r="B398" t="s">
        <v>605</v>
      </c>
      <c r="C398" t="s">
        <v>624</v>
      </c>
      <c r="D398" t="s">
        <v>2369</v>
      </c>
    </row>
    <row r="399" spans="1:4" x14ac:dyDescent="0.3">
      <c r="A399" t="s">
        <v>363</v>
      </c>
      <c r="B399" t="s">
        <v>605</v>
      </c>
      <c r="C399" t="s">
        <v>613</v>
      </c>
      <c r="D399" t="s">
        <v>2369</v>
      </c>
    </row>
    <row r="400" spans="1:4" x14ac:dyDescent="0.3">
      <c r="A400" t="s">
        <v>363</v>
      </c>
      <c r="B400" t="s">
        <v>605</v>
      </c>
      <c r="C400" t="s">
        <v>615</v>
      </c>
      <c r="D400" t="s">
        <v>2369</v>
      </c>
    </row>
    <row r="401" spans="1:4" x14ac:dyDescent="0.3">
      <c r="A401" t="s">
        <v>363</v>
      </c>
      <c r="B401" t="s">
        <v>605</v>
      </c>
      <c r="C401" t="s">
        <v>638</v>
      </c>
      <c r="D401" t="s">
        <v>2369</v>
      </c>
    </row>
    <row r="402" spans="1:4" x14ac:dyDescent="0.3">
      <c r="A402" t="s">
        <v>363</v>
      </c>
      <c r="B402" t="s">
        <v>605</v>
      </c>
      <c r="C402" t="s">
        <v>633</v>
      </c>
      <c r="D402" t="s">
        <v>2369</v>
      </c>
    </row>
    <row r="403" spans="1:4" x14ac:dyDescent="0.3">
      <c r="A403" t="s">
        <v>363</v>
      </c>
      <c r="B403" t="s">
        <v>605</v>
      </c>
      <c r="C403" t="s">
        <v>635</v>
      </c>
      <c r="D403" t="s">
        <v>2369</v>
      </c>
    </row>
    <row r="404" spans="1:4" x14ac:dyDescent="0.3">
      <c r="A404" t="s">
        <v>363</v>
      </c>
      <c r="B404" t="s">
        <v>605</v>
      </c>
      <c r="C404" t="s">
        <v>626</v>
      </c>
      <c r="D404" t="s">
        <v>2369</v>
      </c>
    </row>
    <row r="405" spans="1:4" x14ac:dyDescent="0.3">
      <c r="A405" t="s">
        <v>363</v>
      </c>
      <c r="B405" t="s">
        <v>435</v>
      </c>
      <c r="C405" t="s">
        <v>436</v>
      </c>
      <c r="D405" t="s">
        <v>2369</v>
      </c>
    </row>
    <row r="406" spans="1:4" x14ac:dyDescent="0.3">
      <c r="A406" t="s">
        <v>363</v>
      </c>
      <c r="B406" t="s">
        <v>435</v>
      </c>
      <c r="C406" t="s">
        <v>438</v>
      </c>
      <c r="D406" t="s">
        <v>2369</v>
      </c>
    </row>
    <row r="407" spans="1:4" x14ac:dyDescent="0.3">
      <c r="A407" t="s">
        <v>363</v>
      </c>
      <c r="B407" t="s">
        <v>435</v>
      </c>
      <c r="C407" t="s">
        <v>440</v>
      </c>
      <c r="D407" t="s">
        <v>2369</v>
      </c>
    </row>
    <row r="408" spans="1:4" x14ac:dyDescent="0.3">
      <c r="A408" t="s">
        <v>363</v>
      </c>
      <c r="B408" t="s">
        <v>435</v>
      </c>
      <c r="C408" t="s">
        <v>442</v>
      </c>
      <c r="D408" t="s">
        <v>2369</v>
      </c>
    </row>
    <row r="409" spans="1:4" x14ac:dyDescent="0.3">
      <c r="A409" t="s">
        <v>363</v>
      </c>
      <c r="B409" t="s">
        <v>435</v>
      </c>
      <c r="C409" t="s">
        <v>1266</v>
      </c>
      <c r="D409" t="s">
        <v>2369</v>
      </c>
    </row>
    <row r="410" spans="1:4" x14ac:dyDescent="0.3">
      <c r="A410" t="s">
        <v>363</v>
      </c>
      <c r="B410" t="s">
        <v>435</v>
      </c>
      <c r="C410" t="s">
        <v>445</v>
      </c>
      <c r="D410" t="s">
        <v>2369</v>
      </c>
    </row>
    <row r="411" spans="1:4" x14ac:dyDescent="0.3">
      <c r="A411" t="s">
        <v>363</v>
      </c>
      <c r="B411" t="s">
        <v>1137</v>
      </c>
      <c r="C411" t="s">
        <v>1150</v>
      </c>
      <c r="D411" t="s">
        <v>2369</v>
      </c>
    </row>
    <row r="412" spans="1:4" x14ac:dyDescent="0.3">
      <c r="A412" t="s">
        <v>363</v>
      </c>
      <c r="B412" t="s">
        <v>1137</v>
      </c>
      <c r="C412" t="s">
        <v>2412</v>
      </c>
      <c r="D412" t="s">
        <v>2369</v>
      </c>
    </row>
    <row r="413" spans="1:4" x14ac:dyDescent="0.3">
      <c r="A413" t="s">
        <v>363</v>
      </c>
      <c r="B413" t="s">
        <v>1137</v>
      </c>
      <c r="C413" t="s">
        <v>1138</v>
      </c>
      <c r="D413" t="s">
        <v>2369</v>
      </c>
    </row>
    <row r="414" spans="1:4" x14ac:dyDescent="0.3">
      <c r="A414" t="s">
        <v>363</v>
      </c>
      <c r="B414" t="s">
        <v>1137</v>
      </c>
      <c r="C414" t="s">
        <v>1144</v>
      </c>
      <c r="D414" t="s">
        <v>2369</v>
      </c>
    </row>
    <row r="415" spans="1:4" x14ac:dyDescent="0.3">
      <c r="A415" t="s">
        <v>363</v>
      </c>
      <c r="B415" t="s">
        <v>1137</v>
      </c>
      <c r="C415" t="s">
        <v>429</v>
      </c>
      <c r="D415" t="s">
        <v>2369</v>
      </c>
    </row>
    <row r="416" spans="1:4" x14ac:dyDescent="0.3">
      <c r="A416" t="s">
        <v>363</v>
      </c>
      <c r="B416" t="s">
        <v>1137</v>
      </c>
      <c r="C416" t="s">
        <v>1148</v>
      </c>
      <c r="D416" t="s">
        <v>2369</v>
      </c>
    </row>
    <row r="417" spans="1:4" x14ac:dyDescent="0.3">
      <c r="A417" t="s">
        <v>363</v>
      </c>
      <c r="B417" t="s">
        <v>1137</v>
      </c>
      <c r="C417" t="s">
        <v>1154</v>
      </c>
      <c r="D417" t="s">
        <v>2369</v>
      </c>
    </row>
    <row r="418" spans="1:4" x14ac:dyDescent="0.3">
      <c r="A418" t="s">
        <v>363</v>
      </c>
      <c r="B418" t="s">
        <v>1137</v>
      </c>
      <c r="C418" t="s">
        <v>1140</v>
      </c>
      <c r="D418" t="s">
        <v>2369</v>
      </c>
    </row>
    <row r="419" spans="1:4" x14ac:dyDescent="0.3">
      <c r="A419" t="s">
        <v>363</v>
      </c>
      <c r="B419" t="s">
        <v>1137</v>
      </c>
      <c r="C419" t="s">
        <v>1152</v>
      </c>
      <c r="D419" t="s">
        <v>2369</v>
      </c>
    </row>
    <row r="420" spans="1:4" x14ac:dyDescent="0.3">
      <c r="A420" t="s">
        <v>363</v>
      </c>
      <c r="B420" t="s">
        <v>1137</v>
      </c>
      <c r="C420" t="s">
        <v>1142</v>
      </c>
      <c r="D420" t="s">
        <v>2369</v>
      </c>
    </row>
    <row r="421" spans="1:4" x14ac:dyDescent="0.3">
      <c r="A421" t="s">
        <v>363</v>
      </c>
      <c r="B421" t="s">
        <v>1137</v>
      </c>
      <c r="C421" t="s">
        <v>1146</v>
      </c>
      <c r="D421" t="s">
        <v>2369</v>
      </c>
    </row>
    <row r="422" spans="1:4" x14ac:dyDescent="0.3">
      <c r="A422" t="s">
        <v>363</v>
      </c>
      <c r="B422" t="s">
        <v>1137</v>
      </c>
      <c r="C422" t="s">
        <v>2413</v>
      </c>
      <c r="D422" t="s">
        <v>2369</v>
      </c>
    </row>
    <row r="423" spans="1:4" x14ac:dyDescent="0.3">
      <c r="A423" t="s">
        <v>2127</v>
      </c>
      <c r="B423" t="s">
        <v>2285</v>
      </c>
      <c r="C423" t="s">
        <v>2294</v>
      </c>
      <c r="D423" t="s">
        <v>2369</v>
      </c>
    </row>
    <row r="424" spans="1:4" x14ac:dyDescent="0.3">
      <c r="A424" t="s">
        <v>2127</v>
      </c>
      <c r="B424" t="s">
        <v>2285</v>
      </c>
      <c r="C424" t="s">
        <v>2291</v>
      </c>
      <c r="D424" t="s">
        <v>2369</v>
      </c>
    </row>
    <row r="425" spans="1:4" x14ac:dyDescent="0.3">
      <c r="A425" t="s">
        <v>2127</v>
      </c>
      <c r="B425" t="s">
        <v>2285</v>
      </c>
      <c r="C425" t="s">
        <v>2289</v>
      </c>
      <c r="D425" t="s">
        <v>2369</v>
      </c>
    </row>
    <row r="426" spans="1:4" x14ac:dyDescent="0.3">
      <c r="A426" t="s">
        <v>2127</v>
      </c>
      <c r="B426" t="s">
        <v>2285</v>
      </c>
      <c r="C426" t="s">
        <v>2414</v>
      </c>
      <c r="D426" t="s">
        <v>2369</v>
      </c>
    </row>
    <row r="427" spans="1:4" x14ac:dyDescent="0.3">
      <c r="A427" t="s">
        <v>2127</v>
      </c>
      <c r="B427" t="s">
        <v>2285</v>
      </c>
      <c r="C427" t="s">
        <v>2415</v>
      </c>
      <c r="D427" t="s">
        <v>2369</v>
      </c>
    </row>
    <row r="428" spans="1:4" x14ac:dyDescent="0.3">
      <c r="A428" t="s">
        <v>2127</v>
      </c>
      <c r="B428" t="s">
        <v>2285</v>
      </c>
      <c r="C428" t="s">
        <v>2287</v>
      </c>
      <c r="D428" t="s">
        <v>2369</v>
      </c>
    </row>
    <row r="429" spans="1:4" x14ac:dyDescent="0.3">
      <c r="A429" t="s">
        <v>2127</v>
      </c>
      <c r="B429" t="s">
        <v>2285</v>
      </c>
      <c r="C429" t="s">
        <v>2295</v>
      </c>
      <c r="D429" t="s">
        <v>2369</v>
      </c>
    </row>
    <row r="430" spans="1:4" x14ac:dyDescent="0.3">
      <c r="A430" t="s">
        <v>2127</v>
      </c>
      <c r="B430" t="s">
        <v>2285</v>
      </c>
      <c r="C430" t="s">
        <v>2290</v>
      </c>
      <c r="D430" t="s">
        <v>2369</v>
      </c>
    </row>
    <row r="431" spans="1:4" x14ac:dyDescent="0.3">
      <c r="A431" t="s">
        <v>2127</v>
      </c>
      <c r="B431" t="s">
        <v>2285</v>
      </c>
      <c r="C431" t="s">
        <v>2293</v>
      </c>
      <c r="D431" t="s">
        <v>2369</v>
      </c>
    </row>
    <row r="432" spans="1:4" x14ac:dyDescent="0.3">
      <c r="A432" t="s">
        <v>2127</v>
      </c>
      <c r="B432" t="s">
        <v>2285</v>
      </c>
      <c r="C432" t="s">
        <v>2288</v>
      </c>
      <c r="D432" t="s">
        <v>2369</v>
      </c>
    </row>
    <row r="433" spans="1:4" x14ac:dyDescent="0.3">
      <c r="A433" t="s">
        <v>2127</v>
      </c>
      <c r="B433" t="s">
        <v>2285</v>
      </c>
      <c r="C433" t="s">
        <v>2416</v>
      </c>
      <c r="D433" t="s">
        <v>2369</v>
      </c>
    </row>
    <row r="434" spans="1:4" x14ac:dyDescent="0.3">
      <c r="A434" t="s">
        <v>2127</v>
      </c>
      <c r="B434" t="s">
        <v>2285</v>
      </c>
      <c r="C434" t="s">
        <v>2157</v>
      </c>
      <c r="D434" t="s">
        <v>2369</v>
      </c>
    </row>
    <row r="435" spans="1:4" x14ac:dyDescent="0.3">
      <c r="A435" t="s">
        <v>2127</v>
      </c>
      <c r="B435" t="s">
        <v>2285</v>
      </c>
      <c r="C435" t="s">
        <v>2296</v>
      </c>
      <c r="D435" t="s">
        <v>2369</v>
      </c>
    </row>
    <row r="436" spans="1:4" x14ac:dyDescent="0.3">
      <c r="A436" t="s">
        <v>2127</v>
      </c>
      <c r="B436" t="s">
        <v>2285</v>
      </c>
      <c r="C436" t="s">
        <v>2292</v>
      </c>
      <c r="D436" t="s">
        <v>2369</v>
      </c>
    </row>
    <row r="437" spans="1:4" x14ac:dyDescent="0.3">
      <c r="A437" t="s">
        <v>363</v>
      </c>
      <c r="B437" t="s">
        <v>1417</v>
      </c>
      <c r="C437" t="s">
        <v>1421</v>
      </c>
      <c r="D437" t="s">
        <v>2369</v>
      </c>
    </row>
    <row r="438" spans="1:4" x14ac:dyDescent="0.3">
      <c r="A438" t="s">
        <v>363</v>
      </c>
      <c r="B438" t="s">
        <v>1417</v>
      </c>
      <c r="C438" t="s">
        <v>2417</v>
      </c>
      <c r="D438" t="s">
        <v>2369</v>
      </c>
    </row>
    <row r="439" spans="1:4" x14ac:dyDescent="0.3">
      <c r="A439" t="s">
        <v>363</v>
      </c>
      <c r="B439" t="s">
        <v>1417</v>
      </c>
      <c r="C439" t="s">
        <v>1423</v>
      </c>
      <c r="D439" t="s">
        <v>2369</v>
      </c>
    </row>
    <row r="440" spans="1:4" x14ac:dyDescent="0.3">
      <c r="A440" t="s">
        <v>363</v>
      </c>
      <c r="B440" t="s">
        <v>1417</v>
      </c>
      <c r="C440" t="s">
        <v>1425</v>
      </c>
      <c r="D440" t="s">
        <v>2369</v>
      </c>
    </row>
    <row r="441" spans="1:4" x14ac:dyDescent="0.3">
      <c r="A441" t="s">
        <v>363</v>
      </c>
      <c r="B441" t="s">
        <v>1417</v>
      </c>
      <c r="C441" t="s">
        <v>412</v>
      </c>
      <c r="D441" t="s">
        <v>2369</v>
      </c>
    </row>
    <row r="442" spans="1:4" x14ac:dyDescent="0.3">
      <c r="A442" t="s">
        <v>363</v>
      </c>
      <c r="B442" t="s">
        <v>1417</v>
      </c>
      <c r="C442" t="s">
        <v>1427</v>
      </c>
      <c r="D442" t="s">
        <v>2369</v>
      </c>
    </row>
    <row r="443" spans="1:4" x14ac:dyDescent="0.3">
      <c r="A443" t="s">
        <v>363</v>
      </c>
      <c r="B443" t="s">
        <v>1417</v>
      </c>
      <c r="C443" t="s">
        <v>1429</v>
      </c>
      <c r="D443" t="s">
        <v>2369</v>
      </c>
    </row>
    <row r="444" spans="1:4" x14ac:dyDescent="0.3">
      <c r="A444" t="s">
        <v>1</v>
      </c>
      <c r="B444" t="s">
        <v>12</v>
      </c>
      <c r="C444" t="s">
        <v>2015</v>
      </c>
      <c r="D444" t="s">
        <v>2369</v>
      </c>
    </row>
    <row r="445" spans="1:4" x14ac:dyDescent="0.3">
      <c r="A445" t="s">
        <v>1</v>
      </c>
      <c r="B445" t="s">
        <v>12</v>
      </c>
      <c r="C445" t="s">
        <v>2418</v>
      </c>
      <c r="D445" t="s">
        <v>2369</v>
      </c>
    </row>
    <row r="446" spans="1:4" x14ac:dyDescent="0.3">
      <c r="A446" t="s">
        <v>1</v>
      </c>
      <c r="B446" t="s">
        <v>12</v>
      </c>
      <c r="C446" t="s">
        <v>2019</v>
      </c>
      <c r="D446" t="s">
        <v>2369</v>
      </c>
    </row>
    <row r="447" spans="1:4" x14ac:dyDescent="0.3">
      <c r="A447" t="s">
        <v>1</v>
      </c>
      <c r="B447" t="s">
        <v>12</v>
      </c>
      <c r="C447" t="s">
        <v>2022</v>
      </c>
      <c r="D447" t="s">
        <v>2369</v>
      </c>
    </row>
    <row r="448" spans="1:4" x14ac:dyDescent="0.3">
      <c r="A448" t="s">
        <v>1</v>
      </c>
      <c r="B448" t="s">
        <v>12</v>
      </c>
      <c r="C448" t="s">
        <v>2025</v>
      </c>
      <c r="D448" t="s">
        <v>2369</v>
      </c>
    </row>
    <row r="449" spans="1:4" x14ac:dyDescent="0.3">
      <c r="A449" t="s">
        <v>1</v>
      </c>
      <c r="B449" t="s">
        <v>12</v>
      </c>
      <c r="C449" t="s">
        <v>2419</v>
      </c>
      <c r="D449" t="s">
        <v>2369</v>
      </c>
    </row>
    <row r="450" spans="1:4" x14ac:dyDescent="0.3">
      <c r="A450" t="s">
        <v>1</v>
      </c>
      <c r="B450" t="s">
        <v>12</v>
      </c>
      <c r="C450" t="s">
        <v>2027</v>
      </c>
      <c r="D450" t="s">
        <v>2369</v>
      </c>
    </row>
    <row r="451" spans="1:4" x14ac:dyDescent="0.3">
      <c r="A451" t="s">
        <v>363</v>
      </c>
      <c r="B451" t="s">
        <v>1156</v>
      </c>
      <c r="C451" t="s">
        <v>1167</v>
      </c>
      <c r="D451" t="s">
        <v>2369</v>
      </c>
    </row>
    <row r="452" spans="1:4" x14ac:dyDescent="0.3">
      <c r="A452" t="s">
        <v>363</v>
      </c>
      <c r="B452" t="s">
        <v>1156</v>
      </c>
      <c r="C452" t="s">
        <v>1159</v>
      </c>
      <c r="D452" t="s">
        <v>2369</v>
      </c>
    </row>
    <row r="453" spans="1:4" x14ac:dyDescent="0.3">
      <c r="A453" t="s">
        <v>363</v>
      </c>
      <c r="B453" t="s">
        <v>1156</v>
      </c>
      <c r="C453" t="s">
        <v>1157</v>
      </c>
      <c r="D453" t="s">
        <v>2369</v>
      </c>
    </row>
    <row r="454" spans="1:4" x14ac:dyDescent="0.3">
      <c r="A454" t="s">
        <v>363</v>
      </c>
      <c r="B454" t="s">
        <v>1156</v>
      </c>
      <c r="C454" t="s">
        <v>1163</v>
      </c>
      <c r="D454" t="s">
        <v>2369</v>
      </c>
    </row>
    <row r="455" spans="1:4" x14ac:dyDescent="0.3">
      <c r="A455" t="s">
        <v>363</v>
      </c>
      <c r="B455" t="s">
        <v>1156</v>
      </c>
      <c r="C455" t="s">
        <v>1165</v>
      </c>
      <c r="D455" t="s">
        <v>2369</v>
      </c>
    </row>
    <row r="456" spans="1:4" x14ac:dyDescent="0.3">
      <c r="A456" t="s">
        <v>363</v>
      </c>
      <c r="B456" t="s">
        <v>1156</v>
      </c>
      <c r="C456" t="s">
        <v>2420</v>
      </c>
      <c r="D456" t="s">
        <v>2369</v>
      </c>
    </row>
    <row r="457" spans="1:4" x14ac:dyDescent="0.3">
      <c r="A457" t="s">
        <v>363</v>
      </c>
      <c r="B457" t="s">
        <v>1156</v>
      </c>
      <c r="C457" t="s">
        <v>1161</v>
      </c>
      <c r="D457" t="s">
        <v>2369</v>
      </c>
    </row>
    <row r="458" spans="1:4" x14ac:dyDescent="0.3">
      <c r="A458" t="s">
        <v>363</v>
      </c>
      <c r="B458" t="s">
        <v>677</v>
      </c>
      <c r="C458" t="s">
        <v>698</v>
      </c>
      <c r="D458" t="s">
        <v>2369</v>
      </c>
    </row>
    <row r="459" spans="1:4" x14ac:dyDescent="0.3">
      <c r="A459" t="s">
        <v>363</v>
      </c>
      <c r="B459" t="s">
        <v>677</v>
      </c>
      <c r="C459" t="s">
        <v>691</v>
      </c>
      <c r="D459" t="s">
        <v>2369</v>
      </c>
    </row>
    <row r="460" spans="1:4" x14ac:dyDescent="0.3">
      <c r="A460" t="s">
        <v>363</v>
      </c>
      <c r="B460" t="s">
        <v>677</v>
      </c>
      <c r="C460" t="s">
        <v>689</v>
      </c>
      <c r="D460" t="s">
        <v>2369</v>
      </c>
    </row>
    <row r="461" spans="1:4" x14ac:dyDescent="0.3">
      <c r="A461" t="s">
        <v>363</v>
      </c>
      <c r="B461" t="s">
        <v>677</v>
      </c>
      <c r="C461" t="s">
        <v>696</v>
      </c>
      <c r="D461" t="s">
        <v>2369</v>
      </c>
    </row>
    <row r="462" spans="1:4" x14ac:dyDescent="0.3">
      <c r="A462" t="s">
        <v>363</v>
      </c>
      <c r="B462" t="s">
        <v>677</v>
      </c>
      <c r="C462" t="s">
        <v>700</v>
      </c>
      <c r="D462" t="s">
        <v>2369</v>
      </c>
    </row>
    <row r="463" spans="1:4" x14ac:dyDescent="0.3">
      <c r="A463" t="s">
        <v>363</v>
      </c>
      <c r="B463" t="s">
        <v>677</v>
      </c>
      <c r="C463" t="s">
        <v>2421</v>
      </c>
      <c r="D463" t="s">
        <v>2369</v>
      </c>
    </row>
    <row r="464" spans="1:4" x14ac:dyDescent="0.3">
      <c r="A464" t="s">
        <v>363</v>
      </c>
      <c r="B464" t="s">
        <v>677</v>
      </c>
      <c r="C464" t="s">
        <v>694</v>
      </c>
      <c r="D464" t="s">
        <v>2369</v>
      </c>
    </row>
    <row r="465" spans="1:4" x14ac:dyDescent="0.3">
      <c r="A465" t="s">
        <v>363</v>
      </c>
      <c r="B465" t="s">
        <v>677</v>
      </c>
      <c r="C465" t="s">
        <v>687</v>
      </c>
      <c r="D465" t="s">
        <v>2369</v>
      </c>
    </row>
    <row r="466" spans="1:4" x14ac:dyDescent="0.3">
      <c r="A466" t="s">
        <v>363</v>
      </c>
      <c r="B466" t="s">
        <v>677</v>
      </c>
      <c r="C466" t="s">
        <v>706</v>
      </c>
      <c r="D466" t="s">
        <v>2369</v>
      </c>
    </row>
    <row r="467" spans="1:4" x14ac:dyDescent="0.3">
      <c r="A467" t="s">
        <v>363</v>
      </c>
      <c r="B467" t="s">
        <v>677</v>
      </c>
      <c r="C467" t="s">
        <v>702</v>
      </c>
      <c r="D467" t="s">
        <v>2369</v>
      </c>
    </row>
    <row r="468" spans="1:4" x14ac:dyDescent="0.3">
      <c r="A468" t="s">
        <v>363</v>
      </c>
      <c r="B468" t="s">
        <v>677</v>
      </c>
      <c r="C468" t="s">
        <v>685</v>
      </c>
      <c r="D468" t="s">
        <v>2369</v>
      </c>
    </row>
    <row r="469" spans="1:4" x14ac:dyDescent="0.3">
      <c r="A469" t="s">
        <v>363</v>
      </c>
      <c r="B469" t="s">
        <v>677</v>
      </c>
      <c r="C469" t="s">
        <v>680</v>
      </c>
      <c r="D469" t="s">
        <v>2369</v>
      </c>
    </row>
    <row r="470" spans="1:4" x14ac:dyDescent="0.3">
      <c r="A470" t="s">
        <v>363</v>
      </c>
      <c r="B470" t="s">
        <v>677</v>
      </c>
      <c r="C470" t="s">
        <v>664</v>
      </c>
      <c r="D470" t="s">
        <v>2369</v>
      </c>
    </row>
    <row r="471" spans="1:4" x14ac:dyDescent="0.3">
      <c r="A471" t="s">
        <v>363</v>
      </c>
      <c r="B471" t="s">
        <v>677</v>
      </c>
      <c r="C471" t="s">
        <v>678</v>
      </c>
      <c r="D471" t="s">
        <v>2369</v>
      </c>
    </row>
    <row r="472" spans="1:4" x14ac:dyDescent="0.3">
      <c r="A472" t="s">
        <v>363</v>
      </c>
      <c r="B472" t="s">
        <v>494</v>
      </c>
      <c r="C472" t="s">
        <v>497</v>
      </c>
      <c r="D472" t="s">
        <v>2369</v>
      </c>
    </row>
    <row r="473" spans="1:4" x14ac:dyDescent="0.3">
      <c r="A473" t="s">
        <v>363</v>
      </c>
      <c r="B473" t="s">
        <v>494</v>
      </c>
      <c r="C473" t="s">
        <v>500</v>
      </c>
      <c r="D473" t="s">
        <v>2369</v>
      </c>
    </row>
    <row r="474" spans="1:4" x14ac:dyDescent="0.3">
      <c r="A474" t="s">
        <v>363</v>
      </c>
      <c r="B474" t="s">
        <v>494</v>
      </c>
      <c r="C474" t="s">
        <v>502</v>
      </c>
      <c r="D474" t="s">
        <v>2369</v>
      </c>
    </row>
    <row r="475" spans="1:4" x14ac:dyDescent="0.3">
      <c r="A475" t="s">
        <v>363</v>
      </c>
      <c r="B475" t="s">
        <v>494</v>
      </c>
      <c r="C475" t="s">
        <v>504</v>
      </c>
      <c r="D475" t="s">
        <v>2369</v>
      </c>
    </row>
    <row r="476" spans="1:4" x14ac:dyDescent="0.3">
      <c r="A476" t="s">
        <v>363</v>
      </c>
      <c r="B476" t="s">
        <v>494</v>
      </c>
      <c r="C476" t="s">
        <v>506</v>
      </c>
      <c r="D476" t="s">
        <v>2369</v>
      </c>
    </row>
    <row r="477" spans="1:4" x14ac:dyDescent="0.3">
      <c r="A477" t="s">
        <v>363</v>
      </c>
      <c r="B477" t="s">
        <v>494</v>
      </c>
      <c r="C477" t="s">
        <v>507</v>
      </c>
      <c r="D477" t="s">
        <v>2369</v>
      </c>
    </row>
    <row r="478" spans="1:4" x14ac:dyDescent="0.3">
      <c r="A478" t="s">
        <v>363</v>
      </c>
      <c r="B478" t="s">
        <v>494</v>
      </c>
      <c r="C478" t="s">
        <v>509</v>
      </c>
      <c r="D478" t="s">
        <v>2369</v>
      </c>
    </row>
    <row r="479" spans="1:4" x14ac:dyDescent="0.3">
      <c r="A479" t="s">
        <v>363</v>
      </c>
      <c r="B479" t="s">
        <v>494</v>
      </c>
      <c r="C479" t="s">
        <v>512</v>
      </c>
      <c r="D479" t="s">
        <v>2369</v>
      </c>
    </row>
    <row r="480" spans="1:4" x14ac:dyDescent="0.3">
      <c r="A480" t="s">
        <v>363</v>
      </c>
      <c r="B480" t="s">
        <v>494</v>
      </c>
      <c r="C480" t="s">
        <v>2422</v>
      </c>
      <c r="D480" t="s">
        <v>2369</v>
      </c>
    </row>
    <row r="481" spans="1:4" x14ac:dyDescent="0.3">
      <c r="A481" t="s">
        <v>28</v>
      </c>
      <c r="B481" t="s">
        <v>30</v>
      </c>
      <c r="C481" t="s">
        <v>33</v>
      </c>
      <c r="D481" t="s">
        <v>2369</v>
      </c>
    </row>
    <row r="482" spans="1:4" x14ac:dyDescent="0.3">
      <c r="A482" t="s">
        <v>28</v>
      </c>
      <c r="B482" t="s">
        <v>30</v>
      </c>
      <c r="C482" t="s">
        <v>36</v>
      </c>
      <c r="D482" t="s">
        <v>2369</v>
      </c>
    </row>
    <row r="483" spans="1:4" x14ac:dyDescent="0.3">
      <c r="A483" t="s">
        <v>28</v>
      </c>
      <c r="B483" t="s">
        <v>30</v>
      </c>
      <c r="C483" t="s">
        <v>39</v>
      </c>
      <c r="D483" t="s">
        <v>2369</v>
      </c>
    </row>
    <row r="484" spans="1:4" x14ac:dyDescent="0.3">
      <c r="A484" t="s">
        <v>28</v>
      </c>
      <c r="B484" t="s">
        <v>30</v>
      </c>
      <c r="C484" t="s">
        <v>42</v>
      </c>
      <c r="D484" t="s">
        <v>2369</v>
      </c>
    </row>
    <row r="485" spans="1:4" x14ac:dyDescent="0.3">
      <c r="A485" t="s">
        <v>28</v>
      </c>
      <c r="B485" t="s">
        <v>30</v>
      </c>
      <c r="C485" t="s">
        <v>45</v>
      </c>
      <c r="D485" t="s">
        <v>2369</v>
      </c>
    </row>
    <row r="486" spans="1:4" x14ac:dyDescent="0.3">
      <c r="A486" t="s">
        <v>28</v>
      </c>
      <c r="B486" t="s">
        <v>49</v>
      </c>
      <c r="C486" t="s">
        <v>52</v>
      </c>
      <c r="D486" t="s">
        <v>2369</v>
      </c>
    </row>
    <row r="487" spans="1:4" x14ac:dyDescent="0.3">
      <c r="A487" t="s">
        <v>28</v>
      </c>
      <c r="B487" t="s">
        <v>49</v>
      </c>
      <c r="C487" t="s">
        <v>54</v>
      </c>
      <c r="D487" t="s">
        <v>2369</v>
      </c>
    </row>
    <row r="488" spans="1:4" x14ac:dyDescent="0.3">
      <c r="A488" t="s">
        <v>28</v>
      </c>
      <c r="B488" t="s">
        <v>49</v>
      </c>
      <c r="C488" t="s">
        <v>57</v>
      </c>
      <c r="D488" t="s">
        <v>2369</v>
      </c>
    </row>
    <row r="489" spans="1:4" x14ac:dyDescent="0.3">
      <c r="A489" t="s">
        <v>28</v>
      </c>
      <c r="B489" t="s">
        <v>49</v>
      </c>
      <c r="C489" t="s">
        <v>60</v>
      </c>
      <c r="D489" t="s">
        <v>2369</v>
      </c>
    </row>
    <row r="490" spans="1:4" x14ac:dyDescent="0.3">
      <c r="A490" t="s">
        <v>28</v>
      </c>
      <c r="B490" t="s">
        <v>49</v>
      </c>
      <c r="C490" t="s">
        <v>63</v>
      </c>
      <c r="D490" t="s">
        <v>2369</v>
      </c>
    </row>
    <row r="491" spans="1:4" x14ac:dyDescent="0.3">
      <c r="A491" t="s">
        <v>28</v>
      </c>
      <c r="B491" t="s">
        <v>49</v>
      </c>
      <c r="C491" t="s">
        <v>65</v>
      </c>
      <c r="D491" t="s">
        <v>2369</v>
      </c>
    </row>
    <row r="492" spans="1:4" x14ac:dyDescent="0.3">
      <c r="A492" t="s">
        <v>28</v>
      </c>
      <c r="B492" t="s">
        <v>67</v>
      </c>
      <c r="C492" t="s">
        <v>70</v>
      </c>
      <c r="D492" t="s">
        <v>2369</v>
      </c>
    </row>
    <row r="493" spans="1:4" x14ac:dyDescent="0.3">
      <c r="A493" t="s">
        <v>28</v>
      </c>
      <c r="B493" t="s">
        <v>67</v>
      </c>
      <c r="C493" t="s">
        <v>73</v>
      </c>
      <c r="D493" t="s">
        <v>2369</v>
      </c>
    </row>
    <row r="494" spans="1:4" x14ac:dyDescent="0.3">
      <c r="A494" t="s">
        <v>28</v>
      </c>
      <c r="B494" t="s">
        <v>67</v>
      </c>
      <c r="C494" t="s">
        <v>75</v>
      </c>
      <c r="D494" t="s">
        <v>2369</v>
      </c>
    </row>
    <row r="495" spans="1:4" x14ac:dyDescent="0.3">
      <c r="A495" t="s">
        <v>28</v>
      </c>
      <c r="B495" t="s">
        <v>67</v>
      </c>
      <c r="C495" t="s">
        <v>77</v>
      </c>
      <c r="D495" t="s">
        <v>2369</v>
      </c>
    </row>
    <row r="496" spans="1:4" x14ac:dyDescent="0.3">
      <c r="A496" t="s">
        <v>28</v>
      </c>
      <c r="B496" t="s">
        <v>67</v>
      </c>
      <c r="C496" t="s">
        <v>79</v>
      </c>
      <c r="D496" t="s">
        <v>2369</v>
      </c>
    </row>
    <row r="497" spans="1:4" x14ac:dyDescent="0.3">
      <c r="A497" t="s">
        <v>28</v>
      </c>
      <c r="B497" t="s">
        <v>67</v>
      </c>
      <c r="C497" t="s">
        <v>81</v>
      </c>
      <c r="D497" t="s">
        <v>2369</v>
      </c>
    </row>
    <row r="498" spans="1:4" x14ac:dyDescent="0.3">
      <c r="A498" t="s">
        <v>363</v>
      </c>
      <c r="B498" t="s">
        <v>743</v>
      </c>
      <c r="C498" t="s">
        <v>761</v>
      </c>
      <c r="D498" t="s">
        <v>2369</v>
      </c>
    </row>
    <row r="499" spans="1:4" x14ac:dyDescent="0.3">
      <c r="A499" t="s">
        <v>363</v>
      </c>
      <c r="B499" t="s">
        <v>743</v>
      </c>
      <c r="C499" t="s">
        <v>777</v>
      </c>
      <c r="D499" t="s">
        <v>2369</v>
      </c>
    </row>
    <row r="500" spans="1:4" x14ac:dyDescent="0.3">
      <c r="A500" t="s">
        <v>363</v>
      </c>
      <c r="B500" t="s">
        <v>743</v>
      </c>
      <c r="C500" t="s">
        <v>746</v>
      </c>
      <c r="D500" t="s">
        <v>2369</v>
      </c>
    </row>
    <row r="501" spans="1:4" x14ac:dyDescent="0.3">
      <c r="A501" t="s">
        <v>363</v>
      </c>
      <c r="B501" t="s">
        <v>743</v>
      </c>
      <c r="C501" t="s">
        <v>770</v>
      </c>
      <c r="D501" t="s">
        <v>2369</v>
      </c>
    </row>
    <row r="502" spans="1:4" x14ac:dyDescent="0.3">
      <c r="A502" t="s">
        <v>363</v>
      </c>
      <c r="B502" t="s">
        <v>743</v>
      </c>
      <c r="C502" t="s">
        <v>773</v>
      </c>
      <c r="D502" t="s">
        <v>2369</v>
      </c>
    </row>
    <row r="503" spans="1:4" x14ac:dyDescent="0.3">
      <c r="A503" t="s">
        <v>363</v>
      </c>
      <c r="B503" t="s">
        <v>743</v>
      </c>
      <c r="C503" t="s">
        <v>768</v>
      </c>
      <c r="D503" t="s">
        <v>2369</v>
      </c>
    </row>
    <row r="504" spans="1:4" x14ac:dyDescent="0.3">
      <c r="A504" t="s">
        <v>363</v>
      </c>
      <c r="B504" t="s">
        <v>743</v>
      </c>
      <c r="C504" t="s">
        <v>759</v>
      </c>
      <c r="D504" t="s">
        <v>2369</v>
      </c>
    </row>
    <row r="505" spans="1:4" x14ac:dyDescent="0.3">
      <c r="A505" t="s">
        <v>363</v>
      </c>
      <c r="B505" t="s">
        <v>743</v>
      </c>
      <c r="C505" t="s">
        <v>756</v>
      </c>
      <c r="D505" t="s">
        <v>2369</v>
      </c>
    </row>
    <row r="506" spans="1:4" x14ac:dyDescent="0.3">
      <c r="A506" t="s">
        <v>363</v>
      </c>
      <c r="B506" t="s">
        <v>743</v>
      </c>
      <c r="C506" t="s">
        <v>775</v>
      </c>
      <c r="D506" t="s">
        <v>2369</v>
      </c>
    </row>
    <row r="507" spans="1:4" x14ac:dyDescent="0.3">
      <c r="A507" t="s">
        <v>363</v>
      </c>
      <c r="B507" t="s">
        <v>743</v>
      </c>
      <c r="C507" t="s">
        <v>2423</v>
      </c>
      <c r="D507" t="s">
        <v>2369</v>
      </c>
    </row>
    <row r="508" spans="1:4" x14ac:dyDescent="0.3">
      <c r="A508" t="s">
        <v>363</v>
      </c>
      <c r="B508" t="s">
        <v>743</v>
      </c>
      <c r="C508" t="s">
        <v>2424</v>
      </c>
      <c r="D508" t="s">
        <v>2369</v>
      </c>
    </row>
    <row r="509" spans="1:4" x14ac:dyDescent="0.3">
      <c r="A509" t="s">
        <v>363</v>
      </c>
      <c r="B509" t="s">
        <v>743</v>
      </c>
      <c r="C509" t="s">
        <v>763</v>
      </c>
      <c r="D509" t="s">
        <v>2369</v>
      </c>
    </row>
    <row r="510" spans="1:4" x14ac:dyDescent="0.3">
      <c r="A510" t="s">
        <v>363</v>
      </c>
      <c r="B510" t="s">
        <v>743</v>
      </c>
      <c r="C510" t="s">
        <v>766</v>
      </c>
      <c r="D510" t="s">
        <v>2369</v>
      </c>
    </row>
    <row r="511" spans="1:4" x14ac:dyDescent="0.3">
      <c r="A511" t="s">
        <v>263</v>
      </c>
      <c r="B511" t="s">
        <v>277</v>
      </c>
      <c r="C511" t="s">
        <v>280</v>
      </c>
      <c r="D511" t="s">
        <v>2369</v>
      </c>
    </row>
    <row r="512" spans="1:4" x14ac:dyDescent="0.3">
      <c r="A512" t="s">
        <v>263</v>
      </c>
      <c r="B512" t="s">
        <v>277</v>
      </c>
      <c r="C512" t="s">
        <v>282</v>
      </c>
      <c r="D512" t="s">
        <v>2369</v>
      </c>
    </row>
    <row r="513" spans="1:4" x14ac:dyDescent="0.3">
      <c r="A513" t="s">
        <v>263</v>
      </c>
      <c r="B513" t="s">
        <v>277</v>
      </c>
      <c r="C513" t="s">
        <v>284</v>
      </c>
      <c r="D513" t="s">
        <v>2369</v>
      </c>
    </row>
    <row r="514" spans="1:4" x14ac:dyDescent="0.3">
      <c r="A514" t="s">
        <v>263</v>
      </c>
      <c r="B514" t="s">
        <v>277</v>
      </c>
      <c r="C514" t="s">
        <v>2425</v>
      </c>
      <c r="D514" t="s">
        <v>2369</v>
      </c>
    </row>
    <row r="515" spans="1:4" x14ac:dyDescent="0.3">
      <c r="A515" t="s">
        <v>263</v>
      </c>
      <c r="B515" t="s">
        <v>277</v>
      </c>
      <c r="C515" t="s">
        <v>286</v>
      </c>
      <c r="D515" t="s">
        <v>2369</v>
      </c>
    </row>
    <row r="516" spans="1:4" x14ac:dyDescent="0.3">
      <c r="A516" t="s">
        <v>263</v>
      </c>
      <c r="B516" t="s">
        <v>277</v>
      </c>
      <c r="C516" t="s">
        <v>2426</v>
      </c>
      <c r="D516" t="s">
        <v>2369</v>
      </c>
    </row>
    <row r="517" spans="1:4" x14ac:dyDescent="0.3">
      <c r="A517" t="s">
        <v>263</v>
      </c>
      <c r="B517" t="s">
        <v>277</v>
      </c>
      <c r="C517" t="s">
        <v>289</v>
      </c>
      <c r="D517" t="s">
        <v>2369</v>
      </c>
    </row>
    <row r="518" spans="1:4" x14ac:dyDescent="0.3">
      <c r="A518" t="s">
        <v>28</v>
      </c>
      <c r="B518" t="s">
        <v>84</v>
      </c>
      <c r="C518" t="s">
        <v>87</v>
      </c>
      <c r="D518" t="s">
        <v>2369</v>
      </c>
    </row>
    <row r="519" spans="1:4" x14ac:dyDescent="0.3">
      <c r="A519" t="s">
        <v>28</v>
      </c>
      <c r="B519" t="s">
        <v>84</v>
      </c>
      <c r="C519" t="s">
        <v>89</v>
      </c>
      <c r="D519" t="s">
        <v>2369</v>
      </c>
    </row>
    <row r="520" spans="1:4" x14ac:dyDescent="0.3">
      <c r="A520" t="s">
        <v>28</v>
      </c>
      <c r="B520" t="s">
        <v>84</v>
      </c>
      <c r="C520" t="s">
        <v>2325</v>
      </c>
      <c r="D520" t="s">
        <v>2369</v>
      </c>
    </row>
    <row r="521" spans="1:4" x14ac:dyDescent="0.3">
      <c r="A521" t="s">
        <v>28</v>
      </c>
      <c r="B521" t="s">
        <v>84</v>
      </c>
      <c r="C521" t="s">
        <v>91</v>
      </c>
      <c r="D521" t="s">
        <v>2369</v>
      </c>
    </row>
    <row r="522" spans="1:4" x14ac:dyDescent="0.3">
      <c r="A522" t="s">
        <v>28</v>
      </c>
      <c r="B522" t="s">
        <v>84</v>
      </c>
      <c r="C522" t="s">
        <v>93</v>
      </c>
      <c r="D522" t="s">
        <v>2369</v>
      </c>
    </row>
    <row r="523" spans="1:4" x14ac:dyDescent="0.3">
      <c r="A523" t="s">
        <v>28</v>
      </c>
      <c r="B523" t="s">
        <v>84</v>
      </c>
      <c r="C523" t="s">
        <v>94</v>
      </c>
      <c r="D523" t="s">
        <v>2369</v>
      </c>
    </row>
    <row r="524" spans="1:4" x14ac:dyDescent="0.3">
      <c r="A524" t="s">
        <v>363</v>
      </c>
      <c r="B524" t="s">
        <v>1432</v>
      </c>
      <c r="C524" t="s">
        <v>1462</v>
      </c>
      <c r="D524" t="s">
        <v>2369</v>
      </c>
    </row>
    <row r="525" spans="1:4" x14ac:dyDescent="0.3">
      <c r="A525" t="s">
        <v>363</v>
      </c>
      <c r="B525" t="s">
        <v>1432</v>
      </c>
      <c r="C525" t="s">
        <v>1459</v>
      </c>
      <c r="D525" t="s">
        <v>2369</v>
      </c>
    </row>
    <row r="526" spans="1:4" x14ac:dyDescent="0.3">
      <c r="A526" t="s">
        <v>363</v>
      </c>
      <c r="B526" t="s">
        <v>1432</v>
      </c>
      <c r="C526" t="s">
        <v>1457</v>
      </c>
      <c r="D526" t="s">
        <v>2369</v>
      </c>
    </row>
    <row r="527" spans="1:4" x14ac:dyDescent="0.3">
      <c r="A527" t="s">
        <v>363</v>
      </c>
      <c r="B527" t="s">
        <v>1432</v>
      </c>
      <c r="C527" t="s">
        <v>1455</v>
      </c>
      <c r="D527" t="s">
        <v>2369</v>
      </c>
    </row>
    <row r="528" spans="1:4" x14ac:dyDescent="0.3">
      <c r="A528" t="s">
        <v>363</v>
      </c>
      <c r="B528" t="s">
        <v>1432</v>
      </c>
      <c r="C528" t="s">
        <v>1452</v>
      </c>
      <c r="D528" t="s">
        <v>2369</v>
      </c>
    </row>
    <row r="529" spans="1:4" x14ac:dyDescent="0.3">
      <c r="A529" t="s">
        <v>363</v>
      </c>
      <c r="B529" t="s">
        <v>1432</v>
      </c>
      <c r="C529" t="s">
        <v>1449</v>
      </c>
      <c r="D529" t="s">
        <v>2369</v>
      </c>
    </row>
    <row r="530" spans="1:4" x14ac:dyDescent="0.3">
      <c r="A530" t="s">
        <v>363</v>
      </c>
      <c r="B530" t="s">
        <v>1432</v>
      </c>
      <c r="C530" t="s">
        <v>1445</v>
      </c>
      <c r="D530" t="s">
        <v>2369</v>
      </c>
    </row>
    <row r="531" spans="1:4" x14ac:dyDescent="0.3">
      <c r="A531" t="s">
        <v>363</v>
      </c>
      <c r="B531" t="s">
        <v>1432</v>
      </c>
      <c r="C531" t="s">
        <v>1442</v>
      </c>
      <c r="D531" t="s">
        <v>2369</v>
      </c>
    </row>
    <row r="532" spans="1:4" x14ac:dyDescent="0.3">
      <c r="A532" t="s">
        <v>363</v>
      </c>
      <c r="B532" t="s">
        <v>1432</v>
      </c>
      <c r="C532" t="s">
        <v>1440</v>
      </c>
      <c r="D532" t="s">
        <v>2369</v>
      </c>
    </row>
    <row r="533" spans="1:4" x14ac:dyDescent="0.3">
      <c r="A533" t="s">
        <v>363</v>
      </c>
      <c r="B533" t="s">
        <v>1432</v>
      </c>
      <c r="C533" t="s">
        <v>1438</v>
      </c>
      <c r="D533" t="s">
        <v>2369</v>
      </c>
    </row>
    <row r="534" spans="1:4" x14ac:dyDescent="0.3">
      <c r="A534" t="s">
        <v>363</v>
      </c>
      <c r="B534" t="s">
        <v>1432</v>
      </c>
      <c r="C534" t="s">
        <v>1436</v>
      </c>
      <c r="D534" t="s">
        <v>2369</v>
      </c>
    </row>
    <row r="535" spans="1:4" x14ac:dyDescent="0.3">
      <c r="A535" t="s">
        <v>363</v>
      </c>
      <c r="B535" t="s">
        <v>1432</v>
      </c>
      <c r="C535" t="s">
        <v>1434</v>
      </c>
      <c r="D535" t="s">
        <v>2369</v>
      </c>
    </row>
    <row r="536" spans="1:4" x14ac:dyDescent="0.3">
      <c r="A536" t="s">
        <v>363</v>
      </c>
      <c r="B536" t="s">
        <v>1192</v>
      </c>
      <c r="C536" t="s">
        <v>1207</v>
      </c>
      <c r="D536" t="s">
        <v>2369</v>
      </c>
    </row>
    <row r="537" spans="1:4" x14ac:dyDescent="0.3">
      <c r="A537" t="s">
        <v>363</v>
      </c>
      <c r="B537" t="s">
        <v>1192</v>
      </c>
      <c r="C537" t="s">
        <v>1211</v>
      </c>
      <c r="D537" t="s">
        <v>2369</v>
      </c>
    </row>
    <row r="538" spans="1:4" x14ac:dyDescent="0.3">
      <c r="A538" t="s">
        <v>363</v>
      </c>
      <c r="B538" t="s">
        <v>1192</v>
      </c>
      <c r="C538" t="s">
        <v>1205</v>
      </c>
      <c r="D538" t="s">
        <v>2369</v>
      </c>
    </row>
    <row r="539" spans="1:4" x14ac:dyDescent="0.3">
      <c r="A539" t="s">
        <v>363</v>
      </c>
      <c r="B539" t="s">
        <v>1192</v>
      </c>
      <c r="C539" t="s">
        <v>1174</v>
      </c>
      <c r="D539" t="s">
        <v>2369</v>
      </c>
    </row>
    <row r="540" spans="1:4" x14ac:dyDescent="0.3">
      <c r="A540" t="s">
        <v>363</v>
      </c>
      <c r="B540" t="s">
        <v>1192</v>
      </c>
      <c r="C540" t="s">
        <v>1195</v>
      </c>
      <c r="D540" t="s">
        <v>2369</v>
      </c>
    </row>
    <row r="541" spans="1:4" x14ac:dyDescent="0.3">
      <c r="A541" t="s">
        <v>363</v>
      </c>
      <c r="B541" t="s">
        <v>1192</v>
      </c>
      <c r="C541" t="s">
        <v>1193</v>
      </c>
      <c r="D541" t="s">
        <v>2369</v>
      </c>
    </row>
    <row r="542" spans="1:4" x14ac:dyDescent="0.3">
      <c r="A542" t="s">
        <v>363</v>
      </c>
      <c r="B542" t="s">
        <v>1192</v>
      </c>
      <c r="C542" t="s">
        <v>1201</v>
      </c>
      <c r="D542" t="s">
        <v>2369</v>
      </c>
    </row>
    <row r="543" spans="1:4" x14ac:dyDescent="0.3">
      <c r="A543" t="s">
        <v>363</v>
      </c>
      <c r="B543" t="s">
        <v>1192</v>
      </c>
      <c r="C543" t="s">
        <v>1199</v>
      </c>
      <c r="D543" t="s">
        <v>2369</v>
      </c>
    </row>
    <row r="544" spans="1:4" x14ac:dyDescent="0.3">
      <c r="A544" t="s">
        <v>363</v>
      </c>
      <c r="B544" t="s">
        <v>1192</v>
      </c>
      <c r="C544" t="s">
        <v>1197</v>
      </c>
      <c r="D544" t="s">
        <v>2369</v>
      </c>
    </row>
    <row r="545" spans="1:4" x14ac:dyDescent="0.3">
      <c r="A545" t="s">
        <v>363</v>
      </c>
      <c r="B545" t="s">
        <v>1192</v>
      </c>
      <c r="C545" t="s">
        <v>1209</v>
      </c>
      <c r="D545" t="s">
        <v>2369</v>
      </c>
    </row>
    <row r="546" spans="1:4" x14ac:dyDescent="0.3">
      <c r="A546" t="s">
        <v>363</v>
      </c>
      <c r="B546" t="s">
        <v>1192</v>
      </c>
      <c r="C546" t="s">
        <v>1213</v>
      </c>
      <c r="D546" t="s">
        <v>2369</v>
      </c>
    </row>
    <row r="547" spans="1:4" x14ac:dyDescent="0.3">
      <c r="A547" t="s">
        <v>363</v>
      </c>
      <c r="B547" t="s">
        <v>1192</v>
      </c>
      <c r="C547" t="s">
        <v>1203</v>
      </c>
      <c r="D547" t="s">
        <v>2369</v>
      </c>
    </row>
    <row r="548" spans="1:4" x14ac:dyDescent="0.3">
      <c r="A548" t="s">
        <v>28</v>
      </c>
      <c r="B548" t="s">
        <v>96</v>
      </c>
      <c r="C548" t="s">
        <v>99</v>
      </c>
      <c r="D548" t="s">
        <v>2369</v>
      </c>
    </row>
    <row r="549" spans="1:4" x14ac:dyDescent="0.3">
      <c r="A549" t="s">
        <v>28</v>
      </c>
      <c r="B549" t="s">
        <v>96</v>
      </c>
      <c r="C549" t="s">
        <v>101</v>
      </c>
      <c r="D549" t="s">
        <v>2369</v>
      </c>
    </row>
    <row r="550" spans="1:4" x14ac:dyDescent="0.3">
      <c r="A550" t="s">
        <v>28</v>
      </c>
      <c r="B550" t="s">
        <v>96</v>
      </c>
      <c r="C550" t="s">
        <v>103</v>
      </c>
      <c r="D550" t="s">
        <v>2369</v>
      </c>
    </row>
    <row r="551" spans="1:4" x14ac:dyDescent="0.3">
      <c r="A551" t="s">
        <v>28</v>
      </c>
      <c r="B551" t="s">
        <v>96</v>
      </c>
      <c r="C551" t="s">
        <v>105</v>
      </c>
      <c r="D551" t="s">
        <v>2369</v>
      </c>
    </row>
    <row r="552" spans="1:4" x14ac:dyDescent="0.3">
      <c r="A552" t="s">
        <v>28</v>
      </c>
      <c r="B552" t="s">
        <v>96</v>
      </c>
      <c r="C552" t="s">
        <v>107</v>
      </c>
      <c r="D552" t="s">
        <v>2369</v>
      </c>
    </row>
    <row r="553" spans="1:4" x14ac:dyDescent="0.3">
      <c r="A553" t="s">
        <v>28</v>
      </c>
      <c r="B553" t="s">
        <v>109</v>
      </c>
      <c r="C553" t="s">
        <v>112</v>
      </c>
      <c r="D553" t="s">
        <v>2369</v>
      </c>
    </row>
    <row r="554" spans="1:4" x14ac:dyDescent="0.3">
      <c r="A554" t="s">
        <v>28</v>
      </c>
      <c r="B554" t="s">
        <v>109</v>
      </c>
      <c r="C554" t="s">
        <v>114</v>
      </c>
      <c r="D554" t="s">
        <v>2369</v>
      </c>
    </row>
    <row r="555" spans="1:4" x14ac:dyDescent="0.3">
      <c r="A555" t="s">
        <v>28</v>
      </c>
      <c r="B555" t="s">
        <v>109</v>
      </c>
      <c r="C555" t="s">
        <v>116</v>
      </c>
      <c r="D555" t="s">
        <v>2369</v>
      </c>
    </row>
    <row r="556" spans="1:4" x14ac:dyDescent="0.3">
      <c r="A556" t="s">
        <v>28</v>
      </c>
      <c r="B556" t="s">
        <v>109</v>
      </c>
      <c r="C556" t="s">
        <v>118</v>
      </c>
      <c r="D556" t="s">
        <v>2369</v>
      </c>
    </row>
    <row r="557" spans="1:4" x14ac:dyDescent="0.3">
      <c r="A557" t="s">
        <v>1</v>
      </c>
      <c r="B557" t="s">
        <v>8</v>
      </c>
      <c r="C557" t="s">
        <v>2033</v>
      </c>
      <c r="D557" t="s">
        <v>2369</v>
      </c>
    </row>
    <row r="558" spans="1:4" x14ac:dyDescent="0.3">
      <c r="A558" t="s">
        <v>1</v>
      </c>
      <c r="B558" t="s">
        <v>8</v>
      </c>
      <c r="C558" t="s">
        <v>2035</v>
      </c>
      <c r="D558" t="s">
        <v>2369</v>
      </c>
    </row>
    <row r="559" spans="1:4" x14ac:dyDescent="0.3">
      <c r="A559" t="s">
        <v>1</v>
      </c>
      <c r="B559" t="s">
        <v>8</v>
      </c>
      <c r="C559" t="s">
        <v>2037</v>
      </c>
      <c r="D559" t="s">
        <v>2369</v>
      </c>
    </row>
    <row r="560" spans="1:4" x14ac:dyDescent="0.3">
      <c r="A560" t="s">
        <v>1</v>
      </c>
      <c r="B560" t="s">
        <v>8</v>
      </c>
      <c r="C560" t="s">
        <v>2327</v>
      </c>
      <c r="D560" t="s">
        <v>2369</v>
      </c>
    </row>
    <row r="561" spans="1:4" x14ac:dyDescent="0.3">
      <c r="A561" t="s">
        <v>28</v>
      </c>
      <c r="B561" t="s">
        <v>120</v>
      </c>
      <c r="C561" t="s">
        <v>123</v>
      </c>
      <c r="D561" t="s">
        <v>2369</v>
      </c>
    </row>
    <row r="562" spans="1:4" x14ac:dyDescent="0.3">
      <c r="A562" t="s">
        <v>28</v>
      </c>
      <c r="B562" t="s">
        <v>120</v>
      </c>
      <c r="C562" t="s">
        <v>126</v>
      </c>
      <c r="D562" t="s">
        <v>2369</v>
      </c>
    </row>
    <row r="563" spans="1:4" x14ac:dyDescent="0.3">
      <c r="A563" t="s">
        <v>28</v>
      </c>
      <c r="B563" t="s">
        <v>120</v>
      </c>
      <c r="C563" t="s">
        <v>129</v>
      </c>
      <c r="D563" t="s">
        <v>2369</v>
      </c>
    </row>
    <row r="564" spans="1:4" x14ac:dyDescent="0.3">
      <c r="A564" t="s">
        <v>28</v>
      </c>
      <c r="B564" t="s">
        <v>120</v>
      </c>
      <c r="C564" t="s">
        <v>131</v>
      </c>
      <c r="D564" t="s">
        <v>2369</v>
      </c>
    </row>
    <row r="565" spans="1:4" x14ac:dyDescent="0.3">
      <c r="A565" t="s">
        <v>28</v>
      </c>
      <c r="B565" t="s">
        <v>120</v>
      </c>
      <c r="C565" t="s">
        <v>133</v>
      </c>
      <c r="D565" t="s">
        <v>2369</v>
      </c>
    </row>
    <row r="566" spans="1:4" x14ac:dyDescent="0.3">
      <c r="A566" t="s">
        <v>28</v>
      </c>
      <c r="B566" t="s">
        <v>120</v>
      </c>
      <c r="C566" t="s">
        <v>135</v>
      </c>
      <c r="D566" t="s">
        <v>2369</v>
      </c>
    </row>
    <row r="567" spans="1:4" x14ac:dyDescent="0.3">
      <c r="A567" t="s">
        <v>28</v>
      </c>
      <c r="B567" t="s">
        <v>120</v>
      </c>
      <c r="C567" t="s">
        <v>137</v>
      </c>
      <c r="D567" t="s">
        <v>2369</v>
      </c>
    </row>
    <row r="568" spans="1:4" x14ac:dyDescent="0.3">
      <c r="A568" t="s">
        <v>28</v>
      </c>
      <c r="B568" t="s">
        <v>139</v>
      </c>
      <c r="C568" t="s">
        <v>142</v>
      </c>
      <c r="D568" t="s">
        <v>2369</v>
      </c>
    </row>
    <row r="569" spans="1:4" x14ac:dyDescent="0.3">
      <c r="A569" t="s">
        <v>28</v>
      </c>
      <c r="B569" t="s">
        <v>139</v>
      </c>
      <c r="C569" t="s">
        <v>144</v>
      </c>
      <c r="D569" t="s">
        <v>2369</v>
      </c>
    </row>
    <row r="570" spans="1:4" x14ac:dyDescent="0.3">
      <c r="A570" t="s">
        <v>28</v>
      </c>
      <c r="B570" t="s">
        <v>139</v>
      </c>
      <c r="C570" t="s">
        <v>146</v>
      </c>
      <c r="D570" t="s">
        <v>2369</v>
      </c>
    </row>
    <row r="571" spans="1:4" x14ac:dyDescent="0.3">
      <c r="A571" t="s">
        <v>28</v>
      </c>
      <c r="B571" t="s">
        <v>139</v>
      </c>
      <c r="C571" t="s">
        <v>2427</v>
      </c>
      <c r="D571" t="s">
        <v>2369</v>
      </c>
    </row>
    <row r="572" spans="1:4" x14ac:dyDescent="0.3">
      <c r="A572" t="s">
        <v>28</v>
      </c>
      <c r="B572" t="s">
        <v>139</v>
      </c>
      <c r="C572" t="s">
        <v>148</v>
      </c>
      <c r="D572" t="s">
        <v>2369</v>
      </c>
    </row>
    <row r="573" spans="1:4" x14ac:dyDescent="0.3">
      <c r="A573" t="s">
        <v>363</v>
      </c>
      <c r="B573" t="s">
        <v>780</v>
      </c>
      <c r="C573" t="s">
        <v>808</v>
      </c>
      <c r="D573" t="s">
        <v>2369</v>
      </c>
    </row>
    <row r="574" spans="1:4" x14ac:dyDescent="0.3">
      <c r="A574" t="s">
        <v>363</v>
      </c>
      <c r="B574" t="s">
        <v>780</v>
      </c>
      <c r="C574" t="s">
        <v>785</v>
      </c>
      <c r="D574" t="s">
        <v>2369</v>
      </c>
    </row>
    <row r="575" spans="1:4" x14ac:dyDescent="0.3">
      <c r="A575" t="s">
        <v>363</v>
      </c>
      <c r="B575" t="s">
        <v>780</v>
      </c>
      <c r="C575" t="s">
        <v>813</v>
      </c>
      <c r="D575" t="s">
        <v>2369</v>
      </c>
    </row>
    <row r="576" spans="1:4" x14ac:dyDescent="0.3">
      <c r="A576" t="s">
        <v>363</v>
      </c>
      <c r="B576" t="s">
        <v>780</v>
      </c>
      <c r="C576" t="s">
        <v>791</v>
      </c>
      <c r="D576" t="s">
        <v>2369</v>
      </c>
    </row>
    <row r="577" spans="1:4" x14ac:dyDescent="0.3">
      <c r="A577" t="s">
        <v>363</v>
      </c>
      <c r="B577" t="s">
        <v>780</v>
      </c>
      <c r="C577" t="s">
        <v>793</v>
      </c>
      <c r="D577" t="s">
        <v>2369</v>
      </c>
    </row>
    <row r="578" spans="1:4" x14ac:dyDescent="0.3">
      <c r="A578" t="s">
        <v>363</v>
      </c>
      <c r="B578" t="s">
        <v>780</v>
      </c>
      <c r="C578" t="s">
        <v>799</v>
      </c>
      <c r="D578" t="s">
        <v>2369</v>
      </c>
    </row>
    <row r="579" spans="1:4" x14ac:dyDescent="0.3">
      <c r="A579" t="s">
        <v>363</v>
      </c>
      <c r="B579" t="s">
        <v>780</v>
      </c>
      <c r="C579" t="s">
        <v>797</v>
      </c>
      <c r="D579" t="s">
        <v>2369</v>
      </c>
    </row>
    <row r="580" spans="1:4" x14ac:dyDescent="0.3">
      <c r="A580" t="s">
        <v>363</v>
      </c>
      <c r="B580" t="s">
        <v>780</v>
      </c>
      <c r="C580" t="s">
        <v>810</v>
      </c>
      <c r="D580" t="s">
        <v>2369</v>
      </c>
    </row>
    <row r="581" spans="1:4" x14ac:dyDescent="0.3">
      <c r="A581" t="s">
        <v>363</v>
      </c>
      <c r="B581" t="s">
        <v>780</v>
      </c>
      <c r="C581" t="s">
        <v>805</v>
      </c>
      <c r="D581" t="s">
        <v>2369</v>
      </c>
    </row>
    <row r="582" spans="1:4" x14ac:dyDescent="0.3">
      <c r="A582" t="s">
        <v>363</v>
      </c>
      <c r="B582" t="s">
        <v>780</v>
      </c>
      <c r="C582" t="s">
        <v>801</v>
      </c>
      <c r="D582" t="s">
        <v>2369</v>
      </c>
    </row>
    <row r="583" spans="1:4" x14ac:dyDescent="0.3">
      <c r="A583" t="s">
        <v>363</v>
      </c>
      <c r="B583" t="s">
        <v>780</v>
      </c>
      <c r="C583" t="s">
        <v>803</v>
      </c>
      <c r="D583" t="s">
        <v>2369</v>
      </c>
    </row>
    <row r="584" spans="1:4" x14ac:dyDescent="0.3">
      <c r="A584" t="s">
        <v>363</v>
      </c>
      <c r="B584" t="s">
        <v>780</v>
      </c>
      <c r="C584" t="s">
        <v>783</v>
      </c>
      <c r="D584" t="s">
        <v>2369</v>
      </c>
    </row>
    <row r="585" spans="1:4" x14ac:dyDescent="0.3">
      <c r="A585" t="s">
        <v>363</v>
      </c>
      <c r="B585" t="s">
        <v>780</v>
      </c>
      <c r="C585" t="s">
        <v>795</v>
      </c>
      <c r="D585" t="s">
        <v>2369</v>
      </c>
    </row>
    <row r="586" spans="1:4" x14ac:dyDescent="0.3">
      <c r="A586" t="s">
        <v>363</v>
      </c>
      <c r="B586" t="s">
        <v>780</v>
      </c>
      <c r="C586" t="s">
        <v>787</v>
      </c>
      <c r="D586" t="s">
        <v>2369</v>
      </c>
    </row>
    <row r="587" spans="1:4" x14ac:dyDescent="0.3">
      <c r="A587" t="s">
        <v>363</v>
      </c>
      <c r="B587" t="s">
        <v>780</v>
      </c>
      <c r="C587" t="s">
        <v>789</v>
      </c>
      <c r="D587" t="s">
        <v>2369</v>
      </c>
    </row>
    <row r="588" spans="1:4" x14ac:dyDescent="0.3">
      <c r="A588" t="s">
        <v>363</v>
      </c>
      <c r="B588" t="s">
        <v>780</v>
      </c>
      <c r="C588" t="s">
        <v>815</v>
      </c>
      <c r="D588" t="s">
        <v>2369</v>
      </c>
    </row>
    <row r="589" spans="1:4" x14ac:dyDescent="0.3">
      <c r="A589" t="s">
        <v>363</v>
      </c>
      <c r="B589" t="s">
        <v>1561</v>
      </c>
      <c r="C589" t="s">
        <v>1582</v>
      </c>
      <c r="D589" t="s">
        <v>2369</v>
      </c>
    </row>
    <row r="590" spans="1:4" x14ac:dyDescent="0.3">
      <c r="A590" t="s">
        <v>363</v>
      </c>
      <c r="B590" t="s">
        <v>1561</v>
      </c>
      <c r="C590" t="s">
        <v>1107</v>
      </c>
      <c r="D590" t="s">
        <v>2369</v>
      </c>
    </row>
    <row r="591" spans="1:4" x14ac:dyDescent="0.3">
      <c r="A591" t="s">
        <v>363</v>
      </c>
      <c r="B591" t="s">
        <v>1561</v>
      </c>
      <c r="C591" t="s">
        <v>1568</v>
      </c>
      <c r="D591" t="s">
        <v>2369</v>
      </c>
    </row>
    <row r="592" spans="1:4" x14ac:dyDescent="0.3">
      <c r="A592" t="s">
        <v>363</v>
      </c>
      <c r="B592" t="s">
        <v>1561</v>
      </c>
      <c r="C592" t="s">
        <v>1565</v>
      </c>
      <c r="D592" t="s">
        <v>2369</v>
      </c>
    </row>
    <row r="593" spans="1:4" x14ac:dyDescent="0.3">
      <c r="A593" t="s">
        <v>363</v>
      </c>
      <c r="B593" t="s">
        <v>1561</v>
      </c>
      <c r="C593" t="s">
        <v>2428</v>
      </c>
      <c r="D593" t="s">
        <v>2369</v>
      </c>
    </row>
    <row r="594" spans="1:4" x14ac:dyDescent="0.3">
      <c r="A594" t="s">
        <v>363</v>
      </c>
      <c r="B594" t="s">
        <v>1561</v>
      </c>
      <c r="C594" t="s">
        <v>1563</v>
      </c>
      <c r="D594" t="s">
        <v>2369</v>
      </c>
    </row>
    <row r="595" spans="1:4" x14ac:dyDescent="0.3">
      <c r="A595" t="s">
        <v>363</v>
      </c>
      <c r="B595" t="s">
        <v>1561</v>
      </c>
      <c r="C595" t="s">
        <v>1580</v>
      </c>
      <c r="D595" t="s">
        <v>2369</v>
      </c>
    </row>
    <row r="596" spans="1:4" x14ac:dyDescent="0.3">
      <c r="A596" t="s">
        <v>363</v>
      </c>
      <c r="B596" t="s">
        <v>1561</v>
      </c>
      <c r="C596" t="s">
        <v>1570</v>
      </c>
      <c r="D596" t="s">
        <v>2369</v>
      </c>
    </row>
    <row r="597" spans="1:4" x14ac:dyDescent="0.3">
      <c r="A597" t="s">
        <v>363</v>
      </c>
      <c r="B597" t="s">
        <v>1561</v>
      </c>
      <c r="C597" t="s">
        <v>1576</v>
      </c>
      <c r="D597" t="s">
        <v>2369</v>
      </c>
    </row>
    <row r="598" spans="1:4" x14ac:dyDescent="0.3">
      <c r="A598" t="s">
        <v>363</v>
      </c>
      <c r="B598" t="s">
        <v>1561</v>
      </c>
      <c r="C598" t="s">
        <v>1562</v>
      </c>
      <c r="D598" t="s">
        <v>2369</v>
      </c>
    </row>
    <row r="599" spans="1:4" x14ac:dyDescent="0.3">
      <c r="A599" t="s">
        <v>363</v>
      </c>
      <c r="B599" t="s">
        <v>1561</v>
      </c>
      <c r="C599" t="s">
        <v>1574</v>
      </c>
      <c r="D599" t="s">
        <v>2369</v>
      </c>
    </row>
    <row r="600" spans="1:4" x14ac:dyDescent="0.3">
      <c r="A600" t="s">
        <v>363</v>
      </c>
      <c r="B600" t="s">
        <v>1561</v>
      </c>
      <c r="C600" t="s">
        <v>2429</v>
      </c>
      <c r="D600" t="s">
        <v>2369</v>
      </c>
    </row>
    <row r="601" spans="1:4" x14ac:dyDescent="0.3">
      <c r="A601" t="s">
        <v>363</v>
      </c>
      <c r="B601" t="s">
        <v>1561</v>
      </c>
      <c r="C601" t="s">
        <v>1572</v>
      </c>
      <c r="D601" t="s">
        <v>2369</v>
      </c>
    </row>
    <row r="602" spans="1:4" x14ac:dyDescent="0.3">
      <c r="A602" t="s">
        <v>363</v>
      </c>
      <c r="B602" t="s">
        <v>708</v>
      </c>
      <c r="C602" t="s">
        <v>720</v>
      </c>
      <c r="D602" t="s">
        <v>2369</v>
      </c>
    </row>
    <row r="603" spans="1:4" x14ac:dyDescent="0.3">
      <c r="A603" t="s">
        <v>363</v>
      </c>
      <c r="B603" t="s">
        <v>708</v>
      </c>
      <c r="C603" t="s">
        <v>715</v>
      </c>
      <c r="D603" t="s">
        <v>2369</v>
      </c>
    </row>
    <row r="604" spans="1:4" x14ac:dyDescent="0.3">
      <c r="A604" t="s">
        <v>363</v>
      </c>
      <c r="B604" t="s">
        <v>708</v>
      </c>
      <c r="C604" t="s">
        <v>722</v>
      </c>
      <c r="D604" t="s">
        <v>2369</v>
      </c>
    </row>
    <row r="605" spans="1:4" x14ac:dyDescent="0.3">
      <c r="A605" t="s">
        <v>363</v>
      </c>
      <c r="B605" t="s">
        <v>708</v>
      </c>
      <c r="C605" t="s">
        <v>717</v>
      </c>
      <c r="D605" t="s">
        <v>2369</v>
      </c>
    </row>
    <row r="606" spans="1:4" x14ac:dyDescent="0.3">
      <c r="A606" t="s">
        <v>363</v>
      </c>
      <c r="B606" t="s">
        <v>708</v>
      </c>
      <c r="C606" t="s">
        <v>730</v>
      </c>
      <c r="D606" t="s">
        <v>2369</v>
      </c>
    </row>
    <row r="607" spans="1:4" x14ac:dyDescent="0.3">
      <c r="A607" t="s">
        <v>363</v>
      </c>
      <c r="B607" t="s">
        <v>708</v>
      </c>
      <c r="C607" t="s">
        <v>726</v>
      </c>
      <c r="D607" t="s">
        <v>2369</v>
      </c>
    </row>
    <row r="608" spans="1:4" x14ac:dyDescent="0.3">
      <c r="A608" t="s">
        <v>363</v>
      </c>
      <c r="B608" t="s">
        <v>708</v>
      </c>
      <c r="C608" t="s">
        <v>724</v>
      </c>
      <c r="D608" t="s">
        <v>2369</v>
      </c>
    </row>
    <row r="609" spans="1:4" x14ac:dyDescent="0.3">
      <c r="A609" t="s">
        <v>363</v>
      </c>
      <c r="B609" t="s">
        <v>708</v>
      </c>
      <c r="C609" t="s">
        <v>734</v>
      </c>
      <c r="D609" t="s">
        <v>2369</v>
      </c>
    </row>
    <row r="610" spans="1:4" x14ac:dyDescent="0.3">
      <c r="A610" t="s">
        <v>363</v>
      </c>
      <c r="B610" t="s">
        <v>708</v>
      </c>
      <c r="C610" t="s">
        <v>1015</v>
      </c>
      <c r="D610" t="s">
        <v>2369</v>
      </c>
    </row>
    <row r="611" spans="1:4" x14ac:dyDescent="0.3">
      <c r="A611" t="s">
        <v>363</v>
      </c>
      <c r="B611" t="s">
        <v>708</v>
      </c>
      <c r="C611" t="s">
        <v>732</v>
      </c>
      <c r="D611" t="s">
        <v>2369</v>
      </c>
    </row>
    <row r="612" spans="1:4" x14ac:dyDescent="0.3">
      <c r="A612" t="s">
        <v>363</v>
      </c>
      <c r="B612" t="s">
        <v>708</v>
      </c>
      <c r="C612" t="s">
        <v>736</v>
      </c>
      <c r="D612" t="s">
        <v>2369</v>
      </c>
    </row>
    <row r="613" spans="1:4" x14ac:dyDescent="0.3">
      <c r="A613" t="s">
        <v>363</v>
      </c>
      <c r="B613" t="s">
        <v>708</v>
      </c>
      <c r="C613" t="s">
        <v>709</v>
      </c>
      <c r="D613" t="s">
        <v>2369</v>
      </c>
    </row>
    <row r="614" spans="1:4" x14ac:dyDescent="0.3">
      <c r="A614" t="s">
        <v>363</v>
      </c>
      <c r="B614" t="s">
        <v>708</v>
      </c>
      <c r="C614" t="s">
        <v>728</v>
      </c>
      <c r="D614" t="s">
        <v>2369</v>
      </c>
    </row>
    <row r="615" spans="1:4" x14ac:dyDescent="0.3">
      <c r="A615" t="s">
        <v>2053</v>
      </c>
      <c r="B615" t="s">
        <v>2091</v>
      </c>
      <c r="C615" t="s">
        <v>2097</v>
      </c>
      <c r="D615" t="s">
        <v>2369</v>
      </c>
    </row>
    <row r="616" spans="1:4" x14ac:dyDescent="0.3">
      <c r="A616" t="s">
        <v>2053</v>
      </c>
      <c r="B616" t="s">
        <v>2091</v>
      </c>
      <c r="C616" t="s">
        <v>2099</v>
      </c>
      <c r="D616" t="s">
        <v>2369</v>
      </c>
    </row>
    <row r="617" spans="1:4" x14ac:dyDescent="0.3">
      <c r="A617" t="s">
        <v>2053</v>
      </c>
      <c r="B617" t="s">
        <v>2091</v>
      </c>
      <c r="C617" t="s">
        <v>2102</v>
      </c>
      <c r="D617" t="s">
        <v>2369</v>
      </c>
    </row>
    <row r="618" spans="1:4" x14ac:dyDescent="0.3">
      <c r="A618" t="s">
        <v>2053</v>
      </c>
      <c r="B618" t="s">
        <v>2091</v>
      </c>
      <c r="C618" t="s">
        <v>2104</v>
      </c>
      <c r="D618" t="s">
        <v>2369</v>
      </c>
    </row>
    <row r="619" spans="1:4" x14ac:dyDescent="0.3">
      <c r="A619" t="s">
        <v>2053</v>
      </c>
      <c r="B619" t="s">
        <v>2091</v>
      </c>
      <c r="C619" t="s">
        <v>2106</v>
      </c>
      <c r="D619" t="s">
        <v>2369</v>
      </c>
    </row>
    <row r="620" spans="1:4" x14ac:dyDescent="0.3">
      <c r="A620" t="s">
        <v>2053</v>
      </c>
      <c r="B620" t="s">
        <v>2091</v>
      </c>
      <c r="C620" t="s">
        <v>2108</v>
      </c>
      <c r="D620" t="s">
        <v>2369</v>
      </c>
    </row>
    <row r="621" spans="1:4" x14ac:dyDescent="0.3">
      <c r="A621" t="s">
        <v>1584</v>
      </c>
      <c r="B621" t="s">
        <v>2356</v>
      </c>
      <c r="D621" t="s">
        <v>2369</v>
      </c>
    </row>
    <row r="622" spans="1:4" x14ac:dyDescent="0.3">
      <c r="A622" t="s">
        <v>363</v>
      </c>
      <c r="B622" t="s">
        <v>974</v>
      </c>
      <c r="C622" t="s">
        <v>999</v>
      </c>
      <c r="D622" t="s">
        <v>2369</v>
      </c>
    </row>
    <row r="623" spans="1:4" x14ac:dyDescent="0.3">
      <c r="A623" t="s">
        <v>363</v>
      </c>
      <c r="B623" t="s">
        <v>974</v>
      </c>
      <c r="C623" t="s">
        <v>1002</v>
      </c>
      <c r="D623" t="s">
        <v>2369</v>
      </c>
    </row>
    <row r="624" spans="1:4" x14ac:dyDescent="0.3">
      <c r="A624" t="s">
        <v>363</v>
      </c>
      <c r="B624" t="s">
        <v>974</v>
      </c>
      <c r="C624" t="s">
        <v>1000</v>
      </c>
      <c r="D624" t="s">
        <v>2369</v>
      </c>
    </row>
    <row r="625" spans="1:4" x14ac:dyDescent="0.3">
      <c r="A625" t="s">
        <v>363</v>
      </c>
      <c r="B625" t="s">
        <v>974</v>
      </c>
      <c r="C625" t="s">
        <v>982</v>
      </c>
      <c r="D625" t="s">
        <v>2369</v>
      </c>
    </row>
    <row r="626" spans="1:4" x14ac:dyDescent="0.3">
      <c r="A626" t="s">
        <v>363</v>
      </c>
      <c r="B626" t="s">
        <v>974</v>
      </c>
      <c r="C626" t="s">
        <v>987</v>
      </c>
      <c r="D626" t="s">
        <v>2369</v>
      </c>
    </row>
    <row r="627" spans="1:4" x14ac:dyDescent="0.3">
      <c r="A627" t="s">
        <v>363</v>
      </c>
      <c r="B627" t="s">
        <v>974</v>
      </c>
      <c r="C627" t="s">
        <v>993</v>
      </c>
      <c r="D627" t="s">
        <v>2369</v>
      </c>
    </row>
    <row r="628" spans="1:4" x14ac:dyDescent="0.3">
      <c r="A628" t="s">
        <v>363</v>
      </c>
      <c r="B628" t="s">
        <v>974</v>
      </c>
      <c r="C628" t="s">
        <v>978</v>
      </c>
      <c r="D628" t="s">
        <v>2369</v>
      </c>
    </row>
    <row r="629" spans="1:4" x14ac:dyDescent="0.3">
      <c r="A629" t="s">
        <v>363</v>
      </c>
      <c r="B629" t="s">
        <v>974</v>
      </c>
      <c r="C629" t="s">
        <v>888</v>
      </c>
      <c r="D629" t="s">
        <v>2369</v>
      </c>
    </row>
    <row r="630" spans="1:4" x14ac:dyDescent="0.3">
      <c r="A630" t="s">
        <v>363</v>
      </c>
      <c r="B630" t="s">
        <v>974</v>
      </c>
      <c r="C630" t="s">
        <v>753</v>
      </c>
      <c r="D630" t="s">
        <v>2369</v>
      </c>
    </row>
    <row r="631" spans="1:4" x14ac:dyDescent="0.3">
      <c r="A631" t="s">
        <v>363</v>
      </c>
      <c r="B631" t="s">
        <v>974</v>
      </c>
      <c r="C631" t="s">
        <v>994</v>
      </c>
      <c r="D631" t="s">
        <v>2369</v>
      </c>
    </row>
    <row r="632" spans="1:4" x14ac:dyDescent="0.3">
      <c r="A632" t="s">
        <v>363</v>
      </c>
      <c r="B632" t="s">
        <v>974</v>
      </c>
      <c r="C632" t="s">
        <v>984</v>
      </c>
      <c r="D632" t="s">
        <v>2369</v>
      </c>
    </row>
    <row r="633" spans="1:4" x14ac:dyDescent="0.3">
      <c r="A633" t="s">
        <v>363</v>
      </c>
      <c r="B633" t="s">
        <v>974</v>
      </c>
      <c r="C633" t="s">
        <v>996</v>
      </c>
      <c r="D633" t="s">
        <v>2369</v>
      </c>
    </row>
    <row r="634" spans="1:4" x14ac:dyDescent="0.3">
      <c r="A634" t="s">
        <v>363</v>
      </c>
      <c r="B634" t="s">
        <v>974</v>
      </c>
      <c r="C634" t="s">
        <v>980</v>
      </c>
      <c r="D634" t="s">
        <v>2369</v>
      </c>
    </row>
    <row r="635" spans="1:4" x14ac:dyDescent="0.3">
      <c r="A635" t="s">
        <v>363</v>
      </c>
      <c r="B635" t="s">
        <v>974</v>
      </c>
      <c r="C635" t="s">
        <v>989</v>
      </c>
      <c r="D635" t="s">
        <v>2369</v>
      </c>
    </row>
    <row r="636" spans="1:4" x14ac:dyDescent="0.3">
      <c r="A636" t="s">
        <v>363</v>
      </c>
      <c r="B636" t="s">
        <v>974</v>
      </c>
      <c r="C636" t="s">
        <v>986</v>
      </c>
      <c r="D636" t="s">
        <v>2369</v>
      </c>
    </row>
    <row r="637" spans="1:4" x14ac:dyDescent="0.3">
      <c r="A637" t="s">
        <v>363</v>
      </c>
      <c r="B637" t="s">
        <v>974</v>
      </c>
      <c r="C637" t="s">
        <v>1005</v>
      </c>
      <c r="D637" t="s">
        <v>2369</v>
      </c>
    </row>
    <row r="638" spans="1:4" x14ac:dyDescent="0.3">
      <c r="A638" t="s">
        <v>363</v>
      </c>
      <c r="B638" t="s">
        <v>974</v>
      </c>
      <c r="C638" t="s">
        <v>981</v>
      </c>
      <c r="D638" t="s">
        <v>2369</v>
      </c>
    </row>
    <row r="639" spans="1:4" x14ac:dyDescent="0.3">
      <c r="A639" t="s">
        <v>363</v>
      </c>
      <c r="B639" t="s">
        <v>974</v>
      </c>
      <c r="C639" t="s">
        <v>976</v>
      </c>
      <c r="D639" t="s">
        <v>2369</v>
      </c>
    </row>
    <row r="640" spans="1:4" x14ac:dyDescent="0.3">
      <c r="A640" t="s">
        <v>363</v>
      </c>
      <c r="B640" t="s">
        <v>974</v>
      </c>
      <c r="C640" t="s">
        <v>991</v>
      </c>
      <c r="D640" t="s">
        <v>2369</v>
      </c>
    </row>
    <row r="641" spans="1:4" x14ac:dyDescent="0.3">
      <c r="A641" t="s">
        <v>363</v>
      </c>
      <c r="B641" t="s">
        <v>1343</v>
      </c>
      <c r="C641" t="s">
        <v>1367</v>
      </c>
      <c r="D641" t="s">
        <v>2369</v>
      </c>
    </row>
    <row r="642" spans="1:4" x14ac:dyDescent="0.3">
      <c r="A642" t="s">
        <v>363</v>
      </c>
      <c r="B642" t="s">
        <v>1343</v>
      </c>
      <c r="C642" t="s">
        <v>1364</v>
      </c>
      <c r="D642" t="s">
        <v>2369</v>
      </c>
    </row>
    <row r="643" spans="1:4" x14ac:dyDescent="0.3">
      <c r="A643" t="s">
        <v>363</v>
      </c>
      <c r="B643" t="s">
        <v>1343</v>
      </c>
      <c r="C643" t="s">
        <v>1362</v>
      </c>
      <c r="D643" t="s">
        <v>2369</v>
      </c>
    </row>
    <row r="644" spans="1:4" x14ac:dyDescent="0.3">
      <c r="A644" t="s">
        <v>363</v>
      </c>
      <c r="B644" t="s">
        <v>1343</v>
      </c>
      <c r="C644" t="s">
        <v>1360</v>
      </c>
      <c r="D644" t="s">
        <v>2369</v>
      </c>
    </row>
    <row r="645" spans="1:4" x14ac:dyDescent="0.3">
      <c r="A645" t="s">
        <v>363</v>
      </c>
      <c r="B645" t="s">
        <v>1343</v>
      </c>
      <c r="C645" t="s">
        <v>1358</v>
      </c>
      <c r="D645" t="s">
        <v>2369</v>
      </c>
    </row>
    <row r="646" spans="1:4" x14ac:dyDescent="0.3">
      <c r="A646" t="s">
        <v>363</v>
      </c>
      <c r="B646" t="s">
        <v>1343</v>
      </c>
      <c r="C646" t="s">
        <v>1355</v>
      </c>
      <c r="D646" t="s">
        <v>2369</v>
      </c>
    </row>
    <row r="647" spans="1:4" x14ac:dyDescent="0.3">
      <c r="A647" t="s">
        <v>363</v>
      </c>
      <c r="B647" t="s">
        <v>1343</v>
      </c>
      <c r="C647" t="s">
        <v>1353</v>
      </c>
      <c r="D647" t="s">
        <v>2369</v>
      </c>
    </row>
    <row r="648" spans="1:4" x14ac:dyDescent="0.3">
      <c r="A648" t="s">
        <v>363</v>
      </c>
      <c r="B648" t="s">
        <v>1343</v>
      </c>
      <c r="C648" t="s">
        <v>1351</v>
      </c>
      <c r="D648" t="s">
        <v>2369</v>
      </c>
    </row>
    <row r="649" spans="1:4" x14ac:dyDescent="0.3">
      <c r="A649" t="s">
        <v>363</v>
      </c>
      <c r="B649" t="s">
        <v>1343</v>
      </c>
      <c r="C649" t="s">
        <v>1349</v>
      </c>
      <c r="D649" t="s">
        <v>2369</v>
      </c>
    </row>
    <row r="650" spans="1:4" x14ac:dyDescent="0.3">
      <c r="A650" t="s">
        <v>363</v>
      </c>
      <c r="B650" t="s">
        <v>1343</v>
      </c>
      <c r="C650" t="s">
        <v>1346</v>
      </c>
      <c r="D650" t="s">
        <v>2369</v>
      </c>
    </row>
    <row r="651" spans="1:4" x14ac:dyDescent="0.3">
      <c r="A651" t="s">
        <v>363</v>
      </c>
      <c r="B651" t="s">
        <v>1343</v>
      </c>
      <c r="C651" t="s">
        <v>1344</v>
      </c>
      <c r="D651" t="s">
        <v>2369</v>
      </c>
    </row>
    <row r="652" spans="1:4" x14ac:dyDescent="0.3">
      <c r="A652" t="s">
        <v>363</v>
      </c>
      <c r="B652" t="s">
        <v>1465</v>
      </c>
      <c r="C652" t="s">
        <v>1471</v>
      </c>
      <c r="D652" t="s">
        <v>2369</v>
      </c>
    </row>
    <row r="653" spans="1:4" x14ac:dyDescent="0.3">
      <c r="A653" t="s">
        <v>363</v>
      </c>
      <c r="B653" t="s">
        <v>1465</v>
      </c>
      <c r="C653" t="s">
        <v>1473</v>
      </c>
      <c r="D653" t="s">
        <v>2369</v>
      </c>
    </row>
    <row r="654" spans="1:4" x14ac:dyDescent="0.3">
      <c r="A654" t="s">
        <v>363</v>
      </c>
      <c r="B654" t="s">
        <v>1465</v>
      </c>
      <c r="C654" t="s">
        <v>1475</v>
      </c>
      <c r="D654" t="s">
        <v>2369</v>
      </c>
    </row>
    <row r="655" spans="1:4" x14ac:dyDescent="0.3">
      <c r="A655" t="s">
        <v>363</v>
      </c>
      <c r="B655" t="s">
        <v>1465</v>
      </c>
      <c r="C655" t="s">
        <v>1477</v>
      </c>
      <c r="D655" t="s">
        <v>2369</v>
      </c>
    </row>
    <row r="656" spans="1:4" x14ac:dyDescent="0.3">
      <c r="A656" t="s">
        <v>363</v>
      </c>
      <c r="B656" t="s">
        <v>1465</v>
      </c>
      <c r="C656" t="s">
        <v>674</v>
      </c>
      <c r="D656" t="s">
        <v>2369</v>
      </c>
    </row>
    <row r="657" spans="1:4" x14ac:dyDescent="0.3">
      <c r="A657" t="s">
        <v>363</v>
      </c>
      <c r="B657" t="s">
        <v>1465</v>
      </c>
      <c r="C657" t="s">
        <v>1480</v>
      </c>
      <c r="D657" t="s">
        <v>2369</v>
      </c>
    </row>
    <row r="658" spans="1:4" x14ac:dyDescent="0.3">
      <c r="A658" t="s">
        <v>363</v>
      </c>
      <c r="B658" t="s">
        <v>1465</v>
      </c>
      <c r="C658" t="s">
        <v>1482</v>
      </c>
      <c r="D658" t="s">
        <v>2369</v>
      </c>
    </row>
    <row r="659" spans="1:4" x14ac:dyDescent="0.3">
      <c r="A659" t="s">
        <v>363</v>
      </c>
      <c r="B659" t="s">
        <v>1465</v>
      </c>
      <c r="C659" t="s">
        <v>1484</v>
      </c>
      <c r="D659" t="s">
        <v>2369</v>
      </c>
    </row>
    <row r="660" spans="1:4" x14ac:dyDescent="0.3">
      <c r="A660" t="s">
        <v>363</v>
      </c>
      <c r="B660" t="s">
        <v>1465</v>
      </c>
      <c r="C660" t="s">
        <v>1487</v>
      </c>
      <c r="D660" t="s">
        <v>2369</v>
      </c>
    </row>
    <row r="661" spans="1:4" x14ac:dyDescent="0.3">
      <c r="A661" t="s">
        <v>363</v>
      </c>
      <c r="B661" t="s">
        <v>1465</v>
      </c>
      <c r="C661" t="s">
        <v>1489</v>
      </c>
      <c r="D661" t="s">
        <v>2369</v>
      </c>
    </row>
    <row r="662" spans="1:4" x14ac:dyDescent="0.3">
      <c r="A662" t="s">
        <v>363</v>
      </c>
      <c r="B662" t="s">
        <v>1465</v>
      </c>
      <c r="C662" t="s">
        <v>1492</v>
      </c>
      <c r="D662" t="s">
        <v>2369</v>
      </c>
    </row>
    <row r="663" spans="1:4" x14ac:dyDescent="0.3">
      <c r="A663" t="s">
        <v>363</v>
      </c>
      <c r="B663" t="s">
        <v>1465</v>
      </c>
      <c r="C663" t="s">
        <v>1494</v>
      </c>
      <c r="D663" t="s">
        <v>2369</v>
      </c>
    </row>
    <row r="664" spans="1:4" x14ac:dyDescent="0.3">
      <c r="A664" t="s">
        <v>363</v>
      </c>
      <c r="B664" t="s">
        <v>1465</v>
      </c>
      <c r="C664" t="s">
        <v>1496</v>
      </c>
      <c r="D664" t="s">
        <v>2369</v>
      </c>
    </row>
    <row r="665" spans="1:4" x14ac:dyDescent="0.3">
      <c r="A665" t="s">
        <v>363</v>
      </c>
      <c r="B665" t="s">
        <v>1465</v>
      </c>
      <c r="C665" t="s">
        <v>1498</v>
      </c>
      <c r="D665" t="s">
        <v>2369</v>
      </c>
    </row>
    <row r="666" spans="1:4" x14ac:dyDescent="0.3">
      <c r="A666" t="s">
        <v>363</v>
      </c>
      <c r="B666" t="s">
        <v>1465</v>
      </c>
      <c r="C666" t="s">
        <v>1500</v>
      </c>
      <c r="D666" t="s">
        <v>2369</v>
      </c>
    </row>
    <row r="667" spans="1:4" x14ac:dyDescent="0.3">
      <c r="A667" t="s">
        <v>263</v>
      </c>
      <c r="B667" t="s">
        <v>291</v>
      </c>
      <c r="C667" t="s">
        <v>294</v>
      </c>
      <c r="D667" t="s">
        <v>2369</v>
      </c>
    </row>
    <row r="668" spans="1:4" x14ac:dyDescent="0.3">
      <c r="A668" t="s">
        <v>263</v>
      </c>
      <c r="B668" t="s">
        <v>291</v>
      </c>
      <c r="C668" t="s">
        <v>296</v>
      </c>
      <c r="D668" t="s">
        <v>2369</v>
      </c>
    </row>
    <row r="669" spans="1:4" x14ac:dyDescent="0.3">
      <c r="A669" t="s">
        <v>263</v>
      </c>
      <c r="B669" t="s">
        <v>291</v>
      </c>
      <c r="C669" t="s">
        <v>298</v>
      </c>
      <c r="D669" t="s">
        <v>2369</v>
      </c>
    </row>
    <row r="670" spans="1:4" x14ac:dyDescent="0.3">
      <c r="A670" t="s">
        <v>263</v>
      </c>
      <c r="B670" t="s">
        <v>291</v>
      </c>
      <c r="C670" t="s">
        <v>292</v>
      </c>
      <c r="D670" t="s">
        <v>2369</v>
      </c>
    </row>
    <row r="671" spans="1:4" x14ac:dyDescent="0.3">
      <c r="A671" t="s">
        <v>263</v>
      </c>
      <c r="B671" t="s">
        <v>291</v>
      </c>
      <c r="C671" t="s">
        <v>300</v>
      </c>
      <c r="D671" t="s">
        <v>2369</v>
      </c>
    </row>
    <row r="672" spans="1:4" x14ac:dyDescent="0.3">
      <c r="A672" t="s">
        <v>263</v>
      </c>
      <c r="B672" t="s">
        <v>291</v>
      </c>
      <c r="C672" t="s">
        <v>302</v>
      </c>
      <c r="D672" t="s">
        <v>2369</v>
      </c>
    </row>
    <row r="673" spans="1:4" x14ac:dyDescent="0.3">
      <c r="A673" t="s">
        <v>263</v>
      </c>
      <c r="B673" t="s">
        <v>291</v>
      </c>
      <c r="C673" t="s">
        <v>304</v>
      </c>
      <c r="D673" t="s">
        <v>2369</v>
      </c>
    </row>
    <row r="674" spans="1:4" x14ac:dyDescent="0.3">
      <c r="A674" t="s">
        <v>263</v>
      </c>
      <c r="B674" t="s">
        <v>291</v>
      </c>
      <c r="C674" t="s">
        <v>306</v>
      </c>
      <c r="D674" t="s">
        <v>2369</v>
      </c>
    </row>
    <row r="675" spans="1:4" x14ac:dyDescent="0.3">
      <c r="A675" t="s">
        <v>263</v>
      </c>
      <c r="B675" t="s">
        <v>291</v>
      </c>
      <c r="C675" t="s">
        <v>308</v>
      </c>
      <c r="D675" t="s">
        <v>2369</v>
      </c>
    </row>
    <row r="676" spans="1:4" x14ac:dyDescent="0.3">
      <c r="A676" t="s">
        <v>263</v>
      </c>
      <c r="B676" t="s">
        <v>291</v>
      </c>
      <c r="C676" t="s">
        <v>310</v>
      </c>
      <c r="D676" t="s">
        <v>2369</v>
      </c>
    </row>
    <row r="677" spans="1:4" x14ac:dyDescent="0.3">
      <c r="A677" t="s">
        <v>363</v>
      </c>
      <c r="B677" t="s">
        <v>1215</v>
      </c>
      <c r="C677" t="s">
        <v>1225</v>
      </c>
      <c r="D677" t="s">
        <v>2369</v>
      </c>
    </row>
    <row r="678" spans="1:4" x14ac:dyDescent="0.3">
      <c r="A678" t="s">
        <v>363</v>
      </c>
      <c r="B678" t="s">
        <v>1215</v>
      </c>
      <c r="C678" t="s">
        <v>1227</v>
      </c>
      <c r="D678" t="s">
        <v>2369</v>
      </c>
    </row>
    <row r="679" spans="1:4" x14ac:dyDescent="0.3">
      <c r="A679" t="s">
        <v>363</v>
      </c>
      <c r="B679" t="s">
        <v>1215</v>
      </c>
      <c r="C679" t="s">
        <v>1216</v>
      </c>
      <c r="D679" t="s">
        <v>2369</v>
      </c>
    </row>
    <row r="680" spans="1:4" x14ac:dyDescent="0.3">
      <c r="A680" t="s">
        <v>363</v>
      </c>
      <c r="B680" t="s">
        <v>1215</v>
      </c>
      <c r="C680" t="s">
        <v>1220</v>
      </c>
      <c r="D680" t="s">
        <v>2369</v>
      </c>
    </row>
    <row r="681" spans="1:4" x14ac:dyDescent="0.3">
      <c r="A681" t="s">
        <v>363</v>
      </c>
      <c r="B681" t="s">
        <v>1215</v>
      </c>
      <c r="C681" t="s">
        <v>1222</v>
      </c>
      <c r="D681" t="s">
        <v>2369</v>
      </c>
    </row>
    <row r="682" spans="1:4" x14ac:dyDescent="0.3">
      <c r="A682" t="s">
        <v>363</v>
      </c>
      <c r="B682" t="s">
        <v>1215</v>
      </c>
      <c r="C682" t="s">
        <v>1223</v>
      </c>
      <c r="D682" t="s">
        <v>2369</v>
      </c>
    </row>
    <row r="683" spans="1:4" x14ac:dyDescent="0.3">
      <c r="A683" t="s">
        <v>363</v>
      </c>
      <c r="B683" t="s">
        <v>1215</v>
      </c>
      <c r="C683" t="s">
        <v>1229</v>
      </c>
      <c r="D683" t="s">
        <v>2369</v>
      </c>
    </row>
    <row r="684" spans="1:4" x14ac:dyDescent="0.3">
      <c r="A684" t="s">
        <v>363</v>
      </c>
      <c r="B684" t="s">
        <v>1215</v>
      </c>
      <c r="C684" t="s">
        <v>1232</v>
      </c>
      <c r="D684" t="s">
        <v>2369</v>
      </c>
    </row>
    <row r="685" spans="1:4" x14ac:dyDescent="0.3">
      <c r="A685" t="s">
        <v>363</v>
      </c>
      <c r="B685" t="s">
        <v>1215</v>
      </c>
      <c r="C685" t="s">
        <v>1218</v>
      </c>
      <c r="D685" t="s">
        <v>2369</v>
      </c>
    </row>
    <row r="686" spans="1:4" x14ac:dyDescent="0.3">
      <c r="A686" t="s">
        <v>363</v>
      </c>
      <c r="B686" t="s">
        <v>1215</v>
      </c>
      <c r="C686" t="s">
        <v>1234</v>
      </c>
      <c r="D686" t="s">
        <v>2369</v>
      </c>
    </row>
    <row r="687" spans="1:4" x14ac:dyDescent="0.3">
      <c r="A687" t="s">
        <v>263</v>
      </c>
      <c r="B687" t="s">
        <v>312</v>
      </c>
      <c r="C687" t="s">
        <v>315</v>
      </c>
      <c r="D687" t="s">
        <v>2369</v>
      </c>
    </row>
    <row r="688" spans="1:4" x14ac:dyDescent="0.3">
      <c r="A688" t="s">
        <v>263</v>
      </c>
      <c r="B688" t="s">
        <v>312</v>
      </c>
      <c r="C688" t="s">
        <v>317</v>
      </c>
      <c r="D688" t="s">
        <v>2369</v>
      </c>
    </row>
    <row r="689" spans="1:4" x14ac:dyDescent="0.3">
      <c r="A689" t="s">
        <v>263</v>
      </c>
      <c r="B689" t="s">
        <v>312</v>
      </c>
      <c r="C689" t="s">
        <v>2430</v>
      </c>
      <c r="D689" t="s">
        <v>2369</v>
      </c>
    </row>
    <row r="690" spans="1:4" x14ac:dyDescent="0.3">
      <c r="A690" t="s">
        <v>263</v>
      </c>
      <c r="B690" t="s">
        <v>312</v>
      </c>
      <c r="C690" t="s">
        <v>321</v>
      </c>
      <c r="D690" t="s">
        <v>2369</v>
      </c>
    </row>
    <row r="691" spans="1:4" x14ac:dyDescent="0.3">
      <c r="A691" t="s">
        <v>263</v>
      </c>
      <c r="B691" t="s">
        <v>312</v>
      </c>
      <c r="C691" t="s">
        <v>324</v>
      </c>
      <c r="D691" t="s">
        <v>2369</v>
      </c>
    </row>
    <row r="692" spans="1:4" x14ac:dyDescent="0.3">
      <c r="A692" t="s">
        <v>263</v>
      </c>
      <c r="B692" t="s">
        <v>312</v>
      </c>
      <c r="C692" t="s">
        <v>326</v>
      </c>
      <c r="D692" t="s">
        <v>2369</v>
      </c>
    </row>
    <row r="693" spans="1:4" x14ac:dyDescent="0.3">
      <c r="A693" t="s">
        <v>263</v>
      </c>
      <c r="B693" t="s">
        <v>312</v>
      </c>
      <c r="C693" t="s">
        <v>2329</v>
      </c>
      <c r="D693" t="s">
        <v>2369</v>
      </c>
    </row>
    <row r="694" spans="1:4" x14ac:dyDescent="0.3">
      <c r="A694" t="s">
        <v>263</v>
      </c>
      <c r="B694" t="s">
        <v>312</v>
      </c>
      <c r="C694" t="s">
        <v>328</v>
      </c>
      <c r="D694" t="s">
        <v>2369</v>
      </c>
    </row>
    <row r="695" spans="1:4" x14ac:dyDescent="0.3">
      <c r="A695" t="s">
        <v>35</v>
      </c>
      <c r="B695" t="s">
        <v>1894</v>
      </c>
      <c r="C695" t="s">
        <v>1897</v>
      </c>
      <c r="D695" t="s">
        <v>2369</v>
      </c>
    </row>
    <row r="696" spans="1:4" x14ac:dyDescent="0.3">
      <c r="A696" t="s">
        <v>35</v>
      </c>
      <c r="B696" t="s">
        <v>1894</v>
      </c>
      <c r="C696" t="s">
        <v>1899</v>
      </c>
      <c r="D696" t="s">
        <v>2369</v>
      </c>
    </row>
    <row r="697" spans="1:4" x14ac:dyDescent="0.3">
      <c r="A697" t="s">
        <v>35</v>
      </c>
      <c r="B697" t="s">
        <v>1894</v>
      </c>
      <c r="C697" t="s">
        <v>1901</v>
      </c>
      <c r="D697" t="s">
        <v>2369</v>
      </c>
    </row>
    <row r="698" spans="1:4" x14ac:dyDescent="0.3">
      <c r="A698" t="s">
        <v>35</v>
      </c>
      <c r="B698" t="s">
        <v>1894</v>
      </c>
      <c r="C698" t="s">
        <v>1903</v>
      </c>
      <c r="D698" t="s">
        <v>2369</v>
      </c>
    </row>
    <row r="699" spans="1:4" x14ac:dyDescent="0.3">
      <c r="A699" t="s">
        <v>35</v>
      </c>
      <c r="B699" t="s">
        <v>1894</v>
      </c>
      <c r="C699" t="s">
        <v>1905</v>
      </c>
      <c r="D699" t="s">
        <v>2369</v>
      </c>
    </row>
    <row r="700" spans="1:4" x14ac:dyDescent="0.3">
      <c r="A700" t="s">
        <v>35</v>
      </c>
      <c r="B700" t="s">
        <v>1894</v>
      </c>
      <c r="C700" t="s">
        <v>1907</v>
      </c>
      <c r="D700" t="s">
        <v>2369</v>
      </c>
    </row>
    <row r="701" spans="1:4" x14ac:dyDescent="0.3">
      <c r="A701" t="s">
        <v>35</v>
      </c>
      <c r="B701" t="s">
        <v>1894</v>
      </c>
      <c r="C701" t="s">
        <v>1909</v>
      </c>
      <c r="D701" t="s">
        <v>2369</v>
      </c>
    </row>
    <row r="702" spans="1:4" x14ac:dyDescent="0.3">
      <c r="A702" t="s">
        <v>35</v>
      </c>
      <c r="B702" t="s">
        <v>1894</v>
      </c>
      <c r="C702" t="s">
        <v>2330</v>
      </c>
      <c r="D702" t="s">
        <v>2369</v>
      </c>
    </row>
    <row r="703" spans="1:4" x14ac:dyDescent="0.3">
      <c r="A703" t="s">
        <v>363</v>
      </c>
      <c r="B703" t="s">
        <v>1264</v>
      </c>
      <c r="C703" t="s">
        <v>1272</v>
      </c>
      <c r="D703" t="s">
        <v>2369</v>
      </c>
    </row>
    <row r="704" spans="1:4" x14ac:dyDescent="0.3">
      <c r="A704" t="s">
        <v>363</v>
      </c>
      <c r="B704" t="s">
        <v>1264</v>
      </c>
      <c r="C704" t="s">
        <v>1289</v>
      </c>
      <c r="D704" t="s">
        <v>2369</v>
      </c>
    </row>
    <row r="705" spans="1:4" x14ac:dyDescent="0.3">
      <c r="A705" t="s">
        <v>363</v>
      </c>
      <c r="B705" t="s">
        <v>1264</v>
      </c>
      <c r="C705" t="s">
        <v>1282</v>
      </c>
      <c r="D705" t="s">
        <v>2369</v>
      </c>
    </row>
    <row r="706" spans="1:4" x14ac:dyDescent="0.3">
      <c r="A706" t="s">
        <v>363</v>
      </c>
      <c r="B706" t="s">
        <v>1264</v>
      </c>
      <c r="C706" t="s">
        <v>1278</v>
      </c>
      <c r="D706" t="s">
        <v>2369</v>
      </c>
    </row>
    <row r="707" spans="1:4" x14ac:dyDescent="0.3">
      <c r="A707" t="s">
        <v>363</v>
      </c>
      <c r="B707" t="s">
        <v>1264</v>
      </c>
      <c r="C707" t="s">
        <v>1284</v>
      </c>
      <c r="D707" t="s">
        <v>2369</v>
      </c>
    </row>
    <row r="708" spans="1:4" x14ac:dyDescent="0.3">
      <c r="A708" t="s">
        <v>363</v>
      </c>
      <c r="B708" t="s">
        <v>1264</v>
      </c>
      <c r="C708" t="s">
        <v>2431</v>
      </c>
      <c r="D708" t="s">
        <v>2369</v>
      </c>
    </row>
    <row r="709" spans="1:4" x14ac:dyDescent="0.3">
      <c r="A709" t="s">
        <v>363</v>
      </c>
      <c r="B709" t="s">
        <v>1264</v>
      </c>
      <c r="C709" t="s">
        <v>1274</v>
      </c>
      <c r="D709" t="s">
        <v>2369</v>
      </c>
    </row>
    <row r="710" spans="1:4" x14ac:dyDescent="0.3">
      <c r="A710" t="s">
        <v>363</v>
      </c>
      <c r="B710" t="s">
        <v>1264</v>
      </c>
      <c r="C710" t="s">
        <v>1268</v>
      </c>
      <c r="D710" t="s">
        <v>2369</v>
      </c>
    </row>
    <row r="711" spans="1:4" x14ac:dyDescent="0.3">
      <c r="A711" t="s">
        <v>363</v>
      </c>
      <c r="B711" t="s">
        <v>1264</v>
      </c>
      <c r="C711" t="s">
        <v>1280</v>
      </c>
      <c r="D711" t="s">
        <v>2369</v>
      </c>
    </row>
    <row r="712" spans="1:4" x14ac:dyDescent="0.3">
      <c r="A712" t="s">
        <v>363</v>
      </c>
      <c r="B712" t="s">
        <v>1264</v>
      </c>
      <c r="C712" t="s">
        <v>2432</v>
      </c>
      <c r="D712" t="s">
        <v>2369</v>
      </c>
    </row>
    <row r="713" spans="1:4" x14ac:dyDescent="0.3">
      <c r="A713" t="s">
        <v>363</v>
      </c>
      <c r="B713" t="s">
        <v>1264</v>
      </c>
      <c r="C713" t="s">
        <v>1270</v>
      </c>
      <c r="D713" t="s">
        <v>2369</v>
      </c>
    </row>
    <row r="714" spans="1:4" x14ac:dyDescent="0.3">
      <c r="A714" t="s">
        <v>363</v>
      </c>
      <c r="B714" t="s">
        <v>1264</v>
      </c>
      <c r="C714" t="s">
        <v>1276</v>
      </c>
      <c r="D714" t="s">
        <v>2369</v>
      </c>
    </row>
    <row r="715" spans="1:4" x14ac:dyDescent="0.3">
      <c r="A715" t="s">
        <v>363</v>
      </c>
      <c r="B715" t="s">
        <v>1264</v>
      </c>
      <c r="C715" t="s">
        <v>1287</v>
      </c>
      <c r="D715" t="s">
        <v>2369</v>
      </c>
    </row>
    <row r="716" spans="1:4" x14ac:dyDescent="0.3">
      <c r="A716" t="s">
        <v>1584</v>
      </c>
      <c r="B716" t="s">
        <v>2357</v>
      </c>
      <c r="D716" t="s">
        <v>2369</v>
      </c>
    </row>
    <row r="717" spans="1:4" x14ac:dyDescent="0.3">
      <c r="A717" t="s">
        <v>363</v>
      </c>
      <c r="B717" t="s">
        <v>1078</v>
      </c>
      <c r="C717" t="s">
        <v>2433</v>
      </c>
      <c r="D717" t="s">
        <v>2369</v>
      </c>
    </row>
    <row r="718" spans="1:4" x14ac:dyDescent="0.3">
      <c r="A718" t="s">
        <v>363</v>
      </c>
      <c r="B718" t="s">
        <v>1078</v>
      </c>
      <c r="C718" t="s">
        <v>1084</v>
      </c>
      <c r="D718" t="s">
        <v>2369</v>
      </c>
    </row>
    <row r="719" spans="1:4" x14ac:dyDescent="0.3">
      <c r="A719" t="s">
        <v>363</v>
      </c>
      <c r="B719" t="s">
        <v>1078</v>
      </c>
      <c r="C719" t="s">
        <v>1080</v>
      </c>
      <c r="D719" t="s">
        <v>2369</v>
      </c>
    </row>
    <row r="720" spans="1:4" x14ac:dyDescent="0.3">
      <c r="A720" t="s">
        <v>363</v>
      </c>
      <c r="B720" t="s">
        <v>1078</v>
      </c>
      <c r="C720" t="s">
        <v>1090</v>
      </c>
      <c r="D720" t="s">
        <v>2369</v>
      </c>
    </row>
    <row r="721" spans="1:4" x14ac:dyDescent="0.3">
      <c r="A721" t="s">
        <v>363</v>
      </c>
      <c r="B721" t="s">
        <v>1078</v>
      </c>
      <c r="C721" t="s">
        <v>1091</v>
      </c>
      <c r="D721" t="s">
        <v>2369</v>
      </c>
    </row>
    <row r="722" spans="1:4" x14ac:dyDescent="0.3">
      <c r="A722" t="s">
        <v>363</v>
      </c>
      <c r="B722" t="s">
        <v>1078</v>
      </c>
      <c r="C722" t="s">
        <v>1082</v>
      </c>
      <c r="D722" t="s">
        <v>2369</v>
      </c>
    </row>
    <row r="723" spans="1:4" x14ac:dyDescent="0.3">
      <c r="A723" t="s">
        <v>363</v>
      </c>
      <c r="B723" t="s">
        <v>1078</v>
      </c>
      <c r="C723" t="s">
        <v>2434</v>
      </c>
      <c r="D723" t="s">
        <v>2369</v>
      </c>
    </row>
    <row r="724" spans="1:4" x14ac:dyDescent="0.3">
      <c r="A724" t="s">
        <v>363</v>
      </c>
      <c r="B724" t="s">
        <v>1078</v>
      </c>
      <c r="C724" t="s">
        <v>1088</v>
      </c>
      <c r="D724" t="s">
        <v>2369</v>
      </c>
    </row>
    <row r="725" spans="1:4" x14ac:dyDescent="0.3">
      <c r="A725" t="s">
        <v>363</v>
      </c>
      <c r="B725" t="s">
        <v>1078</v>
      </c>
      <c r="C725" t="s">
        <v>1086</v>
      </c>
      <c r="D725" t="s">
        <v>2369</v>
      </c>
    </row>
    <row r="726" spans="1:4" x14ac:dyDescent="0.3">
      <c r="A726" t="s">
        <v>1</v>
      </c>
      <c r="B726" t="s">
        <v>10</v>
      </c>
      <c r="C726" t="s">
        <v>2045</v>
      </c>
      <c r="D726" t="s">
        <v>2369</v>
      </c>
    </row>
    <row r="727" spans="1:4" x14ac:dyDescent="0.3">
      <c r="A727" t="s">
        <v>1</v>
      </c>
      <c r="B727" t="s">
        <v>10</v>
      </c>
      <c r="C727" t="s">
        <v>2047</v>
      </c>
      <c r="D727" t="s">
        <v>2369</v>
      </c>
    </row>
    <row r="728" spans="1:4" x14ac:dyDescent="0.3">
      <c r="A728" t="s">
        <v>1</v>
      </c>
      <c r="B728" t="s">
        <v>10</v>
      </c>
      <c r="C728" t="s">
        <v>2049</v>
      </c>
      <c r="D728" t="s">
        <v>2369</v>
      </c>
    </row>
    <row r="729" spans="1:4" x14ac:dyDescent="0.3">
      <c r="A729" t="s">
        <v>1</v>
      </c>
      <c r="B729" t="s">
        <v>10</v>
      </c>
      <c r="C729" t="s">
        <v>2435</v>
      </c>
      <c r="D729" t="s">
        <v>2369</v>
      </c>
    </row>
    <row r="730" spans="1:4" x14ac:dyDescent="0.3">
      <c r="A730" t="s">
        <v>363</v>
      </c>
      <c r="B730" t="s">
        <v>1369</v>
      </c>
      <c r="C730" t="s">
        <v>1390</v>
      </c>
      <c r="D730" t="s">
        <v>2369</v>
      </c>
    </row>
    <row r="731" spans="1:4" x14ac:dyDescent="0.3">
      <c r="A731" t="s">
        <v>363</v>
      </c>
      <c r="B731" t="s">
        <v>1369</v>
      </c>
      <c r="C731" t="s">
        <v>1388</v>
      </c>
      <c r="D731" t="s">
        <v>2369</v>
      </c>
    </row>
    <row r="732" spans="1:4" x14ac:dyDescent="0.3">
      <c r="A732" t="s">
        <v>363</v>
      </c>
      <c r="B732" t="s">
        <v>1369</v>
      </c>
      <c r="C732" t="s">
        <v>1386</v>
      </c>
      <c r="D732" t="s">
        <v>2369</v>
      </c>
    </row>
    <row r="733" spans="1:4" x14ac:dyDescent="0.3">
      <c r="A733" t="s">
        <v>363</v>
      </c>
      <c r="B733" t="s">
        <v>1369</v>
      </c>
      <c r="C733" t="s">
        <v>1383</v>
      </c>
      <c r="D733" t="s">
        <v>2369</v>
      </c>
    </row>
    <row r="734" spans="1:4" x14ac:dyDescent="0.3">
      <c r="A734" t="s">
        <v>363</v>
      </c>
      <c r="B734" t="s">
        <v>1369</v>
      </c>
      <c r="C734" t="s">
        <v>1381</v>
      </c>
      <c r="D734" t="s">
        <v>2369</v>
      </c>
    </row>
    <row r="735" spans="1:4" x14ac:dyDescent="0.3">
      <c r="A735" t="s">
        <v>363</v>
      </c>
      <c r="B735" t="s">
        <v>1369</v>
      </c>
      <c r="C735" t="s">
        <v>1379</v>
      </c>
      <c r="D735" t="s">
        <v>2369</v>
      </c>
    </row>
    <row r="736" spans="1:4" x14ac:dyDescent="0.3">
      <c r="A736" t="s">
        <v>363</v>
      </c>
      <c r="B736" t="s">
        <v>1369</v>
      </c>
      <c r="C736" t="s">
        <v>1375</v>
      </c>
      <c r="D736" t="s">
        <v>2369</v>
      </c>
    </row>
    <row r="737" spans="1:4" x14ac:dyDescent="0.3">
      <c r="A737" t="s">
        <v>363</v>
      </c>
      <c r="B737" t="s">
        <v>1369</v>
      </c>
      <c r="C737" t="s">
        <v>1372</v>
      </c>
      <c r="D737" t="s">
        <v>2369</v>
      </c>
    </row>
    <row r="738" spans="1:4" x14ac:dyDescent="0.3">
      <c r="A738" t="s">
        <v>363</v>
      </c>
      <c r="B738" t="s">
        <v>1369</v>
      </c>
      <c r="C738" t="s">
        <v>1370</v>
      </c>
      <c r="D738" t="s">
        <v>2369</v>
      </c>
    </row>
    <row r="739" spans="1:4" x14ac:dyDescent="0.3">
      <c r="A739" t="s">
        <v>35</v>
      </c>
      <c r="B739" t="s">
        <v>1911</v>
      </c>
      <c r="C739" t="s">
        <v>1914</v>
      </c>
      <c r="D739" t="s">
        <v>2369</v>
      </c>
    </row>
    <row r="740" spans="1:4" x14ac:dyDescent="0.3">
      <c r="A740" t="s">
        <v>35</v>
      </c>
      <c r="B740" t="s">
        <v>1911</v>
      </c>
      <c r="C740" t="s">
        <v>1916</v>
      </c>
      <c r="D740" t="s">
        <v>2369</v>
      </c>
    </row>
    <row r="741" spans="1:4" x14ac:dyDescent="0.3">
      <c r="A741" t="s">
        <v>35</v>
      </c>
      <c r="B741" t="s">
        <v>1911</v>
      </c>
      <c r="C741" t="s">
        <v>1918</v>
      </c>
      <c r="D741" t="s">
        <v>2369</v>
      </c>
    </row>
    <row r="742" spans="1:4" x14ac:dyDescent="0.3">
      <c r="A742" t="s">
        <v>35</v>
      </c>
      <c r="B742" t="s">
        <v>1911</v>
      </c>
      <c r="C742" t="s">
        <v>1920</v>
      </c>
      <c r="D742" t="s">
        <v>2369</v>
      </c>
    </row>
    <row r="743" spans="1:4" x14ac:dyDescent="0.3">
      <c r="A743" t="s">
        <v>35</v>
      </c>
      <c r="B743" t="s">
        <v>1911</v>
      </c>
      <c r="C743" t="s">
        <v>1922</v>
      </c>
      <c r="D743" t="s">
        <v>2369</v>
      </c>
    </row>
    <row r="744" spans="1:4" x14ac:dyDescent="0.3">
      <c r="A744" t="s">
        <v>35</v>
      </c>
      <c r="B744" t="s">
        <v>1911</v>
      </c>
      <c r="C744" t="s">
        <v>1924</v>
      </c>
      <c r="D744" t="s">
        <v>2369</v>
      </c>
    </row>
    <row r="745" spans="1:4" x14ac:dyDescent="0.3">
      <c r="A745" t="s">
        <v>35</v>
      </c>
      <c r="B745" t="s">
        <v>1911</v>
      </c>
      <c r="C745" t="s">
        <v>1926</v>
      </c>
      <c r="D745" t="s">
        <v>2369</v>
      </c>
    </row>
    <row r="746" spans="1:4" x14ac:dyDescent="0.3">
      <c r="A746" t="s">
        <v>35</v>
      </c>
      <c r="B746" t="s">
        <v>1911</v>
      </c>
      <c r="C746" t="s">
        <v>13</v>
      </c>
      <c r="D746" t="s">
        <v>2369</v>
      </c>
    </row>
    <row r="747" spans="1:4" x14ac:dyDescent="0.3">
      <c r="A747" t="s">
        <v>35</v>
      </c>
      <c r="B747" t="s">
        <v>1911</v>
      </c>
      <c r="C747" t="s">
        <v>1928</v>
      </c>
      <c r="D747" t="s">
        <v>2369</v>
      </c>
    </row>
    <row r="748" spans="1:4" x14ac:dyDescent="0.3">
      <c r="A748" t="s">
        <v>35</v>
      </c>
      <c r="B748" t="s">
        <v>1911</v>
      </c>
      <c r="C748" t="s">
        <v>1930</v>
      </c>
      <c r="D748" t="s">
        <v>2369</v>
      </c>
    </row>
    <row r="749" spans="1:4" x14ac:dyDescent="0.3">
      <c r="A749" t="s">
        <v>35</v>
      </c>
      <c r="B749" t="s">
        <v>1911</v>
      </c>
      <c r="C749" t="s">
        <v>1932</v>
      </c>
      <c r="D749" t="s">
        <v>2369</v>
      </c>
    </row>
    <row r="750" spans="1:4" x14ac:dyDescent="0.3">
      <c r="A750" t="s">
        <v>363</v>
      </c>
      <c r="B750" t="s">
        <v>1093</v>
      </c>
      <c r="C750" t="s">
        <v>1095</v>
      </c>
      <c r="D750" t="s">
        <v>2369</v>
      </c>
    </row>
    <row r="751" spans="1:4" x14ac:dyDescent="0.3">
      <c r="A751" t="s">
        <v>363</v>
      </c>
      <c r="B751" t="s">
        <v>1093</v>
      </c>
      <c r="C751" t="s">
        <v>1108</v>
      </c>
      <c r="D751" t="s">
        <v>2369</v>
      </c>
    </row>
    <row r="752" spans="1:4" x14ac:dyDescent="0.3">
      <c r="A752" t="s">
        <v>363</v>
      </c>
      <c r="B752" t="s">
        <v>1093</v>
      </c>
      <c r="C752" t="s">
        <v>1104</v>
      </c>
      <c r="D752" t="s">
        <v>2369</v>
      </c>
    </row>
    <row r="753" spans="1:4" x14ac:dyDescent="0.3">
      <c r="A753" t="s">
        <v>363</v>
      </c>
      <c r="B753" t="s">
        <v>1093</v>
      </c>
      <c r="C753" t="s">
        <v>1100</v>
      </c>
      <c r="D753" t="s">
        <v>2369</v>
      </c>
    </row>
    <row r="754" spans="1:4" x14ac:dyDescent="0.3">
      <c r="A754" t="s">
        <v>363</v>
      </c>
      <c r="B754" t="s">
        <v>1093</v>
      </c>
      <c r="C754" t="s">
        <v>1114</v>
      </c>
      <c r="D754" t="s">
        <v>2369</v>
      </c>
    </row>
    <row r="755" spans="1:4" x14ac:dyDescent="0.3">
      <c r="A755" t="s">
        <v>363</v>
      </c>
      <c r="B755" t="s">
        <v>1093</v>
      </c>
      <c r="C755" t="s">
        <v>1102</v>
      </c>
      <c r="D755" t="s">
        <v>2369</v>
      </c>
    </row>
    <row r="756" spans="1:4" x14ac:dyDescent="0.3">
      <c r="A756" t="s">
        <v>363</v>
      </c>
      <c r="B756" t="s">
        <v>1093</v>
      </c>
      <c r="C756" t="s">
        <v>1112</v>
      </c>
      <c r="D756" t="s">
        <v>2369</v>
      </c>
    </row>
    <row r="757" spans="1:4" x14ac:dyDescent="0.3">
      <c r="A757" t="s">
        <v>363</v>
      </c>
      <c r="B757" t="s">
        <v>1093</v>
      </c>
      <c r="C757" t="s">
        <v>1098</v>
      </c>
      <c r="D757" t="s">
        <v>2369</v>
      </c>
    </row>
    <row r="758" spans="1:4" x14ac:dyDescent="0.3">
      <c r="A758" t="s">
        <v>363</v>
      </c>
      <c r="B758" t="s">
        <v>1093</v>
      </c>
      <c r="C758" t="s">
        <v>1110</v>
      </c>
      <c r="D758" t="s">
        <v>2369</v>
      </c>
    </row>
    <row r="759" spans="1:4" x14ac:dyDescent="0.3">
      <c r="A759" t="s">
        <v>363</v>
      </c>
      <c r="B759" t="s">
        <v>1291</v>
      </c>
      <c r="C759" t="s">
        <v>1314</v>
      </c>
      <c r="D759" t="s">
        <v>2369</v>
      </c>
    </row>
    <row r="760" spans="1:4" x14ac:dyDescent="0.3">
      <c r="A760" t="s">
        <v>363</v>
      </c>
      <c r="B760" t="s">
        <v>1291</v>
      </c>
      <c r="C760" t="s">
        <v>1304</v>
      </c>
      <c r="D760" t="s">
        <v>2369</v>
      </c>
    </row>
    <row r="761" spans="1:4" x14ac:dyDescent="0.3">
      <c r="A761" t="s">
        <v>363</v>
      </c>
      <c r="B761" t="s">
        <v>1291</v>
      </c>
      <c r="C761" t="s">
        <v>1318</v>
      </c>
      <c r="D761" t="s">
        <v>2369</v>
      </c>
    </row>
    <row r="762" spans="1:4" x14ac:dyDescent="0.3">
      <c r="A762" t="s">
        <v>363</v>
      </c>
      <c r="B762" t="s">
        <v>1291</v>
      </c>
      <c r="C762" t="s">
        <v>1302</v>
      </c>
      <c r="D762" t="s">
        <v>2369</v>
      </c>
    </row>
    <row r="763" spans="1:4" x14ac:dyDescent="0.3">
      <c r="A763" t="s">
        <v>363</v>
      </c>
      <c r="B763" t="s">
        <v>1291</v>
      </c>
      <c r="C763" t="s">
        <v>1310</v>
      </c>
      <c r="D763" t="s">
        <v>2369</v>
      </c>
    </row>
    <row r="764" spans="1:4" x14ac:dyDescent="0.3">
      <c r="A764" t="s">
        <v>363</v>
      </c>
      <c r="B764" t="s">
        <v>1291</v>
      </c>
      <c r="C764" t="s">
        <v>1312</v>
      </c>
      <c r="D764" t="s">
        <v>2369</v>
      </c>
    </row>
    <row r="765" spans="1:4" x14ac:dyDescent="0.3">
      <c r="A765" t="s">
        <v>363</v>
      </c>
      <c r="B765" t="s">
        <v>1291</v>
      </c>
      <c r="C765" t="s">
        <v>1294</v>
      </c>
      <c r="D765" t="s">
        <v>2369</v>
      </c>
    </row>
    <row r="766" spans="1:4" x14ac:dyDescent="0.3">
      <c r="A766" t="s">
        <v>363</v>
      </c>
      <c r="B766" t="s">
        <v>1291</v>
      </c>
      <c r="C766" t="s">
        <v>1301</v>
      </c>
      <c r="D766" t="s">
        <v>2369</v>
      </c>
    </row>
    <row r="767" spans="1:4" x14ac:dyDescent="0.3">
      <c r="A767" t="s">
        <v>363</v>
      </c>
      <c r="B767" t="s">
        <v>1291</v>
      </c>
      <c r="C767" t="s">
        <v>1296</v>
      </c>
      <c r="D767" t="s">
        <v>2369</v>
      </c>
    </row>
    <row r="768" spans="1:4" x14ac:dyDescent="0.3">
      <c r="A768" t="s">
        <v>363</v>
      </c>
      <c r="B768" t="s">
        <v>1291</v>
      </c>
      <c r="C768" t="s">
        <v>1298</v>
      </c>
      <c r="D768" t="s">
        <v>2369</v>
      </c>
    </row>
    <row r="769" spans="1:4" x14ac:dyDescent="0.3">
      <c r="A769" t="s">
        <v>363</v>
      </c>
      <c r="B769" t="s">
        <v>1291</v>
      </c>
      <c r="C769" t="s">
        <v>1306</v>
      </c>
      <c r="D769" t="s">
        <v>2369</v>
      </c>
    </row>
    <row r="770" spans="1:4" x14ac:dyDescent="0.3">
      <c r="A770" t="s">
        <v>363</v>
      </c>
      <c r="B770" t="s">
        <v>1291</v>
      </c>
      <c r="C770" t="s">
        <v>1308</v>
      </c>
      <c r="D770" t="s">
        <v>2369</v>
      </c>
    </row>
    <row r="771" spans="1:4" x14ac:dyDescent="0.3">
      <c r="A771" t="s">
        <v>363</v>
      </c>
      <c r="B771" t="s">
        <v>1291</v>
      </c>
      <c r="C771" t="s">
        <v>1316</v>
      </c>
      <c r="D771" t="s">
        <v>2369</v>
      </c>
    </row>
    <row r="772" spans="1:4" x14ac:dyDescent="0.3">
      <c r="A772" t="s">
        <v>363</v>
      </c>
      <c r="B772" t="s">
        <v>816</v>
      </c>
      <c r="C772" t="s">
        <v>839</v>
      </c>
      <c r="D772" t="s">
        <v>2369</v>
      </c>
    </row>
    <row r="773" spans="1:4" x14ac:dyDescent="0.3">
      <c r="A773" t="s">
        <v>363</v>
      </c>
      <c r="B773" t="s">
        <v>816</v>
      </c>
      <c r="C773" t="s">
        <v>821</v>
      </c>
      <c r="D773" t="s">
        <v>2369</v>
      </c>
    </row>
    <row r="774" spans="1:4" x14ac:dyDescent="0.3">
      <c r="A774" t="s">
        <v>363</v>
      </c>
      <c r="B774" t="s">
        <v>816</v>
      </c>
      <c r="C774" t="s">
        <v>844</v>
      </c>
      <c r="D774" t="s">
        <v>2369</v>
      </c>
    </row>
    <row r="775" spans="1:4" x14ac:dyDescent="0.3">
      <c r="A775" t="s">
        <v>363</v>
      </c>
      <c r="B775" t="s">
        <v>816</v>
      </c>
      <c r="C775" t="s">
        <v>833</v>
      </c>
      <c r="D775" t="s">
        <v>2369</v>
      </c>
    </row>
    <row r="776" spans="1:4" x14ac:dyDescent="0.3">
      <c r="A776" t="s">
        <v>363</v>
      </c>
      <c r="B776" t="s">
        <v>816</v>
      </c>
      <c r="C776" t="s">
        <v>837</v>
      </c>
      <c r="D776" t="s">
        <v>2369</v>
      </c>
    </row>
    <row r="777" spans="1:4" x14ac:dyDescent="0.3">
      <c r="A777" t="s">
        <v>363</v>
      </c>
      <c r="B777" t="s">
        <v>816</v>
      </c>
      <c r="C777" t="s">
        <v>846</v>
      </c>
      <c r="D777" t="s">
        <v>2369</v>
      </c>
    </row>
    <row r="778" spans="1:4" x14ac:dyDescent="0.3">
      <c r="A778" t="s">
        <v>363</v>
      </c>
      <c r="B778" t="s">
        <v>816</v>
      </c>
      <c r="C778" t="s">
        <v>829</v>
      </c>
      <c r="D778" t="s">
        <v>2369</v>
      </c>
    </row>
    <row r="779" spans="1:4" x14ac:dyDescent="0.3">
      <c r="A779" t="s">
        <v>363</v>
      </c>
      <c r="B779" t="s">
        <v>816</v>
      </c>
      <c r="C779" t="s">
        <v>842</v>
      </c>
      <c r="D779" t="s">
        <v>2369</v>
      </c>
    </row>
    <row r="780" spans="1:4" x14ac:dyDescent="0.3">
      <c r="A780" t="s">
        <v>363</v>
      </c>
      <c r="B780" t="s">
        <v>816</v>
      </c>
      <c r="C780" t="s">
        <v>823</v>
      </c>
      <c r="D780" t="s">
        <v>2369</v>
      </c>
    </row>
    <row r="781" spans="1:4" x14ac:dyDescent="0.3">
      <c r="A781" t="s">
        <v>363</v>
      </c>
      <c r="B781" t="s">
        <v>816</v>
      </c>
      <c r="C781" t="s">
        <v>841</v>
      </c>
      <c r="D781" t="s">
        <v>2369</v>
      </c>
    </row>
    <row r="782" spans="1:4" x14ac:dyDescent="0.3">
      <c r="A782" t="s">
        <v>363</v>
      </c>
      <c r="B782" t="s">
        <v>816</v>
      </c>
      <c r="C782" t="s">
        <v>825</v>
      </c>
      <c r="D782" t="s">
        <v>2369</v>
      </c>
    </row>
    <row r="783" spans="1:4" x14ac:dyDescent="0.3">
      <c r="A783" t="s">
        <v>363</v>
      </c>
      <c r="B783" t="s">
        <v>816</v>
      </c>
      <c r="C783" t="s">
        <v>827</v>
      </c>
      <c r="D783" t="s">
        <v>2369</v>
      </c>
    </row>
    <row r="784" spans="1:4" x14ac:dyDescent="0.3">
      <c r="A784" t="s">
        <v>363</v>
      </c>
      <c r="B784" t="s">
        <v>816</v>
      </c>
      <c r="C784" t="s">
        <v>835</v>
      </c>
      <c r="D784" t="s">
        <v>2369</v>
      </c>
    </row>
    <row r="785" spans="1:4" x14ac:dyDescent="0.3">
      <c r="A785" t="s">
        <v>363</v>
      </c>
      <c r="B785" t="s">
        <v>816</v>
      </c>
      <c r="C785" t="s">
        <v>831</v>
      </c>
      <c r="D785" t="s">
        <v>2369</v>
      </c>
    </row>
    <row r="786" spans="1:4" x14ac:dyDescent="0.3">
      <c r="A786" t="s">
        <v>363</v>
      </c>
      <c r="B786" t="s">
        <v>816</v>
      </c>
      <c r="C786" t="s">
        <v>819</v>
      </c>
      <c r="D786" t="s">
        <v>2369</v>
      </c>
    </row>
    <row r="787" spans="1:4" x14ac:dyDescent="0.3">
      <c r="A787" t="s">
        <v>2127</v>
      </c>
      <c r="B787" t="s">
        <v>2264</v>
      </c>
      <c r="C787" t="s">
        <v>2272</v>
      </c>
      <c r="D787" t="s">
        <v>2369</v>
      </c>
    </row>
    <row r="788" spans="1:4" x14ac:dyDescent="0.3">
      <c r="A788" t="s">
        <v>2127</v>
      </c>
      <c r="B788" t="s">
        <v>2264</v>
      </c>
      <c r="C788" t="s">
        <v>2266</v>
      </c>
      <c r="D788" t="s">
        <v>2369</v>
      </c>
    </row>
    <row r="789" spans="1:4" x14ac:dyDescent="0.3">
      <c r="A789" t="s">
        <v>2127</v>
      </c>
      <c r="B789" t="s">
        <v>2264</v>
      </c>
      <c r="C789" t="s">
        <v>2269</v>
      </c>
      <c r="D789" t="s">
        <v>2369</v>
      </c>
    </row>
    <row r="790" spans="1:4" x14ac:dyDescent="0.3">
      <c r="A790" t="s">
        <v>2127</v>
      </c>
      <c r="B790" t="s">
        <v>2264</v>
      </c>
      <c r="C790" t="s">
        <v>2267</v>
      </c>
      <c r="D790" t="s">
        <v>2369</v>
      </c>
    </row>
    <row r="791" spans="1:4" x14ac:dyDescent="0.3">
      <c r="A791" t="s">
        <v>2127</v>
      </c>
      <c r="B791" t="s">
        <v>2264</v>
      </c>
      <c r="C791" t="s">
        <v>2271</v>
      </c>
      <c r="D791" t="s">
        <v>2369</v>
      </c>
    </row>
    <row r="792" spans="1:4" x14ac:dyDescent="0.3">
      <c r="A792" t="s">
        <v>2127</v>
      </c>
      <c r="B792" t="s">
        <v>2264</v>
      </c>
      <c r="C792" t="s">
        <v>2270</v>
      </c>
      <c r="D792" t="s">
        <v>2369</v>
      </c>
    </row>
    <row r="793" spans="1:4" x14ac:dyDescent="0.3">
      <c r="A793" t="s">
        <v>2127</v>
      </c>
      <c r="B793" t="s">
        <v>2264</v>
      </c>
      <c r="C793" t="s">
        <v>2277</v>
      </c>
      <c r="D793" t="s">
        <v>2369</v>
      </c>
    </row>
    <row r="794" spans="1:4" x14ac:dyDescent="0.3">
      <c r="A794" t="s">
        <v>363</v>
      </c>
      <c r="B794" t="s">
        <v>1503</v>
      </c>
      <c r="C794" t="s">
        <v>1519</v>
      </c>
      <c r="D794" t="s">
        <v>2369</v>
      </c>
    </row>
    <row r="795" spans="1:4" x14ac:dyDescent="0.3">
      <c r="A795" t="s">
        <v>363</v>
      </c>
      <c r="B795" t="s">
        <v>1503</v>
      </c>
      <c r="C795" t="s">
        <v>1515</v>
      </c>
      <c r="D795" t="s">
        <v>2369</v>
      </c>
    </row>
    <row r="796" spans="1:4" x14ac:dyDescent="0.3">
      <c r="A796" t="s">
        <v>363</v>
      </c>
      <c r="B796" t="s">
        <v>1503</v>
      </c>
      <c r="C796" t="s">
        <v>1521</v>
      </c>
      <c r="D796" t="s">
        <v>2369</v>
      </c>
    </row>
    <row r="797" spans="1:4" x14ac:dyDescent="0.3">
      <c r="A797" t="s">
        <v>363</v>
      </c>
      <c r="B797" t="s">
        <v>1503</v>
      </c>
      <c r="C797" t="s">
        <v>1510</v>
      </c>
      <c r="D797" t="s">
        <v>2369</v>
      </c>
    </row>
    <row r="798" spans="1:4" x14ac:dyDescent="0.3">
      <c r="A798" t="s">
        <v>363</v>
      </c>
      <c r="B798" t="s">
        <v>1503</v>
      </c>
      <c r="C798" t="s">
        <v>1512</v>
      </c>
      <c r="D798" t="s">
        <v>2369</v>
      </c>
    </row>
    <row r="799" spans="1:4" x14ac:dyDescent="0.3">
      <c r="A799" t="s">
        <v>363</v>
      </c>
      <c r="B799" t="s">
        <v>1503</v>
      </c>
      <c r="C799" t="s">
        <v>1506</v>
      </c>
      <c r="D799" t="s">
        <v>2369</v>
      </c>
    </row>
    <row r="800" spans="1:4" x14ac:dyDescent="0.3">
      <c r="A800" t="s">
        <v>363</v>
      </c>
      <c r="B800" t="s">
        <v>1503</v>
      </c>
      <c r="C800" t="s">
        <v>1517</v>
      </c>
      <c r="D800" t="s">
        <v>2369</v>
      </c>
    </row>
    <row r="801" spans="1:4" x14ac:dyDescent="0.3">
      <c r="A801" t="s">
        <v>363</v>
      </c>
      <c r="B801" t="s">
        <v>1503</v>
      </c>
      <c r="C801" t="s">
        <v>1523</v>
      </c>
      <c r="D801" t="s">
        <v>2369</v>
      </c>
    </row>
    <row r="802" spans="1:4" x14ac:dyDescent="0.3">
      <c r="A802" t="s">
        <v>363</v>
      </c>
      <c r="B802" t="s">
        <v>1503</v>
      </c>
      <c r="C802" t="s">
        <v>1527</v>
      </c>
      <c r="D802" t="s">
        <v>2369</v>
      </c>
    </row>
    <row r="803" spans="1:4" x14ac:dyDescent="0.3">
      <c r="A803" t="s">
        <v>363</v>
      </c>
      <c r="B803" t="s">
        <v>1503</v>
      </c>
      <c r="C803" t="s">
        <v>1525</v>
      </c>
      <c r="D803" t="s">
        <v>2369</v>
      </c>
    </row>
    <row r="804" spans="1:4" x14ac:dyDescent="0.3">
      <c r="A804" t="s">
        <v>363</v>
      </c>
      <c r="B804" t="s">
        <v>1503</v>
      </c>
      <c r="C804" t="s">
        <v>1508</v>
      </c>
      <c r="D804" t="s">
        <v>2369</v>
      </c>
    </row>
    <row r="805" spans="1:4" x14ac:dyDescent="0.3">
      <c r="A805" t="s">
        <v>363</v>
      </c>
      <c r="B805" t="s">
        <v>1503</v>
      </c>
      <c r="C805" t="s">
        <v>1513</v>
      </c>
      <c r="D805" t="s">
        <v>2369</v>
      </c>
    </row>
    <row r="806" spans="1:4" x14ac:dyDescent="0.3">
      <c r="A806" t="s">
        <v>363</v>
      </c>
      <c r="B806" t="s">
        <v>397</v>
      </c>
      <c r="C806" t="s">
        <v>400</v>
      </c>
      <c r="D806" t="s">
        <v>2369</v>
      </c>
    </row>
    <row r="807" spans="1:4" x14ac:dyDescent="0.3">
      <c r="A807" t="s">
        <v>363</v>
      </c>
      <c r="B807" t="s">
        <v>397</v>
      </c>
      <c r="C807" t="s">
        <v>402</v>
      </c>
      <c r="D807" t="s">
        <v>2369</v>
      </c>
    </row>
    <row r="808" spans="1:4" x14ac:dyDescent="0.3">
      <c r="A808" t="s">
        <v>363</v>
      </c>
      <c r="B808" t="s">
        <v>397</v>
      </c>
      <c r="C808" t="s">
        <v>2436</v>
      </c>
      <c r="D808" t="s">
        <v>2369</v>
      </c>
    </row>
    <row r="809" spans="1:4" x14ac:dyDescent="0.3">
      <c r="A809" t="s">
        <v>363</v>
      </c>
      <c r="B809" t="s">
        <v>397</v>
      </c>
      <c r="C809" t="s">
        <v>404</v>
      </c>
      <c r="D809" t="s">
        <v>2369</v>
      </c>
    </row>
    <row r="810" spans="1:4" x14ac:dyDescent="0.3">
      <c r="A810" t="s">
        <v>363</v>
      </c>
      <c r="B810" t="s">
        <v>397</v>
      </c>
      <c r="C810" t="s">
        <v>406</v>
      </c>
      <c r="D810" t="s">
        <v>2369</v>
      </c>
    </row>
    <row r="811" spans="1:4" x14ac:dyDescent="0.3">
      <c r="A811" t="s">
        <v>363</v>
      </c>
      <c r="B811" t="s">
        <v>397</v>
      </c>
      <c r="C811" t="s">
        <v>409</v>
      </c>
      <c r="D811" t="s">
        <v>2369</v>
      </c>
    </row>
    <row r="812" spans="1:4" x14ac:dyDescent="0.3">
      <c r="A812" t="s">
        <v>263</v>
      </c>
      <c r="B812" t="s">
        <v>330</v>
      </c>
      <c r="C812" t="s">
        <v>333</v>
      </c>
      <c r="D812" t="s">
        <v>2369</v>
      </c>
    </row>
    <row r="813" spans="1:4" x14ac:dyDescent="0.3">
      <c r="A813" t="s">
        <v>263</v>
      </c>
      <c r="B813" t="s">
        <v>330</v>
      </c>
      <c r="C813" t="s">
        <v>335</v>
      </c>
      <c r="D813" t="s">
        <v>2369</v>
      </c>
    </row>
    <row r="814" spans="1:4" x14ac:dyDescent="0.3">
      <c r="A814" t="s">
        <v>263</v>
      </c>
      <c r="B814" t="s">
        <v>330</v>
      </c>
      <c r="C814" t="s">
        <v>337</v>
      </c>
      <c r="D814" t="s">
        <v>2369</v>
      </c>
    </row>
    <row r="815" spans="1:4" x14ac:dyDescent="0.3">
      <c r="A815" t="s">
        <v>263</v>
      </c>
      <c r="B815" t="s">
        <v>330</v>
      </c>
      <c r="C815" t="s">
        <v>339</v>
      </c>
      <c r="D815" t="s">
        <v>2369</v>
      </c>
    </row>
    <row r="816" spans="1:4" x14ac:dyDescent="0.3">
      <c r="A816" t="s">
        <v>263</v>
      </c>
      <c r="B816" t="s">
        <v>330</v>
      </c>
      <c r="C816" t="s">
        <v>341</v>
      </c>
      <c r="D816" t="s">
        <v>2369</v>
      </c>
    </row>
    <row r="817" spans="1:4" x14ac:dyDescent="0.3">
      <c r="A817" t="s">
        <v>263</v>
      </c>
      <c r="B817" t="s">
        <v>330</v>
      </c>
      <c r="C817" t="s">
        <v>343</v>
      </c>
      <c r="D817" t="s">
        <v>2369</v>
      </c>
    </row>
    <row r="818" spans="1:4" x14ac:dyDescent="0.3">
      <c r="A818" t="s">
        <v>263</v>
      </c>
      <c r="B818" t="s">
        <v>330</v>
      </c>
      <c r="C818" t="s">
        <v>345</v>
      </c>
      <c r="D818" t="s">
        <v>2369</v>
      </c>
    </row>
    <row r="819" spans="1:4" x14ac:dyDescent="0.3">
      <c r="A819" t="s">
        <v>263</v>
      </c>
      <c r="B819" t="s">
        <v>330</v>
      </c>
      <c r="C819" t="s">
        <v>346</v>
      </c>
      <c r="D819" t="s">
        <v>2369</v>
      </c>
    </row>
    <row r="820" spans="1:4" x14ac:dyDescent="0.3">
      <c r="A820" t="s">
        <v>263</v>
      </c>
      <c r="B820" t="s">
        <v>330</v>
      </c>
      <c r="C820" t="s">
        <v>348</v>
      </c>
      <c r="D820" t="s">
        <v>2369</v>
      </c>
    </row>
    <row r="821" spans="1:4" x14ac:dyDescent="0.3">
      <c r="A821" t="s">
        <v>1584</v>
      </c>
      <c r="B821" t="s">
        <v>2361</v>
      </c>
      <c r="C821" t="s">
        <v>2437</v>
      </c>
      <c r="D821" t="s">
        <v>2369</v>
      </c>
    </row>
    <row r="822" spans="1:4" x14ac:dyDescent="0.3">
      <c r="A822" t="s">
        <v>1584</v>
      </c>
      <c r="B822" t="s">
        <v>2361</v>
      </c>
      <c r="C822" t="s">
        <v>1824</v>
      </c>
      <c r="D822" t="s">
        <v>2369</v>
      </c>
    </row>
    <row r="823" spans="1:4" x14ac:dyDescent="0.3">
      <c r="A823" t="s">
        <v>1584</v>
      </c>
      <c r="B823" t="s">
        <v>2361</v>
      </c>
      <c r="C823" t="s">
        <v>1666</v>
      </c>
      <c r="D823" t="s">
        <v>2369</v>
      </c>
    </row>
    <row r="824" spans="1:4" x14ac:dyDescent="0.3">
      <c r="A824" t="s">
        <v>1584</v>
      </c>
      <c r="B824" t="s">
        <v>2361</v>
      </c>
      <c r="C824" t="s">
        <v>1664</v>
      </c>
      <c r="D824" t="s">
        <v>2369</v>
      </c>
    </row>
    <row r="825" spans="1:4" x14ac:dyDescent="0.3">
      <c r="A825" t="s">
        <v>1584</v>
      </c>
      <c r="B825" t="s">
        <v>2361</v>
      </c>
      <c r="C825" t="s">
        <v>1661</v>
      </c>
      <c r="D825" t="s">
        <v>2369</v>
      </c>
    </row>
    <row r="826" spans="1:4" x14ac:dyDescent="0.3">
      <c r="A826" t="s">
        <v>1584</v>
      </c>
      <c r="B826" t="s">
        <v>2361</v>
      </c>
      <c r="C826" t="s">
        <v>2438</v>
      </c>
      <c r="D826" t="s">
        <v>2369</v>
      </c>
    </row>
    <row r="827" spans="1:4" x14ac:dyDescent="0.3">
      <c r="A827" t="s">
        <v>1584</v>
      </c>
      <c r="B827" t="s">
        <v>2361</v>
      </c>
      <c r="C827" t="s">
        <v>2439</v>
      </c>
      <c r="D827" t="s">
        <v>2369</v>
      </c>
    </row>
    <row r="828" spans="1:4" x14ac:dyDescent="0.3">
      <c r="A828" t="s">
        <v>1584</v>
      </c>
      <c r="B828" t="s">
        <v>2361</v>
      </c>
      <c r="C828" t="s">
        <v>2440</v>
      </c>
      <c r="D828" t="s">
        <v>2369</v>
      </c>
    </row>
    <row r="829" spans="1:4" x14ac:dyDescent="0.3">
      <c r="A829" t="s">
        <v>1584</v>
      </c>
      <c r="B829" t="s">
        <v>2361</v>
      </c>
      <c r="C829" t="s">
        <v>2441</v>
      </c>
      <c r="D829" t="s">
        <v>2369</v>
      </c>
    </row>
    <row r="830" spans="1:4" x14ac:dyDescent="0.3">
      <c r="A830" t="s">
        <v>28</v>
      </c>
      <c r="B830" t="s">
        <v>150</v>
      </c>
      <c r="C830" t="s">
        <v>154</v>
      </c>
      <c r="D830" t="s">
        <v>2369</v>
      </c>
    </row>
    <row r="831" spans="1:4" x14ac:dyDescent="0.3">
      <c r="A831" t="s">
        <v>28</v>
      </c>
      <c r="B831" t="s">
        <v>150</v>
      </c>
      <c r="C831" t="s">
        <v>153</v>
      </c>
      <c r="D831" t="s">
        <v>2369</v>
      </c>
    </row>
    <row r="832" spans="1:4" x14ac:dyDescent="0.3">
      <c r="A832" t="s">
        <v>28</v>
      </c>
      <c r="B832" t="s">
        <v>150</v>
      </c>
      <c r="C832" t="s">
        <v>156</v>
      </c>
      <c r="D832" t="s">
        <v>2369</v>
      </c>
    </row>
    <row r="833" spans="1:4" x14ac:dyDescent="0.3">
      <c r="A833" t="s">
        <v>28</v>
      </c>
      <c r="B833" t="s">
        <v>150</v>
      </c>
      <c r="C833" t="s">
        <v>157</v>
      </c>
      <c r="D833" t="s">
        <v>2369</v>
      </c>
    </row>
    <row r="834" spans="1:4" x14ac:dyDescent="0.3">
      <c r="A834" t="s">
        <v>28</v>
      </c>
      <c r="B834" t="s">
        <v>150</v>
      </c>
      <c r="C834" t="s">
        <v>2334</v>
      </c>
      <c r="D834" t="s">
        <v>2369</v>
      </c>
    </row>
    <row r="835" spans="1:4" x14ac:dyDescent="0.3">
      <c r="A835" t="s">
        <v>28</v>
      </c>
      <c r="B835" t="s">
        <v>150</v>
      </c>
      <c r="C835" t="s">
        <v>161</v>
      </c>
      <c r="D835" t="s">
        <v>2369</v>
      </c>
    </row>
    <row r="836" spans="1:4" x14ac:dyDescent="0.3">
      <c r="A836" t="s">
        <v>263</v>
      </c>
      <c r="B836" t="s">
        <v>350</v>
      </c>
      <c r="C836" t="s">
        <v>353</v>
      </c>
      <c r="D836" t="s">
        <v>2369</v>
      </c>
    </row>
    <row r="837" spans="1:4" x14ac:dyDescent="0.3">
      <c r="A837" t="s">
        <v>263</v>
      </c>
      <c r="B837" t="s">
        <v>350</v>
      </c>
      <c r="C837" t="s">
        <v>355</v>
      </c>
      <c r="D837" t="s">
        <v>2369</v>
      </c>
    </row>
    <row r="838" spans="1:4" x14ac:dyDescent="0.3">
      <c r="A838" t="s">
        <v>263</v>
      </c>
      <c r="B838" t="s">
        <v>350</v>
      </c>
      <c r="C838" t="s">
        <v>357</v>
      </c>
      <c r="D838" t="s">
        <v>2369</v>
      </c>
    </row>
    <row r="839" spans="1:4" x14ac:dyDescent="0.3">
      <c r="A839" t="s">
        <v>263</v>
      </c>
      <c r="B839" t="s">
        <v>350</v>
      </c>
      <c r="C839" t="s">
        <v>359</v>
      </c>
      <c r="D839" t="s">
        <v>2369</v>
      </c>
    </row>
    <row r="840" spans="1:4" x14ac:dyDescent="0.3">
      <c r="A840" t="s">
        <v>263</v>
      </c>
      <c r="B840" t="s">
        <v>350</v>
      </c>
      <c r="C840" t="s">
        <v>361</v>
      </c>
      <c r="D840" t="s">
        <v>2369</v>
      </c>
    </row>
    <row r="841" spans="1:4" x14ac:dyDescent="0.3">
      <c r="A841" t="s">
        <v>28</v>
      </c>
      <c r="B841" t="s">
        <v>164</v>
      </c>
      <c r="C841" t="s">
        <v>167</v>
      </c>
      <c r="D841" t="s">
        <v>2369</v>
      </c>
    </row>
    <row r="842" spans="1:4" x14ac:dyDescent="0.3">
      <c r="A842" t="s">
        <v>28</v>
      </c>
      <c r="B842" t="s">
        <v>164</v>
      </c>
      <c r="C842" t="s">
        <v>169</v>
      </c>
      <c r="D842" t="s">
        <v>2369</v>
      </c>
    </row>
    <row r="843" spans="1:4" x14ac:dyDescent="0.3">
      <c r="A843" t="s">
        <v>28</v>
      </c>
      <c r="B843" t="s">
        <v>164</v>
      </c>
      <c r="C843" t="s">
        <v>171</v>
      </c>
      <c r="D843" t="s">
        <v>2369</v>
      </c>
    </row>
    <row r="844" spans="1:4" x14ac:dyDescent="0.3">
      <c r="A844" t="s">
        <v>28</v>
      </c>
      <c r="B844" t="s">
        <v>164</v>
      </c>
      <c r="C844" t="s">
        <v>173</v>
      </c>
      <c r="D844" t="s">
        <v>2369</v>
      </c>
    </row>
    <row r="845" spans="1:4" x14ac:dyDescent="0.3">
      <c r="A845" t="s">
        <v>28</v>
      </c>
      <c r="B845" t="s">
        <v>164</v>
      </c>
      <c r="C845" t="s">
        <v>175</v>
      </c>
      <c r="D845" t="s">
        <v>2369</v>
      </c>
    </row>
    <row r="846" spans="1:4" x14ac:dyDescent="0.3">
      <c r="A846" t="s">
        <v>28</v>
      </c>
      <c r="B846" t="s">
        <v>164</v>
      </c>
      <c r="C846" t="s">
        <v>177</v>
      </c>
      <c r="D846" t="s">
        <v>2369</v>
      </c>
    </row>
    <row r="847" spans="1:4" x14ac:dyDescent="0.3">
      <c r="A847" t="s">
        <v>28</v>
      </c>
      <c r="B847" t="s">
        <v>164</v>
      </c>
      <c r="C847" t="s">
        <v>180</v>
      </c>
      <c r="D847" t="s">
        <v>2369</v>
      </c>
    </row>
    <row r="848" spans="1:4" x14ac:dyDescent="0.3">
      <c r="A848" t="s">
        <v>28</v>
      </c>
      <c r="B848" t="s">
        <v>164</v>
      </c>
      <c r="C848" t="s">
        <v>182</v>
      </c>
      <c r="D848" t="s">
        <v>2369</v>
      </c>
    </row>
    <row r="849" spans="1:4" x14ac:dyDescent="0.3">
      <c r="A849" t="s">
        <v>28</v>
      </c>
      <c r="B849" t="s">
        <v>164</v>
      </c>
      <c r="C849" t="s">
        <v>184</v>
      </c>
      <c r="D849" t="s">
        <v>2369</v>
      </c>
    </row>
    <row r="850" spans="1:4" x14ac:dyDescent="0.3">
      <c r="A850" t="s">
        <v>28</v>
      </c>
      <c r="B850" t="s">
        <v>164</v>
      </c>
      <c r="C850" t="s">
        <v>186</v>
      </c>
      <c r="D850" t="s">
        <v>2369</v>
      </c>
    </row>
    <row r="851" spans="1:4" x14ac:dyDescent="0.3">
      <c r="A851" t="s">
        <v>28</v>
      </c>
      <c r="B851" t="s">
        <v>164</v>
      </c>
      <c r="C851" t="s">
        <v>188</v>
      </c>
      <c r="D851" t="s">
        <v>2369</v>
      </c>
    </row>
    <row r="852" spans="1:4" x14ac:dyDescent="0.3">
      <c r="A852" t="s">
        <v>28</v>
      </c>
      <c r="B852" t="s">
        <v>164</v>
      </c>
      <c r="C852" t="s">
        <v>192</v>
      </c>
      <c r="D852" t="s">
        <v>2369</v>
      </c>
    </row>
    <row r="853" spans="1:4" x14ac:dyDescent="0.3">
      <c r="A853" t="s">
        <v>28</v>
      </c>
      <c r="B853" t="s">
        <v>164</v>
      </c>
      <c r="C853" t="s">
        <v>194</v>
      </c>
      <c r="D853" t="s">
        <v>2369</v>
      </c>
    </row>
    <row r="854" spans="1:4" x14ac:dyDescent="0.3">
      <c r="A854" t="s">
        <v>1584</v>
      </c>
      <c r="B854" t="s">
        <v>2363</v>
      </c>
      <c r="C854" t="s">
        <v>2332</v>
      </c>
      <c r="D854" t="s">
        <v>2369</v>
      </c>
    </row>
    <row r="855" spans="1:4" x14ac:dyDescent="0.3">
      <c r="A855" t="s">
        <v>1584</v>
      </c>
      <c r="B855" t="s">
        <v>2363</v>
      </c>
      <c r="C855" t="s">
        <v>2442</v>
      </c>
      <c r="D855" t="s">
        <v>2369</v>
      </c>
    </row>
    <row r="856" spans="1:4" x14ac:dyDescent="0.3">
      <c r="A856" t="s">
        <v>1584</v>
      </c>
      <c r="B856" t="s">
        <v>2363</v>
      </c>
      <c r="C856" t="s">
        <v>2443</v>
      </c>
      <c r="D856" t="s">
        <v>2369</v>
      </c>
    </row>
    <row r="857" spans="1:4" x14ac:dyDescent="0.3">
      <c r="A857" t="s">
        <v>1584</v>
      </c>
      <c r="B857" t="s">
        <v>2363</v>
      </c>
      <c r="C857" t="s">
        <v>2444</v>
      </c>
      <c r="D857" t="s">
        <v>2369</v>
      </c>
    </row>
    <row r="858" spans="1:4" x14ac:dyDescent="0.3">
      <c r="A858" t="s">
        <v>1584</v>
      </c>
      <c r="B858" t="s">
        <v>2363</v>
      </c>
      <c r="C858" t="s">
        <v>1653</v>
      </c>
      <c r="D858" t="s">
        <v>2369</v>
      </c>
    </row>
    <row r="859" spans="1:4" x14ac:dyDescent="0.3">
      <c r="A859" t="s">
        <v>1584</v>
      </c>
      <c r="B859" t="s">
        <v>2363</v>
      </c>
      <c r="C859" t="s">
        <v>2445</v>
      </c>
      <c r="D859" t="s">
        <v>2369</v>
      </c>
    </row>
    <row r="860" spans="1:4" x14ac:dyDescent="0.3">
      <c r="A860" t="s">
        <v>1584</v>
      </c>
      <c r="B860" t="s">
        <v>2363</v>
      </c>
      <c r="C860" t="s">
        <v>2446</v>
      </c>
      <c r="D860" t="s">
        <v>2369</v>
      </c>
    </row>
    <row r="861" spans="1:4" x14ac:dyDescent="0.3">
      <c r="A861" t="s">
        <v>1584</v>
      </c>
      <c r="B861" t="s">
        <v>2363</v>
      </c>
      <c r="C861" t="s">
        <v>2447</v>
      </c>
      <c r="D861" t="s">
        <v>2369</v>
      </c>
    </row>
    <row r="862" spans="1:4" x14ac:dyDescent="0.3">
      <c r="A862" t="s">
        <v>2127</v>
      </c>
      <c r="B862" t="s">
        <v>2312</v>
      </c>
      <c r="C862" t="s">
        <v>2318</v>
      </c>
      <c r="D862" t="s">
        <v>2369</v>
      </c>
    </row>
    <row r="863" spans="1:4" x14ac:dyDescent="0.3">
      <c r="A863" t="s">
        <v>2127</v>
      </c>
      <c r="B863" t="s">
        <v>2312</v>
      </c>
      <c r="C863" t="s">
        <v>2317</v>
      </c>
      <c r="D863" t="s">
        <v>2369</v>
      </c>
    </row>
    <row r="864" spans="1:4" x14ac:dyDescent="0.3">
      <c r="A864" t="s">
        <v>2127</v>
      </c>
      <c r="B864" t="s">
        <v>2312</v>
      </c>
      <c r="C864" t="s">
        <v>2314</v>
      </c>
      <c r="D864" t="s">
        <v>2369</v>
      </c>
    </row>
    <row r="865" spans="1:4" x14ac:dyDescent="0.3">
      <c r="A865" t="s">
        <v>2127</v>
      </c>
      <c r="B865" t="s">
        <v>2312</v>
      </c>
      <c r="C865" t="s">
        <v>2315</v>
      </c>
      <c r="D865" t="s">
        <v>2369</v>
      </c>
    </row>
    <row r="866" spans="1:4" x14ac:dyDescent="0.3">
      <c r="A866" t="s">
        <v>2127</v>
      </c>
      <c r="B866" t="s">
        <v>2312</v>
      </c>
      <c r="C866" t="s">
        <v>2316</v>
      </c>
      <c r="D866" t="s">
        <v>2369</v>
      </c>
    </row>
    <row r="867" spans="1:4" x14ac:dyDescent="0.3">
      <c r="A867" t="s">
        <v>2127</v>
      </c>
      <c r="B867" t="s">
        <v>2153</v>
      </c>
      <c r="C867" t="s">
        <v>2156</v>
      </c>
      <c r="D867" t="s">
        <v>2369</v>
      </c>
    </row>
    <row r="868" spans="1:4" x14ac:dyDescent="0.3">
      <c r="A868" t="s">
        <v>2127</v>
      </c>
      <c r="B868" t="s">
        <v>2153</v>
      </c>
      <c r="C868" t="s">
        <v>2160</v>
      </c>
      <c r="D868" t="s">
        <v>2369</v>
      </c>
    </row>
    <row r="869" spans="1:4" x14ac:dyDescent="0.3">
      <c r="A869" t="s">
        <v>2127</v>
      </c>
      <c r="B869" t="s">
        <v>2153</v>
      </c>
      <c r="C869" t="s">
        <v>2161</v>
      </c>
      <c r="D869" t="s">
        <v>2369</v>
      </c>
    </row>
    <row r="870" spans="1:4" x14ac:dyDescent="0.3">
      <c r="A870" t="s">
        <v>2127</v>
      </c>
      <c r="B870" t="s">
        <v>2153</v>
      </c>
      <c r="C870" t="s">
        <v>2155</v>
      </c>
      <c r="D870" t="s">
        <v>2369</v>
      </c>
    </row>
    <row r="871" spans="1:4" x14ac:dyDescent="0.3">
      <c r="A871" t="s">
        <v>2127</v>
      </c>
      <c r="B871" t="s">
        <v>2153</v>
      </c>
      <c r="C871" t="s">
        <v>2159</v>
      </c>
      <c r="D871" t="s">
        <v>2369</v>
      </c>
    </row>
    <row r="872" spans="1:4" x14ac:dyDescent="0.3">
      <c r="A872" t="s">
        <v>2127</v>
      </c>
      <c r="B872" t="s">
        <v>2153</v>
      </c>
      <c r="C872" t="s">
        <v>2158</v>
      </c>
      <c r="D872" t="s">
        <v>2369</v>
      </c>
    </row>
    <row r="873" spans="1:4" x14ac:dyDescent="0.3">
      <c r="A873" t="s">
        <v>1584</v>
      </c>
      <c r="B873" t="s">
        <v>1672</v>
      </c>
      <c r="C873" t="s">
        <v>1675</v>
      </c>
      <c r="D873" t="s">
        <v>2369</v>
      </c>
    </row>
    <row r="874" spans="1:4" x14ac:dyDescent="0.3">
      <c r="A874" t="s">
        <v>1584</v>
      </c>
      <c r="B874" t="s">
        <v>1672</v>
      </c>
      <c r="C874" t="s">
        <v>1678</v>
      </c>
      <c r="D874" t="s">
        <v>2369</v>
      </c>
    </row>
    <row r="875" spans="1:4" x14ac:dyDescent="0.3">
      <c r="A875" t="s">
        <v>1584</v>
      </c>
      <c r="B875" t="s">
        <v>1672</v>
      </c>
      <c r="C875" t="s">
        <v>1680</v>
      </c>
      <c r="D875" t="s">
        <v>2369</v>
      </c>
    </row>
    <row r="876" spans="1:4" x14ac:dyDescent="0.3">
      <c r="A876" t="s">
        <v>1584</v>
      </c>
      <c r="B876" t="s">
        <v>1672</v>
      </c>
      <c r="C876" t="s">
        <v>1682</v>
      </c>
      <c r="D876" t="s">
        <v>2369</v>
      </c>
    </row>
    <row r="877" spans="1:4" x14ac:dyDescent="0.3">
      <c r="A877" t="s">
        <v>1584</v>
      </c>
      <c r="B877" t="s">
        <v>1672</v>
      </c>
      <c r="C877" t="s">
        <v>1685</v>
      </c>
      <c r="D877" t="s">
        <v>2369</v>
      </c>
    </row>
    <row r="878" spans="1:4" x14ac:dyDescent="0.3">
      <c r="A878" t="s">
        <v>1584</v>
      </c>
      <c r="B878" t="s">
        <v>1672</v>
      </c>
      <c r="C878" t="s">
        <v>1687</v>
      </c>
      <c r="D878" t="s">
        <v>2369</v>
      </c>
    </row>
    <row r="879" spans="1:4" x14ac:dyDescent="0.3">
      <c r="A879" t="s">
        <v>1584</v>
      </c>
      <c r="B879" t="s">
        <v>1689</v>
      </c>
      <c r="C879" t="s">
        <v>2448</v>
      </c>
      <c r="D879" t="s">
        <v>2369</v>
      </c>
    </row>
    <row r="880" spans="1:4" x14ac:dyDescent="0.3">
      <c r="A880" t="s">
        <v>1584</v>
      </c>
      <c r="B880" t="s">
        <v>1689</v>
      </c>
      <c r="C880" t="s">
        <v>2449</v>
      </c>
      <c r="D880" t="s">
        <v>2369</v>
      </c>
    </row>
    <row r="881" spans="1:4" x14ac:dyDescent="0.3">
      <c r="A881" t="s">
        <v>1584</v>
      </c>
      <c r="B881" t="s">
        <v>1689</v>
      </c>
      <c r="C881" t="s">
        <v>1696</v>
      </c>
      <c r="D881" t="s">
        <v>2369</v>
      </c>
    </row>
    <row r="882" spans="1:4" x14ac:dyDescent="0.3">
      <c r="A882" t="s">
        <v>1584</v>
      </c>
      <c r="B882" t="s">
        <v>1689</v>
      </c>
      <c r="C882" t="s">
        <v>1655</v>
      </c>
      <c r="D882" t="s">
        <v>2369</v>
      </c>
    </row>
    <row r="883" spans="1:4" x14ac:dyDescent="0.3">
      <c r="A883" t="s">
        <v>1584</v>
      </c>
      <c r="B883" t="s">
        <v>1689</v>
      </c>
      <c r="C883" t="s">
        <v>2450</v>
      </c>
      <c r="D883" t="s">
        <v>2369</v>
      </c>
    </row>
    <row r="884" spans="1:4" x14ac:dyDescent="0.3">
      <c r="A884" t="s">
        <v>1584</v>
      </c>
      <c r="B884" t="s">
        <v>1689</v>
      </c>
      <c r="C884" t="s">
        <v>1691</v>
      </c>
      <c r="D884" t="s">
        <v>2369</v>
      </c>
    </row>
    <row r="885" spans="1:4" x14ac:dyDescent="0.3">
      <c r="A885" t="s">
        <v>1584</v>
      </c>
      <c r="B885" t="s">
        <v>1689</v>
      </c>
      <c r="C885" t="s">
        <v>2451</v>
      </c>
      <c r="D885" t="s">
        <v>2369</v>
      </c>
    </row>
    <row r="886" spans="1:4" x14ac:dyDescent="0.3">
      <c r="A886" t="s">
        <v>1584</v>
      </c>
      <c r="B886" t="s">
        <v>1689</v>
      </c>
      <c r="C886" t="s">
        <v>2452</v>
      </c>
      <c r="D886" t="s">
        <v>2369</v>
      </c>
    </row>
    <row r="887" spans="1:4" x14ac:dyDescent="0.3">
      <c r="A887" t="s">
        <v>1584</v>
      </c>
      <c r="B887" t="s">
        <v>1689</v>
      </c>
      <c r="C887" t="s">
        <v>2453</v>
      </c>
      <c r="D887" t="s">
        <v>2369</v>
      </c>
    </row>
    <row r="888" spans="1:4" x14ac:dyDescent="0.3">
      <c r="A888" t="s">
        <v>1584</v>
      </c>
      <c r="B888" t="s">
        <v>1689</v>
      </c>
      <c r="C888" t="s">
        <v>2454</v>
      </c>
      <c r="D888" t="s">
        <v>2369</v>
      </c>
    </row>
    <row r="889" spans="1:4" x14ac:dyDescent="0.3">
      <c r="A889" t="s">
        <v>1584</v>
      </c>
      <c r="B889" t="s">
        <v>1689</v>
      </c>
      <c r="C889" t="s">
        <v>2455</v>
      </c>
      <c r="D889" t="s">
        <v>2369</v>
      </c>
    </row>
    <row r="890" spans="1:4" x14ac:dyDescent="0.3">
      <c r="A890" t="s">
        <v>1584</v>
      </c>
      <c r="B890" t="s">
        <v>1689</v>
      </c>
      <c r="C890" t="s">
        <v>2456</v>
      </c>
      <c r="D890" t="s">
        <v>2369</v>
      </c>
    </row>
    <row r="891" spans="1:4" x14ac:dyDescent="0.3">
      <c r="A891" t="s">
        <v>1584</v>
      </c>
      <c r="B891" t="s">
        <v>1689</v>
      </c>
      <c r="C891" t="s">
        <v>2457</v>
      </c>
      <c r="D891" t="s">
        <v>2369</v>
      </c>
    </row>
    <row r="892" spans="1:4" x14ac:dyDescent="0.3">
      <c r="A892" t="s">
        <v>1584</v>
      </c>
      <c r="B892" t="s">
        <v>1689</v>
      </c>
      <c r="C892" t="s">
        <v>2458</v>
      </c>
      <c r="D892" t="s">
        <v>2369</v>
      </c>
    </row>
    <row r="893" spans="1:4" x14ac:dyDescent="0.3">
      <c r="A893" t="s">
        <v>1584</v>
      </c>
      <c r="B893" t="s">
        <v>1701</v>
      </c>
      <c r="C893" t="s">
        <v>1720</v>
      </c>
      <c r="D893" t="s">
        <v>2369</v>
      </c>
    </row>
    <row r="894" spans="1:4" x14ac:dyDescent="0.3">
      <c r="A894" t="s">
        <v>1584</v>
      </c>
      <c r="B894" t="s">
        <v>1701</v>
      </c>
      <c r="C894" t="s">
        <v>1719</v>
      </c>
      <c r="D894" t="s">
        <v>2369</v>
      </c>
    </row>
    <row r="895" spans="1:4" x14ac:dyDescent="0.3">
      <c r="A895" t="s">
        <v>1584</v>
      </c>
      <c r="B895" t="s">
        <v>1701</v>
      </c>
      <c r="C895" t="s">
        <v>1718</v>
      </c>
      <c r="D895" t="s">
        <v>2369</v>
      </c>
    </row>
    <row r="896" spans="1:4" x14ac:dyDescent="0.3">
      <c r="A896" t="s">
        <v>1584</v>
      </c>
      <c r="B896" t="s">
        <v>1701</v>
      </c>
      <c r="C896" t="s">
        <v>1716</v>
      </c>
      <c r="D896" t="s">
        <v>2369</v>
      </c>
    </row>
    <row r="897" spans="1:4" x14ac:dyDescent="0.3">
      <c r="A897" t="s">
        <v>1584</v>
      </c>
      <c r="B897" t="s">
        <v>1701</v>
      </c>
      <c r="C897" t="s">
        <v>1714</v>
      </c>
      <c r="D897" t="s">
        <v>2369</v>
      </c>
    </row>
    <row r="898" spans="1:4" x14ac:dyDescent="0.3">
      <c r="A898" t="s">
        <v>1584</v>
      </c>
      <c r="B898" t="s">
        <v>1701</v>
      </c>
      <c r="C898" t="s">
        <v>1713</v>
      </c>
      <c r="D898" t="s">
        <v>2369</v>
      </c>
    </row>
    <row r="899" spans="1:4" x14ac:dyDescent="0.3">
      <c r="A899" t="s">
        <v>1584</v>
      </c>
      <c r="B899" t="s">
        <v>1701</v>
      </c>
      <c r="C899" t="s">
        <v>1711</v>
      </c>
      <c r="D899" t="s">
        <v>2369</v>
      </c>
    </row>
    <row r="900" spans="1:4" x14ac:dyDescent="0.3">
      <c r="A900" t="s">
        <v>1584</v>
      </c>
      <c r="B900" t="s">
        <v>1701</v>
      </c>
      <c r="C900" t="s">
        <v>1709</v>
      </c>
      <c r="D900" t="s">
        <v>2369</v>
      </c>
    </row>
    <row r="901" spans="1:4" x14ac:dyDescent="0.3">
      <c r="A901" t="s">
        <v>1584</v>
      </c>
      <c r="B901" t="s">
        <v>1701</v>
      </c>
      <c r="C901" t="s">
        <v>1707</v>
      </c>
      <c r="D901" t="s">
        <v>2369</v>
      </c>
    </row>
    <row r="902" spans="1:4" x14ac:dyDescent="0.3">
      <c r="A902" t="s">
        <v>1584</v>
      </c>
      <c r="B902" t="s">
        <v>1701</v>
      </c>
      <c r="C902" t="s">
        <v>2459</v>
      </c>
      <c r="D902" t="s">
        <v>2369</v>
      </c>
    </row>
    <row r="903" spans="1:4" x14ac:dyDescent="0.3">
      <c r="A903" t="s">
        <v>1584</v>
      </c>
      <c r="B903" t="s">
        <v>1701</v>
      </c>
      <c r="C903" t="s">
        <v>2460</v>
      </c>
      <c r="D903" t="s">
        <v>2369</v>
      </c>
    </row>
    <row r="904" spans="1:4" x14ac:dyDescent="0.3">
      <c r="A904" t="s">
        <v>1584</v>
      </c>
      <c r="B904" t="s">
        <v>1701</v>
      </c>
      <c r="C904" t="s">
        <v>2461</v>
      </c>
      <c r="D904" t="s">
        <v>2369</v>
      </c>
    </row>
    <row r="905" spans="1:4" x14ac:dyDescent="0.3">
      <c r="A905" t="s">
        <v>1584</v>
      </c>
      <c r="B905" t="s">
        <v>1701</v>
      </c>
      <c r="C905" t="s">
        <v>2462</v>
      </c>
      <c r="D905" t="s">
        <v>2369</v>
      </c>
    </row>
    <row r="906" spans="1:4" x14ac:dyDescent="0.3">
      <c r="A906" t="s">
        <v>1584</v>
      </c>
      <c r="B906" t="s">
        <v>1701</v>
      </c>
      <c r="C906" t="s">
        <v>2463</v>
      </c>
      <c r="D906" t="s">
        <v>2369</v>
      </c>
    </row>
    <row r="907" spans="1:4" x14ac:dyDescent="0.3">
      <c r="A907" t="s">
        <v>1584</v>
      </c>
      <c r="B907" t="s">
        <v>1701</v>
      </c>
      <c r="C907" t="s">
        <v>2464</v>
      </c>
      <c r="D907" t="s">
        <v>2369</v>
      </c>
    </row>
    <row r="908" spans="1:4" x14ac:dyDescent="0.3">
      <c r="A908" t="s">
        <v>1584</v>
      </c>
      <c r="B908" t="s">
        <v>1701</v>
      </c>
      <c r="C908" t="s">
        <v>2465</v>
      </c>
      <c r="D908" t="s">
        <v>2369</v>
      </c>
    </row>
    <row r="909" spans="1:4" x14ac:dyDescent="0.3">
      <c r="A909" t="s">
        <v>1584</v>
      </c>
      <c r="B909" t="s">
        <v>1701</v>
      </c>
      <c r="C909" t="s">
        <v>2466</v>
      </c>
      <c r="D909" t="s">
        <v>2369</v>
      </c>
    </row>
    <row r="910" spans="1:4" x14ac:dyDescent="0.3">
      <c r="A910" t="s">
        <v>1584</v>
      </c>
      <c r="B910" t="s">
        <v>1701</v>
      </c>
      <c r="C910" t="s">
        <v>2467</v>
      </c>
      <c r="D910" t="s">
        <v>2369</v>
      </c>
    </row>
    <row r="911" spans="1:4" x14ac:dyDescent="0.3">
      <c r="A911" t="s">
        <v>1584</v>
      </c>
      <c r="B911" t="s">
        <v>1701</v>
      </c>
      <c r="C911" t="s">
        <v>2468</v>
      </c>
      <c r="D911" t="s">
        <v>2369</v>
      </c>
    </row>
    <row r="912" spans="1:4" x14ac:dyDescent="0.3">
      <c r="A912" t="s">
        <v>1584</v>
      </c>
      <c r="B912" t="s">
        <v>1722</v>
      </c>
      <c r="C912" t="s">
        <v>1725</v>
      </c>
      <c r="D912" t="s">
        <v>2369</v>
      </c>
    </row>
    <row r="913" spans="1:4" x14ac:dyDescent="0.3">
      <c r="A913" t="s">
        <v>1584</v>
      </c>
      <c r="B913" t="s">
        <v>1722</v>
      </c>
      <c r="C913" t="s">
        <v>1723</v>
      </c>
      <c r="D913" t="s">
        <v>2369</v>
      </c>
    </row>
    <row r="914" spans="1:4" x14ac:dyDescent="0.3">
      <c r="A914" t="s">
        <v>1584</v>
      </c>
      <c r="B914" t="s">
        <v>1722</v>
      </c>
      <c r="C914" t="s">
        <v>1727</v>
      </c>
      <c r="D914" t="s">
        <v>2369</v>
      </c>
    </row>
    <row r="915" spans="1:4" x14ac:dyDescent="0.3">
      <c r="A915" t="s">
        <v>1584</v>
      </c>
      <c r="B915" t="s">
        <v>1722</v>
      </c>
      <c r="C915" t="s">
        <v>1729</v>
      </c>
      <c r="D915" t="s">
        <v>2369</v>
      </c>
    </row>
    <row r="916" spans="1:4" x14ac:dyDescent="0.3">
      <c r="A916" t="s">
        <v>1584</v>
      </c>
      <c r="B916" t="s">
        <v>1722</v>
      </c>
      <c r="C916" t="s">
        <v>1731</v>
      </c>
      <c r="D916" t="s">
        <v>2369</v>
      </c>
    </row>
    <row r="917" spans="1:4" x14ac:dyDescent="0.3">
      <c r="A917" t="s">
        <v>1584</v>
      </c>
      <c r="B917" t="s">
        <v>1722</v>
      </c>
      <c r="C917" t="s">
        <v>2336</v>
      </c>
      <c r="D917" t="s">
        <v>2369</v>
      </c>
    </row>
    <row r="918" spans="1:4" x14ac:dyDescent="0.3">
      <c r="A918" t="s">
        <v>1584</v>
      </c>
      <c r="B918" t="s">
        <v>1722</v>
      </c>
      <c r="C918" t="s">
        <v>1733</v>
      </c>
      <c r="D918" t="s">
        <v>2369</v>
      </c>
    </row>
    <row r="919" spans="1:4" x14ac:dyDescent="0.3">
      <c r="A919" t="s">
        <v>2127</v>
      </c>
      <c r="B919" t="s">
        <v>2195</v>
      </c>
      <c r="C919" t="s">
        <v>2198</v>
      </c>
      <c r="D919" t="s">
        <v>2369</v>
      </c>
    </row>
    <row r="920" spans="1:4" x14ac:dyDescent="0.3">
      <c r="A920" t="s">
        <v>2127</v>
      </c>
      <c r="B920" t="s">
        <v>2195</v>
      </c>
      <c r="C920" t="s">
        <v>2199</v>
      </c>
      <c r="D920" t="s">
        <v>2369</v>
      </c>
    </row>
    <row r="921" spans="1:4" x14ac:dyDescent="0.3">
      <c r="A921" t="s">
        <v>2127</v>
      </c>
      <c r="B921" t="s">
        <v>2195</v>
      </c>
      <c r="C921" t="s">
        <v>2197</v>
      </c>
      <c r="D921" t="s">
        <v>2369</v>
      </c>
    </row>
    <row r="922" spans="1:4" x14ac:dyDescent="0.3">
      <c r="A922" t="s">
        <v>2127</v>
      </c>
      <c r="B922" t="s">
        <v>2195</v>
      </c>
      <c r="C922" t="s">
        <v>2201</v>
      </c>
      <c r="D922" t="s">
        <v>2369</v>
      </c>
    </row>
    <row r="923" spans="1:4" x14ac:dyDescent="0.3">
      <c r="A923" t="s">
        <v>2127</v>
      </c>
      <c r="B923" t="s">
        <v>2195</v>
      </c>
      <c r="C923" t="s">
        <v>2200</v>
      </c>
      <c r="D923" t="s">
        <v>2369</v>
      </c>
    </row>
    <row r="924" spans="1:4" x14ac:dyDescent="0.3">
      <c r="A924" t="s">
        <v>2127</v>
      </c>
      <c r="B924" t="s">
        <v>2195</v>
      </c>
      <c r="C924" t="s">
        <v>2208</v>
      </c>
      <c r="D924" t="s">
        <v>2369</v>
      </c>
    </row>
    <row r="925" spans="1:4" x14ac:dyDescent="0.3">
      <c r="A925" t="s">
        <v>2127</v>
      </c>
      <c r="B925" t="s">
        <v>2195</v>
      </c>
      <c r="C925" t="s">
        <v>2207</v>
      </c>
      <c r="D925" t="s">
        <v>2369</v>
      </c>
    </row>
    <row r="926" spans="1:4" x14ac:dyDescent="0.3">
      <c r="A926" t="s">
        <v>2127</v>
      </c>
      <c r="B926" t="s">
        <v>2243</v>
      </c>
      <c r="C926" t="s">
        <v>2246</v>
      </c>
      <c r="D926" t="s">
        <v>2369</v>
      </c>
    </row>
    <row r="927" spans="1:4" x14ac:dyDescent="0.3">
      <c r="A927" t="s">
        <v>2127</v>
      </c>
      <c r="B927" t="s">
        <v>2243</v>
      </c>
      <c r="C927" t="s">
        <v>2247</v>
      </c>
      <c r="D927" t="s">
        <v>2369</v>
      </c>
    </row>
    <row r="928" spans="1:4" x14ac:dyDescent="0.3">
      <c r="A928" t="s">
        <v>2127</v>
      </c>
      <c r="B928" t="s">
        <v>2243</v>
      </c>
      <c r="C928" t="s">
        <v>2245</v>
      </c>
      <c r="D928" t="s">
        <v>2369</v>
      </c>
    </row>
    <row r="929" spans="1:4" x14ac:dyDescent="0.3">
      <c r="A929" t="s">
        <v>2127</v>
      </c>
      <c r="B929" t="s">
        <v>2243</v>
      </c>
      <c r="C929" t="s">
        <v>2260</v>
      </c>
      <c r="D929" t="s">
        <v>2369</v>
      </c>
    </row>
    <row r="930" spans="1:4" x14ac:dyDescent="0.3">
      <c r="A930" t="s">
        <v>2127</v>
      </c>
      <c r="B930" t="s">
        <v>2243</v>
      </c>
      <c r="C930" t="s">
        <v>2250</v>
      </c>
      <c r="D930" t="s">
        <v>2369</v>
      </c>
    </row>
    <row r="931" spans="1:4" x14ac:dyDescent="0.3">
      <c r="A931" t="s">
        <v>2127</v>
      </c>
      <c r="B931" t="s">
        <v>2162</v>
      </c>
      <c r="C931" t="s">
        <v>2167</v>
      </c>
      <c r="D931" t="s">
        <v>2369</v>
      </c>
    </row>
    <row r="932" spans="1:4" x14ac:dyDescent="0.3">
      <c r="A932" t="s">
        <v>2127</v>
      </c>
      <c r="B932" t="s">
        <v>2162</v>
      </c>
      <c r="C932" t="s">
        <v>2166</v>
      </c>
      <c r="D932" t="s">
        <v>2369</v>
      </c>
    </row>
    <row r="933" spans="1:4" x14ac:dyDescent="0.3">
      <c r="A933" t="s">
        <v>2127</v>
      </c>
      <c r="B933" t="s">
        <v>2162</v>
      </c>
      <c r="C933" t="s">
        <v>2170</v>
      </c>
      <c r="D933" t="s">
        <v>2369</v>
      </c>
    </row>
    <row r="934" spans="1:4" x14ac:dyDescent="0.3">
      <c r="A934" t="s">
        <v>2127</v>
      </c>
      <c r="B934" t="s">
        <v>2162</v>
      </c>
      <c r="C934" t="s">
        <v>2171</v>
      </c>
      <c r="D934" t="s">
        <v>2369</v>
      </c>
    </row>
    <row r="935" spans="1:4" x14ac:dyDescent="0.3">
      <c r="A935" t="s">
        <v>2127</v>
      </c>
      <c r="B935" t="s">
        <v>2162</v>
      </c>
      <c r="C935" t="s">
        <v>2169</v>
      </c>
      <c r="D935" t="s">
        <v>2369</v>
      </c>
    </row>
    <row r="936" spans="1:4" x14ac:dyDescent="0.3">
      <c r="A936" t="s">
        <v>2127</v>
      </c>
      <c r="B936" t="s">
        <v>2162</v>
      </c>
      <c r="C936" t="s">
        <v>2165</v>
      </c>
      <c r="D936" t="s">
        <v>2369</v>
      </c>
    </row>
    <row r="937" spans="1:4" x14ac:dyDescent="0.3">
      <c r="A937" t="s">
        <v>2127</v>
      </c>
      <c r="B937" t="s">
        <v>2162</v>
      </c>
      <c r="C937" t="s">
        <v>2168</v>
      </c>
      <c r="D937" t="s">
        <v>2369</v>
      </c>
    </row>
    <row r="938" spans="1:4" x14ac:dyDescent="0.3">
      <c r="A938" t="s">
        <v>2127</v>
      </c>
      <c r="B938" t="s">
        <v>2162</v>
      </c>
      <c r="C938" t="s">
        <v>2164</v>
      </c>
      <c r="D938" t="s">
        <v>2369</v>
      </c>
    </row>
    <row r="939" spans="1:4" x14ac:dyDescent="0.3">
      <c r="A939" t="s">
        <v>35</v>
      </c>
      <c r="B939" t="s">
        <v>1934</v>
      </c>
      <c r="C939" t="s">
        <v>1937</v>
      </c>
      <c r="D939" t="s">
        <v>2369</v>
      </c>
    </row>
    <row r="940" spans="1:4" x14ac:dyDescent="0.3">
      <c r="A940" t="s">
        <v>35</v>
      </c>
      <c r="B940" t="s">
        <v>1934</v>
      </c>
      <c r="C940" t="s">
        <v>1939</v>
      </c>
      <c r="D940" t="s">
        <v>2369</v>
      </c>
    </row>
    <row r="941" spans="1:4" x14ac:dyDescent="0.3">
      <c r="A941" t="s">
        <v>35</v>
      </c>
      <c r="B941" t="s">
        <v>1934</v>
      </c>
      <c r="C941" t="s">
        <v>1941</v>
      </c>
      <c r="D941" t="s">
        <v>2369</v>
      </c>
    </row>
    <row r="942" spans="1:4" x14ac:dyDescent="0.3">
      <c r="A942" t="s">
        <v>35</v>
      </c>
      <c r="B942" t="s">
        <v>1934</v>
      </c>
      <c r="C942" t="s">
        <v>1943</v>
      </c>
      <c r="D942" t="s">
        <v>2369</v>
      </c>
    </row>
    <row r="943" spans="1:4" x14ac:dyDescent="0.3">
      <c r="A943" t="s">
        <v>35</v>
      </c>
      <c r="B943" t="s">
        <v>1934</v>
      </c>
      <c r="C943" t="s">
        <v>1945</v>
      </c>
      <c r="D943" t="s">
        <v>2369</v>
      </c>
    </row>
    <row r="944" spans="1:4" x14ac:dyDescent="0.3">
      <c r="A944" t="s">
        <v>35</v>
      </c>
      <c r="B944" t="s">
        <v>1934</v>
      </c>
      <c r="C944" t="s">
        <v>1947</v>
      </c>
      <c r="D944" t="s">
        <v>2369</v>
      </c>
    </row>
    <row r="945" spans="1:4" x14ac:dyDescent="0.3">
      <c r="A945" t="s">
        <v>35</v>
      </c>
      <c r="B945" t="s">
        <v>1934</v>
      </c>
      <c r="C945" t="s">
        <v>1949</v>
      </c>
      <c r="D945" t="s">
        <v>2369</v>
      </c>
    </row>
    <row r="946" spans="1:4" x14ac:dyDescent="0.3">
      <c r="A946" t="s">
        <v>35</v>
      </c>
      <c r="B946" t="s">
        <v>1951</v>
      </c>
      <c r="C946" t="s">
        <v>1954</v>
      </c>
      <c r="D946" t="s">
        <v>2369</v>
      </c>
    </row>
    <row r="947" spans="1:4" x14ac:dyDescent="0.3">
      <c r="A947" t="s">
        <v>35</v>
      </c>
      <c r="B947" t="s">
        <v>1951</v>
      </c>
      <c r="C947" t="s">
        <v>1956</v>
      </c>
      <c r="D947" t="s">
        <v>2369</v>
      </c>
    </row>
    <row r="948" spans="1:4" x14ac:dyDescent="0.3">
      <c r="A948" t="s">
        <v>35</v>
      </c>
      <c r="B948" t="s">
        <v>1951</v>
      </c>
      <c r="C948" t="s">
        <v>1958</v>
      </c>
      <c r="D948" t="s">
        <v>2369</v>
      </c>
    </row>
    <row r="949" spans="1:4" x14ac:dyDescent="0.3">
      <c r="A949" t="s">
        <v>35</v>
      </c>
      <c r="B949" t="s">
        <v>1951</v>
      </c>
      <c r="C949" t="s">
        <v>1960</v>
      </c>
      <c r="D949" t="s">
        <v>2369</v>
      </c>
    </row>
    <row r="950" spans="1:4" x14ac:dyDescent="0.3">
      <c r="A950" t="s">
        <v>35</v>
      </c>
      <c r="B950" t="s">
        <v>1951</v>
      </c>
      <c r="C950" t="s">
        <v>2469</v>
      </c>
      <c r="D950" t="s">
        <v>2369</v>
      </c>
    </row>
    <row r="951" spans="1:4" x14ac:dyDescent="0.3">
      <c r="A951" t="s">
        <v>363</v>
      </c>
      <c r="B951" t="s">
        <v>1003</v>
      </c>
      <c r="C951" t="s">
        <v>1021</v>
      </c>
      <c r="D951" t="s">
        <v>2369</v>
      </c>
    </row>
    <row r="952" spans="1:4" x14ac:dyDescent="0.3">
      <c r="A952" t="s">
        <v>363</v>
      </c>
      <c r="B952" t="s">
        <v>1003</v>
      </c>
      <c r="C952" t="s">
        <v>1013</v>
      </c>
      <c r="D952" t="s">
        <v>2369</v>
      </c>
    </row>
    <row r="953" spans="1:4" x14ac:dyDescent="0.3">
      <c r="A953" t="s">
        <v>363</v>
      </c>
      <c r="B953" t="s">
        <v>1003</v>
      </c>
      <c r="C953" t="s">
        <v>1567</v>
      </c>
      <c r="D953" t="s">
        <v>2369</v>
      </c>
    </row>
    <row r="954" spans="1:4" x14ac:dyDescent="0.3">
      <c r="A954" t="s">
        <v>363</v>
      </c>
      <c r="B954" t="s">
        <v>1003</v>
      </c>
      <c r="C954" t="s">
        <v>682</v>
      </c>
      <c r="D954" t="s">
        <v>2369</v>
      </c>
    </row>
    <row r="955" spans="1:4" x14ac:dyDescent="0.3">
      <c r="A955" t="s">
        <v>363</v>
      </c>
      <c r="B955" t="s">
        <v>1003</v>
      </c>
      <c r="C955" t="s">
        <v>2470</v>
      </c>
      <c r="D955" t="s">
        <v>2369</v>
      </c>
    </row>
    <row r="956" spans="1:4" x14ac:dyDescent="0.3">
      <c r="A956" t="s">
        <v>363</v>
      </c>
      <c r="B956" t="s">
        <v>1003</v>
      </c>
      <c r="C956" t="s">
        <v>741</v>
      </c>
      <c r="D956" t="s">
        <v>2369</v>
      </c>
    </row>
    <row r="957" spans="1:4" x14ac:dyDescent="0.3">
      <c r="A957" t="s">
        <v>363</v>
      </c>
      <c r="B957" t="s">
        <v>1003</v>
      </c>
      <c r="C957" t="s">
        <v>1010</v>
      </c>
      <c r="D957" t="s">
        <v>2369</v>
      </c>
    </row>
    <row r="958" spans="1:4" x14ac:dyDescent="0.3">
      <c r="A958" t="s">
        <v>363</v>
      </c>
      <c r="B958" t="s">
        <v>1003</v>
      </c>
      <c r="C958" t="s">
        <v>1037</v>
      </c>
      <c r="D958" t="s">
        <v>2369</v>
      </c>
    </row>
    <row r="959" spans="1:4" x14ac:dyDescent="0.3">
      <c r="A959" t="s">
        <v>363</v>
      </c>
      <c r="B959" t="s">
        <v>1003</v>
      </c>
      <c r="C959" t="s">
        <v>1024</v>
      </c>
      <c r="D959" t="s">
        <v>2369</v>
      </c>
    </row>
    <row r="960" spans="1:4" x14ac:dyDescent="0.3">
      <c r="A960" t="s">
        <v>363</v>
      </c>
      <c r="B960" t="s">
        <v>1003</v>
      </c>
      <c r="C960" t="s">
        <v>1048</v>
      </c>
      <c r="D960" t="s">
        <v>2369</v>
      </c>
    </row>
    <row r="961" spans="1:4" x14ac:dyDescent="0.3">
      <c r="A961" t="s">
        <v>363</v>
      </c>
      <c r="B961" t="s">
        <v>1003</v>
      </c>
      <c r="C961" t="s">
        <v>1040</v>
      </c>
      <c r="D961" t="s">
        <v>2369</v>
      </c>
    </row>
    <row r="962" spans="1:4" x14ac:dyDescent="0.3">
      <c r="A962" t="s">
        <v>363</v>
      </c>
      <c r="B962" t="s">
        <v>1003</v>
      </c>
      <c r="C962" t="s">
        <v>1030</v>
      </c>
      <c r="D962" t="s">
        <v>2369</v>
      </c>
    </row>
    <row r="963" spans="1:4" x14ac:dyDescent="0.3">
      <c r="A963" t="s">
        <v>363</v>
      </c>
      <c r="B963" t="s">
        <v>1003</v>
      </c>
      <c r="C963" t="s">
        <v>2471</v>
      </c>
      <c r="D963" t="s">
        <v>2369</v>
      </c>
    </row>
    <row r="964" spans="1:4" x14ac:dyDescent="0.3">
      <c r="A964" t="s">
        <v>363</v>
      </c>
      <c r="B964" t="s">
        <v>1003</v>
      </c>
      <c r="C964" t="s">
        <v>1032</v>
      </c>
      <c r="D964" t="s">
        <v>2369</v>
      </c>
    </row>
    <row r="965" spans="1:4" x14ac:dyDescent="0.3">
      <c r="A965" t="s">
        <v>363</v>
      </c>
      <c r="B965" t="s">
        <v>1003</v>
      </c>
      <c r="C965" t="s">
        <v>1008</v>
      </c>
      <c r="D965" t="s">
        <v>2369</v>
      </c>
    </row>
    <row r="966" spans="1:4" x14ac:dyDescent="0.3">
      <c r="A966" t="s">
        <v>363</v>
      </c>
      <c r="B966" t="s">
        <v>1003</v>
      </c>
      <c r="C966" t="s">
        <v>1578</v>
      </c>
      <c r="D966" t="s">
        <v>2369</v>
      </c>
    </row>
    <row r="967" spans="1:4" x14ac:dyDescent="0.3">
      <c r="A967" t="s">
        <v>363</v>
      </c>
      <c r="B967" t="s">
        <v>1003</v>
      </c>
      <c r="C967" t="s">
        <v>1018</v>
      </c>
      <c r="D967" t="s">
        <v>2369</v>
      </c>
    </row>
    <row r="968" spans="1:4" x14ac:dyDescent="0.3">
      <c r="A968" t="s">
        <v>363</v>
      </c>
      <c r="B968" t="s">
        <v>1003</v>
      </c>
      <c r="C968" t="s">
        <v>1045</v>
      </c>
      <c r="D968" t="s">
        <v>2369</v>
      </c>
    </row>
    <row r="969" spans="1:4" x14ac:dyDescent="0.3">
      <c r="A969" t="s">
        <v>363</v>
      </c>
      <c r="B969" t="s">
        <v>1003</v>
      </c>
      <c r="C969" t="s">
        <v>1027</v>
      </c>
      <c r="D969" t="s">
        <v>2369</v>
      </c>
    </row>
    <row r="970" spans="1:4" x14ac:dyDescent="0.3">
      <c r="A970" t="s">
        <v>363</v>
      </c>
      <c r="B970" t="s">
        <v>1003</v>
      </c>
      <c r="C970" t="s">
        <v>542</v>
      </c>
      <c r="D970" t="s">
        <v>2369</v>
      </c>
    </row>
    <row r="971" spans="1:4" x14ac:dyDescent="0.3">
      <c r="A971" t="s">
        <v>363</v>
      </c>
      <c r="B971" t="s">
        <v>1003</v>
      </c>
      <c r="C971" t="s">
        <v>1043</v>
      </c>
      <c r="D971" t="s">
        <v>2369</v>
      </c>
    </row>
    <row r="972" spans="1:4" x14ac:dyDescent="0.3">
      <c r="A972" t="s">
        <v>363</v>
      </c>
      <c r="B972" t="s">
        <v>1003</v>
      </c>
      <c r="C972" t="s">
        <v>1034</v>
      </c>
      <c r="D972" t="s">
        <v>2369</v>
      </c>
    </row>
    <row r="973" spans="1:4" x14ac:dyDescent="0.3">
      <c r="A973" t="s">
        <v>28</v>
      </c>
      <c r="B973" t="s">
        <v>197</v>
      </c>
      <c r="C973" t="s">
        <v>199</v>
      </c>
      <c r="D973" t="s">
        <v>2369</v>
      </c>
    </row>
    <row r="974" spans="1:4" x14ac:dyDescent="0.3">
      <c r="A974" t="s">
        <v>28</v>
      </c>
      <c r="B974" t="s">
        <v>197</v>
      </c>
      <c r="C974" t="s">
        <v>201</v>
      </c>
      <c r="D974" t="s">
        <v>2369</v>
      </c>
    </row>
    <row r="975" spans="1:4" x14ac:dyDescent="0.3">
      <c r="A975" t="s">
        <v>28</v>
      </c>
      <c r="B975" t="s">
        <v>197</v>
      </c>
      <c r="C975" t="s">
        <v>203</v>
      </c>
      <c r="D975" t="s">
        <v>2369</v>
      </c>
    </row>
    <row r="976" spans="1:4" x14ac:dyDescent="0.3">
      <c r="A976" t="s">
        <v>28</v>
      </c>
      <c r="B976" t="s">
        <v>197</v>
      </c>
      <c r="C976" t="s">
        <v>205</v>
      </c>
      <c r="D976" t="s">
        <v>2369</v>
      </c>
    </row>
    <row r="977" spans="1:4" x14ac:dyDescent="0.3">
      <c r="A977" t="s">
        <v>28</v>
      </c>
      <c r="B977" t="s">
        <v>197</v>
      </c>
      <c r="C977" t="s">
        <v>207</v>
      </c>
      <c r="D977" t="s">
        <v>2369</v>
      </c>
    </row>
    <row r="978" spans="1:4" x14ac:dyDescent="0.3">
      <c r="A978" t="s">
        <v>28</v>
      </c>
      <c r="B978" t="s">
        <v>197</v>
      </c>
      <c r="C978" t="s">
        <v>209</v>
      </c>
      <c r="D978" t="s">
        <v>2369</v>
      </c>
    </row>
    <row r="979" spans="1:4" x14ac:dyDescent="0.3">
      <c r="A979" t="s">
        <v>2127</v>
      </c>
      <c r="B979" t="s">
        <v>2172</v>
      </c>
      <c r="C979" t="s">
        <v>2174</v>
      </c>
      <c r="D979" t="s">
        <v>2369</v>
      </c>
    </row>
    <row r="980" spans="1:4" x14ac:dyDescent="0.3">
      <c r="A980" t="s">
        <v>2127</v>
      </c>
      <c r="B980" t="s">
        <v>2172</v>
      </c>
      <c r="C980" t="s">
        <v>2179</v>
      </c>
      <c r="D980" t="s">
        <v>2369</v>
      </c>
    </row>
    <row r="981" spans="1:4" x14ac:dyDescent="0.3">
      <c r="A981" t="s">
        <v>2127</v>
      </c>
      <c r="B981" t="s">
        <v>2172</v>
      </c>
      <c r="C981" t="s">
        <v>2472</v>
      </c>
      <c r="D981" t="s">
        <v>2369</v>
      </c>
    </row>
    <row r="982" spans="1:4" x14ac:dyDescent="0.3">
      <c r="A982" t="s">
        <v>2127</v>
      </c>
      <c r="B982" t="s">
        <v>2172</v>
      </c>
      <c r="C982" t="s">
        <v>2176</v>
      </c>
      <c r="D982" t="s">
        <v>2369</v>
      </c>
    </row>
    <row r="983" spans="1:4" x14ac:dyDescent="0.3">
      <c r="A983" t="s">
        <v>2127</v>
      </c>
      <c r="B983" t="s">
        <v>2172</v>
      </c>
      <c r="C983" t="s">
        <v>2178</v>
      </c>
      <c r="D983" t="s">
        <v>2369</v>
      </c>
    </row>
    <row r="984" spans="1:4" x14ac:dyDescent="0.3">
      <c r="A984" t="s">
        <v>2127</v>
      </c>
      <c r="B984" t="s">
        <v>2172</v>
      </c>
      <c r="C984" t="s">
        <v>2180</v>
      </c>
      <c r="D984" t="s">
        <v>2369</v>
      </c>
    </row>
    <row r="985" spans="1:4" x14ac:dyDescent="0.3">
      <c r="A985" t="s">
        <v>2127</v>
      </c>
      <c r="B985" t="s">
        <v>2172</v>
      </c>
      <c r="C985" t="s">
        <v>2131</v>
      </c>
      <c r="D985" t="s">
        <v>2369</v>
      </c>
    </row>
    <row r="986" spans="1:4" x14ac:dyDescent="0.3">
      <c r="A986" t="s">
        <v>1584</v>
      </c>
      <c r="B986" t="s">
        <v>2364</v>
      </c>
      <c r="C986" t="s">
        <v>1739</v>
      </c>
      <c r="D986" t="s">
        <v>2369</v>
      </c>
    </row>
    <row r="987" spans="1:4" x14ac:dyDescent="0.3">
      <c r="A987" t="s">
        <v>1584</v>
      </c>
      <c r="B987" t="s">
        <v>2364</v>
      </c>
      <c r="C987" t="s">
        <v>2338</v>
      </c>
      <c r="D987" t="s">
        <v>2369</v>
      </c>
    </row>
    <row r="988" spans="1:4" x14ac:dyDescent="0.3">
      <c r="A988" t="s">
        <v>1584</v>
      </c>
      <c r="B988" t="s">
        <v>2364</v>
      </c>
      <c r="C988" t="s">
        <v>1742</v>
      </c>
      <c r="D988" t="s">
        <v>2369</v>
      </c>
    </row>
    <row r="989" spans="1:4" x14ac:dyDescent="0.3">
      <c r="A989" t="s">
        <v>1584</v>
      </c>
      <c r="B989" t="s">
        <v>2364</v>
      </c>
      <c r="C989" t="s">
        <v>1744</v>
      </c>
      <c r="D989" t="s">
        <v>2369</v>
      </c>
    </row>
    <row r="990" spans="1:4" x14ac:dyDescent="0.3">
      <c r="A990" t="s">
        <v>1584</v>
      </c>
      <c r="B990" t="s">
        <v>2364</v>
      </c>
      <c r="C990" t="s">
        <v>1746</v>
      </c>
      <c r="D990" t="s">
        <v>2369</v>
      </c>
    </row>
    <row r="991" spans="1:4" x14ac:dyDescent="0.3">
      <c r="A991" t="s">
        <v>1584</v>
      </c>
      <c r="B991" t="s">
        <v>2364</v>
      </c>
      <c r="C991" t="s">
        <v>1748</v>
      </c>
      <c r="D991" t="s">
        <v>2369</v>
      </c>
    </row>
    <row r="992" spans="1:4" x14ac:dyDescent="0.3">
      <c r="A992" t="s">
        <v>1584</v>
      </c>
      <c r="B992" t="s">
        <v>2364</v>
      </c>
      <c r="C992" t="s">
        <v>1750</v>
      </c>
      <c r="D992" t="s">
        <v>2369</v>
      </c>
    </row>
    <row r="993" spans="1:4" x14ac:dyDescent="0.3">
      <c r="A993" t="s">
        <v>1584</v>
      </c>
      <c r="B993" t="s">
        <v>2364</v>
      </c>
      <c r="C993" t="s">
        <v>1752</v>
      </c>
      <c r="D993" t="s">
        <v>2369</v>
      </c>
    </row>
    <row r="994" spans="1:4" x14ac:dyDescent="0.3">
      <c r="A994" t="s">
        <v>2127</v>
      </c>
      <c r="B994" t="s">
        <v>2236</v>
      </c>
      <c r="C994" t="s">
        <v>2473</v>
      </c>
      <c r="D994" t="s">
        <v>2369</v>
      </c>
    </row>
    <row r="995" spans="1:4" x14ac:dyDescent="0.3">
      <c r="A995" t="s">
        <v>2127</v>
      </c>
      <c r="B995" t="s">
        <v>2236</v>
      </c>
      <c r="C995" t="s">
        <v>2242</v>
      </c>
      <c r="D995" t="s">
        <v>2369</v>
      </c>
    </row>
    <row r="996" spans="1:4" x14ac:dyDescent="0.3">
      <c r="A996" t="s">
        <v>2127</v>
      </c>
      <c r="B996" t="s">
        <v>2236</v>
      </c>
      <c r="C996" t="s">
        <v>2240</v>
      </c>
      <c r="D996" t="s">
        <v>2369</v>
      </c>
    </row>
    <row r="997" spans="1:4" x14ac:dyDescent="0.3">
      <c r="A997" t="s">
        <v>2127</v>
      </c>
      <c r="B997" t="s">
        <v>2236</v>
      </c>
      <c r="C997" t="s">
        <v>2241</v>
      </c>
      <c r="D997" t="s">
        <v>2369</v>
      </c>
    </row>
    <row r="998" spans="1:4" x14ac:dyDescent="0.3">
      <c r="A998" t="s">
        <v>2127</v>
      </c>
      <c r="B998" t="s">
        <v>2236</v>
      </c>
      <c r="C998" t="s">
        <v>2238</v>
      </c>
      <c r="D998" t="s">
        <v>2369</v>
      </c>
    </row>
    <row r="999" spans="1:4" x14ac:dyDescent="0.3">
      <c r="A999" t="s">
        <v>35</v>
      </c>
      <c r="B999" t="s">
        <v>1962</v>
      </c>
      <c r="C999" t="s">
        <v>1965</v>
      </c>
      <c r="D999" t="s">
        <v>2369</v>
      </c>
    </row>
    <row r="1000" spans="1:4" x14ac:dyDescent="0.3">
      <c r="A1000" t="s">
        <v>35</v>
      </c>
      <c r="B1000" t="s">
        <v>1962</v>
      </c>
      <c r="C1000" t="s">
        <v>1967</v>
      </c>
      <c r="D1000" t="s">
        <v>2369</v>
      </c>
    </row>
    <row r="1001" spans="1:4" x14ac:dyDescent="0.3">
      <c r="A1001" t="s">
        <v>35</v>
      </c>
      <c r="B1001" t="s">
        <v>1962</v>
      </c>
      <c r="C1001" t="s">
        <v>1969</v>
      </c>
      <c r="D1001" t="s">
        <v>2369</v>
      </c>
    </row>
    <row r="1002" spans="1:4" x14ac:dyDescent="0.3">
      <c r="A1002" t="s">
        <v>35</v>
      </c>
      <c r="B1002" t="s">
        <v>1962</v>
      </c>
      <c r="C1002" t="s">
        <v>1971</v>
      </c>
      <c r="D1002" t="s">
        <v>2369</v>
      </c>
    </row>
    <row r="1003" spans="1:4" x14ac:dyDescent="0.3">
      <c r="A1003" t="s">
        <v>35</v>
      </c>
      <c r="B1003" t="s">
        <v>1962</v>
      </c>
      <c r="C1003" t="s">
        <v>1973</v>
      </c>
      <c r="D1003" t="s">
        <v>2369</v>
      </c>
    </row>
    <row r="1004" spans="1:4" x14ac:dyDescent="0.3">
      <c r="A1004" t="s">
        <v>35</v>
      </c>
      <c r="B1004" t="s">
        <v>1962</v>
      </c>
      <c r="C1004" t="s">
        <v>1975</v>
      </c>
      <c r="D1004" t="s">
        <v>2369</v>
      </c>
    </row>
    <row r="1005" spans="1:4" x14ac:dyDescent="0.3">
      <c r="A1005" t="s">
        <v>35</v>
      </c>
      <c r="B1005" t="s">
        <v>1962</v>
      </c>
      <c r="C1005" t="s">
        <v>1977</v>
      </c>
      <c r="D1005" t="s">
        <v>2369</v>
      </c>
    </row>
    <row r="1006" spans="1:4" x14ac:dyDescent="0.3">
      <c r="A1006" t="s">
        <v>35</v>
      </c>
      <c r="B1006" t="s">
        <v>1962</v>
      </c>
      <c r="C1006" t="s">
        <v>1979</v>
      </c>
      <c r="D1006" t="s">
        <v>2369</v>
      </c>
    </row>
    <row r="1007" spans="1:4" x14ac:dyDescent="0.3">
      <c r="A1007" t="s">
        <v>35</v>
      </c>
      <c r="B1007" t="s">
        <v>1962</v>
      </c>
      <c r="C1007" t="s">
        <v>1981</v>
      </c>
      <c r="D1007" t="s">
        <v>2369</v>
      </c>
    </row>
    <row r="1008" spans="1:4" x14ac:dyDescent="0.3">
      <c r="A1008" t="s">
        <v>35</v>
      </c>
      <c r="B1008" t="s">
        <v>1962</v>
      </c>
      <c r="C1008" t="s">
        <v>1983</v>
      </c>
      <c r="D1008" t="s">
        <v>2369</v>
      </c>
    </row>
    <row r="1009" spans="1:4" x14ac:dyDescent="0.3">
      <c r="A1009" t="s">
        <v>35</v>
      </c>
      <c r="B1009" t="s">
        <v>1962</v>
      </c>
      <c r="C1009" t="s">
        <v>1985</v>
      </c>
      <c r="D1009" t="s">
        <v>2369</v>
      </c>
    </row>
    <row r="1010" spans="1:4" x14ac:dyDescent="0.3">
      <c r="A1010" t="s">
        <v>35</v>
      </c>
      <c r="B1010" t="s">
        <v>1962</v>
      </c>
      <c r="C1010" t="s">
        <v>1987</v>
      </c>
      <c r="D1010" t="s">
        <v>2369</v>
      </c>
    </row>
    <row r="1011" spans="1:4" x14ac:dyDescent="0.3">
      <c r="A1011" t="s">
        <v>35</v>
      </c>
      <c r="B1011" t="s">
        <v>1962</v>
      </c>
      <c r="C1011" t="s">
        <v>1989</v>
      </c>
      <c r="D1011" t="s">
        <v>2369</v>
      </c>
    </row>
    <row r="1012" spans="1:4" x14ac:dyDescent="0.3">
      <c r="A1012" t="s">
        <v>1584</v>
      </c>
      <c r="B1012" t="s">
        <v>2366</v>
      </c>
      <c r="D1012" t="s">
        <v>2369</v>
      </c>
    </row>
    <row r="1013" spans="1:4" x14ac:dyDescent="0.3">
      <c r="A1013" t="s">
        <v>1584</v>
      </c>
      <c r="B1013" t="s">
        <v>1782</v>
      </c>
      <c r="D1013" t="s">
        <v>2369</v>
      </c>
    </row>
    <row r="1014" spans="1:4" x14ac:dyDescent="0.3">
      <c r="A1014" t="s">
        <v>363</v>
      </c>
      <c r="B1014" t="s">
        <v>1393</v>
      </c>
      <c r="C1014" t="s">
        <v>1404</v>
      </c>
      <c r="D1014" t="s">
        <v>2369</v>
      </c>
    </row>
    <row r="1015" spans="1:4" x14ac:dyDescent="0.3">
      <c r="A1015" t="s">
        <v>363</v>
      </c>
      <c r="B1015" t="s">
        <v>1393</v>
      </c>
      <c r="C1015" t="s">
        <v>1414</v>
      </c>
      <c r="D1015" t="s">
        <v>2369</v>
      </c>
    </row>
    <row r="1016" spans="1:4" x14ac:dyDescent="0.3">
      <c r="A1016" t="s">
        <v>363</v>
      </c>
      <c r="B1016" t="s">
        <v>1393</v>
      </c>
      <c r="C1016" t="s">
        <v>2474</v>
      </c>
      <c r="D1016" t="s">
        <v>2369</v>
      </c>
    </row>
    <row r="1017" spans="1:4" x14ac:dyDescent="0.3">
      <c r="A1017" t="s">
        <v>363</v>
      </c>
      <c r="B1017" t="s">
        <v>1393</v>
      </c>
      <c r="C1017" t="s">
        <v>1169</v>
      </c>
      <c r="D1017" t="s">
        <v>2369</v>
      </c>
    </row>
    <row r="1018" spans="1:4" x14ac:dyDescent="0.3">
      <c r="A1018" t="s">
        <v>363</v>
      </c>
      <c r="B1018" t="s">
        <v>1393</v>
      </c>
      <c r="C1018" t="s">
        <v>1402</v>
      </c>
      <c r="D1018" t="s">
        <v>2369</v>
      </c>
    </row>
    <row r="1019" spans="1:4" x14ac:dyDescent="0.3">
      <c r="A1019" t="s">
        <v>363</v>
      </c>
      <c r="B1019" t="s">
        <v>1393</v>
      </c>
      <c r="C1019" t="s">
        <v>1419</v>
      </c>
      <c r="D1019" t="s">
        <v>2369</v>
      </c>
    </row>
    <row r="1020" spans="1:4" x14ac:dyDescent="0.3">
      <c r="A1020" t="s">
        <v>363</v>
      </c>
      <c r="B1020" t="s">
        <v>1393</v>
      </c>
      <c r="C1020" t="s">
        <v>1395</v>
      </c>
      <c r="D1020" t="s">
        <v>2369</v>
      </c>
    </row>
    <row r="1021" spans="1:4" x14ac:dyDescent="0.3">
      <c r="A1021" t="s">
        <v>363</v>
      </c>
      <c r="B1021" t="s">
        <v>1393</v>
      </c>
      <c r="C1021" t="s">
        <v>1412</v>
      </c>
      <c r="D1021" t="s">
        <v>2369</v>
      </c>
    </row>
    <row r="1022" spans="1:4" x14ac:dyDescent="0.3">
      <c r="A1022" t="s">
        <v>363</v>
      </c>
      <c r="B1022" t="s">
        <v>1393</v>
      </c>
      <c r="C1022" t="s">
        <v>1400</v>
      </c>
      <c r="D1022" t="s">
        <v>2369</v>
      </c>
    </row>
    <row r="1023" spans="1:4" x14ac:dyDescent="0.3">
      <c r="A1023" t="s">
        <v>363</v>
      </c>
      <c r="B1023" t="s">
        <v>1393</v>
      </c>
      <c r="C1023" t="s">
        <v>1408</v>
      </c>
      <c r="D1023" t="s">
        <v>2369</v>
      </c>
    </row>
    <row r="1024" spans="1:4" x14ac:dyDescent="0.3">
      <c r="A1024" t="s">
        <v>363</v>
      </c>
      <c r="B1024" t="s">
        <v>1393</v>
      </c>
      <c r="C1024" t="s">
        <v>1398</v>
      </c>
      <c r="D1024" t="s">
        <v>2369</v>
      </c>
    </row>
    <row r="1025" spans="1:4" x14ac:dyDescent="0.3">
      <c r="A1025" t="s">
        <v>363</v>
      </c>
      <c r="B1025" t="s">
        <v>1393</v>
      </c>
      <c r="C1025" t="s">
        <v>1410</v>
      </c>
      <c r="D1025" t="s">
        <v>2369</v>
      </c>
    </row>
    <row r="1026" spans="1:4" x14ac:dyDescent="0.3">
      <c r="A1026" t="s">
        <v>363</v>
      </c>
      <c r="B1026" t="s">
        <v>1393</v>
      </c>
      <c r="C1026" t="s">
        <v>1406</v>
      </c>
      <c r="D1026" t="s">
        <v>2369</v>
      </c>
    </row>
    <row r="1027" spans="1:4" x14ac:dyDescent="0.3">
      <c r="A1027" t="s">
        <v>363</v>
      </c>
      <c r="B1027" t="s">
        <v>1393</v>
      </c>
      <c r="C1027" t="s">
        <v>1396</v>
      </c>
      <c r="D1027" t="s">
        <v>2369</v>
      </c>
    </row>
    <row r="1028" spans="1:4" x14ac:dyDescent="0.3">
      <c r="A1028" t="s">
        <v>2127</v>
      </c>
      <c r="B1028" t="s">
        <v>2297</v>
      </c>
      <c r="C1028" t="s">
        <v>2303</v>
      </c>
      <c r="D1028" t="s">
        <v>2369</v>
      </c>
    </row>
    <row r="1029" spans="1:4" x14ac:dyDescent="0.3">
      <c r="A1029" t="s">
        <v>2127</v>
      </c>
      <c r="B1029" t="s">
        <v>2297</v>
      </c>
      <c r="C1029" t="s">
        <v>2475</v>
      </c>
      <c r="D1029" t="s">
        <v>2369</v>
      </c>
    </row>
    <row r="1030" spans="1:4" x14ac:dyDescent="0.3">
      <c r="A1030" t="s">
        <v>2127</v>
      </c>
      <c r="B1030" t="s">
        <v>2297</v>
      </c>
      <c r="C1030" t="s">
        <v>2307</v>
      </c>
      <c r="D1030" t="s">
        <v>2369</v>
      </c>
    </row>
    <row r="1031" spans="1:4" x14ac:dyDescent="0.3">
      <c r="A1031" t="s">
        <v>2127</v>
      </c>
      <c r="B1031" t="s">
        <v>2297</v>
      </c>
      <c r="C1031" t="s">
        <v>2300</v>
      </c>
      <c r="D1031" t="s">
        <v>2369</v>
      </c>
    </row>
    <row r="1032" spans="1:4" x14ac:dyDescent="0.3">
      <c r="A1032" t="s">
        <v>2127</v>
      </c>
      <c r="B1032" t="s">
        <v>2297</v>
      </c>
      <c r="C1032" t="s">
        <v>2306</v>
      </c>
      <c r="D1032" t="s">
        <v>2369</v>
      </c>
    </row>
    <row r="1033" spans="1:4" x14ac:dyDescent="0.3">
      <c r="A1033" t="s">
        <v>2127</v>
      </c>
      <c r="B1033" t="s">
        <v>2297</v>
      </c>
      <c r="C1033" t="s">
        <v>2476</v>
      </c>
      <c r="D1033" t="s">
        <v>2369</v>
      </c>
    </row>
    <row r="1034" spans="1:4" x14ac:dyDescent="0.3">
      <c r="A1034" t="s">
        <v>2127</v>
      </c>
      <c r="B1034" t="s">
        <v>2297</v>
      </c>
      <c r="C1034" t="s">
        <v>2305</v>
      </c>
      <c r="D1034" t="s">
        <v>2369</v>
      </c>
    </row>
    <row r="1035" spans="1:4" x14ac:dyDescent="0.3">
      <c r="A1035" t="s">
        <v>2127</v>
      </c>
      <c r="B1035" t="s">
        <v>2297</v>
      </c>
      <c r="C1035" t="s">
        <v>2309</v>
      </c>
      <c r="D1035" t="s">
        <v>2369</v>
      </c>
    </row>
    <row r="1036" spans="1:4" x14ac:dyDescent="0.3">
      <c r="A1036" t="s">
        <v>2127</v>
      </c>
      <c r="B1036" t="s">
        <v>2297</v>
      </c>
      <c r="C1036" t="s">
        <v>2310</v>
      </c>
      <c r="D1036" t="s">
        <v>2369</v>
      </c>
    </row>
    <row r="1037" spans="1:4" x14ac:dyDescent="0.3">
      <c r="A1037" t="s">
        <v>2127</v>
      </c>
      <c r="B1037" t="s">
        <v>2297</v>
      </c>
      <c r="C1037" t="s">
        <v>2308</v>
      </c>
      <c r="D1037" t="s">
        <v>2369</v>
      </c>
    </row>
    <row r="1038" spans="1:4" x14ac:dyDescent="0.3">
      <c r="A1038" t="s">
        <v>2127</v>
      </c>
      <c r="B1038" t="s">
        <v>2297</v>
      </c>
      <c r="C1038" t="s">
        <v>2302</v>
      </c>
      <c r="D1038" t="s">
        <v>2369</v>
      </c>
    </row>
    <row r="1039" spans="1:4" x14ac:dyDescent="0.3">
      <c r="A1039" t="s">
        <v>2127</v>
      </c>
      <c r="B1039" t="s">
        <v>2297</v>
      </c>
      <c r="C1039" t="s">
        <v>2477</v>
      </c>
      <c r="D1039" t="s">
        <v>2369</v>
      </c>
    </row>
    <row r="1040" spans="1:4" x14ac:dyDescent="0.3">
      <c r="A1040" t="s">
        <v>2127</v>
      </c>
      <c r="B1040" t="s">
        <v>2297</v>
      </c>
      <c r="C1040" t="s">
        <v>2299</v>
      </c>
      <c r="D1040" t="s">
        <v>2369</v>
      </c>
    </row>
    <row r="1041" spans="1:4" x14ac:dyDescent="0.3">
      <c r="A1041" t="s">
        <v>2127</v>
      </c>
      <c r="B1041" t="s">
        <v>2297</v>
      </c>
      <c r="C1041" t="s">
        <v>2304</v>
      </c>
      <c r="D1041" t="s">
        <v>2369</v>
      </c>
    </row>
    <row r="1042" spans="1:4" x14ac:dyDescent="0.3">
      <c r="A1042" t="s">
        <v>2127</v>
      </c>
      <c r="B1042" t="s">
        <v>2297</v>
      </c>
      <c r="C1042" t="s">
        <v>2301</v>
      </c>
      <c r="D1042" t="s">
        <v>2369</v>
      </c>
    </row>
    <row r="1043" spans="1:4" x14ac:dyDescent="0.3">
      <c r="A1043" t="s">
        <v>1584</v>
      </c>
      <c r="B1043" t="s">
        <v>1754</v>
      </c>
      <c r="C1043" t="s">
        <v>2478</v>
      </c>
      <c r="D1043" t="s">
        <v>2369</v>
      </c>
    </row>
    <row r="1044" spans="1:4" x14ac:dyDescent="0.3">
      <c r="A1044" t="s">
        <v>1584</v>
      </c>
      <c r="B1044" t="s">
        <v>1754</v>
      </c>
      <c r="C1044" t="s">
        <v>1760</v>
      </c>
      <c r="D1044" t="s">
        <v>2369</v>
      </c>
    </row>
    <row r="1045" spans="1:4" x14ac:dyDescent="0.3">
      <c r="A1045" t="s">
        <v>1584</v>
      </c>
      <c r="B1045" t="s">
        <v>1754</v>
      </c>
      <c r="C1045" t="s">
        <v>2479</v>
      </c>
      <c r="D1045" t="s">
        <v>2369</v>
      </c>
    </row>
    <row r="1046" spans="1:4" x14ac:dyDescent="0.3">
      <c r="A1046" t="s">
        <v>1584</v>
      </c>
      <c r="B1046" t="s">
        <v>1754</v>
      </c>
      <c r="C1046" t="s">
        <v>1758</v>
      </c>
      <c r="D1046" t="s">
        <v>2369</v>
      </c>
    </row>
    <row r="1047" spans="1:4" x14ac:dyDescent="0.3">
      <c r="A1047" t="s">
        <v>1584</v>
      </c>
      <c r="B1047" t="s">
        <v>1754</v>
      </c>
      <c r="C1047" t="s">
        <v>2480</v>
      </c>
      <c r="D1047" t="s">
        <v>2369</v>
      </c>
    </row>
    <row r="1048" spans="1:4" x14ac:dyDescent="0.3">
      <c r="A1048" t="s">
        <v>1584</v>
      </c>
      <c r="B1048" t="s">
        <v>1754</v>
      </c>
      <c r="C1048" t="s">
        <v>2481</v>
      </c>
      <c r="D1048" t="s">
        <v>2369</v>
      </c>
    </row>
    <row r="1049" spans="1:4" x14ac:dyDescent="0.3">
      <c r="A1049" t="s">
        <v>1584</v>
      </c>
      <c r="B1049" t="s">
        <v>1754</v>
      </c>
      <c r="C1049" t="s">
        <v>2482</v>
      </c>
      <c r="D1049" t="s">
        <v>2369</v>
      </c>
    </row>
    <row r="1050" spans="1:4" x14ac:dyDescent="0.3">
      <c r="A1050" t="s">
        <v>1584</v>
      </c>
      <c r="B1050" t="s">
        <v>1754</v>
      </c>
      <c r="C1050" t="s">
        <v>2483</v>
      </c>
      <c r="D1050" t="s">
        <v>2369</v>
      </c>
    </row>
    <row r="1051" spans="1:4" x14ac:dyDescent="0.3">
      <c r="A1051" t="s">
        <v>2127</v>
      </c>
      <c r="B1051" t="s">
        <v>2253</v>
      </c>
      <c r="C1051" t="s">
        <v>2256</v>
      </c>
      <c r="D1051" t="s">
        <v>2369</v>
      </c>
    </row>
    <row r="1052" spans="1:4" x14ac:dyDescent="0.3">
      <c r="A1052" t="s">
        <v>2127</v>
      </c>
      <c r="B1052" t="s">
        <v>2253</v>
      </c>
      <c r="C1052" t="s">
        <v>2262</v>
      </c>
      <c r="D1052" t="s">
        <v>2369</v>
      </c>
    </row>
    <row r="1053" spans="1:4" x14ac:dyDescent="0.3">
      <c r="A1053" t="s">
        <v>2127</v>
      </c>
      <c r="B1053" t="s">
        <v>2253</v>
      </c>
      <c r="C1053" t="s">
        <v>2258</v>
      </c>
      <c r="D1053" t="s">
        <v>2369</v>
      </c>
    </row>
    <row r="1054" spans="1:4" x14ac:dyDescent="0.3">
      <c r="A1054" t="s">
        <v>2127</v>
      </c>
      <c r="B1054" t="s">
        <v>2253</v>
      </c>
      <c r="C1054" t="s">
        <v>2261</v>
      </c>
      <c r="D1054" t="s">
        <v>2369</v>
      </c>
    </row>
    <row r="1055" spans="1:4" x14ac:dyDescent="0.3">
      <c r="A1055" t="s">
        <v>2127</v>
      </c>
      <c r="B1055" t="s">
        <v>2253</v>
      </c>
      <c r="C1055" t="s">
        <v>2259</v>
      </c>
      <c r="D1055" t="s">
        <v>2369</v>
      </c>
    </row>
    <row r="1056" spans="1:4" x14ac:dyDescent="0.3">
      <c r="A1056" t="s">
        <v>2127</v>
      </c>
      <c r="B1056" t="s">
        <v>2253</v>
      </c>
      <c r="C1056" t="s">
        <v>2257</v>
      </c>
      <c r="D1056" t="s">
        <v>2369</v>
      </c>
    </row>
    <row r="1057" spans="1:4" x14ac:dyDescent="0.3">
      <c r="A1057" t="s">
        <v>2127</v>
      </c>
      <c r="B1057" t="s">
        <v>2253</v>
      </c>
      <c r="C1057" t="s">
        <v>2263</v>
      </c>
      <c r="D1057" t="s">
        <v>2369</v>
      </c>
    </row>
    <row r="1058" spans="1:4" x14ac:dyDescent="0.3">
      <c r="A1058" t="s">
        <v>2127</v>
      </c>
      <c r="B1058" t="s">
        <v>2253</v>
      </c>
      <c r="C1058" t="s">
        <v>2239</v>
      </c>
      <c r="D1058" t="s">
        <v>2369</v>
      </c>
    </row>
    <row r="1059" spans="1:4" x14ac:dyDescent="0.3">
      <c r="A1059" t="s">
        <v>2127</v>
      </c>
      <c r="B1059" t="s">
        <v>2253</v>
      </c>
      <c r="C1059" t="s">
        <v>2255</v>
      </c>
      <c r="D1059" t="s">
        <v>2369</v>
      </c>
    </row>
    <row r="1060" spans="1:4" x14ac:dyDescent="0.3">
      <c r="A1060" t="s">
        <v>2127</v>
      </c>
      <c r="B1060" t="s">
        <v>2253</v>
      </c>
      <c r="C1060" t="s">
        <v>2279</v>
      </c>
      <c r="D1060" t="s">
        <v>2369</v>
      </c>
    </row>
    <row r="1061" spans="1:4" x14ac:dyDescent="0.3">
      <c r="A1061" t="s">
        <v>2127</v>
      </c>
      <c r="B1061" t="s">
        <v>2220</v>
      </c>
      <c r="C1061" t="s">
        <v>2224</v>
      </c>
      <c r="D1061" t="s">
        <v>2369</v>
      </c>
    </row>
    <row r="1062" spans="1:4" x14ac:dyDescent="0.3">
      <c r="A1062" t="s">
        <v>2127</v>
      </c>
      <c r="B1062" t="s">
        <v>2220</v>
      </c>
      <c r="C1062" t="s">
        <v>2225</v>
      </c>
      <c r="D1062" t="s">
        <v>2369</v>
      </c>
    </row>
    <row r="1063" spans="1:4" x14ac:dyDescent="0.3">
      <c r="A1063" t="s">
        <v>2127</v>
      </c>
      <c r="B1063" t="s">
        <v>2220</v>
      </c>
      <c r="C1063" t="s">
        <v>2226</v>
      </c>
      <c r="D1063" t="s">
        <v>2369</v>
      </c>
    </row>
    <row r="1064" spans="1:4" x14ac:dyDescent="0.3">
      <c r="A1064" t="s">
        <v>2127</v>
      </c>
      <c r="B1064" t="s">
        <v>2220</v>
      </c>
      <c r="C1064" t="s">
        <v>2223</v>
      </c>
      <c r="D1064" t="s">
        <v>2369</v>
      </c>
    </row>
    <row r="1065" spans="1:4" x14ac:dyDescent="0.3">
      <c r="A1065" t="s">
        <v>2127</v>
      </c>
      <c r="B1065" t="s">
        <v>2220</v>
      </c>
      <c r="C1065" t="s">
        <v>2222</v>
      </c>
      <c r="D1065" t="s">
        <v>2369</v>
      </c>
    </row>
    <row r="1066" spans="1:4" x14ac:dyDescent="0.3">
      <c r="A1066" t="s">
        <v>1584</v>
      </c>
      <c r="B1066" t="s">
        <v>1761</v>
      </c>
      <c r="C1066" t="s">
        <v>2484</v>
      </c>
      <c r="D1066" t="s">
        <v>2369</v>
      </c>
    </row>
    <row r="1067" spans="1:4" x14ac:dyDescent="0.3">
      <c r="A1067" t="s">
        <v>1584</v>
      </c>
      <c r="B1067" t="s">
        <v>1761</v>
      </c>
      <c r="C1067" t="s">
        <v>2485</v>
      </c>
      <c r="D1067" t="s">
        <v>2369</v>
      </c>
    </row>
    <row r="1068" spans="1:4" x14ac:dyDescent="0.3">
      <c r="A1068" t="s">
        <v>1584</v>
      </c>
      <c r="B1068" t="s">
        <v>1761</v>
      </c>
      <c r="C1068" t="s">
        <v>1768</v>
      </c>
      <c r="D1068" t="s">
        <v>2369</v>
      </c>
    </row>
    <row r="1069" spans="1:4" x14ac:dyDescent="0.3">
      <c r="A1069" t="s">
        <v>1584</v>
      </c>
      <c r="B1069" t="s">
        <v>1761</v>
      </c>
      <c r="C1069" t="s">
        <v>1778</v>
      </c>
      <c r="D1069" t="s">
        <v>2369</v>
      </c>
    </row>
    <row r="1070" spans="1:4" x14ac:dyDescent="0.3">
      <c r="A1070" t="s">
        <v>1584</v>
      </c>
      <c r="B1070" t="s">
        <v>1761</v>
      </c>
      <c r="C1070" t="s">
        <v>1771</v>
      </c>
      <c r="D1070" t="s">
        <v>2369</v>
      </c>
    </row>
    <row r="1071" spans="1:4" x14ac:dyDescent="0.3">
      <c r="A1071" t="s">
        <v>1584</v>
      </c>
      <c r="B1071" t="s">
        <v>1761</v>
      </c>
      <c r="C1071" t="s">
        <v>2486</v>
      </c>
      <c r="D1071" t="s">
        <v>2369</v>
      </c>
    </row>
    <row r="1072" spans="1:4" x14ac:dyDescent="0.3">
      <c r="A1072" t="s">
        <v>1584</v>
      </c>
      <c r="B1072" t="s">
        <v>1761</v>
      </c>
      <c r="C1072" t="s">
        <v>1780</v>
      </c>
      <c r="D1072" t="s">
        <v>2369</v>
      </c>
    </row>
    <row r="1073" spans="1:4" x14ac:dyDescent="0.3">
      <c r="A1073" t="s">
        <v>1584</v>
      </c>
      <c r="B1073" t="s">
        <v>1761</v>
      </c>
      <c r="C1073" t="s">
        <v>1770</v>
      </c>
      <c r="D1073" t="s">
        <v>2369</v>
      </c>
    </row>
    <row r="1074" spans="1:4" x14ac:dyDescent="0.3">
      <c r="A1074" t="s">
        <v>1584</v>
      </c>
      <c r="B1074" t="s">
        <v>1761</v>
      </c>
      <c r="C1074" t="s">
        <v>1767</v>
      </c>
      <c r="D1074" t="s">
        <v>2369</v>
      </c>
    </row>
    <row r="1075" spans="1:4" x14ac:dyDescent="0.3">
      <c r="A1075" t="s">
        <v>1584</v>
      </c>
      <c r="B1075" t="s">
        <v>1761</v>
      </c>
      <c r="C1075" t="s">
        <v>2487</v>
      </c>
      <c r="D1075" t="s">
        <v>2369</v>
      </c>
    </row>
    <row r="1076" spans="1:4" x14ac:dyDescent="0.3">
      <c r="A1076" t="s">
        <v>1584</v>
      </c>
      <c r="B1076" t="s">
        <v>1761</v>
      </c>
      <c r="C1076" t="s">
        <v>2488</v>
      </c>
      <c r="D1076" t="s">
        <v>2369</v>
      </c>
    </row>
    <row r="1077" spans="1:4" x14ac:dyDescent="0.3">
      <c r="A1077" t="s">
        <v>1584</v>
      </c>
      <c r="B1077" t="s">
        <v>1761</v>
      </c>
      <c r="C1077" t="s">
        <v>2489</v>
      </c>
      <c r="D1077" t="s">
        <v>2369</v>
      </c>
    </row>
    <row r="1078" spans="1:4" x14ac:dyDescent="0.3">
      <c r="A1078" t="s">
        <v>1584</v>
      </c>
      <c r="B1078" t="s">
        <v>1761</v>
      </c>
      <c r="C1078" t="s">
        <v>1774</v>
      </c>
      <c r="D1078" t="s">
        <v>2369</v>
      </c>
    </row>
    <row r="1079" spans="1:4" x14ac:dyDescent="0.3">
      <c r="A1079" t="s">
        <v>1584</v>
      </c>
      <c r="B1079" t="s">
        <v>1761</v>
      </c>
      <c r="C1079" t="s">
        <v>1764</v>
      </c>
      <c r="D1079" t="s">
        <v>2369</v>
      </c>
    </row>
    <row r="1080" spans="1:4" x14ac:dyDescent="0.3">
      <c r="A1080" t="s">
        <v>1584</v>
      </c>
      <c r="B1080" t="s">
        <v>1761</v>
      </c>
      <c r="C1080" t="s">
        <v>2490</v>
      </c>
      <c r="D1080" t="s">
        <v>2369</v>
      </c>
    </row>
    <row r="1081" spans="1:4" x14ac:dyDescent="0.3">
      <c r="A1081" t="s">
        <v>1584</v>
      </c>
      <c r="B1081" t="s">
        <v>1761</v>
      </c>
      <c r="C1081" t="s">
        <v>2491</v>
      </c>
      <c r="D1081" t="s">
        <v>2369</v>
      </c>
    </row>
    <row r="1082" spans="1:4" x14ac:dyDescent="0.3">
      <c r="A1082" t="s">
        <v>1584</v>
      </c>
      <c r="B1082" t="s">
        <v>1761</v>
      </c>
      <c r="C1082" t="s">
        <v>2492</v>
      </c>
      <c r="D1082" t="s">
        <v>2369</v>
      </c>
    </row>
    <row r="1083" spans="1:4" x14ac:dyDescent="0.3">
      <c r="A1083" t="s">
        <v>1584</v>
      </c>
      <c r="B1083" t="s">
        <v>1761</v>
      </c>
      <c r="C1083" t="s">
        <v>2493</v>
      </c>
      <c r="D1083" t="s">
        <v>2369</v>
      </c>
    </row>
    <row r="1084" spans="1:4" x14ac:dyDescent="0.3">
      <c r="A1084" t="s">
        <v>1584</v>
      </c>
      <c r="B1084" t="s">
        <v>1761</v>
      </c>
      <c r="C1084" t="s">
        <v>2494</v>
      </c>
      <c r="D1084" t="s">
        <v>2369</v>
      </c>
    </row>
    <row r="1085" spans="1:4" x14ac:dyDescent="0.3">
      <c r="A1085" t="s">
        <v>2053</v>
      </c>
      <c r="B1085" t="s">
        <v>2110</v>
      </c>
      <c r="C1085" t="s">
        <v>2113</v>
      </c>
      <c r="D1085" t="s">
        <v>2369</v>
      </c>
    </row>
    <row r="1086" spans="1:4" x14ac:dyDescent="0.3">
      <c r="A1086" t="s">
        <v>2053</v>
      </c>
      <c r="B1086" t="s">
        <v>2110</v>
      </c>
      <c r="C1086" t="s">
        <v>2114</v>
      </c>
      <c r="D1086" t="s">
        <v>2369</v>
      </c>
    </row>
    <row r="1087" spans="1:4" x14ac:dyDescent="0.3">
      <c r="A1087" t="s">
        <v>2053</v>
      </c>
      <c r="B1087" t="s">
        <v>2110</v>
      </c>
      <c r="C1087" t="s">
        <v>2117</v>
      </c>
      <c r="D1087" t="s">
        <v>2369</v>
      </c>
    </row>
    <row r="1088" spans="1:4" x14ac:dyDescent="0.3">
      <c r="A1088" t="s">
        <v>2053</v>
      </c>
      <c r="B1088" t="s">
        <v>2110</v>
      </c>
      <c r="C1088" t="s">
        <v>2119</v>
      </c>
      <c r="D1088" t="s">
        <v>2369</v>
      </c>
    </row>
    <row r="1089" spans="1:4" x14ac:dyDescent="0.3">
      <c r="A1089" t="s">
        <v>2053</v>
      </c>
      <c r="B1089" t="s">
        <v>2110</v>
      </c>
      <c r="C1089" t="s">
        <v>2121</v>
      </c>
      <c r="D1089" t="s">
        <v>2369</v>
      </c>
    </row>
    <row r="1090" spans="1:4" x14ac:dyDescent="0.3">
      <c r="A1090" t="s">
        <v>2053</v>
      </c>
      <c r="B1090" t="s">
        <v>2110</v>
      </c>
      <c r="C1090" t="s">
        <v>2123</v>
      </c>
      <c r="D1090" t="s">
        <v>2369</v>
      </c>
    </row>
    <row r="1091" spans="1:4" x14ac:dyDescent="0.3">
      <c r="A1091" t="s">
        <v>2053</v>
      </c>
      <c r="B1091" t="s">
        <v>2110</v>
      </c>
      <c r="C1091" t="s">
        <v>2125</v>
      </c>
      <c r="D1091" t="s">
        <v>2369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695E-A85B-4698-B312-F627ECB5EC6B}">
  <sheetPr>
    <pageSetUpPr fitToPage="1"/>
  </sheetPr>
  <dimension ref="A1:XET1230"/>
  <sheetViews>
    <sheetView showGridLines="0" zoomScale="72" zoomScaleNormal="80" workbookViewId="0">
      <pane xSplit="2" ySplit="4" topLeftCell="C5" activePane="bottomRight" state="frozen"/>
      <selection pane="topRight" activeCell="C1" sqref="C1"/>
      <selection pane="bottomLeft" activeCell="A5" sqref="A5"/>
      <selection pane="bottomRight" activeCell="J4" sqref="J4"/>
    </sheetView>
  </sheetViews>
  <sheetFormatPr baseColWidth="10" defaultColWidth="9.109375" defaultRowHeight="15.9" customHeight="1" x14ac:dyDescent="0.3"/>
  <cols>
    <col min="1" max="1" width="11" style="6" customWidth="1"/>
    <col min="2" max="2" width="24.88671875" style="6" customWidth="1"/>
    <col min="3" max="3" width="21.33203125" style="6" customWidth="1"/>
    <col min="4" max="4" width="35.6640625" style="6" bestFit="1" customWidth="1"/>
    <col min="5" max="5" width="19.6640625" style="6" customWidth="1"/>
    <col min="6" max="6" width="53.33203125" style="6" customWidth="1"/>
    <col min="7" max="7" width="12.88671875" style="160" hidden="1" customWidth="1"/>
    <col min="8" max="8" width="14.44140625" style="6" bestFit="1" customWidth="1"/>
    <col min="9" max="9" width="53.6640625" style="6" bestFit="1" customWidth="1"/>
    <col min="10" max="10" width="16.5546875" style="6" customWidth="1"/>
    <col min="11" max="11" width="22" style="6" customWidth="1"/>
    <col min="12" max="12" width="31" style="6" customWidth="1"/>
    <col min="13" max="13" width="41.33203125" style="6" bestFit="1" customWidth="1"/>
    <col min="14" max="16384" width="9.109375" style="6"/>
  </cols>
  <sheetData>
    <row r="1" spans="2:16374" s="7" customFormat="1" ht="14.25" customHeight="1" x14ac:dyDescent="0.3">
      <c r="B1" s="7" t="s">
        <v>15</v>
      </c>
      <c r="G1" s="176"/>
      <c r="J1" s="6"/>
      <c r="O1" s="563" t="s">
        <v>15</v>
      </c>
      <c r="P1" s="563"/>
      <c r="Q1" s="563"/>
      <c r="R1" s="563"/>
      <c r="S1" s="563"/>
      <c r="T1" s="563"/>
      <c r="U1" s="563"/>
      <c r="V1" s="563"/>
      <c r="W1" s="563" t="s">
        <v>15</v>
      </c>
      <c r="X1" s="563"/>
      <c r="Y1" s="563"/>
      <c r="Z1" s="563"/>
      <c r="AA1" s="563"/>
      <c r="AB1" s="563"/>
      <c r="AC1" s="563"/>
      <c r="AD1" s="563"/>
      <c r="AE1" s="563" t="s">
        <v>15</v>
      </c>
      <c r="AF1" s="563"/>
      <c r="AG1" s="563"/>
      <c r="AH1" s="563"/>
      <c r="AI1" s="563"/>
      <c r="AJ1" s="563"/>
      <c r="AK1" s="563"/>
      <c r="AL1" s="563"/>
      <c r="AM1" s="563" t="s">
        <v>15</v>
      </c>
      <c r="AN1" s="563"/>
      <c r="AO1" s="563"/>
      <c r="AP1" s="563"/>
      <c r="AQ1" s="563"/>
      <c r="AR1" s="563"/>
      <c r="AS1" s="563"/>
      <c r="AT1" s="563"/>
      <c r="AU1" s="563" t="s">
        <v>15</v>
      </c>
      <c r="AV1" s="563"/>
      <c r="AW1" s="563"/>
      <c r="AX1" s="563"/>
      <c r="AY1" s="563"/>
      <c r="AZ1" s="563"/>
      <c r="BA1" s="563"/>
      <c r="BB1" s="563"/>
      <c r="BC1" s="563" t="s">
        <v>15</v>
      </c>
      <c r="BD1" s="563"/>
      <c r="BE1" s="563"/>
      <c r="BF1" s="563"/>
      <c r="BG1" s="563"/>
      <c r="BH1" s="563"/>
      <c r="BI1" s="563"/>
      <c r="BJ1" s="563"/>
      <c r="BK1" s="563" t="s">
        <v>15</v>
      </c>
      <c r="BL1" s="563"/>
      <c r="BM1" s="563"/>
      <c r="BN1" s="563"/>
      <c r="BO1" s="563"/>
      <c r="BP1" s="563"/>
      <c r="BQ1" s="563"/>
      <c r="BR1" s="563"/>
      <c r="BS1" s="563" t="s">
        <v>15</v>
      </c>
      <c r="BT1" s="563"/>
      <c r="BU1" s="563"/>
      <c r="BV1" s="563"/>
      <c r="BW1" s="563"/>
      <c r="BX1" s="563"/>
      <c r="BY1" s="563"/>
      <c r="BZ1" s="563"/>
      <c r="CA1" s="563" t="s">
        <v>15</v>
      </c>
      <c r="CB1" s="563"/>
      <c r="CC1" s="563"/>
      <c r="CD1" s="563"/>
      <c r="CE1" s="563"/>
      <c r="CF1" s="563"/>
      <c r="CG1" s="563"/>
      <c r="CH1" s="563"/>
      <c r="CI1" s="563" t="s">
        <v>15</v>
      </c>
      <c r="CJ1" s="563"/>
      <c r="CK1" s="563"/>
      <c r="CL1" s="563"/>
      <c r="CM1" s="563"/>
      <c r="CN1" s="563"/>
      <c r="CO1" s="563"/>
      <c r="CP1" s="563"/>
      <c r="CQ1" s="563" t="s">
        <v>15</v>
      </c>
      <c r="CR1" s="563"/>
      <c r="CS1" s="563"/>
      <c r="CT1" s="563"/>
      <c r="CU1" s="563"/>
      <c r="CV1" s="563"/>
      <c r="CW1" s="563"/>
      <c r="CX1" s="563"/>
      <c r="CY1" s="563" t="s">
        <v>15</v>
      </c>
      <c r="CZ1" s="563"/>
      <c r="DA1" s="563"/>
      <c r="DB1" s="563"/>
      <c r="DC1" s="563"/>
      <c r="DD1" s="563"/>
      <c r="DE1" s="563"/>
      <c r="DF1" s="563"/>
      <c r="DG1" s="563" t="s">
        <v>15</v>
      </c>
      <c r="DH1" s="563"/>
      <c r="DI1" s="563"/>
      <c r="DJ1" s="563"/>
      <c r="DK1" s="563"/>
      <c r="DL1" s="563"/>
      <c r="DM1" s="563"/>
      <c r="DN1" s="563"/>
      <c r="DO1" s="563" t="s">
        <v>15</v>
      </c>
      <c r="DP1" s="563"/>
      <c r="DQ1" s="563"/>
      <c r="DR1" s="563"/>
      <c r="DS1" s="563"/>
      <c r="DT1" s="563"/>
      <c r="DU1" s="563"/>
      <c r="DV1" s="563"/>
      <c r="DW1" s="563" t="s">
        <v>15</v>
      </c>
      <c r="DX1" s="563"/>
      <c r="DY1" s="563"/>
      <c r="DZ1" s="563"/>
      <c r="EA1" s="563"/>
      <c r="EB1" s="563"/>
      <c r="EC1" s="563"/>
      <c r="ED1" s="563"/>
      <c r="EE1" s="563" t="s">
        <v>15</v>
      </c>
      <c r="EF1" s="563"/>
      <c r="EG1" s="563"/>
      <c r="EH1" s="563"/>
      <c r="EI1" s="563"/>
      <c r="EJ1" s="563"/>
      <c r="EK1" s="563"/>
      <c r="EL1" s="563"/>
      <c r="EM1" s="563" t="s">
        <v>15</v>
      </c>
      <c r="EN1" s="563"/>
      <c r="EO1" s="563"/>
      <c r="EP1" s="563"/>
      <c r="EQ1" s="563"/>
      <c r="ER1" s="563"/>
      <c r="ES1" s="563"/>
      <c r="ET1" s="563"/>
      <c r="EU1" s="563" t="s">
        <v>15</v>
      </c>
      <c r="EV1" s="563"/>
      <c r="EW1" s="563"/>
      <c r="EX1" s="563"/>
      <c r="EY1" s="563"/>
      <c r="EZ1" s="563"/>
      <c r="FA1" s="563"/>
      <c r="FB1" s="563"/>
      <c r="FC1" s="563" t="s">
        <v>15</v>
      </c>
      <c r="FD1" s="563"/>
      <c r="FE1" s="563"/>
      <c r="FF1" s="563"/>
      <c r="FG1" s="563"/>
      <c r="FH1" s="563"/>
      <c r="FI1" s="563"/>
      <c r="FJ1" s="563"/>
      <c r="FK1" s="563" t="s">
        <v>15</v>
      </c>
      <c r="FL1" s="563"/>
      <c r="FM1" s="563"/>
      <c r="FN1" s="563"/>
      <c r="FO1" s="563"/>
      <c r="FP1" s="563"/>
      <c r="FQ1" s="563"/>
      <c r="FR1" s="563"/>
      <c r="FS1" s="563" t="s">
        <v>15</v>
      </c>
      <c r="FT1" s="563"/>
      <c r="FU1" s="563"/>
      <c r="FV1" s="563"/>
      <c r="FW1" s="563"/>
      <c r="FX1" s="563"/>
      <c r="FY1" s="563"/>
      <c r="FZ1" s="563"/>
      <c r="GA1" s="563" t="s">
        <v>15</v>
      </c>
      <c r="GB1" s="563"/>
      <c r="GC1" s="563"/>
      <c r="GD1" s="563"/>
      <c r="GE1" s="563"/>
      <c r="GF1" s="563"/>
      <c r="GG1" s="563"/>
      <c r="GH1" s="563"/>
      <c r="GI1" s="563" t="s">
        <v>15</v>
      </c>
      <c r="GJ1" s="563"/>
      <c r="GK1" s="563"/>
      <c r="GL1" s="563"/>
      <c r="GM1" s="563"/>
      <c r="GN1" s="563"/>
      <c r="GO1" s="563"/>
      <c r="GP1" s="563"/>
      <c r="GQ1" s="563" t="s">
        <v>15</v>
      </c>
      <c r="GR1" s="563"/>
      <c r="GS1" s="563"/>
      <c r="GT1" s="563"/>
      <c r="GU1" s="563"/>
      <c r="GV1" s="563"/>
      <c r="GW1" s="563"/>
      <c r="GX1" s="563"/>
      <c r="GY1" s="563" t="s">
        <v>15</v>
      </c>
      <c r="GZ1" s="563"/>
      <c r="HA1" s="563"/>
      <c r="HB1" s="563"/>
      <c r="HC1" s="563"/>
      <c r="HD1" s="563"/>
      <c r="HE1" s="563"/>
      <c r="HF1" s="563"/>
      <c r="HG1" s="563" t="s">
        <v>15</v>
      </c>
      <c r="HH1" s="563"/>
      <c r="HI1" s="563"/>
      <c r="HJ1" s="563"/>
      <c r="HK1" s="563"/>
      <c r="HL1" s="563"/>
      <c r="HM1" s="563"/>
      <c r="HN1" s="563"/>
      <c r="HO1" s="563" t="s">
        <v>15</v>
      </c>
      <c r="HP1" s="563"/>
      <c r="HQ1" s="563"/>
      <c r="HR1" s="563"/>
      <c r="HS1" s="563"/>
      <c r="HT1" s="563"/>
      <c r="HU1" s="563"/>
      <c r="HV1" s="563"/>
      <c r="HW1" s="563" t="s">
        <v>15</v>
      </c>
      <c r="HX1" s="563"/>
      <c r="HY1" s="563"/>
      <c r="HZ1" s="563"/>
      <c r="IA1" s="563"/>
      <c r="IB1" s="563"/>
      <c r="IC1" s="563"/>
      <c r="ID1" s="563"/>
      <c r="IE1" s="563" t="s">
        <v>15</v>
      </c>
      <c r="IF1" s="563"/>
      <c r="IG1" s="563"/>
      <c r="IH1" s="563"/>
      <c r="II1" s="563"/>
      <c r="IJ1" s="563"/>
      <c r="IK1" s="563"/>
      <c r="IL1" s="563"/>
      <c r="IM1" s="563" t="s">
        <v>15</v>
      </c>
      <c r="IN1" s="563"/>
      <c r="IO1" s="563"/>
      <c r="IP1" s="563"/>
      <c r="IQ1" s="563"/>
      <c r="IR1" s="563"/>
      <c r="IS1" s="563"/>
      <c r="IT1" s="563"/>
      <c r="IU1" s="563" t="s">
        <v>15</v>
      </c>
      <c r="IV1" s="563"/>
      <c r="IW1" s="563"/>
      <c r="IX1" s="563"/>
      <c r="IY1" s="563"/>
      <c r="IZ1" s="563"/>
      <c r="JA1" s="563"/>
      <c r="JB1" s="563"/>
      <c r="JC1" s="563" t="s">
        <v>15</v>
      </c>
      <c r="JD1" s="563"/>
      <c r="JE1" s="563"/>
      <c r="JF1" s="563"/>
      <c r="JG1" s="563"/>
      <c r="JH1" s="563"/>
      <c r="JI1" s="563"/>
      <c r="JJ1" s="563"/>
      <c r="JK1" s="563" t="s">
        <v>15</v>
      </c>
      <c r="JL1" s="563"/>
      <c r="JM1" s="563"/>
      <c r="JN1" s="563"/>
      <c r="JO1" s="563"/>
      <c r="JP1" s="563"/>
      <c r="JQ1" s="563"/>
      <c r="JR1" s="563"/>
      <c r="JS1" s="563" t="s">
        <v>15</v>
      </c>
      <c r="JT1" s="563"/>
      <c r="JU1" s="563"/>
      <c r="JV1" s="563"/>
      <c r="JW1" s="563"/>
      <c r="JX1" s="563"/>
      <c r="JY1" s="563"/>
      <c r="JZ1" s="563"/>
      <c r="KA1" s="563" t="s">
        <v>15</v>
      </c>
      <c r="KB1" s="563"/>
      <c r="KC1" s="563"/>
      <c r="KD1" s="563"/>
      <c r="KE1" s="563"/>
      <c r="KF1" s="563"/>
      <c r="KG1" s="563"/>
      <c r="KH1" s="563"/>
      <c r="KI1" s="563" t="s">
        <v>15</v>
      </c>
      <c r="KJ1" s="563"/>
      <c r="KK1" s="563"/>
      <c r="KL1" s="563"/>
      <c r="KM1" s="563"/>
      <c r="KN1" s="563"/>
      <c r="KO1" s="563"/>
      <c r="KP1" s="563"/>
      <c r="KQ1" s="563" t="s">
        <v>15</v>
      </c>
      <c r="KR1" s="563"/>
      <c r="KS1" s="563"/>
      <c r="KT1" s="563"/>
      <c r="KU1" s="563"/>
      <c r="KV1" s="563"/>
      <c r="KW1" s="563"/>
      <c r="KX1" s="563"/>
      <c r="KY1" s="563" t="s">
        <v>15</v>
      </c>
      <c r="KZ1" s="563"/>
      <c r="LA1" s="563"/>
      <c r="LB1" s="563"/>
      <c r="LC1" s="563"/>
      <c r="LD1" s="563"/>
      <c r="LE1" s="563"/>
      <c r="LF1" s="563"/>
      <c r="LG1" s="563" t="s">
        <v>15</v>
      </c>
      <c r="LH1" s="563"/>
      <c r="LI1" s="563"/>
      <c r="LJ1" s="563"/>
      <c r="LK1" s="563"/>
      <c r="LL1" s="563"/>
      <c r="LM1" s="563"/>
      <c r="LN1" s="563"/>
      <c r="LO1" s="563" t="s">
        <v>15</v>
      </c>
      <c r="LP1" s="563"/>
      <c r="LQ1" s="563"/>
      <c r="LR1" s="563"/>
      <c r="LS1" s="563"/>
      <c r="LT1" s="563"/>
      <c r="LU1" s="563"/>
      <c r="LV1" s="563"/>
      <c r="LW1" s="563" t="s">
        <v>15</v>
      </c>
      <c r="LX1" s="563"/>
      <c r="LY1" s="563"/>
      <c r="LZ1" s="563"/>
      <c r="MA1" s="563"/>
      <c r="MB1" s="563"/>
      <c r="MC1" s="563"/>
      <c r="MD1" s="563"/>
      <c r="ME1" s="563" t="s">
        <v>15</v>
      </c>
      <c r="MF1" s="563"/>
      <c r="MG1" s="563"/>
      <c r="MH1" s="563"/>
      <c r="MI1" s="563"/>
      <c r="MJ1" s="563"/>
      <c r="MK1" s="563"/>
      <c r="ML1" s="563"/>
      <c r="MM1" s="563" t="s">
        <v>15</v>
      </c>
      <c r="MN1" s="563"/>
      <c r="MO1" s="563"/>
      <c r="MP1" s="563"/>
      <c r="MQ1" s="563"/>
      <c r="MR1" s="563"/>
      <c r="MS1" s="563"/>
      <c r="MT1" s="563"/>
      <c r="MU1" s="563" t="s">
        <v>15</v>
      </c>
      <c r="MV1" s="563"/>
      <c r="MW1" s="563"/>
      <c r="MX1" s="563"/>
      <c r="MY1" s="563"/>
      <c r="MZ1" s="563"/>
      <c r="NA1" s="563"/>
      <c r="NB1" s="563"/>
      <c r="NC1" s="563" t="s">
        <v>15</v>
      </c>
      <c r="ND1" s="563"/>
      <c r="NE1" s="563"/>
      <c r="NF1" s="563"/>
      <c r="NG1" s="563"/>
      <c r="NH1" s="563"/>
      <c r="NI1" s="563"/>
      <c r="NJ1" s="563"/>
      <c r="NK1" s="563" t="s">
        <v>15</v>
      </c>
      <c r="NL1" s="563"/>
      <c r="NM1" s="563"/>
      <c r="NN1" s="563"/>
      <c r="NO1" s="563"/>
      <c r="NP1" s="563"/>
      <c r="NQ1" s="563"/>
      <c r="NR1" s="563"/>
      <c r="NS1" s="563" t="s">
        <v>15</v>
      </c>
      <c r="NT1" s="563"/>
      <c r="NU1" s="563"/>
      <c r="NV1" s="563"/>
      <c r="NW1" s="563"/>
      <c r="NX1" s="563"/>
      <c r="NY1" s="563"/>
      <c r="NZ1" s="563"/>
      <c r="OA1" s="563" t="s">
        <v>15</v>
      </c>
      <c r="OB1" s="563"/>
      <c r="OC1" s="563"/>
      <c r="OD1" s="563"/>
      <c r="OE1" s="563"/>
      <c r="OF1" s="563"/>
      <c r="OG1" s="563"/>
      <c r="OH1" s="563"/>
      <c r="OI1" s="563" t="s">
        <v>15</v>
      </c>
      <c r="OJ1" s="563"/>
      <c r="OK1" s="563"/>
      <c r="OL1" s="563"/>
      <c r="OM1" s="563"/>
      <c r="ON1" s="563"/>
      <c r="OO1" s="563"/>
      <c r="OP1" s="563"/>
      <c r="OQ1" s="563" t="s">
        <v>15</v>
      </c>
      <c r="OR1" s="563"/>
      <c r="OS1" s="563"/>
      <c r="OT1" s="563"/>
      <c r="OU1" s="563"/>
      <c r="OV1" s="563"/>
      <c r="OW1" s="563"/>
      <c r="OX1" s="563"/>
      <c r="OY1" s="563" t="s">
        <v>15</v>
      </c>
      <c r="OZ1" s="563"/>
      <c r="PA1" s="563"/>
      <c r="PB1" s="563"/>
      <c r="PC1" s="563"/>
      <c r="PD1" s="563"/>
      <c r="PE1" s="563"/>
      <c r="PF1" s="563"/>
      <c r="PG1" s="563" t="s">
        <v>15</v>
      </c>
      <c r="PH1" s="563"/>
      <c r="PI1" s="563"/>
      <c r="PJ1" s="563"/>
      <c r="PK1" s="563"/>
      <c r="PL1" s="563"/>
      <c r="PM1" s="563"/>
      <c r="PN1" s="563"/>
      <c r="PO1" s="563" t="s">
        <v>15</v>
      </c>
      <c r="PP1" s="563"/>
      <c r="PQ1" s="563"/>
      <c r="PR1" s="563"/>
      <c r="PS1" s="563"/>
      <c r="PT1" s="563"/>
      <c r="PU1" s="563"/>
      <c r="PV1" s="563"/>
      <c r="PW1" s="563" t="s">
        <v>15</v>
      </c>
      <c r="PX1" s="563"/>
      <c r="PY1" s="563"/>
      <c r="PZ1" s="563"/>
      <c r="QA1" s="563"/>
      <c r="QB1" s="563"/>
      <c r="QC1" s="563"/>
      <c r="QD1" s="563"/>
      <c r="QE1" s="563" t="s">
        <v>15</v>
      </c>
      <c r="QF1" s="563"/>
      <c r="QG1" s="563"/>
      <c r="QH1" s="563"/>
      <c r="QI1" s="563"/>
      <c r="QJ1" s="563"/>
      <c r="QK1" s="563"/>
      <c r="QL1" s="563"/>
      <c r="QM1" s="563" t="s">
        <v>15</v>
      </c>
      <c r="QN1" s="563"/>
      <c r="QO1" s="563"/>
      <c r="QP1" s="563"/>
      <c r="QQ1" s="563"/>
      <c r="QR1" s="563"/>
      <c r="QS1" s="563"/>
      <c r="QT1" s="563"/>
      <c r="QU1" s="563" t="s">
        <v>15</v>
      </c>
      <c r="QV1" s="563"/>
      <c r="QW1" s="563"/>
      <c r="QX1" s="563"/>
      <c r="QY1" s="563"/>
      <c r="QZ1" s="563"/>
      <c r="RA1" s="563"/>
      <c r="RB1" s="563"/>
      <c r="RC1" s="563" t="s">
        <v>15</v>
      </c>
      <c r="RD1" s="563"/>
      <c r="RE1" s="563"/>
      <c r="RF1" s="563"/>
      <c r="RG1" s="563"/>
      <c r="RH1" s="563"/>
      <c r="RI1" s="563"/>
      <c r="RJ1" s="563"/>
      <c r="RK1" s="563" t="s">
        <v>15</v>
      </c>
      <c r="RL1" s="563"/>
      <c r="RM1" s="563"/>
      <c r="RN1" s="563"/>
      <c r="RO1" s="563"/>
      <c r="RP1" s="563"/>
      <c r="RQ1" s="563"/>
      <c r="RR1" s="563"/>
      <c r="RS1" s="563" t="s">
        <v>15</v>
      </c>
      <c r="RT1" s="563"/>
      <c r="RU1" s="563"/>
      <c r="RV1" s="563"/>
      <c r="RW1" s="563"/>
      <c r="RX1" s="563"/>
      <c r="RY1" s="563"/>
      <c r="RZ1" s="563"/>
      <c r="SA1" s="563" t="s">
        <v>15</v>
      </c>
      <c r="SB1" s="563"/>
      <c r="SC1" s="563"/>
      <c r="SD1" s="563"/>
      <c r="SE1" s="563"/>
      <c r="SF1" s="563"/>
      <c r="SG1" s="563"/>
      <c r="SH1" s="563"/>
      <c r="SI1" s="563" t="s">
        <v>15</v>
      </c>
      <c r="SJ1" s="563"/>
      <c r="SK1" s="563"/>
      <c r="SL1" s="563"/>
      <c r="SM1" s="563"/>
      <c r="SN1" s="563"/>
      <c r="SO1" s="563"/>
      <c r="SP1" s="563"/>
      <c r="SQ1" s="563" t="s">
        <v>15</v>
      </c>
      <c r="SR1" s="563"/>
      <c r="SS1" s="563"/>
      <c r="ST1" s="563"/>
      <c r="SU1" s="563"/>
      <c r="SV1" s="563"/>
      <c r="SW1" s="563"/>
      <c r="SX1" s="563"/>
      <c r="SY1" s="563" t="s">
        <v>15</v>
      </c>
      <c r="SZ1" s="563"/>
      <c r="TA1" s="563"/>
      <c r="TB1" s="563"/>
      <c r="TC1" s="563"/>
      <c r="TD1" s="563"/>
      <c r="TE1" s="563"/>
      <c r="TF1" s="563"/>
      <c r="TG1" s="563" t="s">
        <v>15</v>
      </c>
      <c r="TH1" s="563"/>
      <c r="TI1" s="563"/>
      <c r="TJ1" s="563"/>
      <c r="TK1" s="563"/>
      <c r="TL1" s="563"/>
      <c r="TM1" s="563"/>
      <c r="TN1" s="563"/>
      <c r="TO1" s="563" t="s">
        <v>15</v>
      </c>
      <c r="TP1" s="563"/>
      <c r="TQ1" s="563"/>
      <c r="TR1" s="563"/>
      <c r="TS1" s="563"/>
      <c r="TT1" s="563"/>
      <c r="TU1" s="563"/>
      <c r="TV1" s="563"/>
      <c r="TW1" s="563" t="s">
        <v>15</v>
      </c>
      <c r="TX1" s="563"/>
      <c r="TY1" s="563"/>
      <c r="TZ1" s="563"/>
      <c r="UA1" s="563"/>
      <c r="UB1" s="563"/>
      <c r="UC1" s="563"/>
      <c r="UD1" s="563"/>
      <c r="UE1" s="563" t="s">
        <v>15</v>
      </c>
      <c r="UF1" s="563"/>
      <c r="UG1" s="563"/>
      <c r="UH1" s="563"/>
      <c r="UI1" s="563"/>
      <c r="UJ1" s="563"/>
      <c r="UK1" s="563"/>
      <c r="UL1" s="563"/>
      <c r="UM1" s="563" t="s">
        <v>15</v>
      </c>
      <c r="UN1" s="563"/>
      <c r="UO1" s="563"/>
      <c r="UP1" s="563"/>
      <c r="UQ1" s="563"/>
      <c r="UR1" s="563"/>
      <c r="US1" s="563"/>
      <c r="UT1" s="563"/>
      <c r="UU1" s="563" t="s">
        <v>15</v>
      </c>
      <c r="UV1" s="563"/>
      <c r="UW1" s="563"/>
      <c r="UX1" s="563"/>
      <c r="UY1" s="563"/>
      <c r="UZ1" s="563"/>
      <c r="VA1" s="563"/>
      <c r="VB1" s="563"/>
      <c r="VC1" s="563" t="s">
        <v>15</v>
      </c>
      <c r="VD1" s="563"/>
      <c r="VE1" s="563"/>
      <c r="VF1" s="563"/>
      <c r="VG1" s="563"/>
      <c r="VH1" s="563"/>
      <c r="VI1" s="563"/>
      <c r="VJ1" s="563"/>
      <c r="VK1" s="563" t="s">
        <v>15</v>
      </c>
      <c r="VL1" s="563"/>
      <c r="VM1" s="563"/>
      <c r="VN1" s="563"/>
      <c r="VO1" s="563"/>
      <c r="VP1" s="563"/>
      <c r="VQ1" s="563"/>
      <c r="VR1" s="563"/>
      <c r="VS1" s="563" t="s">
        <v>15</v>
      </c>
      <c r="VT1" s="563"/>
      <c r="VU1" s="563"/>
      <c r="VV1" s="563"/>
      <c r="VW1" s="563"/>
      <c r="VX1" s="563"/>
      <c r="VY1" s="563"/>
      <c r="VZ1" s="563"/>
      <c r="WA1" s="563" t="s">
        <v>15</v>
      </c>
      <c r="WB1" s="563"/>
      <c r="WC1" s="563"/>
      <c r="WD1" s="563"/>
      <c r="WE1" s="563"/>
      <c r="WF1" s="563"/>
      <c r="WG1" s="563"/>
      <c r="WH1" s="563"/>
      <c r="WI1" s="563" t="s">
        <v>15</v>
      </c>
      <c r="WJ1" s="563"/>
      <c r="WK1" s="563"/>
      <c r="WL1" s="563"/>
      <c r="WM1" s="563"/>
      <c r="WN1" s="563"/>
      <c r="WO1" s="563"/>
      <c r="WP1" s="563"/>
      <c r="WQ1" s="563" t="s">
        <v>15</v>
      </c>
      <c r="WR1" s="563"/>
      <c r="WS1" s="563"/>
      <c r="WT1" s="563"/>
      <c r="WU1" s="563"/>
      <c r="WV1" s="563"/>
      <c r="WW1" s="563"/>
      <c r="WX1" s="563"/>
      <c r="WY1" s="563" t="s">
        <v>15</v>
      </c>
      <c r="WZ1" s="563"/>
      <c r="XA1" s="563"/>
      <c r="XB1" s="563"/>
      <c r="XC1" s="563"/>
      <c r="XD1" s="563"/>
      <c r="XE1" s="563"/>
      <c r="XF1" s="563"/>
      <c r="XG1" s="563" t="s">
        <v>15</v>
      </c>
      <c r="XH1" s="563"/>
      <c r="XI1" s="563"/>
      <c r="XJ1" s="563"/>
      <c r="XK1" s="563"/>
      <c r="XL1" s="563"/>
      <c r="XM1" s="563"/>
      <c r="XN1" s="563"/>
      <c r="XO1" s="563" t="s">
        <v>15</v>
      </c>
      <c r="XP1" s="563"/>
      <c r="XQ1" s="563"/>
      <c r="XR1" s="563"/>
      <c r="XS1" s="563"/>
      <c r="XT1" s="563"/>
      <c r="XU1" s="563"/>
      <c r="XV1" s="563"/>
      <c r="XW1" s="563" t="s">
        <v>15</v>
      </c>
      <c r="XX1" s="563"/>
      <c r="XY1" s="563"/>
      <c r="XZ1" s="563"/>
      <c r="YA1" s="563"/>
      <c r="YB1" s="563"/>
      <c r="YC1" s="563"/>
      <c r="YD1" s="563"/>
      <c r="YE1" s="563" t="s">
        <v>15</v>
      </c>
      <c r="YF1" s="563"/>
      <c r="YG1" s="563"/>
      <c r="YH1" s="563"/>
      <c r="YI1" s="563"/>
      <c r="YJ1" s="563"/>
      <c r="YK1" s="563"/>
      <c r="YL1" s="563"/>
      <c r="YM1" s="563" t="s">
        <v>15</v>
      </c>
      <c r="YN1" s="563"/>
      <c r="YO1" s="563"/>
      <c r="YP1" s="563"/>
      <c r="YQ1" s="563"/>
      <c r="YR1" s="563"/>
      <c r="YS1" s="563"/>
      <c r="YT1" s="563"/>
      <c r="YU1" s="563" t="s">
        <v>15</v>
      </c>
      <c r="YV1" s="563"/>
      <c r="YW1" s="563"/>
      <c r="YX1" s="563"/>
      <c r="YY1" s="563"/>
      <c r="YZ1" s="563"/>
      <c r="ZA1" s="563"/>
      <c r="ZB1" s="563"/>
      <c r="ZC1" s="563" t="s">
        <v>15</v>
      </c>
      <c r="ZD1" s="563"/>
      <c r="ZE1" s="563"/>
      <c r="ZF1" s="563"/>
      <c r="ZG1" s="563"/>
      <c r="ZH1" s="563"/>
      <c r="ZI1" s="563"/>
      <c r="ZJ1" s="563"/>
      <c r="ZK1" s="563" t="s">
        <v>15</v>
      </c>
      <c r="ZL1" s="563"/>
      <c r="ZM1" s="563"/>
      <c r="ZN1" s="563"/>
      <c r="ZO1" s="563"/>
      <c r="ZP1" s="563"/>
      <c r="ZQ1" s="563"/>
      <c r="ZR1" s="563"/>
      <c r="ZS1" s="563" t="s">
        <v>15</v>
      </c>
      <c r="ZT1" s="563"/>
      <c r="ZU1" s="563"/>
      <c r="ZV1" s="563"/>
      <c r="ZW1" s="563"/>
      <c r="ZX1" s="563"/>
      <c r="ZY1" s="563"/>
      <c r="ZZ1" s="563"/>
      <c r="AAA1" s="563" t="s">
        <v>15</v>
      </c>
      <c r="AAB1" s="563"/>
      <c r="AAC1" s="563"/>
      <c r="AAD1" s="563"/>
      <c r="AAE1" s="563"/>
      <c r="AAF1" s="563"/>
      <c r="AAG1" s="563"/>
      <c r="AAH1" s="563"/>
      <c r="AAI1" s="563" t="s">
        <v>15</v>
      </c>
      <c r="AAJ1" s="563"/>
      <c r="AAK1" s="563"/>
      <c r="AAL1" s="563"/>
      <c r="AAM1" s="563"/>
      <c r="AAN1" s="563"/>
      <c r="AAO1" s="563"/>
      <c r="AAP1" s="563"/>
      <c r="AAQ1" s="563" t="s">
        <v>15</v>
      </c>
      <c r="AAR1" s="563"/>
      <c r="AAS1" s="563"/>
      <c r="AAT1" s="563"/>
      <c r="AAU1" s="563"/>
      <c r="AAV1" s="563"/>
      <c r="AAW1" s="563"/>
      <c r="AAX1" s="563"/>
      <c r="AAY1" s="563" t="s">
        <v>15</v>
      </c>
      <c r="AAZ1" s="563"/>
      <c r="ABA1" s="563"/>
      <c r="ABB1" s="563"/>
      <c r="ABC1" s="563"/>
      <c r="ABD1" s="563"/>
      <c r="ABE1" s="563"/>
      <c r="ABF1" s="563"/>
      <c r="ABG1" s="563" t="s">
        <v>15</v>
      </c>
      <c r="ABH1" s="563"/>
      <c r="ABI1" s="563"/>
      <c r="ABJ1" s="563"/>
      <c r="ABK1" s="563"/>
      <c r="ABL1" s="563"/>
      <c r="ABM1" s="563"/>
      <c r="ABN1" s="563"/>
      <c r="ABO1" s="563" t="s">
        <v>15</v>
      </c>
      <c r="ABP1" s="563"/>
      <c r="ABQ1" s="563"/>
      <c r="ABR1" s="563"/>
      <c r="ABS1" s="563"/>
      <c r="ABT1" s="563"/>
      <c r="ABU1" s="563"/>
      <c r="ABV1" s="563"/>
      <c r="ABW1" s="563" t="s">
        <v>15</v>
      </c>
      <c r="ABX1" s="563"/>
      <c r="ABY1" s="563"/>
      <c r="ABZ1" s="563"/>
      <c r="ACA1" s="563"/>
      <c r="ACB1" s="563"/>
      <c r="ACC1" s="563"/>
      <c r="ACD1" s="563"/>
      <c r="ACE1" s="563" t="s">
        <v>15</v>
      </c>
      <c r="ACF1" s="563"/>
      <c r="ACG1" s="563"/>
      <c r="ACH1" s="563"/>
      <c r="ACI1" s="563"/>
      <c r="ACJ1" s="563"/>
      <c r="ACK1" s="563"/>
      <c r="ACL1" s="563"/>
      <c r="ACM1" s="563" t="s">
        <v>15</v>
      </c>
      <c r="ACN1" s="563"/>
      <c r="ACO1" s="563"/>
      <c r="ACP1" s="563"/>
      <c r="ACQ1" s="563"/>
      <c r="ACR1" s="563"/>
      <c r="ACS1" s="563"/>
      <c r="ACT1" s="563"/>
      <c r="ACU1" s="563" t="s">
        <v>15</v>
      </c>
      <c r="ACV1" s="563"/>
      <c r="ACW1" s="563"/>
      <c r="ACX1" s="563"/>
      <c r="ACY1" s="563"/>
      <c r="ACZ1" s="563"/>
      <c r="ADA1" s="563"/>
      <c r="ADB1" s="563"/>
      <c r="ADC1" s="563" t="s">
        <v>15</v>
      </c>
      <c r="ADD1" s="563"/>
      <c r="ADE1" s="563"/>
      <c r="ADF1" s="563"/>
      <c r="ADG1" s="563"/>
      <c r="ADH1" s="563"/>
      <c r="ADI1" s="563"/>
      <c r="ADJ1" s="563"/>
      <c r="ADK1" s="563" t="s">
        <v>15</v>
      </c>
      <c r="ADL1" s="563"/>
      <c r="ADM1" s="563"/>
      <c r="ADN1" s="563"/>
      <c r="ADO1" s="563"/>
      <c r="ADP1" s="563"/>
      <c r="ADQ1" s="563"/>
      <c r="ADR1" s="563"/>
      <c r="ADS1" s="563" t="s">
        <v>15</v>
      </c>
      <c r="ADT1" s="563"/>
      <c r="ADU1" s="563"/>
      <c r="ADV1" s="563"/>
      <c r="ADW1" s="563"/>
      <c r="ADX1" s="563"/>
      <c r="ADY1" s="563"/>
      <c r="ADZ1" s="563"/>
      <c r="AEA1" s="563" t="s">
        <v>15</v>
      </c>
      <c r="AEB1" s="563"/>
      <c r="AEC1" s="563"/>
      <c r="AED1" s="563"/>
      <c r="AEE1" s="563"/>
      <c r="AEF1" s="563"/>
      <c r="AEG1" s="563"/>
      <c r="AEH1" s="563"/>
      <c r="AEI1" s="563" t="s">
        <v>15</v>
      </c>
      <c r="AEJ1" s="563"/>
      <c r="AEK1" s="563"/>
      <c r="AEL1" s="563"/>
      <c r="AEM1" s="563"/>
      <c r="AEN1" s="563"/>
      <c r="AEO1" s="563"/>
      <c r="AEP1" s="563"/>
      <c r="AEQ1" s="563" t="s">
        <v>15</v>
      </c>
      <c r="AER1" s="563"/>
      <c r="AES1" s="563"/>
      <c r="AET1" s="563"/>
      <c r="AEU1" s="563"/>
      <c r="AEV1" s="563"/>
      <c r="AEW1" s="563"/>
      <c r="AEX1" s="563"/>
      <c r="AEY1" s="563" t="s">
        <v>15</v>
      </c>
      <c r="AEZ1" s="563"/>
      <c r="AFA1" s="563"/>
      <c r="AFB1" s="563"/>
      <c r="AFC1" s="563"/>
      <c r="AFD1" s="563"/>
      <c r="AFE1" s="563"/>
      <c r="AFF1" s="563"/>
      <c r="AFG1" s="563" t="s">
        <v>15</v>
      </c>
      <c r="AFH1" s="563"/>
      <c r="AFI1" s="563"/>
      <c r="AFJ1" s="563"/>
      <c r="AFK1" s="563"/>
      <c r="AFL1" s="563"/>
      <c r="AFM1" s="563"/>
      <c r="AFN1" s="563"/>
      <c r="AFO1" s="563" t="s">
        <v>15</v>
      </c>
      <c r="AFP1" s="563"/>
      <c r="AFQ1" s="563"/>
      <c r="AFR1" s="563"/>
      <c r="AFS1" s="563"/>
      <c r="AFT1" s="563"/>
      <c r="AFU1" s="563"/>
      <c r="AFV1" s="563"/>
      <c r="AFW1" s="563" t="s">
        <v>15</v>
      </c>
      <c r="AFX1" s="563"/>
      <c r="AFY1" s="563"/>
      <c r="AFZ1" s="563"/>
      <c r="AGA1" s="563"/>
      <c r="AGB1" s="563"/>
      <c r="AGC1" s="563"/>
      <c r="AGD1" s="563"/>
      <c r="AGE1" s="563" t="s">
        <v>15</v>
      </c>
      <c r="AGF1" s="563"/>
      <c r="AGG1" s="563"/>
      <c r="AGH1" s="563"/>
      <c r="AGI1" s="563"/>
      <c r="AGJ1" s="563"/>
      <c r="AGK1" s="563"/>
      <c r="AGL1" s="563"/>
      <c r="AGM1" s="563" t="s">
        <v>15</v>
      </c>
      <c r="AGN1" s="563"/>
      <c r="AGO1" s="563"/>
      <c r="AGP1" s="563"/>
      <c r="AGQ1" s="563"/>
      <c r="AGR1" s="563"/>
      <c r="AGS1" s="563"/>
      <c r="AGT1" s="563"/>
      <c r="AGU1" s="563" t="s">
        <v>15</v>
      </c>
      <c r="AGV1" s="563"/>
      <c r="AGW1" s="563"/>
      <c r="AGX1" s="563"/>
      <c r="AGY1" s="563"/>
      <c r="AGZ1" s="563"/>
      <c r="AHA1" s="563"/>
      <c r="AHB1" s="563"/>
      <c r="AHC1" s="563" t="s">
        <v>15</v>
      </c>
      <c r="AHD1" s="563"/>
      <c r="AHE1" s="563"/>
      <c r="AHF1" s="563"/>
      <c r="AHG1" s="563"/>
      <c r="AHH1" s="563"/>
      <c r="AHI1" s="563"/>
      <c r="AHJ1" s="563"/>
      <c r="AHK1" s="563" t="s">
        <v>15</v>
      </c>
      <c r="AHL1" s="563"/>
      <c r="AHM1" s="563"/>
      <c r="AHN1" s="563"/>
      <c r="AHO1" s="563"/>
      <c r="AHP1" s="563"/>
      <c r="AHQ1" s="563"/>
      <c r="AHR1" s="563"/>
      <c r="AHS1" s="563" t="s">
        <v>15</v>
      </c>
      <c r="AHT1" s="563"/>
      <c r="AHU1" s="563"/>
      <c r="AHV1" s="563"/>
      <c r="AHW1" s="563"/>
      <c r="AHX1" s="563"/>
      <c r="AHY1" s="563"/>
      <c r="AHZ1" s="563"/>
      <c r="AIA1" s="563" t="s">
        <v>15</v>
      </c>
      <c r="AIB1" s="563"/>
      <c r="AIC1" s="563"/>
      <c r="AID1" s="563"/>
      <c r="AIE1" s="563"/>
      <c r="AIF1" s="563"/>
      <c r="AIG1" s="563"/>
      <c r="AIH1" s="563"/>
      <c r="AII1" s="563" t="s">
        <v>15</v>
      </c>
      <c r="AIJ1" s="563"/>
      <c r="AIK1" s="563"/>
      <c r="AIL1" s="563"/>
      <c r="AIM1" s="563"/>
      <c r="AIN1" s="563"/>
      <c r="AIO1" s="563"/>
      <c r="AIP1" s="563"/>
      <c r="AIQ1" s="563" t="s">
        <v>15</v>
      </c>
      <c r="AIR1" s="563"/>
      <c r="AIS1" s="563"/>
      <c r="AIT1" s="563"/>
      <c r="AIU1" s="563"/>
      <c r="AIV1" s="563"/>
      <c r="AIW1" s="563"/>
      <c r="AIX1" s="563"/>
      <c r="AIY1" s="563" t="s">
        <v>15</v>
      </c>
      <c r="AIZ1" s="563"/>
      <c r="AJA1" s="563"/>
      <c r="AJB1" s="563"/>
      <c r="AJC1" s="563"/>
      <c r="AJD1" s="563"/>
      <c r="AJE1" s="563"/>
      <c r="AJF1" s="563"/>
      <c r="AJG1" s="563" t="s">
        <v>15</v>
      </c>
      <c r="AJH1" s="563"/>
      <c r="AJI1" s="563"/>
      <c r="AJJ1" s="563"/>
      <c r="AJK1" s="563"/>
      <c r="AJL1" s="563"/>
      <c r="AJM1" s="563"/>
      <c r="AJN1" s="563"/>
      <c r="AJO1" s="563" t="s">
        <v>15</v>
      </c>
      <c r="AJP1" s="563"/>
      <c r="AJQ1" s="563"/>
      <c r="AJR1" s="563"/>
      <c r="AJS1" s="563"/>
      <c r="AJT1" s="563"/>
      <c r="AJU1" s="563"/>
      <c r="AJV1" s="563"/>
      <c r="AJW1" s="563" t="s">
        <v>15</v>
      </c>
      <c r="AJX1" s="563"/>
      <c r="AJY1" s="563"/>
      <c r="AJZ1" s="563"/>
      <c r="AKA1" s="563"/>
      <c r="AKB1" s="563"/>
      <c r="AKC1" s="563"/>
      <c r="AKD1" s="563"/>
      <c r="AKE1" s="563" t="s">
        <v>15</v>
      </c>
      <c r="AKF1" s="563"/>
      <c r="AKG1" s="563"/>
      <c r="AKH1" s="563"/>
      <c r="AKI1" s="563"/>
      <c r="AKJ1" s="563"/>
      <c r="AKK1" s="563"/>
      <c r="AKL1" s="563"/>
      <c r="AKM1" s="563" t="s">
        <v>15</v>
      </c>
      <c r="AKN1" s="563"/>
      <c r="AKO1" s="563"/>
      <c r="AKP1" s="563"/>
      <c r="AKQ1" s="563"/>
      <c r="AKR1" s="563"/>
      <c r="AKS1" s="563"/>
      <c r="AKT1" s="563"/>
      <c r="AKU1" s="563" t="s">
        <v>15</v>
      </c>
      <c r="AKV1" s="563"/>
      <c r="AKW1" s="563"/>
      <c r="AKX1" s="563"/>
      <c r="AKY1" s="563"/>
      <c r="AKZ1" s="563"/>
      <c r="ALA1" s="563"/>
      <c r="ALB1" s="563"/>
      <c r="ALC1" s="563" t="s">
        <v>15</v>
      </c>
      <c r="ALD1" s="563"/>
      <c r="ALE1" s="563"/>
      <c r="ALF1" s="563"/>
      <c r="ALG1" s="563"/>
      <c r="ALH1" s="563"/>
      <c r="ALI1" s="563"/>
      <c r="ALJ1" s="563"/>
      <c r="ALK1" s="563" t="s">
        <v>15</v>
      </c>
      <c r="ALL1" s="563"/>
      <c r="ALM1" s="563"/>
      <c r="ALN1" s="563"/>
      <c r="ALO1" s="563"/>
      <c r="ALP1" s="563"/>
      <c r="ALQ1" s="563"/>
      <c r="ALR1" s="563"/>
      <c r="ALS1" s="563" t="s">
        <v>15</v>
      </c>
      <c r="ALT1" s="563"/>
      <c r="ALU1" s="563"/>
      <c r="ALV1" s="563"/>
      <c r="ALW1" s="563"/>
      <c r="ALX1" s="563"/>
      <c r="ALY1" s="563"/>
      <c r="ALZ1" s="563"/>
      <c r="AMA1" s="563" t="s">
        <v>15</v>
      </c>
      <c r="AMB1" s="563"/>
      <c r="AMC1" s="563"/>
      <c r="AMD1" s="563"/>
      <c r="AME1" s="563"/>
      <c r="AMF1" s="563"/>
      <c r="AMG1" s="563"/>
      <c r="AMH1" s="563"/>
      <c r="AMI1" s="563" t="s">
        <v>15</v>
      </c>
      <c r="AMJ1" s="563"/>
      <c r="AMK1" s="563"/>
      <c r="AML1" s="563"/>
      <c r="AMM1" s="563"/>
      <c r="AMN1" s="563"/>
      <c r="AMO1" s="563"/>
      <c r="AMP1" s="563"/>
      <c r="AMQ1" s="563" t="s">
        <v>15</v>
      </c>
      <c r="AMR1" s="563"/>
      <c r="AMS1" s="563"/>
      <c r="AMT1" s="563"/>
      <c r="AMU1" s="563"/>
      <c r="AMV1" s="563"/>
      <c r="AMW1" s="563"/>
      <c r="AMX1" s="563"/>
      <c r="AMY1" s="563" t="s">
        <v>15</v>
      </c>
      <c r="AMZ1" s="563"/>
      <c r="ANA1" s="563"/>
      <c r="ANB1" s="563"/>
      <c r="ANC1" s="563"/>
      <c r="AND1" s="563"/>
      <c r="ANE1" s="563"/>
      <c r="ANF1" s="563"/>
      <c r="ANG1" s="563" t="s">
        <v>15</v>
      </c>
      <c r="ANH1" s="563"/>
      <c r="ANI1" s="563"/>
      <c r="ANJ1" s="563"/>
      <c r="ANK1" s="563"/>
      <c r="ANL1" s="563"/>
      <c r="ANM1" s="563"/>
      <c r="ANN1" s="563"/>
      <c r="ANO1" s="563" t="s">
        <v>15</v>
      </c>
      <c r="ANP1" s="563"/>
      <c r="ANQ1" s="563"/>
      <c r="ANR1" s="563"/>
      <c r="ANS1" s="563"/>
      <c r="ANT1" s="563"/>
      <c r="ANU1" s="563"/>
      <c r="ANV1" s="563"/>
      <c r="ANW1" s="563" t="s">
        <v>15</v>
      </c>
      <c r="ANX1" s="563"/>
      <c r="ANY1" s="563"/>
      <c r="ANZ1" s="563"/>
      <c r="AOA1" s="563"/>
      <c r="AOB1" s="563"/>
      <c r="AOC1" s="563"/>
      <c r="AOD1" s="563"/>
      <c r="AOE1" s="563" t="s">
        <v>15</v>
      </c>
      <c r="AOF1" s="563"/>
      <c r="AOG1" s="563"/>
      <c r="AOH1" s="563"/>
      <c r="AOI1" s="563"/>
      <c r="AOJ1" s="563"/>
      <c r="AOK1" s="563"/>
      <c r="AOL1" s="563"/>
      <c r="AOM1" s="563" t="s">
        <v>15</v>
      </c>
      <c r="AON1" s="563"/>
      <c r="AOO1" s="563"/>
      <c r="AOP1" s="563"/>
      <c r="AOQ1" s="563"/>
      <c r="AOR1" s="563"/>
      <c r="AOS1" s="563"/>
      <c r="AOT1" s="563"/>
      <c r="AOU1" s="563" t="s">
        <v>15</v>
      </c>
      <c r="AOV1" s="563"/>
      <c r="AOW1" s="563"/>
      <c r="AOX1" s="563"/>
      <c r="AOY1" s="563"/>
      <c r="AOZ1" s="563"/>
      <c r="APA1" s="563"/>
      <c r="APB1" s="563"/>
      <c r="APC1" s="563" t="s">
        <v>15</v>
      </c>
      <c r="APD1" s="563"/>
      <c r="APE1" s="563"/>
      <c r="APF1" s="563"/>
      <c r="APG1" s="563"/>
      <c r="APH1" s="563"/>
      <c r="API1" s="563"/>
      <c r="APJ1" s="563"/>
      <c r="APK1" s="563" t="s">
        <v>15</v>
      </c>
      <c r="APL1" s="563"/>
      <c r="APM1" s="563"/>
      <c r="APN1" s="563"/>
      <c r="APO1" s="563"/>
      <c r="APP1" s="563"/>
      <c r="APQ1" s="563"/>
      <c r="APR1" s="563"/>
      <c r="APS1" s="563" t="s">
        <v>15</v>
      </c>
      <c r="APT1" s="563"/>
      <c r="APU1" s="563"/>
      <c r="APV1" s="563"/>
      <c r="APW1" s="563"/>
      <c r="APX1" s="563"/>
      <c r="APY1" s="563"/>
      <c r="APZ1" s="563"/>
      <c r="AQA1" s="563" t="s">
        <v>15</v>
      </c>
      <c r="AQB1" s="563"/>
      <c r="AQC1" s="563"/>
      <c r="AQD1" s="563"/>
      <c r="AQE1" s="563"/>
      <c r="AQF1" s="563"/>
      <c r="AQG1" s="563"/>
      <c r="AQH1" s="563"/>
      <c r="AQI1" s="563" t="s">
        <v>15</v>
      </c>
      <c r="AQJ1" s="563"/>
      <c r="AQK1" s="563"/>
      <c r="AQL1" s="563"/>
      <c r="AQM1" s="563"/>
      <c r="AQN1" s="563"/>
      <c r="AQO1" s="563"/>
      <c r="AQP1" s="563"/>
      <c r="AQQ1" s="563" t="s">
        <v>15</v>
      </c>
      <c r="AQR1" s="563"/>
      <c r="AQS1" s="563"/>
      <c r="AQT1" s="563"/>
      <c r="AQU1" s="563"/>
      <c r="AQV1" s="563"/>
      <c r="AQW1" s="563"/>
      <c r="AQX1" s="563"/>
      <c r="AQY1" s="563" t="s">
        <v>15</v>
      </c>
      <c r="AQZ1" s="563"/>
      <c r="ARA1" s="563"/>
      <c r="ARB1" s="563"/>
      <c r="ARC1" s="563"/>
      <c r="ARD1" s="563"/>
      <c r="ARE1" s="563"/>
      <c r="ARF1" s="563"/>
      <c r="ARG1" s="563" t="s">
        <v>15</v>
      </c>
      <c r="ARH1" s="563"/>
      <c r="ARI1" s="563"/>
      <c r="ARJ1" s="563"/>
      <c r="ARK1" s="563"/>
      <c r="ARL1" s="563"/>
      <c r="ARM1" s="563"/>
      <c r="ARN1" s="563"/>
      <c r="ARO1" s="563" t="s">
        <v>15</v>
      </c>
      <c r="ARP1" s="563"/>
      <c r="ARQ1" s="563"/>
      <c r="ARR1" s="563"/>
      <c r="ARS1" s="563"/>
      <c r="ART1" s="563"/>
      <c r="ARU1" s="563"/>
      <c r="ARV1" s="563"/>
      <c r="ARW1" s="563" t="s">
        <v>15</v>
      </c>
      <c r="ARX1" s="563"/>
      <c r="ARY1" s="563"/>
      <c r="ARZ1" s="563"/>
      <c r="ASA1" s="563"/>
      <c r="ASB1" s="563"/>
      <c r="ASC1" s="563"/>
      <c r="ASD1" s="563"/>
      <c r="ASE1" s="563" t="s">
        <v>15</v>
      </c>
      <c r="ASF1" s="563"/>
      <c r="ASG1" s="563"/>
      <c r="ASH1" s="563"/>
      <c r="ASI1" s="563"/>
      <c r="ASJ1" s="563"/>
      <c r="ASK1" s="563"/>
      <c r="ASL1" s="563"/>
      <c r="ASM1" s="563" t="s">
        <v>15</v>
      </c>
      <c r="ASN1" s="563"/>
      <c r="ASO1" s="563"/>
      <c r="ASP1" s="563"/>
      <c r="ASQ1" s="563"/>
      <c r="ASR1" s="563"/>
      <c r="ASS1" s="563"/>
      <c r="AST1" s="563"/>
      <c r="ASU1" s="563" t="s">
        <v>15</v>
      </c>
      <c r="ASV1" s="563"/>
      <c r="ASW1" s="563"/>
      <c r="ASX1" s="563"/>
      <c r="ASY1" s="563"/>
      <c r="ASZ1" s="563"/>
      <c r="ATA1" s="563"/>
      <c r="ATB1" s="563"/>
      <c r="ATC1" s="563" t="s">
        <v>15</v>
      </c>
      <c r="ATD1" s="563"/>
      <c r="ATE1" s="563"/>
      <c r="ATF1" s="563"/>
      <c r="ATG1" s="563"/>
      <c r="ATH1" s="563"/>
      <c r="ATI1" s="563"/>
      <c r="ATJ1" s="563"/>
      <c r="ATK1" s="563" t="s">
        <v>15</v>
      </c>
      <c r="ATL1" s="563"/>
      <c r="ATM1" s="563"/>
      <c r="ATN1" s="563"/>
      <c r="ATO1" s="563"/>
      <c r="ATP1" s="563"/>
      <c r="ATQ1" s="563"/>
      <c r="ATR1" s="563"/>
      <c r="ATS1" s="563" t="s">
        <v>15</v>
      </c>
      <c r="ATT1" s="563"/>
      <c r="ATU1" s="563"/>
      <c r="ATV1" s="563"/>
      <c r="ATW1" s="563"/>
      <c r="ATX1" s="563"/>
      <c r="ATY1" s="563"/>
      <c r="ATZ1" s="563"/>
      <c r="AUA1" s="563" t="s">
        <v>15</v>
      </c>
      <c r="AUB1" s="563"/>
      <c r="AUC1" s="563"/>
      <c r="AUD1" s="563"/>
      <c r="AUE1" s="563"/>
      <c r="AUF1" s="563"/>
      <c r="AUG1" s="563"/>
      <c r="AUH1" s="563"/>
      <c r="AUI1" s="563" t="s">
        <v>15</v>
      </c>
      <c r="AUJ1" s="563"/>
      <c r="AUK1" s="563"/>
      <c r="AUL1" s="563"/>
      <c r="AUM1" s="563"/>
      <c r="AUN1" s="563"/>
      <c r="AUO1" s="563"/>
      <c r="AUP1" s="563"/>
      <c r="AUQ1" s="563" t="s">
        <v>15</v>
      </c>
      <c r="AUR1" s="563"/>
      <c r="AUS1" s="563"/>
      <c r="AUT1" s="563"/>
      <c r="AUU1" s="563"/>
      <c r="AUV1" s="563"/>
      <c r="AUW1" s="563"/>
      <c r="AUX1" s="563"/>
      <c r="AUY1" s="563" t="s">
        <v>15</v>
      </c>
      <c r="AUZ1" s="563"/>
      <c r="AVA1" s="563"/>
      <c r="AVB1" s="563"/>
      <c r="AVC1" s="563"/>
      <c r="AVD1" s="563"/>
      <c r="AVE1" s="563"/>
      <c r="AVF1" s="563"/>
      <c r="AVG1" s="563" t="s">
        <v>15</v>
      </c>
      <c r="AVH1" s="563"/>
      <c r="AVI1" s="563"/>
      <c r="AVJ1" s="563"/>
      <c r="AVK1" s="563"/>
      <c r="AVL1" s="563"/>
      <c r="AVM1" s="563"/>
      <c r="AVN1" s="563"/>
      <c r="AVO1" s="563" t="s">
        <v>15</v>
      </c>
      <c r="AVP1" s="563"/>
      <c r="AVQ1" s="563"/>
      <c r="AVR1" s="563"/>
      <c r="AVS1" s="563"/>
      <c r="AVT1" s="563"/>
      <c r="AVU1" s="563"/>
      <c r="AVV1" s="563"/>
      <c r="AVW1" s="563" t="s">
        <v>15</v>
      </c>
      <c r="AVX1" s="563"/>
      <c r="AVY1" s="563"/>
      <c r="AVZ1" s="563"/>
      <c r="AWA1" s="563"/>
      <c r="AWB1" s="563"/>
      <c r="AWC1" s="563"/>
      <c r="AWD1" s="563"/>
      <c r="AWE1" s="563" t="s">
        <v>15</v>
      </c>
      <c r="AWF1" s="563"/>
      <c r="AWG1" s="563"/>
      <c r="AWH1" s="563"/>
      <c r="AWI1" s="563"/>
      <c r="AWJ1" s="563"/>
      <c r="AWK1" s="563"/>
      <c r="AWL1" s="563"/>
      <c r="AWM1" s="563" t="s">
        <v>15</v>
      </c>
      <c r="AWN1" s="563"/>
      <c r="AWO1" s="563"/>
      <c r="AWP1" s="563"/>
      <c r="AWQ1" s="563"/>
      <c r="AWR1" s="563"/>
      <c r="AWS1" s="563"/>
      <c r="AWT1" s="563"/>
      <c r="AWU1" s="563" t="s">
        <v>15</v>
      </c>
      <c r="AWV1" s="563"/>
      <c r="AWW1" s="563"/>
      <c r="AWX1" s="563"/>
      <c r="AWY1" s="563"/>
      <c r="AWZ1" s="563"/>
      <c r="AXA1" s="563"/>
      <c r="AXB1" s="563"/>
      <c r="AXC1" s="563" t="s">
        <v>15</v>
      </c>
      <c r="AXD1" s="563"/>
      <c r="AXE1" s="563"/>
      <c r="AXF1" s="563"/>
      <c r="AXG1" s="563"/>
      <c r="AXH1" s="563"/>
      <c r="AXI1" s="563"/>
      <c r="AXJ1" s="563"/>
      <c r="AXK1" s="563" t="s">
        <v>15</v>
      </c>
      <c r="AXL1" s="563"/>
      <c r="AXM1" s="563"/>
      <c r="AXN1" s="563"/>
      <c r="AXO1" s="563"/>
      <c r="AXP1" s="563"/>
      <c r="AXQ1" s="563"/>
      <c r="AXR1" s="563"/>
      <c r="AXS1" s="563" t="s">
        <v>15</v>
      </c>
      <c r="AXT1" s="563"/>
      <c r="AXU1" s="563"/>
      <c r="AXV1" s="563"/>
      <c r="AXW1" s="563"/>
      <c r="AXX1" s="563"/>
      <c r="AXY1" s="563"/>
      <c r="AXZ1" s="563"/>
      <c r="AYA1" s="563" t="s">
        <v>15</v>
      </c>
      <c r="AYB1" s="563"/>
      <c r="AYC1" s="563"/>
      <c r="AYD1" s="563"/>
      <c r="AYE1" s="563"/>
      <c r="AYF1" s="563"/>
      <c r="AYG1" s="563"/>
      <c r="AYH1" s="563"/>
      <c r="AYI1" s="563" t="s">
        <v>15</v>
      </c>
      <c r="AYJ1" s="563"/>
      <c r="AYK1" s="563"/>
      <c r="AYL1" s="563"/>
      <c r="AYM1" s="563"/>
      <c r="AYN1" s="563"/>
      <c r="AYO1" s="563"/>
      <c r="AYP1" s="563"/>
      <c r="AYQ1" s="563" t="s">
        <v>15</v>
      </c>
      <c r="AYR1" s="563"/>
      <c r="AYS1" s="563"/>
      <c r="AYT1" s="563"/>
      <c r="AYU1" s="563"/>
      <c r="AYV1" s="563"/>
      <c r="AYW1" s="563"/>
      <c r="AYX1" s="563"/>
      <c r="AYY1" s="563" t="s">
        <v>15</v>
      </c>
      <c r="AYZ1" s="563"/>
      <c r="AZA1" s="563"/>
      <c r="AZB1" s="563"/>
      <c r="AZC1" s="563"/>
      <c r="AZD1" s="563"/>
      <c r="AZE1" s="563"/>
      <c r="AZF1" s="563"/>
      <c r="AZG1" s="563" t="s">
        <v>15</v>
      </c>
      <c r="AZH1" s="563"/>
      <c r="AZI1" s="563"/>
      <c r="AZJ1" s="563"/>
      <c r="AZK1" s="563"/>
      <c r="AZL1" s="563"/>
      <c r="AZM1" s="563"/>
      <c r="AZN1" s="563"/>
      <c r="AZO1" s="563" t="s">
        <v>15</v>
      </c>
      <c r="AZP1" s="563"/>
      <c r="AZQ1" s="563"/>
      <c r="AZR1" s="563"/>
      <c r="AZS1" s="563"/>
      <c r="AZT1" s="563"/>
      <c r="AZU1" s="563"/>
      <c r="AZV1" s="563"/>
      <c r="AZW1" s="563" t="s">
        <v>15</v>
      </c>
      <c r="AZX1" s="563"/>
      <c r="AZY1" s="563"/>
      <c r="AZZ1" s="563"/>
      <c r="BAA1" s="563"/>
      <c r="BAB1" s="563"/>
      <c r="BAC1" s="563"/>
      <c r="BAD1" s="563"/>
      <c r="BAE1" s="563" t="s">
        <v>15</v>
      </c>
      <c r="BAF1" s="563"/>
      <c r="BAG1" s="563"/>
      <c r="BAH1" s="563"/>
      <c r="BAI1" s="563"/>
      <c r="BAJ1" s="563"/>
      <c r="BAK1" s="563"/>
      <c r="BAL1" s="563"/>
      <c r="BAM1" s="563" t="s">
        <v>15</v>
      </c>
      <c r="BAN1" s="563"/>
      <c r="BAO1" s="563"/>
      <c r="BAP1" s="563"/>
      <c r="BAQ1" s="563"/>
      <c r="BAR1" s="563"/>
      <c r="BAS1" s="563"/>
      <c r="BAT1" s="563"/>
      <c r="BAU1" s="563" t="s">
        <v>15</v>
      </c>
      <c r="BAV1" s="563"/>
      <c r="BAW1" s="563"/>
      <c r="BAX1" s="563"/>
      <c r="BAY1" s="563"/>
      <c r="BAZ1" s="563"/>
      <c r="BBA1" s="563"/>
      <c r="BBB1" s="563"/>
      <c r="BBC1" s="563" t="s">
        <v>15</v>
      </c>
      <c r="BBD1" s="563"/>
      <c r="BBE1" s="563"/>
      <c r="BBF1" s="563"/>
      <c r="BBG1" s="563"/>
      <c r="BBH1" s="563"/>
      <c r="BBI1" s="563"/>
      <c r="BBJ1" s="563"/>
      <c r="BBK1" s="563" t="s">
        <v>15</v>
      </c>
      <c r="BBL1" s="563"/>
      <c r="BBM1" s="563"/>
      <c r="BBN1" s="563"/>
      <c r="BBO1" s="563"/>
      <c r="BBP1" s="563"/>
      <c r="BBQ1" s="563"/>
      <c r="BBR1" s="563"/>
      <c r="BBS1" s="563" t="s">
        <v>15</v>
      </c>
      <c r="BBT1" s="563"/>
      <c r="BBU1" s="563"/>
      <c r="BBV1" s="563"/>
      <c r="BBW1" s="563"/>
      <c r="BBX1" s="563"/>
      <c r="BBY1" s="563"/>
      <c r="BBZ1" s="563"/>
      <c r="BCA1" s="563" t="s">
        <v>15</v>
      </c>
      <c r="BCB1" s="563"/>
      <c r="BCC1" s="563"/>
      <c r="BCD1" s="563"/>
      <c r="BCE1" s="563"/>
      <c r="BCF1" s="563"/>
      <c r="BCG1" s="563"/>
      <c r="BCH1" s="563"/>
      <c r="BCI1" s="563" t="s">
        <v>15</v>
      </c>
      <c r="BCJ1" s="563"/>
      <c r="BCK1" s="563"/>
      <c r="BCL1" s="563"/>
      <c r="BCM1" s="563"/>
      <c r="BCN1" s="563"/>
      <c r="BCO1" s="563"/>
      <c r="BCP1" s="563"/>
      <c r="BCQ1" s="563" t="s">
        <v>15</v>
      </c>
      <c r="BCR1" s="563"/>
      <c r="BCS1" s="563"/>
      <c r="BCT1" s="563"/>
      <c r="BCU1" s="563"/>
      <c r="BCV1" s="563"/>
      <c r="BCW1" s="563"/>
      <c r="BCX1" s="563"/>
      <c r="BCY1" s="563" t="s">
        <v>15</v>
      </c>
      <c r="BCZ1" s="563"/>
      <c r="BDA1" s="563"/>
      <c r="BDB1" s="563"/>
      <c r="BDC1" s="563"/>
      <c r="BDD1" s="563"/>
      <c r="BDE1" s="563"/>
      <c r="BDF1" s="563"/>
      <c r="BDG1" s="563" t="s">
        <v>15</v>
      </c>
      <c r="BDH1" s="563"/>
      <c r="BDI1" s="563"/>
      <c r="BDJ1" s="563"/>
      <c r="BDK1" s="563"/>
      <c r="BDL1" s="563"/>
      <c r="BDM1" s="563"/>
      <c r="BDN1" s="563"/>
      <c r="BDO1" s="563" t="s">
        <v>15</v>
      </c>
      <c r="BDP1" s="563"/>
      <c r="BDQ1" s="563"/>
      <c r="BDR1" s="563"/>
      <c r="BDS1" s="563"/>
      <c r="BDT1" s="563"/>
      <c r="BDU1" s="563"/>
      <c r="BDV1" s="563"/>
      <c r="BDW1" s="563" t="s">
        <v>15</v>
      </c>
      <c r="BDX1" s="563"/>
      <c r="BDY1" s="563"/>
      <c r="BDZ1" s="563"/>
      <c r="BEA1" s="563"/>
      <c r="BEB1" s="563"/>
      <c r="BEC1" s="563"/>
      <c r="BED1" s="563"/>
      <c r="BEE1" s="563" t="s">
        <v>15</v>
      </c>
      <c r="BEF1" s="563"/>
      <c r="BEG1" s="563"/>
      <c r="BEH1" s="563"/>
      <c r="BEI1" s="563"/>
      <c r="BEJ1" s="563"/>
      <c r="BEK1" s="563"/>
      <c r="BEL1" s="563"/>
      <c r="BEM1" s="563" t="s">
        <v>15</v>
      </c>
      <c r="BEN1" s="563"/>
      <c r="BEO1" s="563"/>
      <c r="BEP1" s="563"/>
      <c r="BEQ1" s="563"/>
      <c r="BER1" s="563"/>
      <c r="BES1" s="563"/>
      <c r="BET1" s="563"/>
      <c r="BEU1" s="563" t="s">
        <v>15</v>
      </c>
      <c r="BEV1" s="563"/>
      <c r="BEW1" s="563"/>
      <c r="BEX1" s="563"/>
      <c r="BEY1" s="563"/>
      <c r="BEZ1" s="563"/>
      <c r="BFA1" s="563"/>
      <c r="BFB1" s="563"/>
      <c r="BFC1" s="563" t="s">
        <v>15</v>
      </c>
      <c r="BFD1" s="563"/>
      <c r="BFE1" s="563"/>
      <c r="BFF1" s="563"/>
      <c r="BFG1" s="563"/>
      <c r="BFH1" s="563"/>
      <c r="BFI1" s="563"/>
      <c r="BFJ1" s="563"/>
      <c r="BFK1" s="563" t="s">
        <v>15</v>
      </c>
      <c r="BFL1" s="563"/>
      <c r="BFM1" s="563"/>
      <c r="BFN1" s="563"/>
      <c r="BFO1" s="563"/>
      <c r="BFP1" s="563"/>
      <c r="BFQ1" s="563"/>
      <c r="BFR1" s="563"/>
      <c r="BFS1" s="563" t="s">
        <v>15</v>
      </c>
      <c r="BFT1" s="563"/>
      <c r="BFU1" s="563"/>
      <c r="BFV1" s="563"/>
      <c r="BFW1" s="563"/>
      <c r="BFX1" s="563"/>
      <c r="BFY1" s="563"/>
      <c r="BFZ1" s="563"/>
      <c r="BGA1" s="563" t="s">
        <v>15</v>
      </c>
      <c r="BGB1" s="563"/>
      <c r="BGC1" s="563"/>
      <c r="BGD1" s="563"/>
      <c r="BGE1" s="563"/>
      <c r="BGF1" s="563"/>
      <c r="BGG1" s="563"/>
      <c r="BGH1" s="563"/>
      <c r="BGI1" s="563" t="s">
        <v>15</v>
      </c>
      <c r="BGJ1" s="563"/>
      <c r="BGK1" s="563"/>
      <c r="BGL1" s="563"/>
      <c r="BGM1" s="563"/>
      <c r="BGN1" s="563"/>
      <c r="BGO1" s="563"/>
      <c r="BGP1" s="563"/>
      <c r="BGQ1" s="563" t="s">
        <v>15</v>
      </c>
      <c r="BGR1" s="563"/>
      <c r="BGS1" s="563"/>
      <c r="BGT1" s="563"/>
      <c r="BGU1" s="563"/>
      <c r="BGV1" s="563"/>
      <c r="BGW1" s="563"/>
      <c r="BGX1" s="563"/>
      <c r="BGY1" s="563" t="s">
        <v>15</v>
      </c>
      <c r="BGZ1" s="563"/>
      <c r="BHA1" s="563"/>
      <c r="BHB1" s="563"/>
      <c r="BHC1" s="563"/>
      <c r="BHD1" s="563"/>
      <c r="BHE1" s="563"/>
      <c r="BHF1" s="563"/>
      <c r="BHG1" s="563" t="s">
        <v>15</v>
      </c>
      <c r="BHH1" s="563"/>
      <c r="BHI1" s="563"/>
      <c r="BHJ1" s="563"/>
      <c r="BHK1" s="563"/>
      <c r="BHL1" s="563"/>
      <c r="BHM1" s="563"/>
      <c r="BHN1" s="563"/>
      <c r="BHO1" s="563" t="s">
        <v>15</v>
      </c>
      <c r="BHP1" s="563"/>
      <c r="BHQ1" s="563"/>
      <c r="BHR1" s="563"/>
      <c r="BHS1" s="563"/>
      <c r="BHT1" s="563"/>
      <c r="BHU1" s="563"/>
      <c r="BHV1" s="563"/>
      <c r="BHW1" s="563" t="s">
        <v>15</v>
      </c>
      <c r="BHX1" s="563"/>
      <c r="BHY1" s="563"/>
      <c r="BHZ1" s="563"/>
      <c r="BIA1" s="563"/>
      <c r="BIB1" s="563"/>
      <c r="BIC1" s="563"/>
      <c r="BID1" s="563"/>
      <c r="BIE1" s="563" t="s">
        <v>15</v>
      </c>
      <c r="BIF1" s="563"/>
      <c r="BIG1" s="563"/>
      <c r="BIH1" s="563"/>
      <c r="BII1" s="563"/>
      <c r="BIJ1" s="563"/>
      <c r="BIK1" s="563"/>
      <c r="BIL1" s="563"/>
      <c r="BIM1" s="563" t="s">
        <v>15</v>
      </c>
      <c r="BIN1" s="563"/>
      <c r="BIO1" s="563"/>
      <c r="BIP1" s="563"/>
      <c r="BIQ1" s="563"/>
      <c r="BIR1" s="563"/>
      <c r="BIS1" s="563"/>
      <c r="BIT1" s="563"/>
      <c r="BIU1" s="563" t="s">
        <v>15</v>
      </c>
      <c r="BIV1" s="563"/>
      <c r="BIW1" s="563"/>
      <c r="BIX1" s="563"/>
      <c r="BIY1" s="563"/>
      <c r="BIZ1" s="563"/>
      <c r="BJA1" s="563"/>
      <c r="BJB1" s="563"/>
      <c r="BJC1" s="563" t="s">
        <v>15</v>
      </c>
      <c r="BJD1" s="563"/>
      <c r="BJE1" s="563"/>
      <c r="BJF1" s="563"/>
      <c r="BJG1" s="563"/>
      <c r="BJH1" s="563"/>
      <c r="BJI1" s="563"/>
      <c r="BJJ1" s="563"/>
      <c r="BJK1" s="563" t="s">
        <v>15</v>
      </c>
      <c r="BJL1" s="563"/>
      <c r="BJM1" s="563"/>
      <c r="BJN1" s="563"/>
      <c r="BJO1" s="563"/>
      <c r="BJP1" s="563"/>
      <c r="BJQ1" s="563"/>
      <c r="BJR1" s="563"/>
      <c r="BJS1" s="563" t="s">
        <v>15</v>
      </c>
      <c r="BJT1" s="563"/>
      <c r="BJU1" s="563"/>
      <c r="BJV1" s="563"/>
      <c r="BJW1" s="563"/>
      <c r="BJX1" s="563"/>
      <c r="BJY1" s="563"/>
      <c r="BJZ1" s="563"/>
      <c r="BKA1" s="563" t="s">
        <v>15</v>
      </c>
      <c r="BKB1" s="563"/>
      <c r="BKC1" s="563"/>
      <c r="BKD1" s="563"/>
      <c r="BKE1" s="563"/>
      <c r="BKF1" s="563"/>
      <c r="BKG1" s="563"/>
      <c r="BKH1" s="563"/>
      <c r="BKI1" s="563" t="s">
        <v>15</v>
      </c>
      <c r="BKJ1" s="563"/>
      <c r="BKK1" s="563"/>
      <c r="BKL1" s="563"/>
      <c r="BKM1" s="563"/>
      <c r="BKN1" s="563"/>
      <c r="BKO1" s="563"/>
      <c r="BKP1" s="563"/>
      <c r="BKQ1" s="563" t="s">
        <v>15</v>
      </c>
      <c r="BKR1" s="563"/>
      <c r="BKS1" s="563"/>
      <c r="BKT1" s="563"/>
      <c r="BKU1" s="563"/>
      <c r="BKV1" s="563"/>
      <c r="BKW1" s="563"/>
      <c r="BKX1" s="563"/>
      <c r="BKY1" s="563" t="s">
        <v>15</v>
      </c>
      <c r="BKZ1" s="563"/>
      <c r="BLA1" s="563"/>
      <c r="BLB1" s="563"/>
      <c r="BLC1" s="563"/>
      <c r="BLD1" s="563"/>
      <c r="BLE1" s="563"/>
      <c r="BLF1" s="563"/>
      <c r="BLG1" s="563" t="s">
        <v>15</v>
      </c>
      <c r="BLH1" s="563"/>
      <c r="BLI1" s="563"/>
      <c r="BLJ1" s="563"/>
      <c r="BLK1" s="563"/>
      <c r="BLL1" s="563"/>
      <c r="BLM1" s="563"/>
      <c r="BLN1" s="563"/>
      <c r="BLO1" s="563" t="s">
        <v>15</v>
      </c>
      <c r="BLP1" s="563"/>
      <c r="BLQ1" s="563"/>
      <c r="BLR1" s="563"/>
      <c r="BLS1" s="563"/>
      <c r="BLT1" s="563"/>
      <c r="BLU1" s="563"/>
      <c r="BLV1" s="563"/>
      <c r="BLW1" s="563" t="s">
        <v>15</v>
      </c>
      <c r="BLX1" s="563"/>
      <c r="BLY1" s="563"/>
      <c r="BLZ1" s="563"/>
      <c r="BMA1" s="563"/>
      <c r="BMB1" s="563"/>
      <c r="BMC1" s="563"/>
      <c r="BMD1" s="563"/>
      <c r="BME1" s="563" t="s">
        <v>15</v>
      </c>
      <c r="BMF1" s="563"/>
      <c r="BMG1" s="563"/>
      <c r="BMH1" s="563"/>
      <c r="BMI1" s="563"/>
      <c r="BMJ1" s="563"/>
      <c r="BMK1" s="563"/>
      <c r="BML1" s="563"/>
      <c r="BMM1" s="563" t="s">
        <v>15</v>
      </c>
      <c r="BMN1" s="563"/>
      <c r="BMO1" s="563"/>
      <c r="BMP1" s="563"/>
      <c r="BMQ1" s="563"/>
      <c r="BMR1" s="563"/>
      <c r="BMS1" s="563"/>
      <c r="BMT1" s="563"/>
      <c r="BMU1" s="563" t="s">
        <v>15</v>
      </c>
      <c r="BMV1" s="563"/>
      <c r="BMW1" s="563"/>
      <c r="BMX1" s="563"/>
      <c r="BMY1" s="563"/>
      <c r="BMZ1" s="563"/>
      <c r="BNA1" s="563"/>
      <c r="BNB1" s="563"/>
      <c r="BNC1" s="563" t="s">
        <v>15</v>
      </c>
      <c r="BND1" s="563"/>
      <c r="BNE1" s="563"/>
      <c r="BNF1" s="563"/>
      <c r="BNG1" s="563"/>
      <c r="BNH1" s="563"/>
      <c r="BNI1" s="563"/>
      <c r="BNJ1" s="563"/>
      <c r="BNK1" s="563" t="s">
        <v>15</v>
      </c>
      <c r="BNL1" s="563"/>
      <c r="BNM1" s="563"/>
      <c r="BNN1" s="563"/>
      <c r="BNO1" s="563"/>
      <c r="BNP1" s="563"/>
      <c r="BNQ1" s="563"/>
      <c r="BNR1" s="563"/>
      <c r="BNS1" s="563" t="s">
        <v>15</v>
      </c>
      <c r="BNT1" s="563"/>
      <c r="BNU1" s="563"/>
      <c r="BNV1" s="563"/>
      <c r="BNW1" s="563"/>
      <c r="BNX1" s="563"/>
      <c r="BNY1" s="563"/>
      <c r="BNZ1" s="563"/>
      <c r="BOA1" s="563" t="s">
        <v>15</v>
      </c>
      <c r="BOB1" s="563"/>
      <c r="BOC1" s="563"/>
      <c r="BOD1" s="563"/>
      <c r="BOE1" s="563"/>
      <c r="BOF1" s="563"/>
      <c r="BOG1" s="563"/>
      <c r="BOH1" s="563"/>
      <c r="BOI1" s="563" t="s">
        <v>15</v>
      </c>
      <c r="BOJ1" s="563"/>
      <c r="BOK1" s="563"/>
      <c r="BOL1" s="563"/>
      <c r="BOM1" s="563"/>
      <c r="BON1" s="563"/>
      <c r="BOO1" s="563"/>
      <c r="BOP1" s="563"/>
      <c r="BOQ1" s="563" t="s">
        <v>15</v>
      </c>
      <c r="BOR1" s="563"/>
      <c r="BOS1" s="563"/>
      <c r="BOT1" s="563"/>
      <c r="BOU1" s="563"/>
      <c r="BOV1" s="563"/>
      <c r="BOW1" s="563"/>
      <c r="BOX1" s="563"/>
      <c r="BOY1" s="563" t="s">
        <v>15</v>
      </c>
      <c r="BOZ1" s="563"/>
      <c r="BPA1" s="563"/>
      <c r="BPB1" s="563"/>
      <c r="BPC1" s="563"/>
      <c r="BPD1" s="563"/>
      <c r="BPE1" s="563"/>
      <c r="BPF1" s="563"/>
      <c r="BPG1" s="563" t="s">
        <v>15</v>
      </c>
      <c r="BPH1" s="563"/>
      <c r="BPI1" s="563"/>
      <c r="BPJ1" s="563"/>
      <c r="BPK1" s="563"/>
      <c r="BPL1" s="563"/>
      <c r="BPM1" s="563"/>
      <c r="BPN1" s="563"/>
      <c r="BPO1" s="563" t="s">
        <v>15</v>
      </c>
      <c r="BPP1" s="563"/>
      <c r="BPQ1" s="563"/>
      <c r="BPR1" s="563"/>
      <c r="BPS1" s="563"/>
      <c r="BPT1" s="563"/>
      <c r="BPU1" s="563"/>
      <c r="BPV1" s="563"/>
      <c r="BPW1" s="563" t="s">
        <v>15</v>
      </c>
      <c r="BPX1" s="563"/>
      <c r="BPY1" s="563"/>
      <c r="BPZ1" s="563"/>
      <c r="BQA1" s="563"/>
      <c r="BQB1" s="563"/>
      <c r="BQC1" s="563"/>
      <c r="BQD1" s="563"/>
      <c r="BQE1" s="563" t="s">
        <v>15</v>
      </c>
      <c r="BQF1" s="563"/>
      <c r="BQG1" s="563"/>
      <c r="BQH1" s="563"/>
      <c r="BQI1" s="563"/>
      <c r="BQJ1" s="563"/>
      <c r="BQK1" s="563"/>
      <c r="BQL1" s="563"/>
      <c r="BQM1" s="563" t="s">
        <v>15</v>
      </c>
      <c r="BQN1" s="563"/>
      <c r="BQO1" s="563"/>
      <c r="BQP1" s="563"/>
      <c r="BQQ1" s="563"/>
      <c r="BQR1" s="563"/>
      <c r="BQS1" s="563"/>
      <c r="BQT1" s="563"/>
      <c r="BQU1" s="563" t="s">
        <v>15</v>
      </c>
      <c r="BQV1" s="563"/>
      <c r="BQW1" s="563"/>
      <c r="BQX1" s="563"/>
      <c r="BQY1" s="563"/>
      <c r="BQZ1" s="563"/>
      <c r="BRA1" s="563"/>
      <c r="BRB1" s="563"/>
      <c r="BRC1" s="563" t="s">
        <v>15</v>
      </c>
      <c r="BRD1" s="563"/>
      <c r="BRE1" s="563"/>
      <c r="BRF1" s="563"/>
      <c r="BRG1" s="563"/>
      <c r="BRH1" s="563"/>
      <c r="BRI1" s="563"/>
      <c r="BRJ1" s="563"/>
      <c r="BRK1" s="563" t="s">
        <v>15</v>
      </c>
      <c r="BRL1" s="563"/>
      <c r="BRM1" s="563"/>
      <c r="BRN1" s="563"/>
      <c r="BRO1" s="563"/>
      <c r="BRP1" s="563"/>
      <c r="BRQ1" s="563"/>
      <c r="BRR1" s="563"/>
      <c r="BRS1" s="563" t="s">
        <v>15</v>
      </c>
      <c r="BRT1" s="563"/>
      <c r="BRU1" s="563"/>
      <c r="BRV1" s="563"/>
      <c r="BRW1" s="563"/>
      <c r="BRX1" s="563"/>
      <c r="BRY1" s="563"/>
      <c r="BRZ1" s="563"/>
      <c r="BSA1" s="563" t="s">
        <v>15</v>
      </c>
      <c r="BSB1" s="563"/>
      <c r="BSC1" s="563"/>
      <c r="BSD1" s="563"/>
      <c r="BSE1" s="563"/>
      <c r="BSF1" s="563"/>
      <c r="BSG1" s="563"/>
      <c r="BSH1" s="563"/>
      <c r="BSI1" s="563" t="s">
        <v>15</v>
      </c>
      <c r="BSJ1" s="563"/>
      <c r="BSK1" s="563"/>
      <c r="BSL1" s="563"/>
      <c r="BSM1" s="563"/>
      <c r="BSN1" s="563"/>
      <c r="BSO1" s="563"/>
      <c r="BSP1" s="563"/>
      <c r="BSQ1" s="563" t="s">
        <v>15</v>
      </c>
      <c r="BSR1" s="563"/>
      <c r="BSS1" s="563"/>
      <c r="BST1" s="563"/>
      <c r="BSU1" s="563"/>
      <c r="BSV1" s="563"/>
      <c r="BSW1" s="563"/>
      <c r="BSX1" s="563"/>
      <c r="BSY1" s="563" t="s">
        <v>15</v>
      </c>
      <c r="BSZ1" s="563"/>
      <c r="BTA1" s="563"/>
      <c r="BTB1" s="563"/>
      <c r="BTC1" s="563"/>
      <c r="BTD1" s="563"/>
      <c r="BTE1" s="563"/>
      <c r="BTF1" s="563"/>
      <c r="BTG1" s="563" t="s">
        <v>15</v>
      </c>
      <c r="BTH1" s="563"/>
      <c r="BTI1" s="563"/>
      <c r="BTJ1" s="563"/>
      <c r="BTK1" s="563"/>
      <c r="BTL1" s="563"/>
      <c r="BTM1" s="563"/>
      <c r="BTN1" s="563"/>
      <c r="BTO1" s="563" t="s">
        <v>15</v>
      </c>
      <c r="BTP1" s="563"/>
      <c r="BTQ1" s="563"/>
      <c r="BTR1" s="563"/>
      <c r="BTS1" s="563"/>
      <c r="BTT1" s="563"/>
      <c r="BTU1" s="563"/>
      <c r="BTV1" s="563"/>
      <c r="BTW1" s="563" t="s">
        <v>15</v>
      </c>
      <c r="BTX1" s="563"/>
      <c r="BTY1" s="563"/>
      <c r="BTZ1" s="563"/>
      <c r="BUA1" s="563"/>
      <c r="BUB1" s="563"/>
      <c r="BUC1" s="563"/>
      <c r="BUD1" s="563"/>
      <c r="BUE1" s="563" t="s">
        <v>15</v>
      </c>
      <c r="BUF1" s="563"/>
      <c r="BUG1" s="563"/>
      <c r="BUH1" s="563"/>
      <c r="BUI1" s="563"/>
      <c r="BUJ1" s="563"/>
      <c r="BUK1" s="563"/>
      <c r="BUL1" s="563"/>
      <c r="BUM1" s="563" t="s">
        <v>15</v>
      </c>
      <c r="BUN1" s="563"/>
      <c r="BUO1" s="563"/>
      <c r="BUP1" s="563"/>
      <c r="BUQ1" s="563"/>
      <c r="BUR1" s="563"/>
      <c r="BUS1" s="563"/>
      <c r="BUT1" s="563"/>
      <c r="BUU1" s="563" t="s">
        <v>15</v>
      </c>
      <c r="BUV1" s="563"/>
      <c r="BUW1" s="563"/>
      <c r="BUX1" s="563"/>
      <c r="BUY1" s="563"/>
      <c r="BUZ1" s="563"/>
      <c r="BVA1" s="563"/>
      <c r="BVB1" s="563"/>
      <c r="BVC1" s="563" t="s">
        <v>15</v>
      </c>
      <c r="BVD1" s="563"/>
      <c r="BVE1" s="563"/>
      <c r="BVF1" s="563"/>
      <c r="BVG1" s="563"/>
      <c r="BVH1" s="563"/>
      <c r="BVI1" s="563"/>
      <c r="BVJ1" s="563"/>
      <c r="BVK1" s="563" t="s">
        <v>15</v>
      </c>
      <c r="BVL1" s="563"/>
      <c r="BVM1" s="563"/>
      <c r="BVN1" s="563"/>
      <c r="BVO1" s="563"/>
      <c r="BVP1" s="563"/>
      <c r="BVQ1" s="563"/>
      <c r="BVR1" s="563"/>
      <c r="BVS1" s="563" t="s">
        <v>15</v>
      </c>
      <c r="BVT1" s="563"/>
      <c r="BVU1" s="563"/>
      <c r="BVV1" s="563"/>
      <c r="BVW1" s="563"/>
      <c r="BVX1" s="563"/>
      <c r="BVY1" s="563"/>
      <c r="BVZ1" s="563"/>
      <c r="BWA1" s="563" t="s">
        <v>15</v>
      </c>
      <c r="BWB1" s="563"/>
      <c r="BWC1" s="563"/>
      <c r="BWD1" s="563"/>
      <c r="BWE1" s="563"/>
      <c r="BWF1" s="563"/>
      <c r="BWG1" s="563"/>
      <c r="BWH1" s="563"/>
      <c r="BWI1" s="563" t="s">
        <v>15</v>
      </c>
      <c r="BWJ1" s="563"/>
      <c r="BWK1" s="563"/>
      <c r="BWL1" s="563"/>
      <c r="BWM1" s="563"/>
      <c r="BWN1" s="563"/>
      <c r="BWO1" s="563"/>
      <c r="BWP1" s="563"/>
      <c r="BWQ1" s="563" t="s">
        <v>15</v>
      </c>
      <c r="BWR1" s="563"/>
      <c r="BWS1" s="563"/>
      <c r="BWT1" s="563"/>
      <c r="BWU1" s="563"/>
      <c r="BWV1" s="563"/>
      <c r="BWW1" s="563"/>
      <c r="BWX1" s="563"/>
      <c r="BWY1" s="563" t="s">
        <v>15</v>
      </c>
      <c r="BWZ1" s="563"/>
      <c r="BXA1" s="563"/>
      <c r="BXB1" s="563"/>
      <c r="BXC1" s="563"/>
      <c r="BXD1" s="563"/>
      <c r="BXE1" s="563"/>
      <c r="BXF1" s="563"/>
      <c r="BXG1" s="563" t="s">
        <v>15</v>
      </c>
      <c r="BXH1" s="563"/>
      <c r="BXI1" s="563"/>
      <c r="BXJ1" s="563"/>
      <c r="BXK1" s="563"/>
      <c r="BXL1" s="563"/>
      <c r="BXM1" s="563"/>
      <c r="BXN1" s="563"/>
      <c r="BXO1" s="563" t="s">
        <v>15</v>
      </c>
      <c r="BXP1" s="563"/>
      <c r="BXQ1" s="563"/>
      <c r="BXR1" s="563"/>
      <c r="BXS1" s="563"/>
      <c r="BXT1" s="563"/>
      <c r="BXU1" s="563"/>
      <c r="BXV1" s="563"/>
      <c r="BXW1" s="563" t="s">
        <v>15</v>
      </c>
      <c r="BXX1" s="563"/>
      <c r="BXY1" s="563"/>
      <c r="BXZ1" s="563"/>
      <c r="BYA1" s="563"/>
      <c r="BYB1" s="563"/>
      <c r="BYC1" s="563"/>
      <c r="BYD1" s="563"/>
      <c r="BYE1" s="563" t="s">
        <v>15</v>
      </c>
      <c r="BYF1" s="563"/>
      <c r="BYG1" s="563"/>
      <c r="BYH1" s="563"/>
      <c r="BYI1" s="563"/>
      <c r="BYJ1" s="563"/>
      <c r="BYK1" s="563"/>
      <c r="BYL1" s="563"/>
      <c r="BYM1" s="563" t="s">
        <v>15</v>
      </c>
      <c r="BYN1" s="563"/>
      <c r="BYO1" s="563"/>
      <c r="BYP1" s="563"/>
      <c r="BYQ1" s="563"/>
      <c r="BYR1" s="563"/>
      <c r="BYS1" s="563"/>
      <c r="BYT1" s="563"/>
      <c r="BYU1" s="563" t="s">
        <v>15</v>
      </c>
      <c r="BYV1" s="563"/>
      <c r="BYW1" s="563"/>
      <c r="BYX1" s="563"/>
      <c r="BYY1" s="563"/>
      <c r="BYZ1" s="563"/>
      <c r="BZA1" s="563"/>
      <c r="BZB1" s="563"/>
      <c r="BZC1" s="563" t="s">
        <v>15</v>
      </c>
      <c r="BZD1" s="563"/>
      <c r="BZE1" s="563"/>
      <c r="BZF1" s="563"/>
      <c r="BZG1" s="563"/>
      <c r="BZH1" s="563"/>
      <c r="BZI1" s="563"/>
      <c r="BZJ1" s="563"/>
      <c r="BZK1" s="563" t="s">
        <v>15</v>
      </c>
      <c r="BZL1" s="563"/>
      <c r="BZM1" s="563"/>
      <c r="BZN1" s="563"/>
      <c r="BZO1" s="563"/>
      <c r="BZP1" s="563"/>
      <c r="BZQ1" s="563"/>
      <c r="BZR1" s="563"/>
      <c r="BZS1" s="563" t="s">
        <v>15</v>
      </c>
      <c r="BZT1" s="563"/>
      <c r="BZU1" s="563"/>
      <c r="BZV1" s="563"/>
      <c r="BZW1" s="563"/>
      <c r="BZX1" s="563"/>
      <c r="BZY1" s="563"/>
      <c r="BZZ1" s="563"/>
      <c r="CAA1" s="563" t="s">
        <v>15</v>
      </c>
      <c r="CAB1" s="563"/>
      <c r="CAC1" s="563"/>
      <c r="CAD1" s="563"/>
      <c r="CAE1" s="563"/>
      <c r="CAF1" s="563"/>
      <c r="CAG1" s="563"/>
      <c r="CAH1" s="563"/>
      <c r="CAI1" s="563" t="s">
        <v>15</v>
      </c>
      <c r="CAJ1" s="563"/>
      <c r="CAK1" s="563"/>
      <c r="CAL1" s="563"/>
      <c r="CAM1" s="563"/>
      <c r="CAN1" s="563"/>
      <c r="CAO1" s="563"/>
      <c r="CAP1" s="563"/>
      <c r="CAQ1" s="563" t="s">
        <v>15</v>
      </c>
      <c r="CAR1" s="563"/>
      <c r="CAS1" s="563"/>
      <c r="CAT1" s="563"/>
      <c r="CAU1" s="563"/>
      <c r="CAV1" s="563"/>
      <c r="CAW1" s="563"/>
      <c r="CAX1" s="563"/>
      <c r="CAY1" s="563" t="s">
        <v>15</v>
      </c>
      <c r="CAZ1" s="563"/>
      <c r="CBA1" s="563"/>
      <c r="CBB1" s="563"/>
      <c r="CBC1" s="563"/>
      <c r="CBD1" s="563"/>
      <c r="CBE1" s="563"/>
      <c r="CBF1" s="563"/>
      <c r="CBG1" s="563" t="s">
        <v>15</v>
      </c>
      <c r="CBH1" s="563"/>
      <c r="CBI1" s="563"/>
      <c r="CBJ1" s="563"/>
      <c r="CBK1" s="563"/>
      <c r="CBL1" s="563"/>
      <c r="CBM1" s="563"/>
      <c r="CBN1" s="563"/>
      <c r="CBO1" s="563" t="s">
        <v>15</v>
      </c>
      <c r="CBP1" s="563"/>
      <c r="CBQ1" s="563"/>
      <c r="CBR1" s="563"/>
      <c r="CBS1" s="563"/>
      <c r="CBT1" s="563"/>
      <c r="CBU1" s="563"/>
      <c r="CBV1" s="563"/>
      <c r="CBW1" s="563" t="s">
        <v>15</v>
      </c>
      <c r="CBX1" s="563"/>
      <c r="CBY1" s="563"/>
      <c r="CBZ1" s="563"/>
      <c r="CCA1" s="563"/>
      <c r="CCB1" s="563"/>
      <c r="CCC1" s="563"/>
      <c r="CCD1" s="563"/>
      <c r="CCE1" s="563" t="s">
        <v>15</v>
      </c>
      <c r="CCF1" s="563"/>
      <c r="CCG1" s="563"/>
      <c r="CCH1" s="563"/>
      <c r="CCI1" s="563"/>
      <c r="CCJ1" s="563"/>
      <c r="CCK1" s="563"/>
      <c r="CCL1" s="563"/>
      <c r="CCM1" s="563" t="s">
        <v>15</v>
      </c>
      <c r="CCN1" s="563"/>
      <c r="CCO1" s="563"/>
      <c r="CCP1" s="563"/>
      <c r="CCQ1" s="563"/>
      <c r="CCR1" s="563"/>
      <c r="CCS1" s="563"/>
      <c r="CCT1" s="563"/>
      <c r="CCU1" s="563" t="s">
        <v>15</v>
      </c>
      <c r="CCV1" s="563"/>
      <c r="CCW1" s="563"/>
      <c r="CCX1" s="563"/>
      <c r="CCY1" s="563"/>
      <c r="CCZ1" s="563"/>
      <c r="CDA1" s="563"/>
      <c r="CDB1" s="563"/>
      <c r="CDC1" s="563" t="s">
        <v>15</v>
      </c>
      <c r="CDD1" s="563"/>
      <c r="CDE1" s="563"/>
      <c r="CDF1" s="563"/>
      <c r="CDG1" s="563"/>
      <c r="CDH1" s="563"/>
      <c r="CDI1" s="563"/>
      <c r="CDJ1" s="563"/>
      <c r="CDK1" s="563" t="s">
        <v>15</v>
      </c>
      <c r="CDL1" s="563"/>
      <c r="CDM1" s="563"/>
      <c r="CDN1" s="563"/>
      <c r="CDO1" s="563"/>
      <c r="CDP1" s="563"/>
      <c r="CDQ1" s="563"/>
      <c r="CDR1" s="563"/>
      <c r="CDS1" s="563" t="s">
        <v>15</v>
      </c>
      <c r="CDT1" s="563"/>
      <c r="CDU1" s="563"/>
      <c r="CDV1" s="563"/>
      <c r="CDW1" s="563"/>
      <c r="CDX1" s="563"/>
      <c r="CDY1" s="563"/>
      <c r="CDZ1" s="563"/>
      <c r="CEA1" s="563" t="s">
        <v>15</v>
      </c>
      <c r="CEB1" s="563"/>
      <c r="CEC1" s="563"/>
      <c r="CED1" s="563"/>
      <c r="CEE1" s="563"/>
      <c r="CEF1" s="563"/>
      <c r="CEG1" s="563"/>
      <c r="CEH1" s="563"/>
      <c r="CEI1" s="563" t="s">
        <v>15</v>
      </c>
      <c r="CEJ1" s="563"/>
      <c r="CEK1" s="563"/>
      <c r="CEL1" s="563"/>
      <c r="CEM1" s="563"/>
      <c r="CEN1" s="563"/>
      <c r="CEO1" s="563"/>
      <c r="CEP1" s="563"/>
      <c r="CEQ1" s="563" t="s">
        <v>15</v>
      </c>
      <c r="CER1" s="563"/>
      <c r="CES1" s="563"/>
      <c r="CET1" s="563"/>
      <c r="CEU1" s="563"/>
      <c r="CEV1" s="563"/>
      <c r="CEW1" s="563"/>
      <c r="CEX1" s="563"/>
      <c r="CEY1" s="563" t="s">
        <v>15</v>
      </c>
      <c r="CEZ1" s="563"/>
      <c r="CFA1" s="563"/>
      <c r="CFB1" s="563"/>
      <c r="CFC1" s="563"/>
      <c r="CFD1" s="563"/>
      <c r="CFE1" s="563"/>
      <c r="CFF1" s="563"/>
      <c r="CFG1" s="563" t="s">
        <v>15</v>
      </c>
      <c r="CFH1" s="563"/>
      <c r="CFI1" s="563"/>
      <c r="CFJ1" s="563"/>
      <c r="CFK1" s="563"/>
      <c r="CFL1" s="563"/>
      <c r="CFM1" s="563"/>
      <c r="CFN1" s="563"/>
      <c r="CFO1" s="563" t="s">
        <v>15</v>
      </c>
      <c r="CFP1" s="563"/>
      <c r="CFQ1" s="563"/>
      <c r="CFR1" s="563"/>
      <c r="CFS1" s="563"/>
      <c r="CFT1" s="563"/>
      <c r="CFU1" s="563"/>
      <c r="CFV1" s="563"/>
      <c r="CFW1" s="563" t="s">
        <v>15</v>
      </c>
      <c r="CFX1" s="563"/>
      <c r="CFY1" s="563"/>
      <c r="CFZ1" s="563"/>
      <c r="CGA1" s="563"/>
      <c r="CGB1" s="563"/>
      <c r="CGC1" s="563"/>
      <c r="CGD1" s="563"/>
      <c r="CGE1" s="563" t="s">
        <v>15</v>
      </c>
      <c r="CGF1" s="563"/>
      <c r="CGG1" s="563"/>
      <c r="CGH1" s="563"/>
      <c r="CGI1" s="563"/>
      <c r="CGJ1" s="563"/>
      <c r="CGK1" s="563"/>
      <c r="CGL1" s="563"/>
      <c r="CGM1" s="563" t="s">
        <v>15</v>
      </c>
      <c r="CGN1" s="563"/>
      <c r="CGO1" s="563"/>
      <c r="CGP1" s="563"/>
      <c r="CGQ1" s="563"/>
      <c r="CGR1" s="563"/>
      <c r="CGS1" s="563"/>
      <c r="CGT1" s="563"/>
      <c r="CGU1" s="563" t="s">
        <v>15</v>
      </c>
      <c r="CGV1" s="563"/>
      <c r="CGW1" s="563"/>
      <c r="CGX1" s="563"/>
      <c r="CGY1" s="563"/>
      <c r="CGZ1" s="563"/>
      <c r="CHA1" s="563"/>
      <c r="CHB1" s="563"/>
      <c r="CHC1" s="563" t="s">
        <v>15</v>
      </c>
      <c r="CHD1" s="563"/>
      <c r="CHE1" s="563"/>
      <c r="CHF1" s="563"/>
      <c r="CHG1" s="563"/>
      <c r="CHH1" s="563"/>
      <c r="CHI1" s="563"/>
      <c r="CHJ1" s="563"/>
      <c r="CHK1" s="563" t="s">
        <v>15</v>
      </c>
      <c r="CHL1" s="563"/>
      <c r="CHM1" s="563"/>
      <c r="CHN1" s="563"/>
      <c r="CHO1" s="563"/>
      <c r="CHP1" s="563"/>
      <c r="CHQ1" s="563"/>
      <c r="CHR1" s="563"/>
      <c r="CHS1" s="563" t="s">
        <v>15</v>
      </c>
      <c r="CHT1" s="563"/>
      <c r="CHU1" s="563"/>
      <c r="CHV1" s="563"/>
      <c r="CHW1" s="563"/>
      <c r="CHX1" s="563"/>
      <c r="CHY1" s="563"/>
      <c r="CHZ1" s="563"/>
      <c r="CIA1" s="563" t="s">
        <v>15</v>
      </c>
      <c r="CIB1" s="563"/>
      <c r="CIC1" s="563"/>
      <c r="CID1" s="563"/>
      <c r="CIE1" s="563"/>
      <c r="CIF1" s="563"/>
      <c r="CIG1" s="563"/>
      <c r="CIH1" s="563"/>
      <c r="CII1" s="563" t="s">
        <v>15</v>
      </c>
      <c r="CIJ1" s="563"/>
      <c r="CIK1" s="563"/>
      <c r="CIL1" s="563"/>
      <c r="CIM1" s="563"/>
      <c r="CIN1" s="563"/>
      <c r="CIO1" s="563"/>
      <c r="CIP1" s="563"/>
      <c r="CIQ1" s="563" t="s">
        <v>15</v>
      </c>
      <c r="CIR1" s="563"/>
      <c r="CIS1" s="563"/>
      <c r="CIT1" s="563"/>
      <c r="CIU1" s="563"/>
      <c r="CIV1" s="563"/>
      <c r="CIW1" s="563"/>
      <c r="CIX1" s="563"/>
      <c r="CIY1" s="563" t="s">
        <v>15</v>
      </c>
      <c r="CIZ1" s="563"/>
      <c r="CJA1" s="563"/>
      <c r="CJB1" s="563"/>
      <c r="CJC1" s="563"/>
      <c r="CJD1" s="563"/>
      <c r="CJE1" s="563"/>
      <c r="CJF1" s="563"/>
      <c r="CJG1" s="563" t="s">
        <v>15</v>
      </c>
      <c r="CJH1" s="563"/>
      <c r="CJI1" s="563"/>
      <c r="CJJ1" s="563"/>
      <c r="CJK1" s="563"/>
      <c r="CJL1" s="563"/>
      <c r="CJM1" s="563"/>
      <c r="CJN1" s="563"/>
      <c r="CJO1" s="563" t="s">
        <v>15</v>
      </c>
      <c r="CJP1" s="563"/>
      <c r="CJQ1" s="563"/>
      <c r="CJR1" s="563"/>
      <c r="CJS1" s="563"/>
      <c r="CJT1" s="563"/>
      <c r="CJU1" s="563"/>
      <c r="CJV1" s="563"/>
      <c r="CJW1" s="563" t="s">
        <v>15</v>
      </c>
      <c r="CJX1" s="563"/>
      <c r="CJY1" s="563"/>
      <c r="CJZ1" s="563"/>
      <c r="CKA1" s="563"/>
      <c r="CKB1" s="563"/>
      <c r="CKC1" s="563"/>
      <c r="CKD1" s="563"/>
      <c r="CKE1" s="563" t="s">
        <v>15</v>
      </c>
      <c r="CKF1" s="563"/>
      <c r="CKG1" s="563"/>
      <c r="CKH1" s="563"/>
      <c r="CKI1" s="563"/>
      <c r="CKJ1" s="563"/>
      <c r="CKK1" s="563"/>
      <c r="CKL1" s="563"/>
      <c r="CKM1" s="563" t="s">
        <v>15</v>
      </c>
      <c r="CKN1" s="563"/>
      <c r="CKO1" s="563"/>
      <c r="CKP1" s="563"/>
      <c r="CKQ1" s="563"/>
      <c r="CKR1" s="563"/>
      <c r="CKS1" s="563"/>
      <c r="CKT1" s="563"/>
      <c r="CKU1" s="563" t="s">
        <v>15</v>
      </c>
      <c r="CKV1" s="563"/>
      <c r="CKW1" s="563"/>
      <c r="CKX1" s="563"/>
      <c r="CKY1" s="563"/>
      <c r="CKZ1" s="563"/>
      <c r="CLA1" s="563"/>
      <c r="CLB1" s="563"/>
      <c r="CLC1" s="563" t="s">
        <v>15</v>
      </c>
      <c r="CLD1" s="563"/>
      <c r="CLE1" s="563"/>
      <c r="CLF1" s="563"/>
      <c r="CLG1" s="563"/>
      <c r="CLH1" s="563"/>
      <c r="CLI1" s="563"/>
      <c r="CLJ1" s="563"/>
      <c r="CLK1" s="563" t="s">
        <v>15</v>
      </c>
      <c r="CLL1" s="563"/>
      <c r="CLM1" s="563"/>
      <c r="CLN1" s="563"/>
      <c r="CLO1" s="563"/>
      <c r="CLP1" s="563"/>
      <c r="CLQ1" s="563"/>
      <c r="CLR1" s="563"/>
      <c r="CLS1" s="563" t="s">
        <v>15</v>
      </c>
      <c r="CLT1" s="563"/>
      <c r="CLU1" s="563"/>
      <c r="CLV1" s="563"/>
      <c r="CLW1" s="563"/>
      <c r="CLX1" s="563"/>
      <c r="CLY1" s="563"/>
      <c r="CLZ1" s="563"/>
      <c r="CMA1" s="563" t="s">
        <v>15</v>
      </c>
      <c r="CMB1" s="563"/>
      <c r="CMC1" s="563"/>
      <c r="CMD1" s="563"/>
      <c r="CME1" s="563"/>
      <c r="CMF1" s="563"/>
      <c r="CMG1" s="563"/>
      <c r="CMH1" s="563"/>
      <c r="CMI1" s="563" t="s">
        <v>15</v>
      </c>
      <c r="CMJ1" s="563"/>
      <c r="CMK1" s="563"/>
      <c r="CML1" s="563"/>
      <c r="CMM1" s="563"/>
      <c r="CMN1" s="563"/>
      <c r="CMO1" s="563"/>
      <c r="CMP1" s="563"/>
      <c r="CMQ1" s="563" t="s">
        <v>15</v>
      </c>
      <c r="CMR1" s="563"/>
      <c r="CMS1" s="563"/>
      <c r="CMT1" s="563"/>
      <c r="CMU1" s="563"/>
      <c r="CMV1" s="563"/>
      <c r="CMW1" s="563"/>
      <c r="CMX1" s="563"/>
      <c r="CMY1" s="563" t="s">
        <v>15</v>
      </c>
      <c r="CMZ1" s="563"/>
      <c r="CNA1" s="563"/>
      <c r="CNB1" s="563"/>
      <c r="CNC1" s="563"/>
      <c r="CND1" s="563"/>
      <c r="CNE1" s="563"/>
      <c r="CNF1" s="563"/>
      <c r="CNG1" s="563" t="s">
        <v>15</v>
      </c>
      <c r="CNH1" s="563"/>
      <c r="CNI1" s="563"/>
      <c r="CNJ1" s="563"/>
      <c r="CNK1" s="563"/>
      <c r="CNL1" s="563"/>
      <c r="CNM1" s="563"/>
      <c r="CNN1" s="563"/>
      <c r="CNO1" s="563" t="s">
        <v>15</v>
      </c>
      <c r="CNP1" s="563"/>
      <c r="CNQ1" s="563"/>
      <c r="CNR1" s="563"/>
      <c r="CNS1" s="563"/>
      <c r="CNT1" s="563"/>
      <c r="CNU1" s="563"/>
      <c r="CNV1" s="563"/>
      <c r="CNW1" s="563" t="s">
        <v>15</v>
      </c>
      <c r="CNX1" s="563"/>
      <c r="CNY1" s="563"/>
      <c r="CNZ1" s="563"/>
      <c r="COA1" s="563"/>
      <c r="COB1" s="563"/>
      <c r="COC1" s="563"/>
      <c r="COD1" s="563"/>
      <c r="COE1" s="563" t="s">
        <v>15</v>
      </c>
      <c r="COF1" s="563"/>
      <c r="COG1" s="563"/>
      <c r="COH1" s="563"/>
      <c r="COI1" s="563"/>
      <c r="COJ1" s="563"/>
      <c r="COK1" s="563"/>
      <c r="COL1" s="563"/>
      <c r="COM1" s="563" t="s">
        <v>15</v>
      </c>
      <c r="CON1" s="563"/>
      <c r="COO1" s="563"/>
      <c r="COP1" s="563"/>
      <c r="COQ1" s="563"/>
      <c r="COR1" s="563"/>
      <c r="COS1" s="563"/>
      <c r="COT1" s="563"/>
      <c r="COU1" s="563" t="s">
        <v>15</v>
      </c>
      <c r="COV1" s="563"/>
      <c r="COW1" s="563"/>
      <c r="COX1" s="563"/>
      <c r="COY1" s="563"/>
      <c r="COZ1" s="563"/>
      <c r="CPA1" s="563"/>
      <c r="CPB1" s="563"/>
      <c r="CPC1" s="563" t="s">
        <v>15</v>
      </c>
      <c r="CPD1" s="563"/>
      <c r="CPE1" s="563"/>
      <c r="CPF1" s="563"/>
      <c r="CPG1" s="563"/>
      <c r="CPH1" s="563"/>
      <c r="CPI1" s="563"/>
      <c r="CPJ1" s="563"/>
      <c r="CPK1" s="563" t="s">
        <v>15</v>
      </c>
      <c r="CPL1" s="563"/>
      <c r="CPM1" s="563"/>
      <c r="CPN1" s="563"/>
      <c r="CPO1" s="563"/>
      <c r="CPP1" s="563"/>
      <c r="CPQ1" s="563"/>
      <c r="CPR1" s="563"/>
      <c r="CPS1" s="563" t="s">
        <v>15</v>
      </c>
      <c r="CPT1" s="563"/>
      <c r="CPU1" s="563"/>
      <c r="CPV1" s="563"/>
      <c r="CPW1" s="563"/>
      <c r="CPX1" s="563"/>
      <c r="CPY1" s="563"/>
      <c r="CPZ1" s="563"/>
      <c r="CQA1" s="563" t="s">
        <v>15</v>
      </c>
      <c r="CQB1" s="563"/>
      <c r="CQC1" s="563"/>
      <c r="CQD1" s="563"/>
      <c r="CQE1" s="563"/>
      <c r="CQF1" s="563"/>
      <c r="CQG1" s="563"/>
      <c r="CQH1" s="563"/>
      <c r="CQI1" s="563" t="s">
        <v>15</v>
      </c>
      <c r="CQJ1" s="563"/>
      <c r="CQK1" s="563"/>
      <c r="CQL1" s="563"/>
      <c r="CQM1" s="563"/>
      <c r="CQN1" s="563"/>
      <c r="CQO1" s="563"/>
      <c r="CQP1" s="563"/>
      <c r="CQQ1" s="563" t="s">
        <v>15</v>
      </c>
      <c r="CQR1" s="563"/>
      <c r="CQS1" s="563"/>
      <c r="CQT1" s="563"/>
      <c r="CQU1" s="563"/>
      <c r="CQV1" s="563"/>
      <c r="CQW1" s="563"/>
      <c r="CQX1" s="563"/>
      <c r="CQY1" s="563" t="s">
        <v>15</v>
      </c>
      <c r="CQZ1" s="563"/>
      <c r="CRA1" s="563"/>
      <c r="CRB1" s="563"/>
      <c r="CRC1" s="563"/>
      <c r="CRD1" s="563"/>
      <c r="CRE1" s="563"/>
      <c r="CRF1" s="563"/>
      <c r="CRG1" s="563" t="s">
        <v>15</v>
      </c>
      <c r="CRH1" s="563"/>
      <c r="CRI1" s="563"/>
      <c r="CRJ1" s="563"/>
      <c r="CRK1" s="563"/>
      <c r="CRL1" s="563"/>
      <c r="CRM1" s="563"/>
      <c r="CRN1" s="563"/>
      <c r="CRO1" s="563" t="s">
        <v>15</v>
      </c>
      <c r="CRP1" s="563"/>
      <c r="CRQ1" s="563"/>
      <c r="CRR1" s="563"/>
      <c r="CRS1" s="563"/>
      <c r="CRT1" s="563"/>
      <c r="CRU1" s="563"/>
      <c r="CRV1" s="563"/>
      <c r="CRW1" s="563" t="s">
        <v>15</v>
      </c>
      <c r="CRX1" s="563"/>
      <c r="CRY1" s="563"/>
      <c r="CRZ1" s="563"/>
      <c r="CSA1" s="563"/>
      <c r="CSB1" s="563"/>
      <c r="CSC1" s="563"/>
      <c r="CSD1" s="563"/>
      <c r="CSE1" s="563" t="s">
        <v>15</v>
      </c>
      <c r="CSF1" s="563"/>
      <c r="CSG1" s="563"/>
      <c r="CSH1" s="563"/>
      <c r="CSI1" s="563"/>
      <c r="CSJ1" s="563"/>
      <c r="CSK1" s="563"/>
      <c r="CSL1" s="563"/>
      <c r="CSM1" s="563" t="s">
        <v>15</v>
      </c>
      <c r="CSN1" s="563"/>
      <c r="CSO1" s="563"/>
      <c r="CSP1" s="563"/>
      <c r="CSQ1" s="563"/>
      <c r="CSR1" s="563"/>
      <c r="CSS1" s="563"/>
      <c r="CST1" s="563"/>
      <c r="CSU1" s="563" t="s">
        <v>15</v>
      </c>
      <c r="CSV1" s="563"/>
      <c r="CSW1" s="563"/>
      <c r="CSX1" s="563"/>
      <c r="CSY1" s="563"/>
      <c r="CSZ1" s="563"/>
      <c r="CTA1" s="563"/>
      <c r="CTB1" s="563"/>
      <c r="CTC1" s="563" t="s">
        <v>15</v>
      </c>
      <c r="CTD1" s="563"/>
      <c r="CTE1" s="563"/>
      <c r="CTF1" s="563"/>
      <c r="CTG1" s="563"/>
      <c r="CTH1" s="563"/>
      <c r="CTI1" s="563"/>
      <c r="CTJ1" s="563"/>
      <c r="CTK1" s="563" t="s">
        <v>15</v>
      </c>
      <c r="CTL1" s="563"/>
      <c r="CTM1" s="563"/>
      <c r="CTN1" s="563"/>
      <c r="CTO1" s="563"/>
      <c r="CTP1" s="563"/>
      <c r="CTQ1" s="563"/>
      <c r="CTR1" s="563"/>
      <c r="CTS1" s="563" t="s">
        <v>15</v>
      </c>
      <c r="CTT1" s="563"/>
      <c r="CTU1" s="563"/>
      <c r="CTV1" s="563"/>
      <c r="CTW1" s="563"/>
      <c r="CTX1" s="563"/>
      <c r="CTY1" s="563"/>
      <c r="CTZ1" s="563"/>
      <c r="CUA1" s="563" t="s">
        <v>15</v>
      </c>
      <c r="CUB1" s="563"/>
      <c r="CUC1" s="563"/>
      <c r="CUD1" s="563"/>
      <c r="CUE1" s="563"/>
      <c r="CUF1" s="563"/>
      <c r="CUG1" s="563"/>
      <c r="CUH1" s="563"/>
      <c r="CUI1" s="563" t="s">
        <v>15</v>
      </c>
      <c r="CUJ1" s="563"/>
      <c r="CUK1" s="563"/>
      <c r="CUL1" s="563"/>
      <c r="CUM1" s="563"/>
      <c r="CUN1" s="563"/>
      <c r="CUO1" s="563"/>
      <c r="CUP1" s="563"/>
      <c r="CUQ1" s="563" t="s">
        <v>15</v>
      </c>
      <c r="CUR1" s="563"/>
      <c r="CUS1" s="563"/>
      <c r="CUT1" s="563"/>
      <c r="CUU1" s="563"/>
      <c r="CUV1" s="563"/>
      <c r="CUW1" s="563"/>
      <c r="CUX1" s="563"/>
      <c r="CUY1" s="563" t="s">
        <v>15</v>
      </c>
      <c r="CUZ1" s="563"/>
      <c r="CVA1" s="563"/>
      <c r="CVB1" s="563"/>
      <c r="CVC1" s="563"/>
      <c r="CVD1" s="563"/>
      <c r="CVE1" s="563"/>
      <c r="CVF1" s="563"/>
      <c r="CVG1" s="563" t="s">
        <v>15</v>
      </c>
      <c r="CVH1" s="563"/>
      <c r="CVI1" s="563"/>
      <c r="CVJ1" s="563"/>
      <c r="CVK1" s="563"/>
      <c r="CVL1" s="563"/>
      <c r="CVM1" s="563"/>
      <c r="CVN1" s="563"/>
      <c r="CVO1" s="563" t="s">
        <v>15</v>
      </c>
      <c r="CVP1" s="563"/>
      <c r="CVQ1" s="563"/>
      <c r="CVR1" s="563"/>
      <c r="CVS1" s="563"/>
      <c r="CVT1" s="563"/>
      <c r="CVU1" s="563"/>
      <c r="CVV1" s="563"/>
      <c r="CVW1" s="563" t="s">
        <v>15</v>
      </c>
      <c r="CVX1" s="563"/>
      <c r="CVY1" s="563"/>
      <c r="CVZ1" s="563"/>
      <c r="CWA1" s="563"/>
      <c r="CWB1" s="563"/>
      <c r="CWC1" s="563"/>
      <c r="CWD1" s="563"/>
      <c r="CWE1" s="563" t="s">
        <v>15</v>
      </c>
      <c r="CWF1" s="563"/>
      <c r="CWG1" s="563"/>
      <c r="CWH1" s="563"/>
      <c r="CWI1" s="563"/>
      <c r="CWJ1" s="563"/>
      <c r="CWK1" s="563"/>
      <c r="CWL1" s="563"/>
      <c r="CWM1" s="563" t="s">
        <v>15</v>
      </c>
      <c r="CWN1" s="563"/>
      <c r="CWO1" s="563"/>
      <c r="CWP1" s="563"/>
      <c r="CWQ1" s="563"/>
      <c r="CWR1" s="563"/>
      <c r="CWS1" s="563"/>
      <c r="CWT1" s="563"/>
      <c r="CWU1" s="563" t="s">
        <v>15</v>
      </c>
      <c r="CWV1" s="563"/>
      <c r="CWW1" s="563"/>
      <c r="CWX1" s="563"/>
      <c r="CWY1" s="563"/>
      <c r="CWZ1" s="563"/>
      <c r="CXA1" s="563"/>
      <c r="CXB1" s="563"/>
      <c r="CXC1" s="563" t="s">
        <v>15</v>
      </c>
      <c r="CXD1" s="563"/>
      <c r="CXE1" s="563"/>
      <c r="CXF1" s="563"/>
      <c r="CXG1" s="563"/>
      <c r="CXH1" s="563"/>
      <c r="CXI1" s="563"/>
      <c r="CXJ1" s="563"/>
      <c r="CXK1" s="563" t="s">
        <v>15</v>
      </c>
      <c r="CXL1" s="563"/>
      <c r="CXM1" s="563"/>
      <c r="CXN1" s="563"/>
      <c r="CXO1" s="563"/>
      <c r="CXP1" s="563"/>
      <c r="CXQ1" s="563"/>
      <c r="CXR1" s="563"/>
      <c r="CXS1" s="563" t="s">
        <v>15</v>
      </c>
      <c r="CXT1" s="563"/>
      <c r="CXU1" s="563"/>
      <c r="CXV1" s="563"/>
      <c r="CXW1" s="563"/>
      <c r="CXX1" s="563"/>
      <c r="CXY1" s="563"/>
      <c r="CXZ1" s="563"/>
      <c r="CYA1" s="563" t="s">
        <v>15</v>
      </c>
      <c r="CYB1" s="563"/>
      <c r="CYC1" s="563"/>
      <c r="CYD1" s="563"/>
      <c r="CYE1" s="563"/>
      <c r="CYF1" s="563"/>
      <c r="CYG1" s="563"/>
      <c r="CYH1" s="563"/>
      <c r="CYI1" s="563" t="s">
        <v>15</v>
      </c>
      <c r="CYJ1" s="563"/>
      <c r="CYK1" s="563"/>
      <c r="CYL1" s="563"/>
      <c r="CYM1" s="563"/>
      <c r="CYN1" s="563"/>
      <c r="CYO1" s="563"/>
      <c r="CYP1" s="563"/>
      <c r="CYQ1" s="563" t="s">
        <v>15</v>
      </c>
      <c r="CYR1" s="563"/>
      <c r="CYS1" s="563"/>
      <c r="CYT1" s="563"/>
      <c r="CYU1" s="563"/>
      <c r="CYV1" s="563"/>
      <c r="CYW1" s="563"/>
      <c r="CYX1" s="563"/>
      <c r="CYY1" s="563" t="s">
        <v>15</v>
      </c>
      <c r="CYZ1" s="563"/>
      <c r="CZA1" s="563"/>
      <c r="CZB1" s="563"/>
      <c r="CZC1" s="563"/>
      <c r="CZD1" s="563"/>
      <c r="CZE1" s="563"/>
      <c r="CZF1" s="563"/>
      <c r="CZG1" s="563" t="s">
        <v>15</v>
      </c>
      <c r="CZH1" s="563"/>
      <c r="CZI1" s="563"/>
      <c r="CZJ1" s="563"/>
      <c r="CZK1" s="563"/>
      <c r="CZL1" s="563"/>
      <c r="CZM1" s="563"/>
      <c r="CZN1" s="563"/>
      <c r="CZO1" s="563" t="s">
        <v>15</v>
      </c>
      <c r="CZP1" s="563"/>
      <c r="CZQ1" s="563"/>
      <c r="CZR1" s="563"/>
      <c r="CZS1" s="563"/>
      <c r="CZT1" s="563"/>
      <c r="CZU1" s="563"/>
      <c r="CZV1" s="563"/>
      <c r="CZW1" s="563" t="s">
        <v>15</v>
      </c>
      <c r="CZX1" s="563"/>
      <c r="CZY1" s="563"/>
      <c r="CZZ1" s="563"/>
      <c r="DAA1" s="563"/>
      <c r="DAB1" s="563"/>
      <c r="DAC1" s="563"/>
      <c r="DAD1" s="563"/>
      <c r="DAE1" s="563" t="s">
        <v>15</v>
      </c>
      <c r="DAF1" s="563"/>
      <c r="DAG1" s="563"/>
      <c r="DAH1" s="563"/>
      <c r="DAI1" s="563"/>
      <c r="DAJ1" s="563"/>
      <c r="DAK1" s="563"/>
      <c r="DAL1" s="563"/>
      <c r="DAM1" s="563" t="s">
        <v>15</v>
      </c>
      <c r="DAN1" s="563"/>
      <c r="DAO1" s="563"/>
      <c r="DAP1" s="563"/>
      <c r="DAQ1" s="563"/>
      <c r="DAR1" s="563"/>
      <c r="DAS1" s="563"/>
      <c r="DAT1" s="563"/>
      <c r="DAU1" s="563" t="s">
        <v>15</v>
      </c>
      <c r="DAV1" s="563"/>
      <c r="DAW1" s="563"/>
      <c r="DAX1" s="563"/>
      <c r="DAY1" s="563"/>
      <c r="DAZ1" s="563"/>
      <c r="DBA1" s="563"/>
      <c r="DBB1" s="563"/>
      <c r="DBC1" s="563" t="s">
        <v>15</v>
      </c>
      <c r="DBD1" s="563"/>
      <c r="DBE1" s="563"/>
      <c r="DBF1" s="563"/>
      <c r="DBG1" s="563"/>
      <c r="DBH1" s="563"/>
      <c r="DBI1" s="563"/>
      <c r="DBJ1" s="563"/>
      <c r="DBK1" s="563" t="s">
        <v>15</v>
      </c>
      <c r="DBL1" s="563"/>
      <c r="DBM1" s="563"/>
      <c r="DBN1" s="563"/>
      <c r="DBO1" s="563"/>
      <c r="DBP1" s="563"/>
      <c r="DBQ1" s="563"/>
      <c r="DBR1" s="563"/>
      <c r="DBS1" s="563" t="s">
        <v>15</v>
      </c>
      <c r="DBT1" s="563"/>
      <c r="DBU1" s="563"/>
      <c r="DBV1" s="563"/>
      <c r="DBW1" s="563"/>
      <c r="DBX1" s="563"/>
      <c r="DBY1" s="563"/>
      <c r="DBZ1" s="563"/>
      <c r="DCA1" s="563" t="s">
        <v>15</v>
      </c>
      <c r="DCB1" s="563"/>
      <c r="DCC1" s="563"/>
      <c r="DCD1" s="563"/>
      <c r="DCE1" s="563"/>
      <c r="DCF1" s="563"/>
      <c r="DCG1" s="563"/>
      <c r="DCH1" s="563"/>
      <c r="DCI1" s="563" t="s">
        <v>15</v>
      </c>
      <c r="DCJ1" s="563"/>
      <c r="DCK1" s="563"/>
      <c r="DCL1" s="563"/>
      <c r="DCM1" s="563"/>
      <c r="DCN1" s="563"/>
      <c r="DCO1" s="563"/>
      <c r="DCP1" s="563"/>
      <c r="DCQ1" s="563" t="s">
        <v>15</v>
      </c>
      <c r="DCR1" s="563"/>
      <c r="DCS1" s="563"/>
      <c r="DCT1" s="563"/>
      <c r="DCU1" s="563"/>
      <c r="DCV1" s="563"/>
      <c r="DCW1" s="563"/>
      <c r="DCX1" s="563"/>
      <c r="DCY1" s="563" t="s">
        <v>15</v>
      </c>
      <c r="DCZ1" s="563"/>
      <c r="DDA1" s="563"/>
      <c r="DDB1" s="563"/>
      <c r="DDC1" s="563"/>
      <c r="DDD1" s="563"/>
      <c r="DDE1" s="563"/>
      <c r="DDF1" s="563"/>
      <c r="DDG1" s="563" t="s">
        <v>15</v>
      </c>
      <c r="DDH1" s="563"/>
      <c r="DDI1" s="563"/>
      <c r="DDJ1" s="563"/>
      <c r="DDK1" s="563"/>
      <c r="DDL1" s="563"/>
      <c r="DDM1" s="563"/>
      <c r="DDN1" s="563"/>
      <c r="DDO1" s="563" t="s">
        <v>15</v>
      </c>
      <c r="DDP1" s="563"/>
      <c r="DDQ1" s="563"/>
      <c r="DDR1" s="563"/>
      <c r="DDS1" s="563"/>
      <c r="DDT1" s="563"/>
      <c r="DDU1" s="563"/>
      <c r="DDV1" s="563"/>
      <c r="DDW1" s="563" t="s">
        <v>15</v>
      </c>
      <c r="DDX1" s="563"/>
      <c r="DDY1" s="563"/>
      <c r="DDZ1" s="563"/>
      <c r="DEA1" s="563"/>
      <c r="DEB1" s="563"/>
      <c r="DEC1" s="563"/>
      <c r="DED1" s="563"/>
      <c r="DEE1" s="563" t="s">
        <v>15</v>
      </c>
      <c r="DEF1" s="563"/>
      <c r="DEG1" s="563"/>
      <c r="DEH1" s="563"/>
      <c r="DEI1" s="563"/>
      <c r="DEJ1" s="563"/>
      <c r="DEK1" s="563"/>
      <c r="DEL1" s="563"/>
      <c r="DEM1" s="563" t="s">
        <v>15</v>
      </c>
      <c r="DEN1" s="563"/>
      <c r="DEO1" s="563"/>
      <c r="DEP1" s="563"/>
      <c r="DEQ1" s="563"/>
      <c r="DER1" s="563"/>
      <c r="DES1" s="563"/>
      <c r="DET1" s="563"/>
      <c r="DEU1" s="563" t="s">
        <v>15</v>
      </c>
      <c r="DEV1" s="563"/>
      <c r="DEW1" s="563"/>
      <c r="DEX1" s="563"/>
      <c r="DEY1" s="563"/>
      <c r="DEZ1" s="563"/>
      <c r="DFA1" s="563"/>
      <c r="DFB1" s="563"/>
      <c r="DFC1" s="563" t="s">
        <v>15</v>
      </c>
      <c r="DFD1" s="563"/>
      <c r="DFE1" s="563"/>
      <c r="DFF1" s="563"/>
      <c r="DFG1" s="563"/>
      <c r="DFH1" s="563"/>
      <c r="DFI1" s="563"/>
      <c r="DFJ1" s="563"/>
      <c r="DFK1" s="563" t="s">
        <v>15</v>
      </c>
      <c r="DFL1" s="563"/>
      <c r="DFM1" s="563"/>
      <c r="DFN1" s="563"/>
      <c r="DFO1" s="563"/>
      <c r="DFP1" s="563"/>
      <c r="DFQ1" s="563"/>
      <c r="DFR1" s="563"/>
      <c r="DFS1" s="563" t="s">
        <v>15</v>
      </c>
      <c r="DFT1" s="563"/>
      <c r="DFU1" s="563"/>
      <c r="DFV1" s="563"/>
      <c r="DFW1" s="563"/>
      <c r="DFX1" s="563"/>
      <c r="DFY1" s="563"/>
      <c r="DFZ1" s="563"/>
      <c r="DGA1" s="563" t="s">
        <v>15</v>
      </c>
      <c r="DGB1" s="563"/>
      <c r="DGC1" s="563"/>
      <c r="DGD1" s="563"/>
      <c r="DGE1" s="563"/>
      <c r="DGF1" s="563"/>
      <c r="DGG1" s="563"/>
      <c r="DGH1" s="563"/>
      <c r="DGI1" s="563" t="s">
        <v>15</v>
      </c>
      <c r="DGJ1" s="563"/>
      <c r="DGK1" s="563"/>
      <c r="DGL1" s="563"/>
      <c r="DGM1" s="563"/>
      <c r="DGN1" s="563"/>
      <c r="DGO1" s="563"/>
      <c r="DGP1" s="563"/>
      <c r="DGQ1" s="563" t="s">
        <v>15</v>
      </c>
      <c r="DGR1" s="563"/>
      <c r="DGS1" s="563"/>
      <c r="DGT1" s="563"/>
      <c r="DGU1" s="563"/>
      <c r="DGV1" s="563"/>
      <c r="DGW1" s="563"/>
      <c r="DGX1" s="563"/>
      <c r="DGY1" s="563" t="s">
        <v>15</v>
      </c>
      <c r="DGZ1" s="563"/>
      <c r="DHA1" s="563"/>
      <c r="DHB1" s="563"/>
      <c r="DHC1" s="563"/>
      <c r="DHD1" s="563"/>
      <c r="DHE1" s="563"/>
      <c r="DHF1" s="563"/>
      <c r="DHG1" s="563" t="s">
        <v>15</v>
      </c>
      <c r="DHH1" s="563"/>
      <c r="DHI1" s="563"/>
      <c r="DHJ1" s="563"/>
      <c r="DHK1" s="563"/>
      <c r="DHL1" s="563"/>
      <c r="DHM1" s="563"/>
      <c r="DHN1" s="563"/>
      <c r="DHO1" s="563" t="s">
        <v>15</v>
      </c>
      <c r="DHP1" s="563"/>
      <c r="DHQ1" s="563"/>
      <c r="DHR1" s="563"/>
      <c r="DHS1" s="563"/>
      <c r="DHT1" s="563"/>
      <c r="DHU1" s="563"/>
      <c r="DHV1" s="563"/>
      <c r="DHW1" s="563" t="s">
        <v>15</v>
      </c>
      <c r="DHX1" s="563"/>
      <c r="DHY1" s="563"/>
      <c r="DHZ1" s="563"/>
      <c r="DIA1" s="563"/>
      <c r="DIB1" s="563"/>
      <c r="DIC1" s="563"/>
      <c r="DID1" s="563"/>
      <c r="DIE1" s="563" t="s">
        <v>15</v>
      </c>
      <c r="DIF1" s="563"/>
      <c r="DIG1" s="563"/>
      <c r="DIH1" s="563"/>
      <c r="DII1" s="563"/>
      <c r="DIJ1" s="563"/>
      <c r="DIK1" s="563"/>
      <c r="DIL1" s="563"/>
      <c r="DIM1" s="563" t="s">
        <v>15</v>
      </c>
      <c r="DIN1" s="563"/>
      <c r="DIO1" s="563"/>
      <c r="DIP1" s="563"/>
      <c r="DIQ1" s="563"/>
      <c r="DIR1" s="563"/>
      <c r="DIS1" s="563"/>
      <c r="DIT1" s="563"/>
      <c r="DIU1" s="563" t="s">
        <v>15</v>
      </c>
      <c r="DIV1" s="563"/>
      <c r="DIW1" s="563"/>
      <c r="DIX1" s="563"/>
      <c r="DIY1" s="563"/>
      <c r="DIZ1" s="563"/>
      <c r="DJA1" s="563"/>
      <c r="DJB1" s="563"/>
      <c r="DJC1" s="563" t="s">
        <v>15</v>
      </c>
      <c r="DJD1" s="563"/>
      <c r="DJE1" s="563"/>
      <c r="DJF1" s="563"/>
      <c r="DJG1" s="563"/>
      <c r="DJH1" s="563"/>
      <c r="DJI1" s="563"/>
      <c r="DJJ1" s="563"/>
      <c r="DJK1" s="563" t="s">
        <v>15</v>
      </c>
      <c r="DJL1" s="563"/>
      <c r="DJM1" s="563"/>
      <c r="DJN1" s="563"/>
      <c r="DJO1" s="563"/>
      <c r="DJP1" s="563"/>
      <c r="DJQ1" s="563"/>
      <c r="DJR1" s="563"/>
      <c r="DJS1" s="563" t="s">
        <v>15</v>
      </c>
      <c r="DJT1" s="563"/>
      <c r="DJU1" s="563"/>
      <c r="DJV1" s="563"/>
      <c r="DJW1" s="563"/>
      <c r="DJX1" s="563"/>
      <c r="DJY1" s="563"/>
      <c r="DJZ1" s="563"/>
      <c r="DKA1" s="563" t="s">
        <v>15</v>
      </c>
      <c r="DKB1" s="563"/>
      <c r="DKC1" s="563"/>
      <c r="DKD1" s="563"/>
      <c r="DKE1" s="563"/>
      <c r="DKF1" s="563"/>
      <c r="DKG1" s="563"/>
      <c r="DKH1" s="563"/>
      <c r="DKI1" s="563" t="s">
        <v>15</v>
      </c>
      <c r="DKJ1" s="563"/>
      <c r="DKK1" s="563"/>
      <c r="DKL1" s="563"/>
      <c r="DKM1" s="563"/>
      <c r="DKN1" s="563"/>
      <c r="DKO1" s="563"/>
      <c r="DKP1" s="563"/>
      <c r="DKQ1" s="563" t="s">
        <v>15</v>
      </c>
      <c r="DKR1" s="563"/>
      <c r="DKS1" s="563"/>
      <c r="DKT1" s="563"/>
      <c r="DKU1" s="563"/>
      <c r="DKV1" s="563"/>
      <c r="DKW1" s="563"/>
      <c r="DKX1" s="563"/>
      <c r="DKY1" s="563" t="s">
        <v>15</v>
      </c>
      <c r="DKZ1" s="563"/>
      <c r="DLA1" s="563"/>
      <c r="DLB1" s="563"/>
      <c r="DLC1" s="563"/>
      <c r="DLD1" s="563"/>
      <c r="DLE1" s="563"/>
      <c r="DLF1" s="563"/>
      <c r="DLG1" s="563" t="s">
        <v>15</v>
      </c>
      <c r="DLH1" s="563"/>
      <c r="DLI1" s="563"/>
      <c r="DLJ1" s="563"/>
      <c r="DLK1" s="563"/>
      <c r="DLL1" s="563"/>
      <c r="DLM1" s="563"/>
      <c r="DLN1" s="563"/>
      <c r="DLO1" s="563" t="s">
        <v>15</v>
      </c>
      <c r="DLP1" s="563"/>
      <c r="DLQ1" s="563"/>
      <c r="DLR1" s="563"/>
      <c r="DLS1" s="563"/>
      <c r="DLT1" s="563"/>
      <c r="DLU1" s="563"/>
      <c r="DLV1" s="563"/>
      <c r="DLW1" s="563" t="s">
        <v>15</v>
      </c>
      <c r="DLX1" s="563"/>
      <c r="DLY1" s="563"/>
      <c r="DLZ1" s="563"/>
      <c r="DMA1" s="563"/>
      <c r="DMB1" s="563"/>
      <c r="DMC1" s="563"/>
      <c r="DMD1" s="563"/>
      <c r="DME1" s="563" t="s">
        <v>15</v>
      </c>
      <c r="DMF1" s="563"/>
      <c r="DMG1" s="563"/>
      <c r="DMH1" s="563"/>
      <c r="DMI1" s="563"/>
      <c r="DMJ1" s="563"/>
      <c r="DMK1" s="563"/>
      <c r="DML1" s="563"/>
      <c r="DMM1" s="563" t="s">
        <v>15</v>
      </c>
      <c r="DMN1" s="563"/>
      <c r="DMO1" s="563"/>
      <c r="DMP1" s="563"/>
      <c r="DMQ1" s="563"/>
      <c r="DMR1" s="563"/>
      <c r="DMS1" s="563"/>
      <c r="DMT1" s="563"/>
      <c r="DMU1" s="563" t="s">
        <v>15</v>
      </c>
      <c r="DMV1" s="563"/>
      <c r="DMW1" s="563"/>
      <c r="DMX1" s="563"/>
      <c r="DMY1" s="563"/>
      <c r="DMZ1" s="563"/>
      <c r="DNA1" s="563"/>
      <c r="DNB1" s="563"/>
      <c r="DNC1" s="563" t="s">
        <v>15</v>
      </c>
      <c r="DND1" s="563"/>
      <c r="DNE1" s="563"/>
      <c r="DNF1" s="563"/>
      <c r="DNG1" s="563"/>
      <c r="DNH1" s="563"/>
      <c r="DNI1" s="563"/>
      <c r="DNJ1" s="563"/>
      <c r="DNK1" s="563" t="s">
        <v>15</v>
      </c>
      <c r="DNL1" s="563"/>
      <c r="DNM1" s="563"/>
      <c r="DNN1" s="563"/>
      <c r="DNO1" s="563"/>
      <c r="DNP1" s="563"/>
      <c r="DNQ1" s="563"/>
      <c r="DNR1" s="563"/>
      <c r="DNS1" s="563" t="s">
        <v>15</v>
      </c>
      <c r="DNT1" s="563"/>
      <c r="DNU1" s="563"/>
      <c r="DNV1" s="563"/>
      <c r="DNW1" s="563"/>
      <c r="DNX1" s="563"/>
      <c r="DNY1" s="563"/>
      <c r="DNZ1" s="563"/>
      <c r="DOA1" s="563" t="s">
        <v>15</v>
      </c>
      <c r="DOB1" s="563"/>
      <c r="DOC1" s="563"/>
      <c r="DOD1" s="563"/>
      <c r="DOE1" s="563"/>
      <c r="DOF1" s="563"/>
      <c r="DOG1" s="563"/>
      <c r="DOH1" s="563"/>
      <c r="DOI1" s="563" t="s">
        <v>15</v>
      </c>
      <c r="DOJ1" s="563"/>
      <c r="DOK1" s="563"/>
      <c r="DOL1" s="563"/>
      <c r="DOM1" s="563"/>
      <c r="DON1" s="563"/>
      <c r="DOO1" s="563"/>
      <c r="DOP1" s="563"/>
      <c r="DOQ1" s="563" t="s">
        <v>15</v>
      </c>
      <c r="DOR1" s="563"/>
      <c r="DOS1" s="563"/>
      <c r="DOT1" s="563"/>
      <c r="DOU1" s="563"/>
      <c r="DOV1" s="563"/>
      <c r="DOW1" s="563"/>
      <c r="DOX1" s="563"/>
      <c r="DOY1" s="563" t="s">
        <v>15</v>
      </c>
      <c r="DOZ1" s="563"/>
      <c r="DPA1" s="563"/>
      <c r="DPB1" s="563"/>
      <c r="DPC1" s="563"/>
      <c r="DPD1" s="563"/>
      <c r="DPE1" s="563"/>
      <c r="DPF1" s="563"/>
      <c r="DPG1" s="563" t="s">
        <v>15</v>
      </c>
      <c r="DPH1" s="563"/>
      <c r="DPI1" s="563"/>
      <c r="DPJ1" s="563"/>
      <c r="DPK1" s="563"/>
      <c r="DPL1" s="563"/>
      <c r="DPM1" s="563"/>
      <c r="DPN1" s="563"/>
      <c r="DPO1" s="563" t="s">
        <v>15</v>
      </c>
      <c r="DPP1" s="563"/>
      <c r="DPQ1" s="563"/>
      <c r="DPR1" s="563"/>
      <c r="DPS1" s="563"/>
      <c r="DPT1" s="563"/>
      <c r="DPU1" s="563"/>
      <c r="DPV1" s="563"/>
      <c r="DPW1" s="563" t="s">
        <v>15</v>
      </c>
      <c r="DPX1" s="563"/>
      <c r="DPY1" s="563"/>
      <c r="DPZ1" s="563"/>
      <c r="DQA1" s="563"/>
      <c r="DQB1" s="563"/>
      <c r="DQC1" s="563"/>
      <c r="DQD1" s="563"/>
      <c r="DQE1" s="563" t="s">
        <v>15</v>
      </c>
      <c r="DQF1" s="563"/>
      <c r="DQG1" s="563"/>
      <c r="DQH1" s="563"/>
      <c r="DQI1" s="563"/>
      <c r="DQJ1" s="563"/>
      <c r="DQK1" s="563"/>
      <c r="DQL1" s="563"/>
      <c r="DQM1" s="563" t="s">
        <v>15</v>
      </c>
      <c r="DQN1" s="563"/>
      <c r="DQO1" s="563"/>
      <c r="DQP1" s="563"/>
      <c r="DQQ1" s="563"/>
      <c r="DQR1" s="563"/>
      <c r="DQS1" s="563"/>
      <c r="DQT1" s="563"/>
      <c r="DQU1" s="563" t="s">
        <v>15</v>
      </c>
      <c r="DQV1" s="563"/>
      <c r="DQW1" s="563"/>
      <c r="DQX1" s="563"/>
      <c r="DQY1" s="563"/>
      <c r="DQZ1" s="563"/>
      <c r="DRA1" s="563"/>
      <c r="DRB1" s="563"/>
      <c r="DRC1" s="563" t="s">
        <v>15</v>
      </c>
      <c r="DRD1" s="563"/>
      <c r="DRE1" s="563"/>
      <c r="DRF1" s="563"/>
      <c r="DRG1" s="563"/>
      <c r="DRH1" s="563"/>
      <c r="DRI1" s="563"/>
      <c r="DRJ1" s="563"/>
      <c r="DRK1" s="563" t="s">
        <v>15</v>
      </c>
      <c r="DRL1" s="563"/>
      <c r="DRM1" s="563"/>
      <c r="DRN1" s="563"/>
      <c r="DRO1" s="563"/>
      <c r="DRP1" s="563"/>
      <c r="DRQ1" s="563"/>
      <c r="DRR1" s="563"/>
      <c r="DRS1" s="563" t="s">
        <v>15</v>
      </c>
      <c r="DRT1" s="563"/>
      <c r="DRU1" s="563"/>
      <c r="DRV1" s="563"/>
      <c r="DRW1" s="563"/>
      <c r="DRX1" s="563"/>
      <c r="DRY1" s="563"/>
      <c r="DRZ1" s="563"/>
      <c r="DSA1" s="563" t="s">
        <v>15</v>
      </c>
      <c r="DSB1" s="563"/>
      <c r="DSC1" s="563"/>
      <c r="DSD1" s="563"/>
      <c r="DSE1" s="563"/>
      <c r="DSF1" s="563"/>
      <c r="DSG1" s="563"/>
      <c r="DSH1" s="563"/>
      <c r="DSI1" s="563" t="s">
        <v>15</v>
      </c>
      <c r="DSJ1" s="563"/>
      <c r="DSK1" s="563"/>
      <c r="DSL1" s="563"/>
      <c r="DSM1" s="563"/>
      <c r="DSN1" s="563"/>
      <c r="DSO1" s="563"/>
      <c r="DSP1" s="563"/>
      <c r="DSQ1" s="563" t="s">
        <v>15</v>
      </c>
      <c r="DSR1" s="563"/>
      <c r="DSS1" s="563"/>
      <c r="DST1" s="563"/>
      <c r="DSU1" s="563"/>
      <c r="DSV1" s="563"/>
      <c r="DSW1" s="563"/>
      <c r="DSX1" s="563"/>
      <c r="DSY1" s="563" t="s">
        <v>15</v>
      </c>
      <c r="DSZ1" s="563"/>
      <c r="DTA1" s="563"/>
      <c r="DTB1" s="563"/>
      <c r="DTC1" s="563"/>
      <c r="DTD1" s="563"/>
      <c r="DTE1" s="563"/>
      <c r="DTF1" s="563"/>
      <c r="DTG1" s="563" t="s">
        <v>15</v>
      </c>
      <c r="DTH1" s="563"/>
      <c r="DTI1" s="563"/>
      <c r="DTJ1" s="563"/>
      <c r="DTK1" s="563"/>
      <c r="DTL1" s="563"/>
      <c r="DTM1" s="563"/>
      <c r="DTN1" s="563"/>
      <c r="DTO1" s="563" t="s">
        <v>15</v>
      </c>
      <c r="DTP1" s="563"/>
      <c r="DTQ1" s="563"/>
      <c r="DTR1" s="563"/>
      <c r="DTS1" s="563"/>
      <c r="DTT1" s="563"/>
      <c r="DTU1" s="563"/>
      <c r="DTV1" s="563"/>
      <c r="DTW1" s="563" t="s">
        <v>15</v>
      </c>
      <c r="DTX1" s="563"/>
      <c r="DTY1" s="563"/>
      <c r="DTZ1" s="563"/>
      <c r="DUA1" s="563"/>
      <c r="DUB1" s="563"/>
      <c r="DUC1" s="563"/>
      <c r="DUD1" s="563"/>
      <c r="DUE1" s="563" t="s">
        <v>15</v>
      </c>
      <c r="DUF1" s="563"/>
      <c r="DUG1" s="563"/>
      <c r="DUH1" s="563"/>
      <c r="DUI1" s="563"/>
      <c r="DUJ1" s="563"/>
      <c r="DUK1" s="563"/>
      <c r="DUL1" s="563"/>
      <c r="DUM1" s="563" t="s">
        <v>15</v>
      </c>
      <c r="DUN1" s="563"/>
      <c r="DUO1" s="563"/>
      <c r="DUP1" s="563"/>
      <c r="DUQ1" s="563"/>
      <c r="DUR1" s="563"/>
      <c r="DUS1" s="563"/>
      <c r="DUT1" s="563"/>
      <c r="DUU1" s="563" t="s">
        <v>15</v>
      </c>
      <c r="DUV1" s="563"/>
      <c r="DUW1" s="563"/>
      <c r="DUX1" s="563"/>
      <c r="DUY1" s="563"/>
      <c r="DUZ1" s="563"/>
      <c r="DVA1" s="563"/>
      <c r="DVB1" s="563"/>
      <c r="DVC1" s="563" t="s">
        <v>15</v>
      </c>
      <c r="DVD1" s="563"/>
      <c r="DVE1" s="563"/>
      <c r="DVF1" s="563"/>
      <c r="DVG1" s="563"/>
      <c r="DVH1" s="563"/>
      <c r="DVI1" s="563"/>
      <c r="DVJ1" s="563"/>
      <c r="DVK1" s="563" t="s">
        <v>15</v>
      </c>
      <c r="DVL1" s="563"/>
      <c r="DVM1" s="563"/>
      <c r="DVN1" s="563"/>
      <c r="DVO1" s="563"/>
      <c r="DVP1" s="563"/>
      <c r="DVQ1" s="563"/>
      <c r="DVR1" s="563"/>
      <c r="DVS1" s="563" t="s">
        <v>15</v>
      </c>
      <c r="DVT1" s="563"/>
      <c r="DVU1" s="563"/>
      <c r="DVV1" s="563"/>
      <c r="DVW1" s="563"/>
      <c r="DVX1" s="563"/>
      <c r="DVY1" s="563"/>
      <c r="DVZ1" s="563"/>
      <c r="DWA1" s="563" t="s">
        <v>15</v>
      </c>
      <c r="DWB1" s="563"/>
      <c r="DWC1" s="563"/>
      <c r="DWD1" s="563"/>
      <c r="DWE1" s="563"/>
      <c r="DWF1" s="563"/>
      <c r="DWG1" s="563"/>
      <c r="DWH1" s="563"/>
      <c r="DWI1" s="563" t="s">
        <v>15</v>
      </c>
      <c r="DWJ1" s="563"/>
      <c r="DWK1" s="563"/>
      <c r="DWL1" s="563"/>
      <c r="DWM1" s="563"/>
      <c r="DWN1" s="563"/>
      <c r="DWO1" s="563"/>
      <c r="DWP1" s="563"/>
      <c r="DWQ1" s="563" t="s">
        <v>15</v>
      </c>
      <c r="DWR1" s="563"/>
      <c r="DWS1" s="563"/>
      <c r="DWT1" s="563"/>
      <c r="DWU1" s="563"/>
      <c r="DWV1" s="563"/>
      <c r="DWW1" s="563"/>
      <c r="DWX1" s="563"/>
      <c r="DWY1" s="563" t="s">
        <v>15</v>
      </c>
      <c r="DWZ1" s="563"/>
      <c r="DXA1" s="563"/>
      <c r="DXB1" s="563"/>
      <c r="DXC1" s="563"/>
      <c r="DXD1" s="563"/>
      <c r="DXE1" s="563"/>
      <c r="DXF1" s="563"/>
      <c r="DXG1" s="563" t="s">
        <v>15</v>
      </c>
      <c r="DXH1" s="563"/>
      <c r="DXI1" s="563"/>
      <c r="DXJ1" s="563"/>
      <c r="DXK1" s="563"/>
      <c r="DXL1" s="563"/>
      <c r="DXM1" s="563"/>
      <c r="DXN1" s="563"/>
      <c r="DXO1" s="563" t="s">
        <v>15</v>
      </c>
      <c r="DXP1" s="563"/>
      <c r="DXQ1" s="563"/>
      <c r="DXR1" s="563"/>
      <c r="DXS1" s="563"/>
      <c r="DXT1" s="563"/>
      <c r="DXU1" s="563"/>
      <c r="DXV1" s="563"/>
      <c r="DXW1" s="563" t="s">
        <v>15</v>
      </c>
      <c r="DXX1" s="563"/>
      <c r="DXY1" s="563"/>
      <c r="DXZ1" s="563"/>
      <c r="DYA1" s="563"/>
      <c r="DYB1" s="563"/>
      <c r="DYC1" s="563"/>
      <c r="DYD1" s="563"/>
      <c r="DYE1" s="563" t="s">
        <v>15</v>
      </c>
      <c r="DYF1" s="563"/>
      <c r="DYG1" s="563"/>
      <c r="DYH1" s="563"/>
      <c r="DYI1" s="563"/>
      <c r="DYJ1" s="563"/>
      <c r="DYK1" s="563"/>
      <c r="DYL1" s="563"/>
      <c r="DYM1" s="563" t="s">
        <v>15</v>
      </c>
      <c r="DYN1" s="563"/>
      <c r="DYO1" s="563"/>
      <c r="DYP1" s="563"/>
      <c r="DYQ1" s="563"/>
      <c r="DYR1" s="563"/>
      <c r="DYS1" s="563"/>
      <c r="DYT1" s="563"/>
      <c r="DYU1" s="563" t="s">
        <v>15</v>
      </c>
      <c r="DYV1" s="563"/>
      <c r="DYW1" s="563"/>
      <c r="DYX1" s="563"/>
      <c r="DYY1" s="563"/>
      <c r="DYZ1" s="563"/>
      <c r="DZA1" s="563"/>
      <c r="DZB1" s="563"/>
      <c r="DZC1" s="563" t="s">
        <v>15</v>
      </c>
      <c r="DZD1" s="563"/>
      <c r="DZE1" s="563"/>
      <c r="DZF1" s="563"/>
      <c r="DZG1" s="563"/>
      <c r="DZH1" s="563"/>
      <c r="DZI1" s="563"/>
      <c r="DZJ1" s="563"/>
      <c r="DZK1" s="563" t="s">
        <v>15</v>
      </c>
      <c r="DZL1" s="563"/>
      <c r="DZM1" s="563"/>
      <c r="DZN1" s="563"/>
      <c r="DZO1" s="563"/>
      <c r="DZP1" s="563"/>
      <c r="DZQ1" s="563"/>
      <c r="DZR1" s="563"/>
      <c r="DZS1" s="563" t="s">
        <v>15</v>
      </c>
      <c r="DZT1" s="563"/>
      <c r="DZU1" s="563"/>
      <c r="DZV1" s="563"/>
      <c r="DZW1" s="563"/>
      <c r="DZX1" s="563"/>
      <c r="DZY1" s="563"/>
      <c r="DZZ1" s="563"/>
      <c r="EAA1" s="563" t="s">
        <v>15</v>
      </c>
      <c r="EAB1" s="563"/>
      <c r="EAC1" s="563"/>
      <c r="EAD1" s="563"/>
      <c r="EAE1" s="563"/>
      <c r="EAF1" s="563"/>
      <c r="EAG1" s="563"/>
      <c r="EAH1" s="563"/>
      <c r="EAI1" s="563" t="s">
        <v>15</v>
      </c>
      <c r="EAJ1" s="563"/>
      <c r="EAK1" s="563"/>
      <c r="EAL1" s="563"/>
      <c r="EAM1" s="563"/>
      <c r="EAN1" s="563"/>
      <c r="EAO1" s="563"/>
      <c r="EAP1" s="563"/>
      <c r="EAQ1" s="563" t="s">
        <v>15</v>
      </c>
      <c r="EAR1" s="563"/>
      <c r="EAS1" s="563"/>
      <c r="EAT1" s="563"/>
      <c r="EAU1" s="563"/>
      <c r="EAV1" s="563"/>
      <c r="EAW1" s="563"/>
      <c r="EAX1" s="563"/>
      <c r="EAY1" s="563" t="s">
        <v>15</v>
      </c>
      <c r="EAZ1" s="563"/>
      <c r="EBA1" s="563"/>
      <c r="EBB1" s="563"/>
      <c r="EBC1" s="563"/>
      <c r="EBD1" s="563"/>
      <c r="EBE1" s="563"/>
      <c r="EBF1" s="563"/>
      <c r="EBG1" s="563" t="s">
        <v>15</v>
      </c>
      <c r="EBH1" s="563"/>
      <c r="EBI1" s="563"/>
      <c r="EBJ1" s="563"/>
      <c r="EBK1" s="563"/>
      <c r="EBL1" s="563"/>
      <c r="EBM1" s="563"/>
      <c r="EBN1" s="563"/>
      <c r="EBO1" s="563" t="s">
        <v>15</v>
      </c>
      <c r="EBP1" s="563"/>
      <c r="EBQ1" s="563"/>
      <c r="EBR1" s="563"/>
      <c r="EBS1" s="563"/>
      <c r="EBT1" s="563"/>
      <c r="EBU1" s="563"/>
      <c r="EBV1" s="563"/>
      <c r="EBW1" s="563" t="s">
        <v>15</v>
      </c>
      <c r="EBX1" s="563"/>
      <c r="EBY1" s="563"/>
      <c r="EBZ1" s="563"/>
      <c r="ECA1" s="563"/>
      <c r="ECB1" s="563"/>
      <c r="ECC1" s="563"/>
      <c r="ECD1" s="563"/>
      <c r="ECE1" s="563" t="s">
        <v>15</v>
      </c>
      <c r="ECF1" s="563"/>
      <c r="ECG1" s="563"/>
      <c r="ECH1" s="563"/>
      <c r="ECI1" s="563"/>
      <c r="ECJ1" s="563"/>
      <c r="ECK1" s="563"/>
      <c r="ECL1" s="563"/>
      <c r="ECM1" s="563" t="s">
        <v>15</v>
      </c>
      <c r="ECN1" s="563"/>
      <c r="ECO1" s="563"/>
      <c r="ECP1" s="563"/>
      <c r="ECQ1" s="563"/>
      <c r="ECR1" s="563"/>
      <c r="ECS1" s="563"/>
      <c r="ECT1" s="563"/>
      <c r="ECU1" s="563" t="s">
        <v>15</v>
      </c>
      <c r="ECV1" s="563"/>
      <c r="ECW1" s="563"/>
      <c r="ECX1" s="563"/>
      <c r="ECY1" s="563"/>
      <c r="ECZ1" s="563"/>
      <c r="EDA1" s="563"/>
      <c r="EDB1" s="563"/>
      <c r="EDC1" s="563" t="s">
        <v>15</v>
      </c>
      <c r="EDD1" s="563"/>
      <c r="EDE1" s="563"/>
      <c r="EDF1" s="563"/>
      <c r="EDG1" s="563"/>
      <c r="EDH1" s="563"/>
      <c r="EDI1" s="563"/>
      <c r="EDJ1" s="563"/>
      <c r="EDK1" s="563" t="s">
        <v>15</v>
      </c>
      <c r="EDL1" s="563"/>
      <c r="EDM1" s="563"/>
      <c r="EDN1" s="563"/>
      <c r="EDO1" s="563"/>
      <c r="EDP1" s="563"/>
      <c r="EDQ1" s="563"/>
      <c r="EDR1" s="563"/>
      <c r="EDS1" s="563" t="s">
        <v>15</v>
      </c>
      <c r="EDT1" s="563"/>
      <c r="EDU1" s="563"/>
      <c r="EDV1" s="563"/>
      <c r="EDW1" s="563"/>
      <c r="EDX1" s="563"/>
      <c r="EDY1" s="563"/>
      <c r="EDZ1" s="563"/>
      <c r="EEA1" s="563" t="s">
        <v>15</v>
      </c>
      <c r="EEB1" s="563"/>
      <c r="EEC1" s="563"/>
      <c r="EED1" s="563"/>
      <c r="EEE1" s="563"/>
      <c r="EEF1" s="563"/>
      <c r="EEG1" s="563"/>
      <c r="EEH1" s="563"/>
      <c r="EEI1" s="563" t="s">
        <v>15</v>
      </c>
      <c r="EEJ1" s="563"/>
      <c r="EEK1" s="563"/>
      <c r="EEL1" s="563"/>
      <c r="EEM1" s="563"/>
      <c r="EEN1" s="563"/>
      <c r="EEO1" s="563"/>
      <c r="EEP1" s="563"/>
      <c r="EEQ1" s="563" t="s">
        <v>15</v>
      </c>
      <c r="EER1" s="563"/>
      <c r="EES1" s="563"/>
      <c r="EET1" s="563"/>
      <c r="EEU1" s="563"/>
      <c r="EEV1" s="563"/>
      <c r="EEW1" s="563"/>
      <c r="EEX1" s="563"/>
      <c r="EEY1" s="563" t="s">
        <v>15</v>
      </c>
      <c r="EEZ1" s="563"/>
      <c r="EFA1" s="563"/>
      <c r="EFB1" s="563"/>
      <c r="EFC1" s="563"/>
      <c r="EFD1" s="563"/>
      <c r="EFE1" s="563"/>
      <c r="EFF1" s="563"/>
      <c r="EFG1" s="563" t="s">
        <v>15</v>
      </c>
      <c r="EFH1" s="563"/>
      <c r="EFI1" s="563"/>
      <c r="EFJ1" s="563"/>
      <c r="EFK1" s="563"/>
      <c r="EFL1" s="563"/>
      <c r="EFM1" s="563"/>
      <c r="EFN1" s="563"/>
      <c r="EFO1" s="563" t="s">
        <v>15</v>
      </c>
      <c r="EFP1" s="563"/>
      <c r="EFQ1" s="563"/>
      <c r="EFR1" s="563"/>
      <c r="EFS1" s="563"/>
      <c r="EFT1" s="563"/>
      <c r="EFU1" s="563"/>
      <c r="EFV1" s="563"/>
      <c r="EFW1" s="563" t="s">
        <v>15</v>
      </c>
      <c r="EFX1" s="563"/>
      <c r="EFY1" s="563"/>
      <c r="EFZ1" s="563"/>
      <c r="EGA1" s="563"/>
      <c r="EGB1" s="563"/>
      <c r="EGC1" s="563"/>
      <c r="EGD1" s="563"/>
      <c r="EGE1" s="563" t="s">
        <v>15</v>
      </c>
      <c r="EGF1" s="563"/>
      <c r="EGG1" s="563"/>
      <c r="EGH1" s="563"/>
      <c r="EGI1" s="563"/>
      <c r="EGJ1" s="563"/>
      <c r="EGK1" s="563"/>
      <c r="EGL1" s="563"/>
      <c r="EGM1" s="563" t="s">
        <v>15</v>
      </c>
      <c r="EGN1" s="563"/>
      <c r="EGO1" s="563"/>
      <c r="EGP1" s="563"/>
      <c r="EGQ1" s="563"/>
      <c r="EGR1" s="563"/>
      <c r="EGS1" s="563"/>
      <c r="EGT1" s="563"/>
      <c r="EGU1" s="563" t="s">
        <v>15</v>
      </c>
      <c r="EGV1" s="563"/>
      <c r="EGW1" s="563"/>
      <c r="EGX1" s="563"/>
      <c r="EGY1" s="563"/>
      <c r="EGZ1" s="563"/>
      <c r="EHA1" s="563"/>
      <c r="EHB1" s="563"/>
      <c r="EHC1" s="563" t="s">
        <v>15</v>
      </c>
      <c r="EHD1" s="563"/>
      <c r="EHE1" s="563"/>
      <c r="EHF1" s="563"/>
      <c r="EHG1" s="563"/>
      <c r="EHH1" s="563"/>
      <c r="EHI1" s="563"/>
      <c r="EHJ1" s="563"/>
      <c r="EHK1" s="563" t="s">
        <v>15</v>
      </c>
      <c r="EHL1" s="563"/>
      <c r="EHM1" s="563"/>
      <c r="EHN1" s="563"/>
      <c r="EHO1" s="563"/>
      <c r="EHP1" s="563"/>
      <c r="EHQ1" s="563"/>
      <c r="EHR1" s="563"/>
      <c r="EHS1" s="563" t="s">
        <v>15</v>
      </c>
      <c r="EHT1" s="563"/>
      <c r="EHU1" s="563"/>
      <c r="EHV1" s="563"/>
      <c r="EHW1" s="563"/>
      <c r="EHX1" s="563"/>
      <c r="EHY1" s="563"/>
      <c r="EHZ1" s="563"/>
      <c r="EIA1" s="563" t="s">
        <v>15</v>
      </c>
      <c r="EIB1" s="563"/>
      <c r="EIC1" s="563"/>
      <c r="EID1" s="563"/>
      <c r="EIE1" s="563"/>
      <c r="EIF1" s="563"/>
      <c r="EIG1" s="563"/>
      <c r="EIH1" s="563"/>
      <c r="EII1" s="563" t="s">
        <v>15</v>
      </c>
      <c r="EIJ1" s="563"/>
      <c r="EIK1" s="563"/>
      <c r="EIL1" s="563"/>
      <c r="EIM1" s="563"/>
      <c r="EIN1" s="563"/>
      <c r="EIO1" s="563"/>
      <c r="EIP1" s="563"/>
      <c r="EIQ1" s="563" t="s">
        <v>15</v>
      </c>
      <c r="EIR1" s="563"/>
      <c r="EIS1" s="563"/>
      <c r="EIT1" s="563"/>
      <c r="EIU1" s="563"/>
      <c r="EIV1" s="563"/>
      <c r="EIW1" s="563"/>
      <c r="EIX1" s="563"/>
      <c r="EIY1" s="563" t="s">
        <v>15</v>
      </c>
      <c r="EIZ1" s="563"/>
      <c r="EJA1" s="563"/>
      <c r="EJB1" s="563"/>
      <c r="EJC1" s="563"/>
      <c r="EJD1" s="563"/>
      <c r="EJE1" s="563"/>
      <c r="EJF1" s="563"/>
      <c r="EJG1" s="563" t="s">
        <v>15</v>
      </c>
      <c r="EJH1" s="563"/>
      <c r="EJI1" s="563"/>
      <c r="EJJ1" s="563"/>
      <c r="EJK1" s="563"/>
      <c r="EJL1" s="563"/>
      <c r="EJM1" s="563"/>
      <c r="EJN1" s="563"/>
      <c r="EJO1" s="563" t="s">
        <v>15</v>
      </c>
      <c r="EJP1" s="563"/>
      <c r="EJQ1" s="563"/>
      <c r="EJR1" s="563"/>
      <c r="EJS1" s="563"/>
      <c r="EJT1" s="563"/>
      <c r="EJU1" s="563"/>
      <c r="EJV1" s="563"/>
      <c r="EJW1" s="563" t="s">
        <v>15</v>
      </c>
      <c r="EJX1" s="563"/>
      <c r="EJY1" s="563"/>
      <c r="EJZ1" s="563"/>
      <c r="EKA1" s="563"/>
      <c r="EKB1" s="563"/>
      <c r="EKC1" s="563"/>
      <c r="EKD1" s="563"/>
      <c r="EKE1" s="563" t="s">
        <v>15</v>
      </c>
      <c r="EKF1" s="563"/>
      <c r="EKG1" s="563"/>
      <c r="EKH1" s="563"/>
      <c r="EKI1" s="563"/>
      <c r="EKJ1" s="563"/>
      <c r="EKK1" s="563"/>
      <c r="EKL1" s="563"/>
      <c r="EKM1" s="563" t="s">
        <v>15</v>
      </c>
      <c r="EKN1" s="563"/>
      <c r="EKO1" s="563"/>
      <c r="EKP1" s="563"/>
      <c r="EKQ1" s="563"/>
      <c r="EKR1" s="563"/>
      <c r="EKS1" s="563"/>
      <c r="EKT1" s="563"/>
      <c r="EKU1" s="563" t="s">
        <v>15</v>
      </c>
      <c r="EKV1" s="563"/>
      <c r="EKW1" s="563"/>
      <c r="EKX1" s="563"/>
      <c r="EKY1" s="563"/>
      <c r="EKZ1" s="563"/>
      <c r="ELA1" s="563"/>
      <c r="ELB1" s="563"/>
      <c r="ELC1" s="563" t="s">
        <v>15</v>
      </c>
      <c r="ELD1" s="563"/>
      <c r="ELE1" s="563"/>
      <c r="ELF1" s="563"/>
      <c r="ELG1" s="563"/>
      <c r="ELH1" s="563"/>
      <c r="ELI1" s="563"/>
      <c r="ELJ1" s="563"/>
      <c r="ELK1" s="563" t="s">
        <v>15</v>
      </c>
      <c r="ELL1" s="563"/>
      <c r="ELM1" s="563"/>
      <c r="ELN1" s="563"/>
      <c r="ELO1" s="563"/>
      <c r="ELP1" s="563"/>
      <c r="ELQ1" s="563"/>
      <c r="ELR1" s="563"/>
      <c r="ELS1" s="563" t="s">
        <v>15</v>
      </c>
      <c r="ELT1" s="563"/>
      <c r="ELU1" s="563"/>
      <c r="ELV1" s="563"/>
      <c r="ELW1" s="563"/>
      <c r="ELX1" s="563"/>
      <c r="ELY1" s="563"/>
      <c r="ELZ1" s="563"/>
      <c r="EMA1" s="563" t="s">
        <v>15</v>
      </c>
      <c r="EMB1" s="563"/>
      <c r="EMC1" s="563"/>
      <c r="EMD1" s="563"/>
      <c r="EME1" s="563"/>
      <c r="EMF1" s="563"/>
      <c r="EMG1" s="563"/>
      <c r="EMH1" s="563"/>
      <c r="EMI1" s="563" t="s">
        <v>15</v>
      </c>
      <c r="EMJ1" s="563"/>
      <c r="EMK1" s="563"/>
      <c r="EML1" s="563"/>
      <c r="EMM1" s="563"/>
      <c r="EMN1" s="563"/>
      <c r="EMO1" s="563"/>
      <c r="EMP1" s="563"/>
      <c r="EMQ1" s="563" t="s">
        <v>15</v>
      </c>
      <c r="EMR1" s="563"/>
      <c r="EMS1" s="563"/>
      <c r="EMT1" s="563"/>
      <c r="EMU1" s="563"/>
      <c r="EMV1" s="563"/>
      <c r="EMW1" s="563"/>
      <c r="EMX1" s="563"/>
      <c r="EMY1" s="563" t="s">
        <v>15</v>
      </c>
      <c r="EMZ1" s="563"/>
      <c r="ENA1" s="563"/>
      <c r="ENB1" s="563"/>
      <c r="ENC1" s="563"/>
      <c r="END1" s="563"/>
      <c r="ENE1" s="563"/>
      <c r="ENF1" s="563"/>
      <c r="ENG1" s="563" t="s">
        <v>15</v>
      </c>
      <c r="ENH1" s="563"/>
      <c r="ENI1" s="563"/>
      <c r="ENJ1" s="563"/>
      <c r="ENK1" s="563"/>
      <c r="ENL1" s="563"/>
      <c r="ENM1" s="563"/>
      <c r="ENN1" s="563"/>
      <c r="ENO1" s="563" t="s">
        <v>15</v>
      </c>
      <c r="ENP1" s="563"/>
      <c r="ENQ1" s="563"/>
      <c r="ENR1" s="563"/>
      <c r="ENS1" s="563"/>
      <c r="ENT1" s="563"/>
      <c r="ENU1" s="563"/>
      <c r="ENV1" s="563"/>
      <c r="ENW1" s="563" t="s">
        <v>15</v>
      </c>
      <c r="ENX1" s="563"/>
      <c r="ENY1" s="563"/>
      <c r="ENZ1" s="563"/>
      <c r="EOA1" s="563"/>
      <c r="EOB1" s="563"/>
      <c r="EOC1" s="563"/>
      <c r="EOD1" s="563"/>
      <c r="EOE1" s="563" t="s">
        <v>15</v>
      </c>
      <c r="EOF1" s="563"/>
      <c r="EOG1" s="563"/>
      <c r="EOH1" s="563"/>
      <c r="EOI1" s="563"/>
      <c r="EOJ1" s="563"/>
      <c r="EOK1" s="563"/>
      <c r="EOL1" s="563"/>
      <c r="EOM1" s="563" t="s">
        <v>15</v>
      </c>
      <c r="EON1" s="563"/>
      <c r="EOO1" s="563"/>
      <c r="EOP1" s="563"/>
      <c r="EOQ1" s="563"/>
      <c r="EOR1" s="563"/>
      <c r="EOS1" s="563"/>
      <c r="EOT1" s="563"/>
      <c r="EOU1" s="563" t="s">
        <v>15</v>
      </c>
      <c r="EOV1" s="563"/>
      <c r="EOW1" s="563"/>
      <c r="EOX1" s="563"/>
      <c r="EOY1" s="563"/>
      <c r="EOZ1" s="563"/>
      <c r="EPA1" s="563"/>
      <c r="EPB1" s="563"/>
      <c r="EPC1" s="563" t="s">
        <v>15</v>
      </c>
      <c r="EPD1" s="563"/>
      <c r="EPE1" s="563"/>
      <c r="EPF1" s="563"/>
      <c r="EPG1" s="563"/>
      <c r="EPH1" s="563"/>
      <c r="EPI1" s="563"/>
      <c r="EPJ1" s="563"/>
      <c r="EPK1" s="563" t="s">
        <v>15</v>
      </c>
      <c r="EPL1" s="563"/>
      <c r="EPM1" s="563"/>
      <c r="EPN1" s="563"/>
      <c r="EPO1" s="563"/>
      <c r="EPP1" s="563"/>
      <c r="EPQ1" s="563"/>
      <c r="EPR1" s="563"/>
      <c r="EPS1" s="563" t="s">
        <v>15</v>
      </c>
      <c r="EPT1" s="563"/>
      <c r="EPU1" s="563"/>
      <c r="EPV1" s="563"/>
      <c r="EPW1" s="563"/>
      <c r="EPX1" s="563"/>
      <c r="EPY1" s="563"/>
      <c r="EPZ1" s="563"/>
      <c r="EQA1" s="563" t="s">
        <v>15</v>
      </c>
      <c r="EQB1" s="563"/>
      <c r="EQC1" s="563"/>
      <c r="EQD1" s="563"/>
      <c r="EQE1" s="563"/>
      <c r="EQF1" s="563"/>
      <c r="EQG1" s="563"/>
      <c r="EQH1" s="563"/>
      <c r="EQI1" s="563" t="s">
        <v>15</v>
      </c>
      <c r="EQJ1" s="563"/>
      <c r="EQK1" s="563"/>
      <c r="EQL1" s="563"/>
      <c r="EQM1" s="563"/>
      <c r="EQN1" s="563"/>
      <c r="EQO1" s="563"/>
      <c r="EQP1" s="563"/>
      <c r="EQQ1" s="563" t="s">
        <v>15</v>
      </c>
      <c r="EQR1" s="563"/>
      <c r="EQS1" s="563"/>
      <c r="EQT1" s="563"/>
      <c r="EQU1" s="563"/>
      <c r="EQV1" s="563"/>
      <c r="EQW1" s="563"/>
      <c r="EQX1" s="563"/>
      <c r="EQY1" s="563" t="s">
        <v>15</v>
      </c>
      <c r="EQZ1" s="563"/>
      <c r="ERA1" s="563"/>
      <c r="ERB1" s="563"/>
      <c r="ERC1" s="563"/>
      <c r="ERD1" s="563"/>
      <c r="ERE1" s="563"/>
      <c r="ERF1" s="563"/>
      <c r="ERG1" s="563" t="s">
        <v>15</v>
      </c>
      <c r="ERH1" s="563"/>
      <c r="ERI1" s="563"/>
      <c r="ERJ1" s="563"/>
      <c r="ERK1" s="563"/>
      <c r="ERL1" s="563"/>
      <c r="ERM1" s="563"/>
      <c r="ERN1" s="563"/>
      <c r="ERO1" s="563" t="s">
        <v>15</v>
      </c>
      <c r="ERP1" s="563"/>
      <c r="ERQ1" s="563"/>
      <c r="ERR1" s="563"/>
      <c r="ERS1" s="563"/>
      <c r="ERT1" s="563"/>
      <c r="ERU1" s="563"/>
      <c r="ERV1" s="563"/>
      <c r="ERW1" s="563" t="s">
        <v>15</v>
      </c>
      <c r="ERX1" s="563"/>
      <c r="ERY1" s="563"/>
      <c r="ERZ1" s="563"/>
      <c r="ESA1" s="563"/>
      <c r="ESB1" s="563"/>
      <c r="ESC1" s="563"/>
      <c r="ESD1" s="563"/>
      <c r="ESE1" s="563" t="s">
        <v>15</v>
      </c>
      <c r="ESF1" s="563"/>
      <c r="ESG1" s="563"/>
      <c r="ESH1" s="563"/>
      <c r="ESI1" s="563"/>
      <c r="ESJ1" s="563"/>
      <c r="ESK1" s="563"/>
      <c r="ESL1" s="563"/>
      <c r="ESM1" s="563" t="s">
        <v>15</v>
      </c>
      <c r="ESN1" s="563"/>
      <c r="ESO1" s="563"/>
      <c r="ESP1" s="563"/>
      <c r="ESQ1" s="563"/>
      <c r="ESR1" s="563"/>
      <c r="ESS1" s="563"/>
      <c r="EST1" s="563"/>
      <c r="ESU1" s="563" t="s">
        <v>15</v>
      </c>
      <c r="ESV1" s="563"/>
      <c r="ESW1" s="563"/>
      <c r="ESX1" s="563"/>
      <c r="ESY1" s="563"/>
      <c r="ESZ1" s="563"/>
      <c r="ETA1" s="563"/>
      <c r="ETB1" s="563"/>
      <c r="ETC1" s="563" t="s">
        <v>15</v>
      </c>
      <c r="ETD1" s="563"/>
      <c r="ETE1" s="563"/>
      <c r="ETF1" s="563"/>
      <c r="ETG1" s="563"/>
      <c r="ETH1" s="563"/>
      <c r="ETI1" s="563"/>
      <c r="ETJ1" s="563"/>
      <c r="ETK1" s="563" t="s">
        <v>15</v>
      </c>
      <c r="ETL1" s="563"/>
      <c r="ETM1" s="563"/>
      <c r="ETN1" s="563"/>
      <c r="ETO1" s="563"/>
      <c r="ETP1" s="563"/>
      <c r="ETQ1" s="563"/>
      <c r="ETR1" s="563"/>
      <c r="ETS1" s="563" t="s">
        <v>15</v>
      </c>
      <c r="ETT1" s="563"/>
      <c r="ETU1" s="563"/>
      <c r="ETV1" s="563"/>
      <c r="ETW1" s="563"/>
      <c r="ETX1" s="563"/>
      <c r="ETY1" s="563"/>
      <c r="ETZ1" s="563"/>
      <c r="EUA1" s="563" t="s">
        <v>15</v>
      </c>
      <c r="EUB1" s="563"/>
      <c r="EUC1" s="563"/>
      <c r="EUD1" s="563"/>
      <c r="EUE1" s="563"/>
      <c r="EUF1" s="563"/>
      <c r="EUG1" s="563"/>
      <c r="EUH1" s="563"/>
      <c r="EUI1" s="563" t="s">
        <v>15</v>
      </c>
      <c r="EUJ1" s="563"/>
      <c r="EUK1" s="563"/>
      <c r="EUL1" s="563"/>
      <c r="EUM1" s="563"/>
      <c r="EUN1" s="563"/>
      <c r="EUO1" s="563"/>
      <c r="EUP1" s="563"/>
      <c r="EUQ1" s="563" t="s">
        <v>15</v>
      </c>
      <c r="EUR1" s="563"/>
      <c r="EUS1" s="563"/>
      <c r="EUT1" s="563"/>
      <c r="EUU1" s="563"/>
      <c r="EUV1" s="563"/>
      <c r="EUW1" s="563"/>
      <c r="EUX1" s="563"/>
      <c r="EUY1" s="563" t="s">
        <v>15</v>
      </c>
      <c r="EUZ1" s="563"/>
      <c r="EVA1" s="563"/>
      <c r="EVB1" s="563"/>
      <c r="EVC1" s="563"/>
      <c r="EVD1" s="563"/>
      <c r="EVE1" s="563"/>
      <c r="EVF1" s="563"/>
      <c r="EVG1" s="563" t="s">
        <v>15</v>
      </c>
      <c r="EVH1" s="563"/>
      <c r="EVI1" s="563"/>
      <c r="EVJ1" s="563"/>
      <c r="EVK1" s="563"/>
      <c r="EVL1" s="563"/>
      <c r="EVM1" s="563"/>
      <c r="EVN1" s="563"/>
      <c r="EVO1" s="563" t="s">
        <v>15</v>
      </c>
      <c r="EVP1" s="563"/>
      <c r="EVQ1" s="563"/>
      <c r="EVR1" s="563"/>
      <c r="EVS1" s="563"/>
      <c r="EVT1" s="563"/>
      <c r="EVU1" s="563"/>
      <c r="EVV1" s="563"/>
      <c r="EVW1" s="563" t="s">
        <v>15</v>
      </c>
      <c r="EVX1" s="563"/>
      <c r="EVY1" s="563"/>
      <c r="EVZ1" s="563"/>
      <c r="EWA1" s="563"/>
      <c r="EWB1" s="563"/>
      <c r="EWC1" s="563"/>
      <c r="EWD1" s="563"/>
      <c r="EWE1" s="563" t="s">
        <v>15</v>
      </c>
      <c r="EWF1" s="563"/>
      <c r="EWG1" s="563"/>
      <c r="EWH1" s="563"/>
      <c r="EWI1" s="563"/>
      <c r="EWJ1" s="563"/>
      <c r="EWK1" s="563"/>
      <c r="EWL1" s="563"/>
      <c r="EWM1" s="563" t="s">
        <v>15</v>
      </c>
      <c r="EWN1" s="563"/>
      <c r="EWO1" s="563"/>
      <c r="EWP1" s="563"/>
      <c r="EWQ1" s="563"/>
      <c r="EWR1" s="563"/>
      <c r="EWS1" s="563"/>
      <c r="EWT1" s="563"/>
      <c r="EWU1" s="563" t="s">
        <v>15</v>
      </c>
      <c r="EWV1" s="563"/>
      <c r="EWW1" s="563"/>
      <c r="EWX1" s="563"/>
      <c r="EWY1" s="563"/>
      <c r="EWZ1" s="563"/>
      <c r="EXA1" s="563"/>
      <c r="EXB1" s="563"/>
      <c r="EXC1" s="563" t="s">
        <v>15</v>
      </c>
      <c r="EXD1" s="563"/>
      <c r="EXE1" s="563"/>
      <c r="EXF1" s="563"/>
      <c r="EXG1" s="563"/>
      <c r="EXH1" s="563"/>
      <c r="EXI1" s="563"/>
      <c r="EXJ1" s="563"/>
      <c r="EXK1" s="563" t="s">
        <v>15</v>
      </c>
      <c r="EXL1" s="563"/>
      <c r="EXM1" s="563"/>
      <c r="EXN1" s="563"/>
      <c r="EXO1" s="563"/>
      <c r="EXP1" s="563"/>
      <c r="EXQ1" s="563"/>
      <c r="EXR1" s="563"/>
      <c r="EXS1" s="563" t="s">
        <v>15</v>
      </c>
      <c r="EXT1" s="563"/>
      <c r="EXU1" s="563"/>
      <c r="EXV1" s="563"/>
      <c r="EXW1" s="563"/>
      <c r="EXX1" s="563"/>
      <c r="EXY1" s="563"/>
      <c r="EXZ1" s="563"/>
      <c r="EYA1" s="563" t="s">
        <v>15</v>
      </c>
      <c r="EYB1" s="563"/>
      <c r="EYC1" s="563"/>
      <c r="EYD1" s="563"/>
      <c r="EYE1" s="563"/>
      <c r="EYF1" s="563"/>
      <c r="EYG1" s="563"/>
      <c r="EYH1" s="563"/>
      <c r="EYI1" s="563" t="s">
        <v>15</v>
      </c>
      <c r="EYJ1" s="563"/>
      <c r="EYK1" s="563"/>
      <c r="EYL1" s="563"/>
      <c r="EYM1" s="563"/>
      <c r="EYN1" s="563"/>
      <c r="EYO1" s="563"/>
      <c r="EYP1" s="563"/>
      <c r="EYQ1" s="563" t="s">
        <v>15</v>
      </c>
      <c r="EYR1" s="563"/>
      <c r="EYS1" s="563"/>
      <c r="EYT1" s="563"/>
      <c r="EYU1" s="563"/>
      <c r="EYV1" s="563"/>
      <c r="EYW1" s="563"/>
      <c r="EYX1" s="563"/>
      <c r="EYY1" s="563" t="s">
        <v>15</v>
      </c>
      <c r="EYZ1" s="563"/>
      <c r="EZA1" s="563"/>
      <c r="EZB1" s="563"/>
      <c r="EZC1" s="563"/>
      <c r="EZD1" s="563"/>
      <c r="EZE1" s="563"/>
      <c r="EZF1" s="563"/>
      <c r="EZG1" s="563" t="s">
        <v>15</v>
      </c>
      <c r="EZH1" s="563"/>
      <c r="EZI1" s="563"/>
      <c r="EZJ1" s="563"/>
      <c r="EZK1" s="563"/>
      <c r="EZL1" s="563"/>
      <c r="EZM1" s="563"/>
      <c r="EZN1" s="563"/>
      <c r="EZO1" s="563" t="s">
        <v>15</v>
      </c>
      <c r="EZP1" s="563"/>
      <c r="EZQ1" s="563"/>
      <c r="EZR1" s="563"/>
      <c r="EZS1" s="563"/>
      <c r="EZT1" s="563"/>
      <c r="EZU1" s="563"/>
      <c r="EZV1" s="563"/>
      <c r="EZW1" s="563" t="s">
        <v>15</v>
      </c>
      <c r="EZX1" s="563"/>
      <c r="EZY1" s="563"/>
      <c r="EZZ1" s="563"/>
      <c r="FAA1" s="563"/>
      <c r="FAB1" s="563"/>
      <c r="FAC1" s="563"/>
      <c r="FAD1" s="563"/>
      <c r="FAE1" s="563" t="s">
        <v>15</v>
      </c>
      <c r="FAF1" s="563"/>
      <c r="FAG1" s="563"/>
      <c r="FAH1" s="563"/>
      <c r="FAI1" s="563"/>
      <c r="FAJ1" s="563"/>
      <c r="FAK1" s="563"/>
      <c r="FAL1" s="563"/>
      <c r="FAM1" s="563" t="s">
        <v>15</v>
      </c>
      <c r="FAN1" s="563"/>
      <c r="FAO1" s="563"/>
      <c r="FAP1" s="563"/>
      <c r="FAQ1" s="563"/>
      <c r="FAR1" s="563"/>
      <c r="FAS1" s="563"/>
      <c r="FAT1" s="563"/>
      <c r="FAU1" s="563" t="s">
        <v>15</v>
      </c>
      <c r="FAV1" s="563"/>
      <c r="FAW1" s="563"/>
      <c r="FAX1" s="563"/>
      <c r="FAY1" s="563"/>
      <c r="FAZ1" s="563"/>
      <c r="FBA1" s="563"/>
      <c r="FBB1" s="563"/>
      <c r="FBC1" s="563" t="s">
        <v>15</v>
      </c>
      <c r="FBD1" s="563"/>
      <c r="FBE1" s="563"/>
      <c r="FBF1" s="563"/>
      <c r="FBG1" s="563"/>
      <c r="FBH1" s="563"/>
      <c r="FBI1" s="563"/>
      <c r="FBJ1" s="563"/>
      <c r="FBK1" s="563" t="s">
        <v>15</v>
      </c>
      <c r="FBL1" s="563"/>
      <c r="FBM1" s="563"/>
      <c r="FBN1" s="563"/>
      <c r="FBO1" s="563"/>
      <c r="FBP1" s="563"/>
      <c r="FBQ1" s="563"/>
      <c r="FBR1" s="563"/>
      <c r="FBS1" s="563" t="s">
        <v>15</v>
      </c>
      <c r="FBT1" s="563"/>
      <c r="FBU1" s="563"/>
      <c r="FBV1" s="563"/>
      <c r="FBW1" s="563"/>
      <c r="FBX1" s="563"/>
      <c r="FBY1" s="563"/>
      <c r="FBZ1" s="563"/>
      <c r="FCA1" s="563" t="s">
        <v>15</v>
      </c>
      <c r="FCB1" s="563"/>
      <c r="FCC1" s="563"/>
      <c r="FCD1" s="563"/>
      <c r="FCE1" s="563"/>
      <c r="FCF1" s="563"/>
      <c r="FCG1" s="563"/>
      <c r="FCH1" s="563"/>
      <c r="FCI1" s="563" t="s">
        <v>15</v>
      </c>
      <c r="FCJ1" s="563"/>
      <c r="FCK1" s="563"/>
      <c r="FCL1" s="563"/>
      <c r="FCM1" s="563"/>
      <c r="FCN1" s="563"/>
      <c r="FCO1" s="563"/>
      <c r="FCP1" s="563"/>
      <c r="FCQ1" s="563" t="s">
        <v>15</v>
      </c>
      <c r="FCR1" s="563"/>
      <c r="FCS1" s="563"/>
      <c r="FCT1" s="563"/>
      <c r="FCU1" s="563"/>
      <c r="FCV1" s="563"/>
      <c r="FCW1" s="563"/>
      <c r="FCX1" s="563"/>
      <c r="FCY1" s="563" t="s">
        <v>15</v>
      </c>
      <c r="FCZ1" s="563"/>
      <c r="FDA1" s="563"/>
      <c r="FDB1" s="563"/>
      <c r="FDC1" s="563"/>
      <c r="FDD1" s="563"/>
      <c r="FDE1" s="563"/>
      <c r="FDF1" s="563"/>
      <c r="FDG1" s="563" t="s">
        <v>15</v>
      </c>
      <c r="FDH1" s="563"/>
      <c r="FDI1" s="563"/>
      <c r="FDJ1" s="563"/>
      <c r="FDK1" s="563"/>
      <c r="FDL1" s="563"/>
      <c r="FDM1" s="563"/>
      <c r="FDN1" s="563"/>
      <c r="FDO1" s="563" t="s">
        <v>15</v>
      </c>
      <c r="FDP1" s="563"/>
      <c r="FDQ1" s="563"/>
      <c r="FDR1" s="563"/>
      <c r="FDS1" s="563"/>
      <c r="FDT1" s="563"/>
      <c r="FDU1" s="563"/>
      <c r="FDV1" s="563"/>
      <c r="FDW1" s="563" t="s">
        <v>15</v>
      </c>
      <c r="FDX1" s="563"/>
      <c r="FDY1" s="563"/>
      <c r="FDZ1" s="563"/>
      <c r="FEA1" s="563"/>
      <c r="FEB1" s="563"/>
      <c r="FEC1" s="563"/>
      <c r="FED1" s="563"/>
      <c r="FEE1" s="563" t="s">
        <v>15</v>
      </c>
      <c r="FEF1" s="563"/>
      <c r="FEG1" s="563"/>
      <c r="FEH1" s="563"/>
      <c r="FEI1" s="563"/>
      <c r="FEJ1" s="563"/>
      <c r="FEK1" s="563"/>
      <c r="FEL1" s="563"/>
      <c r="FEM1" s="563" t="s">
        <v>15</v>
      </c>
      <c r="FEN1" s="563"/>
      <c r="FEO1" s="563"/>
      <c r="FEP1" s="563"/>
      <c r="FEQ1" s="563"/>
      <c r="FER1" s="563"/>
      <c r="FES1" s="563"/>
      <c r="FET1" s="563"/>
      <c r="FEU1" s="563" t="s">
        <v>15</v>
      </c>
      <c r="FEV1" s="563"/>
      <c r="FEW1" s="563"/>
      <c r="FEX1" s="563"/>
      <c r="FEY1" s="563"/>
      <c r="FEZ1" s="563"/>
      <c r="FFA1" s="563"/>
      <c r="FFB1" s="563"/>
      <c r="FFC1" s="563" t="s">
        <v>15</v>
      </c>
      <c r="FFD1" s="563"/>
      <c r="FFE1" s="563"/>
      <c r="FFF1" s="563"/>
      <c r="FFG1" s="563"/>
      <c r="FFH1" s="563"/>
      <c r="FFI1" s="563"/>
      <c r="FFJ1" s="563"/>
      <c r="FFK1" s="563" t="s">
        <v>15</v>
      </c>
      <c r="FFL1" s="563"/>
      <c r="FFM1" s="563"/>
      <c r="FFN1" s="563"/>
      <c r="FFO1" s="563"/>
      <c r="FFP1" s="563"/>
      <c r="FFQ1" s="563"/>
      <c r="FFR1" s="563"/>
      <c r="FFS1" s="563" t="s">
        <v>15</v>
      </c>
      <c r="FFT1" s="563"/>
      <c r="FFU1" s="563"/>
      <c r="FFV1" s="563"/>
      <c r="FFW1" s="563"/>
      <c r="FFX1" s="563"/>
      <c r="FFY1" s="563"/>
      <c r="FFZ1" s="563"/>
      <c r="FGA1" s="563" t="s">
        <v>15</v>
      </c>
      <c r="FGB1" s="563"/>
      <c r="FGC1" s="563"/>
      <c r="FGD1" s="563"/>
      <c r="FGE1" s="563"/>
      <c r="FGF1" s="563"/>
      <c r="FGG1" s="563"/>
      <c r="FGH1" s="563"/>
      <c r="FGI1" s="563" t="s">
        <v>15</v>
      </c>
      <c r="FGJ1" s="563"/>
      <c r="FGK1" s="563"/>
      <c r="FGL1" s="563"/>
      <c r="FGM1" s="563"/>
      <c r="FGN1" s="563"/>
      <c r="FGO1" s="563"/>
      <c r="FGP1" s="563"/>
      <c r="FGQ1" s="563" t="s">
        <v>15</v>
      </c>
      <c r="FGR1" s="563"/>
      <c r="FGS1" s="563"/>
      <c r="FGT1" s="563"/>
      <c r="FGU1" s="563"/>
      <c r="FGV1" s="563"/>
      <c r="FGW1" s="563"/>
      <c r="FGX1" s="563"/>
      <c r="FGY1" s="563" t="s">
        <v>15</v>
      </c>
      <c r="FGZ1" s="563"/>
      <c r="FHA1" s="563"/>
      <c r="FHB1" s="563"/>
      <c r="FHC1" s="563"/>
      <c r="FHD1" s="563"/>
      <c r="FHE1" s="563"/>
      <c r="FHF1" s="563"/>
      <c r="FHG1" s="563" t="s">
        <v>15</v>
      </c>
      <c r="FHH1" s="563"/>
      <c r="FHI1" s="563"/>
      <c r="FHJ1" s="563"/>
      <c r="FHK1" s="563"/>
      <c r="FHL1" s="563"/>
      <c r="FHM1" s="563"/>
      <c r="FHN1" s="563"/>
      <c r="FHO1" s="563" t="s">
        <v>15</v>
      </c>
      <c r="FHP1" s="563"/>
      <c r="FHQ1" s="563"/>
      <c r="FHR1" s="563"/>
      <c r="FHS1" s="563"/>
      <c r="FHT1" s="563"/>
      <c r="FHU1" s="563"/>
      <c r="FHV1" s="563"/>
      <c r="FHW1" s="563" t="s">
        <v>15</v>
      </c>
      <c r="FHX1" s="563"/>
      <c r="FHY1" s="563"/>
      <c r="FHZ1" s="563"/>
      <c r="FIA1" s="563"/>
      <c r="FIB1" s="563"/>
      <c r="FIC1" s="563"/>
      <c r="FID1" s="563"/>
      <c r="FIE1" s="563" t="s">
        <v>15</v>
      </c>
      <c r="FIF1" s="563"/>
      <c r="FIG1" s="563"/>
      <c r="FIH1" s="563"/>
      <c r="FII1" s="563"/>
      <c r="FIJ1" s="563"/>
      <c r="FIK1" s="563"/>
      <c r="FIL1" s="563"/>
      <c r="FIM1" s="563" t="s">
        <v>15</v>
      </c>
      <c r="FIN1" s="563"/>
      <c r="FIO1" s="563"/>
      <c r="FIP1" s="563"/>
      <c r="FIQ1" s="563"/>
      <c r="FIR1" s="563"/>
      <c r="FIS1" s="563"/>
      <c r="FIT1" s="563"/>
      <c r="FIU1" s="563" t="s">
        <v>15</v>
      </c>
      <c r="FIV1" s="563"/>
      <c r="FIW1" s="563"/>
      <c r="FIX1" s="563"/>
      <c r="FIY1" s="563"/>
      <c r="FIZ1" s="563"/>
      <c r="FJA1" s="563"/>
      <c r="FJB1" s="563"/>
      <c r="FJC1" s="563" t="s">
        <v>15</v>
      </c>
      <c r="FJD1" s="563"/>
      <c r="FJE1" s="563"/>
      <c r="FJF1" s="563"/>
      <c r="FJG1" s="563"/>
      <c r="FJH1" s="563"/>
      <c r="FJI1" s="563"/>
      <c r="FJJ1" s="563"/>
      <c r="FJK1" s="563" t="s">
        <v>15</v>
      </c>
      <c r="FJL1" s="563"/>
      <c r="FJM1" s="563"/>
      <c r="FJN1" s="563"/>
      <c r="FJO1" s="563"/>
      <c r="FJP1" s="563"/>
      <c r="FJQ1" s="563"/>
      <c r="FJR1" s="563"/>
      <c r="FJS1" s="563" t="s">
        <v>15</v>
      </c>
      <c r="FJT1" s="563"/>
      <c r="FJU1" s="563"/>
      <c r="FJV1" s="563"/>
      <c r="FJW1" s="563"/>
      <c r="FJX1" s="563"/>
      <c r="FJY1" s="563"/>
      <c r="FJZ1" s="563"/>
      <c r="FKA1" s="563" t="s">
        <v>15</v>
      </c>
      <c r="FKB1" s="563"/>
      <c r="FKC1" s="563"/>
      <c r="FKD1" s="563"/>
      <c r="FKE1" s="563"/>
      <c r="FKF1" s="563"/>
      <c r="FKG1" s="563"/>
      <c r="FKH1" s="563"/>
      <c r="FKI1" s="563" t="s">
        <v>15</v>
      </c>
      <c r="FKJ1" s="563"/>
      <c r="FKK1" s="563"/>
      <c r="FKL1" s="563"/>
      <c r="FKM1" s="563"/>
      <c r="FKN1" s="563"/>
      <c r="FKO1" s="563"/>
      <c r="FKP1" s="563"/>
      <c r="FKQ1" s="563" t="s">
        <v>15</v>
      </c>
      <c r="FKR1" s="563"/>
      <c r="FKS1" s="563"/>
      <c r="FKT1" s="563"/>
      <c r="FKU1" s="563"/>
      <c r="FKV1" s="563"/>
      <c r="FKW1" s="563"/>
      <c r="FKX1" s="563"/>
      <c r="FKY1" s="563" t="s">
        <v>15</v>
      </c>
      <c r="FKZ1" s="563"/>
      <c r="FLA1" s="563"/>
      <c r="FLB1" s="563"/>
      <c r="FLC1" s="563"/>
      <c r="FLD1" s="563"/>
      <c r="FLE1" s="563"/>
      <c r="FLF1" s="563"/>
      <c r="FLG1" s="563" t="s">
        <v>15</v>
      </c>
      <c r="FLH1" s="563"/>
      <c r="FLI1" s="563"/>
      <c r="FLJ1" s="563"/>
      <c r="FLK1" s="563"/>
      <c r="FLL1" s="563"/>
      <c r="FLM1" s="563"/>
      <c r="FLN1" s="563"/>
      <c r="FLO1" s="563" t="s">
        <v>15</v>
      </c>
      <c r="FLP1" s="563"/>
      <c r="FLQ1" s="563"/>
      <c r="FLR1" s="563"/>
      <c r="FLS1" s="563"/>
      <c r="FLT1" s="563"/>
      <c r="FLU1" s="563"/>
      <c r="FLV1" s="563"/>
      <c r="FLW1" s="563" t="s">
        <v>15</v>
      </c>
      <c r="FLX1" s="563"/>
      <c r="FLY1" s="563"/>
      <c r="FLZ1" s="563"/>
      <c r="FMA1" s="563"/>
      <c r="FMB1" s="563"/>
      <c r="FMC1" s="563"/>
      <c r="FMD1" s="563"/>
      <c r="FME1" s="563" t="s">
        <v>15</v>
      </c>
      <c r="FMF1" s="563"/>
      <c r="FMG1" s="563"/>
      <c r="FMH1" s="563"/>
      <c r="FMI1" s="563"/>
      <c r="FMJ1" s="563"/>
      <c r="FMK1" s="563"/>
      <c r="FML1" s="563"/>
      <c r="FMM1" s="563" t="s">
        <v>15</v>
      </c>
      <c r="FMN1" s="563"/>
      <c r="FMO1" s="563"/>
      <c r="FMP1" s="563"/>
      <c r="FMQ1" s="563"/>
      <c r="FMR1" s="563"/>
      <c r="FMS1" s="563"/>
      <c r="FMT1" s="563"/>
      <c r="FMU1" s="563" t="s">
        <v>15</v>
      </c>
      <c r="FMV1" s="563"/>
      <c r="FMW1" s="563"/>
      <c r="FMX1" s="563"/>
      <c r="FMY1" s="563"/>
      <c r="FMZ1" s="563"/>
      <c r="FNA1" s="563"/>
      <c r="FNB1" s="563"/>
      <c r="FNC1" s="563" t="s">
        <v>15</v>
      </c>
      <c r="FND1" s="563"/>
      <c r="FNE1" s="563"/>
      <c r="FNF1" s="563"/>
      <c r="FNG1" s="563"/>
      <c r="FNH1" s="563"/>
      <c r="FNI1" s="563"/>
      <c r="FNJ1" s="563"/>
      <c r="FNK1" s="563" t="s">
        <v>15</v>
      </c>
      <c r="FNL1" s="563"/>
      <c r="FNM1" s="563"/>
      <c r="FNN1" s="563"/>
      <c r="FNO1" s="563"/>
      <c r="FNP1" s="563"/>
      <c r="FNQ1" s="563"/>
      <c r="FNR1" s="563"/>
      <c r="FNS1" s="563" t="s">
        <v>15</v>
      </c>
      <c r="FNT1" s="563"/>
      <c r="FNU1" s="563"/>
      <c r="FNV1" s="563"/>
      <c r="FNW1" s="563"/>
      <c r="FNX1" s="563"/>
      <c r="FNY1" s="563"/>
      <c r="FNZ1" s="563"/>
      <c r="FOA1" s="563" t="s">
        <v>15</v>
      </c>
      <c r="FOB1" s="563"/>
      <c r="FOC1" s="563"/>
      <c r="FOD1" s="563"/>
      <c r="FOE1" s="563"/>
      <c r="FOF1" s="563"/>
      <c r="FOG1" s="563"/>
      <c r="FOH1" s="563"/>
      <c r="FOI1" s="563" t="s">
        <v>15</v>
      </c>
      <c r="FOJ1" s="563"/>
      <c r="FOK1" s="563"/>
      <c r="FOL1" s="563"/>
      <c r="FOM1" s="563"/>
      <c r="FON1" s="563"/>
      <c r="FOO1" s="563"/>
      <c r="FOP1" s="563"/>
      <c r="FOQ1" s="563" t="s">
        <v>15</v>
      </c>
      <c r="FOR1" s="563"/>
      <c r="FOS1" s="563"/>
      <c r="FOT1" s="563"/>
      <c r="FOU1" s="563"/>
      <c r="FOV1" s="563"/>
      <c r="FOW1" s="563"/>
      <c r="FOX1" s="563"/>
      <c r="FOY1" s="563" t="s">
        <v>15</v>
      </c>
      <c r="FOZ1" s="563"/>
      <c r="FPA1" s="563"/>
      <c r="FPB1" s="563"/>
      <c r="FPC1" s="563"/>
      <c r="FPD1" s="563"/>
      <c r="FPE1" s="563"/>
      <c r="FPF1" s="563"/>
      <c r="FPG1" s="563" t="s">
        <v>15</v>
      </c>
      <c r="FPH1" s="563"/>
      <c r="FPI1" s="563"/>
      <c r="FPJ1" s="563"/>
      <c r="FPK1" s="563"/>
      <c r="FPL1" s="563"/>
      <c r="FPM1" s="563"/>
      <c r="FPN1" s="563"/>
      <c r="FPO1" s="563" t="s">
        <v>15</v>
      </c>
      <c r="FPP1" s="563"/>
      <c r="FPQ1" s="563"/>
      <c r="FPR1" s="563"/>
      <c r="FPS1" s="563"/>
      <c r="FPT1" s="563"/>
      <c r="FPU1" s="563"/>
      <c r="FPV1" s="563"/>
      <c r="FPW1" s="563" t="s">
        <v>15</v>
      </c>
      <c r="FPX1" s="563"/>
      <c r="FPY1" s="563"/>
      <c r="FPZ1" s="563"/>
      <c r="FQA1" s="563"/>
      <c r="FQB1" s="563"/>
      <c r="FQC1" s="563"/>
      <c r="FQD1" s="563"/>
      <c r="FQE1" s="563" t="s">
        <v>15</v>
      </c>
      <c r="FQF1" s="563"/>
      <c r="FQG1" s="563"/>
      <c r="FQH1" s="563"/>
      <c r="FQI1" s="563"/>
      <c r="FQJ1" s="563"/>
      <c r="FQK1" s="563"/>
      <c r="FQL1" s="563"/>
      <c r="FQM1" s="563" t="s">
        <v>15</v>
      </c>
      <c r="FQN1" s="563"/>
      <c r="FQO1" s="563"/>
      <c r="FQP1" s="563"/>
      <c r="FQQ1" s="563"/>
      <c r="FQR1" s="563"/>
      <c r="FQS1" s="563"/>
      <c r="FQT1" s="563"/>
      <c r="FQU1" s="563" t="s">
        <v>15</v>
      </c>
      <c r="FQV1" s="563"/>
      <c r="FQW1" s="563"/>
      <c r="FQX1" s="563"/>
      <c r="FQY1" s="563"/>
      <c r="FQZ1" s="563"/>
      <c r="FRA1" s="563"/>
      <c r="FRB1" s="563"/>
      <c r="FRC1" s="563" t="s">
        <v>15</v>
      </c>
      <c r="FRD1" s="563"/>
      <c r="FRE1" s="563"/>
      <c r="FRF1" s="563"/>
      <c r="FRG1" s="563"/>
      <c r="FRH1" s="563"/>
      <c r="FRI1" s="563"/>
      <c r="FRJ1" s="563"/>
      <c r="FRK1" s="563" t="s">
        <v>15</v>
      </c>
      <c r="FRL1" s="563"/>
      <c r="FRM1" s="563"/>
      <c r="FRN1" s="563"/>
      <c r="FRO1" s="563"/>
      <c r="FRP1" s="563"/>
      <c r="FRQ1" s="563"/>
      <c r="FRR1" s="563"/>
      <c r="FRS1" s="563" t="s">
        <v>15</v>
      </c>
      <c r="FRT1" s="563"/>
      <c r="FRU1" s="563"/>
      <c r="FRV1" s="563"/>
      <c r="FRW1" s="563"/>
      <c r="FRX1" s="563"/>
      <c r="FRY1" s="563"/>
      <c r="FRZ1" s="563"/>
      <c r="FSA1" s="563" t="s">
        <v>15</v>
      </c>
      <c r="FSB1" s="563"/>
      <c r="FSC1" s="563"/>
      <c r="FSD1" s="563"/>
      <c r="FSE1" s="563"/>
      <c r="FSF1" s="563"/>
      <c r="FSG1" s="563"/>
      <c r="FSH1" s="563"/>
      <c r="FSI1" s="563" t="s">
        <v>15</v>
      </c>
      <c r="FSJ1" s="563"/>
      <c r="FSK1" s="563"/>
      <c r="FSL1" s="563"/>
      <c r="FSM1" s="563"/>
      <c r="FSN1" s="563"/>
      <c r="FSO1" s="563"/>
      <c r="FSP1" s="563"/>
      <c r="FSQ1" s="563" t="s">
        <v>15</v>
      </c>
      <c r="FSR1" s="563"/>
      <c r="FSS1" s="563"/>
      <c r="FST1" s="563"/>
      <c r="FSU1" s="563"/>
      <c r="FSV1" s="563"/>
      <c r="FSW1" s="563"/>
      <c r="FSX1" s="563"/>
      <c r="FSY1" s="563" t="s">
        <v>15</v>
      </c>
      <c r="FSZ1" s="563"/>
      <c r="FTA1" s="563"/>
      <c r="FTB1" s="563"/>
      <c r="FTC1" s="563"/>
      <c r="FTD1" s="563"/>
      <c r="FTE1" s="563"/>
      <c r="FTF1" s="563"/>
      <c r="FTG1" s="563" t="s">
        <v>15</v>
      </c>
      <c r="FTH1" s="563"/>
      <c r="FTI1" s="563"/>
      <c r="FTJ1" s="563"/>
      <c r="FTK1" s="563"/>
      <c r="FTL1" s="563"/>
      <c r="FTM1" s="563"/>
      <c r="FTN1" s="563"/>
      <c r="FTO1" s="563" t="s">
        <v>15</v>
      </c>
      <c r="FTP1" s="563"/>
      <c r="FTQ1" s="563"/>
      <c r="FTR1" s="563"/>
      <c r="FTS1" s="563"/>
      <c r="FTT1" s="563"/>
      <c r="FTU1" s="563"/>
      <c r="FTV1" s="563"/>
      <c r="FTW1" s="563" t="s">
        <v>15</v>
      </c>
      <c r="FTX1" s="563"/>
      <c r="FTY1" s="563"/>
      <c r="FTZ1" s="563"/>
      <c r="FUA1" s="563"/>
      <c r="FUB1" s="563"/>
      <c r="FUC1" s="563"/>
      <c r="FUD1" s="563"/>
      <c r="FUE1" s="563" t="s">
        <v>15</v>
      </c>
      <c r="FUF1" s="563"/>
      <c r="FUG1" s="563"/>
      <c r="FUH1" s="563"/>
      <c r="FUI1" s="563"/>
      <c r="FUJ1" s="563"/>
      <c r="FUK1" s="563"/>
      <c r="FUL1" s="563"/>
      <c r="FUM1" s="563" t="s">
        <v>15</v>
      </c>
      <c r="FUN1" s="563"/>
      <c r="FUO1" s="563"/>
      <c r="FUP1" s="563"/>
      <c r="FUQ1" s="563"/>
      <c r="FUR1" s="563"/>
      <c r="FUS1" s="563"/>
      <c r="FUT1" s="563"/>
      <c r="FUU1" s="563" t="s">
        <v>15</v>
      </c>
      <c r="FUV1" s="563"/>
      <c r="FUW1" s="563"/>
      <c r="FUX1" s="563"/>
      <c r="FUY1" s="563"/>
      <c r="FUZ1" s="563"/>
      <c r="FVA1" s="563"/>
      <c r="FVB1" s="563"/>
      <c r="FVC1" s="563" t="s">
        <v>15</v>
      </c>
      <c r="FVD1" s="563"/>
      <c r="FVE1" s="563"/>
      <c r="FVF1" s="563"/>
      <c r="FVG1" s="563"/>
      <c r="FVH1" s="563"/>
      <c r="FVI1" s="563"/>
      <c r="FVJ1" s="563"/>
      <c r="FVK1" s="563" t="s">
        <v>15</v>
      </c>
      <c r="FVL1" s="563"/>
      <c r="FVM1" s="563"/>
      <c r="FVN1" s="563"/>
      <c r="FVO1" s="563"/>
      <c r="FVP1" s="563"/>
      <c r="FVQ1" s="563"/>
      <c r="FVR1" s="563"/>
      <c r="FVS1" s="563" t="s">
        <v>15</v>
      </c>
      <c r="FVT1" s="563"/>
      <c r="FVU1" s="563"/>
      <c r="FVV1" s="563"/>
      <c r="FVW1" s="563"/>
      <c r="FVX1" s="563"/>
      <c r="FVY1" s="563"/>
      <c r="FVZ1" s="563"/>
      <c r="FWA1" s="563" t="s">
        <v>15</v>
      </c>
      <c r="FWB1" s="563"/>
      <c r="FWC1" s="563"/>
      <c r="FWD1" s="563"/>
      <c r="FWE1" s="563"/>
      <c r="FWF1" s="563"/>
      <c r="FWG1" s="563"/>
      <c r="FWH1" s="563"/>
      <c r="FWI1" s="563" t="s">
        <v>15</v>
      </c>
      <c r="FWJ1" s="563"/>
      <c r="FWK1" s="563"/>
      <c r="FWL1" s="563"/>
      <c r="FWM1" s="563"/>
      <c r="FWN1" s="563"/>
      <c r="FWO1" s="563"/>
      <c r="FWP1" s="563"/>
      <c r="FWQ1" s="563" t="s">
        <v>15</v>
      </c>
      <c r="FWR1" s="563"/>
      <c r="FWS1" s="563"/>
      <c r="FWT1" s="563"/>
      <c r="FWU1" s="563"/>
      <c r="FWV1" s="563"/>
      <c r="FWW1" s="563"/>
      <c r="FWX1" s="563"/>
      <c r="FWY1" s="563" t="s">
        <v>15</v>
      </c>
      <c r="FWZ1" s="563"/>
      <c r="FXA1" s="563"/>
      <c r="FXB1" s="563"/>
      <c r="FXC1" s="563"/>
      <c r="FXD1" s="563"/>
      <c r="FXE1" s="563"/>
      <c r="FXF1" s="563"/>
      <c r="FXG1" s="563" t="s">
        <v>15</v>
      </c>
      <c r="FXH1" s="563"/>
      <c r="FXI1" s="563"/>
      <c r="FXJ1" s="563"/>
      <c r="FXK1" s="563"/>
      <c r="FXL1" s="563"/>
      <c r="FXM1" s="563"/>
      <c r="FXN1" s="563"/>
      <c r="FXO1" s="563" t="s">
        <v>15</v>
      </c>
      <c r="FXP1" s="563"/>
      <c r="FXQ1" s="563"/>
      <c r="FXR1" s="563"/>
      <c r="FXS1" s="563"/>
      <c r="FXT1" s="563"/>
      <c r="FXU1" s="563"/>
      <c r="FXV1" s="563"/>
      <c r="FXW1" s="563" t="s">
        <v>15</v>
      </c>
      <c r="FXX1" s="563"/>
      <c r="FXY1" s="563"/>
      <c r="FXZ1" s="563"/>
      <c r="FYA1" s="563"/>
      <c r="FYB1" s="563"/>
      <c r="FYC1" s="563"/>
      <c r="FYD1" s="563"/>
      <c r="FYE1" s="563" t="s">
        <v>15</v>
      </c>
      <c r="FYF1" s="563"/>
      <c r="FYG1" s="563"/>
      <c r="FYH1" s="563"/>
      <c r="FYI1" s="563"/>
      <c r="FYJ1" s="563"/>
      <c r="FYK1" s="563"/>
      <c r="FYL1" s="563"/>
      <c r="FYM1" s="563" t="s">
        <v>15</v>
      </c>
      <c r="FYN1" s="563"/>
      <c r="FYO1" s="563"/>
      <c r="FYP1" s="563"/>
      <c r="FYQ1" s="563"/>
      <c r="FYR1" s="563"/>
      <c r="FYS1" s="563"/>
      <c r="FYT1" s="563"/>
      <c r="FYU1" s="563" t="s">
        <v>15</v>
      </c>
      <c r="FYV1" s="563"/>
      <c r="FYW1" s="563"/>
      <c r="FYX1" s="563"/>
      <c r="FYY1" s="563"/>
      <c r="FYZ1" s="563"/>
      <c r="FZA1" s="563"/>
      <c r="FZB1" s="563"/>
      <c r="FZC1" s="563" t="s">
        <v>15</v>
      </c>
      <c r="FZD1" s="563"/>
      <c r="FZE1" s="563"/>
      <c r="FZF1" s="563"/>
      <c r="FZG1" s="563"/>
      <c r="FZH1" s="563"/>
      <c r="FZI1" s="563"/>
      <c r="FZJ1" s="563"/>
      <c r="FZK1" s="563" t="s">
        <v>15</v>
      </c>
      <c r="FZL1" s="563"/>
      <c r="FZM1" s="563"/>
      <c r="FZN1" s="563"/>
      <c r="FZO1" s="563"/>
      <c r="FZP1" s="563"/>
      <c r="FZQ1" s="563"/>
      <c r="FZR1" s="563"/>
      <c r="FZS1" s="563" t="s">
        <v>15</v>
      </c>
      <c r="FZT1" s="563"/>
      <c r="FZU1" s="563"/>
      <c r="FZV1" s="563"/>
      <c r="FZW1" s="563"/>
      <c r="FZX1" s="563"/>
      <c r="FZY1" s="563"/>
      <c r="FZZ1" s="563"/>
      <c r="GAA1" s="563" t="s">
        <v>15</v>
      </c>
      <c r="GAB1" s="563"/>
      <c r="GAC1" s="563"/>
      <c r="GAD1" s="563"/>
      <c r="GAE1" s="563"/>
      <c r="GAF1" s="563"/>
      <c r="GAG1" s="563"/>
      <c r="GAH1" s="563"/>
      <c r="GAI1" s="563" t="s">
        <v>15</v>
      </c>
      <c r="GAJ1" s="563"/>
      <c r="GAK1" s="563"/>
      <c r="GAL1" s="563"/>
      <c r="GAM1" s="563"/>
      <c r="GAN1" s="563"/>
      <c r="GAO1" s="563"/>
      <c r="GAP1" s="563"/>
      <c r="GAQ1" s="563" t="s">
        <v>15</v>
      </c>
      <c r="GAR1" s="563"/>
      <c r="GAS1" s="563"/>
      <c r="GAT1" s="563"/>
      <c r="GAU1" s="563"/>
      <c r="GAV1" s="563"/>
      <c r="GAW1" s="563"/>
      <c r="GAX1" s="563"/>
      <c r="GAY1" s="563" t="s">
        <v>15</v>
      </c>
      <c r="GAZ1" s="563"/>
      <c r="GBA1" s="563"/>
      <c r="GBB1" s="563"/>
      <c r="GBC1" s="563"/>
      <c r="GBD1" s="563"/>
      <c r="GBE1" s="563"/>
      <c r="GBF1" s="563"/>
      <c r="GBG1" s="563" t="s">
        <v>15</v>
      </c>
      <c r="GBH1" s="563"/>
      <c r="GBI1" s="563"/>
      <c r="GBJ1" s="563"/>
      <c r="GBK1" s="563"/>
      <c r="GBL1" s="563"/>
      <c r="GBM1" s="563"/>
      <c r="GBN1" s="563"/>
      <c r="GBO1" s="563" t="s">
        <v>15</v>
      </c>
      <c r="GBP1" s="563"/>
      <c r="GBQ1" s="563"/>
      <c r="GBR1" s="563"/>
      <c r="GBS1" s="563"/>
      <c r="GBT1" s="563"/>
      <c r="GBU1" s="563"/>
      <c r="GBV1" s="563"/>
      <c r="GBW1" s="563" t="s">
        <v>15</v>
      </c>
      <c r="GBX1" s="563"/>
      <c r="GBY1" s="563"/>
      <c r="GBZ1" s="563"/>
      <c r="GCA1" s="563"/>
      <c r="GCB1" s="563"/>
      <c r="GCC1" s="563"/>
      <c r="GCD1" s="563"/>
      <c r="GCE1" s="563" t="s">
        <v>15</v>
      </c>
      <c r="GCF1" s="563"/>
      <c r="GCG1" s="563"/>
      <c r="GCH1" s="563"/>
      <c r="GCI1" s="563"/>
      <c r="GCJ1" s="563"/>
      <c r="GCK1" s="563"/>
      <c r="GCL1" s="563"/>
      <c r="GCM1" s="563" t="s">
        <v>15</v>
      </c>
      <c r="GCN1" s="563"/>
      <c r="GCO1" s="563"/>
      <c r="GCP1" s="563"/>
      <c r="GCQ1" s="563"/>
      <c r="GCR1" s="563"/>
      <c r="GCS1" s="563"/>
      <c r="GCT1" s="563"/>
      <c r="GCU1" s="563" t="s">
        <v>15</v>
      </c>
      <c r="GCV1" s="563"/>
      <c r="GCW1" s="563"/>
      <c r="GCX1" s="563"/>
      <c r="GCY1" s="563"/>
      <c r="GCZ1" s="563"/>
      <c r="GDA1" s="563"/>
      <c r="GDB1" s="563"/>
      <c r="GDC1" s="563" t="s">
        <v>15</v>
      </c>
      <c r="GDD1" s="563"/>
      <c r="GDE1" s="563"/>
      <c r="GDF1" s="563"/>
      <c r="GDG1" s="563"/>
      <c r="GDH1" s="563"/>
      <c r="GDI1" s="563"/>
      <c r="GDJ1" s="563"/>
      <c r="GDK1" s="563" t="s">
        <v>15</v>
      </c>
      <c r="GDL1" s="563"/>
      <c r="GDM1" s="563"/>
      <c r="GDN1" s="563"/>
      <c r="GDO1" s="563"/>
      <c r="GDP1" s="563"/>
      <c r="GDQ1" s="563"/>
      <c r="GDR1" s="563"/>
      <c r="GDS1" s="563" t="s">
        <v>15</v>
      </c>
      <c r="GDT1" s="563"/>
      <c r="GDU1" s="563"/>
      <c r="GDV1" s="563"/>
      <c r="GDW1" s="563"/>
      <c r="GDX1" s="563"/>
      <c r="GDY1" s="563"/>
      <c r="GDZ1" s="563"/>
      <c r="GEA1" s="563" t="s">
        <v>15</v>
      </c>
      <c r="GEB1" s="563"/>
      <c r="GEC1" s="563"/>
      <c r="GED1" s="563"/>
      <c r="GEE1" s="563"/>
      <c r="GEF1" s="563"/>
      <c r="GEG1" s="563"/>
      <c r="GEH1" s="563"/>
      <c r="GEI1" s="563" t="s">
        <v>15</v>
      </c>
      <c r="GEJ1" s="563"/>
      <c r="GEK1" s="563"/>
      <c r="GEL1" s="563"/>
      <c r="GEM1" s="563"/>
      <c r="GEN1" s="563"/>
      <c r="GEO1" s="563"/>
      <c r="GEP1" s="563"/>
      <c r="GEQ1" s="563" t="s">
        <v>15</v>
      </c>
      <c r="GER1" s="563"/>
      <c r="GES1" s="563"/>
      <c r="GET1" s="563"/>
      <c r="GEU1" s="563"/>
      <c r="GEV1" s="563"/>
      <c r="GEW1" s="563"/>
      <c r="GEX1" s="563"/>
      <c r="GEY1" s="563" t="s">
        <v>15</v>
      </c>
      <c r="GEZ1" s="563"/>
      <c r="GFA1" s="563"/>
      <c r="GFB1" s="563"/>
      <c r="GFC1" s="563"/>
      <c r="GFD1" s="563"/>
      <c r="GFE1" s="563"/>
      <c r="GFF1" s="563"/>
      <c r="GFG1" s="563" t="s">
        <v>15</v>
      </c>
      <c r="GFH1" s="563"/>
      <c r="GFI1" s="563"/>
      <c r="GFJ1" s="563"/>
      <c r="GFK1" s="563"/>
      <c r="GFL1" s="563"/>
      <c r="GFM1" s="563"/>
      <c r="GFN1" s="563"/>
      <c r="GFO1" s="563" t="s">
        <v>15</v>
      </c>
      <c r="GFP1" s="563"/>
      <c r="GFQ1" s="563"/>
      <c r="GFR1" s="563"/>
      <c r="GFS1" s="563"/>
      <c r="GFT1" s="563"/>
      <c r="GFU1" s="563"/>
      <c r="GFV1" s="563"/>
      <c r="GFW1" s="563" t="s">
        <v>15</v>
      </c>
      <c r="GFX1" s="563"/>
      <c r="GFY1" s="563"/>
      <c r="GFZ1" s="563"/>
      <c r="GGA1" s="563"/>
      <c r="GGB1" s="563"/>
      <c r="GGC1" s="563"/>
      <c r="GGD1" s="563"/>
      <c r="GGE1" s="563" t="s">
        <v>15</v>
      </c>
      <c r="GGF1" s="563"/>
      <c r="GGG1" s="563"/>
      <c r="GGH1" s="563"/>
      <c r="GGI1" s="563"/>
      <c r="GGJ1" s="563"/>
      <c r="GGK1" s="563"/>
      <c r="GGL1" s="563"/>
      <c r="GGM1" s="563" t="s">
        <v>15</v>
      </c>
      <c r="GGN1" s="563"/>
      <c r="GGO1" s="563"/>
      <c r="GGP1" s="563"/>
      <c r="GGQ1" s="563"/>
      <c r="GGR1" s="563"/>
      <c r="GGS1" s="563"/>
      <c r="GGT1" s="563"/>
      <c r="GGU1" s="563" t="s">
        <v>15</v>
      </c>
      <c r="GGV1" s="563"/>
      <c r="GGW1" s="563"/>
      <c r="GGX1" s="563"/>
      <c r="GGY1" s="563"/>
      <c r="GGZ1" s="563"/>
      <c r="GHA1" s="563"/>
      <c r="GHB1" s="563"/>
      <c r="GHC1" s="563" t="s">
        <v>15</v>
      </c>
      <c r="GHD1" s="563"/>
      <c r="GHE1" s="563"/>
      <c r="GHF1" s="563"/>
      <c r="GHG1" s="563"/>
      <c r="GHH1" s="563"/>
      <c r="GHI1" s="563"/>
      <c r="GHJ1" s="563"/>
      <c r="GHK1" s="563" t="s">
        <v>15</v>
      </c>
      <c r="GHL1" s="563"/>
      <c r="GHM1" s="563"/>
      <c r="GHN1" s="563"/>
      <c r="GHO1" s="563"/>
      <c r="GHP1" s="563"/>
      <c r="GHQ1" s="563"/>
      <c r="GHR1" s="563"/>
      <c r="GHS1" s="563" t="s">
        <v>15</v>
      </c>
      <c r="GHT1" s="563"/>
      <c r="GHU1" s="563"/>
      <c r="GHV1" s="563"/>
      <c r="GHW1" s="563"/>
      <c r="GHX1" s="563"/>
      <c r="GHY1" s="563"/>
      <c r="GHZ1" s="563"/>
      <c r="GIA1" s="563" t="s">
        <v>15</v>
      </c>
      <c r="GIB1" s="563"/>
      <c r="GIC1" s="563"/>
      <c r="GID1" s="563"/>
      <c r="GIE1" s="563"/>
      <c r="GIF1" s="563"/>
      <c r="GIG1" s="563"/>
      <c r="GIH1" s="563"/>
      <c r="GII1" s="563" t="s">
        <v>15</v>
      </c>
      <c r="GIJ1" s="563"/>
      <c r="GIK1" s="563"/>
      <c r="GIL1" s="563"/>
      <c r="GIM1" s="563"/>
      <c r="GIN1" s="563"/>
      <c r="GIO1" s="563"/>
      <c r="GIP1" s="563"/>
      <c r="GIQ1" s="563" t="s">
        <v>15</v>
      </c>
      <c r="GIR1" s="563"/>
      <c r="GIS1" s="563"/>
      <c r="GIT1" s="563"/>
      <c r="GIU1" s="563"/>
      <c r="GIV1" s="563"/>
      <c r="GIW1" s="563"/>
      <c r="GIX1" s="563"/>
      <c r="GIY1" s="563" t="s">
        <v>15</v>
      </c>
      <c r="GIZ1" s="563"/>
      <c r="GJA1" s="563"/>
      <c r="GJB1" s="563"/>
      <c r="GJC1" s="563"/>
      <c r="GJD1" s="563"/>
      <c r="GJE1" s="563"/>
      <c r="GJF1" s="563"/>
      <c r="GJG1" s="563" t="s">
        <v>15</v>
      </c>
      <c r="GJH1" s="563"/>
      <c r="GJI1" s="563"/>
      <c r="GJJ1" s="563"/>
      <c r="GJK1" s="563"/>
      <c r="GJL1" s="563"/>
      <c r="GJM1" s="563"/>
      <c r="GJN1" s="563"/>
      <c r="GJO1" s="563" t="s">
        <v>15</v>
      </c>
      <c r="GJP1" s="563"/>
      <c r="GJQ1" s="563"/>
      <c r="GJR1" s="563"/>
      <c r="GJS1" s="563"/>
      <c r="GJT1" s="563"/>
      <c r="GJU1" s="563"/>
      <c r="GJV1" s="563"/>
      <c r="GJW1" s="563" t="s">
        <v>15</v>
      </c>
      <c r="GJX1" s="563"/>
      <c r="GJY1" s="563"/>
      <c r="GJZ1" s="563"/>
      <c r="GKA1" s="563"/>
      <c r="GKB1" s="563"/>
      <c r="GKC1" s="563"/>
      <c r="GKD1" s="563"/>
      <c r="GKE1" s="563" t="s">
        <v>15</v>
      </c>
      <c r="GKF1" s="563"/>
      <c r="GKG1" s="563"/>
      <c r="GKH1" s="563"/>
      <c r="GKI1" s="563"/>
      <c r="GKJ1" s="563"/>
      <c r="GKK1" s="563"/>
      <c r="GKL1" s="563"/>
      <c r="GKM1" s="563" t="s">
        <v>15</v>
      </c>
      <c r="GKN1" s="563"/>
      <c r="GKO1" s="563"/>
      <c r="GKP1" s="563"/>
      <c r="GKQ1" s="563"/>
      <c r="GKR1" s="563"/>
      <c r="GKS1" s="563"/>
      <c r="GKT1" s="563"/>
      <c r="GKU1" s="563" t="s">
        <v>15</v>
      </c>
      <c r="GKV1" s="563"/>
      <c r="GKW1" s="563"/>
      <c r="GKX1" s="563"/>
      <c r="GKY1" s="563"/>
      <c r="GKZ1" s="563"/>
      <c r="GLA1" s="563"/>
      <c r="GLB1" s="563"/>
      <c r="GLC1" s="563" t="s">
        <v>15</v>
      </c>
      <c r="GLD1" s="563"/>
      <c r="GLE1" s="563"/>
      <c r="GLF1" s="563"/>
      <c r="GLG1" s="563"/>
      <c r="GLH1" s="563"/>
      <c r="GLI1" s="563"/>
      <c r="GLJ1" s="563"/>
      <c r="GLK1" s="563" t="s">
        <v>15</v>
      </c>
      <c r="GLL1" s="563"/>
      <c r="GLM1" s="563"/>
      <c r="GLN1" s="563"/>
      <c r="GLO1" s="563"/>
      <c r="GLP1" s="563"/>
      <c r="GLQ1" s="563"/>
      <c r="GLR1" s="563"/>
      <c r="GLS1" s="563" t="s">
        <v>15</v>
      </c>
      <c r="GLT1" s="563"/>
      <c r="GLU1" s="563"/>
      <c r="GLV1" s="563"/>
      <c r="GLW1" s="563"/>
      <c r="GLX1" s="563"/>
      <c r="GLY1" s="563"/>
      <c r="GLZ1" s="563"/>
      <c r="GMA1" s="563" t="s">
        <v>15</v>
      </c>
      <c r="GMB1" s="563"/>
      <c r="GMC1" s="563"/>
      <c r="GMD1" s="563"/>
      <c r="GME1" s="563"/>
      <c r="GMF1" s="563"/>
      <c r="GMG1" s="563"/>
      <c r="GMH1" s="563"/>
      <c r="GMI1" s="563" t="s">
        <v>15</v>
      </c>
      <c r="GMJ1" s="563"/>
      <c r="GMK1" s="563"/>
      <c r="GML1" s="563"/>
      <c r="GMM1" s="563"/>
      <c r="GMN1" s="563"/>
      <c r="GMO1" s="563"/>
      <c r="GMP1" s="563"/>
      <c r="GMQ1" s="563" t="s">
        <v>15</v>
      </c>
      <c r="GMR1" s="563"/>
      <c r="GMS1" s="563"/>
      <c r="GMT1" s="563"/>
      <c r="GMU1" s="563"/>
      <c r="GMV1" s="563"/>
      <c r="GMW1" s="563"/>
      <c r="GMX1" s="563"/>
      <c r="GMY1" s="563" t="s">
        <v>15</v>
      </c>
      <c r="GMZ1" s="563"/>
      <c r="GNA1" s="563"/>
      <c r="GNB1" s="563"/>
      <c r="GNC1" s="563"/>
      <c r="GND1" s="563"/>
      <c r="GNE1" s="563"/>
      <c r="GNF1" s="563"/>
      <c r="GNG1" s="563" t="s">
        <v>15</v>
      </c>
      <c r="GNH1" s="563"/>
      <c r="GNI1" s="563"/>
      <c r="GNJ1" s="563"/>
      <c r="GNK1" s="563"/>
      <c r="GNL1" s="563"/>
      <c r="GNM1" s="563"/>
      <c r="GNN1" s="563"/>
      <c r="GNO1" s="563" t="s">
        <v>15</v>
      </c>
      <c r="GNP1" s="563"/>
      <c r="GNQ1" s="563"/>
      <c r="GNR1" s="563"/>
      <c r="GNS1" s="563"/>
      <c r="GNT1" s="563"/>
      <c r="GNU1" s="563"/>
      <c r="GNV1" s="563"/>
      <c r="GNW1" s="563" t="s">
        <v>15</v>
      </c>
      <c r="GNX1" s="563"/>
      <c r="GNY1" s="563"/>
      <c r="GNZ1" s="563"/>
      <c r="GOA1" s="563"/>
      <c r="GOB1" s="563"/>
      <c r="GOC1" s="563"/>
      <c r="GOD1" s="563"/>
      <c r="GOE1" s="563" t="s">
        <v>15</v>
      </c>
      <c r="GOF1" s="563"/>
      <c r="GOG1" s="563"/>
      <c r="GOH1" s="563"/>
      <c r="GOI1" s="563"/>
      <c r="GOJ1" s="563"/>
      <c r="GOK1" s="563"/>
      <c r="GOL1" s="563"/>
      <c r="GOM1" s="563" t="s">
        <v>15</v>
      </c>
      <c r="GON1" s="563"/>
      <c r="GOO1" s="563"/>
      <c r="GOP1" s="563"/>
      <c r="GOQ1" s="563"/>
      <c r="GOR1" s="563"/>
      <c r="GOS1" s="563"/>
      <c r="GOT1" s="563"/>
      <c r="GOU1" s="563" t="s">
        <v>15</v>
      </c>
      <c r="GOV1" s="563"/>
      <c r="GOW1" s="563"/>
      <c r="GOX1" s="563"/>
      <c r="GOY1" s="563"/>
      <c r="GOZ1" s="563"/>
      <c r="GPA1" s="563"/>
      <c r="GPB1" s="563"/>
      <c r="GPC1" s="563" t="s">
        <v>15</v>
      </c>
      <c r="GPD1" s="563"/>
      <c r="GPE1" s="563"/>
      <c r="GPF1" s="563"/>
      <c r="GPG1" s="563"/>
      <c r="GPH1" s="563"/>
      <c r="GPI1" s="563"/>
      <c r="GPJ1" s="563"/>
      <c r="GPK1" s="563" t="s">
        <v>15</v>
      </c>
      <c r="GPL1" s="563"/>
      <c r="GPM1" s="563"/>
      <c r="GPN1" s="563"/>
      <c r="GPO1" s="563"/>
      <c r="GPP1" s="563"/>
      <c r="GPQ1" s="563"/>
      <c r="GPR1" s="563"/>
      <c r="GPS1" s="563" t="s">
        <v>15</v>
      </c>
      <c r="GPT1" s="563"/>
      <c r="GPU1" s="563"/>
      <c r="GPV1" s="563"/>
      <c r="GPW1" s="563"/>
      <c r="GPX1" s="563"/>
      <c r="GPY1" s="563"/>
      <c r="GPZ1" s="563"/>
      <c r="GQA1" s="563" t="s">
        <v>15</v>
      </c>
      <c r="GQB1" s="563"/>
      <c r="GQC1" s="563"/>
      <c r="GQD1" s="563"/>
      <c r="GQE1" s="563"/>
      <c r="GQF1" s="563"/>
      <c r="GQG1" s="563"/>
      <c r="GQH1" s="563"/>
      <c r="GQI1" s="563" t="s">
        <v>15</v>
      </c>
      <c r="GQJ1" s="563"/>
      <c r="GQK1" s="563"/>
      <c r="GQL1" s="563"/>
      <c r="GQM1" s="563"/>
      <c r="GQN1" s="563"/>
      <c r="GQO1" s="563"/>
      <c r="GQP1" s="563"/>
      <c r="GQQ1" s="563" t="s">
        <v>15</v>
      </c>
      <c r="GQR1" s="563"/>
      <c r="GQS1" s="563"/>
      <c r="GQT1" s="563"/>
      <c r="GQU1" s="563"/>
      <c r="GQV1" s="563"/>
      <c r="GQW1" s="563"/>
      <c r="GQX1" s="563"/>
      <c r="GQY1" s="563" t="s">
        <v>15</v>
      </c>
      <c r="GQZ1" s="563"/>
      <c r="GRA1" s="563"/>
      <c r="GRB1" s="563"/>
      <c r="GRC1" s="563"/>
      <c r="GRD1" s="563"/>
      <c r="GRE1" s="563"/>
      <c r="GRF1" s="563"/>
      <c r="GRG1" s="563" t="s">
        <v>15</v>
      </c>
      <c r="GRH1" s="563"/>
      <c r="GRI1" s="563"/>
      <c r="GRJ1" s="563"/>
      <c r="GRK1" s="563"/>
      <c r="GRL1" s="563"/>
      <c r="GRM1" s="563"/>
      <c r="GRN1" s="563"/>
      <c r="GRO1" s="563" t="s">
        <v>15</v>
      </c>
      <c r="GRP1" s="563"/>
      <c r="GRQ1" s="563"/>
      <c r="GRR1" s="563"/>
      <c r="GRS1" s="563"/>
      <c r="GRT1" s="563"/>
      <c r="GRU1" s="563"/>
      <c r="GRV1" s="563"/>
      <c r="GRW1" s="563" t="s">
        <v>15</v>
      </c>
      <c r="GRX1" s="563"/>
      <c r="GRY1" s="563"/>
      <c r="GRZ1" s="563"/>
      <c r="GSA1" s="563"/>
      <c r="GSB1" s="563"/>
      <c r="GSC1" s="563"/>
      <c r="GSD1" s="563"/>
      <c r="GSE1" s="563" t="s">
        <v>15</v>
      </c>
      <c r="GSF1" s="563"/>
      <c r="GSG1" s="563"/>
      <c r="GSH1" s="563"/>
      <c r="GSI1" s="563"/>
      <c r="GSJ1" s="563"/>
      <c r="GSK1" s="563"/>
      <c r="GSL1" s="563"/>
      <c r="GSM1" s="563" t="s">
        <v>15</v>
      </c>
      <c r="GSN1" s="563"/>
      <c r="GSO1" s="563"/>
      <c r="GSP1" s="563"/>
      <c r="GSQ1" s="563"/>
      <c r="GSR1" s="563"/>
      <c r="GSS1" s="563"/>
      <c r="GST1" s="563"/>
      <c r="GSU1" s="563" t="s">
        <v>15</v>
      </c>
      <c r="GSV1" s="563"/>
      <c r="GSW1" s="563"/>
      <c r="GSX1" s="563"/>
      <c r="GSY1" s="563"/>
      <c r="GSZ1" s="563"/>
      <c r="GTA1" s="563"/>
      <c r="GTB1" s="563"/>
      <c r="GTC1" s="563" t="s">
        <v>15</v>
      </c>
      <c r="GTD1" s="563"/>
      <c r="GTE1" s="563"/>
      <c r="GTF1" s="563"/>
      <c r="GTG1" s="563"/>
      <c r="GTH1" s="563"/>
      <c r="GTI1" s="563"/>
      <c r="GTJ1" s="563"/>
      <c r="GTK1" s="563" t="s">
        <v>15</v>
      </c>
      <c r="GTL1" s="563"/>
      <c r="GTM1" s="563"/>
      <c r="GTN1" s="563"/>
      <c r="GTO1" s="563"/>
      <c r="GTP1" s="563"/>
      <c r="GTQ1" s="563"/>
      <c r="GTR1" s="563"/>
      <c r="GTS1" s="563" t="s">
        <v>15</v>
      </c>
      <c r="GTT1" s="563"/>
      <c r="GTU1" s="563"/>
      <c r="GTV1" s="563"/>
      <c r="GTW1" s="563"/>
      <c r="GTX1" s="563"/>
      <c r="GTY1" s="563"/>
      <c r="GTZ1" s="563"/>
      <c r="GUA1" s="563" t="s">
        <v>15</v>
      </c>
      <c r="GUB1" s="563"/>
      <c r="GUC1" s="563"/>
      <c r="GUD1" s="563"/>
      <c r="GUE1" s="563"/>
      <c r="GUF1" s="563"/>
      <c r="GUG1" s="563"/>
      <c r="GUH1" s="563"/>
      <c r="GUI1" s="563" t="s">
        <v>15</v>
      </c>
      <c r="GUJ1" s="563"/>
      <c r="GUK1" s="563"/>
      <c r="GUL1" s="563"/>
      <c r="GUM1" s="563"/>
      <c r="GUN1" s="563"/>
      <c r="GUO1" s="563"/>
      <c r="GUP1" s="563"/>
      <c r="GUQ1" s="563" t="s">
        <v>15</v>
      </c>
      <c r="GUR1" s="563"/>
      <c r="GUS1" s="563"/>
      <c r="GUT1" s="563"/>
      <c r="GUU1" s="563"/>
      <c r="GUV1" s="563"/>
      <c r="GUW1" s="563"/>
      <c r="GUX1" s="563"/>
      <c r="GUY1" s="563" t="s">
        <v>15</v>
      </c>
      <c r="GUZ1" s="563"/>
      <c r="GVA1" s="563"/>
      <c r="GVB1" s="563"/>
      <c r="GVC1" s="563"/>
      <c r="GVD1" s="563"/>
      <c r="GVE1" s="563"/>
      <c r="GVF1" s="563"/>
      <c r="GVG1" s="563" t="s">
        <v>15</v>
      </c>
      <c r="GVH1" s="563"/>
      <c r="GVI1" s="563"/>
      <c r="GVJ1" s="563"/>
      <c r="GVK1" s="563"/>
      <c r="GVL1" s="563"/>
      <c r="GVM1" s="563"/>
      <c r="GVN1" s="563"/>
      <c r="GVO1" s="563" t="s">
        <v>15</v>
      </c>
      <c r="GVP1" s="563"/>
      <c r="GVQ1" s="563"/>
      <c r="GVR1" s="563"/>
      <c r="GVS1" s="563"/>
      <c r="GVT1" s="563"/>
      <c r="GVU1" s="563"/>
      <c r="GVV1" s="563"/>
      <c r="GVW1" s="563" t="s">
        <v>15</v>
      </c>
      <c r="GVX1" s="563"/>
      <c r="GVY1" s="563"/>
      <c r="GVZ1" s="563"/>
      <c r="GWA1" s="563"/>
      <c r="GWB1" s="563"/>
      <c r="GWC1" s="563"/>
      <c r="GWD1" s="563"/>
      <c r="GWE1" s="563" t="s">
        <v>15</v>
      </c>
      <c r="GWF1" s="563"/>
      <c r="GWG1" s="563"/>
      <c r="GWH1" s="563"/>
      <c r="GWI1" s="563"/>
      <c r="GWJ1" s="563"/>
      <c r="GWK1" s="563"/>
      <c r="GWL1" s="563"/>
      <c r="GWM1" s="563" t="s">
        <v>15</v>
      </c>
      <c r="GWN1" s="563"/>
      <c r="GWO1" s="563"/>
      <c r="GWP1" s="563"/>
      <c r="GWQ1" s="563"/>
      <c r="GWR1" s="563"/>
      <c r="GWS1" s="563"/>
      <c r="GWT1" s="563"/>
      <c r="GWU1" s="563" t="s">
        <v>15</v>
      </c>
      <c r="GWV1" s="563"/>
      <c r="GWW1" s="563"/>
      <c r="GWX1" s="563"/>
      <c r="GWY1" s="563"/>
      <c r="GWZ1" s="563"/>
      <c r="GXA1" s="563"/>
      <c r="GXB1" s="563"/>
      <c r="GXC1" s="563" t="s">
        <v>15</v>
      </c>
      <c r="GXD1" s="563"/>
      <c r="GXE1" s="563"/>
      <c r="GXF1" s="563"/>
      <c r="GXG1" s="563"/>
      <c r="GXH1" s="563"/>
      <c r="GXI1" s="563"/>
      <c r="GXJ1" s="563"/>
      <c r="GXK1" s="563" t="s">
        <v>15</v>
      </c>
      <c r="GXL1" s="563"/>
      <c r="GXM1" s="563"/>
      <c r="GXN1" s="563"/>
      <c r="GXO1" s="563"/>
      <c r="GXP1" s="563"/>
      <c r="GXQ1" s="563"/>
      <c r="GXR1" s="563"/>
      <c r="GXS1" s="563" t="s">
        <v>15</v>
      </c>
      <c r="GXT1" s="563"/>
      <c r="GXU1" s="563"/>
      <c r="GXV1" s="563"/>
      <c r="GXW1" s="563"/>
      <c r="GXX1" s="563"/>
      <c r="GXY1" s="563"/>
      <c r="GXZ1" s="563"/>
      <c r="GYA1" s="563" t="s">
        <v>15</v>
      </c>
      <c r="GYB1" s="563"/>
      <c r="GYC1" s="563"/>
      <c r="GYD1" s="563"/>
      <c r="GYE1" s="563"/>
      <c r="GYF1" s="563"/>
      <c r="GYG1" s="563"/>
      <c r="GYH1" s="563"/>
      <c r="GYI1" s="563" t="s">
        <v>15</v>
      </c>
      <c r="GYJ1" s="563"/>
      <c r="GYK1" s="563"/>
      <c r="GYL1" s="563"/>
      <c r="GYM1" s="563"/>
      <c r="GYN1" s="563"/>
      <c r="GYO1" s="563"/>
      <c r="GYP1" s="563"/>
      <c r="GYQ1" s="563" t="s">
        <v>15</v>
      </c>
      <c r="GYR1" s="563"/>
      <c r="GYS1" s="563"/>
      <c r="GYT1" s="563"/>
      <c r="GYU1" s="563"/>
      <c r="GYV1" s="563"/>
      <c r="GYW1" s="563"/>
      <c r="GYX1" s="563"/>
      <c r="GYY1" s="563" t="s">
        <v>15</v>
      </c>
      <c r="GYZ1" s="563"/>
      <c r="GZA1" s="563"/>
      <c r="GZB1" s="563"/>
      <c r="GZC1" s="563"/>
      <c r="GZD1" s="563"/>
      <c r="GZE1" s="563"/>
      <c r="GZF1" s="563"/>
      <c r="GZG1" s="563" t="s">
        <v>15</v>
      </c>
      <c r="GZH1" s="563"/>
      <c r="GZI1" s="563"/>
      <c r="GZJ1" s="563"/>
      <c r="GZK1" s="563"/>
      <c r="GZL1" s="563"/>
      <c r="GZM1" s="563"/>
      <c r="GZN1" s="563"/>
      <c r="GZO1" s="563" t="s">
        <v>15</v>
      </c>
      <c r="GZP1" s="563"/>
      <c r="GZQ1" s="563"/>
      <c r="GZR1" s="563"/>
      <c r="GZS1" s="563"/>
      <c r="GZT1" s="563"/>
      <c r="GZU1" s="563"/>
      <c r="GZV1" s="563"/>
      <c r="GZW1" s="563" t="s">
        <v>15</v>
      </c>
      <c r="GZX1" s="563"/>
      <c r="GZY1" s="563"/>
      <c r="GZZ1" s="563"/>
      <c r="HAA1" s="563"/>
      <c r="HAB1" s="563"/>
      <c r="HAC1" s="563"/>
      <c r="HAD1" s="563"/>
      <c r="HAE1" s="563" t="s">
        <v>15</v>
      </c>
      <c r="HAF1" s="563"/>
      <c r="HAG1" s="563"/>
      <c r="HAH1" s="563"/>
      <c r="HAI1" s="563"/>
      <c r="HAJ1" s="563"/>
      <c r="HAK1" s="563"/>
      <c r="HAL1" s="563"/>
      <c r="HAM1" s="563" t="s">
        <v>15</v>
      </c>
      <c r="HAN1" s="563"/>
      <c r="HAO1" s="563"/>
      <c r="HAP1" s="563"/>
      <c r="HAQ1" s="563"/>
      <c r="HAR1" s="563"/>
      <c r="HAS1" s="563"/>
      <c r="HAT1" s="563"/>
      <c r="HAU1" s="563" t="s">
        <v>15</v>
      </c>
      <c r="HAV1" s="563"/>
      <c r="HAW1" s="563"/>
      <c r="HAX1" s="563"/>
      <c r="HAY1" s="563"/>
      <c r="HAZ1" s="563"/>
      <c r="HBA1" s="563"/>
      <c r="HBB1" s="563"/>
      <c r="HBC1" s="563" t="s">
        <v>15</v>
      </c>
      <c r="HBD1" s="563"/>
      <c r="HBE1" s="563"/>
      <c r="HBF1" s="563"/>
      <c r="HBG1" s="563"/>
      <c r="HBH1" s="563"/>
      <c r="HBI1" s="563"/>
      <c r="HBJ1" s="563"/>
      <c r="HBK1" s="563" t="s">
        <v>15</v>
      </c>
      <c r="HBL1" s="563"/>
      <c r="HBM1" s="563"/>
      <c r="HBN1" s="563"/>
      <c r="HBO1" s="563"/>
      <c r="HBP1" s="563"/>
      <c r="HBQ1" s="563"/>
      <c r="HBR1" s="563"/>
      <c r="HBS1" s="563" t="s">
        <v>15</v>
      </c>
      <c r="HBT1" s="563"/>
      <c r="HBU1" s="563"/>
      <c r="HBV1" s="563"/>
      <c r="HBW1" s="563"/>
      <c r="HBX1" s="563"/>
      <c r="HBY1" s="563"/>
      <c r="HBZ1" s="563"/>
      <c r="HCA1" s="563" t="s">
        <v>15</v>
      </c>
      <c r="HCB1" s="563"/>
      <c r="HCC1" s="563"/>
      <c r="HCD1" s="563"/>
      <c r="HCE1" s="563"/>
      <c r="HCF1" s="563"/>
      <c r="HCG1" s="563"/>
      <c r="HCH1" s="563"/>
      <c r="HCI1" s="563" t="s">
        <v>15</v>
      </c>
      <c r="HCJ1" s="563"/>
      <c r="HCK1" s="563"/>
      <c r="HCL1" s="563"/>
      <c r="HCM1" s="563"/>
      <c r="HCN1" s="563"/>
      <c r="HCO1" s="563"/>
      <c r="HCP1" s="563"/>
      <c r="HCQ1" s="563" t="s">
        <v>15</v>
      </c>
      <c r="HCR1" s="563"/>
      <c r="HCS1" s="563"/>
      <c r="HCT1" s="563"/>
      <c r="HCU1" s="563"/>
      <c r="HCV1" s="563"/>
      <c r="HCW1" s="563"/>
      <c r="HCX1" s="563"/>
      <c r="HCY1" s="563" t="s">
        <v>15</v>
      </c>
      <c r="HCZ1" s="563"/>
      <c r="HDA1" s="563"/>
      <c r="HDB1" s="563"/>
      <c r="HDC1" s="563"/>
      <c r="HDD1" s="563"/>
      <c r="HDE1" s="563"/>
      <c r="HDF1" s="563"/>
      <c r="HDG1" s="563" t="s">
        <v>15</v>
      </c>
      <c r="HDH1" s="563"/>
      <c r="HDI1" s="563"/>
      <c r="HDJ1" s="563"/>
      <c r="HDK1" s="563"/>
      <c r="HDL1" s="563"/>
      <c r="HDM1" s="563"/>
      <c r="HDN1" s="563"/>
      <c r="HDO1" s="563" t="s">
        <v>15</v>
      </c>
      <c r="HDP1" s="563"/>
      <c r="HDQ1" s="563"/>
      <c r="HDR1" s="563"/>
      <c r="HDS1" s="563"/>
      <c r="HDT1" s="563"/>
      <c r="HDU1" s="563"/>
      <c r="HDV1" s="563"/>
      <c r="HDW1" s="563" t="s">
        <v>15</v>
      </c>
      <c r="HDX1" s="563"/>
      <c r="HDY1" s="563"/>
      <c r="HDZ1" s="563"/>
      <c r="HEA1" s="563"/>
      <c r="HEB1" s="563"/>
      <c r="HEC1" s="563"/>
      <c r="HED1" s="563"/>
      <c r="HEE1" s="563" t="s">
        <v>15</v>
      </c>
      <c r="HEF1" s="563"/>
      <c r="HEG1" s="563"/>
      <c r="HEH1" s="563"/>
      <c r="HEI1" s="563"/>
      <c r="HEJ1" s="563"/>
      <c r="HEK1" s="563"/>
      <c r="HEL1" s="563"/>
      <c r="HEM1" s="563" t="s">
        <v>15</v>
      </c>
      <c r="HEN1" s="563"/>
      <c r="HEO1" s="563"/>
      <c r="HEP1" s="563"/>
      <c r="HEQ1" s="563"/>
      <c r="HER1" s="563"/>
      <c r="HES1" s="563"/>
      <c r="HET1" s="563"/>
      <c r="HEU1" s="563" t="s">
        <v>15</v>
      </c>
      <c r="HEV1" s="563"/>
      <c r="HEW1" s="563"/>
      <c r="HEX1" s="563"/>
      <c r="HEY1" s="563"/>
      <c r="HEZ1" s="563"/>
      <c r="HFA1" s="563"/>
      <c r="HFB1" s="563"/>
      <c r="HFC1" s="563" t="s">
        <v>15</v>
      </c>
      <c r="HFD1" s="563"/>
      <c r="HFE1" s="563"/>
      <c r="HFF1" s="563"/>
      <c r="HFG1" s="563"/>
      <c r="HFH1" s="563"/>
      <c r="HFI1" s="563"/>
      <c r="HFJ1" s="563"/>
      <c r="HFK1" s="563" t="s">
        <v>15</v>
      </c>
      <c r="HFL1" s="563"/>
      <c r="HFM1" s="563"/>
      <c r="HFN1" s="563"/>
      <c r="HFO1" s="563"/>
      <c r="HFP1" s="563"/>
      <c r="HFQ1" s="563"/>
      <c r="HFR1" s="563"/>
      <c r="HFS1" s="563" t="s">
        <v>15</v>
      </c>
      <c r="HFT1" s="563"/>
      <c r="HFU1" s="563"/>
      <c r="HFV1" s="563"/>
      <c r="HFW1" s="563"/>
      <c r="HFX1" s="563"/>
      <c r="HFY1" s="563"/>
      <c r="HFZ1" s="563"/>
      <c r="HGA1" s="563" t="s">
        <v>15</v>
      </c>
      <c r="HGB1" s="563"/>
      <c r="HGC1" s="563"/>
      <c r="HGD1" s="563"/>
      <c r="HGE1" s="563"/>
      <c r="HGF1" s="563"/>
      <c r="HGG1" s="563"/>
      <c r="HGH1" s="563"/>
      <c r="HGI1" s="563" t="s">
        <v>15</v>
      </c>
      <c r="HGJ1" s="563"/>
      <c r="HGK1" s="563"/>
      <c r="HGL1" s="563"/>
      <c r="HGM1" s="563"/>
      <c r="HGN1" s="563"/>
      <c r="HGO1" s="563"/>
      <c r="HGP1" s="563"/>
      <c r="HGQ1" s="563" t="s">
        <v>15</v>
      </c>
      <c r="HGR1" s="563"/>
      <c r="HGS1" s="563"/>
      <c r="HGT1" s="563"/>
      <c r="HGU1" s="563"/>
      <c r="HGV1" s="563"/>
      <c r="HGW1" s="563"/>
      <c r="HGX1" s="563"/>
      <c r="HGY1" s="563" t="s">
        <v>15</v>
      </c>
      <c r="HGZ1" s="563"/>
      <c r="HHA1" s="563"/>
      <c r="HHB1" s="563"/>
      <c r="HHC1" s="563"/>
      <c r="HHD1" s="563"/>
      <c r="HHE1" s="563"/>
      <c r="HHF1" s="563"/>
      <c r="HHG1" s="563" t="s">
        <v>15</v>
      </c>
      <c r="HHH1" s="563"/>
      <c r="HHI1" s="563"/>
      <c r="HHJ1" s="563"/>
      <c r="HHK1" s="563"/>
      <c r="HHL1" s="563"/>
      <c r="HHM1" s="563"/>
      <c r="HHN1" s="563"/>
      <c r="HHO1" s="563" t="s">
        <v>15</v>
      </c>
      <c r="HHP1" s="563"/>
      <c r="HHQ1" s="563"/>
      <c r="HHR1" s="563"/>
      <c r="HHS1" s="563"/>
      <c r="HHT1" s="563"/>
      <c r="HHU1" s="563"/>
      <c r="HHV1" s="563"/>
      <c r="HHW1" s="563" t="s">
        <v>15</v>
      </c>
      <c r="HHX1" s="563"/>
      <c r="HHY1" s="563"/>
      <c r="HHZ1" s="563"/>
      <c r="HIA1" s="563"/>
      <c r="HIB1" s="563"/>
      <c r="HIC1" s="563"/>
      <c r="HID1" s="563"/>
      <c r="HIE1" s="563" t="s">
        <v>15</v>
      </c>
      <c r="HIF1" s="563"/>
      <c r="HIG1" s="563"/>
      <c r="HIH1" s="563"/>
      <c r="HII1" s="563"/>
      <c r="HIJ1" s="563"/>
      <c r="HIK1" s="563"/>
      <c r="HIL1" s="563"/>
      <c r="HIM1" s="563" t="s">
        <v>15</v>
      </c>
      <c r="HIN1" s="563"/>
      <c r="HIO1" s="563"/>
      <c r="HIP1" s="563"/>
      <c r="HIQ1" s="563"/>
      <c r="HIR1" s="563"/>
      <c r="HIS1" s="563"/>
      <c r="HIT1" s="563"/>
      <c r="HIU1" s="563" t="s">
        <v>15</v>
      </c>
      <c r="HIV1" s="563"/>
      <c r="HIW1" s="563"/>
      <c r="HIX1" s="563"/>
      <c r="HIY1" s="563"/>
      <c r="HIZ1" s="563"/>
      <c r="HJA1" s="563"/>
      <c r="HJB1" s="563"/>
      <c r="HJC1" s="563" t="s">
        <v>15</v>
      </c>
      <c r="HJD1" s="563"/>
      <c r="HJE1" s="563"/>
      <c r="HJF1" s="563"/>
      <c r="HJG1" s="563"/>
      <c r="HJH1" s="563"/>
      <c r="HJI1" s="563"/>
      <c r="HJJ1" s="563"/>
      <c r="HJK1" s="563" t="s">
        <v>15</v>
      </c>
      <c r="HJL1" s="563"/>
      <c r="HJM1" s="563"/>
      <c r="HJN1" s="563"/>
      <c r="HJO1" s="563"/>
      <c r="HJP1" s="563"/>
      <c r="HJQ1" s="563"/>
      <c r="HJR1" s="563"/>
      <c r="HJS1" s="563" t="s">
        <v>15</v>
      </c>
      <c r="HJT1" s="563"/>
      <c r="HJU1" s="563"/>
      <c r="HJV1" s="563"/>
      <c r="HJW1" s="563"/>
      <c r="HJX1" s="563"/>
      <c r="HJY1" s="563"/>
      <c r="HJZ1" s="563"/>
      <c r="HKA1" s="563" t="s">
        <v>15</v>
      </c>
      <c r="HKB1" s="563"/>
      <c r="HKC1" s="563"/>
      <c r="HKD1" s="563"/>
      <c r="HKE1" s="563"/>
      <c r="HKF1" s="563"/>
      <c r="HKG1" s="563"/>
      <c r="HKH1" s="563"/>
      <c r="HKI1" s="563" t="s">
        <v>15</v>
      </c>
      <c r="HKJ1" s="563"/>
      <c r="HKK1" s="563"/>
      <c r="HKL1" s="563"/>
      <c r="HKM1" s="563"/>
      <c r="HKN1" s="563"/>
      <c r="HKO1" s="563"/>
      <c r="HKP1" s="563"/>
      <c r="HKQ1" s="563" t="s">
        <v>15</v>
      </c>
      <c r="HKR1" s="563"/>
      <c r="HKS1" s="563"/>
      <c r="HKT1" s="563"/>
      <c r="HKU1" s="563"/>
      <c r="HKV1" s="563"/>
      <c r="HKW1" s="563"/>
      <c r="HKX1" s="563"/>
      <c r="HKY1" s="563" t="s">
        <v>15</v>
      </c>
      <c r="HKZ1" s="563"/>
      <c r="HLA1" s="563"/>
      <c r="HLB1" s="563"/>
      <c r="HLC1" s="563"/>
      <c r="HLD1" s="563"/>
      <c r="HLE1" s="563"/>
      <c r="HLF1" s="563"/>
      <c r="HLG1" s="563" t="s">
        <v>15</v>
      </c>
      <c r="HLH1" s="563"/>
      <c r="HLI1" s="563"/>
      <c r="HLJ1" s="563"/>
      <c r="HLK1" s="563"/>
      <c r="HLL1" s="563"/>
      <c r="HLM1" s="563"/>
      <c r="HLN1" s="563"/>
      <c r="HLO1" s="563" t="s">
        <v>15</v>
      </c>
      <c r="HLP1" s="563"/>
      <c r="HLQ1" s="563"/>
      <c r="HLR1" s="563"/>
      <c r="HLS1" s="563"/>
      <c r="HLT1" s="563"/>
      <c r="HLU1" s="563"/>
      <c r="HLV1" s="563"/>
      <c r="HLW1" s="563" t="s">
        <v>15</v>
      </c>
      <c r="HLX1" s="563"/>
      <c r="HLY1" s="563"/>
      <c r="HLZ1" s="563"/>
      <c r="HMA1" s="563"/>
      <c r="HMB1" s="563"/>
      <c r="HMC1" s="563"/>
      <c r="HMD1" s="563"/>
      <c r="HME1" s="563" t="s">
        <v>15</v>
      </c>
      <c r="HMF1" s="563"/>
      <c r="HMG1" s="563"/>
      <c r="HMH1" s="563"/>
      <c r="HMI1" s="563"/>
      <c r="HMJ1" s="563"/>
      <c r="HMK1" s="563"/>
      <c r="HML1" s="563"/>
      <c r="HMM1" s="563" t="s">
        <v>15</v>
      </c>
      <c r="HMN1" s="563"/>
      <c r="HMO1" s="563"/>
      <c r="HMP1" s="563"/>
      <c r="HMQ1" s="563"/>
      <c r="HMR1" s="563"/>
      <c r="HMS1" s="563"/>
      <c r="HMT1" s="563"/>
      <c r="HMU1" s="563" t="s">
        <v>15</v>
      </c>
      <c r="HMV1" s="563"/>
      <c r="HMW1" s="563"/>
      <c r="HMX1" s="563"/>
      <c r="HMY1" s="563"/>
      <c r="HMZ1" s="563"/>
      <c r="HNA1" s="563"/>
      <c r="HNB1" s="563"/>
      <c r="HNC1" s="563" t="s">
        <v>15</v>
      </c>
      <c r="HND1" s="563"/>
      <c r="HNE1" s="563"/>
      <c r="HNF1" s="563"/>
      <c r="HNG1" s="563"/>
      <c r="HNH1" s="563"/>
      <c r="HNI1" s="563"/>
      <c r="HNJ1" s="563"/>
      <c r="HNK1" s="563" t="s">
        <v>15</v>
      </c>
      <c r="HNL1" s="563"/>
      <c r="HNM1" s="563"/>
      <c r="HNN1" s="563"/>
      <c r="HNO1" s="563"/>
      <c r="HNP1" s="563"/>
      <c r="HNQ1" s="563"/>
      <c r="HNR1" s="563"/>
      <c r="HNS1" s="563" t="s">
        <v>15</v>
      </c>
      <c r="HNT1" s="563"/>
      <c r="HNU1" s="563"/>
      <c r="HNV1" s="563"/>
      <c r="HNW1" s="563"/>
      <c r="HNX1" s="563"/>
      <c r="HNY1" s="563"/>
      <c r="HNZ1" s="563"/>
      <c r="HOA1" s="563" t="s">
        <v>15</v>
      </c>
      <c r="HOB1" s="563"/>
      <c r="HOC1" s="563"/>
      <c r="HOD1" s="563"/>
      <c r="HOE1" s="563"/>
      <c r="HOF1" s="563"/>
      <c r="HOG1" s="563"/>
      <c r="HOH1" s="563"/>
      <c r="HOI1" s="563" t="s">
        <v>15</v>
      </c>
      <c r="HOJ1" s="563"/>
      <c r="HOK1" s="563"/>
      <c r="HOL1" s="563"/>
      <c r="HOM1" s="563"/>
      <c r="HON1" s="563"/>
      <c r="HOO1" s="563"/>
      <c r="HOP1" s="563"/>
      <c r="HOQ1" s="563" t="s">
        <v>15</v>
      </c>
      <c r="HOR1" s="563"/>
      <c r="HOS1" s="563"/>
      <c r="HOT1" s="563"/>
      <c r="HOU1" s="563"/>
      <c r="HOV1" s="563"/>
      <c r="HOW1" s="563"/>
      <c r="HOX1" s="563"/>
      <c r="HOY1" s="563" t="s">
        <v>15</v>
      </c>
      <c r="HOZ1" s="563"/>
      <c r="HPA1" s="563"/>
      <c r="HPB1" s="563"/>
      <c r="HPC1" s="563"/>
      <c r="HPD1" s="563"/>
      <c r="HPE1" s="563"/>
      <c r="HPF1" s="563"/>
      <c r="HPG1" s="563" t="s">
        <v>15</v>
      </c>
      <c r="HPH1" s="563"/>
      <c r="HPI1" s="563"/>
      <c r="HPJ1" s="563"/>
      <c r="HPK1" s="563"/>
      <c r="HPL1" s="563"/>
      <c r="HPM1" s="563"/>
      <c r="HPN1" s="563"/>
      <c r="HPO1" s="563" t="s">
        <v>15</v>
      </c>
      <c r="HPP1" s="563"/>
      <c r="HPQ1" s="563"/>
      <c r="HPR1" s="563"/>
      <c r="HPS1" s="563"/>
      <c r="HPT1" s="563"/>
      <c r="HPU1" s="563"/>
      <c r="HPV1" s="563"/>
      <c r="HPW1" s="563" t="s">
        <v>15</v>
      </c>
      <c r="HPX1" s="563"/>
      <c r="HPY1" s="563"/>
      <c r="HPZ1" s="563"/>
      <c r="HQA1" s="563"/>
      <c r="HQB1" s="563"/>
      <c r="HQC1" s="563"/>
      <c r="HQD1" s="563"/>
      <c r="HQE1" s="563" t="s">
        <v>15</v>
      </c>
      <c r="HQF1" s="563"/>
      <c r="HQG1" s="563"/>
      <c r="HQH1" s="563"/>
      <c r="HQI1" s="563"/>
      <c r="HQJ1" s="563"/>
      <c r="HQK1" s="563"/>
      <c r="HQL1" s="563"/>
      <c r="HQM1" s="563" t="s">
        <v>15</v>
      </c>
      <c r="HQN1" s="563"/>
      <c r="HQO1" s="563"/>
      <c r="HQP1" s="563"/>
      <c r="HQQ1" s="563"/>
      <c r="HQR1" s="563"/>
      <c r="HQS1" s="563"/>
      <c r="HQT1" s="563"/>
      <c r="HQU1" s="563" t="s">
        <v>15</v>
      </c>
      <c r="HQV1" s="563"/>
      <c r="HQW1" s="563"/>
      <c r="HQX1" s="563"/>
      <c r="HQY1" s="563"/>
      <c r="HQZ1" s="563"/>
      <c r="HRA1" s="563"/>
      <c r="HRB1" s="563"/>
      <c r="HRC1" s="563" t="s">
        <v>15</v>
      </c>
      <c r="HRD1" s="563"/>
      <c r="HRE1" s="563"/>
      <c r="HRF1" s="563"/>
      <c r="HRG1" s="563"/>
      <c r="HRH1" s="563"/>
      <c r="HRI1" s="563"/>
      <c r="HRJ1" s="563"/>
      <c r="HRK1" s="563" t="s">
        <v>15</v>
      </c>
      <c r="HRL1" s="563"/>
      <c r="HRM1" s="563"/>
      <c r="HRN1" s="563"/>
      <c r="HRO1" s="563"/>
      <c r="HRP1" s="563"/>
      <c r="HRQ1" s="563"/>
      <c r="HRR1" s="563"/>
      <c r="HRS1" s="563" t="s">
        <v>15</v>
      </c>
      <c r="HRT1" s="563"/>
      <c r="HRU1" s="563"/>
      <c r="HRV1" s="563"/>
      <c r="HRW1" s="563"/>
      <c r="HRX1" s="563"/>
      <c r="HRY1" s="563"/>
      <c r="HRZ1" s="563"/>
      <c r="HSA1" s="563" t="s">
        <v>15</v>
      </c>
      <c r="HSB1" s="563"/>
      <c r="HSC1" s="563"/>
      <c r="HSD1" s="563"/>
      <c r="HSE1" s="563"/>
      <c r="HSF1" s="563"/>
      <c r="HSG1" s="563"/>
      <c r="HSH1" s="563"/>
      <c r="HSI1" s="563" t="s">
        <v>15</v>
      </c>
      <c r="HSJ1" s="563"/>
      <c r="HSK1" s="563"/>
      <c r="HSL1" s="563"/>
      <c r="HSM1" s="563"/>
      <c r="HSN1" s="563"/>
      <c r="HSO1" s="563"/>
      <c r="HSP1" s="563"/>
      <c r="HSQ1" s="563" t="s">
        <v>15</v>
      </c>
      <c r="HSR1" s="563"/>
      <c r="HSS1" s="563"/>
      <c r="HST1" s="563"/>
      <c r="HSU1" s="563"/>
      <c r="HSV1" s="563"/>
      <c r="HSW1" s="563"/>
      <c r="HSX1" s="563"/>
      <c r="HSY1" s="563" t="s">
        <v>15</v>
      </c>
      <c r="HSZ1" s="563"/>
      <c r="HTA1" s="563"/>
      <c r="HTB1" s="563"/>
      <c r="HTC1" s="563"/>
      <c r="HTD1" s="563"/>
      <c r="HTE1" s="563"/>
      <c r="HTF1" s="563"/>
      <c r="HTG1" s="563" t="s">
        <v>15</v>
      </c>
      <c r="HTH1" s="563"/>
      <c r="HTI1" s="563"/>
      <c r="HTJ1" s="563"/>
      <c r="HTK1" s="563"/>
      <c r="HTL1" s="563"/>
      <c r="HTM1" s="563"/>
      <c r="HTN1" s="563"/>
      <c r="HTO1" s="563" t="s">
        <v>15</v>
      </c>
      <c r="HTP1" s="563"/>
      <c r="HTQ1" s="563"/>
      <c r="HTR1" s="563"/>
      <c r="HTS1" s="563"/>
      <c r="HTT1" s="563"/>
      <c r="HTU1" s="563"/>
      <c r="HTV1" s="563"/>
      <c r="HTW1" s="563" t="s">
        <v>15</v>
      </c>
      <c r="HTX1" s="563"/>
      <c r="HTY1" s="563"/>
      <c r="HTZ1" s="563"/>
      <c r="HUA1" s="563"/>
      <c r="HUB1" s="563"/>
      <c r="HUC1" s="563"/>
      <c r="HUD1" s="563"/>
      <c r="HUE1" s="563" t="s">
        <v>15</v>
      </c>
      <c r="HUF1" s="563"/>
      <c r="HUG1" s="563"/>
      <c r="HUH1" s="563"/>
      <c r="HUI1" s="563"/>
      <c r="HUJ1" s="563"/>
      <c r="HUK1" s="563"/>
      <c r="HUL1" s="563"/>
      <c r="HUM1" s="563" t="s">
        <v>15</v>
      </c>
      <c r="HUN1" s="563"/>
      <c r="HUO1" s="563"/>
      <c r="HUP1" s="563"/>
      <c r="HUQ1" s="563"/>
      <c r="HUR1" s="563"/>
      <c r="HUS1" s="563"/>
      <c r="HUT1" s="563"/>
      <c r="HUU1" s="563" t="s">
        <v>15</v>
      </c>
      <c r="HUV1" s="563"/>
      <c r="HUW1" s="563"/>
      <c r="HUX1" s="563"/>
      <c r="HUY1" s="563"/>
      <c r="HUZ1" s="563"/>
      <c r="HVA1" s="563"/>
      <c r="HVB1" s="563"/>
      <c r="HVC1" s="563" t="s">
        <v>15</v>
      </c>
      <c r="HVD1" s="563"/>
      <c r="HVE1" s="563"/>
      <c r="HVF1" s="563"/>
      <c r="HVG1" s="563"/>
      <c r="HVH1" s="563"/>
      <c r="HVI1" s="563"/>
      <c r="HVJ1" s="563"/>
      <c r="HVK1" s="563" t="s">
        <v>15</v>
      </c>
      <c r="HVL1" s="563"/>
      <c r="HVM1" s="563"/>
      <c r="HVN1" s="563"/>
      <c r="HVO1" s="563"/>
      <c r="HVP1" s="563"/>
      <c r="HVQ1" s="563"/>
      <c r="HVR1" s="563"/>
      <c r="HVS1" s="563" t="s">
        <v>15</v>
      </c>
      <c r="HVT1" s="563"/>
      <c r="HVU1" s="563"/>
      <c r="HVV1" s="563"/>
      <c r="HVW1" s="563"/>
      <c r="HVX1" s="563"/>
      <c r="HVY1" s="563"/>
      <c r="HVZ1" s="563"/>
      <c r="HWA1" s="563" t="s">
        <v>15</v>
      </c>
      <c r="HWB1" s="563"/>
      <c r="HWC1" s="563"/>
      <c r="HWD1" s="563"/>
      <c r="HWE1" s="563"/>
      <c r="HWF1" s="563"/>
      <c r="HWG1" s="563"/>
      <c r="HWH1" s="563"/>
      <c r="HWI1" s="563" t="s">
        <v>15</v>
      </c>
      <c r="HWJ1" s="563"/>
      <c r="HWK1" s="563"/>
      <c r="HWL1" s="563"/>
      <c r="HWM1" s="563"/>
      <c r="HWN1" s="563"/>
      <c r="HWO1" s="563"/>
      <c r="HWP1" s="563"/>
      <c r="HWQ1" s="563" t="s">
        <v>15</v>
      </c>
      <c r="HWR1" s="563"/>
      <c r="HWS1" s="563"/>
      <c r="HWT1" s="563"/>
      <c r="HWU1" s="563"/>
      <c r="HWV1" s="563"/>
      <c r="HWW1" s="563"/>
      <c r="HWX1" s="563"/>
      <c r="HWY1" s="563" t="s">
        <v>15</v>
      </c>
      <c r="HWZ1" s="563"/>
      <c r="HXA1" s="563"/>
      <c r="HXB1" s="563"/>
      <c r="HXC1" s="563"/>
      <c r="HXD1" s="563"/>
      <c r="HXE1" s="563"/>
      <c r="HXF1" s="563"/>
      <c r="HXG1" s="563" t="s">
        <v>15</v>
      </c>
      <c r="HXH1" s="563"/>
      <c r="HXI1" s="563"/>
      <c r="HXJ1" s="563"/>
      <c r="HXK1" s="563"/>
      <c r="HXL1" s="563"/>
      <c r="HXM1" s="563"/>
      <c r="HXN1" s="563"/>
      <c r="HXO1" s="563" t="s">
        <v>15</v>
      </c>
      <c r="HXP1" s="563"/>
      <c r="HXQ1" s="563"/>
      <c r="HXR1" s="563"/>
      <c r="HXS1" s="563"/>
      <c r="HXT1" s="563"/>
      <c r="HXU1" s="563"/>
      <c r="HXV1" s="563"/>
      <c r="HXW1" s="563" t="s">
        <v>15</v>
      </c>
      <c r="HXX1" s="563"/>
      <c r="HXY1" s="563"/>
      <c r="HXZ1" s="563"/>
      <c r="HYA1" s="563"/>
      <c r="HYB1" s="563"/>
      <c r="HYC1" s="563"/>
      <c r="HYD1" s="563"/>
      <c r="HYE1" s="563" t="s">
        <v>15</v>
      </c>
      <c r="HYF1" s="563"/>
      <c r="HYG1" s="563"/>
      <c r="HYH1" s="563"/>
      <c r="HYI1" s="563"/>
      <c r="HYJ1" s="563"/>
      <c r="HYK1" s="563"/>
      <c r="HYL1" s="563"/>
      <c r="HYM1" s="563" t="s">
        <v>15</v>
      </c>
      <c r="HYN1" s="563"/>
      <c r="HYO1" s="563"/>
      <c r="HYP1" s="563"/>
      <c r="HYQ1" s="563"/>
      <c r="HYR1" s="563"/>
      <c r="HYS1" s="563"/>
      <c r="HYT1" s="563"/>
      <c r="HYU1" s="563" t="s">
        <v>15</v>
      </c>
      <c r="HYV1" s="563"/>
      <c r="HYW1" s="563"/>
      <c r="HYX1" s="563"/>
      <c r="HYY1" s="563"/>
      <c r="HYZ1" s="563"/>
      <c r="HZA1" s="563"/>
      <c r="HZB1" s="563"/>
      <c r="HZC1" s="563" t="s">
        <v>15</v>
      </c>
      <c r="HZD1" s="563"/>
      <c r="HZE1" s="563"/>
      <c r="HZF1" s="563"/>
      <c r="HZG1" s="563"/>
      <c r="HZH1" s="563"/>
      <c r="HZI1" s="563"/>
      <c r="HZJ1" s="563"/>
      <c r="HZK1" s="563" t="s">
        <v>15</v>
      </c>
      <c r="HZL1" s="563"/>
      <c r="HZM1" s="563"/>
      <c r="HZN1" s="563"/>
      <c r="HZO1" s="563"/>
      <c r="HZP1" s="563"/>
      <c r="HZQ1" s="563"/>
      <c r="HZR1" s="563"/>
      <c r="HZS1" s="563" t="s">
        <v>15</v>
      </c>
      <c r="HZT1" s="563"/>
      <c r="HZU1" s="563"/>
      <c r="HZV1" s="563"/>
      <c r="HZW1" s="563"/>
      <c r="HZX1" s="563"/>
      <c r="HZY1" s="563"/>
      <c r="HZZ1" s="563"/>
      <c r="IAA1" s="563" t="s">
        <v>15</v>
      </c>
      <c r="IAB1" s="563"/>
      <c r="IAC1" s="563"/>
      <c r="IAD1" s="563"/>
      <c r="IAE1" s="563"/>
      <c r="IAF1" s="563"/>
      <c r="IAG1" s="563"/>
      <c r="IAH1" s="563"/>
      <c r="IAI1" s="563" t="s">
        <v>15</v>
      </c>
      <c r="IAJ1" s="563"/>
      <c r="IAK1" s="563"/>
      <c r="IAL1" s="563"/>
      <c r="IAM1" s="563"/>
      <c r="IAN1" s="563"/>
      <c r="IAO1" s="563"/>
      <c r="IAP1" s="563"/>
      <c r="IAQ1" s="563" t="s">
        <v>15</v>
      </c>
      <c r="IAR1" s="563"/>
      <c r="IAS1" s="563"/>
      <c r="IAT1" s="563"/>
      <c r="IAU1" s="563"/>
      <c r="IAV1" s="563"/>
      <c r="IAW1" s="563"/>
      <c r="IAX1" s="563"/>
      <c r="IAY1" s="563" t="s">
        <v>15</v>
      </c>
      <c r="IAZ1" s="563"/>
      <c r="IBA1" s="563"/>
      <c r="IBB1" s="563"/>
      <c r="IBC1" s="563"/>
      <c r="IBD1" s="563"/>
      <c r="IBE1" s="563"/>
      <c r="IBF1" s="563"/>
      <c r="IBG1" s="563" t="s">
        <v>15</v>
      </c>
      <c r="IBH1" s="563"/>
      <c r="IBI1" s="563"/>
      <c r="IBJ1" s="563"/>
      <c r="IBK1" s="563"/>
      <c r="IBL1" s="563"/>
      <c r="IBM1" s="563"/>
      <c r="IBN1" s="563"/>
      <c r="IBO1" s="563" t="s">
        <v>15</v>
      </c>
      <c r="IBP1" s="563"/>
      <c r="IBQ1" s="563"/>
      <c r="IBR1" s="563"/>
      <c r="IBS1" s="563"/>
      <c r="IBT1" s="563"/>
      <c r="IBU1" s="563"/>
      <c r="IBV1" s="563"/>
      <c r="IBW1" s="563" t="s">
        <v>15</v>
      </c>
      <c r="IBX1" s="563"/>
      <c r="IBY1" s="563"/>
      <c r="IBZ1" s="563"/>
      <c r="ICA1" s="563"/>
      <c r="ICB1" s="563"/>
      <c r="ICC1" s="563"/>
      <c r="ICD1" s="563"/>
      <c r="ICE1" s="563" t="s">
        <v>15</v>
      </c>
      <c r="ICF1" s="563"/>
      <c r="ICG1" s="563"/>
      <c r="ICH1" s="563"/>
      <c r="ICI1" s="563"/>
      <c r="ICJ1" s="563"/>
      <c r="ICK1" s="563"/>
      <c r="ICL1" s="563"/>
      <c r="ICM1" s="563" t="s">
        <v>15</v>
      </c>
      <c r="ICN1" s="563"/>
      <c r="ICO1" s="563"/>
      <c r="ICP1" s="563"/>
      <c r="ICQ1" s="563"/>
      <c r="ICR1" s="563"/>
      <c r="ICS1" s="563"/>
      <c r="ICT1" s="563"/>
      <c r="ICU1" s="563" t="s">
        <v>15</v>
      </c>
      <c r="ICV1" s="563"/>
      <c r="ICW1" s="563"/>
      <c r="ICX1" s="563"/>
      <c r="ICY1" s="563"/>
      <c r="ICZ1" s="563"/>
      <c r="IDA1" s="563"/>
      <c r="IDB1" s="563"/>
      <c r="IDC1" s="563" t="s">
        <v>15</v>
      </c>
      <c r="IDD1" s="563"/>
      <c r="IDE1" s="563"/>
      <c r="IDF1" s="563"/>
      <c r="IDG1" s="563"/>
      <c r="IDH1" s="563"/>
      <c r="IDI1" s="563"/>
      <c r="IDJ1" s="563"/>
      <c r="IDK1" s="563" t="s">
        <v>15</v>
      </c>
      <c r="IDL1" s="563"/>
      <c r="IDM1" s="563"/>
      <c r="IDN1" s="563"/>
      <c r="IDO1" s="563"/>
      <c r="IDP1" s="563"/>
      <c r="IDQ1" s="563"/>
      <c r="IDR1" s="563"/>
      <c r="IDS1" s="563" t="s">
        <v>15</v>
      </c>
      <c r="IDT1" s="563"/>
      <c r="IDU1" s="563"/>
      <c r="IDV1" s="563"/>
      <c r="IDW1" s="563"/>
      <c r="IDX1" s="563"/>
      <c r="IDY1" s="563"/>
      <c r="IDZ1" s="563"/>
      <c r="IEA1" s="563" t="s">
        <v>15</v>
      </c>
      <c r="IEB1" s="563"/>
      <c r="IEC1" s="563"/>
      <c r="IED1" s="563"/>
      <c r="IEE1" s="563"/>
      <c r="IEF1" s="563"/>
      <c r="IEG1" s="563"/>
      <c r="IEH1" s="563"/>
      <c r="IEI1" s="563" t="s">
        <v>15</v>
      </c>
      <c r="IEJ1" s="563"/>
      <c r="IEK1" s="563"/>
      <c r="IEL1" s="563"/>
      <c r="IEM1" s="563"/>
      <c r="IEN1" s="563"/>
      <c r="IEO1" s="563"/>
      <c r="IEP1" s="563"/>
      <c r="IEQ1" s="563" t="s">
        <v>15</v>
      </c>
      <c r="IER1" s="563"/>
      <c r="IES1" s="563"/>
      <c r="IET1" s="563"/>
      <c r="IEU1" s="563"/>
      <c r="IEV1" s="563"/>
      <c r="IEW1" s="563"/>
      <c r="IEX1" s="563"/>
      <c r="IEY1" s="563" t="s">
        <v>15</v>
      </c>
      <c r="IEZ1" s="563"/>
      <c r="IFA1" s="563"/>
      <c r="IFB1" s="563"/>
      <c r="IFC1" s="563"/>
      <c r="IFD1" s="563"/>
      <c r="IFE1" s="563"/>
      <c r="IFF1" s="563"/>
      <c r="IFG1" s="563" t="s">
        <v>15</v>
      </c>
      <c r="IFH1" s="563"/>
      <c r="IFI1" s="563"/>
      <c r="IFJ1" s="563"/>
      <c r="IFK1" s="563"/>
      <c r="IFL1" s="563"/>
      <c r="IFM1" s="563"/>
      <c r="IFN1" s="563"/>
      <c r="IFO1" s="563" t="s">
        <v>15</v>
      </c>
      <c r="IFP1" s="563"/>
      <c r="IFQ1" s="563"/>
      <c r="IFR1" s="563"/>
      <c r="IFS1" s="563"/>
      <c r="IFT1" s="563"/>
      <c r="IFU1" s="563"/>
      <c r="IFV1" s="563"/>
      <c r="IFW1" s="563" t="s">
        <v>15</v>
      </c>
      <c r="IFX1" s="563"/>
      <c r="IFY1" s="563"/>
      <c r="IFZ1" s="563"/>
      <c r="IGA1" s="563"/>
      <c r="IGB1" s="563"/>
      <c r="IGC1" s="563"/>
      <c r="IGD1" s="563"/>
      <c r="IGE1" s="563" t="s">
        <v>15</v>
      </c>
      <c r="IGF1" s="563"/>
      <c r="IGG1" s="563"/>
      <c r="IGH1" s="563"/>
      <c r="IGI1" s="563"/>
      <c r="IGJ1" s="563"/>
      <c r="IGK1" s="563"/>
      <c r="IGL1" s="563"/>
      <c r="IGM1" s="563" t="s">
        <v>15</v>
      </c>
      <c r="IGN1" s="563"/>
      <c r="IGO1" s="563"/>
      <c r="IGP1" s="563"/>
      <c r="IGQ1" s="563"/>
      <c r="IGR1" s="563"/>
      <c r="IGS1" s="563"/>
      <c r="IGT1" s="563"/>
      <c r="IGU1" s="563" t="s">
        <v>15</v>
      </c>
      <c r="IGV1" s="563"/>
      <c r="IGW1" s="563"/>
      <c r="IGX1" s="563"/>
      <c r="IGY1" s="563"/>
      <c r="IGZ1" s="563"/>
      <c r="IHA1" s="563"/>
      <c r="IHB1" s="563"/>
      <c r="IHC1" s="563" t="s">
        <v>15</v>
      </c>
      <c r="IHD1" s="563"/>
      <c r="IHE1" s="563"/>
      <c r="IHF1" s="563"/>
      <c r="IHG1" s="563"/>
      <c r="IHH1" s="563"/>
      <c r="IHI1" s="563"/>
      <c r="IHJ1" s="563"/>
      <c r="IHK1" s="563" t="s">
        <v>15</v>
      </c>
      <c r="IHL1" s="563"/>
      <c r="IHM1" s="563"/>
      <c r="IHN1" s="563"/>
      <c r="IHO1" s="563"/>
      <c r="IHP1" s="563"/>
      <c r="IHQ1" s="563"/>
      <c r="IHR1" s="563"/>
      <c r="IHS1" s="563" t="s">
        <v>15</v>
      </c>
      <c r="IHT1" s="563"/>
      <c r="IHU1" s="563"/>
      <c r="IHV1" s="563"/>
      <c r="IHW1" s="563"/>
      <c r="IHX1" s="563"/>
      <c r="IHY1" s="563"/>
      <c r="IHZ1" s="563"/>
      <c r="IIA1" s="563" t="s">
        <v>15</v>
      </c>
      <c r="IIB1" s="563"/>
      <c r="IIC1" s="563"/>
      <c r="IID1" s="563"/>
      <c r="IIE1" s="563"/>
      <c r="IIF1" s="563"/>
      <c r="IIG1" s="563"/>
      <c r="IIH1" s="563"/>
      <c r="III1" s="563" t="s">
        <v>15</v>
      </c>
      <c r="IIJ1" s="563"/>
      <c r="IIK1" s="563"/>
      <c r="IIL1" s="563"/>
      <c r="IIM1" s="563"/>
      <c r="IIN1" s="563"/>
      <c r="IIO1" s="563"/>
      <c r="IIP1" s="563"/>
      <c r="IIQ1" s="563" t="s">
        <v>15</v>
      </c>
      <c r="IIR1" s="563"/>
      <c r="IIS1" s="563"/>
      <c r="IIT1" s="563"/>
      <c r="IIU1" s="563"/>
      <c r="IIV1" s="563"/>
      <c r="IIW1" s="563"/>
      <c r="IIX1" s="563"/>
      <c r="IIY1" s="563" t="s">
        <v>15</v>
      </c>
      <c r="IIZ1" s="563"/>
      <c r="IJA1" s="563"/>
      <c r="IJB1" s="563"/>
      <c r="IJC1" s="563"/>
      <c r="IJD1" s="563"/>
      <c r="IJE1" s="563"/>
      <c r="IJF1" s="563"/>
      <c r="IJG1" s="563" t="s">
        <v>15</v>
      </c>
      <c r="IJH1" s="563"/>
      <c r="IJI1" s="563"/>
      <c r="IJJ1" s="563"/>
      <c r="IJK1" s="563"/>
      <c r="IJL1" s="563"/>
      <c r="IJM1" s="563"/>
      <c r="IJN1" s="563"/>
      <c r="IJO1" s="563" t="s">
        <v>15</v>
      </c>
      <c r="IJP1" s="563"/>
      <c r="IJQ1" s="563"/>
      <c r="IJR1" s="563"/>
      <c r="IJS1" s="563"/>
      <c r="IJT1" s="563"/>
      <c r="IJU1" s="563"/>
      <c r="IJV1" s="563"/>
      <c r="IJW1" s="563" t="s">
        <v>15</v>
      </c>
      <c r="IJX1" s="563"/>
      <c r="IJY1" s="563"/>
      <c r="IJZ1" s="563"/>
      <c r="IKA1" s="563"/>
      <c r="IKB1" s="563"/>
      <c r="IKC1" s="563"/>
      <c r="IKD1" s="563"/>
      <c r="IKE1" s="563" t="s">
        <v>15</v>
      </c>
      <c r="IKF1" s="563"/>
      <c r="IKG1" s="563"/>
      <c r="IKH1" s="563"/>
      <c r="IKI1" s="563"/>
      <c r="IKJ1" s="563"/>
      <c r="IKK1" s="563"/>
      <c r="IKL1" s="563"/>
      <c r="IKM1" s="563" t="s">
        <v>15</v>
      </c>
      <c r="IKN1" s="563"/>
      <c r="IKO1" s="563"/>
      <c r="IKP1" s="563"/>
      <c r="IKQ1" s="563"/>
      <c r="IKR1" s="563"/>
      <c r="IKS1" s="563"/>
      <c r="IKT1" s="563"/>
      <c r="IKU1" s="563" t="s">
        <v>15</v>
      </c>
      <c r="IKV1" s="563"/>
      <c r="IKW1" s="563"/>
      <c r="IKX1" s="563"/>
      <c r="IKY1" s="563"/>
      <c r="IKZ1" s="563"/>
      <c r="ILA1" s="563"/>
      <c r="ILB1" s="563"/>
      <c r="ILC1" s="563" t="s">
        <v>15</v>
      </c>
      <c r="ILD1" s="563"/>
      <c r="ILE1" s="563"/>
      <c r="ILF1" s="563"/>
      <c r="ILG1" s="563"/>
      <c r="ILH1" s="563"/>
      <c r="ILI1" s="563"/>
      <c r="ILJ1" s="563"/>
      <c r="ILK1" s="563" t="s">
        <v>15</v>
      </c>
      <c r="ILL1" s="563"/>
      <c r="ILM1" s="563"/>
      <c r="ILN1" s="563"/>
      <c r="ILO1" s="563"/>
      <c r="ILP1" s="563"/>
      <c r="ILQ1" s="563"/>
      <c r="ILR1" s="563"/>
      <c r="ILS1" s="563" t="s">
        <v>15</v>
      </c>
      <c r="ILT1" s="563"/>
      <c r="ILU1" s="563"/>
      <c r="ILV1" s="563"/>
      <c r="ILW1" s="563"/>
      <c r="ILX1" s="563"/>
      <c r="ILY1" s="563"/>
      <c r="ILZ1" s="563"/>
      <c r="IMA1" s="563" t="s">
        <v>15</v>
      </c>
      <c r="IMB1" s="563"/>
      <c r="IMC1" s="563"/>
      <c r="IMD1" s="563"/>
      <c r="IME1" s="563"/>
      <c r="IMF1" s="563"/>
      <c r="IMG1" s="563"/>
      <c r="IMH1" s="563"/>
      <c r="IMI1" s="563" t="s">
        <v>15</v>
      </c>
      <c r="IMJ1" s="563"/>
      <c r="IMK1" s="563"/>
      <c r="IML1" s="563"/>
      <c r="IMM1" s="563"/>
      <c r="IMN1" s="563"/>
      <c r="IMO1" s="563"/>
      <c r="IMP1" s="563"/>
      <c r="IMQ1" s="563" t="s">
        <v>15</v>
      </c>
      <c r="IMR1" s="563"/>
      <c r="IMS1" s="563"/>
      <c r="IMT1" s="563"/>
      <c r="IMU1" s="563"/>
      <c r="IMV1" s="563"/>
      <c r="IMW1" s="563"/>
      <c r="IMX1" s="563"/>
      <c r="IMY1" s="563" t="s">
        <v>15</v>
      </c>
      <c r="IMZ1" s="563"/>
      <c r="INA1" s="563"/>
      <c r="INB1" s="563"/>
      <c r="INC1" s="563"/>
      <c r="IND1" s="563"/>
      <c r="INE1" s="563"/>
      <c r="INF1" s="563"/>
      <c r="ING1" s="563" t="s">
        <v>15</v>
      </c>
      <c r="INH1" s="563"/>
      <c r="INI1" s="563"/>
      <c r="INJ1" s="563"/>
      <c r="INK1" s="563"/>
      <c r="INL1" s="563"/>
      <c r="INM1" s="563"/>
      <c r="INN1" s="563"/>
      <c r="INO1" s="563" t="s">
        <v>15</v>
      </c>
      <c r="INP1" s="563"/>
      <c r="INQ1" s="563"/>
      <c r="INR1" s="563"/>
      <c r="INS1" s="563"/>
      <c r="INT1" s="563"/>
      <c r="INU1" s="563"/>
      <c r="INV1" s="563"/>
      <c r="INW1" s="563" t="s">
        <v>15</v>
      </c>
      <c r="INX1" s="563"/>
      <c r="INY1" s="563"/>
      <c r="INZ1" s="563"/>
      <c r="IOA1" s="563"/>
      <c r="IOB1" s="563"/>
      <c r="IOC1" s="563"/>
      <c r="IOD1" s="563"/>
      <c r="IOE1" s="563" t="s">
        <v>15</v>
      </c>
      <c r="IOF1" s="563"/>
      <c r="IOG1" s="563"/>
      <c r="IOH1" s="563"/>
      <c r="IOI1" s="563"/>
      <c r="IOJ1" s="563"/>
      <c r="IOK1" s="563"/>
      <c r="IOL1" s="563"/>
      <c r="IOM1" s="563" t="s">
        <v>15</v>
      </c>
      <c r="ION1" s="563"/>
      <c r="IOO1" s="563"/>
      <c r="IOP1" s="563"/>
      <c r="IOQ1" s="563"/>
      <c r="IOR1" s="563"/>
      <c r="IOS1" s="563"/>
      <c r="IOT1" s="563"/>
      <c r="IOU1" s="563" t="s">
        <v>15</v>
      </c>
      <c r="IOV1" s="563"/>
      <c r="IOW1" s="563"/>
      <c r="IOX1" s="563"/>
      <c r="IOY1" s="563"/>
      <c r="IOZ1" s="563"/>
      <c r="IPA1" s="563"/>
      <c r="IPB1" s="563"/>
      <c r="IPC1" s="563" t="s">
        <v>15</v>
      </c>
      <c r="IPD1" s="563"/>
      <c r="IPE1" s="563"/>
      <c r="IPF1" s="563"/>
      <c r="IPG1" s="563"/>
      <c r="IPH1" s="563"/>
      <c r="IPI1" s="563"/>
      <c r="IPJ1" s="563"/>
      <c r="IPK1" s="563" t="s">
        <v>15</v>
      </c>
      <c r="IPL1" s="563"/>
      <c r="IPM1" s="563"/>
      <c r="IPN1" s="563"/>
      <c r="IPO1" s="563"/>
      <c r="IPP1" s="563"/>
      <c r="IPQ1" s="563"/>
      <c r="IPR1" s="563"/>
      <c r="IPS1" s="563" t="s">
        <v>15</v>
      </c>
      <c r="IPT1" s="563"/>
      <c r="IPU1" s="563"/>
      <c r="IPV1" s="563"/>
      <c r="IPW1" s="563"/>
      <c r="IPX1" s="563"/>
      <c r="IPY1" s="563"/>
      <c r="IPZ1" s="563"/>
      <c r="IQA1" s="563" t="s">
        <v>15</v>
      </c>
      <c r="IQB1" s="563"/>
      <c r="IQC1" s="563"/>
      <c r="IQD1" s="563"/>
      <c r="IQE1" s="563"/>
      <c r="IQF1" s="563"/>
      <c r="IQG1" s="563"/>
      <c r="IQH1" s="563"/>
      <c r="IQI1" s="563" t="s">
        <v>15</v>
      </c>
      <c r="IQJ1" s="563"/>
      <c r="IQK1" s="563"/>
      <c r="IQL1" s="563"/>
      <c r="IQM1" s="563"/>
      <c r="IQN1" s="563"/>
      <c r="IQO1" s="563"/>
      <c r="IQP1" s="563"/>
      <c r="IQQ1" s="563" t="s">
        <v>15</v>
      </c>
      <c r="IQR1" s="563"/>
      <c r="IQS1" s="563"/>
      <c r="IQT1" s="563"/>
      <c r="IQU1" s="563"/>
      <c r="IQV1" s="563"/>
      <c r="IQW1" s="563"/>
      <c r="IQX1" s="563"/>
      <c r="IQY1" s="563" t="s">
        <v>15</v>
      </c>
      <c r="IQZ1" s="563"/>
      <c r="IRA1" s="563"/>
      <c r="IRB1" s="563"/>
      <c r="IRC1" s="563"/>
      <c r="IRD1" s="563"/>
      <c r="IRE1" s="563"/>
      <c r="IRF1" s="563"/>
      <c r="IRG1" s="563" t="s">
        <v>15</v>
      </c>
      <c r="IRH1" s="563"/>
      <c r="IRI1" s="563"/>
      <c r="IRJ1" s="563"/>
      <c r="IRK1" s="563"/>
      <c r="IRL1" s="563"/>
      <c r="IRM1" s="563"/>
      <c r="IRN1" s="563"/>
      <c r="IRO1" s="563" t="s">
        <v>15</v>
      </c>
      <c r="IRP1" s="563"/>
      <c r="IRQ1" s="563"/>
      <c r="IRR1" s="563"/>
      <c r="IRS1" s="563"/>
      <c r="IRT1" s="563"/>
      <c r="IRU1" s="563"/>
      <c r="IRV1" s="563"/>
      <c r="IRW1" s="563" t="s">
        <v>15</v>
      </c>
      <c r="IRX1" s="563"/>
      <c r="IRY1" s="563"/>
      <c r="IRZ1" s="563"/>
      <c r="ISA1" s="563"/>
      <c r="ISB1" s="563"/>
      <c r="ISC1" s="563"/>
      <c r="ISD1" s="563"/>
      <c r="ISE1" s="563" t="s">
        <v>15</v>
      </c>
      <c r="ISF1" s="563"/>
      <c r="ISG1" s="563"/>
      <c r="ISH1" s="563"/>
      <c r="ISI1" s="563"/>
      <c r="ISJ1" s="563"/>
      <c r="ISK1" s="563"/>
      <c r="ISL1" s="563"/>
      <c r="ISM1" s="563" t="s">
        <v>15</v>
      </c>
      <c r="ISN1" s="563"/>
      <c r="ISO1" s="563"/>
      <c r="ISP1" s="563"/>
      <c r="ISQ1" s="563"/>
      <c r="ISR1" s="563"/>
      <c r="ISS1" s="563"/>
      <c r="IST1" s="563"/>
      <c r="ISU1" s="563" t="s">
        <v>15</v>
      </c>
      <c r="ISV1" s="563"/>
      <c r="ISW1" s="563"/>
      <c r="ISX1" s="563"/>
      <c r="ISY1" s="563"/>
      <c r="ISZ1" s="563"/>
      <c r="ITA1" s="563"/>
      <c r="ITB1" s="563"/>
      <c r="ITC1" s="563" t="s">
        <v>15</v>
      </c>
      <c r="ITD1" s="563"/>
      <c r="ITE1" s="563"/>
      <c r="ITF1" s="563"/>
      <c r="ITG1" s="563"/>
      <c r="ITH1" s="563"/>
      <c r="ITI1" s="563"/>
      <c r="ITJ1" s="563"/>
      <c r="ITK1" s="563" t="s">
        <v>15</v>
      </c>
      <c r="ITL1" s="563"/>
      <c r="ITM1" s="563"/>
      <c r="ITN1" s="563"/>
      <c r="ITO1" s="563"/>
      <c r="ITP1" s="563"/>
      <c r="ITQ1" s="563"/>
      <c r="ITR1" s="563"/>
      <c r="ITS1" s="563" t="s">
        <v>15</v>
      </c>
      <c r="ITT1" s="563"/>
      <c r="ITU1" s="563"/>
      <c r="ITV1" s="563"/>
      <c r="ITW1" s="563"/>
      <c r="ITX1" s="563"/>
      <c r="ITY1" s="563"/>
      <c r="ITZ1" s="563"/>
      <c r="IUA1" s="563" t="s">
        <v>15</v>
      </c>
      <c r="IUB1" s="563"/>
      <c r="IUC1" s="563"/>
      <c r="IUD1" s="563"/>
      <c r="IUE1" s="563"/>
      <c r="IUF1" s="563"/>
      <c r="IUG1" s="563"/>
      <c r="IUH1" s="563"/>
      <c r="IUI1" s="563" t="s">
        <v>15</v>
      </c>
      <c r="IUJ1" s="563"/>
      <c r="IUK1" s="563"/>
      <c r="IUL1" s="563"/>
      <c r="IUM1" s="563"/>
      <c r="IUN1" s="563"/>
      <c r="IUO1" s="563"/>
      <c r="IUP1" s="563"/>
      <c r="IUQ1" s="563" t="s">
        <v>15</v>
      </c>
      <c r="IUR1" s="563"/>
      <c r="IUS1" s="563"/>
      <c r="IUT1" s="563"/>
      <c r="IUU1" s="563"/>
      <c r="IUV1" s="563"/>
      <c r="IUW1" s="563"/>
      <c r="IUX1" s="563"/>
      <c r="IUY1" s="563" t="s">
        <v>15</v>
      </c>
      <c r="IUZ1" s="563"/>
      <c r="IVA1" s="563"/>
      <c r="IVB1" s="563"/>
      <c r="IVC1" s="563"/>
      <c r="IVD1" s="563"/>
      <c r="IVE1" s="563"/>
      <c r="IVF1" s="563"/>
      <c r="IVG1" s="563" t="s">
        <v>15</v>
      </c>
      <c r="IVH1" s="563"/>
      <c r="IVI1" s="563"/>
      <c r="IVJ1" s="563"/>
      <c r="IVK1" s="563"/>
      <c r="IVL1" s="563"/>
      <c r="IVM1" s="563"/>
      <c r="IVN1" s="563"/>
      <c r="IVO1" s="563" t="s">
        <v>15</v>
      </c>
      <c r="IVP1" s="563"/>
      <c r="IVQ1" s="563"/>
      <c r="IVR1" s="563"/>
      <c r="IVS1" s="563"/>
      <c r="IVT1" s="563"/>
      <c r="IVU1" s="563"/>
      <c r="IVV1" s="563"/>
      <c r="IVW1" s="563" t="s">
        <v>15</v>
      </c>
      <c r="IVX1" s="563"/>
      <c r="IVY1" s="563"/>
      <c r="IVZ1" s="563"/>
      <c r="IWA1" s="563"/>
      <c r="IWB1" s="563"/>
      <c r="IWC1" s="563"/>
      <c r="IWD1" s="563"/>
      <c r="IWE1" s="563" t="s">
        <v>15</v>
      </c>
      <c r="IWF1" s="563"/>
      <c r="IWG1" s="563"/>
      <c r="IWH1" s="563"/>
      <c r="IWI1" s="563"/>
      <c r="IWJ1" s="563"/>
      <c r="IWK1" s="563"/>
      <c r="IWL1" s="563"/>
      <c r="IWM1" s="563" t="s">
        <v>15</v>
      </c>
      <c r="IWN1" s="563"/>
      <c r="IWO1" s="563"/>
      <c r="IWP1" s="563"/>
      <c r="IWQ1" s="563"/>
      <c r="IWR1" s="563"/>
      <c r="IWS1" s="563"/>
      <c r="IWT1" s="563"/>
      <c r="IWU1" s="563" t="s">
        <v>15</v>
      </c>
      <c r="IWV1" s="563"/>
      <c r="IWW1" s="563"/>
      <c r="IWX1" s="563"/>
      <c r="IWY1" s="563"/>
      <c r="IWZ1" s="563"/>
      <c r="IXA1" s="563"/>
      <c r="IXB1" s="563"/>
      <c r="IXC1" s="563" t="s">
        <v>15</v>
      </c>
      <c r="IXD1" s="563"/>
      <c r="IXE1" s="563"/>
      <c r="IXF1" s="563"/>
      <c r="IXG1" s="563"/>
      <c r="IXH1" s="563"/>
      <c r="IXI1" s="563"/>
      <c r="IXJ1" s="563"/>
      <c r="IXK1" s="563" t="s">
        <v>15</v>
      </c>
      <c r="IXL1" s="563"/>
      <c r="IXM1" s="563"/>
      <c r="IXN1" s="563"/>
      <c r="IXO1" s="563"/>
      <c r="IXP1" s="563"/>
      <c r="IXQ1" s="563"/>
      <c r="IXR1" s="563"/>
      <c r="IXS1" s="563" t="s">
        <v>15</v>
      </c>
      <c r="IXT1" s="563"/>
      <c r="IXU1" s="563"/>
      <c r="IXV1" s="563"/>
      <c r="IXW1" s="563"/>
      <c r="IXX1" s="563"/>
      <c r="IXY1" s="563"/>
      <c r="IXZ1" s="563"/>
      <c r="IYA1" s="563" t="s">
        <v>15</v>
      </c>
      <c r="IYB1" s="563"/>
      <c r="IYC1" s="563"/>
      <c r="IYD1" s="563"/>
      <c r="IYE1" s="563"/>
      <c r="IYF1" s="563"/>
      <c r="IYG1" s="563"/>
      <c r="IYH1" s="563"/>
      <c r="IYI1" s="563" t="s">
        <v>15</v>
      </c>
      <c r="IYJ1" s="563"/>
      <c r="IYK1" s="563"/>
      <c r="IYL1" s="563"/>
      <c r="IYM1" s="563"/>
      <c r="IYN1" s="563"/>
      <c r="IYO1" s="563"/>
      <c r="IYP1" s="563"/>
      <c r="IYQ1" s="563" t="s">
        <v>15</v>
      </c>
      <c r="IYR1" s="563"/>
      <c r="IYS1" s="563"/>
      <c r="IYT1" s="563"/>
      <c r="IYU1" s="563"/>
      <c r="IYV1" s="563"/>
      <c r="IYW1" s="563"/>
      <c r="IYX1" s="563"/>
      <c r="IYY1" s="563" t="s">
        <v>15</v>
      </c>
      <c r="IYZ1" s="563"/>
      <c r="IZA1" s="563"/>
      <c r="IZB1" s="563"/>
      <c r="IZC1" s="563"/>
      <c r="IZD1" s="563"/>
      <c r="IZE1" s="563"/>
      <c r="IZF1" s="563"/>
      <c r="IZG1" s="563" t="s">
        <v>15</v>
      </c>
      <c r="IZH1" s="563"/>
      <c r="IZI1" s="563"/>
      <c r="IZJ1" s="563"/>
      <c r="IZK1" s="563"/>
      <c r="IZL1" s="563"/>
      <c r="IZM1" s="563"/>
      <c r="IZN1" s="563"/>
      <c r="IZO1" s="563" t="s">
        <v>15</v>
      </c>
      <c r="IZP1" s="563"/>
      <c r="IZQ1" s="563"/>
      <c r="IZR1" s="563"/>
      <c r="IZS1" s="563"/>
      <c r="IZT1" s="563"/>
      <c r="IZU1" s="563"/>
      <c r="IZV1" s="563"/>
      <c r="IZW1" s="563" t="s">
        <v>15</v>
      </c>
      <c r="IZX1" s="563"/>
      <c r="IZY1" s="563"/>
      <c r="IZZ1" s="563"/>
      <c r="JAA1" s="563"/>
      <c r="JAB1" s="563"/>
      <c r="JAC1" s="563"/>
      <c r="JAD1" s="563"/>
      <c r="JAE1" s="563" t="s">
        <v>15</v>
      </c>
      <c r="JAF1" s="563"/>
      <c r="JAG1" s="563"/>
      <c r="JAH1" s="563"/>
      <c r="JAI1" s="563"/>
      <c r="JAJ1" s="563"/>
      <c r="JAK1" s="563"/>
      <c r="JAL1" s="563"/>
      <c r="JAM1" s="563" t="s">
        <v>15</v>
      </c>
      <c r="JAN1" s="563"/>
      <c r="JAO1" s="563"/>
      <c r="JAP1" s="563"/>
      <c r="JAQ1" s="563"/>
      <c r="JAR1" s="563"/>
      <c r="JAS1" s="563"/>
      <c r="JAT1" s="563"/>
      <c r="JAU1" s="563" t="s">
        <v>15</v>
      </c>
      <c r="JAV1" s="563"/>
      <c r="JAW1" s="563"/>
      <c r="JAX1" s="563"/>
      <c r="JAY1" s="563"/>
      <c r="JAZ1" s="563"/>
      <c r="JBA1" s="563"/>
      <c r="JBB1" s="563"/>
      <c r="JBC1" s="563" t="s">
        <v>15</v>
      </c>
      <c r="JBD1" s="563"/>
      <c r="JBE1" s="563"/>
      <c r="JBF1" s="563"/>
      <c r="JBG1" s="563"/>
      <c r="JBH1" s="563"/>
      <c r="JBI1" s="563"/>
      <c r="JBJ1" s="563"/>
      <c r="JBK1" s="563" t="s">
        <v>15</v>
      </c>
      <c r="JBL1" s="563"/>
      <c r="JBM1" s="563"/>
      <c r="JBN1" s="563"/>
      <c r="JBO1" s="563"/>
      <c r="JBP1" s="563"/>
      <c r="JBQ1" s="563"/>
      <c r="JBR1" s="563"/>
      <c r="JBS1" s="563" t="s">
        <v>15</v>
      </c>
      <c r="JBT1" s="563"/>
      <c r="JBU1" s="563"/>
      <c r="JBV1" s="563"/>
      <c r="JBW1" s="563"/>
      <c r="JBX1" s="563"/>
      <c r="JBY1" s="563"/>
      <c r="JBZ1" s="563"/>
      <c r="JCA1" s="563" t="s">
        <v>15</v>
      </c>
      <c r="JCB1" s="563"/>
      <c r="JCC1" s="563"/>
      <c r="JCD1" s="563"/>
      <c r="JCE1" s="563"/>
      <c r="JCF1" s="563"/>
      <c r="JCG1" s="563"/>
      <c r="JCH1" s="563"/>
      <c r="JCI1" s="563" t="s">
        <v>15</v>
      </c>
      <c r="JCJ1" s="563"/>
      <c r="JCK1" s="563"/>
      <c r="JCL1" s="563"/>
      <c r="JCM1" s="563"/>
      <c r="JCN1" s="563"/>
      <c r="JCO1" s="563"/>
      <c r="JCP1" s="563"/>
      <c r="JCQ1" s="563" t="s">
        <v>15</v>
      </c>
      <c r="JCR1" s="563"/>
      <c r="JCS1" s="563"/>
      <c r="JCT1" s="563"/>
      <c r="JCU1" s="563"/>
      <c r="JCV1" s="563"/>
      <c r="JCW1" s="563"/>
      <c r="JCX1" s="563"/>
      <c r="JCY1" s="563" t="s">
        <v>15</v>
      </c>
      <c r="JCZ1" s="563"/>
      <c r="JDA1" s="563"/>
      <c r="JDB1" s="563"/>
      <c r="JDC1" s="563"/>
      <c r="JDD1" s="563"/>
      <c r="JDE1" s="563"/>
      <c r="JDF1" s="563"/>
      <c r="JDG1" s="563" t="s">
        <v>15</v>
      </c>
      <c r="JDH1" s="563"/>
      <c r="JDI1" s="563"/>
      <c r="JDJ1" s="563"/>
      <c r="JDK1" s="563"/>
      <c r="JDL1" s="563"/>
      <c r="JDM1" s="563"/>
      <c r="JDN1" s="563"/>
      <c r="JDO1" s="563" t="s">
        <v>15</v>
      </c>
      <c r="JDP1" s="563"/>
      <c r="JDQ1" s="563"/>
      <c r="JDR1" s="563"/>
      <c r="JDS1" s="563"/>
      <c r="JDT1" s="563"/>
      <c r="JDU1" s="563"/>
      <c r="JDV1" s="563"/>
      <c r="JDW1" s="563" t="s">
        <v>15</v>
      </c>
      <c r="JDX1" s="563"/>
      <c r="JDY1" s="563"/>
      <c r="JDZ1" s="563"/>
      <c r="JEA1" s="563"/>
      <c r="JEB1" s="563"/>
      <c r="JEC1" s="563"/>
      <c r="JED1" s="563"/>
      <c r="JEE1" s="563" t="s">
        <v>15</v>
      </c>
      <c r="JEF1" s="563"/>
      <c r="JEG1" s="563"/>
      <c r="JEH1" s="563"/>
      <c r="JEI1" s="563"/>
      <c r="JEJ1" s="563"/>
      <c r="JEK1" s="563"/>
      <c r="JEL1" s="563"/>
      <c r="JEM1" s="563" t="s">
        <v>15</v>
      </c>
      <c r="JEN1" s="563"/>
      <c r="JEO1" s="563"/>
      <c r="JEP1" s="563"/>
      <c r="JEQ1" s="563"/>
      <c r="JER1" s="563"/>
      <c r="JES1" s="563"/>
      <c r="JET1" s="563"/>
      <c r="JEU1" s="563" t="s">
        <v>15</v>
      </c>
      <c r="JEV1" s="563"/>
      <c r="JEW1" s="563"/>
      <c r="JEX1" s="563"/>
      <c r="JEY1" s="563"/>
      <c r="JEZ1" s="563"/>
      <c r="JFA1" s="563"/>
      <c r="JFB1" s="563"/>
      <c r="JFC1" s="563" t="s">
        <v>15</v>
      </c>
      <c r="JFD1" s="563"/>
      <c r="JFE1" s="563"/>
      <c r="JFF1" s="563"/>
      <c r="JFG1" s="563"/>
      <c r="JFH1" s="563"/>
      <c r="JFI1" s="563"/>
      <c r="JFJ1" s="563"/>
      <c r="JFK1" s="563" t="s">
        <v>15</v>
      </c>
      <c r="JFL1" s="563"/>
      <c r="JFM1" s="563"/>
      <c r="JFN1" s="563"/>
      <c r="JFO1" s="563"/>
      <c r="JFP1" s="563"/>
      <c r="JFQ1" s="563"/>
      <c r="JFR1" s="563"/>
      <c r="JFS1" s="563" t="s">
        <v>15</v>
      </c>
      <c r="JFT1" s="563"/>
      <c r="JFU1" s="563"/>
      <c r="JFV1" s="563"/>
      <c r="JFW1" s="563"/>
      <c r="JFX1" s="563"/>
      <c r="JFY1" s="563"/>
      <c r="JFZ1" s="563"/>
      <c r="JGA1" s="563" t="s">
        <v>15</v>
      </c>
      <c r="JGB1" s="563"/>
      <c r="JGC1" s="563"/>
      <c r="JGD1" s="563"/>
      <c r="JGE1" s="563"/>
      <c r="JGF1" s="563"/>
      <c r="JGG1" s="563"/>
      <c r="JGH1" s="563"/>
      <c r="JGI1" s="563" t="s">
        <v>15</v>
      </c>
      <c r="JGJ1" s="563"/>
      <c r="JGK1" s="563"/>
      <c r="JGL1" s="563"/>
      <c r="JGM1" s="563"/>
      <c r="JGN1" s="563"/>
      <c r="JGO1" s="563"/>
      <c r="JGP1" s="563"/>
      <c r="JGQ1" s="563" t="s">
        <v>15</v>
      </c>
      <c r="JGR1" s="563"/>
      <c r="JGS1" s="563"/>
      <c r="JGT1" s="563"/>
      <c r="JGU1" s="563"/>
      <c r="JGV1" s="563"/>
      <c r="JGW1" s="563"/>
      <c r="JGX1" s="563"/>
      <c r="JGY1" s="563" t="s">
        <v>15</v>
      </c>
      <c r="JGZ1" s="563"/>
      <c r="JHA1" s="563"/>
      <c r="JHB1" s="563"/>
      <c r="JHC1" s="563"/>
      <c r="JHD1" s="563"/>
      <c r="JHE1" s="563"/>
      <c r="JHF1" s="563"/>
      <c r="JHG1" s="563" t="s">
        <v>15</v>
      </c>
      <c r="JHH1" s="563"/>
      <c r="JHI1" s="563"/>
      <c r="JHJ1" s="563"/>
      <c r="JHK1" s="563"/>
      <c r="JHL1" s="563"/>
      <c r="JHM1" s="563"/>
      <c r="JHN1" s="563"/>
      <c r="JHO1" s="563" t="s">
        <v>15</v>
      </c>
      <c r="JHP1" s="563"/>
      <c r="JHQ1" s="563"/>
      <c r="JHR1" s="563"/>
      <c r="JHS1" s="563"/>
      <c r="JHT1" s="563"/>
      <c r="JHU1" s="563"/>
      <c r="JHV1" s="563"/>
      <c r="JHW1" s="563" t="s">
        <v>15</v>
      </c>
      <c r="JHX1" s="563"/>
      <c r="JHY1" s="563"/>
      <c r="JHZ1" s="563"/>
      <c r="JIA1" s="563"/>
      <c r="JIB1" s="563"/>
      <c r="JIC1" s="563"/>
      <c r="JID1" s="563"/>
      <c r="JIE1" s="563" t="s">
        <v>15</v>
      </c>
      <c r="JIF1" s="563"/>
      <c r="JIG1" s="563"/>
      <c r="JIH1" s="563"/>
      <c r="JII1" s="563"/>
      <c r="JIJ1" s="563"/>
      <c r="JIK1" s="563"/>
      <c r="JIL1" s="563"/>
      <c r="JIM1" s="563" t="s">
        <v>15</v>
      </c>
      <c r="JIN1" s="563"/>
      <c r="JIO1" s="563"/>
      <c r="JIP1" s="563"/>
      <c r="JIQ1" s="563"/>
      <c r="JIR1" s="563"/>
      <c r="JIS1" s="563"/>
      <c r="JIT1" s="563"/>
      <c r="JIU1" s="563" t="s">
        <v>15</v>
      </c>
      <c r="JIV1" s="563"/>
      <c r="JIW1" s="563"/>
      <c r="JIX1" s="563"/>
      <c r="JIY1" s="563"/>
      <c r="JIZ1" s="563"/>
      <c r="JJA1" s="563"/>
      <c r="JJB1" s="563"/>
      <c r="JJC1" s="563" t="s">
        <v>15</v>
      </c>
      <c r="JJD1" s="563"/>
      <c r="JJE1" s="563"/>
      <c r="JJF1" s="563"/>
      <c r="JJG1" s="563"/>
      <c r="JJH1" s="563"/>
      <c r="JJI1" s="563"/>
      <c r="JJJ1" s="563"/>
      <c r="JJK1" s="563" t="s">
        <v>15</v>
      </c>
      <c r="JJL1" s="563"/>
      <c r="JJM1" s="563"/>
      <c r="JJN1" s="563"/>
      <c r="JJO1" s="563"/>
      <c r="JJP1" s="563"/>
      <c r="JJQ1" s="563"/>
      <c r="JJR1" s="563"/>
      <c r="JJS1" s="563" t="s">
        <v>15</v>
      </c>
      <c r="JJT1" s="563"/>
      <c r="JJU1" s="563"/>
      <c r="JJV1" s="563"/>
      <c r="JJW1" s="563"/>
      <c r="JJX1" s="563"/>
      <c r="JJY1" s="563"/>
      <c r="JJZ1" s="563"/>
      <c r="JKA1" s="563" t="s">
        <v>15</v>
      </c>
      <c r="JKB1" s="563"/>
      <c r="JKC1" s="563"/>
      <c r="JKD1" s="563"/>
      <c r="JKE1" s="563"/>
      <c r="JKF1" s="563"/>
      <c r="JKG1" s="563"/>
      <c r="JKH1" s="563"/>
      <c r="JKI1" s="563" t="s">
        <v>15</v>
      </c>
      <c r="JKJ1" s="563"/>
      <c r="JKK1" s="563"/>
      <c r="JKL1" s="563"/>
      <c r="JKM1" s="563"/>
      <c r="JKN1" s="563"/>
      <c r="JKO1" s="563"/>
      <c r="JKP1" s="563"/>
      <c r="JKQ1" s="563" t="s">
        <v>15</v>
      </c>
      <c r="JKR1" s="563"/>
      <c r="JKS1" s="563"/>
      <c r="JKT1" s="563"/>
      <c r="JKU1" s="563"/>
      <c r="JKV1" s="563"/>
      <c r="JKW1" s="563"/>
      <c r="JKX1" s="563"/>
      <c r="JKY1" s="563" t="s">
        <v>15</v>
      </c>
      <c r="JKZ1" s="563"/>
      <c r="JLA1" s="563"/>
      <c r="JLB1" s="563"/>
      <c r="JLC1" s="563"/>
      <c r="JLD1" s="563"/>
      <c r="JLE1" s="563"/>
      <c r="JLF1" s="563"/>
      <c r="JLG1" s="563" t="s">
        <v>15</v>
      </c>
      <c r="JLH1" s="563"/>
      <c r="JLI1" s="563"/>
      <c r="JLJ1" s="563"/>
      <c r="JLK1" s="563"/>
      <c r="JLL1" s="563"/>
      <c r="JLM1" s="563"/>
      <c r="JLN1" s="563"/>
      <c r="JLO1" s="563" t="s">
        <v>15</v>
      </c>
      <c r="JLP1" s="563"/>
      <c r="JLQ1" s="563"/>
      <c r="JLR1" s="563"/>
      <c r="JLS1" s="563"/>
      <c r="JLT1" s="563"/>
      <c r="JLU1" s="563"/>
      <c r="JLV1" s="563"/>
      <c r="JLW1" s="563" t="s">
        <v>15</v>
      </c>
      <c r="JLX1" s="563"/>
      <c r="JLY1" s="563"/>
      <c r="JLZ1" s="563"/>
      <c r="JMA1" s="563"/>
      <c r="JMB1" s="563"/>
      <c r="JMC1" s="563"/>
      <c r="JMD1" s="563"/>
      <c r="JME1" s="563" t="s">
        <v>15</v>
      </c>
      <c r="JMF1" s="563"/>
      <c r="JMG1" s="563"/>
      <c r="JMH1" s="563"/>
      <c r="JMI1" s="563"/>
      <c r="JMJ1" s="563"/>
      <c r="JMK1" s="563"/>
      <c r="JML1" s="563"/>
      <c r="JMM1" s="563" t="s">
        <v>15</v>
      </c>
      <c r="JMN1" s="563"/>
      <c r="JMO1" s="563"/>
      <c r="JMP1" s="563"/>
      <c r="JMQ1" s="563"/>
      <c r="JMR1" s="563"/>
      <c r="JMS1" s="563"/>
      <c r="JMT1" s="563"/>
      <c r="JMU1" s="563" t="s">
        <v>15</v>
      </c>
      <c r="JMV1" s="563"/>
      <c r="JMW1" s="563"/>
      <c r="JMX1" s="563"/>
      <c r="JMY1" s="563"/>
      <c r="JMZ1" s="563"/>
      <c r="JNA1" s="563"/>
      <c r="JNB1" s="563"/>
      <c r="JNC1" s="563" t="s">
        <v>15</v>
      </c>
      <c r="JND1" s="563"/>
      <c r="JNE1" s="563"/>
      <c r="JNF1" s="563"/>
      <c r="JNG1" s="563"/>
      <c r="JNH1" s="563"/>
      <c r="JNI1" s="563"/>
      <c r="JNJ1" s="563"/>
      <c r="JNK1" s="563" t="s">
        <v>15</v>
      </c>
      <c r="JNL1" s="563"/>
      <c r="JNM1" s="563"/>
      <c r="JNN1" s="563"/>
      <c r="JNO1" s="563"/>
      <c r="JNP1" s="563"/>
      <c r="JNQ1" s="563"/>
      <c r="JNR1" s="563"/>
      <c r="JNS1" s="563" t="s">
        <v>15</v>
      </c>
      <c r="JNT1" s="563"/>
      <c r="JNU1" s="563"/>
      <c r="JNV1" s="563"/>
      <c r="JNW1" s="563"/>
      <c r="JNX1" s="563"/>
      <c r="JNY1" s="563"/>
      <c r="JNZ1" s="563"/>
      <c r="JOA1" s="563" t="s">
        <v>15</v>
      </c>
      <c r="JOB1" s="563"/>
      <c r="JOC1" s="563"/>
      <c r="JOD1" s="563"/>
      <c r="JOE1" s="563"/>
      <c r="JOF1" s="563"/>
      <c r="JOG1" s="563"/>
      <c r="JOH1" s="563"/>
      <c r="JOI1" s="563" t="s">
        <v>15</v>
      </c>
      <c r="JOJ1" s="563"/>
      <c r="JOK1" s="563"/>
      <c r="JOL1" s="563"/>
      <c r="JOM1" s="563"/>
      <c r="JON1" s="563"/>
      <c r="JOO1" s="563"/>
      <c r="JOP1" s="563"/>
      <c r="JOQ1" s="563" t="s">
        <v>15</v>
      </c>
      <c r="JOR1" s="563"/>
      <c r="JOS1" s="563"/>
      <c r="JOT1" s="563"/>
      <c r="JOU1" s="563"/>
      <c r="JOV1" s="563"/>
      <c r="JOW1" s="563"/>
      <c r="JOX1" s="563"/>
      <c r="JOY1" s="563" t="s">
        <v>15</v>
      </c>
      <c r="JOZ1" s="563"/>
      <c r="JPA1" s="563"/>
      <c r="JPB1" s="563"/>
      <c r="JPC1" s="563"/>
      <c r="JPD1" s="563"/>
      <c r="JPE1" s="563"/>
      <c r="JPF1" s="563"/>
      <c r="JPG1" s="563" t="s">
        <v>15</v>
      </c>
      <c r="JPH1" s="563"/>
      <c r="JPI1" s="563"/>
      <c r="JPJ1" s="563"/>
      <c r="JPK1" s="563"/>
      <c r="JPL1" s="563"/>
      <c r="JPM1" s="563"/>
      <c r="JPN1" s="563"/>
      <c r="JPO1" s="563" t="s">
        <v>15</v>
      </c>
      <c r="JPP1" s="563"/>
      <c r="JPQ1" s="563"/>
      <c r="JPR1" s="563"/>
      <c r="JPS1" s="563"/>
      <c r="JPT1" s="563"/>
      <c r="JPU1" s="563"/>
      <c r="JPV1" s="563"/>
      <c r="JPW1" s="563" t="s">
        <v>15</v>
      </c>
      <c r="JPX1" s="563"/>
      <c r="JPY1" s="563"/>
      <c r="JPZ1" s="563"/>
      <c r="JQA1" s="563"/>
      <c r="JQB1" s="563"/>
      <c r="JQC1" s="563"/>
      <c r="JQD1" s="563"/>
      <c r="JQE1" s="563" t="s">
        <v>15</v>
      </c>
      <c r="JQF1" s="563"/>
      <c r="JQG1" s="563"/>
      <c r="JQH1" s="563"/>
      <c r="JQI1" s="563"/>
      <c r="JQJ1" s="563"/>
      <c r="JQK1" s="563"/>
      <c r="JQL1" s="563"/>
      <c r="JQM1" s="563" t="s">
        <v>15</v>
      </c>
      <c r="JQN1" s="563"/>
      <c r="JQO1" s="563"/>
      <c r="JQP1" s="563"/>
      <c r="JQQ1" s="563"/>
      <c r="JQR1" s="563"/>
      <c r="JQS1" s="563"/>
      <c r="JQT1" s="563"/>
      <c r="JQU1" s="563" t="s">
        <v>15</v>
      </c>
      <c r="JQV1" s="563"/>
      <c r="JQW1" s="563"/>
      <c r="JQX1" s="563"/>
      <c r="JQY1" s="563"/>
      <c r="JQZ1" s="563"/>
      <c r="JRA1" s="563"/>
      <c r="JRB1" s="563"/>
      <c r="JRC1" s="563" t="s">
        <v>15</v>
      </c>
      <c r="JRD1" s="563"/>
      <c r="JRE1" s="563"/>
      <c r="JRF1" s="563"/>
      <c r="JRG1" s="563"/>
      <c r="JRH1" s="563"/>
      <c r="JRI1" s="563"/>
      <c r="JRJ1" s="563"/>
      <c r="JRK1" s="563" t="s">
        <v>15</v>
      </c>
      <c r="JRL1" s="563"/>
      <c r="JRM1" s="563"/>
      <c r="JRN1" s="563"/>
      <c r="JRO1" s="563"/>
      <c r="JRP1" s="563"/>
      <c r="JRQ1" s="563"/>
      <c r="JRR1" s="563"/>
      <c r="JRS1" s="563" t="s">
        <v>15</v>
      </c>
      <c r="JRT1" s="563"/>
      <c r="JRU1" s="563"/>
      <c r="JRV1" s="563"/>
      <c r="JRW1" s="563"/>
      <c r="JRX1" s="563"/>
      <c r="JRY1" s="563"/>
      <c r="JRZ1" s="563"/>
      <c r="JSA1" s="563" t="s">
        <v>15</v>
      </c>
      <c r="JSB1" s="563"/>
      <c r="JSC1" s="563"/>
      <c r="JSD1" s="563"/>
      <c r="JSE1" s="563"/>
      <c r="JSF1" s="563"/>
      <c r="JSG1" s="563"/>
      <c r="JSH1" s="563"/>
      <c r="JSI1" s="563" t="s">
        <v>15</v>
      </c>
      <c r="JSJ1" s="563"/>
      <c r="JSK1" s="563"/>
      <c r="JSL1" s="563"/>
      <c r="JSM1" s="563"/>
      <c r="JSN1" s="563"/>
      <c r="JSO1" s="563"/>
      <c r="JSP1" s="563"/>
      <c r="JSQ1" s="563" t="s">
        <v>15</v>
      </c>
      <c r="JSR1" s="563"/>
      <c r="JSS1" s="563"/>
      <c r="JST1" s="563"/>
      <c r="JSU1" s="563"/>
      <c r="JSV1" s="563"/>
      <c r="JSW1" s="563"/>
      <c r="JSX1" s="563"/>
      <c r="JSY1" s="563" t="s">
        <v>15</v>
      </c>
      <c r="JSZ1" s="563"/>
      <c r="JTA1" s="563"/>
      <c r="JTB1" s="563"/>
      <c r="JTC1" s="563"/>
      <c r="JTD1" s="563"/>
      <c r="JTE1" s="563"/>
      <c r="JTF1" s="563"/>
      <c r="JTG1" s="563" t="s">
        <v>15</v>
      </c>
      <c r="JTH1" s="563"/>
      <c r="JTI1" s="563"/>
      <c r="JTJ1" s="563"/>
      <c r="JTK1" s="563"/>
      <c r="JTL1" s="563"/>
      <c r="JTM1" s="563"/>
      <c r="JTN1" s="563"/>
      <c r="JTO1" s="563" t="s">
        <v>15</v>
      </c>
      <c r="JTP1" s="563"/>
      <c r="JTQ1" s="563"/>
      <c r="JTR1" s="563"/>
      <c r="JTS1" s="563"/>
      <c r="JTT1" s="563"/>
      <c r="JTU1" s="563"/>
      <c r="JTV1" s="563"/>
      <c r="JTW1" s="563" t="s">
        <v>15</v>
      </c>
      <c r="JTX1" s="563"/>
      <c r="JTY1" s="563"/>
      <c r="JTZ1" s="563"/>
      <c r="JUA1" s="563"/>
      <c r="JUB1" s="563"/>
      <c r="JUC1" s="563"/>
      <c r="JUD1" s="563"/>
      <c r="JUE1" s="563" t="s">
        <v>15</v>
      </c>
      <c r="JUF1" s="563"/>
      <c r="JUG1" s="563"/>
      <c r="JUH1" s="563"/>
      <c r="JUI1" s="563"/>
      <c r="JUJ1" s="563"/>
      <c r="JUK1" s="563"/>
      <c r="JUL1" s="563"/>
      <c r="JUM1" s="563" t="s">
        <v>15</v>
      </c>
      <c r="JUN1" s="563"/>
      <c r="JUO1" s="563"/>
      <c r="JUP1" s="563"/>
      <c r="JUQ1" s="563"/>
      <c r="JUR1" s="563"/>
      <c r="JUS1" s="563"/>
      <c r="JUT1" s="563"/>
      <c r="JUU1" s="563" t="s">
        <v>15</v>
      </c>
      <c r="JUV1" s="563"/>
      <c r="JUW1" s="563"/>
      <c r="JUX1" s="563"/>
      <c r="JUY1" s="563"/>
      <c r="JUZ1" s="563"/>
      <c r="JVA1" s="563"/>
      <c r="JVB1" s="563"/>
      <c r="JVC1" s="563" t="s">
        <v>15</v>
      </c>
      <c r="JVD1" s="563"/>
      <c r="JVE1" s="563"/>
      <c r="JVF1" s="563"/>
      <c r="JVG1" s="563"/>
      <c r="JVH1" s="563"/>
      <c r="JVI1" s="563"/>
      <c r="JVJ1" s="563"/>
      <c r="JVK1" s="563" t="s">
        <v>15</v>
      </c>
      <c r="JVL1" s="563"/>
      <c r="JVM1" s="563"/>
      <c r="JVN1" s="563"/>
      <c r="JVO1" s="563"/>
      <c r="JVP1" s="563"/>
      <c r="JVQ1" s="563"/>
      <c r="JVR1" s="563"/>
      <c r="JVS1" s="563" t="s">
        <v>15</v>
      </c>
      <c r="JVT1" s="563"/>
      <c r="JVU1" s="563"/>
      <c r="JVV1" s="563"/>
      <c r="JVW1" s="563"/>
      <c r="JVX1" s="563"/>
      <c r="JVY1" s="563"/>
      <c r="JVZ1" s="563"/>
      <c r="JWA1" s="563" t="s">
        <v>15</v>
      </c>
      <c r="JWB1" s="563"/>
      <c r="JWC1" s="563"/>
      <c r="JWD1" s="563"/>
      <c r="JWE1" s="563"/>
      <c r="JWF1" s="563"/>
      <c r="JWG1" s="563"/>
      <c r="JWH1" s="563"/>
      <c r="JWI1" s="563" t="s">
        <v>15</v>
      </c>
      <c r="JWJ1" s="563"/>
      <c r="JWK1" s="563"/>
      <c r="JWL1" s="563"/>
      <c r="JWM1" s="563"/>
      <c r="JWN1" s="563"/>
      <c r="JWO1" s="563"/>
      <c r="JWP1" s="563"/>
      <c r="JWQ1" s="563" t="s">
        <v>15</v>
      </c>
      <c r="JWR1" s="563"/>
      <c r="JWS1" s="563"/>
      <c r="JWT1" s="563"/>
      <c r="JWU1" s="563"/>
      <c r="JWV1" s="563"/>
      <c r="JWW1" s="563"/>
      <c r="JWX1" s="563"/>
      <c r="JWY1" s="563" t="s">
        <v>15</v>
      </c>
      <c r="JWZ1" s="563"/>
      <c r="JXA1" s="563"/>
      <c r="JXB1" s="563"/>
      <c r="JXC1" s="563"/>
      <c r="JXD1" s="563"/>
      <c r="JXE1" s="563"/>
      <c r="JXF1" s="563"/>
      <c r="JXG1" s="563" t="s">
        <v>15</v>
      </c>
      <c r="JXH1" s="563"/>
      <c r="JXI1" s="563"/>
      <c r="JXJ1" s="563"/>
      <c r="JXK1" s="563"/>
      <c r="JXL1" s="563"/>
      <c r="JXM1" s="563"/>
      <c r="JXN1" s="563"/>
      <c r="JXO1" s="563" t="s">
        <v>15</v>
      </c>
      <c r="JXP1" s="563"/>
      <c r="JXQ1" s="563"/>
      <c r="JXR1" s="563"/>
      <c r="JXS1" s="563"/>
      <c r="JXT1" s="563"/>
      <c r="JXU1" s="563"/>
      <c r="JXV1" s="563"/>
      <c r="JXW1" s="563" t="s">
        <v>15</v>
      </c>
      <c r="JXX1" s="563"/>
      <c r="JXY1" s="563"/>
      <c r="JXZ1" s="563"/>
      <c r="JYA1" s="563"/>
      <c r="JYB1" s="563"/>
      <c r="JYC1" s="563"/>
      <c r="JYD1" s="563"/>
      <c r="JYE1" s="563" t="s">
        <v>15</v>
      </c>
      <c r="JYF1" s="563"/>
      <c r="JYG1" s="563"/>
      <c r="JYH1" s="563"/>
      <c r="JYI1" s="563"/>
      <c r="JYJ1" s="563"/>
      <c r="JYK1" s="563"/>
      <c r="JYL1" s="563"/>
      <c r="JYM1" s="563" t="s">
        <v>15</v>
      </c>
      <c r="JYN1" s="563"/>
      <c r="JYO1" s="563"/>
      <c r="JYP1" s="563"/>
      <c r="JYQ1" s="563"/>
      <c r="JYR1" s="563"/>
      <c r="JYS1" s="563"/>
      <c r="JYT1" s="563"/>
      <c r="JYU1" s="563" t="s">
        <v>15</v>
      </c>
      <c r="JYV1" s="563"/>
      <c r="JYW1" s="563"/>
      <c r="JYX1" s="563"/>
      <c r="JYY1" s="563"/>
      <c r="JYZ1" s="563"/>
      <c r="JZA1" s="563"/>
      <c r="JZB1" s="563"/>
      <c r="JZC1" s="563" t="s">
        <v>15</v>
      </c>
      <c r="JZD1" s="563"/>
      <c r="JZE1" s="563"/>
      <c r="JZF1" s="563"/>
      <c r="JZG1" s="563"/>
      <c r="JZH1" s="563"/>
      <c r="JZI1" s="563"/>
      <c r="JZJ1" s="563"/>
      <c r="JZK1" s="563" t="s">
        <v>15</v>
      </c>
      <c r="JZL1" s="563"/>
      <c r="JZM1" s="563"/>
      <c r="JZN1" s="563"/>
      <c r="JZO1" s="563"/>
      <c r="JZP1" s="563"/>
      <c r="JZQ1" s="563"/>
      <c r="JZR1" s="563"/>
      <c r="JZS1" s="563" t="s">
        <v>15</v>
      </c>
      <c r="JZT1" s="563"/>
      <c r="JZU1" s="563"/>
      <c r="JZV1" s="563"/>
      <c r="JZW1" s="563"/>
      <c r="JZX1" s="563"/>
      <c r="JZY1" s="563"/>
      <c r="JZZ1" s="563"/>
      <c r="KAA1" s="563" t="s">
        <v>15</v>
      </c>
      <c r="KAB1" s="563"/>
      <c r="KAC1" s="563"/>
      <c r="KAD1" s="563"/>
      <c r="KAE1" s="563"/>
      <c r="KAF1" s="563"/>
      <c r="KAG1" s="563"/>
      <c r="KAH1" s="563"/>
      <c r="KAI1" s="563" t="s">
        <v>15</v>
      </c>
      <c r="KAJ1" s="563"/>
      <c r="KAK1" s="563"/>
      <c r="KAL1" s="563"/>
      <c r="KAM1" s="563"/>
      <c r="KAN1" s="563"/>
      <c r="KAO1" s="563"/>
      <c r="KAP1" s="563"/>
      <c r="KAQ1" s="563" t="s">
        <v>15</v>
      </c>
      <c r="KAR1" s="563"/>
      <c r="KAS1" s="563"/>
      <c r="KAT1" s="563"/>
      <c r="KAU1" s="563"/>
      <c r="KAV1" s="563"/>
      <c r="KAW1" s="563"/>
      <c r="KAX1" s="563"/>
      <c r="KAY1" s="563" t="s">
        <v>15</v>
      </c>
      <c r="KAZ1" s="563"/>
      <c r="KBA1" s="563"/>
      <c r="KBB1" s="563"/>
      <c r="KBC1" s="563"/>
      <c r="KBD1" s="563"/>
      <c r="KBE1" s="563"/>
      <c r="KBF1" s="563"/>
      <c r="KBG1" s="563" t="s">
        <v>15</v>
      </c>
      <c r="KBH1" s="563"/>
      <c r="KBI1" s="563"/>
      <c r="KBJ1" s="563"/>
      <c r="KBK1" s="563"/>
      <c r="KBL1" s="563"/>
      <c r="KBM1" s="563"/>
      <c r="KBN1" s="563"/>
      <c r="KBO1" s="563" t="s">
        <v>15</v>
      </c>
      <c r="KBP1" s="563"/>
      <c r="KBQ1" s="563"/>
      <c r="KBR1" s="563"/>
      <c r="KBS1" s="563"/>
      <c r="KBT1" s="563"/>
      <c r="KBU1" s="563"/>
      <c r="KBV1" s="563"/>
      <c r="KBW1" s="563" t="s">
        <v>15</v>
      </c>
      <c r="KBX1" s="563"/>
      <c r="KBY1" s="563"/>
      <c r="KBZ1" s="563"/>
      <c r="KCA1" s="563"/>
      <c r="KCB1" s="563"/>
      <c r="KCC1" s="563"/>
      <c r="KCD1" s="563"/>
      <c r="KCE1" s="563" t="s">
        <v>15</v>
      </c>
      <c r="KCF1" s="563"/>
      <c r="KCG1" s="563"/>
      <c r="KCH1" s="563"/>
      <c r="KCI1" s="563"/>
      <c r="KCJ1" s="563"/>
      <c r="KCK1" s="563"/>
      <c r="KCL1" s="563"/>
      <c r="KCM1" s="563" t="s">
        <v>15</v>
      </c>
      <c r="KCN1" s="563"/>
      <c r="KCO1" s="563"/>
      <c r="KCP1" s="563"/>
      <c r="KCQ1" s="563"/>
      <c r="KCR1" s="563"/>
      <c r="KCS1" s="563"/>
      <c r="KCT1" s="563"/>
      <c r="KCU1" s="563" t="s">
        <v>15</v>
      </c>
      <c r="KCV1" s="563"/>
      <c r="KCW1" s="563"/>
      <c r="KCX1" s="563"/>
      <c r="KCY1" s="563"/>
      <c r="KCZ1" s="563"/>
      <c r="KDA1" s="563"/>
      <c r="KDB1" s="563"/>
      <c r="KDC1" s="563" t="s">
        <v>15</v>
      </c>
      <c r="KDD1" s="563"/>
      <c r="KDE1" s="563"/>
      <c r="KDF1" s="563"/>
      <c r="KDG1" s="563"/>
      <c r="KDH1" s="563"/>
      <c r="KDI1" s="563"/>
      <c r="KDJ1" s="563"/>
      <c r="KDK1" s="563" t="s">
        <v>15</v>
      </c>
      <c r="KDL1" s="563"/>
      <c r="KDM1" s="563"/>
      <c r="KDN1" s="563"/>
      <c r="KDO1" s="563"/>
      <c r="KDP1" s="563"/>
      <c r="KDQ1" s="563"/>
      <c r="KDR1" s="563"/>
      <c r="KDS1" s="563" t="s">
        <v>15</v>
      </c>
      <c r="KDT1" s="563"/>
      <c r="KDU1" s="563"/>
      <c r="KDV1" s="563"/>
      <c r="KDW1" s="563"/>
      <c r="KDX1" s="563"/>
      <c r="KDY1" s="563"/>
      <c r="KDZ1" s="563"/>
      <c r="KEA1" s="563" t="s">
        <v>15</v>
      </c>
      <c r="KEB1" s="563"/>
      <c r="KEC1" s="563"/>
      <c r="KED1" s="563"/>
      <c r="KEE1" s="563"/>
      <c r="KEF1" s="563"/>
      <c r="KEG1" s="563"/>
      <c r="KEH1" s="563"/>
      <c r="KEI1" s="563" t="s">
        <v>15</v>
      </c>
      <c r="KEJ1" s="563"/>
      <c r="KEK1" s="563"/>
      <c r="KEL1" s="563"/>
      <c r="KEM1" s="563"/>
      <c r="KEN1" s="563"/>
      <c r="KEO1" s="563"/>
      <c r="KEP1" s="563"/>
      <c r="KEQ1" s="563" t="s">
        <v>15</v>
      </c>
      <c r="KER1" s="563"/>
      <c r="KES1" s="563"/>
      <c r="KET1" s="563"/>
      <c r="KEU1" s="563"/>
      <c r="KEV1" s="563"/>
      <c r="KEW1" s="563"/>
      <c r="KEX1" s="563"/>
      <c r="KEY1" s="563" t="s">
        <v>15</v>
      </c>
      <c r="KEZ1" s="563"/>
      <c r="KFA1" s="563"/>
      <c r="KFB1" s="563"/>
      <c r="KFC1" s="563"/>
      <c r="KFD1" s="563"/>
      <c r="KFE1" s="563"/>
      <c r="KFF1" s="563"/>
      <c r="KFG1" s="563" t="s">
        <v>15</v>
      </c>
      <c r="KFH1" s="563"/>
      <c r="KFI1" s="563"/>
      <c r="KFJ1" s="563"/>
      <c r="KFK1" s="563"/>
      <c r="KFL1" s="563"/>
      <c r="KFM1" s="563"/>
      <c r="KFN1" s="563"/>
      <c r="KFO1" s="563" t="s">
        <v>15</v>
      </c>
      <c r="KFP1" s="563"/>
      <c r="KFQ1" s="563"/>
      <c r="KFR1" s="563"/>
      <c r="KFS1" s="563"/>
      <c r="KFT1" s="563"/>
      <c r="KFU1" s="563"/>
      <c r="KFV1" s="563"/>
      <c r="KFW1" s="563" t="s">
        <v>15</v>
      </c>
      <c r="KFX1" s="563"/>
      <c r="KFY1" s="563"/>
      <c r="KFZ1" s="563"/>
      <c r="KGA1" s="563"/>
      <c r="KGB1" s="563"/>
      <c r="KGC1" s="563"/>
      <c r="KGD1" s="563"/>
      <c r="KGE1" s="563" t="s">
        <v>15</v>
      </c>
      <c r="KGF1" s="563"/>
      <c r="KGG1" s="563"/>
      <c r="KGH1" s="563"/>
      <c r="KGI1" s="563"/>
      <c r="KGJ1" s="563"/>
      <c r="KGK1" s="563"/>
      <c r="KGL1" s="563"/>
      <c r="KGM1" s="563" t="s">
        <v>15</v>
      </c>
      <c r="KGN1" s="563"/>
      <c r="KGO1" s="563"/>
      <c r="KGP1" s="563"/>
      <c r="KGQ1" s="563"/>
      <c r="KGR1" s="563"/>
      <c r="KGS1" s="563"/>
      <c r="KGT1" s="563"/>
      <c r="KGU1" s="563" t="s">
        <v>15</v>
      </c>
      <c r="KGV1" s="563"/>
      <c r="KGW1" s="563"/>
      <c r="KGX1" s="563"/>
      <c r="KGY1" s="563"/>
      <c r="KGZ1" s="563"/>
      <c r="KHA1" s="563"/>
      <c r="KHB1" s="563"/>
      <c r="KHC1" s="563" t="s">
        <v>15</v>
      </c>
      <c r="KHD1" s="563"/>
      <c r="KHE1" s="563"/>
      <c r="KHF1" s="563"/>
      <c r="KHG1" s="563"/>
      <c r="KHH1" s="563"/>
      <c r="KHI1" s="563"/>
      <c r="KHJ1" s="563"/>
      <c r="KHK1" s="563" t="s">
        <v>15</v>
      </c>
      <c r="KHL1" s="563"/>
      <c r="KHM1" s="563"/>
      <c r="KHN1" s="563"/>
      <c r="KHO1" s="563"/>
      <c r="KHP1" s="563"/>
      <c r="KHQ1" s="563"/>
      <c r="KHR1" s="563"/>
      <c r="KHS1" s="563" t="s">
        <v>15</v>
      </c>
      <c r="KHT1" s="563"/>
      <c r="KHU1" s="563"/>
      <c r="KHV1" s="563"/>
      <c r="KHW1" s="563"/>
      <c r="KHX1" s="563"/>
      <c r="KHY1" s="563"/>
      <c r="KHZ1" s="563"/>
      <c r="KIA1" s="563" t="s">
        <v>15</v>
      </c>
      <c r="KIB1" s="563"/>
      <c r="KIC1" s="563"/>
      <c r="KID1" s="563"/>
      <c r="KIE1" s="563"/>
      <c r="KIF1" s="563"/>
      <c r="KIG1" s="563"/>
      <c r="KIH1" s="563"/>
      <c r="KII1" s="563" t="s">
        <v>15</v>
      </c>
      <c r="KIJ1" s="563"/>
      <c r="KIK1" s="563"/>
      <c r="KIL1" s="563"/>
      <c r="KIM1" s="563"/>
      <c r="KIN1" s="563"/>
      <c r="KIO1" s="563"/>
      <c r="KIP1" s="563"/>
      <c r="KIQ1" s="563" t="s">
        <v>15</v>
      </c>
      <c r="KIR1" s="563"/>
      <c r="KIS1" s="563"/>
      <c r="KIT1" s="563"/>
      <c r="KIU1" s="563"/>
      <c r="KIV1" s="563"/>
      <c r="KIW1" s="563"/>
      <c r="KIX1" s="563"/>
      <c r="KIY1" s="563" t="s">
        <v>15</v>
      </c>
      <c r="KIZ1" s="563"/>
      <c r="KJA1" s="563"/>
      <c r="KJB1" s="563"/>
      <c r="KJC1" s="563"/>
      <c r="KJD1" s="563"/>
      <c r="KJE1" s="563"/>
      <c r="KJF1" s="563"/>
      <c r="KJG1" s="563" t="s">
        <v>15</v>
      </c>
      <c r="KJH1" s="563"/>
      <c r="KJI1" s="563"/>
      <c r="KJJ1" s="563"/>
      <c r="KJK1" s="563"/>
      <c r="KJL1" s="563"/>
      <c r="KJM1" s="563"/>
      <c r="KJN1" s="563"/>
      <c r="KJO1" s="563" t="s">
        <v>15</v>
      </c>
      <c r="KJP1" s="563"/>
      <c r="KJQ1" s="563"/>
      <c r="KJR1" s="563"/>
      <c r="KJS1" s="563"/>
      <c r="KJT1" s="563"/>
      <c r="KJU1" s="563"/>
      <c r="KJV1" s="563"/>
      <c r="KJW1" s="563" t="s">
        <v>15</v>
      </c>
      <c r="KJX1" s="563"/>
      <c r="KJY1" s="563"/>
      <c r="KJZ1" s="563"/>
      <c r="KKA1" s="563"/>
      <c r="KKB1" s="563"/>
      <c r="KKC1" s="563"/>
      <c r="KKD1" s="563"/>
      <c r="KKE1" s="563" t="s">
        <v>15</v>
      </c>
      <c r="KKF1" s="563"/>
      <c r="KKG1" s="563"/>
      <c r="KKH1" s="563"/>
      <c r="KKI1" s="563"/>
      <c r="KKJ1" s="563"/>
      <c r="KKK1" s="563"/>
      <c r="KKL1" s="563"/>
      <c r="KKM1" s="563" t="s">
        <v>15</v>
      </c>
      <c r="KKN1" s="563"/>
      <c r="KKO1" s="563"/>
      <c r="KKP1" s="563"/>
      <c r="KKQ1" s="563"/>
      <c r="KKR1" s="563"/>
      <c r="KKS1" s="563"/>
      <c r="KKT1" s="563"/>
      <c r="KKU1" s="563" t="s">
        <v>15</v>
      </c>
      <c r="KKV1" s="563"/>
      <c r="KKW1" s="563"/>
      <c r="KKX1" s="563"/>
      <c r="KKY1" s="563"/>
      <c r="KKZ1" s="563"/>
      <c r="KLA1" s="563"/>
      <c r="KLB1" s="563"/>
      <c r="KLC1" s="563" t="s">
        <v>15</v>
      </c>
      <c r="KLD1" s="563"/>
      <c r="KLE1" s="563"/>
      <c r="KLF1" s="563"/>
      <c r="KLG1" s="563"/>
      <c r="KLH1" s="563"/>
      <c r="KLI1" s="563"/>
      <c r="KLJ1" s="563"/>
      <c r="KLK1" s="563" t="s">
        <v>15</v>
      </c>
      <c r="KLL1" s="563"/>
      <c r="KLM1" s="563"/>
      <c r="KLN1" s="563"/>
      <c r="KLO1" s="563"/>
      <c r="KLP1" s="563"/>
      <c r="KLQ1" s="563"/>
      <c r="KLR1" s="563"/>
      <c r="KLS1" s="563" t="s">
        <v>15</v>
      </c>
      <c r="KLT1" s="563"/>
      <c r="KLU1" s="563"/>
      <c r="KLV1" s="563"/>
      <c r="KLW1" s="563"/>
      <c r="KLX1" s="563"/>
      <c r="KLY1" s="563"/>
      <c r="KLZ1" s="563"/>
      <c r="KMA1" s="563" t="s">
        <v>15</v>
      </c>
      <c r="KMB1" s="563"/>
      <c r="KMC1" s="563"/>
      <c r="KMD1" s="563"/>
      <c r="KME1" s="563"/>
      <c r="KMF1" s="563"/>
      <c r="KMG1" s="563"/>
      <c r="KMH1" s="563"/>
      <c r="KMI1" s="563" t="s">
        <v>15</v>
      </c>
      <c r="KMJ1" s="563"/>
      <c r="KMK1" s="563"/>
      <c r="KML1" s="563"/>
      <c r="KMM1" s="563"/>
      <c r="KMN1" s="563"/>
      <c r="KMO1" s="563"/>
      <c r="KMP1" s="563"/>
      <c r="KMQ1" s="563" t="s">
        <v>15</v>
      </c>
      <c r="KMR1" s="563"/>
      <c r="KMS1" s="563"/>
      <c r="KMT1" s="563"/>
      <c r="KMU1" s="563"/>
      <c r="KMV1" s="563"/>
      <c r="KMW1" s="563"/>
      <c r="KMX1" s="563"/>
      <c r="KMY1" s="563" t="s">
        <v>15</v>
      </c>
      <c r="KMZ1" s="563"/>
      <c r="KNA1" s="563"/>
      <c r="KNB1" s="563"/>
      <c r="KNC1" s="563"/>
      <c r="KND1" s="563"/>
      <c r="KNE1" s="563"/>
      <c r="KNF1" s="563"/>
      <c r="KNG1" s="563" t="s">
        <v>15</v>
      </c>
      <c r="KNH1" s="563"/>
      <c r="KNI1" s="563"/>
      <c r="KNJ1" s="563"/>
      <c r="KNK1" s="563"/>
      <c r="KNL1" s="563"/>
      <c r="KNM1" s="563"/>
      <c r="KNN1" s="563"/>
      <c r="KNO1" s="563" t="s">
        <v>15</v>
      </c>
      <c r="KNP1" s="563"/>
      <c r="KNQ1" s="563"/>
      <c r="KNR1" s="563"/>
      <c r="KNS1" s="563"/>
      <c r="KNT1" s="563"/>
      <c r="KNU1" s="563"/>
      <c r="KNV1" s="563"/>
      <c r="KNW1" s="563" t="s">
        <v>15</v>
      </c>
      <c r="KNX1" s="563"/>
      <c r="KNY1" s="563"/>
      <c r="KNZ1" s="563"/>
      <c r="KOA1" s="563"/>
      <c r="KOB1" s="563"/>
      <c r="KOC1" s="563"/>
      <c r="KOD1" s="563"/>
      <c r="KOE1" s="563" t="s">
        <v>15</v>
      </c>
      <c r="KOF1" s="563"/>
      <c r="KOG1" s="563"/>
      <c r="KOH1" s="563"/>
      <c r="KOI1" s="563"/>
      <c r="KOJ1" s="563"/>
      <c r="KOK1" s="563"/>
      <c r="KOL1" s="563"/>
      <c r="KOM1" s="563" t="s">
        <v>15</v>
      </c>
      <c r="KON1" s="563"/>
      <c r="KOO1" s="563"/>
      <c r="KOP1" s="563"/>
      <c r="KOQ1" s="563"/>
      <c r="KOR1" s="563"/>
      <c r="KOS1" s="563"/>
      <c r="KOT1" s="563"/>
      <c r="KOU1" s="563" t="s">
        <v>15</v>
      </c>
      <c r="KOV1" s="563"/>
      <c r="KOW1" s="563"/>
      <c r="KOX1" s="563"/>
      <c r="KOY1" s="563"/>
      <c r="KOZ1" s="563"/>
      <c r="KPA1" s="563"/>
      <c r="KPB1" s="563"/>
      <c r="KPC1" s="563" t="s">
        <v>15</v>
      </c>
      <c r="KPD1" s="563"/>
      <c r="KPE1" s="563"/>
      <c r="KPF1" s="563"/>
      <c r="KPG1" s="563"/>
      <c r="KPH1" s="563"/>
      <c r="KPI1" s="563"/>
      <c r="KPJ1" s="563"/>
      <c r="KPK1" s="563" t="s">
        <v>15</v>
      </c>
      <c r="KPL1" s="563"/>
      <c r="KPM1" s="563"/>
      <c r="KPN1" s="563"/>
      <c r="KPO1" s="563"/>
      <c r="KPP1" s="563"/>
      <c r="KPQ1" s="563"/>
      <c r="KPR1" s="563"/>
      <c r="KPS1" s="563" t="s">
        <v>15</v>
      </c>
      <c r="KPT1" s="563"/>
      <c r="KPU1" s="563"/>
      <c r="KPV1" s="563"/>
      <c r="KPW1" s="563"/>
      <c r="KPX1" s="563"/>
      <c r="KPY1" s="563"/>
      <c r="KPZ1" s="563"/>
      <c r="KQA1" s="563" t="s">
        <v>15</v>
      </c>
      <c r="KQB1" s="563"/>
      <c r="KQC1" s="563"/>
      <c r="KQD1" s="563"/>
      <c r="KQE1" s="563"/>
      <c r="KQF1" s="563"/>
      <c r="KQG1" s="563"/>
      <c r="KQH1" s="563"/>
      <c r="KQI1" s="563" t="s">
        <v>15</v>
      </c>
      <c r="KQJ1" s="563"/>
      <c r="KQK1" s="563"/>
      <c r="KQL1" s="563"/>
      <c r="KQM1" s="563"/>
      <c r="KQN1" s="563"/>
      <c r="KQO1" s="563"/>
      <c r="KQP1" s="563"/>
      <c r="KQQ1" s="563" t="s">
        <v>15</v>
      </c>
      <c r="KQR1" s="563"/>
      <c r="KQS1" s="563"/>
      <c r="KQT1" s="563"/>
      <c r="KQU1" s="563"/>
      <c r="KQV1" s="563"/>
      <c r="KQW1" s="563"/>
      <c r="KQX1" s="563"/>
      <c r="KQY1" s="563" t="s">
        <v>15</v>
      </c>
      <c r="KQZ1" s="563"/>
      <c r="KRA1" s="563"/>
      <c r="KRB1" s="563"/>
      <c r="KRC1" s="563"/>
      <c r="KRD1" s="563"/>
      <c r="KRE1" s="563"/>
      <c r="KRF1" s="563"/>
      <c r="KRG1" s="563" t="s">
        <v>15</v>
      </c>
      <c r="KRH1" s="563"/>
      <c r="KRI1" s="563"/>
      <c r="KRJ1" s="563"/>
      <c r="KRK1" s="563"/>
      <c r="KRL1" s="563"/>
      <c r="KRM1" s="563"/>
      <c r="KRN1" s="563"/>
      <c r="KRO1" s="563" t="s">
        <v>15</v>
      </c>
      <c r="KRP1" s="563"/>
      <c r="KRQ1" s="563"/>
      <c r="KRR1" s="563"/>
      <c r="KRS1" s="563"/>
      <c r="KRT1" s="563"/>
      <c r="KRU1" s="563"/>
      <c r="KRV1" s="563"/>
      <c r="KRW1" s="563" t="s">
        <v>15</v>
      </c>
      <c r="KRX1" s="563"/>
      <c r="KRY1" s="563"/>
      <c r="KRZ1" s="563"/>
      <c r="KSA1" s="563"/>
      <c r="KSB1" s="563"/>
      <c r="KSC1" s="563"/>
      <c r="KSD1" s="563"/>
      <c r="KSE1" s="563" t="s">
        <v>15</v>
      </c>
      <c r="KSF1" s="563"/>
      <c r="KSG1" s="563"/>
      <c r="KSH1" s="563"/>
      <c r="KSI1" s="563"/>
      <c r="KSJ1" s="563"/>
      <c r="KSK1" s="563"/>
      <c r="KSL1" s="563"/>
      <c r="KSM1" s="563" t="s">
        <v>15</v>
      </c>
      <c r="KSN1" s="563"/>
      <c r="KSO1" s="563"/>
      <c r="KSP1" s="563"/>
      <c r="KSQ1" s="563"/>
      <c r="KSR1" s="563"/>
      <c r="KSS1" s="563"/>
      <c r="KST1" s="563"/>
      <c r="KSU1" s="563" t="s">
        <v>15</v>
      </c>
      <c r="KSV1" s="563"/>
      <c r="KSW1" s="563"/>
      <c r="KSX1" s="563"/>
      <c r="KSY1" s="563"/>
      <c r="KSZ1" s="563"/>
      <c r="KTA1" s="563"/>
      <c r="KTB1" s="563"/>
      <c r="KTC1" s="563" t="s">
        <v>15</v>
      </c>
      <c r="KTD1" s="563"/>
      <c r="KTE1" s="563"/>
      <c r="KTF1" s="563"/>
      <c r="KTG1" s="563"/>
      <c r="KTH1" s="563"/>
      <c r="KTI1" s="563"/>
      <c r="KTJ1" s="563"/>
      <c r="KTK1" s="563" t="s">
        <v>15</v>
      </c>
      <c r="KTL1" s="563"/>
      <c r="KTM1" s="563"/>
      <c r="KTN1" s="563"/>
      <c r="KTO1" s="563"/>
      <c r="KTP1" s="563"/>
      <c r="KTQ1" s="563"/>
      <c r="KTR1" s="563"/>
      <c r="KTS1" s="563" t="s">
        <v>15</v>
      </c>
      <c r="KTT1" s="563"/>
      <c r="KTU1" s="563"/>
      <c r="KTV1" s="563"/>
      <c r="KTW1" s="563"/>
      <c r="KTX1" s="563"/>
      <c r="KTY1" s="563"/>
      <c r="KTZ1" s="563"/>
      <c r="KUA1" s="563" t="s">
        <v>15</v>
      </c>
      <c r="KUB1" s="563"/>
      <c r="KUC1" s="563"/>
      <c r="KUD1" s="563"/>
      <c r="KUE1" s="563"/>
      <c r="KUF1" s="563"/>
      <c r="KUG1" s="563"/>
      <c r="KUH1" s="563"/>
      <c r="KUI1" s="563" t="s">
        <v>15</v>
      </c>
      <c r="KUJ1" s="563"/>
      <c r="KUK1" s="563"/>
      <c r="KUL1" s="563"/>
      <c r="KUM1" s="563"/>
      <c r="KUN1" s="563"/>
      <c r="KUO1" s="563"/>
      <c r="KUP1" s="563"/>
      <c r="KUQ1" s="563" t="s">
        <v>15</v>
      </c>
      <c r="KUR1" s="563"/>
      <c r="KUS1" s="563"/>
      <c r="KUT1" s="563"/>
      <c r="KUU1" s="563"/>
      <c r="KUV1" s="563"/>
      <c r="KUW1" s="563"/>
      <c r="KUX1" s="563"/>
      <c r="KUY1" s="563" t="s">
        <v>15</v>
      </c>
      <c r="KUZ1" s="563"/>
      <c r="KVA1" s="563"/>
      <c r="KVB1" s="563"/>
      <c r="KVC1" s="563"/>
      <c r="KVD1" s="563"/>
      <c r="KVE1" s="563"/>
      <c r="KVF1" s="563"/>
      <c r="KVG1" s="563" t="s">
        <v>15</v>
      </c>
      <c r="KVH1" s="563"/>
      <c r="KVI1" s="563"/>
      <c r="KVJ1" s="563"/>
      <c r="KVK1" s="563"/>
      <c r="KVL1" s="563"/>
      <c r="KVM1" s="563"/>
      <c r="KVN1" s="563"/>
      <c r="KVO1" s="563" t="s">
        <v>15</v>
      </c>
      <c r="KVP1" s="563"/>
      <c r="KVQ1" s="563"/>
      <c r="KVR1" s="563"/>
      <c r="KVS1" s="563"/>
      <c r="KVT1" s="563"/>
      <c r="KVU1" s="563"/>
      <c r="KVV1" s="563"/>
      <c r="KVW1" s="563" t="s">
        <v>15</v>
      </c>
      <c r="KVX1" s="563"/>
      <c r="KVY1" s="563"/>
      <c r="KVZ1" s="563"/>
      <c r="KWA1" s="563"/>
      <c r="KWB1" s="563"/>
      <c r="KWC1" s="563"/>
      <c r="KWD1" s="563"/>
      <c r="KWE1" s="563" t="s">
        <v>15</v>
      </c>
      <c r="KWF1" s="563"/>
      <c r="KWG1" s="563"/>
      <c r="KWH1" s="563"/>
      <c r="KWI1" s="563"/>
      <c r="KWJ1" s="563"/>
      <c r="KWK1" s="563"/>
      <c r="KWL1" s="563"/>
      <c r="KWM1" s="563" t="s">
        <v>15</v>
      </c>
      <c r="KWN1" s="563"/>
      <c r="KWO1" s="563"/>
      <c r="KWP1" s="563"/>
      <c r="KWQ1" s="563"/>
      <c r="KWR1" s="563"/>
      <c r="KWS1" s="563"/>
      <c r="KWT1" s="563"/>
      <c r="KWU1" s="563" t="s">
        <v>15</v>
      </c>
      <c r="KWV1" s="563"/>
      <c r="KWW1" s="563"/>
      <c r="KWX1" s="563"/>
      <c r="KWY1" s="563"/>
      <c r="KWZ1" s="563"/>
      <c r="KXA1" s="563"/>
      <c r="KXB1" s="563"/>
      <c r="KXC1" s="563" t="s">
        <v>15</v>
      </c>
      <c r="KXD1" s="563"/>
      <c r="KXE1" s="563"/>
      <c r="KXF1" s="563"/>
      <c r="KXG1" s="563"/>
      <c r="KXH1" s="563"/>
      <c r="KXI1" s="563"/>
      <c r="KXJ1" s="563"/>
      <c r="KXK1" s="563" t="s">
        <v>15</v>
      </c>
      <c r="KXL1" s="563"/>
      <c r="KXM1" s="563"/>
      <c r="KXN1" s="563"/>
      <c r="KXO1" s="563"/>
      <c r="KXP1" s="563"/>
      <c r="KXQ1" s="563"/>
      <c r="KXR1" s="563"/>
      <c r="KXS1" s="563" t="s">
        <v>15</v>
      </c>
      <c r="KXT1" s="563"/>
      <c r="KXU1" s="563"/>
      <c r="KXV1" s="563"/>
      <c r="KXW1" s="563"/>
      <c r="KXX1" s="563"/>
      <c r="KXY1" s="563"/>
      <c r="KXZ1" s="563"/>
      <c r="KYA1" s="563" t="s">
        <v>15</v>
      </c>
      <c r="KYB1" s="563"/>
      <c r="KYC1" s="563"/>
      <c r="KYD1" s="563"/>
      <c r="KYE1" s="563"/>
      <c r="KYF1" s="563"/>
      <c r="KYG1" s="563"/>
      <c r="KYH1" s="563"/>
      <c r="KYI1" s="563" t="s">
        <v>15</v>
      </c>
      <c r="KYJ1" s="563"/>
      <c r="KYK1" s="563"/>
      <c r="KYL1" s="563"/>
      <c r="KYM1" s="563"/>
      <c r="KYN1" s="563"/>
      <c r="KYO1" s="563"/>
      <c r="KYP1" s="563"/>
      <c r="KYQ1" s="563" t="s">
        <v>15</v>
      </c>
      <c r="KYR1" s="563"/>
      <c r="KYS1" s="563"/>
      <c r="KYT1" s="563"/>
      <c r="KYU1" s="563"/>
      <c r="KYV1" s="563"/>
      <c r="KYW1" s="563"/>
      <c r="KYX1" s="563"/>
      <c r="KYY1" s="563" t="s">
        <v>15</v>
      </c>
      <c r="KYZ1" s="563"/>
      <c r="KZA1" s="563"/>
      <c r="KZB1" s="563"/>
      <c r="KZC1" s="563"/>
      <c r="KZD1" s="563"/>
      <c r="KZE1" s="563"/>
      <c r="KZF1" s="563"/>
      <c r="KZG1" s="563" t="s">
        <v>15</v>
      </c>
      <c r="KZH1" s="563"/>
      <c r="KZI1" s="563"/>
      <c r="KZJ1" s="563"/>
      <c r="KZK1" s="563"/>
      <c r="KZL1" s="563"/>
      <c r="KZM1" s="563"/>
      <c r="KZN1" s="563"/>
      <c r="KZO1" s="563" t="s">
        <v>15</v>
      </c>
      <c r="KZP1" s="563"/>
      <c r="KZQ1" s="563"/>
      <c r="KZR1" s="563"/>
      <c r="KZS1" s="563"/>
      <c r="KZT1" s="563"/>
      <c r="KZU1" s="563"/>
      <c r="KZV1" s="563"/>
      <c r="KZW1" s="563" t="s">
        <v>15</v>
      </c>
      <c r="KZX1" s="563"/>
      <c r="KZY1" s="563"/>
      <c r="KZZ1" s="563"/>
      <c r="LAA1" s="563"/>
      <c r="LAB1" s="563"/>
      <c r="LAC1" s="563"/>
      <c r="LAD1" s="563"/>
      <c r="LAE1" s="563" t="s">
        <v>15</v>
      </c>
      <c r="LAF1" s="563"/>
      <c r="LAG1" s="563"/>
      <c r="LAH1" s="563"/>
      <c r="LAI1" s="563"/>
      <c r="LAJ1" s="563"/>
      <c r="LAK1" s="563"/>
      <c r="LAL1" s="563"/>
      <c r="LAM1" s="563" t="s">
        <v>15</v>
      </c>
      <c r="LAN1" s="563"/>
      <c r="LAO1" s="563"/>
      <c r="LAP1" s="563"/>
      <c r="LAQ1" s="563"/>
      <c r="LAR1" s="563"/>
      <c r="LAS1" s="563"/>
      <c r="LAT1" s="563"/>
      <c r="LAU1" s="563" t="s">
        <v>15</v>
      </c>
      <c r="LAV1" s="563"/>
      <c r="LAW1" s="563"/>
      <c r="LAX1" s="563"/>
      <c r="LAY1" s="563"/>
      <c r="LAZ1" s="563"/>
      <c r="LBA1" s="563"/>
      <c r="LBB1" s="563"/>
      <c r="LBC1" s="563" t="s">
        <v>15</v>
      </c>
      <c r="LBD1" s="563"/>
      <c r="LBE1" s="563"/>
      <c r="LBF1" s="563"/>
      <c r="LBG1" s="563"/>
      <c r="LBH1" s="563"/>
      <c r="LBI1" s="563"/>
      <c r="LBJ1" s="563"/>
      <c r="LBK1" s="563" t="s">
        <v>15</v>
      </c>
      <c r="LBL1" s="563"/>
      <c r="LBM1" s="563"/>
      <c r="LBN1" s="563"/>
      <c r="LBO1" s="563"/>
      <c r="LBP1" s="563"/>
      <c r="LBQ1" s="563"/>
      <c r="LBR1" s="563"/>
      <c r="LBS1" s="563" t="s">
        <v>15</v>
      </c>
      <c r="LBT1" s="563"/>
      <c r="LBU1" s="563"/>
      <c r="LBV1" s="563"/>
      <c r="LBW1" s="563"/>
      <c r="LBX1" s="563"/>
      <c r="LBY1" s="563"/>
      <c r="LBZ1" s="563"/>
      <c r="LCA1" s="563" t="s">
        <v>15</v>
      </c>
      <c r="LCB1" s="563"/>
      <c r="LCC1" s="563"/>
      <c r="LCD1" s="563"/>
      <c r="LCE1" s="563"/>
      <c r="LCF1" s="563"/>
      <c r="LCG1" s="563"/>
      <c r="LCH1" s="563"/>
      <c r="LCI1" s="563" t="s">
        <v>15</v>
      </c>
      <c r="LCJ1" s="563"/>
      <c r="LCK1" s="563"/>
      <c r="LCL1" s="563"/>
      <c r="LCM1" s="563"/>
      <c r="LCN1" s="563"/>
      <c r="LCO1" s="563"/>
      <c r="LCP1" s="563"/>
      <c r="LCQ1" s="563" t="s">
        <v>15</v>
      </c>
      <c r="LCR1" s="563"/>
      <c r="LCS1" s="563"/>
      <c r="LCT1" s="563"/>
      <c r="LCU1" s="563"/>
      <c r="LCV1" s="563"/>
      <c r="LCW1" s="563"/>
      <c r="LCX1" s="563"/>
      <c r="LCY1" s="563" t="s">
        <v>15</v>
      </c>
      <c r="LCZ1" s="563"/>
      <c r="LDA1" s="563"/>
      <c r="LDB1" s="563"/>
      <c r="LDC1" s="563"/>
      <c r="LDD1" s="563"/>
      <c r="LDE1" s="563"/>
      <c r="LDF1" s="563"/>
      <c r="LDG1" s="563" t="s">
        <v>15</v>
      </c>
      <c r="LDH1" s="563"/>
      <c r="LDI1" s="563"/>
      <c r="LDJ1" s="563"/>
      <c r="LDK1" s="563"/>
      <c r="LDL1" s="563"/>
      <c r="LDM1" s="563"/>
      <c r="LDN1" s="563"/>
      <c r="LDO1" s="563" t="s">
        <v>15</v>
      </c>
      <c r="LDP1" s="563"/>
      <c r="LDQ1" s="563"/>
      <c r="LDR1" s="563"/>
      <c r="LDS1" s="563"/>
      <c r="LDT1" s="563"/>
      <c r="LDU1" s="563"/>
      <c r="LDV1" s="563"/>
      <c r="LDW1" s="563" t="s">
        <v>15</v>
      </c>
      <c r="LDX1" s="563"/>
      <c r="LDY1" s="563"/>
      <c r="LDZ1" s="563"/>
      <c r="LEA1" s="563"/>
      <c r="LEB1" s="563"/>
      <c r="LEC1" s="563"/>
      <c r="LED1" s="563"/>
      <c r="LEE1" s="563" t="s">
        <v>15</v>
      </c>
      <c r="LEF1" s="563"/>
      <c r="LEG1" s="563"/>
      <c r="LEH1" s="563"/>
      <c r="LEI1" s="563"/>
      <c r="LEJ1" s="563"/>
      <c r="LEK1" s="563"/>
      <c r="LEL1" s="563"/>
      <c r="LEM1" s="563" t="s">
        <v>15</v>
      </c>
      <c r="LEN1" s="563"/>
      <c r="LEO1" s="563"/>
      <c r="LEP1" s="563"/>
      <c r="LEQ1" s="563"/>
      <c r="LER1" s="563"/>
      <c r="LES1" s="563"/>
      <c r="LET1" s="563"/>
      <c r="LEU1" s="563" t="s">
        <v>15</v>
      </c>
      <c r="LEV1" s="563"/>
      <c r="LEW1" s="563"/>
      <c r="LEX1" s="563"/>
      <c r="LEY1" s="563"/>
      <c r="LEZ1" s="563"/>
      <c r="LFA1" s="563"/>
      <c r="LFB1" s="563"/>
      <c r="LFC1" s="563" t="s">
        <v>15</v>
      </c>
      <c r="LFD1" s="563"/>
      <c r="LFE1" s="563"/>
      <c r="LFF1" s="563"/>
      <c r="LFG1" s="563"/>
      <c r="LFH1" s="563"/>
      <c r="LFI1" s="563"/>
      <c r="LFJ1" s="563"/>
      <c r="LFK1" s="563" t="s">
        <v>15</v>
      </c>
      <c r="LFL1" s="563"/>
      <c r="LFM1" s="563"/>
      <c r="LFN1" s="563"/>
      <c r="LFO1" s="563"/>
      <c r="LFP1" s="563"/>
      <c r="LFQ1" s="563"/>
      <c r="LFR1" s="563"/>
      <c r="LFS1" s="563" t="s">
        <v>15</v>
      </c>
      <c r="LFT1" s="563"/>
      <c r="LFU1" s="563"/>
      <c r="LFV1" s="563"/>
      <c r="LFW1" s="563"/>
      <c r="LFX1" s="563"/>
      <c r="LFY1" s="563"/>
      <c r="LFZ1" s="563"/>
      <c r="LGA1" s="563" t="s">
        <v>15</v>
      </c>
      <c r="LGB1" s="563"/>
      <c r="LGC1" s="563"/>
      <c r="LGD1" s="563"/>
      <c r="LGE1" s="563"/>
      <c r="LGF1" s="563"/>
      <c r="LGG1" s="563"/>
      <c r="LGH1" s="563"/>
      <c r="LGI1" s="563" t="s">
        <v>15</v>
      </c>
      <c r="LGJ1" s="563"/>
      <c r="LGK1" s="563"/>
      <c r="LGL1" s="563"/>
      <c r="LGM1" s="563"/>
      <c r="LGN1" s="563"/>
      <c r="LGO1" s="563"/>
      <c r="LGP1" s="563"/>
      <c r="LGQ1" s="563" t="s">
        <v>15</v>
      </c>
      <c r="LGR1" s="563"/>
      <c r="LGS1" s="563"/>
      <c r="LGT1" s="563"/>
      <c r="LGU1" s="563"/>
      <c r="LGV1" s="563"/>
      <c r="LGW1" s="563"/>
      <c r="LGX1" s="563"/>
      <c r="LGY1" s="563" t="s">
        <v>15</v>
      </c>
      <c r="LGZ1" s="563"/>
      <c r="LHA1" s="563"/>
      <c r="LHB1" s="563"/>
      <c r="LHC1" s="563"/>
      <c r="LHD1" s="563"/>
      <c r="LHE1" s="563"/>
      <c r="LHF1" s="563"/>
      <c r="LHG1" s="563" t="s">
        <v>15</v>
      </c>
      <c r="LHH1" s="563"/>
      <c r="LHI1" s="563"/>
      <c r="LHJ1" s="563"/>
      <c r="LHK1" s="563"/>
      <c r="LHL1" s="563"/>
      <c r="LHM1" s="563"/>
      <c r="LHN1" s="563"/>
      <c r="LHO1" s="563" t="s">
        <v>15</v>
      </c>
      <c r="LHP1" s="563"/>
      <c r="LHQ1" s="563"/>
      <c r="LHR1" s="563"/>
      <c r="LHS1" s="563"/>
      <c r="LHT1" s="563"/>
      <c r="LHU1" s="563"/>
      <c r="LHV1" s="563"/>
      <c r="LHW1" s="563" t="s">
        <v>15</v>
      </c>
      <c r="LHX1" s="563"/>
      <c r="LHY1" s="563"/>
      <c r="LHZ1" s="563"/>
      <c r="LIA1" s="563"/>
      <c r="LIB1" s="563"/>
      <c r="LIC1" s="563"/>
      <c r="LID1" s="563"/>
      <c r="LIE1" s="563" t="s">
        <v>15</v>
      </c>
      <c r="LIF1" s="563"/>
      <c r="LIG1" s="563"/>
      <c r="LIH1" s="563"/>
      <c r="LII1" s="563"/>
      <c r="LIJ1" s="563"/>
      <c r="LIK1" s="563"/>
      <c r="LIL1" s="563"/>
      <c r="LIM1" s="563" t="s">
        <v>15</v>
      </c>
      <c r="LIN1" s="563"/>
      <c r="LIO1" s="563"/>
      <c r="LIP1" s="563"/>
      <c r="LIQ1" s="563"/>
      <c r="LIR1" s="563"/>
      <c r="LIS1" s="563"/>
      <c r="LIT1" s="563"/>
      <c r="LIU1" s="563" t="s">
        <v>15</v>
      </c>
      <c r="LIV1" s="563"/>
      <c r="LIW1" s="563"/>
      <c r="LIX1" s="563"/>
      <c r="LIY1" s="563"/>
      <c r="LIZ1" s="563"/>
      <c r="LJA1" s="563"/>
      <c r="LJB1" s="563"/>
      <c r="LJC1" s="563" t="s">
        <v>15</v>
      </c>
      <c r="LJD1" s="563"/>
      <c r="LJE1" s="563"/>
      <c r="LJF1" s="563"/>
      <c r="LJG1" s="563"/>
      <c r="LJH1" s="563"/>
      <c r="LJI1" s="563"/>
      <c r="LJJ1" s="563"/>
      <c r="LJK1" s="563" t="s">
        <v>15</v>
      </c>
      <c r="LJL1" s="563"/>
      <c r="LJM1" s="563"/>
      <c r="LJN1" s="563"/>
      <c r="LJO1" s="563"/>
      <c r="LJP1" s="563"/>
      <c r="LJQ1" s="563"/>
      <c r="LJR1" s="563"/>
      <c r="LJS1" s="563" t="s">
        <v>15</v>
      </c>
      <c r="LJT1" s="563"/>
      <c r="LJU1" s="563"/>
      <c r="LJV1" s="563"/>
      <c r="LJW1" s="563"/>
      <c r="LJX1" s="563"/>
      <c r="LJY1" s="563"/>
      <c r="LJZ1" s="563"/>
      <c r="LKA1" s="563" t="s">
        <v>15</v>
      </c>
      <c r="LKB1" s="563"/>
      <c r="LKC1" s="563"/>
      <c r="LKD1" s="563"/>
      <c r="LKE1" s="563"/>
      <c r="LKF1" s="563"/>
      <c r="LKG1" s="563"/>
      <c r="LKH1" s="563"/>
      <c r="LKI1" s="563" t="s">
        <v>15</v>
      </c>
      <c r="LKJ1" s="563"/>
      <c r="LKK1" s="563"/>
      <c r="LKL1" s="563"/>
      <c r="LKM1" s="563"/>
      <c r="LKN1" s="563"/>
      <c r="LKO1" s="563"/>
      <c r="LKP1" s="563"/>
      <c r="LKQ1" s="563" t="s">
        <v>15</v>
      </c>
      <c r="LKR1" s="563"/>
      <c r="LKS1" s="563"/>
      <c r="LKT1" s="563"/>
      <c r="LKU1" s="563"/>
      <c r="LKV1" s="563"/>
      <c r="LKW1" s="563"/>
      <c r="LKX1" s="563"/>
      <c r="LKY1" s="563" t="s">
        <v>15</v>
      </c>
      <c r="LKZ1" s="563"/>
      <c r="LLA1" s="563"/>
      <c r="LLB1" s="563"/>
      <c r="LLC1" s="563"/>
      <c r="LLD1" s="563"/>
      <c r="LLE1" s="563"/>
      <c r="LLF1" s="563"/>
      <c r="LLG1" s="563" t="s">
        <v>15</v>
      </c>
      <c r="LLH1" s="563"/>
      <c r="LLI1" s="563"/>
      <c r="LLJ1" s="563"/>
      <c r="LLK1" s="563"/>
      <c r="LLL1" s="563"/>
      <c r="LLM1" s="563"/>
      <c r="LLN1" s="563"/>
      <c r="LLO1" s="563" t="s">
        <v>15</v>
      </c>
      <c r="LLP1" s="563"/>
      <c r="LLQ1" s="563"/>
      <c r="LLR1" s="563"/>
      <c r="LLS1" s="563"/>
      <c r="LLT1" s="563"/>
      <c r="LLU1" s="563"/>
      <c r="LLV1" s="563"/>
      <c r="LLW1" s="563" t="s">
        <v>15</v>
      </c>
      <c r="LLX1" s="563"/>
      <c r="LLY1" s="563"/>
      <c r="LLZ1" s="563"/>
      <c r="LMA1" s="563"/>
      <c r="LMB1" s="563"/>
      <c r="LMC1" s="563"/>
      <c r="LMD1" s="563"/>
      <c r="LME1" s="563" t="s">
        <v>15</v>
      </c>
      <c r="LMF1" s="563"/>
      <c r="LMG1" s="563"/>
      <c r="LMH1" s="563"/>
      <c r="LMI1" s="563"/>
      <c r="LMJ1" s="563"/>
      <c r="LMK1" s="563"/>
      <c r="LML1" s="563"/>
      <c r="LMM1" s="563" t="s">
        <v>15</v>
      </c>
      <c r="LMN1" s="563"/>
      <c r="LMO1" s="563"/>
      <c r="LMP1" s="563"/>
      <c r="LMQ1" s="563"/>
      <c r="LMR1" s="563"/>
      <c r="LMS1" s="563"/>
      <c r="LMT1" s="563"/>
      <c r="LMU1" s="563" t="s">
        <v>15</v>
      </c>
      <c r="LMV1" s="563"/>
      <c r="LMW1" s="563"/>
      <c r="LMX1" s="563"/>
      <c r="LMY1" s="563"/>
      <c r="LMZ1" s="563"/>
      <c r="LNA1" s="563"/>
      <c r="LNB1" s="563"/>
      <c r="LNC1" s="563" t="s">
        <v>15</v>
      </c>
      <c r="LND1" s="563"/>
      <c r="LNE1" s="563"/>
      <c r="LNF1" s="563"/>
      <c r="LNG1" s="563"/>
      <c r="LNH1" s="563"/>
      <c r="LNI1" s="563"/>
      <c r="LNJ1" s="563"/>
      <c r="LNK1" s="563" t="s">
        <v>15</v>
      </c>
      <c r="LNL1" s="563"/>
      <c r="LNM1" s="563"/>
      <c r="LNN1" s="563"/>
      <c r="LNO1" s="563"/>
      <c r="LNP1" s="563"/>
      <c r="LNQ1" s="563"/>
      <c r="LNR1" s="563"/>
      <c r="LNS1" s="563" t="s">
        <v>15</v>
      </c>
      <c r="LNT1" s="563"/>
      <c r="LNU1" s="563"/>
      <c r="LNV1" s="563"/>
      <c r="LNW1" s="563"/>
      <c r="LNX1" s="563"/>
      <c r="LNY1" s="563"/>
      <c r="LNZ1" s="563"/>
      <c r="LOA1" s="563" t="s">
        <v>15</v>
      </c>
      <c r="LOB1" s="563"/>
      <c r="LOC1" s="563"/>
      <c r="LOD1" s="563"/>
      <c r="LOE1" s="563"/>
      <c r="LOF1" s="563"/>
      <c r="LOG1" s="563"/>
      <c r="LOH1" s="563"/>
      <c r="LOI1" s="563" t="s">
        <v>15</v>
      </c>
      <c r="LOJ1" s="563"/>
      <c r="LOK1" s="563"/>
      <c r="LOL1" s="563"/>
      <c r="LOM1" s="563"/>
      <c r="LON1" s="563"/>
      <c r="LOO1" s="563"/>
      <c r="LOP1" s="563"/>
      <c r="LOQ1" s="563" t="s">
        <v>15</v>
      </c>
      <c r="LOR1" s="563"/>
      <c r="LOS1" s="563"/>
      <c r="LOT1" s="563"/>
      <c r="LOU1" s="563"/>
      <c r="LOV1" s="563"/>
      <c r="LOW1" s="563"/>
      <c r="LOX1" s="563"/>
      <c r="LOY1" s="563" t="s">
        <v>15</v>
      </c>
      <c r="LOZ1" s="563"/>
      <c r="LPA1" s="563"/>
      <c r="LPB1" s="563"/>
      <c r="LPC1" s="563"/>
      <c r="LPD1" s="563"/>
      <c r="LPE1" s="563"/>
      <c r="LPF1" s="563"/>
      <c r="LPG1" s="563" t="s">
        <v>15</v>
      </c>
      <c r="LPH1" s="563"/>
      <c r="LPI1" s="563"/>
      <c r="LPJ1" s="563"/>
      <c r="LPK1" s="563"/>
      <c r="LPL1" s="563"/>
      <c r="LPM1" s="563"/>
      <c r="LPN1" s="563"/>
      <c r="LPO1" s="563" t="s">
        <v>15</v>
      </c>
      <c r="LPP1" s="563"/>
      <c r="LPQ1" s="563"/>
      <c r="LPR1" s="563"/>
      <c r="LPS1" s="563"/>
      <c r="LPT1" s="563"/>
      <c r="LPU1" s="563"/>
      <c r="LPV1" s="563"/>
      <c r="LPW1" s="563" t="s">
        <v>15</v>
      </c>
      <c r="LPX1" s="563"/>
      <c r="LPY1" s="563"/>
      <c r="LPZ1" s="563"/>
      <c r="LQA1" s="563"/>
      <c r="LQB1" s="563"/>
      <c r="LQC1" s="563"/>
      <c r="LQD1" s="563"/>
      <c r="LQE1" s="563" t="s">
        <v>15</v>
      </c>
      <c r="LQF1" s="563"/>
      <c r="LQG1" s="563"/>
      <c r="LQH1" s="563"/>
      <c r="LQI1" s="563"/>
      <c r="LQJ1" s="563"/>
      <c r="LQK1" s="563"/>
      <c r="LQL1" s="563"/>
      <c r="LQM1" s="563" t="s">
        <v>15</v>
      </c>
      <c r="LQN1" s="563"/>
      <c r="LQO1" s="563"/>
      <c r="LQP1" s="563"/>
      <c r="LQQ1" s="563"/>
      <c r="LQR1" s="563"/>
      <c r="LQS1" s="563"/>
      <c r="LQT1" s="563"/>
      <c r="LQU1" s="563" t="s">
        <v>15</v>
      </c>
      <c r="LQV1" s="563"/>
      <c r="LQW1" s="563"/>
      <c r="LQX1" s="563"/>
      <c r="LQY1" s="563"/>
      <c r="LQZ1" s="563"/>
      <c r="LRA1" s="563"/>
      <c r="LRB1" s="563"/>
      <c r="LRC1" s="563" t="s">
        <v>15</v>
      </c>
      <c r="LRD1" s="563"/>
      <c r="LRE1" s="563"/>
      <c r="LRF1" s="563"/>
      <c r="LRG1" s="563"/>
      <c r="LRH1" s="563"/>
      <c r="LRI1" s="563"/>
      <c r="LRJ1" s="563"/>
      <c r="LRK1" s="563" t="s">
        <v>15</v>
      </c>
      <c r="LRL1" s="563"/>
      <c r="LRM1" s="563"/>
      <c r="LRN1" s="563"/>
      <c r="LRO1" s="563"/>
      <c r="LRP1" s="563"/>
      <c r="LRQ1" s="563"/>
      <c r="LRR1" s="563"/>
      <c r="LRS1" s="563" t="s">
        <v>15</v>
      </c>
      <c r="LRT1" s="563"/>
      <c r="LRU1" s="563"/>
      <c r="LRV1" s="563"/>
      <c r="LRW1" s="563"/>
      <c r="LRX1" s="563"/>
      <c r="LRY1" s="563"/>
      <c r="LRZ1" s="563"/>
      <c r="LSA1" s="563" t="s">
        <v>15</v>
      </c>
      <c r="LSB1" s="563"/>
      <c r="LSC1" s="563"/>
      <c r="LSD1" s="563"/>
      <c r="LSE1" s="563"/>
      <c r="LSF1" s="563"/>
      <c r="LSG1" s="563"/>
      <c r="LSH1" s="563"/>
      <c r="LSI1" s="563" t="s">
        <v>15</v>
      </c>
      <c r="LSJ1" s="563"/>
      <c r="LSK1" s="563"/>
      <c r="LSL1" s="563"/>
      <c r="LSM1" s="563"/>
      <c r="LSN1" s="563"/>
      <c r="LSO1" s="563"/>
      <c r="LSP1" s="563"/>
      <c r="LSQ1" s="563" t="s">
        <v>15</v>
      </c>
      <c r="LSR1" s="563"/>
      <c r="LSS1" s="563"/>
      <c r="LST1" s="563"/>
      <c r="LSU1" s="563"/>
      <c r="LSV1" s="563"/>
      <c r="LSW1" s="563"/>
      <c r="LSX1" s="563"/>
      <c r="LSY1" s="563" t="s">
        <v>15</v>
      </c>
      <c r="LSZ1" s="563"/>
      <c r="LTA1" s="563"/>
      <c r="LTB1" s="563"/>
      <c r="LTC1" s="563"/>
      <c r="LTD1" s="563"/>
      <c r="LTE1" s="563"/>
      <c r="LTF1" s="563"/>
      <c r="LTG1" s="563" t="s">
        <v>15</v>
      </c>
      <c r="LTH1" s="563"/>
      <c r="LTI1" s="563"/>
      <c r="LTJ1" s="563"/>
      <c r="LTK1" s="563"/>
      <c r="LTL1" s="563"/>
      <c r="LTM1" s="563"/>
      <c r="LTN1" s="563"/>
      <c r="LTO1" s="563" t="s">
        <v>15</v>
      </c>
      <c r="LTP1" s="563"/>
      <c r="LTQ1" s="563"/>
      <c r="LTR1" s="563"/>
      <c r="LTS1" s="563"/>
      <c r="LTT1" s="563"/>
      <c r="LTU1" s="563"/>
      <c r="LTV1" s="563"/>
      <c r="LTW1" s="563" t="s">
        <v>15</v>
      </c>
      <c r="LTX1" s="563"/>
      <c r="LTY1" s="563"/>
      <c r="LTZ1" s="563"/>
      <c r="LUA1" s="563"/>
      <c r="LUB1" s="563"/>
      <c r="LUC1" s="563"/>
      <c r="LUD1" s="563"/>
      <c r="LUE1" s="563" t="s">
        <v>15</v>
      </c>
      <c r="LUF1" s="563"/>
      <c r="LUG1" s="563"/>
      <c r="LUH1" s="563"/>
      <c r="LUI1" s="563"/>
      <c r="LUJ1" s="563"/>
      <c r="LUK1" s="563"/>
      <c r="LUL1" s="563"/>
      <c r="LUM1" s="563" t="s">
        <v>15</v>
      </c>
      <c r="LUN1" s="563"/>
      <c r="LUO1" s="563"/>
      <c r="LUP1" s="563"/>
      <c r="LUQ1" s="563"/>
      <c r="LUR1" s="563"/>
      <c r="LUS1" s="563"/>
      <c r="LUT1" s="563"/>
      <c r="LUU1" s="563" t="s">
        <v>15</v>
      </c>
      <c r="LUV1" s="563"/>
      <c r="LUW1" s="563"/>
      <c r="LUX1" s="563"/>
      <c r="LUY1" s="563"/>
      <c r="LUZ1" s="563"/>
      <c r="LVA1" s="563"/>
      <c r="LVB1" s="563"/>
      <c r="LVC1" s="563" t="s">
        <v>15</v>
      </c>
      <c r="LVD1" s="563"/>
      <c r="LVE1" s="563"/>
      <c r="LVF1" s="563"/>
      <c r="LVG1" s="563"/>
      <c r="LVH1" s="563"/>
      <c r="LVI1" s="563"/>
      <c r="LVJ1" s="563"/>
      <c r="LVK1" s="563" t="s">
        <v>15</v>
      </c>
      <c r="LVL1" s="563"/>
      <c r="LVM1" s="563"/>
      <c r="LVN1" s="563"/>
      <c r="LVO1" s="563"/>
      <c r="LVP1" s="563"/>
      <c r="LVQ1" s="563"/>
      <c r="LVR1" s="563"/>
      <c r="LVS1" s="563" t="s">
        <v>15</v>
      </c>
      <c r="LVT1" s="563"/>
      <c r="LVU1" s="563"/>
      <c r="LVV1" s="563"/>
      <c r="LVW1" s="563"/>
      <c r="LVX1" s="563"/>
      <c r="LVY1" s="563"/>
      <c r="LVZ1" s="563"/>
      <c r="LWA1" s="563" t="s">
        <v>15</v>
      </c>
      <c r="LWB1" s="563"/>
      <c r="LWC1" s="563"/>
      <c r="LWD1" s="563"/>
      <c r="LWE1" s="563"/>
      <c r="LWF1" s="563"/>
      <c r="LWG1" s="563"/>
      <c r="LWH1" s="563"/>
      <c r="LWI1" s="563" t="s">
        <v>15</v>
      </c>
      <c r="LWJ1" s="563"/>
      <c r="LWK1" s="563"/>
      <c r="LWL1" s="563"/>
      <c r="LWM1" s="563"/>
      <c r="LWN1" s="563"/>
      <c r="LWO1" s="563"/>
      <c r="LWP1" s="563"/>
      <c r="LWQ1" s="563" t="s">
        <v>15</v>
      </c>
      <c r="LWR1" s="563"/>
      <c r="LWS1" s="563"/>
      <c r="LWT1" s="563"/>
      <c r="LWU1" s="563"/>
      <c r="LWV1" s="563"/>
      <c r="LWW1" s="563"/>
      <c r="LWX1" s="563"/>
      <c r="LWY1" s="563" t="s">
        <v>15</v>
      </c>
      <c r="LWZ1" s="563"/>
      <c r="LXA1" s="563"/>
      <c r="LXB1" s="563"/>
      <c r="LXC1" s="563"/>
      <c r="LXD1" s="563"/>
      <c r="LXE1" s="563"/>
      <c r="LXF1" s="563"/>
      <c r="LXG1" s="563" t="s">
        <v>15</v>
      </c>
      <c r="LXH1" s="563"/>
      <c r="LXI1" s="563"/>
      <c r="LXJ1" s="563"/>
      <c r="LXK1" s="563"/>
      <c r="LXL1" s="563"/>
      <c r="LXM1" s="563"/>
      <c r="LXN1" s="563"/>
      <c r="LXO1" s="563" t="s">
        <v>15</v>
      </c>
      <c r="LXP1" s="563"/>
      <c r="LXQ1" s="563"/>
      <c r="LXR1" s="563"/>
      <c r="LXS1" s="563"/>
      <c r="LXT1" s="563"/>
      <c r="LXU1" s="563"/>
      <c r="LXV1" s="563"/>
      <c r="LXW1" s="563" t="s">
        <v>15</v>
      </c>
      <c r="LXX1" s="563"/>
      <c r="LXY1" s="563"/>
      <c r="LXZ1" s="563"/>
      <c r="LYA1" s="563"/>
      <c r="LYB1" s="563"/>
      <c r="LYC1" s="563"/>
      <c r="LYD1" s="563"/>
      <c r="LYE1" s="563" t="s">
        <v>15</v>
      </c>
      <c r="LYF1" s="563"/>
      <c r="LYG1" s="563"/>
      <c r="LYH1" s="563"/>
      <c r="LYI1" s="563"/>
      <c r="LYJ1" s="563"/>
      <c r="LYK1" s="563"/>
      <c r="LYL1" s="563"/>
      <c r="LYM1" s="563" t="s">
        <v>15</v>
      </c>
      <c r="LYN1" s="563"/>
      <c r="LYO1" s="563"/>
      <c r="LYP1" s="563"/>
      <c r="LYQ1" s="563"/>
      <c r="LYR1" s="563"/>
      <c r="LYS1" s="563"/>
      <c r="LYT1" s="563"/>
      <c r="LYU1" s="563" t="s">
        <v>15</v>
      </c>
      <c r="LYV1" s="563"/>
      <c r="LYW1" s="563"/>
      <c r="LYX1" s="563"/>
      <c r="LYY1" s="563"/>
      <c r="LYZ1" s="563"/>
      <c r="LZA1" s="563"/>
      <c r="LZB1" s="563"/>
      <c r="LZC1" s="563" t="s">
        <v>15</v>
      </c>
      <c r="LZD1" s="563"/>
      <c r="LZE1" s="563"/>
      <c r="LZF1" s="563"/>
      <c r="LZG1" s="563"/>
      <c r="LZH1" s="563"/>
      <c r="LZI1" s="563"/>
      <c r="LZJ1" s="563"/>
      <c r="LZK1" s="563" t="s">
        <v>15</v>
      </c>
      <c r="LZL1" s="563"/>
      <c r="LZM1" s="563"/>
      <c r="LZN1" s="563"/>
      <c r="LZO1" s="563"/>
      <c r="LZP1" s="563"/>
      <c r="LZQ1" s="563"/>
      <c r="LZR1" s="563"/>
      <c r="LZS1" s="563" t="s">
        <v>15</v>
      </c>
      <c r="LZT1" s="563"/>
      <c r="LZU1" s="563"/>
      <c r="LZV1" s="563"/>
      <c r="LZW1" s="563"/>
      <c r="LZX1" s="563"/>
      <c r="LZY1" s="563"/>
      <c r="LZZ1" s="563"/>
      <c r="MAA1" s="563" t="s">
        <v>15</v>
      </c>
      <c r="MAB1" s="563"/>
      <c r="MAC1" s="563"/>
      <c r="MAD1" s="563"/>
      <c r="MAE1" s="563"/>
      <c r="MAF1" s="563"/>
      <c r="MAG1" s="563"/>
      <c r="MAH1" s="563"/>
      <c r="MAI1" s="563" t="s">
        <v>15</v>
      </c>
      <c r="MAJ1" s="563"/>
      <c r="MAK1" s="563"/>
      <c r="MAL1" s="563"/>
      <c r="MAM1" s="563"/>
      <c r="MAN1" s="563"/>
      <c r="MAO1" s="563"/>
      <c r="MAP1" s="563"/>
      <c r="MAQ1" s="563" t="s">
        <v>15</v>
      </c>
      <c r="MAR1" s="563"/>
      <c r="MAS1" s="563"/>
      <c r="MAT1" s="563"/>
      <c r="MAU1" s="563"/>
      <c r="MAV1" s="563"/>
      <c r="MAW1" s="563"/>
      <c r="MAX1" s="563"/>
      <c r="MAY1" s="563" t="s">
        <v>15</v>
      </c>
      <c r="MAZ1" s="563"/>
      <c r="MBA1" s="563"/>
      <c r="MBB1" s="563"/>
      <c r="MBC1" s="563"/>
      <c r="MBD1" s="563"/>
      <c r="MBE1" s="563"/>
      <c r="MBF1" s="563"/>
      <c r="MBG1" s="563" t="s">
        <v>15</v>
      </c>
      <c r="MBH1" s="563"/>
      <c r="MBI1" s="563"/>
      <c r="MBJ1" s="563"/>
      <c r="MBK1" s="563"/>
      <c r="MBL1" s="563"/>
      <c r="MBM1" s="563"/>
      <c r="MBN1" s="563"/>
      <c r="MBO1" s="563" t="s">
        <v>15</v>
      </c>
      <c r="MBP1" s="563"/>
      <c r="MBQ1" s="563"/>
      <c r="MBR1" s="563"/>
      <c r="MBS1" s="563"/>
      <c r="MBT1" s="563"/>
      <c r="MBU1" s="563"/>
      <c r="MBV1" s="563"/>
      <c r="MBW1" s="563" t="s">
        <v>15</v>
      </c>
      <c r="MBX1" s="563"/>
      <c r="MBY1" s="563"/>
      <c r="MBZ1" s="563"/>
      <c r="MCA1" s="563"/>
      <c r="MCB1" s="563"/>
      <c r="MCC1" s="563"/>
      <c r="MCD1" s="563"/>
      <c r="MCE1" s="563" t="s">
        <v>15</v>
      </c>
      <c r="MCF1" s="563"/>
      <c r="MCG1" s="563"/>
      <c r="MCH1" s="563"/>
      <c r="MCI1" s="563"/>
      <c r="MCJ1" s="563"/>
      <c r="MCK1" s="563"/>
      <c r="MCL1" s="563"/>
      <c r="MCM1" s="563" t="s">
        <v>15</v>
      </c>
      <c r="MCN1" s="563"/>
      <c r="MCO1" s="563"/>
      <c r="MCP1" s="563"/>
      <c r="MCQ1" s="563"/>
      <c r="MCR1" s="563"/>
      <c r="MCS1" s="563"/>
      <c r="MCT1" s="563"/>
      <c r="MCU1" s="563" t="s">
        <v>15</v>
      </c>
      <c r="MCV1" s="563"/>
      <c r="MCW1" s="563"/>
      <c r="MCX1" s="563"/>
      <c r="MCY1" s="563"/>
      <c r="MCZ1" s="563"/>
      <c r="MDA1" s="563"/>
      <c r="MDB1" s="563"/>
      <c r="MDC1" s="563" t="s">
        <v>15</v>
      </c>
      <c r="MDD1" s="563"/>
      <c r="MDE1" s="563"/>
      <c r="MDF1" s="563"/>
      <c r="MDG1" s="563"/>
      <c r="MDH1" s="563"/>
      <c r="MDI1" s="563"/>
      <c r="MDJ1" s="563"/>
      <c r="MDK1" s="563" t="s">
        <v>15</v>
      </c>
      <c r="MDL1" s="563"/>
      <c r="MDM1" s="563"/>
      <c r="MDN1" s="563"/>
      <c r="MDO1" s="563"/>
      <c r="MDP1" s="563"/>
      <c r="MDQ1" s="563"/>
      <c r="MDR1" s="563"/>
      <c r="MDS1" s="563" t="s">
        <v>15</v>
      </c>
      <c r="MDT1" s="563"/>
      <c r="MDU1" s="563"/>
      <c r="MDV1" s="563"/>
      <c r="MDW1" s="563"/>
      <c r="MDX1" s="563"/>
      <c r="MDY1" s="563"/>
      <c r="MDZ1" s="563"/>
      <c r="MEA1" s="563" t="s">
        <v>15</v>
      </c>
      <c r="MEB1" s="563"/>
      <c r="MEC1" s="563"/>
      <c r="MED1" s="563"/>
      <c r="MEE1" s="563"/>
      <c r="MEF1" s="563"/>
      <c r="MEG1" s="563"/>
      <c r="MEH1" s="563"/>
      <c r="MEI1" s="563" t="s">
        <v>15</v>
      </c>
      <c r="MEJ1" s="563"/>
      <c r="MEK1" s="563"/>
      <c r="MEL1" s="563"/>
      <c r="MEM1" s="563"/>
      <c r="MEN1" s="563"/>
      <c r="MEO1" s="563"/>
      <c r="MEP1" s="563"/>
      <c r="MEQ1" s="563" t="s">
        <v>15</v>
      </c>
      <c r="MER1" s="563"/>
      <c r="MES1" s="563"/>
      <c r="MET1" s="563"/>
      <c r="MEU1" s="563"/>
      <c r="MEV1" s="563"/>
      <c r="MEW1" s="563"/>
      <c r="MEX1" s="563"/>
      <c r="MEY1" s="563" t="s">
        <v>15</v>
      </c>
      <c r="MEZ1" s="563"/>
      <c r="MFA1" s="563"/>
      <c r="MFB1" s="563"/>
      <c r="MFC1" s="563"/>
      <c r="MFD1" s="563"/>
      <c r="MFE1" s="563"/>
      <c r="MFF1" s="563"/>
      <c r="MFG1" s="563" t="s">
        <v>15</v>
      </c>
      <c r="MFH1" s="563"/>
      <c r="MFI1" s="563"/>
      <c r="MFJ1" s="563"/>
      <c r="MFK1" s="563"/>
      <c r="MFL1" s="563"/>
      <c r="MFM1" s="563"/>
      <c r="MFN1" s="563"/>
      <c r="MFO1" s="563" t="s">
        <v>15</v>
      </c>
      <c r="MFP1" s="563"/>
      <c r="MFQ1" s="563"/>
      <c r="MFR1" s="563"/>
      <c r="MFS1" s="563"/>
      <c r="MFT1" s="563"/>
      <c r="MFU1" s="563"/>
      <c r="MFV1" s="563"/>
      <c r="MFW1" s="563" t="s">
        <v>15</v>
      </c>
      <c r="MFX1" s="563"/>
      <c r="MFY1" s="563"/>
      <c r="MFZ1" s="563"/>
      <c r="MGA1" s="563"/>
      <c r="MGB1" s="563"/>
      <c r="MGC1" s="563"/>
      <c r="MGD1" s="563"/>
      <c r="MGE1" s="563" t="s">
        <v>15</v>
      </c>
      <c r="MGF1" s="563"/>
      <c r="MGG1" s="563"/>
      <c r="MGH1" s="563"/>
      <c r="MGI1" s="563"/>
      <c r="MGJ1" s="563"/>
      <c r="MGK1" s="563"/>
      <c r="MGL1" s="563"/>
      <c r="MGM1" s="563" t="s">
        <v>15</v>
      </c>
      <c r="MGN1" s="563"/>
      <c r="MGO1" s="563"/>
      <c r="MGP1" s="563"/>
      <c r="MGQ1" s="563"/>
      <c r="MGR1" s="563"/>
      <c r="MGS1" s="563"/>
      <c r="MGT1" s="563"/>
      <c r="MGU1" s="563" t="s">
        <v>15</v>
      </c>
      <c r="MGV1" s="563"/>
      <c r="MGW1" s="563"/>
      <c r="MGX1" s="563"/>
      <c r="MGY1" s="563"/>
      <c r="MGZ1" s="563"/>
      <c r="MHA1" s="563"/>
      <c r="MHB1" s="563"/>
      <c r="MHC1" s="563" t="s">
        <v>15</v>
      </c>
      <c r="MHD1" s="563"/>
      <c r="MHE1" s="563"/>
      <c r="MHF1" s="563"/>
      <c r="MHG1" s="563"/>
      <c r="MHH1" s="563"/>
      <c r="MHI1" s="563"/>
      <c r="MHJ1" s="563"/>
      <c r="MHK1" s="563" t="s">
        <v>15</v>
      </c>
      <c r="MHL1" s="563"/>
      <c r="MHM1" s="563"/>
      <c r="MHN1" s="563"/>
      <c r="MHO1" s="563"/>
      <c r="MHP1" s="563"/>
      <c r="MHQ1" s="563"/>
      <c r="MHR1" s="563"/>
      <c r="MHS1" s="563" t="s">
        <v>15</v>
      </c>
      <c r="MHT1" s="563"/>
      <c r="MHU1" s="563"/>
      <c r="MHV1" s="563"/>
      <c r="MHW1" s="563"/>
      <c r="MHX1" s="563"/>
      <c r="MHY1" s="563"/>
      <c r="MHZ1" s="563"/>
      <c r="MIA1" s="563" t="s">
        <v>15</v>
      </c>
      <c r="MIB1" s="563"/>
      <c r="MIC1" s="563"/>
      <c r="MID1" s="563"/>
      <c r="MIE1" s="563"/>
      <c r="MIF1" s="563"/>
      <c r="MIG1" s="563"/>
      <c r="MIH1" s="563"/>
      <c r="MII1" s="563" t="s">
        <v>15</v>
      </c>
      <c r="MIJ1" s="563"/>
      <c r="MIK1" s="563"/>
      <c r="MIL1" s="563"/>
      <c r="MIM1" s="563"/>
      <c r="MIN1" s="563"/>
      <c r="MIO1" s="563"/>
      <c r="MIP1" s="563"/>
      <c r="MIQ1" s="563" t="s">
        <v>15</v>
      </c>
      <c r="MIR1" s="563"/>
      <c r="MIS1" s="563"/>
      <c r="MIT1" s="563"/>
      <c r="MIU1" s="563"/>
      <c r="MIV1" s="563"/>
      <c r="MIW1" s="563"/>
      <c r="MIX1" s="563"/>
      <c r="MIY1" s="563" t="s">
        <v>15</v>
      </c>
      <c r="MIZ1" s="563"/>
      <c r="MJA1" s="563"/>
      <c r="MJB1" s="563"/>
      <c r="MJC1" s="563"/>
      <c r="MJD1" s="563"/>
      <c r="MJE1" s="563"/>
      <c r="MJF1" s="563"/>
      <c r="MJG1" s="563" t="s">
        <v>15</v>
      </c>
      <c r="MJH1" s="563"/>
      <c r="MJI1" s="563"/>
      <c r="MJJ1" s="563"/>
      <c r="MJK1" s="563"/>
      <c r="MJL1" s="563"/>
      <c r="MJM1" s="563"/>
      <c r="MJN1" s="563"/>
      <c r="MJO1" s="563" t="s">
        <v>15</v>
      </c>
      <c r="MJP1" s="563"/>
      <c r="MJQ1" s="563"/>
      <c r="MJR1" s="563"/>
      <c r="MJS1" s="563"/>
      <c r="MJT1" s="563"/>
      <c r="MJU1" s="563"/>
      <c r="MJV1" s="563"/>
      <c r="MJW1" s="563" t="s">
        <v>15</v>
      </c>
      <c r="MJX1" s="563"/>
      <c r="MJY1" s="563"/>
      <c r="MJZ1" s="563"/>
      <c r="MKA1" s="563"/>
      <c r="MKB1" s="563"/>
      <c r="MKC1" s="563"/>
      <c r="MKD1" s="563"/>
      <c r="MKE1" s="563" t="s">
        <v>15</v>
      </c>
      <c r="MKF1" s="563"/>
      <c r="MKG1" s="563"/>
      <c r="MKH1" s="563"/>
      <c r="MKI1" s="563"/>
      <c r="MKJ1" s="563"/>
      <c r="MKK1" s="563"/>
      <c r="MKL1" s="563"/>
      <c r="MKM1" s="563" t="s">
        <v>15</v>
      </c>
      <c r="MKN1" s="563"/>
      <c r="MKO1" s="563"/>
      <c r="MKP1" s="563"/>
      <c r="MKQ1" s="563"/>
      <c r="MKR1" s="563"/>
      <c r="MKS1" s="563"/>
      <c r="MKT1" s="563"/>
      <c r="MKU1" s="563" t="s">
        <v>15</v>
      </c>
      <c r="MKV1" s="563"/>
      <c r="MKW1" s="563"/>
      <c r="MKX1" s="563"/>
      <c r="MKY1" s="563"/>
      <c r="MKZ1" s="563"/>
      <c r="MLA1" s="563"/>
      <c r="MLB1" s="563"/>
      <c r="MLC1" s="563" t="s">
        <v>15</v>
      </c>
      <c r="MLD1" s="563"/>
      <c r="MLE1" s="563"/>
      <c r="MLF1" s="563"/>
      <c r="MLG1" s="563"/>
      <c r="MLH1" s="563"/>
      <c r="MLI1" s="563"/>
      <c r="MLJ1" s="563"/>
      <c r="MLK1" s="563" t="s">
        <v>15</v>
      </c>
      <c r="MLL1" s="563"/>
      <c r="MLM1" s="563"/>
      <c r="MLN1" s="563"/>
      <c r="MLO1" s="563"/>
      <c r="MLP1" s="563"/>
      <c r="MLQ1" s="563"/>
      <c r="MLR1" s="563"/>
      <c r="MLS1" s="563" t="s">
        <v>15</v>
      </c>
      <c r="MLT1" s="563"/>
      <c r="MLU1" s="563"/>
      <c r="MLV1" s="563"/>
      <c r="MLW1" s="563"/>
      <c r="MLX1" s="563"/>
      <c r="MLY1" s="563"/>
      <c r="MLZ1" s="563"/>
      <c r="MMA1" s="563" t="s">
        <v>15</v>
      </c>
      <c r="MMB1" s="563"/>
      <c r="MMC1" s="563"/>
      <c r="MMD1" s="563"/>
      <c r="MME1" s="563"/>
      <c r="MMF1" s="563"/>
      <c r="MMG1" s="563"/>
      <c r="MMH1" s="563"/>
      <c r="MMI1" s="563" t="s">
        <v>15</v>
      </c>
      <c r="MMJ1" s="563"/>
      <c r="MMK1" s="563"/>
      <c r="MML1" s="563"/>
      <c r="MMM1" s="563"/>
      <c r="MMN1" s="563"/>
      <c r="MMO1" s="563"/>
      <c r="MMP1" s="563"/>
      <c r="MMQ1" s="563" t="s">
        <v>15</v>
      </c>
      <c r="MMR1" s="563"/>
      <c r="MMS1" s="563"/>
      <c r="MMT1" s="563"/>
      <c r="MMU1" s="563"/>
      <c r="MMV1" s="563"/>
      <c r="MMW1" s="563"/>
      <c r="MMX1" s="563"/>
      <c r="MMY1" s="563" t="s">
        <v>15</v>
      </c>
      <c r="MMZ1" s="563"/>
      <c r="MNA1" s="563"/>
      <c r="MNB1" s="563"/>
      <c r="MNC1" s="563"/>
      <c r="MND1" s="563"/>
      <c r="MNE1" s="563"/>
      <c r="MNF1" s="563"/>
      <c r="MNG1" s="563" t="s">
        <v>15</v>
      </c>
      <c r="MNH1" s="563"/>
      <c r="MNI1" s="563"/>
      <c r="MNJ1" s="563"/>
      <c r="MNK1" s="563"/>
      <c r="MNL1" s="563"/>
      <c r="MNM1" s="563"/>
      <c r="MNN1" s="563"/>
      <c r="MNO1" s="563" t="s">
        <v>15</v>
      </c>
      <c r="MNP1" s="563"/>
      <c r="MNQ1" s="563"/>
      <c r="MNR1" s="563"/>
      <c r="MNS1" s="563"/>
      <c r="MNT1" s="563"/>
      <c r="MNU1" s="563"/>
      <c r="MNV1" s="563"/>
      <c r="MNW1" s="563" t="s">
        <v>15</v>
      </c>
      <c r="MNX1" s="563"/>
      <c r="MNY1" s="563"/>
      <c r="MNZ1" s="563"/>
      <c r="MOA1" s="563"/>
      <c r="MOB1" s="563"/>
      <c r="MOC1" s="563"/>
      <c r="MOD1" s="563"/>
      <c r="MOE1" s="563" t="s">
        <v>15</v>
      </c>
      <c r="MOF1" s="563"/>
      <c r="MOG1" s="563"/>
      <c r="MOH1" s="563"/>
      <c r="MOI1" s="563"/>
      <c r="MOJ1" s="563"/>
      <c r="MOK1" s="563"/>
      <c r="MOL1" s="563"/>
      <c r="MOM1" s="563" t="s">
        <v>15</v>
      </c>
      <c r="MON1" s="563"/>
      <c r="MOO1" s="563"/>
      <c r="MOP1" s="563"/>
      <c r="MOQ1" s="563"/>
      <c r="MOR1" s="563"/>
      <c r="MOS1" s="563"/>
      <c r="MOT1" s="563"/>
      <c r="MOU1" s="563" t="s">
        <v>15</v>
      </c>
      <c r="MOV1" s="563"/>
      <c r="MOW1" s="563"/>
      <c r="MOX1" s="563"/>
      <c r="MOY1" s="563"/>
      <c r="MOZ1" s="563"/>
      <c r="MPA1" s="563"/>
      <c r="MPB1" s="563"/>
      <c r="MPC1" s="563" t="s">
        <v>15</v>
      </c>
      <c r="MPD1" s="563"/>
      <c r="MPE1" s="563"/>
      <c r="MPF1" s="563"/>
      <c r="MPG1" s="563"/>
      <c r="MPH1" s="563"/>
      <c r="MPI1" s="563"/>
      <c r="MPJ1" s="563"/>
      <c r="MPK1" s="563" t="s">
        <v>15</v>
      </c>
      <c r="MPL1" s="563"/>
      <c r="MPM1" s="563"/>
      <c r="MPN1" s="563"/>
      <c r="MPO1" s="563"/>
      <c r="MPP1" s="563"/>
      <c r="MPQ1" s="563"/>
      <c r="MPR1" s="563"/>
      <c r="MPS1" s="563" t="s">
        <v>15</v>
      </c>
      <c r="MPT1" s="563"/>
      <c r="MPU1" s="563"/>
      <c r="MPV1" s="563"/>
      <c r="MPW1" s="563"/>
      <c r="MPX1" s="563"/>
      <c r="MPY1" s="563"/>
      <c r="MPZ1" s="563"/>
      <c r="MQA1" s="563" t="s">
        <v>15</v>
      </c>
      <c r="MQB1" s="563"/>
      <c r="MQC1" s="563"/>
      <c r="MQD1" s="563"/>
      <c r="MQE1" s="563"/>
      <c r="MQF1" s="563"/>
      <c r="MQG1" s="563"/>
      <c r="MQH1" s="563"/>
      <c r="MQI1" s="563" t="s">
        <v>15</v>
      </c>
      <c r="MQJ1" s="563"/>
      <c r="MQK1" s="563"/>
      <c r="MQL1" s="563"/>
      <c r="MQM1" s="563"/>
      <c r="MQN1" s="563"/>
      <c r="MQO1" s="563"/>
      <c r="MQP1" s="563"/>
      <c r="MQQ1" s="563" t="s">
        <v>15</v>
      </c>
      <c r="MQR1" s="563"/>
      <c r="MQS1" s="563"/>
      <c r="MQT1" s="563"/>
      <c r="MQU1" s="563"/>
      <c r="MQV1" s="563"/>
      <c r="MQW1" s="563"/>
      <c r="MQX1" s="563"/>
      <c r="MQY1" s="563" t="s">
        <v>15</v>
      </c>
      <c r="MQZ1" s="563"/>
      <c r="MRA1" s="563"/>
      <c r="MRB1" s="563"/>
      <c r="MRC1" s="563"/>
      <c r="MRD1" s="563"/>
      <c r="MRE1" s="563"/>
      <c r="MRF1" s="563"/>
      <c r="MRG1" s="563" t="s">
        <v>15</v>
      </c>
      <c r="MRH1" s="563"/>
      <c r="MRI1" s="563"/>
      <c r="MRJ1" s="563"/>
      <c r="MRK1" s="563"/>
      <c r="MRL1" s="563"/>
      <c r="MRM1" s="563"/>
      <c r="MRN1" s="563"/>
      <c r="MRO1" s="563" t="s">
        <v>15</v>
      </c>
      <c r="MRP1" s="563"/>
      <c r="MRQ1" s="563"/>
      <c r="MRR1" s="563"/>
      <c r="MRS1" s="563"/>
      <c r="MRT1" s="563"/>
      <c r="MRU1" s="563"/>
      <c r="MRV1" s="563"/>
      <c r="MRW1" s="563" t="s">
        <v>15</v>
      </c>
      <c r="MRX1" s="563"/>
      <c r="MRY1" s="563"/>
      <c r="MRZ1" s="563"/>
      <c r="MSA1" s="563"/>
      <c r="MSB1" s="563"/>
      <c r="MSC1" s="563"/>
      <c r="MSD1" s="563"/>
      <c r="MSE1" s="563" t="s">
        <v>15</v>
      </c>
      <c r="MSF1" s="563"/>
      <c r="MSG1" s="563"/>
      <c r="MSH1" s="563"/>
      <c r="MSI1" s="563"/>
      <c r="MSJ1" s="563"/>
      <c r="MSK1" s="563"/>
      <c r="MSL1" s="563"/>
      <c r="MSM1" s="563" t="s">
        <v>15</v>
      </c>
      <c r="MSN1" s="563"/>
      <c r="MSO1" s="563"/>
      <c r="MSP1" s="563"/>
      <c r="MSQ1" s="563"/>
      <c r="MSR1" s="563"/>
      <c r="MSS1" s="563"/>
      <c r="MST1" s="563"/>
      <c r="MSU1" s="563" t="s">
        <v>15</v>
      </c>
      <c r="MSV1" s="563"/>
      <c r="MSW1" s="563"/>
      <c r="MSX1" s="563"/>
      <c r="MSY1" s="563"/>
      <c r="MSZ1" s="563"/>
      <c r="MTA1" s="563"/>
      <c r="MTB1" s="563"/>
      <c r="MTC1" s="563" t="s">
        <v>15</v>
      </c>
      <c r="MTD1" s="563"/>
      <c r="MTE1" s="563"/>
      <c r="MTF1" s="563"/>
      <c r="MTG1" s="563"/>
      <c r="MTH1" s="563"/>
      <c r="MTI1" s="563"/>
      <c r="MTJ1" s="563"/>
      <c r="MTK1" s="563" t="s">
        <v>15</v>
      </c>
      <c r="MTL1" s="563"/>
      <c r="MTM1" s="563"/>
      <c r="MTN1" s="563"/>
      <c r="MTO1" s="563"/>
      <c r="MTP1" s="563"/>
      <c r="MTQ1" s="563"/>
      <c r="MTR1" s="563"/>
      <c r="MTS1" s="563" t="s">
        <v>15</v>
      </c>
      <c r="MTT1" s="563"/>
      <c r="MTU1" s="563"/>
      <c r="MTV1" s="563"/>
      <c r="MTW1" s="563"/>
      <c r="MTX1" s="563"/>
      <c r="MTY1" s="563"/>
      <c r="MTZ1" s="563"/>
      <c r="MUA1" s="563" t="s">
        <v>15</v>
      </c>
      <c r="MUB1" s="563"/>
      <c r="MUC1" s="563"/>
      <c r="MUD1" s="563"/>
      <c r="MUE1" s="563"/>
      <c r="MUF1" s="563"/>
      <c r="MUG1" s="563"/>
      <c r="MUH1" s="563"/>
      <c r="MUI1" s="563" t="s">
        <v>15</v>
      </c>
      <c r="MUJ1" s="563"/>
      <c r="MUK1" s="563"/>
      <c r="MUL1" s="563"/>
      <c r="MUM1" s="563"/>
      <c r="MUN1" s="563"/>
      <c r="MUO1" s="563"/>
      <c r="MUP1" s="563"/>
      <c r="MUQ1" s="563" t="s">
        <v>15</v>
      </c>
      <c r="MUR1" s="563"/>
      <c r="MUS1" s="563"/>
      <c r="MUT1" s="563"/>
      <c r="MUU1" s="563"/>
      <c r="MUV1" s="563"/>
      <c r="MUW1" s="563"/>
      <c r="MUX1" s="563"/>
      <c r="MUY1" s="563" t="s">
        <v>15</v>
      </c>
      <c r="MUZ1" s="563"/>
      <c r="MVA1" s="563"/>
      <c r="MVB1" s="563"/>
      <c r="MVC1" s="563"/>
      <c r="MVD1" s="563"/>
      <c r="MVE1" s="563"/>
      <c r="MVF1" s="563"/>
      <c r="MVG1" s="563" t="s">
        <v>15</v>
      </c>
      <c r="MVH1" s="563"/>
      <c r="MVI1" s="563"/>
      <c r="MVJ1" s="563"/>
      <c r="MVK1" s="563"/>
      <c r="MVL1" s="563"/>
      <c r="MVM1" s="563"/>
      <c r="MVN1" s="563"/>
      <c r="MVO1" s="563" t="s">
        <v>15</v>
      </c>
      <c r="MVP1" s="563"/>
      <c r="MVQ1" s="563"/>
      <c r="MVR1" s="563"/>
      <c r="MVS1" s="563"/>
      <c r="MVT1" s="563"/>
      <c r="MVU1" s="563"/>
      <c r="MVV1" s="563"/>
      <c r="MVW1" s="563" t="s">
        <v>15</v>
      </c>
      <c r="MVX1" s="563"/>
      <c r="MVY1" s="563"/>
      <c r="MVZ1" s="563"/>
      <c r="MWA1" s="563"/>
      <c r="MWB1" s="563"/>
      <c r="MWC1" s="563"/>
      <c r="MWD1" s="563"/>
      <c r="MWE1" s="563" t="s">
        <v>15</v>
      </c>
      <c r="MWF1" s="563"/>
      <c r="MWG1" s="563"/>
      <c r="MWH1" s="563"/>
      <c r="MWI1" s="563"/>
      <c r="MWJ1" s="563"/>
      <c r="MWK1" s="563"/>
      <c r="MWL1" s="563"/>
      <c r="MWM1" s="563" t="s">
        <v>15</v>
      </c>
      <c r="MWN1" s="563"/>
      <c r="MWO1" s="563"/>
      <c r="MWP1" s="563"/>
      <c r="MWQ1" s="563"/>
      <c r="MWR1" s="563"/>
      <c r="MWS1" s="563"/>
      <c r="MWT1" s="563"/>
      <c r="MWU1" s="563" t="s">
        <v>15</v>
      </c>
      <c r="MWV1" s="563"/>
      <c r="MWW1" s="563"/>
      <c r="MWX1" s="563"/>
      <c r="MWY1" s="563"/>
      <c r="MWZ1" s="563"/>
      <c r="MXA1" s="563"/>
      <c r="MXB1" s="563"/>
      <c r="MXC1" s="563" t="s">
        <v>15</v>
      </c>
      <c r="MXD1" s="563"/>
      <c r="MXE1" s="563"/>
      <c r="MXF1" s="563"/>
      <c r="MXG1" s="563"/>
      <c r="MXH1" s="563"/>
      <c r="MXI1" s="563"/>
      <c r="MXJ1" s="563"/>
      <c r="MXK1" s="563" t="s">
        <v>15</v>
      </c>
      <c r="MXL1" s="563"/>
      <c r="MXM1" s="563"/>
      <c r="MXN1" s="563"/>
      <c r="MXO1" s="563"/>
      <c r="MXP1" s="563"/>
      <c r="MXQ1" s="563"/>
      <c r="MXR1" s="563"/>
      <c r="MXS1" s="563" t="s">
        <v>15</v>
      </c>
      <c r="MXT1" s="563"/>
      <c r="MXU1" s="563"/>
      <c r="MXV1" s="563"/>
      <c r="MXW1" s="563"/>
      <c r="MXX1" s="563"/>
      <c r="MXY1" s="563"/>
      <c r="MXZ1" s="563"/>
      <c r="MYA1" s="563" t="s">
        <v>15</v>
      </c>
      <c r="MYB1" s="563"/>
      <c r="MYC1" s="563"/>
      <c r="MYD1" s="563"/>
      <c r="MYE1" s="563"/>
      <c r="MYF1" s="563"/>
      <c r="MYG1" s="563"/>
      <c r="MYH1" s="563"/>
      <c r="MYI1" s="563" t="s">
        <v>15</v>
      </c>
      <c r="MYJ1" s="563"/>
      <c r="MYK1" s="563"/>
      <c r="MYL1" s="563"/>
      <c r="MYM1" s="563"/>
      <c r="MYN1" s="563"/>
      <c r="MYO1" s="563"/>
      <c r="MYP1" s="563"/>
      <c r="MYQ1" s="563" t="s">
        <v>15</v>
      </c>
      <c r="MYR1" s="563"/>
      <c r="MYS1" s="563"/>
      <c r="MYT1" s="563"/>
      <c r="MYU1" s="563"/>
      <c r="MYV1" s="563"/>
      <c r="MYW1" s="563"/>
      <c r="MYX1" s="563"/>
      <c r="MYY1" s="563" t="s">
        <v>15</v>
      </c>
      <c r="MYZ1" s="563"/>
      <c r="MZA1" s="563"/>
      <c r="MZB1" s="563"/>
      <c r="MZC1" s="563"/>
      <c r="MZD1" s="563"/>
      <c r="MZE1" s="563"/>
      <c r="MZF1" s="563"/>
      <c r="MZG1" s="563" t="s">
        <v>15</v>
      </c>
      <c r="MZH1" s="563"/>
      <c r="MZI1" s="563"/>
      <c r="MZJ1" s="563"/>
      <c r="MZK1" s="563"/>
      <c r="MZL1" s="563"/>
      <c r="MZM1" s="563"/>
      <c r="MZN1" s="563"/>
      <c r="MZO1" s="563" t="s">
        <v>15</v>
      </c>
      <c r="MZP1" s="563"/>
      <c r="MZQ1" s="563"/>
      <c r="MZR1" s="563"/>
      <c r="MZS1" s="563"/>
      <c r="MZT1" s="563"/>
      <c r="MZU1" s="563"/>
      <c r="MZV1" s="563"/>
      <c r="MZW1" s="563" t="s">
        <v>15</v>
      </c>
      <c r="MZX1" s="563"/>
      <c r="MZY1" s="563"/>
      <c r="MZZ1" s="563"/>
      <c r="NAA1" s="563"/>
      <c r="NAB1" s="563"/>
      <c r="NAC1" s="563"/>
      <c r="NAD1" s="563"/>
      <c r="NAE1" s="563" t="s">
        <v>15</v>
      </c>
      <c r="NAF1" s="563"/>
      <c r="NAG1" s="563"/>
      <c r="NAH1" s="563"/>
      <c r="NAI1" s="563"/>
      <c r="NAJ1" s="563"/>
      <c r="NAK1" s="563"/>
      <c r="NAL1" s="563"/>
      <c r="NAM1" s="563" t="s">
        <v>15</v>
      </c>
      <c r="NAN1" s="563"/>
      <c r="NAO1" s="563"/>
      <c r="NAP1" s="563"/>
      <c r="NAQ1" s="563"/>
      <c r="NAR1" s="563"/>
      <c r="NAS1" s="563"/>
      <c r="NAT1" s="563"/>
      <c r="NAU1" s="563" t="s">
        <v>15</v>
      </c>
      <c r="NAV1" s="563"/>
      <c r="NAW1" s="563"/>
      <c r="NAX1" s="563"/>
      <c r="NAY1" s="563"/>
      <c r="NAZ1" s="563"/>
      <c r="NBA1" s="563"/>
      <c r="NBB1" s="563"/>
      <c r="NBC1" s="563" t="s">
        <v>15</v>
      </c>
      <c r="NBD1" s="563"/>
      <c r="NBE1" s="563"/>
      <c r="NBF1" s="563"/>
      <c r="NBG1" s="563"/>
      <c r="NBH1" s="563"/>
      <c r="NBI1" s="563"/>
      <c r="NBJ1" s="563"/>
      <c r="NBK1" s="563" t="s">
        <v>15</v>
      </c>
      <c r="NBL1" s="563"/>
      <c r="NBM1" s="563"/>
      <c r="NBN1" s="563"/>
      <c r="NBO1" s="563"/>
      <c r="NBP1" s="563"/>
      <c r="NBQ1" s="563"/>
      <c r="NBR1" s="563"/>
      <c r="NBS1" s="563" t="s">
        <v>15</v>
      </c>
      <c r="NBT1" s="563"/>
      <c r="NBU1" s="563"/>
      <c r="NBV1" s="563"/>
      <c r="NBW1" s="563"/>
      <c r="NBX1" s="563"/>
      <c r="NBY1" s="563"/>
      <c r="NBZ1" s="563"/>
      <c r="NCA1" s="563" t="s">
        <v>15</v>
      </c>
      <c r="NCB1" s="563"/>
      <c r="NCC1" s="563"/>
      <c r="NCD1" s="563"/>
      <c r="NCE1" s="563"/>
      <c r="NCF1" s="563"/>
      <c r="NCG1" s="563"/>
      <c r="NCH1" s="563"/>
      <c r="NCI1" s="563" t="s">
        <v>15</v>
      </c>
      <c r="NCJ1" s="563"/>
      <c r="NCK1" s="563"/>
      <c r="NCL1" s="563"/>
      <c r="NCM1" s="563"/>
      <c r="NCN1" s="563"/>
      <c r="NCO1" s="563"/>
      <c r="NCP1" s="563"/>
      <c r="NCQ1" s="563" t="s">
        <v>15</v>
      </c>
      <c r="NCR1" s="563"/>
      <c r="NCS1" s="563"/>
      <c r="NCT1" s="563"/>
      <c r="NCU1" s="563"/>
      <c r="NCV1" s="563"/>
      <c r="NCW1" s="563"/>
      <c r="NCX1" s="563"/>
      <c r="NCY1" s="563" t="s">
        <v>15</v>
      </c>
      <c r="NCZ1" s="563"/>
      <c r="NDA1" s="563"/>
      <c r="NDB1" s="563"/>
      <c r="NDC1" s="563"/>
      <c r="NDD1" s="563"/>
      <c r="NDE1" s="563"/>
      <c r="NDF1" s="563"/>
      <c r="NDG1" s="563" t="s">
        <v>15</v>
      </c>
      <c r="NDH1" s="563"/>
      <c r="NDI1" s="563"/>
      <c r="NDJ1" s="563"/>
      <c r="NDK1" s="563"/>
      <c r="NDL1" s="563"/>
      <c r="NDM1" s="563"/>
      <c r="NDN1" s="563"/>
      <c r="NDO1" s="563" t="s">
        <v>15</v>
      </c>
      <c r="NDP1" s="563"/>
      <c r="NDQ1" s="563"/>
      <c r="NDR1" s="563"/>
      <c r="NDS1" s="563"/>
      <c r="NDT1" s="563"/>
      <c r="NDU1" s="563"/>
      <c r="NDV1" s="563"/>
      <c r="NDW1" s="563" t="s">
        <v>15</v>
      </c>
      <c r="NDX1" s="563"/>
      <c r="NDY1" s="563"/>
      <c r="NDZ1" s="563"/>
      <c r="NEA1" s="563"/>
      <c r="NEB1" s="563"/>
      <c r="NEC1" s="563"/>
      <c r="NED1" s="563"/>
      <c r="NEE1" s="563" t="s">
        <v>15</v>
      </c>
      <c r="NEF1" s="563"/>
      <c r="NEG1" s="563"/>
      <c r="NEH1" s="563"/>
      <c r="NEI1" s="563"/>
      <c r="NEJ1" s="563"/>
      <c r="NEK1" s="563"/>
      <c r="NEL1" s="563"/>
      <c r="NEM1" s="563" t="s">
        <v>15</v>
      </c>
      <c r="NEN1" s="563"/>
      <c r="NEO1" s="563"/>
      <c r="NEP1" s="563"/>
      <c r="NEQ1" s="563"/>
      <c r="NER1" s="563"/>
      <c r="NES1" s="563"/>
      <c r="NET1" s="563"/>
      <c r="NEU1" s="563" t="s">
        <v>15</v>
      </c>
      <c r="NEV1" s="563"/>
      <c r="NEW1" s="563"/>
      <c r="NEX1" s="563"/>
      <c r="NEY1" s="563"/>
      <c r="NEZ1" s="563"/>
      <c r="NFA1" s="563"/>
      <c r="NFB1" s="563"/>
      <c r="NFC1" s="563" t="s">
        <v>15</v>
      </c>
      <c r="NFD1" s="563"/>
      <c r="NFE1" s="563"/>
      <c r="NFF1" s="563"/>
      <c r="NFG1" s="563"/>
      <c r="NFH1" s="563"/>
      <c r="NFI1" s="563"/>
      <c r="NFJ1" s="563"/>
      <c r="NFK1" s="563" t="s">
        <v>15</v>
      </c>
      <c r="NFL1" s="563"/>
      <c r="NFM1" s="563"/>
      <c r="NFN1" s="563"/>
      <c r="NFO1" s="563"/>
      <c r="NFP1" s="563"/>
      <c r="NFQ1" s="563"/>
      <c r="NFR1" s="563"/>
      <c r="NFS1" s="563" t="s">
        <v>15</v>
      </c>
      <c r="NFT1" s="563"/>
      <c r="NFU1" s="563"/>
      <c r="NFV1" s="563"/>
      <c r="NFW1" s="563"/>
      <c r="NFX1" s="563"/>
      <c r="NFY1" s="563"/>
      <c r="NFZ1" s="563"/>
      <c r="NGA1" s="563" t="s">
        <v>15</v>
      </c>
      <c r="NGB1" s="563"/>
      <c r="NGC1" s="563"/>
      <c r="NGD1" s="563"/>
      <c r="NGE1" s="563"/>
      <c r="NGF1" s="563"/>
      <c r="NGG1" s="563"/>
      <c r="NGH1" s="563"/>
      <c r="NGI1" s="563" t="s">
        <v>15</v>
      </c>
      <c r="NGJ1" s="563"/>
      <c r="NGK1" s="563"/>
      <c r="NGL1" s="563"/>
      <c r="NGM1" s="563"/>
      <c r="NGN1" s="563"/>
      <c r="NGO1" s="563"/>
      <c r="NGP1" s="563"/>
      <c r="NGQ1" s="563" t="s">
        <v>15</v>
      </c>
      <c r="NGR1" s="563"/>
      <c r="NGS1" s="563"/>
      <c r="NGT1" s="563"/>
      <c r="NGU1" s="563"/>
      <c r="NGV1" s="563"/>
      <c r="NGW1" s="563"/>
      <c r="NGX1" s="563"/>
      <c r="NGY1" s="563" t="s">
        <v>15</v>
      </c>
      <c r="NGZ1" s="563"/>
      <c r="NHA1" s="563"/>
      <c r="NHB1" s="563"/>
      <c r="NHC1" s="563"/>
      <c r="NHD1" s="563"/>
      <c r="NHE1" s="563"/>
      <c r="NHF1" s="563"/>
      <c r="NHG1" s="563" t="s">
        <v>15</v>
      </c>
      <c r="NHH1" s="563"/>
      <c r="NHI1" s="563"/>
      <c r="NHJ1" s="563"/>
      <c r="NHK1" s="563"/>
      <c r="NHL1" s="563"/>
      <c r="NHM1" s="563"/>
      <c r="NHN1" s="563"/>
      <c r="NHO1" s="563" t="s">
        <v>15</v>
      </c>
      <c r="NHP1" s="563"/>
      <c r="NHQ1" s="563"/>
      <c r="NHR1" s="563"/>
      <c r="NHS1" s="563"/>
      <c r="NHT1" s="563"/>
      <c r="NHU1" s="563"/>
      <c r="NHV1" s="563"/>
      <c r="NHW1" s="563" t="s">
        <v>15</v>
      </c>
      <c r="NHX1" s="563"/>
      <c r="NHY1" s="563"/>
      <c r="NHZ1" s="563"/>
      <c r="NIA1" s="563"/>
      <c r="NIB1" s="563"/>
      <c r="NIC1" s="563"/>
      <c r="NID1" s="563"/>
      <c r="NIE1" s="563" t="s">
        <v>15</v>
      </c>
      <c r="NIF1" s="563"/>
      <c r="NIG1" s="563"/>
      <c r="NIH1" s="563"/>
      <c r="NII1" s="563"/>
      <c r="NIJ1" s="563"/>
      <c r="NIK1" s="563"/>
      <c r="NIL1" s="563"/>
      <c r="NIM1" s="563" t="s">
        <v>15</v>
      </c>
      <c r="NIN1" s="563"/>
      <c r="NIO1" s="563"/>
      <c r="NIP1" s="563"/>
      <c r="NIQ1" s="563"/>
      <c r="NIR1" s="563"/>
      <c r="NIS1" s="563"/>
      <c r="NIT1" s="563"/>
      <c r="NIU1" s="563" t="s">
        <v>15</v>
      </c>
      <c r="NIV1" s="563"/>
      <c r="NIW1" s="563"/>
      <c r="NIX1" s="563"/>
      <c r="NIY1" s="563"/>
      <c r="NIZ1" s="563"/>
      <c r="NJA1" s="563"/>
      <c r="NJB1" s="563"/>
      <c r="NJC1" s="563" t="s">
        <v>15</v>
      </c>
      <c r="NJD1" s="563"/>
      <c r="NJE1" s="563"/>
      <c r="NJF1" s="563"/>
      <c r="NJG1" s="563"/>
      <c r="NJH1" s="563"/>
      <c r="NJI1" s="563"/>
      <c r="NJJ1" s="563"/>
      <c r="NJK1" s="563" t="s">
        <v>15</v>
      </c>
      <c r="NJL1" s="563"/>
      <c r="NJM1" s="563"/>
      <c r="NJN1" s="563"/>
      <c r="NJO1" s="563"/>
      <c r="NJP1" s="563"/>
      <c r="NJQ1" s="563"/>
      <c r="NJR1" s="563"/>
      <c r="NJS1" s="563" t="s">
        <v>15</v>
      </c>
      <c r="NJT1" s="563"/>
      <c r="NJU1" s="563"/>
      <c r="NJV1" s="563"/>
      <c r="NJW1" s="563"/>
      <c r="NJX1" s="563"/>
      <c r="NJY1" s="563"/>
      <c r="NJZ1" s="563"/>
      <c r="NKA1" s="563" t="s">
        <v>15</v>
      </c>
      <c r="NKB1" s="563"/>
      <c r="NKC1" s="563"/>
      <c r="NKD1" s="563"/>
      <c r="NKE1" s="563"/>
      <c r="NKF1" s="563"/>
      <c r="NKG1" s="563"/>
      <c r="NKH1" s="563"/>
      <c r="NKI1" s="563" t="s">
        <v>15</v>
      </c>
      <c r="NKJ1" s="563"/>
      <c r="NKK1" s="563"/>
      <c r="NKL1" s="563"/>
      <c r="NKM1" s="563"/>
      <c r="NKN1" s="563"/>
      <c r="NKO1" s="563"/>
      <c r="NKP1" s="563"/>
      <c r="NKQ1" s="563" t="s">
        <v>15</v>
      </c>
      <c r="NKR1" s="563"/>
      <c r="NKS1" s="563"/>
      <c r="NKT1" s="563"/>
      <c r="NKU1" s="563"/>
      <c r="NKV1" s="563"/>
      <c r="NKW1" s="563"/>
      <c r="NKX1" s="563"/>
      <c r="NKY1" s="563" t="s">
        <v>15</v>
      </c>
      <c r="NKZ1" s="563"/>
      <c r="NLA1" s="563"/>
      <c r="NLB1" s="563"/>
      <c r="NLC1" s="563"/>
      <c r="NLD1" s="563"/>
      <c r="NLE1" s="563"/>
      <c r="NLF1" s="563"/>
      <c r="NLG1" s="563" t="s">
        <v>15</v>
      </c>
      <c r="NLH1" s="563"/>
      <c r="NLI1" s="563"/>
      <c r="NLJ1" s="563"/>
      <c r="NLK1" s="563"/>
      <c r="NLL1" s="563"/>
      <c r="NLM1" s="563"/>
      <c r="NLN1" s="563"/>
      <c r="NLO1" s="563" t="s">
        <v>15</v>
      </c>
      <c r="NLP1" s="563"/>
      <c r="NLQ1" s="563"/>
      <c r="NLR1" s="563"/>
      <c r="NLS1" s="563"/>
      <c r="NLT1" s="563"/>
      <c r="NLU1" s="563"/>
      <c r="NLV1" s="563"/>
      <c r="NLW1" s="563" t="s">
        <v>15</v>
      </c>
      <c r="NLX1" s="563"/>
      <c r="NLY1" s="563"/>
      <c r="NLZ1" s="563"/>
      <c r="NMA1" s="563"/>
      <c r="NMB1" s="563"/>
      <c r="NMC1" s="563"/>
      <c r="NMD1" s="563"/>
      <c r="NME1" s="563" t="s">
        <v>15</v>
      </c>
      <c r="NMF1" s="563"/>
      <c r="NMG1" s="563"/>
      <c r="NMH1" s="563"/>
      <c r="NMI1" s="563"/>
      <c r="NMJ1" s="563"/>
      <c r="NMK1" s="563"/>
      <c r="NML1" s="563"/>
      <c r="NMM1" s="563" t="s">
        <v>15</v>
      </c>
      <c r="NMN1" s="563"/>
      <c r="NMO1" s="563"/>
      <c r="NMP1" s="563"/>
      <c r="NMQ1" s="563"/>
      <c r="NMR1" s="563"/>
      <c r="NMS1" s="563"/>
      <c r="NMT1" s="563"/>
      <c r="NMU1" s="563" t="s">
        <v>15</v>
      </c>
      <c r="NMV1" s="563"/>
      <c r="NMW1" s="563"/>
      <c r="NMX1" s="563"/>
      <c r="NMY1" s="563"/>
      <c r="NMZ1" s="563"/>
      <c r="NNA1" s="563"/>
      <c r="NNB1" s="563"/>
      <c r="NNC1" s="563" t="s">
        <v>15</v>
      </c>
      <c r="NND1" s="563"/>
      <c r="NNE1" s="563"/>
      <c r="NNF1" s="563"/>
      <c r="NNG1" s="563"/>
      <c r="NNH1" s="563"/>
      <c r="NNI1" s="563"/>
      <c r="NNJ1" s="563"/>
      <c r="NNK1" s="563" t="s">
        <v>15</v>
      </c>
      <c r="NNL1" s="563"/>
      <c r="NNM1" s="563"/>
      <c r="NNN1" s="563"/>
      <c r="NNO1" s="563"/>
      <c r="NNP1" s="563"/>
      <c r="NNQ1" s="563"/>
      <c r="NNR1" s="563"/>
      <c r="NNS1" s="563" t="s">
        <v>15</v>
      </c>
      <c r="NNT1" s="563"/>
      <c r="NNU1" s="563"/>
      <c r="NNV1" s="563"/>
      <c r="NNW1" s="563"/>
      <c r="NNX1" s="563"/>
      <c r="NNY1" s="563"/>
      <c r="NNZ1" s="563"/>
      <c r="NOA1" s="563" t="s">
        <v>15</v>
      </c>
      <c r="NOB1" s="563"/>
      <c r="NOC1" s="563"/>
      <c r="NOD1" s="563"/>
      <c r="NOE1" s="563"/>
      <c r="NOF1" s="563"/>
      <c r="NOG1" s="563"/>
      <c r="NOH1" s="563"/>
      <c r="NOI1" s="563" t="s">
        <v>15</v>
      </c>
      <c r="NOJ1" s="563"/>
      <c r="NOK1" s="563"/>
      <c r="NOL1" s="563"/>
      <c r="NOM1" s="563"/>
      <c r="NON1" s="563"/>
      <c r="NOO1" s="563"/>
      <c r="NOP1" s="563"/>
      <c r="NOQ1" s="563" t="s">
        <v>15</v>
      </c>
      <c r="NOR1" s="563"/>
      <c r="NOS1" s="563"/>
      <c r="NOT1" s="563"/>
      <c r="NOU1" s="563"/>
      <c r="NOV1" s="563"/>
      <c r="NOW1" s="563"/>
      <c r="NOX1" s="563"/>
      <c r="NOY1" s="563" t="s">
        <v>15</v>
      </c>
      <c r="NOZ1" s="563"/>
      <c r="NPA1" s="563"/>
      <c r="NPB1" s="563"/>
      <c r="NPC1" s="563"/>
      <c r="NPD1" s="563"/>
      <c r="NPE1" s="563"/>
      <c r="NPF1" s="563"/>
      <c r="NPG1" s="563" t="s">
        <v>15</v>
      </c>
      <c r="NPH1" s="563"/>
      <c r="NPI1" s="563"/>
      <c r="NPJ1" s="563"/>
      <c r="NPK1" s="563"/>
      <c r="NPL1" s="563"/>
      <c r="NPM1" s="563"/>
      <c r="NPN1" s="563"/>
      <c r="NPO1" s="563" t="s">
        <v>15</v>
      </c>
      <c r="NPP1" s="563"/>
      <c r="NPQ1" s="563"/>
      <c r="NPR1" s="563"/>
      <c r="NPS1" s="563"/>
      <c r="NPT1" s="563"/>
      <c r="NPU1" s="563"/>
      <c r="NPV1" s="563"/>
      <c r="NPW1" s="563" t="s">
        <v>15</v>
      </c>
      <c r="NPX1" s="563"/>
      <c r="NPY1" s="563"/>
      <c r="NPZ1" s="563"/>
      <c r="NQA1" s="563"/>
      <c r="NQB1" s="563"/>
      <c r="NQC1" s="563"/>
      <c r="NQD1" s="563"/>
      <c r="NQE1" s="563" t="s">
        <v>15</v>
      </c>
      <c r="NQF1" s="563"/>
      <c r="NQG1" s="563"/>
      <c r="NQH1" s="563"/>
      <c r="NQI1" s="563"/>
      <c r="NQJ1" s="563"/>
      <c r="NQK1" s="563"/>
      <c r="NQL1" s="563"/>
      <c r="NQM1" s="563" t="s">
        <v>15</v>
      </c>
      <c r="NQN1" s="563"/>
      <c r="NQO1" s="563"/>
      <c r="NQP1" s="563"/>
      <c r="NQQ1" s="563"/>
      <c r="NQR1" s="563"/>
      <c r="NQS1" s="563"/>
      <c r="NQT1" s="563"/>
      <c r="NQU1" s="563" t="s">
        <v>15</v>
      </c>
      <c r="NQV1" s="563"/>
      <c r="NQW1" s="563"/>
      <c r="NQX1" s="563"/>
      <c r="NQY1" s="563"/>
      <c r="NQZ1" s="563"/>
      <c r="NRA1" s="563"/>
      <c r="NRB1" s="563"/>
      <c r="NRC1" s="563" t="s">
        <v>15</v>
      </c>
      <c r="NRD1" s="563"/>
      <c r="NRE1" s="563"/>
      <c r="NRF1" s="563"/>
      <c r="NRG1" s="563"/>
      <c r="NRH1" s="563"/>
      <c r="NRI1" s="563"/>
      <c r="NRJ1" s="563"/>
      <c r="NRK1" s="563" t="s">
        <v>15</v>
      </c>
      <c r="NRL1" s="563"/>
      <c r="NRM1" s="563"/>
      <c r="NRN1" s="563"/>
      <c r="NRO1" s="563"/>
      <c r="NRP1" s="563"/>
      <c r="NRQ1" s="563"/>
      <c r="NRR1" s="563"/>
      <c r="NRS1" s="563" t="s">
        <v>15</v>
      </c>
      <c r="NRT1" s="563"/>
      <c r="NRU1" s="563"/>
      <c r="NRV1" s="563"/>
      <c r="NRW1" s="563"/>
      <c r="NRX1" s="563"/>
      <c r="NRY1" s="563"/>
      <c r="NRZ1" s="563"/>
      <c r="NSA1" s="563" t="s">
        <v>15</v>
      </c>
      <c r="NSB1" s="563"/>
      <c r="NSC1" s="563"/>
      <c r="NSD1" s="563"/>
      <c r="NSE1" s="563"/>
      <c r="NSF1" s="563"/>
      <c r="NSG1" s="563"/>
      <c r="NSH1" s="563"/>
      <c r="NSI1" s="563" t="s">
        <v>15</v>
      </c>
      <c r="NSJ1" s="563"/>
      <c r="NSK1" s="563"/>
      <c r="NSL1" s="563"/>
      <c r="NSM1" s="563"/>
      <c r="NSN1" s="563"/>
      <c r="NSO1" s="563"/>
      <c r="NSP1" s="563"/>
      <c r="NSQ1" s="563" t="s">
        <v>15</v>
      </c>
      <c r="NSR1" s="563"/>
      <c r="NSS1" s="563"/>
      <c r="NST1" s="563"/>
      <c r="NSU1" s="563"/>
      <c r="NSV1" s="563"/>
      <c r="NSW1" s="563"/>
      <c r="NSX1" s="563"/>
      <c r="NSY1" s="563" t="s">
        <v>15</v>
      </c>
      <c r="NSZ1" s="563"/>
      <c r="NTA1" s="563"/>
      <c r="NTB1" s="563"/>
      <c r="NTC1" s="563"/>
      <c r="NTD1" s="563"/>
      <c r="NTE1" s="563"/>
      <c r="NTF1" s="563"/>
      <c r="NTG1" s="563" t="s">
        <v>15</v>
      </c>
      <c r="NTH1" s="563"/>
      <c r="NTI1" s="563"/>
      <c r="NTJ1" s="563"/>
      <c r="NTK1" s="563"/>
      <c r="NTL1" s="563"/>
      <c r="NTM1" s="563"/>
      <c r="NTN1" s="563"/>
      <c r="NTO1" s="563" t="s">
        <v>15</v>
      </c>
      <c r="NTP1" s="563"/>
      <c r="NTQ1" s="563"/>
      <c r="NTR1" s="563"/>
      <c r="NTS1" s="563"/>
      <c r="NTT1" s="563"/>
      <c r="NTU1" s="563"/>
      <c r="NTV1" s="563"/>
      <c r="NTW1" s="563" t="s">
        <v>15</v>
      </c>
      <c r="NTX1" s="563"/>
      <c r="NTY1" s="563"/>
      <c r="NTZ1" s="563"/>
      <c r="NUA1" s="563"/>
      <c r="NUB1" s="563"/>
      <c r="NUC1" s="563"/>
      <c r="NUD1" s="563"/>
      <c r="NUE1" s="563" t="s">
        <v>15</v>
      </c>
      <c r="NUF1" s="563"/>
      <c r="NUG1" s="563"/>
      <c r="NUH1" s="563"/>
      <c r="NUI1" s="563"/>
      <c r="NUJ1" s="563"/>
      <c r="NUK1" s="563"/>
      <c r="NUL1" s="563"/>
      <c r="NUM1" s="563" t="s">
        <v>15</v>
      </c>
      <c r="NUN1" s="563"/>
      <c r="NUO1" s="563"/>
      <c r="NUP1" s="563"/>
      <c r="NUQ1" s="563"/>
      <c r="NUR1" s="563"/>
      <c r="NUS1" s="563"/>
      <c r="NUT1" s="563"/>
      <c r="NUU1" s="563" t="s">
        <v>15</v>
      </c>
      <c r="NUV1" s="563"/>
      <c r="NUW1" s="563"/>
      <c r="NUX1" s="563"/>
      <c r="NUY1" s="563"/>
      <c r="NUZ1" s="563"/>
      <c r="NVA1" s="563"/>
      <c r="NVB1" s="563"/>
      <c r="NVC1" s="563" t="s">
        <v>15</v>
      </c>
      <c r="NVD1" s="563"/>
      <c r="NVE1" s="563"/>
      <c r="NVF1" s="563"/>
      <c r="NVG1" s="563"/>
      <c r="NVH1" s="563"/>
      <c r="NVI1" s="563"/>
      <c r="NVJ1" s="563"/>
      <c r="NVK1" s="563" t="s">
        <v>15</v>
      </c>
      <c r="NVL1" s="563"/>
      <c r="NVM1" s="563"/>
      <c r="NVN1" s="563"/>
      <c r="NVO1" s="563"/>
      <c r="NVP1" s="563"/>
      <c r="NVQ1" s="563"/>
      <c r="NVR1" s="563"/>
      <c r="NVS1" s="563" t="s">
        <v>15</v>
      </c>
      <c r="NVT1" s="563"/>
      <c r="NVU1" s="563"/>
      <c r="NVV1" s="563"/>
      <c r="NVW1" s="563"/>
      <c r="NVX1" s="563"/>
      <c r="NVY1" s="563"/>
      <c r="NVZ1" s="563"/>
      <c r="NWA1" s="563" t="s">
        <v>15</v>
      </c>
      <c r="NWB1" s="563"/>
      <c r="NWC1" s="563"/>
      <c r="NWD1" s="563"/>
      <c r="NWE1" s="563"/>
      <c r="NWF1" s="563"/>
      <c r="NWG1" s="563"/>
      <c r="NWH1" s="563"/>
      <c r="NWI1" s="563" t="s">
        <v>15</v>
      </c>
      <c r="NWJ1" s="563"/>
      <c r="NWK1" s="563"/>
      <c r="NWL1" s="563"/>
      <c r="NWM1" s="563"/>
      <c r="NWN1" s="563"/>
      <c r="NWO1" s="563"/>
      <c r="NWP1" s="563"/>
      <c r="NWQ1" s="563" t="s">
        <v>15</v>
      </c>
      <c r="NWR1" s="563"/>
      <c r="NWS1" s="563"/>
      <c r="NWT1" s="563"/>
      <c r="NWU1" s="563"/>
      <c r="NWV1" s="563"/>
      <c r="NWW1" s="563"/>
      <c r="NWX1" s="563"/>
      <c r="NWY1" s="563" t="s">
        <v>15</v>
      </c>
      <c r="NWZ1" s="563"/>
      <c r="NXA1" s="563"/>
      <c r="NXB1" s="563"/>
      <c r="NXC1" s="563"/>
      <c r="NXD1" s="563"/>
      <c r="NXE1" s="563"/>
      <c r="NXF1" s="563"/>
      <c r="NXG1" s="563" t="s">
        <v>15</v>
      </c>
      <c r="NXH1" s="563"/>
      <c r="NXI1" s="563"/>
      <c r="NXJ1" s="563"/>
      <c r="NXK1" s="563"/>
      <c r="NXL1" s="563"/>
      <c r="NXM1" s="563"/>
      <c r="NXN1" s="563"/>
      <c r="NXO1" s="563" t="s">
        <v>15</v>
      </c>
      <c r="NXP1" s="563"/>
      <c r="NXQ1" s="563"/>
      <c r="NXR1" s="563"/>
      <c r="NXS1" s="563"/>
      <c r="NXT1" s="563"/>
      <c r="NXU1" s="563"/>
      <c r="NXV1" s="563"/>
      <c r="NXW1" s="563" t="s">
        <v>15</v>
      </c>
      <c r="NXX1" s="563"/>
      <c r="NXY1" s="563"/>
      <c r="NXZ1" s="563"/>
      <c r="NYA1" s="563"/>
      <c r="NYB1" s="563"/>
      <c r="NYC1" s="563"/>
      <c r="NYD1" s="563"/>
      <c r="NYE1" s="563" t="s">
        <v>15</v>
      </c>
      <c r="NYF1" s="563"/>
      <c r="NYG1" s="563"/>
      <c r="NYH1" s="563"/>
      <c r="NYI1" s="563"/>
      <c r="NYJ1" s="563"/>
      <c r="NYK1" s="563"/>
      <c r="NYL1" s="563"/>
      <c r="NYM1" s="563" t="s">
        <v>15</v>
      </c>
      <c r="NYN1" s="563"/>
      <c r="NYO1" s="563"/>
      <c r="NYP1" s="563"/>
      <c r="NYQ1" s="563"/>
      <c r="NYR1" s="563"/>
      <c r="NYS1" s="563"/>
      <c r="NYT1" s="563"/>
      <c r="NYU1" s="563" t="s">
        <v>15</v>
      </c>
      <c r="NYV1" s="563"/>
      <c r="NYW1" s="563"/>
      <c r="NYX1" s="563"/>
      <c r="NYY1" s="563"/>
      <c r="NYZ1" s="563"/>
      <c r="NZA1" s="563"/>
      <c r="NZB1" s="563"/>
      <c r="NZC1" s="563" t="s">
        <v>15</v>
      </c>
      <c r="NZD1" s="563"/>
      <c r="NZE1" s="563"/>
      <c r="NZF1" s="563"/>
      <c r="NZG1" s="563"/>
      <c r="NZH1" s="563"/>
      <c r="NZI1" s="563"/>
      <c r="NZJ1" s="563"/>
      <c r="NZK1" s="563" t="s">
        <v>15</v>
      </c>
      <c r="NZL1" s="563"/>
      <c r="NZM1" s="563"/>
      <c r="NZN1" s="563"/>
      <c r="NZO1" s="563"/>
      <c r="NZP1" s="563"/>
      <c r="NZQ1" s="563"/>
      <c r="NZR1" s="563"/>
      <c r="NZS1" s="563" t="s">
        <v>15</v>
      </c>
      <c r="NZT1" s="563"/>
      <c r="NZU1" s="563"/>
      <c r="NZV1" s="563"/>
      <c r="NZW1" s="563"/>
      <c r="NZX1" s="563"/>
      <c r="NZY1" s="563"/>
      <c r="NZZ1" s="563"/>
      <c r="OAA1" s="563" t="s">
        <v>15</v>
      </c>
      <c r="OAB1" s="563"/>
      <c r="OAC1" s="563"/>
      <c r="OAD1" s="563"/>
      <c r="OAE1" s="563"/>
      <c r="OAF1" s="563"/>
      <c r="OAG1" s="563"/>
      <c r="OAH1" s="563"/>
      <c r="OAI1" s="563" t="s">
        <v>15</v>
      </c>
      <c r="OAJ1" s="563"/>
      <c r="OAK1" s="563"/>
      <c r="OAL1" s="563"/>
      <c r="OAM1" s="563"/>
      <c r="OAN1" s="563"/>
      <c r="OAO1" s="563"/>
      <c r="OAP1" s="563"/>
      <c r="OAQ1" s="563" t="s">
        <v>15</v>
      </c>
      <c r="OAR1" s="563"/>
      <c r="OAS1" s="563"/>
      <c r="OAT1" s="563"/>
      <c r="OAU1" s="563"/>
      <c r="OAV1" s="563"/>
      <c r="OAW1" s="563"/>
      <c r="OAX1" s="563"/>
      <c r="OAY1" s="563" t="s">
        <v>15</v>
      </c>
      <c r="OAZ1" s="563"/>
      <c r="OBA1" s="563"/>
      <c r="OBB1" s="563"/>
      <c r="OBC1" s="563"/>
      <c r="OBD1" s="563"/>
      <c r="OBE1" s="563"/>
      <c r="OBF1" s="563"/>
      <c r="OBG1" s="563" t="s">
        <v>15</v>
      </c>
      <c r="OBH1" s="563"/>
      <c r="OBI1" s="563"/>
      <c r="OBJ1" s="563"/>
      <c r="OBK1" s="563"/>
      <c r="OBL1" s="563"/>
      <c r="OBM1" s="563"/>
      <c r="OBN1" s="563"/>
      <c r="OBO1" s="563" t="s">
        <v>15</v>
      </c>
      <c r="OBP1" s="563"/>
      <c r="OBQ1" s="563"/>
      <c r="OBR1" s="563"/>
      <c r="OBS1" s="563"/>
      <c r="OBT1" s="563"/>
      <c r="OBU1" s="563"/>
      <c r="OBV1" s="563"/>
      <c r="OBW1" s="563" t="s">
        <v>15</v>
      </c>
      <c r="OBX1" s="563"/>
      <c r="OBY1" s="563"/>
      <c r="OBZ1" s="563"/>
      <c r="OCA1" s="563"/>
      <c r="OCB1" s="563"/>
      <c r="OCC1" s="563"/>
      <c r="OCD1" s="563"/>
      <c r="OCE1" s="563" t="s">
        <v>15</v>
      </c>
      <c r="OCF1" s="563"/>
      <c r="OCG1" s="563"/>
      <c r="OCH1" s="563"/>
      <c r="OCI1" s="563"/>
      <c r="OCJ1" s="563"/>
      <c r="OCK1" s="563"/>
      <c r="OCL1" s="563"/>
      <c r="OCM1" s="563" t="s">
        <v>15</v>
      </c>
      <c r="OCN1" s="563"/>
      <c r="OCO1" s="563"/>
      <c r="OCP1" s="563"/>
      <c r="OCQ1" s="563"/>
      <c r="OCR1" s="563"/>
      <c r="OCS1" s="563"/>
      <c r="OCT1" s="563"/>
      <c r="OCU1" s="563" t="s">
        <v>15</v>
      </c>
      <c r="OCV1" s="563"/>
      <c r="OCW1" s="563"/>
      <c r="OCX1" s="563"/>
      <c r="OCY1" s="563"/>
      <c r="OCZ1" s="563"/>
      <c r="ODA1" s="563"/>
      <c r="ODB1" s="563"/>
      <c r="ODC1" s="563" t="s">
        <v>15</v>
      </c>
      <c r="ODD1" s="563"/>
      <c r="ODE1" s="563"/>
      <c r="ODF1" s="563"/>
      <c r="ODG1" s="563"/>
      <c r="ODH1" s="563"/>
      <c r="ODI1" s="563"/>
      <c r="ODJ1" s="563"/>
      <c r="ODK1" s="563" t="s">
        <v>15</v>
      </c>
      <c r="ODL1" s="563"/>
      <c r="ODM1" s="563"/>
      <c r="ODN1" s="563"/>
      <c r="ODO1" s="563"/>
      <c r="ODP1" s="563"/>
      <c r="ODQ1" s="563"/>
      <c r="ODR1" s="563"/>
      <c r="ODS1" s="563" t="s">
        <v>15</v>
      </c>
      <c r="ODT1" s="563"/>
      <c r="ODU1" s="563"/>
      <c r="ODV1" s="563"/>
      <c r="ODW1" s="563"/>
      <c r="ODX1" s="563"/>
      <c r="ODY1" s="563"/>
      <c r="ODZ1" s="563"/>
      <c r="OEA1" s="563" t="s">
        <v>15</v>
      </c>
      <c r="OEB1" s="563"/>
      <c r="OEC1" s="563"/>
      <c r="OED1" s="563"/>
      <c r="OEE1" s="563"/>
      <c r="OEF1" s="563"/>
      <c r="OEG1" s="563"/>
      <c r="OEH1" s="563"/>
      <c r="OEI1" s="563" t="s">
        <v>15</v>
      </c>
      <c r="OEJ1" s="563"/>
      <c r="OEK1" s="563"/>
      <c r="OEL1" s="563"/>
      <c r="OEM1" s="563"/>
      <c r="OEN1" s="563"/>
      <c r="OEO1" s="563"/>
      <c r="OEP1" s="563"/>
      <c r="OEQ1" s="563" t="s">
        <v>15</v>
      </c>
      <c r="OER1" s="563"/>
      <c r="OES1" s="563"/>
      <c r="OET1" s="563"/>
      <c r="OEU1" s="563"/>
      <c r="OEV1" s="563"/>
      <c r="OEW1" s="563"/>
      <c r="OEX1" s="563"/>
      <c r="OEY1" s="563" t="s">
        <v>15</v>
      </c>
      <c r="OEZ1" s="563"/>
      <c r="OFA1" s="563"/>
      <c r="OFB1" s="563"/>
      <c r="OFC1" s="563"/>
      <c r="OFD1" s="563"/>
      <c r="OFE1" s="563"/>
      <c r="OFF1" s="563"/>
      <c r="OFG1" s="563" t="s">
        <v>15</v>
      </c>
      <c r="OFH1" s="563"/>
      <c r="OFI1" s="563"/>
      <c r="OFJ1" s="563"/>
      <c r="OFK1" s="563"/>
      <c r="OFL1" s="563"/>
      <c r="OFM1" s="563"/>
      <c r="OFN1" s="563"/>
      <c r="OFO1" s="563" t="s">
        <v>15</v>
      </c>
      <c r="OFP1" s="563"/>
      <c r="OFQ1" s="563"/>
      <c r="OFR1" s="563"/>
      <c r="OFS1" s="563"/>
      <c r="OFT1" s="563"/>
      <c r="OFU1" s="563"/>
      <c r="OFV1" s="563"/>
      <c r="OFW1" s="563" t="s">
        <v>15</v>
      </c>
      <c r="OFX1" s="563"/>
      <c r="OFY1" s="563"/>
      <c r="OFZ1" s="563"/>
      <c r="OGA1" s="563"/>
      <c r="OGB1" s="563"/>
      <c r="OGC1" s="563"/>
      <c r="OGD1" s="563"/>
      <c r="OGE1" s="563" t="s">
        <v>15</v>
      </c>
      <c r="OGF1" s="563"/>
      <c r="OGG1" s="563"/>
      <c r="OGH1" s="563"/>
      <c r="OGI1" s="563"/>
      <c r="OGJ1" s="563"/>
      <c r="OGK1" s="563"/>
      <c r="OGL1" s="563"/>
      <c r="OGM1" s="563" t="s">
        <v>15</v>
      </c>
      <c r="OGN1" s="563"/>
      <c r="OGO1" s="563"/>
      <c r="OGP1" s="563"/>
      <c r="OGQ1" s="563"/>
      <c r="OGR1" s="563"/>
      <c r="OGS1" s="563"/>
      <c r="OGT1" s="563"/>
      <c r="OGU1" s="563" t="s">
        <v>15</v>
      </c>
      <c r="OGV1" s="563"/>
      <c r="OGW1" s="563"/>
      <c r="OGX1" s="563"/>
      <c r="OGY1" s="563"/>
      <c r="OGZ1" s="563"/>
      <c r="OHA1" s="563"/>
      <c r="OHB1" s="563"/>
      <c r="OHC1" s="563" t="s">
        <v>15</v>
      </c>
      <c r="OHD1" s="563"/>
      <c r="OHE1" s="563"/>
      <c r="OHF1" s="563"/>
      <c r="OHG1" s="563"/>
      <c r="OHH1" s="563"/>
      <c r="OHI1" s="563"/>
      <c r="OHJ1" s="563"/>
      <c r="OHK1" s="563" t="s">
        <v>15</v>
      </c>
      <c r="OHL1" s="563"/>
      <c r="OHM1" s="563"/>
      <c r="OHN1" s="563"/>
      <c r="OHO1" s="563"/>
      <c r="OHP1" s="563"/>
      <c r="OHQ1" s="563"/>
      <c r="OHR1" s="563"/>
      <c r="OHS1" s="563" t="s">
        <v>15</v>
      </c>
      <c r="OHT1" s="563"/>
      <c r="OHU1" s="563"/>
      <c r="OHV1" s="563"/>
      <c r="OHW1" s="563"/>
      <c r="OHX1" s="563"/>
      <c r="OHY1" s="563"/>
      <c r="OHZ1" s="563"/>
      <c r="OIA1" s="563" t="s">
        <v>15</v>
      </c>
      <c r="OIB1" s="563"/>
      <c r="OIC1" s="563"/>
      <c r="OID1" s="563"/>
      <c r="OIE1" s="563"/>
      <c r="OIF1" s="563"/>
      <c r="OIG1" s="563"/>
      <c r="OIH1" s="563"/>
      <c r="OII1" s="563" t="s">
        <v>15</v>
      </c>
      <c r="OIJ1" s="563"/>
      <c r="OIK1" s="563"/>
      <c r="OIL1" s="563"/>
      <c r="OIM1" s="563"/>
      <c r="OIN1" s="563"/>
      <c r="OIO1" s="563"/>
      <c r="OIP1" s="563"/>
      <c r="OIQ1" s="563" t="s">
        <v>15</v>
      </c>
      <c r="OIR1" s="563"/>
      <c r="OIS1" s="563"/>
      <c r="OIT1" s="563"/>
      <c r="OIU1" s="563"/>
      <c r="OIV1" s="563"/>
      <c r="OIW1" s="563"/>
      <c r="OIX1" s="563"/>
      <c r="OIY1" s="563" t="s">
        <v>15</v>
      </c>
      <c r="OIZ1" s="563"/>
      <c r="OJA1" s="563"/>
      <c r="OJB1" s="563"/>
      <c r="OJC1" s="563"/>
      <c r="OJD1" s="563"/>
      <c r="OJE1" s="563"/>
      <c r="OJF1" s="563"/>
      <c r="OJG1" s="563" t="s">
        <v>15</v>
      </c>
      <c r="OJH1" s="563"/>
      <c r="OJI1" s="563"/>
      <c r="OJJ1" s="563"/>
      <c r="OJK1" s="563"/>
      <c r="OJL1" s="563"/>
      <c r="OJM1" s="563"/>
      <c r="OJN1" s="563"/>
      <c r="OJO1" s="563" t="s">
        <v>15</v>
      </c>
      <c r="OJP1" s="563"/>
      <c r="OJQ1" s="563"/>
      <c r="OJR1" s="563"/>
      <c r="OJS1" s="563"/>
      <c r="OJT1" s="563"/>
      <c r="OJU1" s="563"/>
      <c r="OJV1" s="563"/>
      <c r="OJW1" s="563" t="s">
        <v>15</v>
      </c>
      <c r="OJX1" s="563"/>
      <c r="OJY1" s="563"/>
      <c r="OJZ1" s="563"/>
      <c r="OKA1" s="563"/>
      <c r="OKB1" s="563"/>
      <c r="OKC1" s="563"/>
      <c r="OKD1" s="563"/>
      <c r="OKE1" s="563" t="s">
        <v>15</v>
      </c>
      <c r="OKF1" s="563"/>
      <c r="OKG1" s="563"/>
      <c r="OKH1" s="563"/>
      <c r="OKI1" s="563"/>
      <c r="OKJ1" s="563"/>
      <c r="OKK1" s="563"/>
      <c r="OKL1" s="563"/>
      <c r="OKM1" s="563" t="s">
        <v>15</v>
      </c>
      <c r="OKN1" s="563"/>
      <c r="OKO1" s="563"/>
      <c r="OKP1" s="563"/>
      <c r="OKQ1" s="563"/>
      <c r="OKR1" s="563"/>
      <c r="OKS1" s="563"/>
      <c r="OKT1" s="563"/>
      <c r="OKU1" s="563" t="s">
        <v>15</v>
      </c>
      <c r="OKV1" s="563"/>
      <c r="OKW1" s="563"/>
      <c r="OKX1" s="563"/>
      <c r="OKY1" s="563"/>
      <c r="OKZ1" s="563"/>
      <c r="OLA1" s="563"/>
      <c r="OLB1" s="563"/>
      <c r="OLC1" s="563" t="s">
        <v>15</v>
      </c>
      <c r="OLD1" s="563"/>
      <c r="OLE1" s="563"/>
      <c r="OLF1" s="563"/>
      <c r="OLG1" s="563"/>
      <c r="OLH1" s="563"/>
      <c r="OLI1" s="563"/>
      <c r="OLJ1" s="563"/>
      <c r="OLK1" s="563" t="s">
        <v>15</v>
      </c>
      <c r="OLL1" s="563"/>
      <c r="OLM1" s="563"/>
      <c r="OLN1" s="563"/>
      <c r="OLO1" s="563"/>
      <c r="OLP1" s="563"/>
      <c r="OLQ1" s="563"/>
      <c r="OLR1" s="563"/>
      <c r="OLS1" s="563" t="s">
        <v>15</v>
      </c>
      <c r="OLT1" s="563"/>
      <c r="OLU1" s="563"/>
      <c r="OLV1" s="563"/>
      <c r="OLW1" s="563"/>
      <c r="OLX1" s="563"/>
      <c r="OLY1" s="563"/>
      <c r="OLZ1" s="563"/>
      <c r="OMA1" s="563" t="s">
        <v>15</v>
      </c>
      <c r="OMB1" s="563"/>
      <c r="OMC1" s="563"/>
      <c r="OMD1" s="563"/>
      <c r="OME1" s="563"/>
      <c r="OMF1" s="563"/>
      <c r="OMG1" s="563"/>
      <c r="OMH1" s="563"/>
      <c r="OMI1" s="563" t="s">
        <v>15</v>
      </c>
      <c r="OMJ1" s="563"/>
      <c r="OMK1" s="563"/>
      <c r="OML1" s="563"/>
      <c r="OMM1" s="563"/>
      <c r="OMN1" s="563"/>
      <c r="OMO1" s="563"/>
      <c r="OMP1" s="563"/>
      <c r="OMQ1" s="563" t="s">
        <v>15</v>
      </c>
      <c r="OMR1" s="563"/>
      <c r="OMS1" s="563"/>
      <c r="OMT1" s="563"/>
      <c r="OMU1" s="563"/>
      <c r="OMV1" s="563"/>
      <c r="OMW1" s="563"/>
      <c r="OMX1" s="563"/>
      <c r="OMY1" s="563" t="s">
        <v>15</v>
      </c>
      <c r="OMZ1" s="563"/>
      <c r="ONA1" s="563"/>
      <c r="ONB1" s="563"/>
      <c r="ONC1" s="563"/>
      <c r="OND1" s="563"/>
      <c r="ONE1" s="563"/>
      <c r="ONF1" s="563"/>
      <c r="ONG1" s="563" t="s">
        <v>15</v>
      </c>
      <c r="ONH1" s="563"/>
      <c r="ONI1" s="563"/>
      <c r="ONJ1" s="563"/>
      <c r="ONK1" s="563"/>
      <c r="ONL1" s="563"/>
      <c r="ONM1" s="563"/>
      <c r="ONN1" s="563"/>
      <c r="ONO1" s="563" t="s">
        <v>15</v>
      </c>
      <c r="ONP1" s="563"/>
      <c r="ONQ1" s="563"/>
      <c r="ONR1" s="563"/>
      <c r="ONS1" s="563"/>
      <c r="ONT1" s="563"/>
      <c r="ONU1" s="563"/>
      <c r="ONV1" s="563"/>
      <c r="ONW1" s="563" t="s">
        <v>15</v>
      </c>
      <c r="ONX1" s="563"/>
      <c r="ONY1" s="563"/>
      <c r="ONZ1" s="563"/>
      <c r="OOA1" s="563"/>
      <c r="OOB1" s="563"/>
      <c r="OOC1" s="563"/>
      <c r="OOD1" s="563"/>
      <c r="OOE1" s="563" t="s">
        <v>15</v>
      </c>
      <c r="OOF1" s="563"/>
      <c r="OOG1" s="563"/>
      <c r="OOH1" s="563"/>
      <c r="OOI1" s="563"/>
      <c r="OOJ1" s="563"/>
      <c r="OOK1" s="563"/>
      <c r="OOL1" s="563"/>
      <c r="OOM1" s="563" t="s">
        <v>15</v>
      </c>
      <c r="OON1" s="563"/>
      <c r="OOO1" s="563"/>
      <c r="OOP1" s="563"/>
      <c r="OOQ1" s="563"/>
      <c r="OOR1" s="563"/>
      <c r="OOS1" s="563"/>
      <c r="OOT1" s="563"/>
      <c r="OOU1" s="563" t="s">
        <v>15</v>
      </c>
      <c r="OOV1" s="563"/>
      <c r="OOW1" s="563"/>
      <c r="OOX1" s="563"/>
      <c r="OOY1" s="563"/>
      <c r="OOZ1" s="563"/>
      <c r="OPA1" s="563"/>
      <c r="OPB1" s="563"/>
      <c r="OPC1" s="563" t="s">
        <v>15</v>
      </c>
      <c r="OPD1" s="563"/>
      <c r="OPE1" s="563"/>
      <c r="OPF1" s="563"/>
      <c r="OPG1" s="563"/>
      <c r="OPH1" s="563"/>
      <c r="OPI1" s="563"/>
      <c r="OPJ1" s="563"/>
      <c r="OPK1" s="563" t="s">
        <v>15</v>
      </c>
      <c r="OPL1" s="563"/>
      <c r="OPM1" s="563"/>
      <c r="OPN1" s="563"/>
      <c r="OPO1" s="563"/>
      <c r="OPP1" s="563"/>
      <c r="OPQ1" s="563"/>
      <c r="OPR1" s="563"/>
      <c r="OPS1" s="563" t="s">
        <v>15</v>
      </c>
      <c r="OPT1" s="563"/>
      <c r="OPU1" s="563"/>
      <c r="OPV1" s="563"/>
      <c r="OPW1" s="563"/>
      <c r="OPX1" s="563"/>
      <c r="OPY1" s="563"/>
      <c r="OPZ1" s="563"/>
      <c r="OQA1" s="563" t="s">
        <v>15</v>
      </c>
      <c r="OQB1" s="563"/>
      <c r="OQC1" s="563"/>
      <c r="OQD1" s="563"/>
      <c r="OQE1" s="563"/>
      <c r="OQF1" s="563"/>
      <c r="OQG1" s="563"/>
      <c r="OQH1" s="563"/>
      <c r="OQI1" s="563" t="s">
        <v>15</v>
      </c>
      <c r="OQJ1" s="563"/>
      <c r="OQK1" s="563"/>
      <c r="OQL1" s="563"/>
      <c r="OQM1" s="563"/>
      <c r="OQN1" s="563"/>
      <c r="OQO1" s="563"/>
      <c r="OQP1" s="563"/>
      <c r="OQQ1" s="563" t="s">
        <v>15</v>
      </c>
      <c r="OQR1" s="563"/>
      <c r="OQS1" s="563"/>
      <c r="OQT1" s="563"/>
      <c r="OQU1" s="563"/>
      <c r="OQV1" s="563"/>
      <c r="OQW1" s="563"/>
      <c r="OQX1" s="563"/>
      <c r="OQY1" s="563" t="s">
        <v>15</v>
      </c>
      <c r="OQZ1" s="563"/>
      <c r="ORA1" s="563"/>
      <c r="ORB1" s="563"/>
      <c r="ORC1" s="563"/>
      <c r="ORD1" s="563"/>
      <c r="ORE1" s="563"/>
      <c r="ORF1" s="563"/>
      <c r="ORG1" s="563" t="s">
        <v>15</v>
      </c>
      <c r="ORH1" s="563"/>
      <c r="ORI1" s="563"/>
      <c r="ORJ1" s="563"/>
      <c r="ORK1" s="563"/>
      <c r="ORL1" s="563"/>
      <c r="ORM1" s="563"/>
      <c r="ORN1" s="563"/>
      <c r="ORO1" s="563" t="s">
        <v>15</v>
      </c>
      <c r="ORP1" s="563"/>
      <c r="ORQ1" s="563"/>
      <c r="ORR1" s="563"/>
      <c r="ORS1" s="563"/>
      <c r="ORT1" s="563"/>
      <c r="ORU1" s="563"/>
      <c r="ORV1" s="563"/>
      <c r="ORW1" s="563" t="s">
        <v>15</v>
      </c>
      <c r="ORX1" s="563"/>
      <c r="ORY1" s="563"/>
      <c r="ORZ1" s="563"/>
      <c r="OSA1" s="563"/>
      <c r="OSB1" s="563"/>
      <c r="OSC1" s="563"/>
      <c r="OSD1" s="563"/>
      <c r="OSE1" s="563" t="s">
        <v>15</v>
      </c>
      <c r="OSF1" s="563"/>
      <c r="OSG1" s="563"/>
      <c r="OSH1" s="563"/>
      <c r="OSI1" s="563"/>
      <c r="OSJ1" s="563"/>
      <c r="OSK1" s="563"/>
      <c r="OSL1" s="563"/>
      <c r="OSM1" s="563" t="s">
        <v>15</v>
      </c>
      <c r="OSN1" s="563"/>
      <c r="OSO1" s="563"/>
      <c r="OSP1" s="563"/>
      <c r="OSQ1" s="563"/>
      <c r="OSR1" s="563"/>
      <c r="OSS1" s="563"/>
      <c r="OST1" s="563"/>
      <c r="OSU1" s="563" t="s">
        <v>15</v>
      </c>
      <c r="OSV1" s="563"/>
      <c r="OSW1" s="563"/>
      <c r="OSX1" s="563"/>
      <c r="OSY1" s="563"/>
      <c r="OSZ1" s="563"/>
      <c r="OTA1" s="563"/>
      <c r="OTB1" s="563"/>
      <c r="OTC1" s="563" t="s">
        <v>15</v>
      </c>
      <c r="OTD1" s="563"/>
      <c r="OTE1" s="563"/>
      <c r="OTF1" s="563"/>
      <c r="OTG1" s="563"/>
      <c r="OTH1" s="563"/>
      <c r="OTI1" s="563"/>
      <c r="OTJ1" s="563"/>
      <c r="OTK1" s="563" t="s">
        <v>15</v>
      </c>
      <c r="OTL1" s="563"/>
      <c r="OTM1" s="563"/>
      <c r="OTN1" s="563"/>
      <c r="OTO1" s="563"/>
      <c r="OTP1" s="563"/>
      <c r="OTQ1" s="563"/>
      <c r="OTR1" s="563"/>
      <c r="OTS1" s="563" t="s">
        <v>15</v>
      </c>
      <c r="OTT1" s="563"/>
      <c r="OTU1" s="563"/>
      <c r="OTV1" s="563"/>
      <c r="OTW1" s="563"/>
      <c r="OTX1" s="563"/>
      <c r="OTY1" s="563"/>
      <c r="OTZ1" s="563"/>
      <c r="OUA1" s="563" t="s">
        <v>15</v>
      </c>
      <c r="OUB1" s="563"/>
      <c r="OUC1" s="563"/>
      <c r="OUD1" s="563"/>
      <c r="OUE1" s="563"/>
      <c r="OUF1" s="563"/>
      <c r="OUG1" s="563"/>
      <c r="OUH1" s="563"/>
      <c r="OUI1" s="563" t="s">
        <v>15</v>
      </c>
      <c r="OUJ1" s="563"/>
      <c r="OUK1" s="563"/>
      <c r="OUL1" s="563"/>
      <c r="OUM1" s="563"/>
      <c r="OUN1" s="563"/>
      <c r="OUO1" s="563"/>
      <c r="OUP1" s="563"/>
      <c r="OUQ1" s="563" t="s">
        <v>15</v>
      </c>
      <c r="OUR1" s="563"/>
      <c r="OUS1" s="563"/>
      <c r="OUT1" s="563"/>
      <c r="OUU1" s="563"/>
      <c r="OUV1" s="563"/>
      <c r="OUW1" s="563"/>
      <c r="OUX1" s="563"/>
      <c r="OUY1" s="563" t="s">
        <v>15</v>
      </c>
      <c r="OUZ1" s="563"/>
      <c r="OVA1" s="563"/>
      <c r="OVB1" s="563"/>
      <c r="OVC1" s="563"/>
      <c r="OVD1" s="563"/>
      <c r="OVE1" s="563"/>
      <c r="OVF1" s="563"/>
      <c r="OVG1" s="563" t="s">
        <v>15</v>
      </c>
      <c r="OVH1" s="563"/>
      <c r="OVI1" s="563"/>
      <c r="OVJ1" s="563"/>
      <c r="OVK1" s="563"/>
      <c r="OVL1" s="563"/>
      <c r="OVM1" s="563"/>
      <c r="OVN1" s="563"/>
      <c r="OVO1" s="563" t="s">
        <v>15</v>
      </c>
      <c r="OVP1" s="563"/>
      <c r="OVQ1" s="563"/>
      <c r="OVR1" s="563"/>
      <c r="OVS1" s="563"/>
      <c r="OVT1" s="563"/>
      <c r="OVU1" s="563"/>
      <c r="OVV1" s="563"/>
      <c r="OVW1" s="563" t="s">
        <v>15</v>
      </c>
      <c r="OVX1" s="563"/>
      <c r="OVY1" s="563"/>
      <c r="OVZ1" s="563"/>
      <c r="OWA1" s="563"/>
      <c r="OWB1" s="563"/>
      <c r="OWC1" s="563"/>
      <c r="OWD1" s="563"/>
      <c r="OWE1" s="563" t="s">
        <v>15</v>
      </c>
      <c r="OWF1" s="563"/>
      <c r="OWG1" s="563"/>
      <c r="OWH1" s="563"/>
      <c r="OWI1" s="563"/>
      <c r="OWJ1" s="563"/>
      <c r="OWK1" s="563"/>
      <c r="OWL1" s="563"/>
      <c r="OWM1" s="563" t="s">
        <v>15</v>
      </c>
      <c r="OWN1" s="563"/>
      <c r="OWO1" s="563"/>
      <c r="OWP1" s="563"/>
      <c r="OWQ1" s="563"/>
      <c r="OWR1" s="563"/>
      <c r="OWS1" s="563"/>
      <c r="OWT1" s="563"/>
      <c r="OWU1" s="563" t="s">
        <v>15</v>
      </c>
      <c r="OWV1" s="563"/>
      <c r="OWW1" s="563"/>
      <c r="OWX1" s="563"/>
      <c r="OWY1" s="563"/>
      <c r="OWZ1" s="563"/>
      <c r="OXA1" s="563"/>
      <c r="OXB1" s="563"/>
      <c r="OXC1" s="563" t="s">
        <v>15</v>
      </c>
      <c r="OXD1" s="563"/>
      <c r="OXE1" s="563"/>
      <c r="OXF1" s="563"/>
      <c r="OXG1" s="563"/>
      <c r="OXH1" s="563"/>
      <c r="OXI1" s="563"/>
      <c r="OXJ1" s="563"/>
      <c r="OXK1" s="563" t="s">
        <v>15</v>
      </c>
      <c r="OXL1" s="563"/>
      <c r="OXM1" s="563"/>
      <c r="OXN1" s="563"/>
      <c r="OXO1" s="563"/>
      <c r="OXP1" s="563"/>
      <c r="OXQ1" s="563"/>
      <c r="OXR1" s="563"/>
      <c r="OXS1" s="563" t="s">
        <v>15</v>
      </c>
      <c r="OXT1" s="563"/>
      <c r="OXU1" s="563"/>
      <c r="OXV1" s="563"/>
      <c r="OXW1" s="563"/>
      <c r="OXX1" s="563"/>
      <c r="OXY1" s="563"/>
      <c r="OXZ1" s="563"/>
      <c r="OYA1" s="563" t="s">
        <v>15</v>
      </c>
      <c r="OYB1" s="563"/>
      <c r="OYC1" s="563"/>
      <c r="OYD1" s="563"/>
      <c r="OYE1" s="563"/>
      <c r="OYF1" s="563"/>
      <c r="OYG1" s="563"/>
      <c r="OYH1" s="563"/>
      <c r="OYI1" s="563" t="s">
        <v>15</v>
      </c>
      <c r="OYJ1" s="563"/>
      <c r="OYK1" s="563"/>
      <c r="OYL1" s="563"/>
      <c r="OYM1" s="563"/>
      <c r="OYN1" s="563"/>
      <c r="OYO1" s="563"/>
      <c r="OYP1" s="563"/>
      <c r="OYQ1" s="563" t="s">
        <v>15</v>
      </c>
      <c r="OYR1" s="563"/>
      <c r="OYS1" s="563"/>
      <c r="OYT1" s="563"/>
      <c r="OYU1" s="563"/>
      <c r="OYV1" s="563"/>
      <c r="OYW1" s="563"/>
      <c r="OYX1" s="563"/>
      <c r="OYY1" s="563" t="s">
        <v>15</v>
      </c>
      <c r="OYZ1" s="563"/>
      <c r="OZA1" s="563"/>
      <c r="OZB1" s="563"/>
      <c r="OZC1" s="563"/>
      <c r="OZD1" s="563"/>
      <c r="OZE1" s="563"/>
      <c r="OZF1" s="563"/>
      <c r="OZG1" s="563" t="s">
        <v>15</v>
      </c>
      <c r="OZH1" s="563"/>
      <c r="OZI1" s="563"/>
      <c r="OZJ1" s="563"/>
      <c r="OZK1" s="563"/>
      <c r="OZL1" s="563"/>
      <c r="OZM1" s="563"/>
      <c r="OZN1" s="563"/>
      <c r="OZO1" s="563" t="s">
        <v>15</v>
      </c>
      <c r="OZP1" s="563"/>
      <c r="OZQ1" s="563"/>
      <c r="OZR1" s="563"/>
      <c r="OZS1" s="563"/>
      <c r="OZT1" s="563"/>
      <c r="OZU1" s="563"/>
      <c r="OZV1" s="563"/>
      <c r="OZW1" s="563" t="s">
        <v>15</v>
      </c>
      <c r="OZX1" s="563"/>
      <c r="OZY1" s="563"/>
      <c r="OZZ1" s="563"/>
      <c r="PAA1" s="563"/>
      <c r="PAB1" s="563"/>
      <c r="PAC1" s="563"/>
      <c r="PAD1" s="563"/>
      <c r="PAE1" s="563" t="s">
        <v>15</v>
      </c>
      <c r="PAF1" s="563"/>
      <c r="PAG1" s="563"/>
      <c r="PAH1" s="563"/>
      <c r="PAI1" s="563"/>
      <c r="PAJ1" s="563"/>
      <c r="PAK1" s="563"/>
      <c r="PAL1" s="563"/>
      <c r="PAM1" s="563" t="s">
        <v>15</v>
      </c>
      <c r="PAN1" s="563"/>
      <c r="PAO1" s="563"/>
      <c r="PAP1" s="563"/>
      <c r="PAQ1" s="563"/>
      <c r="PAR1" s="563"/>
      <c r="PAS1" s="563"/>
      <c r="PAT1" s="563"/>
      <c r="PAU1" s="563" t="s">
        <v>15</v>
      </c>
      <c r="PAV1" s="563"/>
      <c r="PAW1" s="563"/>
      <c r="PAX1" s="563"/>
      <c r="PAY1" s="563"/>
      <c r="PAZ1" s="563"/>
      <c r="PBA1" s="563"/>
      <c r="PBB1" s="563"/>
      <c r="PBC1" s="563" t="s">
        <v>15</v>
      </c>
      <c r="PBD1" s="563"/>
      <c r="PBE1" s="563"/>
      <c r="PBF1" s="563"/>
      <c r="PBG1" s="563"/>
      <c r="PBH1" s="563"/>
      <c r="PBI1" s="563"/>
      <c r="PBJ1" s="563"/>
      <c r="PBK1" s="563" t="s">
        <v>15</v>
      </c>
      <c r="PBL1" s="563"/>
      <c r="PBM1" s="563"/>
      <c r="PBN1" s="563"/>
      <c r="PBO1" s="563"/>
      <c r="PBP1" s="563"/>
      <c r="PBQ1" s="563"/>
      <c r="PBR1" s="563"/>
      <c r="PBS1" s="563" t="s">
        <v>15</v>
      </c>
      <c r="PBT1" s="563"/>
      <c r="PBU1" s="563"/>
      <c r="PBV1" s="563"/>
      <c r="PBW1" s="563"/>
      <c r="PBX1" s="563"/>
      <c r="PBY1" s="563"/>
      <c r="PBZ1" s="563"/>
      <c r="PCA1" s="563" t="s">
        <v>15</v>
      </c>
      <c r="PCB1" s="563"/>
      <c r="PCC1" s="563"/>
      <c r="PCD1" s="563"/>
      <c r="PCE1" s="563"/>
      <c r="PCF1" s="563"/>
      <c r="PCG1" s="563"/>
      <c r="PCH1" s="563"/>
      <c r="PCI1" s="563" t="s">
        <v>15</v>
      </c>
      <c r="PCJ1" s="563"/>
      <c r="PCK1" s="563"/>
      <c r="PCL1" s="563"/>
      <c r="PCM1" s="563"/>
      <c r="PCN1" s="563"/>
      <c r="PCO1" s="563"/>
      <c r="PCP1" s="563"/>
      <c r="PCQ1" s="563" t="s">
        <v>15</v>
      </c>
      <c r="PCR1" s="563"/>
      <c r="PCS1" s="563"/>
      <c r="PCT1" s="563"/>
      <c r="PCU1" s="563"/>
      <c r="PCV1" s="563"/>
      <c r="PCW1" s="563"/>
      <c r="PCX1" s="563"/>
      <c r="PCY1" s="563" t="s">
        <v>15</v>
      </c>
      <c r="PCZ1" s="563"/>
      <c r="PDA1" s="563"/>
      <c r="PDB1" s="563"/>
      <c r="PDC1" s="563"/>
      <c r="PDD1" s="563"/>
      <c r="PDE1" s="563"/>
      <c r="PDF1" s="563"/>
      <c r="PDG1" s="563" t="s">
        <v>15</v>
      </c>
      <c r="PDH1" s="563"/>
      <c r="PDI1" s="563"/>
      <c r="PDJ1" s="563"/>
      <c r="PDK1" s="563"/>
      <c r="PDL1" s="563"/>
      <c r="PDM1" s="563"/>
      <c r="PDN1" s="563"/>
      <c r="PDO1" s="563" t="s">
        <v>15</v>
      </c>
      <c r="PDP1" s="563"/>
      <c r="PDQ1" s="563"/>
      <c r="PDR1" s="563"/>
      <c r="PDS1" s="563"/>
      <c r="PDT1" s="563"/>
      <c r="PDU1" s="563"/>
      <c r="PDV1" s="563"/>
      <c r="PDW1" s="563" t="s">
        <v>15</v>
      </c>
      <c r="PDX1" s="563"/>
      <c r="PDY1" s="563"/>
      <c r="PDZ1" s="563"/>
      <c r="PEA1" s="563"/>
      <c r="PEB1" s="563"/>
      <c r="PEC1" s="563"/>
      <c r="PED1" s="563"/>
      <c r="PEE1" s="563" t="s">
        <v>15</v>
      </c>
      <c r="PEF1" s="563"/>
      <c r="PEG1" s="563"/>
      <c r="PEH1" s="563"/>
      <c r="PEI1" s="563"/>
      <c r="PEJ1" s="563"/>
      <c r="PEK1" s="563"/>
      <c r="PEL1" s="563"/>
      <c r="PEM1" s="563" t="s">
        <v>15</v>
      </c>
      <c r="PEN1" s="563"/>
      <c r="PEO1" s="563"/>
      <c r="PEP1" s="563"/>
      <c r="PEQ1" s="563"/>
      <c r="PER1" s="563"/>
      <c r="PES1" s="563"/>
      <c r="PET1" s="563"/>
      <c r="PEU1" s="563" t="s">
        <v>15</v>
      </c>
      <c r="PEV1" s="563"/>
      <c r="PEW1" s="563"/>
      <c r="PEX1" s="563"/>
      <c r="PEY1" s="563"/>
      <c r="PEZ1" s="563"/>
      <c r="PFA1" s="563"/>
      <c r="PFB1" s="563"/>
      <c r="PFC1" s="563" t="s">
        <v>15</v>
      </c>
      <c r="PFD1" s="563"/>
      <c r="PFE1" s="563"/>
      <c r="PFF1" s="563"/>
      <c r="PFG1" s="563"/>
      <c r="PFH1" s="563"/>
      <c r="PFI1" s="563"/>
      <c r="PFJ1" s="563"/>
      <c r="PFK1" s="563" t="s">
        <v>15</v>
      </c>
      <c r="PFL1" s="563"/>
      <c r="PFM1" s="563"/>
      <c r="PFN1" s="563"/>
      <c r="PFO1" s="563"/>
      <c r="PFP1" s="563"/>
      <c r="PFQ1" s="563"/>
      <c r="PFR1" s="563"/>
      <c r="PFS1" s="563" t="s">
        <v>15</v>
      </c>
      <c r="PFT1" s="563"/>
      <c r="PFU1" s="563"/>
      <c r="PFV1" s="563"/>
      <c r="PFW1" s="563"/>
      <c r="PFX1" s="563"/>
      <c r="PFY1" s="563"/>
      <c r="PFZ1" s="563"/>
      <c r="PGA1" s="563" t="s">
        <v>15</v>
      </c>
      <c r="PGB1" s="563"/>
      <c r="PGC1" s="563"/>
      <c r="PGD1" s="563"/>
      <c r="PGE1" s="563"/>
      <c r="PGF1" s="563"/>
      <c r="PGG1" s="563"/>
      <c r="PGH1" s="563"/>
      <c r="PGI1" s="563" t="s">
        <v>15</v>
      </c>
      <c r="PGJ1" s="563"/>
      <c r="PGK1" s="563"/>
      <c r="PGL1" s="563"/>
      <c r="PGM1" s="563"/>
      <c r="PGN1" s="563"/>
      <c r="PGO1" s="563"/>
      <c r="PGP1" s="563"/>
      <c r="PGQ1" s="563" t="s">
        <v>15</v>
      </c>
      <c r="PGR1" s="563"/>
      <c r="PGS1" s="563"/>
      <c r="PGT1" s="563"/>
      <c r="PGU1" s="563"/>
      <c r="PGV1" s="563"/>
      <c r="PGW1" s="563"/>
      <c r="PGX1" s="563"/>
      <c r="PGY1" s="563" t="s">
        <v>15</v>
      </c>
      <c r="PGZ1" s="563"/>
      <c r="PHA1" s="563"/>
      <c r="PHB1" s="563"/>
      <c r="PHC1" s="563"/>
      <c r="PHD1" s="563"/>
      <c r="PHE1" s="563"/>
      <c r="PHF1" s="563"/>
      <c r="PHG1" s="563" t="s">
        <v>15</v>
      </c>
      <c r="PHH1" s="563"/>
      <c r="PHI1" s="563"/>
      <c r="PHJ1" s="563"/>
      <c r="PHK1" s="563"/>
      <c r="PHL1" s="563"/>
      <c r="PHM1" s="563"/>
      <c r="PHN1" s="563"/>
      <c r="PHO1" s="563" t="s">
        <v>15</v>
      </c>
      <c r="PHP1" s="563"/>
      <c r="PHQ1" s="563"/>
      <c r="PHR1" s="563"/>
      <c r="PHS1" s="563"/>
      <c r="PHT1" s="563"/>
      <c r="PHU1" s="563"/>
      <c r="PHV1" s="563"/>
      <c r="PHW1" s="563" t="s">
        <v>15</v>
      </c>
      <c r="PHX1" s="563"/>
      <c r="PHY1" s="563"/>
      <c r="PHZ1" s="563"/>
      <c r="PIA1" s="563"/>
      <c r="PIB1" s="563"/>
      <c r="PIC1" s="563"/>
      <c r="PID1" s="563"/>
      <c r="PIE1" s="563" t="s">
        <v>15</v>
      </c>
      <c r="PIF1" s="563"/>
      <c r="PIG1" s="563"/>
      <c r="PIH1" s="563"/>
      <c r="PII1" s="563"/>
      <c r="PIJ1" s="563"/>
      <c r="PIK1" s="563"/>
      <c r="PIL1" s="563"/>
      <c r="PIM1" s="563" t="s">
        <v>15</v>
      </c>
      <c r="PIN1" s="563"/>
      <c r="PIO1" s="563"/>
      <c r="PIP1" s="563"/>
      <c r="PIQ1" s="563"/>
      <c r="PIR1" s="563"/>
      <c r="PIS1" s="563"/>
      <c r="PIT1" s="563"/>
      <c r="PIU1" s="563" t="s">
        <v>15</v>
      </c>
      <c r="PIV1" s="563"/>
      <c r="PIW1" s="563"/>
      <c r="PIX1" s="563"/>
      <c r="PIY1" s="563"/>
      <c r="PIZ1" s="563"/>
      <c r="PJA1" s="563"/>
      <c r="PJB1" s="563"/>
      <c r="PJC1" s="563" t="s">
        <v>15</v>
      </c>
      <c r="PJD1" s="563"/>
      <c r="PJE1" s="563"/>
      <c r="PJF1" s="563"/>
      <c r="PJG1" s="563"/>
      <c r="PJH1" s="563"/>
      <c r="PJI1" s="563"/>
      <c r="PJJ1" s="563"/>
      <c r="PJK1" s="563" t="s">
        <v>15</v>
      </c>
      <c r="PJL1" s="563"/>
      <c r="PJM1" s="563"/>
      <c r="PJN1" s="563"/>
      <c r="PJO1" s="563"/>
      <c r="PJP1" s="563"/>
      <c r="PJQ1" s="563"/>
      <c r="PJR1" s="563"/>
      <c r="PJS1" s="563" t="s">
        <v>15</v>
      </c>
      <c r="PJT1" s="563"/>
      <c r="PJU1" s="563"/>
      <c r="PJV1" s="563"/>
      <c r="PJW1" s="563"/>
      <c r="PJX1" s="563"/>
      <c r="PJY1" s="563"/>
      <c r="PJZ1" s="563"/>
      <c r="PKA1" s="563" t="s">
        <v>15</v>
      </c>
      <c r="PKB1" s="563"/>
      <c r="PKC1" s="563"/>
      <c r="PKD1" s="563"/>
      <c r="PKE1" s="563"/>
      <c r="PKF1" s="563"/>
      <c r="PKG1" s="563"/>
      <c r="PKH1" s="563"/>
      <c r="PKI1" s="563" t="s">
        <v>15</v>
      </c>
      <c r="PKJ1" s="563"/>
      <c r="PKK1" s="563"/>
      <c r="PKL1" s="563"/>
      <c r="PKM1" s="563"/>
      <c r="PKN1" s="563"/>
      <c r="PKO1" s="563"/>
      <c r="PKP1" s="563"/>
      <c r="PKQ1" s="563" t="s">
        <v>15</v>
      </c>
      <c r="PKR1" s="563"/>
      <c r="PKS1" s="563"/>
      <c r="PKT1" s="563"/>
      <c r="PKU1" s="563"/>
      <c r="PKV1" s="563"/>
      <c r="PKW1" s="563"/>
      <c r="PKX1" s="563"/>
      <c r="PKY1" s="563" t="s">
        <v>15</v>
      </c>
      <c r="PKZ1" s="563"/>
      <c r="PLA1" s="563"/>
      <c r="PLB1" s="563"/>
      <c r="PLC1" s="563"/>
      <c r="PLD1" s="563"/>
      <c r="PLE1" s="563"/>
      <c r="PLF1" s="563"/>
      <c r="PLG1" s="563" t="s">
        <v>15</v>
      </c>
      <c r="PLH1" s="563"/>
      <c r="PLI1" s="563"/>
      <c r="PLJ1" s="563"/>
      <c r="PLK1" s="563"/>
      <c r="PLL1" s="563"/>
      <c r="PLM1" s="563"/>
      <c r="PLN1" s="563"/>
      <c r="PLO1" s="563" t="s">
        <v>15</v>
      </c>
      <c r="PLP1" s="563"/>
      <c r="PLQ1" s="563"/>
      <c r="PLR1" s="563"/>
      <c r="PLS1" s="563"/>
      <c r="PLT1" s="563"/>
      <c r="PLU1" s="563"/>
      <c r="PLV1" s="563"/>
      <c r="PLW1" s="563" t="s">
        <v>15</v>
      </c>
      <c r="PLX1" s="563"/>
      <c r="PLY1" s="563"/>
      <c r="PLZ1" s="563"/>
      <c r="PMA1" s="563"/>
      <c r="PMB1" s="563"/>
      <c r="PMC1" s="563"/>
      <c r="PMD1" s="563"/>
      <c r="PME1" s="563" t="s">
        <v>15</v>
      </c>
      <c r="PMF1" s="563"/>
      <c r="PMG1" s="563"/>
      <c r="PMH1" s="563"/>
      <c r="PMI1" s="563"/>
      <c r="PMJ1" s="563"/>
      <c r="PMK1" s="563"/>
      <c r="PML1" s="563"/>
      <c r="PMM1" s="563" t="s">
        <v>15</v>
      </c>
      <c r="PMN1" s="563"/>
      <c r="PMO1" s="563"/>
      <c r="PMP1" s="563"/>
      <c r="PMQ1" s="563"/>
      <c r="PMR1" s="563"/>
      <c r="PMS1" s="563"/>
      <c r="PMT1" s="563"/>
      <c r="PMU1" s="563" t="s">
        <v>15</v>
      </c>
      <c r="PMV1" s="563"/>
      <c r="PMW1" s="563"/>
      <c r="PMX1" s="563"/>
      <c r="PMY1" s="563"/>
      <c r="PMZ1" s="563"/>
      <c r="PNA1" s="563"/>
      <c r="PNB1" s="563"/>
      <c r="PNC1" s="563" t="s">
        <v>15</v>
      </c>
      <c r="PND1" s="563"/>
      <c r="PNE1" s="563"/>
      <c r="PNF1" s="563"/>
      <c r="PNG1" s="563"/>
      <c r="PNH1" s="563"/>
      <c r="PNI1" s="563"/>
      <c r="PNJ1" s="563"/>
      <c r="PNK1" s="563" t="s">
        <v>15</v>
      </c>
      <c r="PNL1" s="563"/>
      <c r="PNM1" s="563"/>
      <c r="PNN1" s="563"/>
      <c r="PNO1" s="563"/>
      <c r="PNP1" s="563"/>
      <c r="PNQ1" s="563"/>
      <c r="PNR1" s="563"/>
      <c r="PNS1" s="563" t="s">
        <v>15</v>
      </c>
      <c r="PNT1" s="563"/>
      <c r="PNU1" s="563"/>
      <c r="PNV1" s="563"/>
      <c r="PNW1" s="563"/>
      <c r="PNX1" s="563"/>
      <c r="PNY1" s="563"/>
      <c r="PNZ1" s="563"/>
      <c r="POA1" s="563" t="s">
        <v>15</v>
      </c>
      <c r="POB1" s="563"/>
      <c r="POC1" s="563"/>
      <c r="POD1" s="563"/>
      <c r="POE1" s="563"/>
      <c r="POF1" s="563"/>
      <c r="POG1" s="563"/>
      <c r="POH1" s="563"/>
      <c r="POI1" s="563" t="s">
        <v>15</v>
      </c>
      <c r="POJ1" s="563"/>
      <c r="POK1" s="563"/>
      <c r="POL1" s="563"/>
      <c r="POM1" s="563"/>
      <c r="PON1" s="563"/>
      <c r="POO1" s="563"/>
      <c r="POP1" s="563"/>
      <c r="POQ1" s="563" t="s">
        <v>15</v>
      </c>
      <c r="POR1" s="563"/>
      <c r="POS1" s="563"/>
      <c r="POT1" s="563"/>
      <c r="POU1" s="563"/>
      <c r="POV1" s="563"/>
      <c r="POW1" s="563"/>
      <c r="POX1" s="563"/>
      <c r="POY1" s="563" t="s">
        <v>15</v>
      </c>
      <c r="POZ1" s="563"/>
      <c r="PPA1" s="563"/>
      <c r="PPB1" s="563"/>
      <c r="PPC1" s="563"/>
      <c r="PPD1" s="563"/>
      <c r="PPE1" s="563"/>
      <c r="PPF1" s="563"/>
      <c r="PPG1" s="563" t="s">
        <v>15</v>
      </c>
      <c r="PPH1" s="563"/>
      <c r="PPI1" s="563"/>
      <c r="PPJ1" s="563"/>
      <c r="PPK1" s="563"/>
      <c r="PPL1" s="563"/>
      <c r="PPM1" s="563"/>
      <c r="PPN1" s="563"/>
      <c r="PPO1" s="563" t="s">
        <v>15</v>
      </c>
      <c r="PPP1" s="563"/>
      <c r="PPQ1" s="563"/>
      <c r="PPR1" s="563"/>
      <c r="PPS1" s="563"/>
      <c r="PPT1" s="563"/>
      <c r="PPU1" s="563"/>
      <c r="PPV1" s="563"/>
      <c r="PPW1" s="563" t="s">
        <v>15</v>
      </c>
      <c r="PPX1" s="563"/>
      <c r="PPY1" s="563"/>
      <c r="PPZ1" s="563"/>
      <c r="PQA1" s="563"/>
      <c r="PQB1" s="563"/>
      <c r="PQC1" s="563"/>
      <c r="PQD1" s="563"/>
      <c r="PQE1" s="563" t="s">
        <v>15</v>
      </c>
      <c r="PQF1" s="563"/>
      <c r="PQG1" s="563"/>
      <c r="PQH1" s="563"/>
      <c r="PQI1" s="563"/>
      <c r="PQJ1" s="563"/>
      <c r="PQK1" s="563"/>
      <c r="PQL1" s="563"/>
      <c r="PQM1" s="563" t="s">
        <v>15</v>
      </c>
      <c r="PQN1" s="563"/>
      <c r="PQO1" s="563"/>
      <c r="PQP1" s="563"/>
      <c r="PQQ1" s="563"/>
      <c r="PQR1" s="563"/>
      <c r="PQS1" s="563"/>
      <c r="PQT1" s="563"/>
      <c r="PQU1" s="563" t="s">
        <v>15</v>
      </c>
      <c r="PQV1" s="563"/>
      <c r="PQW1" s="563"/>
      <c r="PQX1" s="563"/>
      <c r="PQY1" s="563"/>
      <c r="PQZ1" s="563"/>
      <c r="PRA1" s="563"/>
      <c r="PRB1" s="563"/>
      <c r="PRC1" s="563" t="s">
        <v>15</v>
      </c>
      <c r="PRD1" s="563"/>
      <c r="PRE1" s="563"/>
      <c r="PRF1" s="563"/>
      <c r="PRG1" s="563"/>
      <c r="PRH1" s="563"/>
      <c r="PRI1" s="563"/>
      <c r="PRJ1" s="563"/>
      <c r="PRK1" s="563" t="s">
        <v>15</v>
      </c>
      <c r="PRL1" s="563"/>
      <c r="PRM1" s="563"/>
      <c r="PRN1" s="563"/>
      <c r="PRO1" s="563"/>
      <c r="PRP1" s="563"/>
      <c r="PRQ1" s="563"/>
      <c r="PRR1" s="563"/>
      <c r="PRS1" s="563" t="s">
        <v>15</v>
      </c>
      <c r="PRT1" s="563"/>
      <c r="PRU1" s="563"/>
      <c r="PRV1" s="563"/>
      <c r="PRW1" s="563"/>
      <c r="PRX1" s="563"/>
      <c r="PRY1" s="563"/>
      <c r="PRZ1" s="563"/>
      <c r="PSA1" s="563" t="s">
        <v>15</v>
      </c>
      <c r="PSB1" s="563"/>
      <c r="PSC1" s="563"/>
      <c r="PSD1" s="563"/>
      <c r="PSE1" s="563"/>
      <c r="PSF1" s="563"/>
      <c r="PSG1" s="563"/>
      <c r="PSH1" s="563"/>
      <c r="PSI1" s="563" t="s">
        <v>15</v>
      </c>
      <c r="PSJ1" s="563"/>
      <c r="PSK1" s="563"/>
      <c r="PSL1" s="563"/>
      <c r="PSM1" s="563"/>
      <c r="PSN1" s="563"/>
      <c r="PSO1" s="563"/>
      <c r="PSP1" s="563"/>
      <c r="PSQ1" s="563" t="s">
        <v>15</v>
      </c>
      <c r="PSR1" s="563"/>
      <c r="PSS1" s="563"/>
      <c r="PST1" s="563"/>
      <c r="PSU1" s="563"/>
      <c r="PSV1" s="563"/>
      <c r="PSW1" s="563"/>
      <c r="PSX1" s="563"/>
      <c r="PSY1" s="563" t="s">
        <v>15</v>
      </c>
      <c r="PSZ1" s="563"/>
      <c r="PTA1" s="563"/>
      <c r="PTB1" s="563"/>
      <c r="PTC1" s="563"/>
      <c r="PTD1" s="563"/>
      <c r="PTE1" s="563"/>
      <c r="PTF1" s="563"/>
      <c r="PTG1" s="563" t="s">
        <v>15</v>
      </c>
      <c r="PTH1" s="563"/>
      <c r="PTI1" s="563"/>
      <c r="PTJ1" s="563"/>
      <c r="PTK1" s="563"/>
      <c r="PTL1" s="563"/>
      <c r="PTM1" s="563"/>
      <c r="PTN1" s="563"/>
      <c r="PTO1" s="563" t="s">
        <v>15</v>
      </c>
      <c r="PTP1" s="563"/>
      <c r="PTQ1" s="563"/>
      <c r="PTR1" s="563"/>
      <c r="PTS1" s="563"/>
      <c r="PTT1" s="563"/>
      <c r="PTU1" s="563"/>
      <c r="PTV1" s="563"/>
      <c r="PTW1" s="563" t="s">
        <v>15</v>
      </c>
      <c r="PTX1" s="563"/>
      <c r="PTY1" s="563"/>
      <c r="PTZ1" s="563"/>
      <c r="PUA1" s="563"/>
      <c r="PUB1" s="563"/>
      <c r="PUC1" s="563"/>
      <c r="PUD1" s="563"/>
      <c r="PUE1" s="563" t="s">
        <v>15</v>
      </c>
      <c r="PUF1" s="563"/>
      <c r="PUG1" s="563"/>
      <c r="PUH1" s="563"/>
      <c r="PUI1" s="563"/>
      <c r="PUJ1" s="563"/>
      <c r="PUK1" s="563"/>
      <c r="PUL1" s="563"/>
      <c r="PUM1" s="563" t="s">
        <v>15</v>
      </c>
      <c r="PUN1" s="563"/>
      <c r="PUO1" s="563"/>
      <c r="PUP1" s="563"/>
      <c r="PUQ1" s="563"/>
      <c r="PUR1" s="563"/>
      <c r="PUS1" s="563"/>
      <c r="PUT1" s="563"/>
      <c r="PUU1" s="563" t="s">
        <v>15</v>
      </c>
      <c r="PUV1" s="563"/>
      <c r="PUW1" s="563"/>
      <c r="PUX1" s="563"/>
      <c r="PUY1" s="563"/>
      <c r="PUZ1" s="563"/>
      <c r="PVA1" s="563"/>
      <c r="PVB1" s="563"/>
      <c r="PVC1" s="563" t="s">
        <v>15</v>
      </c>
      <c r="PVD1" s="563"/>
      <c r="PVE1" s="563"/>
      <c r="PVF1" s="563"/>
      <c r="PVG1" s="563"/>
      <c r="PVH1" s="563"/>
      <c r="PVI1" s="563"/>
      <c r="PVJ1" s="563"/>
      <c r="PVK1" s="563" t="s">
        <v>15</v>
      </c>
      <c r="PVL1" s="563"/>
      <c r="PVM1" s="563"/>
      <c r="PVN1" s="563"/>
      <c r="PVO1" s="563"/>
      <c r="PVP1" s="563"/>
      <c r="PVQ1" s="563"/>
      <c r="PVR1" s="563"/>
      <c r="PVS1" s="563" t="s">
        <v>15</v>
      </c>
      <c r="PVT1" s="563"/>
      <c r="PVU1" s="563"/>
      <c r="PVV1" s="563"/>
      <c r="PVW1" s="563"/>
      <c r="PVX1" s="563"/>
      <c r="PVY1" s="563"/>
      <c r="PVZ1" s="563"/>
      <c r="PWA1" s="563" t="s">
        <v>15</v>
      </c>
      <c r="PWB1" s="563"/>
      <c r="PWC1" s="563"/>
      <c r="PWD1" s="563"/>
      <c r="PWE1" s="563"/>
      <c r="PWF1" s="563"/>
      <c r="PWG1" s="563"/>
      <c r="PWH1" s="563"/>
      <c r="PWI1" s="563" t="s">
        <v>15</v>
      </c>
      <c r="PWJ1" s="563"/>
      <c r="PWK1" s="563"/>
      <c r="PWL1" s="563"/>
      <c r="PWM1" s="563"/>
      <c r="PWN1" s="563"/>
      <c r="PWO1" s="563"/>
      <c r="PWP1" s="563"/>
      <c r="PWQ1" s="563" t="s">
        <v>15</v>
      </c>
      <c r="PWR1" s="563"/>
      <c r="PWS1" s="563"/>
      <c r="PWT1" s="563"/>
      <c r="PWU1" s="563"/>
      <c r="PWV1" s="563"/>
      <c r="PWW1" s="563"/>
      <c r="PWX1" s="563"/>
      <c r="PWY1" s="563" t="s">
        <v>15</v>
      </c>
      <c r="PWZ1" s="563"/>
      <c r="PXA1" s="563"/>
      <c r="PXB1" s="563"/>
      <c r="PXC1" s="563"/>
      <c r="PXD1" s="563"/>
      <c r="PXE1" s="563"/>
      <c r="PXF1" s="563"/>
      <c r="PXG1" s="563" t="s">
        <v>15</v>
      </c>
      <c r="PXH1" s="563"/>
      <c r="PXI1" s="563"/>
      <c r="PXJ1" s="563"/>
      <c r="PXK1" s="563"/>
      <c r="PXL1" s="563"/>
      <c r="PXM1" s="563"/>
      <c r="PXN1" s="563"/>
      <c r="PXO1" s="563" t="s">
        <v>15</v>
      </c>
      <c r="PXP1" s="563"/>
      <c r="PXQ1" s="563"/>
      <c r="PXR1" s="563"/>
      <c r="PXS1" s="563"/>
      <c r="PXT1" s="563"/>
      <c r="PXU1" s="563"/>
      <c r="PXV1" s="563"/>
      <c r="PXW1" s="563" t="s">
        <v>15</v>
      </c>
      <c r="PXX1" s="563"/>
      <c r="PXY1" s="563"/>
      <c r="PXZ1" s="563"/>
      <c r="PYA1" s="563"/>
      <c r="PYB1" s="563"/>
      <c r="PYC1" s="563"/>
      <c r="PYD1" s="563"/>
      <c r="PYE1" s="563" t="s">
        <v>15</v>
      </c>
      <c r="PYF1" s="563"/>
      <c r="PYG1" s="563"/>
      <c r="PYH1" s="563"/>
      <c r="PYI1" s="563"/>
      <c r="PYJ1" s="563"/>
      <c r="PYK1" s="563"/>
      <c r="PYL1" s="563"/>
      <c r="PYM1" s="563" t="s">
        <v>15</v>
      </c>
      <c r="PYN1" s="563"/>
      <c r="PYO1" s="563"/>
      <c r="PYP1" s="563"/>
      <c r="PYQ1" s="563"/>
      <c r="PYR1" s="563"/>
      <c r="PYS1" s="563"/>
      <c r="PYT1" s="563"/>
      <c r="PYU1" s="563" t="s">
        <v>15</v>
      </c>
      <c r="PYV1" s="563"/>
      <c r="PYW1" s="563"/>
      <c r="PYX1" s="563"/>
      <c r="PYY1" s="563"/>
      <c r="PYZ1" s="563"/>
      <c r="PZA1" s="563"/>
      <c r="PZB1" s="563"/>
      <c r="PZC1" s="563" t="s">
        <v>15</v>
      </c>
      <c r="PZD1" s="563"/>
      <c r="PZE1" s="563"/>
      <c r="PZF1" s="563"/>
      <c r="PZG1" s="563"/>
      <c r="PZH1" s="563"/>
      <c r="PZI1" s="563"/>
      <c r="PZJ1" s="563"/>
      <c r="PZK1" s="563" t="s">
        <v>15</v>
      </c>
      <c r="PZL1" s="563"/>
      <c r="PZM1" s="563"/>
      <c r="PZN1" s="563"/>
      <c r="PZO1" s="563"/>
      <c r="PZP1" s="563"/>
      <c r="PZQ1" s="563"/>
      <c r="PZR1" s="563"/>
      <c r="PZS1" s="563" t="s">
        <v>15</v>
      </c>
      <c r="PZT1" s="563"/>
      <c r="PZU1" s="563"/>
      <c r="PZV1" s="563"/>
      <c r="PZW1" s="563"/>
      <c r="PZX1" s="563"/>
      <c r="PZY1" s="563"/>
      <c r="PZZ1" s="563"/>
      <c r="QAA1" s="563" t="s">
        <v>15</v>
      </c>
      <c r="QAB1" s="563"/>
      <c r="QAC1" s="563"/>
      <c r="QAD1" s="563"/>
      <c r="QAE1" s="563"/>
      <c r="QAF1" s="563"/>
      <c r="QAG1" s="563"/>
      <c r="QAH1" s="563"/>
      <c r="QAI1" s="563" t="s">
        <v>15</v>
      </c>
      <c r="QAJ1" s="563"/>
      <c r="QAK1" s="563"/>
      <c r="QAL1" s="563"/>
      <c r="QAM1" s="563"/>
      <c r="QAN1" s="563"/>
      <c r="QAO1" s="563"/>
      <c r="QAP1" s="563"/>
      <c r="QAQ1" s="563" t="s">
        <v>15</v>
      </c>
      <c r="QAR1" s="563"/>
      <c r="QAS1" s="563"/>
      <c r="QAT1" s="563"/>
      <c r="QAU1" s="563"/>
      <c r="QAV1" s="563"/>
      <c r="QAW1" s="563"/>
      <c r="QAX1" s="563"/>
      <c r="QAY1" s="563" t="s">
        <v>15</v>
      </c>
      <c r="QAZ1" s="563"/>
      <c r="QBA1" s="563"/>
      <c r="QBB1" s="563"/>
      <c r="QBC1" s="563"/>
      <c r="QBD1" s="563"/>
      <c r="QBE1" s="563"/>
      <c r="QBF1" s="563"/>
      <c r="QBG1" s="563" t="s">
        <v>15</v>
      </c>
      <c r="QBH1" s="563"/>
      <c r="QBI1" s="563"/>
      <c r="QBJ1" s="563"/>
      <c r="QBK1" s="563"/>
      <c r="QBL1" s="563"/>
      <c r="QBM1" s="563"/>
      <c r="QBN1" s="563"/>
      <c r="QBO1" s="563" t="s">
        <v>15</v>
      </c>
      <c r="QBP1" s="563"/>
      <c r="QBQ1" s="563"/>
      <c r="QBR1" s="563"/>
      <c r="QBS1" s="563"/>
      <c r="QBT1" s="563"/>
      <c r="QBU1" s="563"/>
      <c r="QBV1" s="563"/>
      <c r="QBW1" s="563" t="s">
        <v>15</v>
      </c>
      <c r="QBX1" s="563"/>
      <c r="QBY1" s="563"/>
      <c r="QBZ1" s="563"/>
      <c r="QCA1" s="563"/>
      <c r="QCB1" s="563"/>
      <c r="QCC1" s="563"/>
      <c r="QCD1" s="563"/>
      <c r="QCE1" s="563" t="s">
        <v>15</v>
      </c>
      <c r="QCF1" s="563"/>
      <c r="QCG1" s="563"/>
      <c r="QCH1" s="563"/>
      <c r="QCI1" s="563"/>
      <c r="QCJ1" s="563"/>
      <c r="QCK1" s="563"/>
      <c r="QCL1" s="563"/>
      <c r="QCM1" s="563" t="s">
        <v>15</v>
      </c>
      <c r="QCN1" s="563"/>
      <c r="QCO1" s="563"/>
      <c r="QCP1" s="563"/>
      <c r="QCQ1" s="563"/>
      <c r="QCR1" s="563"/>
      <c r="QCS1" s="563"/>
      <c r="QCT1" s="563"/>
      <c r="QCU1" s="563" t="s">
        <v>15</v>
      </c>
      <c r="QCV1" s="563"/>
      <c r="QCW1" s="563"/>
      <c r="QCX1" s="563"/>
      <c r="QCY1" s="563"/>
      <c r="QCZ1" s="563"/>
      <c r="QDA1" s="563"/>
      <c r="QDB1" s="563"/>
      <c r="QDC1" s="563" t="s">
        <v>15</v>
      </c>
      <c r="QDD1" s="563"/>
      <c r="QDE1" s="563"/>
      <c r="QDF1" s="563"/>
      <c r="QDG1" s="563"/>
      <c r="QDH1" s="563"/>
      <c r="QDI1" s="563"/>
      <c r="QDJ1" s="563"/>
      <c r="QDK1" s="563" t="s">
        <v>15</v>
      </c>
      <c r="QDL1" s="563"/>
      <c r="QDM1" s="563"/>
      <c r="QDN1" s="563"/>
      <c r="QDO1" s="563"/>
      <c r="QDP1" s="563"/>
      <c r="QDQ1" s="563"/>
      <c r="QDR1" s="563"/>
      <c r="QDS1" s="563" t="s">
        <v>15</v>
      </c>
      <c r="QDT1" s="563"/>
      <c r="QDU1" s="563"/>
      <c r="QDV1" s="563"/>
      <c r="QDW1" s="563"/>
      <c r="QDX1" s="563"/>
      <c r="QDY1" s="563"/>
      <c r="QDZ1" s="563"/>
      <c r="QEA1" s="563" t="s">
        <v>15</v>
      </c>
      <c r="QEB1" s="563"/>
      <c r="QEC1" s="563"/>
      <c r="QED1" s="563"/>
      <c r="QEE1" s="563"/>
      <c r="QEF1" s="563"/>
      <c r="QEG1" s="563"/>
      <c r="QEH1" s="563"/>
      <c r="QEI1" s="563" t="s">
        <v>15</v>
      </c>
      <c r="QEJ1" s="563"/>
      <c r="QEK1" s="563"/>
      <c r="QEL1" s="563"/>
      <c r="QEM1" s="563"/>
      <c r="QEN1" s="563"/>
      <c r="QEO1" s="563"/>
      <c r="QEP1" s="563"/>
      <c r="QEQ1" s="563" t="s">
        <v>15</v>
      </c>
      <c r="QER1" s="563"/>
      <c r="QES1" s="563"/>
      <c r="QET1" s="563"/>
      <c r="QEU1" s="563"/>
      <c r="QEV1" s="563"/>
      <c r="QEW1" s="563"/>
      <c r="QEX1" s="563"/>
      <c r="QEY1" s="563" t="s">
        <v>15</v>
      </c>
      <c r="QEZ1" s="563"/>
      <c r="QFA1" s="563"/>
      <c r="QFB1" s="563"/>
      <c r="QFC1" s="563"/>
      <c r="QFD1" s="563"/>
      <c r="QFE1" s="563"/>
      <c r="QFF1" s="563"/>
      <c r="QFG1" s="563" t="s">
        <v>15</v>
      </c>
      <c r="QFH1" s="563"/>
      <c r="QFI1" s="563"/>
      <c r="QFJ1" s="563"/>
      <c r="QFK1" s="563"/>
      <c r="QFL1" s="563"/>
      <c r="QFM1" s="563"/>
      <c r="QFN1" s="563"/>
      <c r="QFO1" s="563" t="s">
        <v>15</v>
      </c>
      <c r="QFP1" s="563"/>
      <c r="QFQ1" s="563"/>
      <c r="QFR1" s="563"/>
      <c r="QFS1" s="563"/>
      <c r="QFT1" s="563"/>
      <c r="QFU1" s="563"/>
      <c r="QFV1" s="563"/>
      <c r="QFW1" s="563" t="s">
        <v>15</v>
      </c>
      <c r="QFX1" s="563"/>
      <c r="QFY1" s="563"/>
      <c r="QFZ1" s="563"/>
      <c r="QGA1" s="563"/>
      <c r="QGB1" s="563"/>
      <c r="QGC1" s="563"/>
      <c r="QGD1" s="563"/>
      <c r="QGE1" s="563" t="s">
        <v>15</v>
      </c>
      <c r="QGF1" s="563"/>
      <c r="QGG1" s="563"/>
      <c r="QGH1" s="563"/>
      <c r="QGI1" s="563"/>
      <c r="QGJ1" s="563"/>
      <c r="QGK1" s="563"/>
      <c r="QGL1" s="563"/>
      <c r="QGM1" s="563" t="s">
        <v>15</v>
      </c>
      <c r="QGN1" s="563"/>
      <c r="QGO1" s="563"/>
      <c r="QGP1" s="563"/>
      <c r="QGQ1" s="563"/>
      <c r="QGR1" s="563"/>
      <c r="QGS1" s="563"/>
      <c r="QGT1" s="563"/>
      <c r="QGU1" s="563" t="s">
        <v>15</v>
      </c>
      <c r="QGV1" s="563"/>
      <c r="QGW1" s="563"/>
      <c r="QGX1" s="563"/>
      <c r="QGY1" s="563"/>
      <c r="QGZ1" s="563"/>
      <c r="QHA1" s="563"/>
      <c r="QHB1" s="563"/>
      <c r="QHC1" s="563" t="s">
        <v>15</v>
      </c>
      <c r="QHD1" s="563"/>
      <c r="QHE1" s="563"/>
      <c r="QHF1" s="563"/>
      <c r="QHG1" s="563"/>
      <c r="QHH1" s="563"/>
      <c r="QHI1" s="563"/>
      <c r="QHJ1" s="563"/>
      <c r="QHK1" s="563" t="s">
        <v>15</v>
      </c>
      <c r="QHL1" s="563"/>
      <c r="QHM1" s="563"/>
      <c r="QHN1" s="563"/>
      <c r="QHO1" s="563"/>
      <c r="QHP1" s="563"/>
      <c r="QHQ1" s="563"/>
      <c r="QHR1" s="563"/>
      <c r="QHS1" s="563" t="s">
        <v>15</v>
      </c>
      <c r="QHT1" s="563"/>
      <c r="QHU1" s="563"/>
      <c r="QHV1" s="563"/>
      <c r="QHW1" s="563"/>
      <c r="QHX1" s="563"/>
      <c r="QHY1" s="563"/>
      <c r="QHZ1" s="563"/>
      <c r="QIA1" s="563" t="s">
        <v>15</v>
      </c>
      <c r="QIB1" s="563"/>
      <c r="QIC1" s="563"/>
      <c r="QID1" s="563"/>
      <c r="QIE1" s="563"/>
      <c r="QIF1" s="563"/>
      <c r="QIG1" s="563"/>
      <c r="QIH1" s="563"/>
      <c r="QII1" s="563" t="s">
        <v>15</v>
      </c>
      <c r="QIJ1" s="563"/>
      <c r="QIK1" s="563"/>
      <c r="QIL1" s="563"/>
      <c r="QIM1" s="563"/>
      <c r="QIN1" s="563"/>
      <c r="QIO1" s="563"/>
      <c r="QIP1" s="563"/>
      <c r="QIQ1" s="563" t="s">
        <v>15</v>
      </c>
      <c r="QIR1" s="563"/>
      <c r="QIS1" s="563"/>
      <c r="QIT1" s="563"/>
      <c r="QIU1" s="563"/>
      <c r="QIV1" s="563"/>
      <c r="QIW1" s="563"/>
      <c r="QIX1" s="563"/>
      <c r="QIY1" s="563" t="s">
        <v>15</v>
      </c>
      <c r="QIZ1" s="563"/>
      <c r="QJA1" s="563"/>
      <c r="QJB1" s="563"/>
      <c r="QJC1" s="563"/>
      <c r="QJD1" s="563"/>
      <c r="QJE1" s="563"/>
      <c r="QJF1" s="563"/>
      <c r="QJG1" s="563" t="s">
        <v>15</v>
      </c>
      <c r="QJH1" s="563"/>
      <c r="QJI1" s="563"/>
      <c r="QJJ1" s="563"/>
      <c r="QJK1" s="563"/>
      <c r="QJL1" s="563"/>
      <c r="QJM1" s="563"/>
      <c r="QJN1" s="563"/>
      <c r="QJO1" s="563" t="s">
        <v>15</v>
      </c>
      <c r="QJP1" s="563"/>
      <c r="QJQ1" s="563"/>
      <c r="QJR1" s="563"/>
      <c r="QJS1" s="563"/>
      <c r="QJT1" s="563"/>
      <c r="QJU1" s="563"/>
      <c r="QJV1" s="563"/>
      <c r="QJW1" s="563" t="s">
        <v>15</v>
      </c>
      <c r="QJX1" s="563"/>
      <c r="QJY1" s="563"/>
      <c r="QJZ1" s="563"/>
      <c r="QKA1" s="563"/>
      <c r="QKB1" s="563"/>
      <c r="QKC1" s="563"/>
      <c r="QKD1" s="563"/>
      <c r="QKE1" s="563" t="s">
        <v>15</v>
      </c>
      <c r="QKF1" s="563"/>
      <c r="QKG1" s="563"/>
      <c r="QKH1" s="563"/>
      <c r="QKI1" s="563"/>
      <c r="QKJ1" s="563"/>
      <c r="QKK1" s="563"/>
      <c r="QKL1" s="563"/>
      <c r="QKM1" s="563" t="s">
        <v>15</v>
      </c>
      <c r="QKN1" s="563"/>
      <c r="QKO1" s="563"/>
      <c r="QKP1" s="563"/>
      <c r="QKQ1" s="563"/>
      <c r="QKR1" s="563"/>
      <c r="QKS1" s="563"/>
      <c r="QKT1" s="563"/>
      <c r="QKU1" s="563" t="s">
        <v>15</v>
      </c>
      <c r="QKV1" s="563"/>
      <c r="QKW1" s="563"/>
      <c r="QKX1" s="563"/>
      <c r="QKY1" s="563"/>
      <c r="QKZ1" s="563"/>
      <c r="QLA1" s="563"/>
      <c r="QLB1" s="563"/>
      <c r="QLC1" s="563" t="s">
        <v>15</v>
      </c>
      <c r="QLD1" s="563"/>
      <c r="QLE1" s="563"/>
      <c r="QLF1" s="563"/>
      <c r="QLG1" s="563"/>
      <c r="QLH1" s="563"/>
      <c r="QLI1" s="563"/>
      <c r="QLJ1" s="563"/>
      <c r="QLK1" s="563" t="s">
        <v>15</v>
      </c>
      <c r="QLL1" s="563"/>
      <c r="QLM1" s="563"/>
      <c r="QLN1" s="563"/>
      <c r="QLO1" s="563"/>
      <c r="QLP1" s="563"/>
      <c r="QLQ1" s="563"/>
      <c r="QLR1" s="563"/>
      <c r="QLS1" s="563" t="s">
        <v>15</v>
      </c>
      <c r="QLT1" s="563"/>
      <c r="QLU1" s="563"/>
      <c r="QLV1" s="563"/>
      <c r="QLW1" s="563"/>
      <c r="QLX1" s="563"/>
      <c r="QLY1" s="563"/>
      <c r="QLZ1" s="563"/>
      <c r="QMA1" s="563" t="s">
        <v>15</v>
      </c>
      <c r="QMB1" s="563"/>
      <c r="QMC1" s="563"/>
      <c r="QMD1" s="563"/>
      <c r="QME1" s="563"/>
      <c r="QMF1" s="563"/>
      <c r="QMG1" s="563"/>
      <c r="QMH1" s="563"/>
      <c r="QMI1" s="563" t="s">
        <v>15</v>
      </c>
      <c r="QMJ1" s="563"/>
      <c r="QMK1" s="563"/>
      <c r="QML1" s="563"/>
      <c r="QMM1" s="563"/>
      <c r="QMN1" s="563"/>
      <c r="QMO1" s="563"/>
      <c r="QMP1" s="563"/>
      <c r="QMQ1" s="563" t="s">
        <v>15</v>
      </c>
      <c r="QMR1" s="563"/>
      <c r="QMS1" s="563"/>
      <c r="QMT1" s="563"/>
      <c r="QMU1" s="563"/>
      <c r="QMV1" s="563"/>
      <c r="QMW1" s="563"/>
      <c r="QMX1" s="563"/>
      <c r="QMY1" s="563" t="s">
        <v>15</v>
      </c>
      <c r="QMZ1" s="563"/>
      <c r="QNA1" s="563"/>
      <c r="QNB1" s="563"/>
      <c r="QNC1" s="563"/>
      <c r="QND1" s="563"/>
      <c r="QNE1" s="563"/>
      <c r="QNF1" s="563"/>
      <c r="QNG1" s="563" t="s">
        <v>15</v>
      </c>
      <c r="QNH1" s="563"/>
      <c r="QNI1" s="563"/>
      <c r="QNJ1" s="563"/>
      <c r="QNK1" s="563"/>
      <c r="QNL1" s="563"/>
      <c r="QNM1" s="563"/>
      <c r="QNN1" s="563"/>
      <c r="QNO1" s="563" t="s">
        <v>15</v>
      </c>
      <c r="QNP1" s="563"/>
      <c r="QNQ1" s="563"/>
      <c r="QNR1" s="563"/>
      <c r="QNS1" s="563"/>
      <c r="QNT1" s="563"/>
      <c r="QNU1" s="563"/>
      <c r="QNV1" s="563"/>
      <c r="QNW1" s="563" t="s">
        <v>15</v>
      </c>
      <c r="QNX1" s="563"/>
      <c r="QNY1" s="563"/>
      <c r="QNZ1" s="563"/>
      <c r="QOA1" s="563"/>
      <c r="QOB1" s="563"/>
      <c r="QOC1" s="563"/>
      <c r="QOD1" s="563"/>
      <c r="QOE1" s="563" t="s">
        <v>15</v>
      </c>
      <c r="QOF1" s="563"/>
      <c r="QOG1" s="563"/>
      <c r="QOH1" s="563"/>
      <c r="QOI1" s="563"/>
      <c r="QOJ1" s="563"/>
      <c r="QOK1" s="563"/>
      <c r="QOL1" s="563"/>
      <c r="QOM1" s="563" t="s">
        <v>15</v>
      </c>
      <c r="QON1" s="563"/>
      <c r="QOO1" s="563"/>
      <c r="QOP1" s="563"/>
      <c r="QOQ1" s="563"/>
      <c r="QOR1" s="563"/>
      <c r="QOS1" s="563"/>
      <c r="QOT1" s="563"/>
      <c r="QOU1" s="563" t="s">
        <v>15</v>
      </c>
      <c r="QOV1" s="563"/>
      <c r="QOW1" s="563"/>
      <c r="QOX1" s="563"/>
      <c r="QOY1" s="563"/>
      <c r="QOZ1" s="563"/>
      <c r="QPA1" s="563"/>
      <c r="QPB1" s="563"/>
      <c r="QPC1" s="563" t="s">
        <v>15</v>
      </c>
      <c r="QPD1" s="563"/>
      <c r="QPE1" s="563"/>
      <c r="QPF1" s="563"/>
      <c r="QPG1" s="563"/>
      <c r="QPH1" s="563"/>
      <c r="QPI1" s="563"/>
      <c r="QPJ1" s="563"/>
      <c r="QPK1" s="563" t="s">
        <v>15</v>
      </c>
      <c r="QPL1" s="563"/>
      <c r="QPM1" s="563"/>
      <c r="QPN1" s="563"/>
      <c r="QPO1" s="563"/>
      <c r="QPP1" s="563"/>
      <c r="QPQ1" s="563"/>
      <c r="QPR1" s="563"/>
      <c r="QPS1" s="563" t="s">
        <v>15</v>
      </c>
      <c r="QPT1" s="563"/>
      <c r="QPU1" s="563"/>
      <c r="QPV1" s="563"/>
      <c r="QPW1" s="563"/>
      <c r="QPX1" s="563"/>
      <c r="QPY1" s="563"/>
      <c r="QPZ1" s="563"/>
      <c r="QQA1" s="563" t="s">
        <v>15</v>
      </c>
      <c r="QQB1" s="563"/>
      <c r="QQC1" s="563"/>
      <c r="QQD1" s="563"/>
      <c r="QQE1" s="563"/>
      <c r="QQF1" s="563"/>
      <c r="QQG1" s="563"/>
      <c r="QQH1" s="563"/>
      <c r="QQI1" s="563" t="s">
        <v>15</v>
      </c>
      <c r="QQJ1" s="563"/>
      <c r="QQK1" s="563"/>
      <c r="QQL1" s="563"/>
      <c r="QQM1" s="563"/>
      <c r="QQN1" s="563"/>
      <c r="QQO1" s="563"/>
      <c r="QQP1" s="563"/>
      <c r="QQQ1" s="563" t="s">
        <v>15</v>
      </c>
      <c r="QQR1" s="563"/>
      <c r="QQS1" s="563"/>
      <c r="QQT1" s="563"/>
      <c r="QQU1" s="563"/>
      <c r="QQV1" s="563"/>
      <c r="QQW1" s="563"/>
      <c r="QQX1" s="563"/>
      <c r="QQY1" s="563" t="s">
        <v>15</v>
      </c>
      <c r="QQZ1" s="563"/>
      <c r="QRA1" s="563"/>
      <c r="QRB1" s="563"/>
      <c r="QRC1" s="563"/>
      <c r="QRD1" s="563"/>
      <c r="QRE1" s="563"/>
      <c r="QRF1" s="563"/>
      <c r="QRG1" s="563" t="s">
        <v>15</v>
      </c>
      <c r="QRH1" s="563"/>
      <c r="QRI1" s="563"/>
      <c r="QRJ1" s="563"/>
      <c r="QRK1" s="563"/>
      <c r="QRL1" s="563"/>
      <c r="QRM1" s="563"/>
      <c r="QRN1" s="563"/>
      <c r="QRO1" s="563" t="s">
        <v>15</v>
      </c>
      <c r="QRP1" s="563"/>
      <c r="QRQ1" s="563"/>
      <c r="QRR1" s="563"/>
      <c r="QRS1" s="563"/>
      <c r="QRT1" s="563"/>
      <c r="QRU1" s="563"/>
      <c r="QRV1" s="563"/>
      <c r="QRW1" s="563" t="s">
        <v>15</v>
      </c>
      <c r="QRX1" s="563"/>
      <c r="QRY1" s="563"/>
      <c r="QRZ1" s="563"/>
      <c r="QSA1" s="563"/>
      <c r="QSB1" s="563"/>
      <c r="QSC1" s="563"/>
      <c r="QSD1" s="563"/>
      <c r="QSE1" s="563" t="s">
        <v>15</v>
      </c>
      <c r="QSF1" s="563"/>
      <c r="QSG1" s="563"/>
      <c r="QSH1" s="563"/>
      <c r="QSI1" s="563"/>
      <c r="QSJ1" s="563"/>
      <c r="QSK1" s="563"/>
      <c r="QSL1" s="563"/>
      <c r="QSM1" s="563" t="s">
        <v>15</v>
      </c>
      <c r="QSN1" s="563"/>
      <c r="QSO1" s="563"/>
      <c r="QSP1" s="563"/>
      <c r="QSQ1" s="563"/>
      <c r="QSR1" s="563"/>
      <c r="QSS1" s="563"/>
      <c r="QST1" s="563"/>
      <c r="QSU1" s="563" t="s">
        <v>15</v>
      </c>
      <c r="QSV1" s="563"/>
      <c r="QSW1" s="563"/>
      <c r="QSX1" s="563"/>
      <c r="QSY1" s="563"/>
      <c r="QSZ1" s="563"/>
      <c r="QTA1" s="563"/>
      <c r="QTB1" s="563"/>
      <c r="QTC1" s="563" t="s">
        <v>15</v>
      </c>
      <c r="QTD1" s="563"/>
      <c r="QTE1" s="563"/>
      <c r="QTF1" s="563"/>
      <c r="QTG1" s="563"/>
      <c r="QTH1" s="563"/>
      <c r="QTI1" s="563"/>
      <c r="QTJ1" s="563"/>
      <c r="QTK1" s="563" t="s">
        <v>15</v>
      </c>
      <c r="QTL1" s="563"/>
      <c r="QTM1" s="563"/>
      <c r="QTN1" s="563"/>
      <c r="QTO1" s="563"/>
      <c r="QTP1" s="563"/>
      <c r="QTQ1" s="563"/>
      <c r="QTR1" s="563"/>
      <c r="QTS1" s="563" t="s">
        <v>15</v>
      </c>
      <c r="QTT1" s="563"/>
      <c r="QTU1" s="563"/>
      <c r="QTV1" s="563"/>
      <c r="QTW1" s="563"/>
      <c r="QTX1" s="563"/>
      <c r="QTY1" s="563"/>
      <c r="QTZ1" s="563"/>
      <c r="QUA1" s="563" t="s">
        <v>15</v>
      </c>
      <c r="QUB1" s="563"/>
      <c r="QUC1" s="563"/>
      <c r="QUD1" s="563"/>
      <c r="QUE1" s="563"/>
      <c r="QUF1" s="563"/>
      <c r="QUG1" s="563"/>
      <c r="QUH1" s="563"/>
      <c r="QUI1" s="563" t="s">
        <v>15</v>
      </c>
      <c r="QUJ1" s="563"/>
      <c r="QUK1" s="563"/>
      <c r="QUL1" s="563"/>
      <c r="QUM1" s="563"/>
      <c r="QUN1" s="563"/>
      <c r="QUO1" s="563"/>
      <c r="QUP1" s="563"/>
      <c r="QUQ1" s="563" t="s">
        <v>15</v>
      </c>
      <c r="QUR1" s="563"/>
      <c r="QUS1" s="563"/>
      <c r="QUT1" s="563"/>
      <c r="QUU1" s="563"/>
      <c r="QUV1" s="563"/>
      <c r="QUW1" s="563"/>
      <c r="QUX1" s="563"/>
      <c r="QUY1" s="563" t="s">
        <v>15</v>
      </c>
      <c r="QUZ1" s="563"/>
      <c r="QVA1" s="563"/>
      <c r="QVB1" s="563"/>
      <c r="QVC1" s="563"/>
      <c r="QVD1" s="563"/>
      <c r="QVE1" s="563"/>
      <c r="QVF1" s="563"/>
      <c r="QVG1" s="563" t="s">
        <v>15</v>
      </c>
      <c r="QVH1" s="563"/>
      <c r="QVI1" s="563"/>
      <c r="QVJ1" s="563"/>
      <c r="QVK1" s="563"/>
      <c r="QVL1" s="563"/>
      <c r="QVM1" s="563"/>
      <c r="QVN1" s="563"/>
      <c r="QVO1" s="563" t="s">
        <v>15</v>
      </c>
      <c r="QVP1" s="563"/>
      <c r="QVQ1" s="563"/>
      <c r="QVR1" s="563"/>
      <c r="QVS1" s="563"/>
      <c r="QVT1" s="563"/>
      <c r="QVU1" s="563"/>
      <c r="QVV1" s="563"/>
      <c r="QVW1" s="563" t="s">
        <v>15</v>
      </c>
      <c r="QVX1" s="563"/>
      <c r="QVY1" s="563"/>
      <c r="QVZ1" s="563"/>
      <c r="QWA1" s="563"/>
      <c r="QWB1" s="563"/>
      <c r="QWC1" s="563"/>
      <c r="QWD1" s="563"/>
      <c r="QWE1" s="563" t="s">
        <v>15</v>
      </c>
      <c r="QWF1" s="563"/>
      <c r="QWG1" s="563"/>
      <c r="QWH1" s="563"/>
      <c r="QWI1" s="563"/>
      <c r="QWJ1" s="563"/>
      <c r="QWK1" s="563"/>
      <c r="QWL1" s="563"/>
      <c r="QWM1" s="563" t="s">
        <v>15</v>
      </c>
      <c r="QWN1" s="563"/>
      <c r="QWO1" s="563"/>
      <c r="QWP1" s="563"/>
      <c r="QWQ1" s="563"/>
      <c r="QWR1" s="563"/>
      <c r="QWS1" s="563"/>
      <c r="QWT1" s="563"/>
      <c r="QWU1" s="563" t="s">
        <v>15</v>
      </c>
      <c r="QWV1" s="563"/>
      <c r="QWW1" s="563"/>
      <c r="QWX1" s="563"/>
      <c r="QWY1" s="563"/>
      <c r="QWZ1" s="563"/>
      <c r="QXA1" s="563"/>
      <c r="QXB1" s="563"/>
      <c r="QXC1" s="563" t="s">
        <v>15</v>
      </c>
      <c r="QXD1" s="563"/>
      <c r="QXE1" s="563"/>
      <c r="QXF1" s="563"/>
      <c r="QXG1" s="563"/>
      <c r="QXH1" s="563"/>
      <c r="QXI1" s="563"/>
      <c r="QXJ1" s="563"/>
      <c r="QXK1" s="563" t="s">
        <v>15</v>
      </c>
      <c r="QXL1" s="563"/>
      <c r="QXM1" s="563"/>
      <c r="QXN1" s="563"/>
      <c r="QXO1" s="563"/>
      <c r="QXP1" s="563"/>
      <c r="QXQ1" s="563"/>
      <c r="QXR1" s="563"/>
      <c r="QXS1" s="563" t="s">
        <v>15</v>
      </c>
      <c r="QXT1" s="563"/>
      <c r="QXU1" s="563"/>
      <c r="QXV1" s="563"/>
      <c r="QXW1" s="563"/>
      <c r="QXX1" s="563"/>
      <c r="QXY1" s="563"/>
      <c r="QXZ1" s="563"/>
      <c r="QYA1" s="563" t="s">
        <v>15</v>
      </c>
      <c r="QYB1" s="563"/>
      <c r="QYC1" s="563"/>
      <c r="QYD1" s="563"/>
      <c r="QYE1" s="563"/>
      <c r="QYF1" s="563"/>
      <c r="QYG1" s="563"/>
      <c r="QYH1" s="563"/>
      <c r="QYI1" s="563" t="s">
        <v>15</v>
      </c>
      <c r="QYJ1" s="563"/>
      <c r="QYK1" s="563"/>
      <c r="QYL1" s="563"/>
      <c r="QYM1" s="563"/>
      <c r="QYN1" s="563"/>
      <c r="QYO1" s="563"/>
      <c r="QYP1" s="563"/>
      <c r="QYQ1" s="563" t="s">
        <v>15</v>
      </c>
      <c r="QYR1" s="563"/>
      <c r="QYS1" s="563"/>
      <c r="QYT1" s="563"/>
      <c r="QYU1" s="563"/>
      <c r="QYV1" s="563"/>
      <c r="QYW1" s="563"/>
      <c r="QYX1" s="563"/>
      <c r="QYY1" s="563" t="s">
        <v>15</v>
      </c>
      <c r="QYZ1" s="563"/>
      <c r="QZA1" s="563"/>
      <c r="QZB1" s="563"/>
      <c r="QZC1" s="563"/>
      <c r="QZD1" s="563"/>
      <c r="QZE1" s="563"/>
      <c r="QZF1" s="563"/>
      <c r="QZG1" s="563" t="s">
        <v>15</v>
      </c>
      <c r="QZH1" s="563"/>
      <c r="QZI1" s="563"/>
      <c r="QZJ1" s="563"/>
      <c r="QZK1" s="563"/>
      <c r="QZL1" s="563"/>
      <c r="QZM1" s="563"/>
      <c r="QZN1" s="563"/>
      <c r="QZO1" s="563" t="s">
        <v>15</v>
      </c>
      <c r="QZP1" s="563"/>
      <c r="QZQ1" s="563"/>
      <c r="QZR1" s="563"/>
      <c r="QZS1" s="563"/>
      <c r="QZT1" s="563"/>
      <c r="QZU1" s="563"/>
      <c r="QZV1" s="563"/>
      <c r="QZW1" s="563" t="s">
        <v>15</v>
      </c>
      <c r="QZX1" s="563"/>
      <c r="QZY1" s="563"/>
      <c r="QZZ1" s="563"/>
      <c r="RAA1" s="563"/>
      <c r="RAB1" s="563"/>
      <c r="RAC1" s="563"/>
      <c r="RAD1" s="563"/>
      <c r="RAE1" s="563" t="s">
        <v>15</v>
      </c>
      <c r="RAF1" s="563"/>
      <c r="RAG1" s="563"/>
      <c r="RAH1" s="563"/>
      <c r="RAI1" s="563"/>
      <c r="RAJ1" s="563"/>
      <c r="RAK1" s="563"/>
      <c r="RAL1" s="563"/>
      <c r="RAM1" s="563" t="s">
        <v>15</v>
      </c>
      <c r="RAN1" s="563"/>
      <c r="RAO1" s="563"/>
      <c r="RAP1" s="563"/>
      <c r="RAQ1" s="563"/>
      <c r="RAR1" s="563"/>
      <c r="RAS1" s="563"/>
      <c r="RAT1" s="563"/>
      <c r="RAU1" s="563" t="s">
        <v>15</v>
      </c>
      <c r="RAV1" s="563"/>
      <c r="RAW1" s="563"/>
      <c r="RAX1" s="563"/>
      <c r="RAY1" s="563"/>
      <c r="RAZ1" s="563"/>
      <c r="RBA1" s="563"/>
      <c r="RBB1" s="563"/>
      <c r="RBC1" s="563" t="s">
        <v>15</v>
      </c>
      <c r="RBD1" s="563"/>
      <c r="RBE1" s="563"/>
      <c r="RBF1" s="563"/>
      <c r="RBG1" s="563"/>
      <c r="RBH1" s="563"/>
      <c r="RBI1" s="563"/>
      <c r="RBJ1" s="563"/>
      <c r="RBK1" s="563" t="s">
        <v>15</v>
      </c>
      <c r="RBL1" s="563"/>
      <c r="RBM1" s="563"/>
      <c r="RBN1" s="563"/>
      <c r="RBO1" s="563"/>
      <c r="RBP1" s="563"/>
      <c r="RBQ1" s="563"/>
      <c r="RBR1" s="563"/>
      <c r="RBS1" s="563" t="s">
        <v>15</v>
      </c>
      <c r="RBT1" s="563"/>
      <c r="RBU1" s="563"/>
      <c r="RBV1" s="563"/>
      <c r="RBW1" s="563"/>
      <c r="RBX1" s="563"/>
      <c r="RBY1" s="563"/>
      <c r="RBZ1" s="563"/>
      <c r="RCA1" s="563" t="s">
        <v>15</v>
      </c>
      <c r="RCB1" s="563"/>
      <c r="RCC1" s="563"/>
      <c r="RCD1" s="563"/>
      <c r="RCE1" s="563"/>
      <c r="RCF1" s="563"/>
      <c r="RCG1" s="563"/>
      <c r="RCH1" s="563"/>
      <c r="RCI1" s="563" t="s">
        <v>15</v>
      </c>
      <c r="RCJ1" s="563"/>
      <c r="RCK1" s="563"/>
      <c r="RCL1" s="563"/>
      <c r="RCM1" s="563"/>
      <c r="RCN1" s="563"/>
      <c r="RCO1" s="563"/>
      <c r="RCP1" s="563"/>
      <c r="RCQ1" s="563" t="s">
        <v>15</v>
      </c>
      <c r="RCR1" s="563"/>
      <c r="RCS1" s="563"/>
      <c r="RCT1" s="563"/>
      <c r="RCU1" s="563"/>
      <c r="RCV1" s="563"/>
      <c r="RCW1" s="563"/>
      <c r="RCX1" s="563"/>
      <c r="RCY1" s="563" t="s">
        <v>15</v>
      </c>
      <c r="RCZ1" s="563"/>
      <c r="RDA1" s="563"/>
      <c r="RDB1" s="563"/>
      <c r="RDC1" s="563"/>
      <c r="RDD1" s="563"/>
      <c r="RDE1" s="563"/>
      <c r="RDF1" s="563"/>
      <c r="RDG1" s="563" t="s">
        <v>15</v>
      </c>
      <c r="RDH1" s="563"/>
      <c r="RDI1" s="563"/>
      <c r="RDJ1" s="563"/>
      <c r="RDK1" s="563"/>
      <c r="RDL1" s="563"/>
      <c r="RDM1" s="563"/>
      <c r="RDN1" s="563"/>
      <c r="RDO1" s="563" t="s">
        <v>15</v>
      </c>
      <c r="RDP1" s="563"/>
      <c r="RDQ1" s="563"/>
      <c r="RDR1" s="563"/>
      <c r="RDS1" s="563"/>
      <c r="RDT1" s="563"/>
      <c r="RDU1" s="563"/>
      <c r="RDV1" s="563"/>
      <c r="RDW1" s="563" t="s">
        <v>15</v>
      </c>
      <c r="RDX1" s="563"/>
      <c r="RDY1" s="563"/>
      <c r="RDZ1" s="563"/>
      <c r="REA1" s="563"/>
      <c r="REB1" s="563"/>
      <c r="REC1" s="563"/>
      <c r="RED1" s="563"/>
      <c r="REE1" s="563" t="s">
        <v>15</v>
      </c>
      <c r="REF1" s="563"/>
      <c r="REG1" s="563"/>
      <c r="REH1" s="563"/>
      <c r="REI1" s="563"/>
      <c r="REJ1" s="563"/>
      <c r="REK1" s="563"/>
      <c r="REL1" s="563"/>
      <c r="REM1" s="563" t="s">
        <v>15</v>
      </c>
      <c r="REN1" s="563"/>
      <c r="REO1" s="563"/>
      <c r="REP1" s="563"/>
      <c r="REQ1" s="563"/>
      <c r="RER1" s="563"/>
      <c r="RES1" s="563"/>
      <c r="RET1" s="563"/>
      <c r="REU1" s="563" t="s">
        <v>15</v>
      </c>
      <c r="REV1" s="563"/>
      <c r="REW1" s="563"/>
      <c r="REX1" s="563"/>
      <c r="REY1" s="563"/>
      <c r="REZ1" s="563"/>
      <c r="RFA1" s="563"/>
      <c r="RFB1" s="563"/>
      <c r="RFC1" s="563" t="s">
        <v>15</v>
      </c>
      <c r="RFD1" s="563"/>
      <c r="RFE1" s="563"/>
      <c r="RFF1" s="563"/>
      <c r="RFG1" s="563"/>
      <c r="RFH1" s="563"/>
      <c r="RFI1" s="563"/>
      <c r="RFJ1" s="563"/>
      <c r="RFK1" s="563" t="s">
        <v>15</v>
      </c>
      <c r="RFL1" s="563"/>
      <c r="RFM1" s="563"/>
      <c r="RFN1" s="563"/>
      <c r="RFO1" s="563"/>
      <c r="RFP1" s="563"/>
      <c r="RFQ1" s="563"/>
      <c r="RFR1" s="563"/>
      <c r="RFS1" s="563" t="s">
        <v>15</v>
      </c>
      <c r="RFT1" s="563"/>
      <c r="RFU1" s="563"/>
      <c r="RFV1" s="563"/>
      <c r="RFW1" s="563"/>
      <c r="RFX1" s="563"/>
      <c r="RFY1" s="563"/>
      <c r="RFZ1" s="563"/>
      <c r="RGA1" s="563" t="s">
        <v>15</v>
      </c>
      <c r="RGB1" s="563"/>
      <c r="RGC1" s="563"/>
      <c r="RGD1" s="563"/>
      <c r="RGE1" s="563"/>
      <c r="RGF1" s="563"/>
      <c r="RGG1" s="563"/>
      <c r="RGH1" s="563"/>
      <c r="RGI1" s="563" t="s">
        <v>15</v>
      </c>
      <c r="RGJ1" s="563"/>
      <c r="RGK1" s="563"/>
      <c r="RGL1" s="563"/>
      <c r="RGM1" s="563"/>
      <c r="RGN1" s="563"/>
      <c r="RGO1" s="563"/>
      <c r="RGP1" s="563"/>
      <c r="RGQ1" s="563" t="s">
        <v>15</v>
      </c>
      <c r="RGR1" s="563"/>
      <c r="RGS1" s="563"/>
      <c r="RGT1" s="563"/>
      <c r="RGU1" s="563"/>
      <c r="RGV1" s="563"/>
      <c r="RGW1" s="563"/>
      <c r="RGX1" s="563"/>
      <c r="RGY1" s="563" t="s">
        <v>15</v>
      </c>
      <c r="RGZ1" s="563"/>
      <c r="RHA1" s="563"/>
      <c r="RHB1" s="563"/>
      <c r="RHC1" s="563"/>
      <c r="RHD1" s="563"/>
      <c r="RHE1" s="563"/>
      <c r="RHF1" s="563"/>
      <c r="RHG1" s="563" t="s">
        <v>15</v>
      </c>
      <c r="RHH1" s="563"/>
      <c r="RHI1" s="563"/>
      <c r="RHJ1" s="563"/>
      <c r="RHK1" s="563"/>
      <c r="RHL1" s="563"/>
      <c r="RHM1" s="563"/>
      <c r="RHN1" s="563"/>
      <c r="RHO1" s="563" t="s">
        <v>15</v>
      </c>
      <c r="RHP1" s="563"/>
      <c r="RHQ1" s="563"/>
      <c r="RHR1" s="563"/>
      <c r="RHS1" s="563"/>
      <c r="RHT1" s="563"/>
      <c r="RHU1" s="563"/>
      <c r="RHV1" s="563"/>
      <c r="RHW1" s="563" t="s">
        <v>15</v>
      </c>
      <c r="RHX1" s="563"/>
      <c r="RHY1" s="563"/>
      <c r="RHZ1" s="563"/>
      <c r="RIA1" s="563"/>
      <c r="RIB1" s="563"/>
      <c r="RIC1" s="563"/>
      <c r="RID1" s="563"/>
      <c r="RIE1" s="563" t="s">
        <v>15</v>
      </c>
      <c r="RIF1" s="563"/>
      <c r="RIG1" s="563"/>
      <c r="RIH1" s="563"/>
      <c r="RII1" s="563"/>
      <c r="RIJ1" s="563"/>
      <c r="RIK1" s="563"/>
      <c r="RIL1" s="563"/>
      <c r="RIM1" s="563" t="s">
        <v>15</v>
      </c>
      <c r="RIN1" s="563"/>
      <c r="RIO1" s="563"/>
      <c r="RIP1" s="563"/>
      <c r="RIQ1" s="563"/>
      <c r="RIR1" s="563"/>
      <c r="RIS1" s="563"/>
      <c r="RIT1" s="563"/>
      <c r="RIU1" s="563" t="s">
        <v>15</v>
      </c>
      <c r="RIV1" s="563"/>
      <c r="RIW1" s="563"/>
      <c r="RIX1" s="563"/>
      <c r="RIY1" s="563"/>
      <c r="RIZ1" s="563"/>
      <c r="RJA1" s="563"/>
      <c r="RJB1" s="563"/>
      <c r="RJC1" s="563" t="s">
        <v>15</v>
      </c>
      <c r="RJD1" s="563"/>
      <c r="RJE1" s="563"/>
      <c r="RJF1" s="563"/>
      <c r="RJG1" s="563"/>
      <c r="RJH1" s="563"/>
      <c r="RJI1" s="563"/>
      <c r="RJJ1" s="563"/>
      <c r="RJK1" s="563" t="s">
        <v>15</v>
      </c>
      <c r="RJL1" s="563"/>
      <c r="RJM1" s="563"/>
      <c r="RJN1" s="563"/>
      <c r="RJO1" s="563"/>
      <c r="RJP1" s="563"/>
      <c r="RJQ1" s="563"/>
      <c r="RJR1" s="563"/>
      <c r="RJS1" s="563" t="s">
        <v>15</v>
      </c>
      <c r="RJT1" s="563"/>
      <c r="RJU1" s="563"/>
      <c r="RJV1" s="563"/>
      <c r="RJW1" s="563"/>
      <c r="RJX1" s="563"/>
      <c r="RJY1" s="563"/>
      <c r="RJZ1" s="563"/>
      <c r="RKA1" s="563" t="s">
        <v>15</v>
      </c>
      <c r="RKB1" s="563"/>
      <c r="RKC1" s="563"/>
      <c r="RKD1" s="563"/>
      <c r="RKE1" s="563"/>
      <c r="RKF1" s="563"/>
      <c r="RKG1" s="563"/>
      <c r="RKH1" s="563"/>
      <c r="RKI1" s="563" t="s">
        <v>15</v>
      </c>
      <c r="RKJ1" s="563"/>
      <c r="RKK1" s="563"/>
      <c r="RKL1" s="563"/>
      <c r="RKM1" s="563"/>
      <c r="RKN1" s="563"/>
      <c r="RKO1" s="563"/>
      <c r="RKP1" s="563"/>
      <c r="RKQ1" s="563" t="s">
        <v>15</v>
      </c>
      <c r="RKR1" s="563"/>
      <c r="RKS1" s="563"/>
      <c r="RKT1" s="563"/>
      <c r="RKU1" s="563"/>
      <c r="RKV1" s="563"/>
      <c r="RKW1" s="563"/>
      <c r="RKX1" s="563"/>
      <c r="RKY1" s="563" t="s">
        <v>15</v>
      </c>
      <c r="RKZ1" s="563"/>
      <c r="RLA1" s="563"/>
      <c r="RLB1" s="563"/>
      <c r="RLC1" s="563"/>
      <c r="RLD1" s="563"/>
      <c r="RLE1" s="563"/>
      <c r="RLF1" s="563"/>
      <c r="RLG1" s="563" t="s">
        <v>15</v>
      </c>
      <c r="RLH1" s="563"/>
      <c r="RLI1" s="563"/>
      <c r="RLJ1" s="563"/>
      <c r="RLK1" s="563"/>
      <c r="RLL1" s="563"/>
      <c r="RLM1" s="563"/>
      <c r="RLN1" s="563"/>
      <c r="RLO1" s="563" t="s">
        <v>15</v>
      </c>
      <c r="RLP1" s="563"/>
      <c r="RLQ1" s="563"/>
      <c r="RLR1" s="563"/>
      <c r="RLS1" s="563"/>
      <c r="RLT1" s="563"/>
      <c r="RLU1" s="563"/>
      <c r="RLV1" s="563"/>
      <c r="RLW1" s="563" t="s">
        <v>15</v>
      </c>
      <c r="RLX1" s="563"/>
      <c r="RLY1" s="563"/>
      <c r="RLZ1" s="563"/>
      <c r="RMA1" s="563"/>
      <c r="RMB1" s="563"/>
      <c r="RMC1" s="563"/>
      <c r="RMD1" s="563"/>
      <c r="RME1" s="563" t="s">
        <v>15</v>
      </c>
      <c r="RMF1" s="563"/>
      <c r="RMG1" s="563"/>
      <c r="RMH1" s="563"/>
      <c r="RMI1" s="563"/>
      <c r="RMJ1" s="563"/>
      <c r="RMK1" s="563"/>
      <c r="RML1" s="563"/>
      <c r="RMM1" s="563" t="s">
        <v>15</v>
      </c>
      <c r="RMN1" s="563"/>
      <c r="RMO1" s="563"/>
      <c r="RMP1" s="563"/>
      <c r="RMQ1" s="563"/>
      <c r="RMR1" s="563"/>
      <c r="RMS1" s="563"/>
      <c r="RMT1" s="563"/>
      <c r="RMU1" s="563" t="s">
        <v>15</v>
      </c>
      <c r="RMV1" s="563"/>
      <c r="RMW1" s="563"/>
      <c r="RMX1" s="563"/>
      <c r="RMY1" s="563"/>
      <c r="RMZ1" s="563"/>
      <c r="RNA1" s="563"/>
      <c r="RNB1" s="563"/>
      <c r="RNC1" s="563" t="s">
        <v>15</v>
      </c>
      <c r="RND1" s="563"/>
      <c r="RNE1" s="563"/>
      <c r="RNF1" s="563"/>
      <c r="RNG1" s="563"/>
      <c r="RNH1" s="563"/>
      <c r="RNI1" s="563"/>
      <c r="RNJ1" s="563"/>
      <c r="RNK1" s="563" t="s">
        <v>15</v>
      </c>
      <c r="RNL1" s="563"/>
      <c r="RNM1" s="563"/>
      <c r="RNN1" s="563"/>
      <c r="RNO1" s="563"/>
      <c r="RNP1" s="563"/>
      <c r="RNQ1" s="563"/>
      <c r="RNR1" s="563"/>
      <c r="RNS1" s="563" t="s">
        <v>15</v>
      </c>
      <c r="RNT1" s="563"/>
      <c r="RNU1" s="563"/>
      <c r="RNV1" s="563"/>
      <c r="RNW1" s="563"/>
      <c r="RNX1" s="563"/>
      <c r="RNY1" s="563"/>
      <c r="RNZ1" s="563"/>
      <c r="ROA1" s="563" t="s">
        <v>15</v>
      </c>
      <c r="ROB1" s="563"/>
      <c r="ROC1" s="563"/>
      <c r="ROD1" s="563"/>
      <c r="ROE1" s="563"/>
      <c r="ROF1" s="563"/>
      <c r="ROG1" s="563"/>
      <c r="ROH1" s="563"/>
      <c r="ROI1" s="563" t="s">
        <v>15</v>
      </c>
      <c r="ROJ1" s="563"/>
      <c r="ROK1" s="563"/>
      <c r="ROL1" s="563"/>
      <c r="ROM1" s="563"/>
      <c r="RON1" s="563"/>
      <c r="ROO1" s="563"/>
      <c r="ROP1" s="563"/>
      <c r="ROQ1" s="563" t="s">
        <v>15</v>
      </c>
      <c r="ROR1" s="563"/>
      <c r="ROS1" s="563"/>
      <c r="ROT1" s="563"/>
      <c r="ROU1" s="563"/>
      <c r="ROV1" s="563"/>
      <c r="ROW1" s="563"/>
      <c r="ROX1" s="563"/>
      <c r="ROY1" s="563" t="s">
        <v>15</v>
      </c>
      <c r="ROZ1" s="563"/>
      <c r="RPA1" s="563"/>
      <c r="RPB1" s="563"/>
      <c r="RPC1" s="563"/>
      <c r="RPD1" s="563"/>
      <c r="RPE1" s="563"/>
      <c r="RPF1" s="563"/>
      <c r="RPG1" s="563" t="s">
        <v>15</v>
      </c>
      <c r="RPH1" s="563"/>
      <c r="RPI1" s="563"/>
      <c r="RPJ1" s="563"/>
      <c r="RPK1" s="563"/>
      <c r="RPL1" s="563"/>
      <c r="RPM1" s="563"/>
      <c r="RPN1" s="563"/>
      <c r="RPO1" s="563" t="s">
        <v>15</v>
      </c>
      <c r="RPP1" s="563"/>
      <c r="RPQ1" s="563"/>
      <c r="RPR1" s="563"/>
      <c r="RPS1" s="563"/>
      <c r="RPT1" s="563"/>
      <c r="RPU1" s="563"/>
      <c r="RPV1" s="563"/>
      <c r="RPW1" s="563" t="s">
        <v>15</v>
      </c>
      <c r="RPX1" s="563"/>
      <c r="RPY1" s="563"/>
      <c r="RPZ1" s="563"/>
      <c r="RQA1" s="563"/>
      <c r="RQB1" s="563"/>
      <c r="RQC1" s="563"/>
      <c r="RQD1" s="563"/>
      <c r="RQE1" s="563" t="s">
        <v>15</v>
      </c>
      <c r="RQF1" s="563"/>
      <c r="RQG1" s="563"/>
      <c r="RQH1" s="563"/>
      <c r="RQI1" s="563"/>
      <c r="RQJ1" s="563"/>
      <c r="RQK1" s="563"/>
      <c r="RQL1" s="563"/>
      <c r="RQM1" s="563" t="s">
        <v>15</v>
      </c>
      <c r="RQN1" s="563"/>
      <c r="RQO1" s="563"/>
      <c r="RQP1" s="563"/>
      <c r="RQQ1" s="563"/>
      <c r="RQR1" s="563"/>
      <c r="RQS1" s="563"/>
      <c r="RQT1" s="563"/>
      <c r="RQU1" s="563" t="s">
        <v>15</v>
      </c>
      <c r="RQV1" s="563"/>
      <c r="RQW1" s="563"/>
      <c r="RQX1" s="563"/>
      <c r="RQY1" s="563"/>
      <c r="RQZ1" s="563"/>
      <c r="RRA1" s="563"/>
      <c r="RRB1" s="563"/>
      <c r="RRC1" s="563" t="s">
        <v>15</v>
      </c>
      <c r="RRD1" s="563"/>
      <c r="RRE1" s="563"/>
      <c r="RRF1" s="563"/>
      <c r="RRG1" s="563"/>
      <c r="RRH1" s="563"/>
      <c r="RRI1" s="563"/>
      <c r="RRJ1" s="563"/>
      <c r="RRK1" s="563" t="s">
        <v>15</v>
      </c>
      <c r="RRL1" s="563"/>
      <c r="RRM1" s="563"/>
      <c r="RRN1" s="563"/>
      <c r="RRO1" s="563"/>
      <c r="RRP1" s="563"/>
      <c r="RRQ1" s="563"/>
      <c r="RRR1" s="563"/>
      <c r="RRS1" s="563" t="s">
        <v>15</v>
      </c>
      <c r="RRT1" s="563"/>
      <c r="RRU1" s="563"/>
      <c r="RRV1" s="563"/>
      <c r="RRW1" s="563"/>
      <c r="RRX1" s="563"/>
      <c r="RRY1" s="563"/>
      <c r="RRZ1" s="563"/>
      <c r="RSA1" s="563" t="s">
        <v>15</v>
      </c>
      <c r="RSB1" s="563"/>
      <c r="RSC1" s="563"/>
      <c r="RSD1" s="563"/>
      <c r="RSE1" s="563"/>
      <c r="RSF1" s="563"/>
      <c r="RSG1" s="563"/>
      <c r="RSH1" s="563"/>
      <c r="RSI1" s="563" t="s">
        <v>15</v>
      </c>
      <c r="RSJ1" s="563"/>
      <c r="RSK1" s="563"/>
      <c r="RSL1" s="563"/>
      <c r="RSM1" s="563"/>
      <c r="RSN1" s="563"/>
      <c r="RSO1" s="563"/>
      <c r="RSP1" s="563"/>
      <c r="RSQ1" s="563" t="s">
        <v>15</v>
      </c>
      <c r="RSR1" s="563"/>
      <c r="RSS1" s="563"/>
      <c r="RST1" s="563"/>
      <c r="RSU1" s="563"/>
      <c r="RSV1" s="563"/>
      <c r="RSW1" s="563"/>
      <c r="RSX1" s="563"/>
      <c r="RSY1" s="563" t="s">
        <v>15</v>
      </c>
      <c r="RSZ1" s="563"/>
      <c r="RTA1" s="563"/>
      <c r="RTB1" s="563"/>
      <c r="RTC1" s="563"/>
      <c r="RTD1" s="563"/>
      <c r="RTE1" s="563"/>
      <c r="RTF1" s="563"/>
      <c r="RTG1" s="563" t="s">
        <v>15</v>
      </c>
      <c r="RTH1" s="563"/>
      <c r="RTI1" s="563"/>
      <c r="RTJ1" s="563"/>
      <c r="RTK1" s="563"/>
      <c r="RTL1" s="563"/>
      <c r="RTM1" s="563"/>
      <c r="RTN1" s="563"/>
      <c r="RTO1" s="563" t="s">
        <v>15</v>
      </c>
      <c r="RTP1" s="563"/>
      <c r="RTQ1" s="563"/>
      <c r="RTR1" s="563"/>
      <c r="RTS1" s="563"/>
      <c r="RTT1" s="563"/>
      <c r="RTU1" s="563"/>
      <c r="RTV1" s="563"/>
      <c r="RTW1" s="563" t="s">
        <v>15</v>
      </c>
      <c r="RTX1" s="563"/>
      <c r="RTY1" s="563"/>
      <c r="RTZ1" s="563"/>
      <c r="RUA1" s="563"/>
      <c r="RUB1" s="563"/>
      <c r="RUC1" s="563"/>
      <c r="RUD1" s="563"/>
      <c r="RUE1" s="563" t="s">
        <v>15</v>
      </c>
      <c r="RUF1" s="563"/>
      <c r="RUG1" s="563"/>
      <c r="RUH1" s="563"/>
      <c r="RUI1" s="563"/>
      <c r="RUJ1" s="563"/>
      <c r="RUK1" s="563"/>
      <c r="RUL1" s="563"/>
      <c r="RUM1" s="563" t="s">
        <v>15</v>
      </c>
      <c r="RUN1" s="563"/>
      <c r="RUO1" s="563"/>
      <c r="RUP1" s="563"/>
      <c r="RUQ1" s="563"/>
      <c r="RUR1" s="563"/>
      <c r="RUS1" s="563"/>
      <c r="RUT1" s="563"/>
      <c r="RUU1" s="563" t="s">
        <v>15</v>
      </c>
      <c r="RUV1" s="563"/>
      <c r="RUW1" s="563"/>
      <c r="RUX1" s="563"/>
      <c r="RUY1" s="563"/>
      <c r="RUZ1" s="563"/>
      <c r="RVA1" s="563"/>
      <c r="RVB1" s="563"/>
      <c r="RVC1" s="563" t="s">
        <v>15</v>
      </c>
      <c r="RVD1" s="563"/>
      <c r="RVE1" s="563"/>
      <c r="RVF1" s="563"/>
      <c r="RVG1" s="563"/>
      <c r="RVH1" s="563"/>
      <c r="RVI1" s="563"/>
      <c r="RVJ1" s="563"/>
      <c r="RVK1" s="563" t="s">
        <v>15</v>
      </c>
      <c r="RVL1" s="563"/>
      <c r="RVM1" s="563"/>
      <c r="RVN1" s="563"/>
      <c r="RVO1" s="563"/>
      <c r="RVP1" s="563"/>
      <c r="RVQ1" s="563"/>
      <c r="RVR1" s="563"/>
      <c r="RVS1" s="563" t="s">
        <v>15</v>
      </c>
      <c r="RVT1" s="563"/>
      <c r="RVU1" s="563"/>
      <c r="RVV1" s="563"/>
      <c r="RVW1" s="563"/>
      <c r="RVX1" s="563"/>
      <c r="RVY1" s="563"/>
      <c r="RVZ1" s="563"/>
      <c r="RWA1" s="563" t="s">
        <v>15</v>
      </c>
      <c r="RWB1" s="563"/>
      <c r="RWC1" s="563"/>
      <c r="RWD1" s="563"/>
      <c r="RWE1" s="563"/>
      <c r="RWF1" s="563"/>
      <c r="RWG1" s="563"/>
      <c r="RWH1" s="563"/>
      <c r="RWI1" s="563" t="s">
        <v>15</v>
      </c>
      <c r="RWJ1" s="563"/>
      <c r="RWK1" s="563"/>
      <c r="RWL1" s="563"/>
      <c r="RWM1" s="563"/>
      <c r="RWN1" s="563"/>
      <c r="RWO1" s="563"/>
      <c r="RWP1" s="563"/>
      <c r="RWQ1" s="563" t="s">
        <v>15</v>
      </c>
      <c r="RWR1" s="563"/>
      <c r="RWS1" s="563"/>
      <c r="RWT1" s="563"/>
      <c r="RWU1" s="563"/>
      <c r="RWV1" s="563"/>
      <c r="RWW1" s="563"/>
      <c r="RWX1" s="563"/>
      <c r="RWY1" s="563" t="s">
        <v>15</v>
      </c>
      <c r="RWZ1" s="563"/>
      <c r="RXA1" s="563"/>
      <c r="RXB1" s="563"/>
      <c r="RXC1" s="563"/>
      <c r="RXD1" s="563"/>
      <c r="RXE1" s="563"/>
      <c r="RXF1" s="563"/>
      <c r="RXG1" s="563" t="s">
        <v>15</v>
      </c>
      <c r="RXH1" s="563"/>
      <c r="RXI1" s="563"/>
      <c r="RXJ1" s="563"/>
      <c r="RXK1" s="563"/>
      <c r="RXL1" s="563"/>
      <c r="RXM1" s="563"/>
      <c r="RXN1" s="563"/>
      <c r="RXO1" s="563" t="s">
        <v>15</v>
      </c>
      <c r="RXP1" s="563"/>
      <c r="RXQ1" s="563"/>
      <c r="RXR1" s="563"/>
      <c r="RXS1" s="563"/>
      <c r="RXT1" s="563"/>
      <c r="RXU1" s="563"/>
      <c r="RXV1" s="563"/>
      <c r="RXW1" s="563" t="s">
        <v>15</v>
      </c>
      <c r="RXX1" s="563"/>
      <c r="RXY1" s="563"/>
      <c r="RXZ1" s="563"/>
      <c r="RYA1" s="563"/>
      <c r="RYB1" s="563"/>
      <c r="RYC1" s="563"/>
      <c r="RYD1" s="563"/>
      <c r="RYE1" s="563" t="s">
        <v>15</v>
      </c>
      <c r="RYF1" s="563"/>
      <c r="RYG1" s="563"/>
      <c r="RYH1" s="563"/>
      <c r="RYI1" s="563"/>
      <c r="RYJ1" s="563"/>
      <c r="RYK1" s="563"/>
      <c r="RYL1" s="563"/>
      <c r="RYM1" s="563" t="s">
        <v>15</v>
      </c>
      <c r="RYN1" s="563"/>
      <c r="RYO1" s="563"/>
      <c r="RYP1" s="563"/>
      <c r="RYQ1" s="563"/>
      <c r="RYR1" s="563"/>
      <c r="RYS1" s="563"/>
      <c r="RYT1" s="563"/>
      <c r="RYU1" s="563" t="s">
        <v>15</v>
      </c>
      <c r="RYV1" s="563"/>
      <c r="RYW1" s="563"/>
      <c r="RYX1" s="563"/>
      <c r="RYY1" s="563"/>
      <c r="RYZ1" s="563"/>
      <c r="RZA1" s="563"/>
      <c r="RZB1" s="563"/>
      <c r="RZC1" s="563" t="s">
        <v>15</v>
      </c>
      <c r="RZD1" s="563"/>
      <c r="RZE1" s="563"/>
      <c r="RZF1" s="563"/>
      <c r="RZG1" s="563"/>
      <c r="RZH1" s="563"/>
      <c r="RZI1" s="563"/>
      <c r="RZJ1" s="563"/>
      <c r="RZK1" s="563" t="s">
        <v>15</v>
      </c>
      <c r="RZL1" s="563"/>
      <c r="RZM1" s="563"/>
      <c r="RZN1" s="563"/>
      <c r="RZO1" s="563"/>
      <c r="RZP1" s="563"/>
      <c r="RZQ1" s="563"/>
      <c r="RZR1" s="563"/>
      <c r="RZS1" s="563" t="s">
        <v>15</v>
      </c>
      <c r="RZT1" s="563"/>
      <c r="RZU1" s="563"/>
      <c r="RZV1" s="563"/>
      <c r="RZW1" s="563"/>
      <c r="RZX1" s="563"/>
      <c r="RZY1" s="563"/>
      <c r="RZZ1" s="563"/>
      <c r="SAA1" s="563" t="s">
        <v>15</v>
      </c>
      <c r="SAB1" s="563"/>
      <c r="SAC1" s="563"/>
      <c r="SAD1" s="563"/>
      <c r="SAE1" s="563"/>
      <c r="SAF1" s="563"/>
      <c r="SAG1" s="563"/>
      <c r="SAH1" s="563"/>
      <c r="SAI1" s="563" t="s">
        <v>15</v>
      </c>
      <c r="SAJ1" s="563"/>
      <c r="SAK1" s="563"/>
      <c r="SAL1" s="563"/>
      <c r="SAM1" s="563"/>
      <c r="SAN1" s="563"/>
      <c r="SAO1" s="563"/>
      <c r="SAP1" s="563"/>
      <c r="SAQ1" s="563" t="s">
        <v>15</v>
      </c>
      <c r="SAR1" s="563"/>
      <c r="SAS1" s="563"/>
      <c r="SAT1" s="563"/>
      <c r="SAU1" s="563"/>
      <c r="SAV1" s="563"/>
      <c r="SAW1" s="563"/>
      <c r="SAX1" s="563"/>
      <c r="SAY1" s="563" t="s">
        <v>15</v>
      </c>
      <c r="SAZ1" s="563"/>
      <c r="SBA1" s="563"/>
      <c r="SBB1" s="563"/>
      <c r="SBC1" s="563"/>
      <c r="SBD1" s="563"/>
      <c r="SBE1" s="563"/>
      <c r="SBF1" s="563"/>
      <c r="SBG1" s="563" t="s">
        <v>15</v>
      </c>
      <c r="SBH1" s="563"/>
      <c r="SBI1" s="563"/>
      <c r="SBJ1" s="563"/>
      <c r="SBK1" s="563"/>
      <c r="SBL1" s="563"/>
      <c r="SBM1" s="563"/>
      <c r="SBN1" s="563"/>
      <c r="SBO1" s="563" t="s">
        <v>15</v>
      </c>
      <c r="SBP1" s="563"/>
      <c r="SBQ1" s="563"/>
      <c r="SBR1" s="563"/>
      <c r="SBS1" s="563"/>
      <c r="SBT1" s="563"/>
      <c r="SBU1" s="563"/>
      <c r="SBV1" s="563"/>
      <c r="SBW1" s="563" t="s">
        <v>15</v>
      </c>
      <c r="SBX1" s="563"/>
      <c r="SBY1" s="563"/>
      <c r="SBZ1" s="563"/>
      <c r="SCA1" s="563"/>
      <c r="SCB1" s="563"/>
      <c r="SCC1" s="563"/>
      <c r="SCD1" s="563"/>
      <c r="SCE1" s="563" t="s">
        <v>15</v>
      </c>
      <c r="SCF1" s="563"/>
      <c r="SCG1" s="563"/>
      <c r="SCH1" s="563"/>
      <c r="SCI1" s="563"/>
      <c r="SCJ1" s="563"/>
      <c r="SCK1" s="563"/>
      <c r="SCL1" s="563"/>
      <c r="SCM1" s="563" t="s">
        <v>15</v>
      </c>
      <c r="SCN1" s="563"/>
      <c r="SCO1" s="563"/>
      <c r="SCP1" s="563"/>
      <c r="SCQ1" s="563"/>
      <c r="SCR1" s="563"/>
      <c r="SCS1" s="563"/>
      <c r="SCT1" s="563"/>
      <c r="SCU1" s="563" t="s">
        <v>15</v>
      </c>
      <c r="SCV1" s="563"/>
      <c r="SCW1" s="563"/>
      <c r="SCX1" s="563"/>
      <c r="SCY1" s="563"/>
      <c r="SCZ1" s="563"/>
      <c r="SDA1" s="563"/>
      <c r="SDB1" s="563"/>
      <c r="SDC1" s="563" t="s">
        <v>15</v>
      </c>
      <c r="SDD1" s="563"/>
      <c r="SDE1" s="563"/>
      <c r="SDF1" s="563"/>
      <c r="SDG1" s="563"/>
      <c r="SDH1" s="563"/>
      <c r="SDI1" s="563"/>
      <c r="SDJ1" s="563"/>
      <c r="SDK1" s="563" t="s">
        <v>15</v>
      </c>
      <c r="SDL1" s="563"/>
      <c r="SDM1" s="563"/>
      <c r="SDN1" s="563"/>
      <c r="SDO1" s="563"/>
      <c r="SDP1" s="563"/>
      <c r="SDQ1" s="563"/>
      <c r="SDR1" s="563"/>
      <c r="SDS1" s="563" t="s">
        <v>15</v>
      </c>
      <c r="SDT1" s="563"/>
      <c r="SDU1" s="563"/>
      <c r="SDV1" s="563"/>
      <c r="SDW1" s="563"/>
      <c r="SDX1" s="563"/>
      <c r="SDY1" s="563"/>
      <c r="SDZ1" s="563"/>
      <c r="SEA1" s="563" t="s">
        <v>15</v>
      </c>
      <c r="SEB1" s="563"/>
      <c r="SEC1" s="563"/>
      <c r="SED1" s="563"/>
      <c r="SEE1" s="563"/>
      <c r="SEF1" s="563"/>
      <c r="SEG1" s="563"/>
      <c r="SEH1" s="563"/>
      <c r="SEI1" s="563" t="s">
        <v>15</v>
      </c>
      <c r="SEJ1" s="563"/>
      <c r="SEK1" s="563"/>
      <c r="SEL1" s="563"/>
      <c r="SEM1" s="563"/>
      <c r="SEN1" s="563"/>
      <c r="SEO1" s="563"/>
      <c r="SEP1" s="563"/>
      <c r="SEQ1" s="563" t="s">
        <v>15</v>
      </c>
      <c r="SER1" s="563"/>
      <c r="SES1" s="563"/>
      <c r="SET1" s="563"/>
      <c r="SEU1" s="563"/>
      <c r="SEV1" s="563"/>
      <c r="SEW1" s="563"/>
      <c r="SEX1" s="563"/>
      <c r="SEY1" s="563" t="s">
        <v>15</v>
      </c>
      <c r="SEZ1" s="563"/>
      <c r="SFA1" s="563"/>
      <c r="SFB1" s="563"/>
      <c r="SFC1" s="563"/>
      <c r="SFD1" s="563"/>
      <c r="SFE1" s="563"/>
      <c r="SFF1" s="563"/>
      <c r="SFG1" s="563" t="s">
        <v>15</v>
      </c>
      <c r="SFH1" s="563"/>
      <c r="SFI1" s="563"/>
      <c r="SFJ1" s="563"/>
      <c r="SFK1" s="563"/>
      <c r="SFL1" s="563"/>
      <c r="SFM1" s="563"/>
      <c r="SFN1" s="563"/>
      <c r="SFO1" s="563" t="s">
        <v>15</v>
      </c>
      <c r="SFP1" s="563"/>
      <c r="SFQ1" s="563"/>
      <c r="SFR1" s="563"/>
      <c r="SFS1" s="563"/>
      <c r="SFT1" s="563"/>
      <c r="SFU1" s="563"/>
      <c r="SFV1" s="563"/>
      <c r="SFW1" s="563" t="s">
        <v>15</v>
      </c>
      <c r="SFX1" s="563"/>
      <c r="SFY1" s="563"/>
      <c r="SFZ1" s="563"/>
      <c r="SGA1" s="563"/>
      <c r="SGB1" s="563"/>
      <c r="SGC1" s="563"/>
      <c r="SGD1" s="563"/>
      <c r="SGE1" s="563" t="s">
        <v>15</v>
      </c>
      <c r="SGF1" s="563"/>
      <c r="SGG1" s="563"/>
      <c r="SGH1" s="563"/>
      <c r="SGI1" s="563"/>
      <c r="SGJ1" s="563"/>
      <c r="SGK1" s="563"/>
      <c r="SGL1" s="563"/>
      <c r="SGM1" s="563" t="s">
        <v>15</v>
      </c>
      <c r="SGN1" s="563"/>
      <c r="SGO1" s="563"/>
      <c r="SGP1" s="563"/>
      <c r="SGQ1" s="563"/>
      <c r="SGR1" s="563"/>
      <c r="SGS1" s="563"/>
      <c r="SGT1" s="563"/>
      <c r="SGU1" s="563" t="s">
        <v>15</v>
      </c>
      <c r="SGV1" s="563"/>
      <c r="SGW1" s="563"/>
      <c r="SGX1" s="563"/>
      <c r="SGY1" s="563"/>
      <c r="SGZ1" s="563"/>
      <c r="SHA1" s="563"/>
      <c r="SHB1" s="563"/>
      <c r="SHC1" s="563" t="s">
        <v>15</v>
      </c>
      <c r="SHD1" s="563"/>
      <c r="SHE1" s="563"/>
      <c r="SHF1" s="563"/>
      <c r="SHG1" s="563"/>
      <c r="SHH1" s="563"/>
      <c r="SHI1" s="563"/>
      <c r="SHJ1" s="563"/>
      <c r="SHK1" s="563" t="s">
        <v>15</v>
      </c>
      <c r="SHL1" s="563"/>
      <c r="SHM1" s="563"/>
      <c r="SHN1" s="563"/>
      <c r="SHO1" s="563"/>
      <c r="SHP1" s="563"/>
      <c r="SHQ1" s="563"/>
      <c r="SHR1" s="563"/>
      <c r="SHS1" s="563" t="s">
        <v>15</v>
      </c>
      <c r="SHT1" s="563"/>
      <c r="SHU1" s="563"/>
      <c r="SHV1" s="563"/>
      <c r="SHW1" s="563"/>
      <c r="SHX1" s="563"/>
      <c r="SHY1" s="563"/>
      <c r="SHZ1" s="563"/>
      <c r="SIA1" s="563" t="s">
        <v>15</v>
      </c>
      <c r="SIB1" s="563"/>
      <c r="SIC1" s="563"/>
      <c r="SID1" s="563"/>
      <c r="SIE1" s="563"/>
      <c r="SIF1" s="563"/>
      <c r="SIG1" s="563"/>
      <c r="SIH1" s="563"/>
      <c r="SII1" s="563" t="s">
        <v>15</v>
      </c>
      <c r="SIJ1" s="563"/>
      <c r="SIK1" s="563"/>
      <c r="SIL1" s="563"/>
      <c r="SIM1" s="563"/>
      <c r="SIN1" s="563"/>
      <c r="SIO1" s="563"/>
      <c r="SIP1" s="563"/>
      <c r="SIQ1" s="563" t="s">
        <v>15</v>
      </c>
      <c r="SIR1" s="563"/>
      <c r="SIS1" s="563"/>
      <c r="SIT1" s="563"/>
      <c r="SIU1" s="563"/>
      <c r="SIV1" s="563"/>
      <c r="SIW1" s="563"/>
      <c r="SIX1" s="563"/>
      <c r="SIY1" s="563" t="s">
        <v>15</v>
      </c>
      <c r="SIZ1" s="563"/>
      <c r="SJA1" s="563"/>
      <c r="SJB1" s="563"/>
      <c r="SJC1" s="563"/>
      <c r="SJD1" s="563"/>
      <c r="SJE1" s="563"/>
      <c r="SJF1" s="563"/>
      <c r="SJG1" s="563" t="s">
        <v>15</v>
      </c>
      <c r="SJH1" s="563"/>
      <c r="SJI1" s="563"/>
      <c r="SJJ1" s="563"/>
      <c r="SJK1" s="563"/>
      <c r="SJL1" s="563"/>
      <c r="SJM1" s="563"/>
      <c r="SJN1" s="563"/>
      <c r="SJO1" s="563" t="s">
        <v>15</v>
      </c>
      <c r="SJP1" s="563"/>
      <c r="SJQ1" s="563"/>
      <c r="SJR1" s="563"/>
      <c r="SJS1" s="563"/>
      <c r="SJT1" s="563"/>
      <c r="SJU1" s="563"/>
      <c r="SJV1" s="563"/>
      <c r="SJW1" s="563" t="s">
        <v>15</v>
      </c>
      <c r="SJX1" s="563"/>
      <c r="SJY1" s="563"/>
      <c r="SJZ1" s="563"/>
      <c r="SKA1" s="563"/>
      <c r="SKB1" s="563"/>
      <c r="SKC1" s="563"/>
      <c r="SKD1" s="563"/>
      <c r="SKE1" s="563" t="s">
        <v>15</v>
      </c>
      <c r="SKF1" s="563"/>
      <c r="SKG1" s="563"/>
      <c r="SKH1" s="563"/>
      <c r="SKI1" s="563"/>
      <c r="SKJ1" s="563"/>
      <c r="SKK1" s="563"/>
      <c r="SKL1" s="563"/>
      <c r="SKM1" s="563" t="s">
        <v>15</v>
      </c>
      <c r="SKN1" s="563"/>
      <c r="SKO1" s="563"/>
      <c r="SKP1" s="563"/>
      <c r="SKQ1" s="563"/>
      <c r="SKR1" s="563"/>
      <c r="SKS1" s="563"/>
      <c r="SKT1" s="563"/>
      <c r="SKU1" s="563" t="s">
        <v>15</v>
      </c>
      <c r="SKV1" s="563"/>
      <c r="SKW1" s="563"/>
      <c r="SKX1" s="563"/>
      <c r="SKY1" s="563"/>
      <c r="SKZ1" s="563"/>
      <c r="SLA1" s="563"/>
      <c r="SLB1" s="563"/>
      <c r="SLC1" s="563" t="s">
        <v>15</v>
      </c>
      <c r="SLD1" s="563"/>
      <c r="SLE1" s="563"/>
      <c r="SLF1" s="563"/>
      <c r="SLG1" s="563"/>
      <c r="SLH1" s="563"/>
      <c r="SLI1" s="563"/>
      <c r="SLJ1" s="563"/>
      <c r="SLK1" s="563" t="s">
        <v>15</v>
      </c>
      <c r="SLL1" s="563"/>
      <c r="SLM1" s="563"/>
      <c r="SLN1" s="563"/>
      <c r="SLO1" s="563"/>
      <c r="SLP1" s="563"/>
      <c r="SLQ1" s="563"/>
      <c r="SLR1" s="563"/>
      <c r="SLS1" s="563" t="s">
        <v>15</v>
      </c>
      <c r="SLT1" s="563"/>
      <c r="SLU1" s="563"/>
      <c r="SLV1" s="563"/>
      <c r="SLW1" s="563"/>
      <c r="SLX1" s="563"/>
      <c r="SLY1" s="563"/>
      <c r="SLZ1" s="563"/>
      <c r="SMA1" s="563" t="s">
        <v>15</v>
      </c>
      <c r="SMB1" s="563"/>
      <c r="SMC1" s="563"/>
      <c r="SMD1" s="563"/>
      <c r="SME1" s="563"/>
      <c r="SMF1" s="563"/>
      <c r="SMG1" s="563"/>
      <c r="SMH1" s="563"/>
      <c r="SMI1" s="563" t="s">
        <v>15</v>
      </c>
      <c r="SMJ1" s="563"/>
      <c r="SMK1" s="563"/>
      <c r="SML1" s="563"/>
      <c r="SMM1" s="563"/>
      <c r="SMN1" s="563"/>
      <c r="SMO1" s="563"/>
      <c r="SMP1" s="563"/>
      <c r="SMQ1" s="563" t="s">
        <v>15</v>
      </c>
      <c r="SMR1" s="563"/>
      <c r="SMS1" s="563"/>
      <c r="SMT1" s="563"/>
      <c r="SMU1" s="563"/>
      <c r="SMV1" s="563"/>
      <c r="SMW1" s="563"/>
      <c r="SMX1" s="563"/>
      <c r="SMY1" s="563" t="s">
        <v>15</v>
      </c>
      <c r="SMZ1" s="563"/>
      <c r="SNA1" s="563"/>
      <c r="SNB1" s="563"/>
      <c r="SNC1" s="563"/>
      <c r="SND1" s="563"/>
      <c r="SNE1" s="563"/>
      <c r="SNF1" s="563"/>
      <c r="SNG1" s="563" t="s">
        <v>15</v>
      </c>
      <c r="SNH1" s="563"/>
      <c r="SNI1" s="563"/>
      <c r="SNJ1" s="563"/>
      <c r="SNK1" s="563"/>
      <c r="SNL1" s="563"/>
      <c r="SNM1" s="563"/>
      <c r="SNN1" s="563"/>
      <c r="SNO1" s="563" t="s">
        <v>15</v>
      </c>
      <c r="SNP1" s="563"/>
      <c r="SNQ1" s="563"/>
      <c r="SNR1" s="563"/>
      <c r="SNS1" s="563"/>
      <c r="SNT1" s="563"/>
      <c r="SNU1" s="563"/>
      <c r="SNV1" s="563"/>
      <c r="SNW1" s="563" t="s">
        <v>15</v>
      </c>
      <c r="SNX1" s="563"/>
      <c r="SNY1" s="563"/>
      <c r="SNZ1" s="563"/>
      <c r="SOA1" s="563"/>
      <c r="SOB1" s="563"/>
      <c r="SOC1" s="563"/>
      <c r="SOD1" s="563"/>
      <c r="SOE1" s="563" t="s">
        <v>15</v>
      </c>
      <c r="SOF1" s="563"/>
      <c r="SOG1" s="563"/>
      <c r="SOH1" s="563"/>
      <c r="SOI1" s="563"/>
      <c r="SOJ1" s="563"/>
      <c r="SOK1" s="563"/>
      <c r="SOL1" s="563"/>
      <c r="SOM1" s="563" t="s">
        <v>15</v>
      </c>
      <c r="SON1" s="563"/>
      <c r="SOO1" s="563"/>
      <c r="SOP1" s="563"/>
      <c r="SOQ1" s="563"/>
      <c r="SOR1" s="563"/>
      <c r="SOS1" s="563"/>
      <c r="SOT1" s="563"/>
      <c r="SOU1" s="563" t="s">
        <v>15</v>
      </c>
      <c r="SOV1" s="563"/>
      <c r="SOW1" s="563"/>
      <c r="SOX1" s="563"/>
      <c r="SOY1" s="563"/>
      <c r="SOZ1" s="563"/>
      <c r="SPA1" s="563"/>
      <c r="SPB1" s="563"/>
      <c r="SPC1" s="563" t="s">
        <v>15</v>
      </c>
      <c r="SPD1" s="563"/>
      <c r="SPE1" s="563"/>
      <c r="SPF1" s="563"/>
      <c r="SPG1" s="563"/>
      <c r="SPH1" s="563"/>
      <c r="SPI1" s="563"/>
      <c r="SPJ1" s="563"/>
      <c r="SPK1" s="563" t="s">
        <v>15</v>
      </c>
      <c r="SPL1" s="563"/>
      <c r="SPM1" s="563"/>
      <c r="SPN1" s="563"/>
      <c r="SPO1" s="563"/>
      <c r="SPP1" s="563"/>
      <c r="SPQ1" s="563"/>
      <c r="SPR1" s="563"/>
      <c r="SPS1" s="563" t="s">
        <v>15</v>
      </c>
      <c r="SPT1" s="563"/>
      <c r="SPU1" s="563"/>
      <c r="SPV1" s="563"/>
      <c r="SPW1" s="563"/>
      <c r="SPX1" s="563"/>
      <c r="SPY1" s="563"/>
      <c r="SPZ1" s="563"/>
      <c r="SQA1" s="563" t="s">
        <v>15</v>
      </c>
      <c r="SQB1" s="563"/>
      <c r="SQC1" s="563"/>
      <c r="SQD1" s="563"/>
      <c r="SQE1" s="563"/>
      <c r="SQF1" s="563"/>
      <c r="SQG1" s="563"/>
      <c r="SQH1" s="563"/>
      <c r="SQI1" s="563" t="s">
        <v>15</v>
      </c>
      <c r="SQJ1" s="563"/>
      <c r="SQK1" s="563"/>
      <c r="SQL1" s="563"/>
      <c r="SQM1" s="563"/>
      <c r="SQN1" s="563"/>
      <c r="SQO1" s="563"/>
      <c r="SQP1" s="563"/>
      <c r="SQQ1" s="563" t="s">
        <v>15</v>
      </c>
      <c r="SQR1" s="563"/>
      <c r="SQS1" s="563"/>
      <c r="SQT1" s="563"/>
      <c r="SQU1" s="563"/>
      <c r="SQV1" s="563"/>
      <c r="SQW1" s="563"/>
      <c r="SQX1" s="563"/>
      <c r="SQY1" s="563" t="s">
        <v>15</v>
      </c>
      <c r="SQZ1" s="563"/>
      <c r="SRA1" s="563"/>
      <c r="SRB1" s="563"/>
      <c r="SRC1" s="563"/>
      <c r="SRD1" s="563"/>
      <c r="SRE1" s="563"/>
      <c r="SRF1" s="563"/>
      <c r="SRG1" s="563" t="s">
        <v>15</v>
      </c>
      <c r="SRH1" s="563"/>
      <c r="SRI1" s="563"/>
      <c r="SRJ1" s="563"/>
      <c r="SRK1" s="563"/>
      <c r="SRL1" s="563"/>
      <c r="SRM1" s="563"/>
      <c r="SRN1" s="563"/>
      <c r="SRO1" s="563" t="s">
        <v>15</v>
      </c>
      <c r="SRP1" s="563"/>
      <c r="SRQ1" s="563"/>
      <c r="SRR1" s="563"/>
      <c r="SRS1" s="563"/>
      <c r="SRT1" s="563"/>
      <c r="SRU1" s="563"/>
      <c r="SRV1" s="563"/>
      <c r="SRW1" s="563" t="s">
        <v>15</v>
      </c>
      <c r="SRX1" s="563"/>
      <c r="SRY1" s="563"/>
      <c r="SRZ1" s="563"/>
      <c r="SSA1" s="563"/>
      <c r="SSB1" s="563"/>
      <c r="SSC1" s="563"/>
      <c r="SSD1" s="563"/>
      <c r="SSE1" s="563" t="s">
        <v>15</v>
      </c>
      <c r="SSF1" s="563"/>
      <c r="SSG1" s="563"/>
      <c r="SSH1" s="563"/>
      <c r="SSI1" s="563"/>
      <c r="SSJ1" s="563"/>
      <c r="SSK1" s="563"/>
      <c r="SSL1" s="563"/>
      <c r="SSM1" s="563" t="s">
        <v>15</v>
      </c>
      <c r="SSN1" s="563"/>
      <c r="SSO1" s="563"/>
      <c r="SSP1" s="563"/>
      <c r="SSQ1" s="563"/>
      <c r="SSR1" s="563"/>
      <c r="SSS1" s="563"/>
      <c r="SST1" s="563"/>
      <c r="SSU1" s="563" t="s">
        <v>15</v>
      </c>
      <c r="SSV1" s="563"/>
      <c r="SSW1" s="563"/>
      <c r="SSX1" s="563"/>
      <c r="SSY1" s="563"/>
      <c r="SSZ1" s="563"/>
      <c r="STA1" s="563"/>
      <c r="STB1" s="563"/>
      <c r="STC1" s="563" t="s">
        <v>15</v>
      </c>
      <c r="STD1" s="563"/>
      <c r="STE1" s="563"/>
      <c r="STF1" s="563"/>
      <c r="STG1" s="563"/>
      <c r="STH1" s="563"/>
      <c r="STI1" s="563"/>
      <c r="STJ1" s="563"/>
      <c r="STK1" s="563" t="s">
        <v>15</v>
      </c>
      <c r="STL1" s="563"/>
      <c r="STM1" s="563"/>
      <c r="STN1" s="563"/>
      <c r="STO1" s="563"/>
      <c r="STP1" s="563"/>
      <c r="STQ1" s="563"/>
      <c r="STR1" s="563"/>
      <c r="STS1" s="563" t="s">
        <v>15</v>
      </c>
      <c r="STT1" s="563"/>
      <c r="STU1" s="563"/>
      <c r="STV1" s="563"/>
      <c r="STW1" s="563"/>
      <c r="STX1" s="563"/>
      <c r="STY1" s="563"/>
      <c r="STZ1" s="563"/>
      <c r="SUA1" s="563" t="s">
        <v>15</v>
      </c>
      <c r="SUB1" s="563"/>
      <c r="SUC1" s="563"/>
      <c r="SUD1" s="563"/>
      <c r="SUE1" s="563"/>
      <c r="SUF1" s="563"/>
      <c r="SUG1" s="563"/>
      <c r="SUH1" s="563"/>
      <c r="SUI1" s="563" t="s">
        <v>15</v>
      </c>
      <c r="SUJ1" s="563"/>
      <c r="SUK1" s="563"/>
      <c r="SUL1" s="563"/>
      <c r="SUM1" s="563"/>
      <c r="SUN1" s="563"/>
      <c r="SUO1" s="563"/>
      <c r="SUP1" s="563"/>
      <c r="SUQ1" s="563" t="s">
        <v>15</v>
      </c>
      <c r="SUR1" s="563"/>
      <c r="SUS1" s="563"/>
      <c r="SUT1" s="563"/>
      <c r="SUU1" s="563"/>
      <c r="SUV1" s="563"/>
      <c r="SUW1" s="563"/>
      <c r="SUX1" s="563"/>
      <c r="SUY1" s="563" t="s">
        <v>15</v>
      </c>
      <c r="SUZ1" s="563"/>
      <c r="SVA1" s="563"/>
      <c r="SVB1" s="563"/>
      <c r="SVC1" s="563"/>
      <c r="SVD1" s="563"/>
      <c r="SVE1" s="563"/>
      <c r="SVF1" s="563"/>
      <c r="SVG1" s="563" t="s">
        <v>15</v>
      </c>
      <c r="SVH1" s="563"/>
      <c r="SVI1" s="563"/>
      <c r="SVJ1" s="563"/>
      <c r="SVK1" s="563"/>
      <c r="SVL1" s="563"/>
      <c r="SVM1" s="563"/>
      <c r="SVN1" s="563"/>
      <c r="SVO1" s="563" t="s">
        <v>15</v>
      </c>
      <c r="SVP1" s="563"/>
      <c r="SVQ1" s="563"/>
      <c r="SVR1" s="563"/>
      <c r="SVS1" s="563"/>
      <c r="SVT1" s="563"/>
      <c r="SVU1" s="563"/>
      <c r="SVV1" s="563"/>
      <c r="SVW1" s="563" t="s">
        <v>15</v>
      </c>
      <c r="SVX1" s="563"/>
      <c r="SVY1" s="563"/>
      <c r="SVZ1" s="563"/>
      <c r="SWA1" s="563"/>
      <c r="SWB1" s="563"/>
      <c r="SWC1" s="563"/>
      <c r="SWD1" s="563"/>
      <c r="SWE1" s="563" t="s">
        <v>15</v>
      </c>
      <c r="SWF1" s="563"/>
      <c r="SWG1" s="563"/>
      <c r="SWH1" s="563"/>
      <c r="SWI1" s="563"/>
      <c r="SWJ1" s="563"/>
      <c r="SWK1" s="563"/>
      <c r="SWL1" s="563"/>
      <c r="SWM1" s="563" t="s">
        <v>15</v>
      </c>
      <c r="SWN1" s="563"/>
      <c r="SWO1" s="563"/>
      <c r="SWP1" s="563"/>
      <c r="SWQ1" s="563"/>
      <c r="SWR1" s="563"/>
      <c r="SWS1" s="563"/>
      <c r="SWT1" s="563"/>
      <c r="SWU1" s="563" t="s">
        <v>15</v>
      </c>
      <c r="SWV1" s="563"/>
      <c r="SWW1" s="563"/>
      <c r="SWX1" s="563"/>
      <c r="SWY1" s="563"/>
      <c r="SWZ1" s="563"/>
      <c r="SXA1" s="563"/>
      <c r="SXB1" s="563"/>
      <c r="SXC1" s="563" t="s">
        <v>15</v>
      </c>
      <c r="SXD1" s="563"/>
      <c r="SXE1" s="563"/>
      <c r="SXF1" s="563"/>
      <c r="SXG1" s="563"/>
      <c r="SXH1" s="563"/>
      <c r="SXI1" s="563"/>
      <c r="SXJ1" s="563"/>
      <c r="SXK1" s="563" t="s">
        <v>15</v>
      </c>
      <c r="SXL1" s="563"/>
      <c r="SXM1" s="563"/>
      <c r="SXN1" s="563"/>
      <c r="SXO1" s="563"/>
      <c r="SXP1" s="563"/>
      <c r="SXQ1" s="563"/>
      <c r="SXR1" s="563"/>
      <c r="SXS1" s="563" t="s">
        <v>15</v>
      </c>
      <c r="SXT1" s="563"/>
      <c r="SXU1" s="563"/>
      <c r="SXV1" s="563"/>
      <c r="SXW1" s="563"/>
      <c r="SXX1" s="563"/>
      <c r="SXY1" s="563"/>
      <c r="SXZ1" s="563"/>
      <c r="SYA1" s="563" t="s">
        <v>15</v>
      </c>
      <c r="SYB1" s="563"/>
      <c r="SYC1" s="563"/>
      <c r="SYD1" s="563"/>
      <c r="SYE1" s="563"/>
      <c r="SYF1" s="563"/>
      <c r="SYG1" s="563"/>
      <c r="SYH1" s="563"/>
      <c r="SYI1" s="563" t="s">
        <v>15</v>
      </c>
      <c r="SYJ1" s="563"/>
      <c r="SYK1" s="563"/>
      <c r="SYL1" s="563"/>
      <c r="SYM1" s="563"/>
      <c r="SYN1" s="563"/>
      <c r="SYO1" s="563"/>
      <c r="SYP1" s="563"/>
      <c r="SYQ1" s="563" t="s">
        <v>15</v>
      </c>
      <c r="SYR1" s="563"/>
      <c r="SYS1" s="563"/>
      <c r="SYT1" s="563"/>
      <c r="SYU1" s="563"/>
      <c r="SYV1" s="563"/>
      <c r="SYW1" s="563"/>
      <c r="SYX1" s="563"/>
      <c r="SYY1" s="563" t="s">
        <v>15</v>
      </c>
      <c r="SYZ1" s="563"/>
      <c r="SZA1" s="563"/>
      <c r="SZB1" s="563"/>
      <c r="SZC1" s="563"/>
      <c r="SZD1" s="563"/>
      <c r="SZE1" s="563"/>
      <c r="SZF1" s="563"/>
      <c r="SZG1" s="563" t="s">
        <v>15</v>
      </c>
      <c r="SZH1" s="563"/>
      <c r="SZI1" s="563"/>
      <c r="SZJ1" s="563"/>
      <c r="SZK1" s="563"/>
      <c r="SZL1" s="563"/>
      <c r="SZM1" s="563"/>
      <c r="SZN1" s="563"/>
      <c r="SZO1" s="563" t="s">
        <v>15</v>
      </c>
      <c r="SZP1" s="563"/>
      <c r="SZQ1" s="563"/>
      <c r="SZR1" s="563"/>
      <c r="SZS1" s="563"/>
      <c r="SZT1" s="563"/>
      <c r="SZU1" s="563"/>
      <c r="SZV1" s="563"/>
      <c r="SZW1" s="563" t="s">
        <v>15</v>
      </c>
      <c r="SZX1" s="563"/>
      <c r="SZY1" s="563"/>
      <c r="SZZ1" s="563"/>
      <c r="TAA1" s="563"/>
      <c r="TAB1" s="563"/>
      <c r="TAC1" s="563"/>
      <c r="TAD1" s="563"/>
      <c r="TAE1" s="563" t="s">
        <v>15</v>
      </c>
      <c r="TAF1" s="563"/>
      <c r="TAG1" s="563"/>
      <c r="TAH1" s="563"/>
      <c r="TAI1" s="563"/>
      <c r="TAJ1" s="563"/>
      <c r="TAK1" s="563"/>
      <c r="TAL1" s="563"/>
      <c r="TAM1" s="563" t="s">
        <v>15</v>
      </c>
      <c r="TAN1" s="563"/>
      <c r="TAO1" s="563"/>
      <c r="TAP1" s="563"/>
      <c r="TAQ1" s="563"/>
      <c r="TAR1" s="563"/>
      <c r="TAS1" s="563"/>
      <c r="TAT1" s="563"/>
      <c r="TAU1" s="563" t="s">
        <v>15</v>
      </c>
      <c r="TAV1" s="563"/>
      <c r="TAW1" s="563"/>
      <c r="TAX1" s="563"/>
      <c r="TAY1" s="563"/>
      <c r="TAZ1" s="563"/>
      <c r="TBA1" s="563"/>
      <c r="TBB1" s="563"/>
      <c r="TBC1" s="563" t="s">
        <v>15</v>
      </c>
      <c r="TBD1" s="563"/>
      <c r="TBE1" s="563"/>
      <c r="TBF1" s="563"/>
      <c r="TBG1" s="563"/>
      <c r="TBH1" s="563"/>
      <c r="TBI1" s="563"/>
      <c r="TBJ1" s="563"/>
      <c r="TBK1" s="563" t="s">
        <v>15</v>
      </c>
      <c r="TBL1" s="563"/>
      <c r="TBM1" s="563"/>
      <c r="TBN1" s="563"/>
      <c r="TBO1" s="563"/>
      <c r="TBP1" s="563"/>
      <c r="TBQ1" s="563"/>
      <c r="TBR1" s="563"/>
      <c r="TBS1" s="563" t="s">
        <v>15</v>
      </c>
      <c r="TBT1" s="563"/>
      <c r="TBU1" s="563"/>
      <c r="TBV1" s="563"/>
      <c r="TBW1" s="563"/>
      <c r="TBX1" s="563"/>
      <c r="TBY1" s="563"/>
      <c r="TBZ1" s="563"/>
      <c r="TCA1" s="563" t="s">
        <v>15</v>
      </c>
      <c r="TCB1" s="563"/>
      <c r="TCC1" s="563"/>
      <c r="TCD1" s="563"/>
      <c r="TCE1" s="563"/>
      <c r="TCF1" s="563"/>
      <c r="TCG1" s="563"/>
      <c r="TCH1" s="563"/>
      <c r="TCI1" s="563" t="s">
        <v>15</v>
      </c>
      <c r="TCJ1" s="563"/>
      <c r="TCK1" s="563"/>
      <c r="TCL1" s="563"/>
      <c r="TCM1" s="563"/>
      <c r="TCN1" s="563"/>
      <c r="TCO1" s="563"/>
      <c r="TCP1" s="563"/>
      <c r="TCQ1" s="563" t="s">
        <v>15</v>
      </c>
      <c r="TCR1" s="563"/>
      <c r="TCS1" s="563"/>
      <c r="TCT1" s="563"/>
      <c r="TCU1" s="563"/>
      <c r="TCV1" s="563"/>
      <c r="TCW1" s="563"/>
      <c r="TCX1" s="563"/>
      <c r="TCY1" s="563" t="s">
        <v>15</v>
      </c>
      <c r="TCZ1" s="563"/>
      <c r="TDA1" s="563"/>
      <c r="TDB1" s="563"/>
      <c r="TDC1" s="563"/>
      <c r="TDD1" s="563"/>
      <c r="TDE1" s="563"/>
      <c r="TDF1" s="563"/>
      <c r="TDG1" s="563" t="s">
        <v>15</v>
      </c>
      <c r="TDH1" s="563"/>
      <c r="TDI1" s="563"/>
      <c r="TDJ1" s="563"/>
      <c r="TDK1" s="563"/>
      <c r="TDL1" s="563"/>
      <c r="TDM1" s="563"/>
      <c r="TDN1" s="563"/>
      <c r="TDO1" s="563" t="s">
        <v>15</v>
      </c>
      <c r="TDP1" s="563"/>
      <c r="TDQ1" s="563"/>
      <c r="TDR1" s="563"/>
      <c r="TDS1" s="563"/>
      <c r="TDT1" s="563"/>
      <c r="TDU1" s="563"/>
      <c r="TDV1" s="563"/>
      <c r="TDW1" s="563" t="s">
        <v>15</v>
      </c>
      <c r="TDX1" s="563"/>
      <c r="TDY1" s="563"/>
      <c r="TDZ1" s="563"/>
      <c r="TEA1" s="563"/>
      <c r="TEB1" s="563"/>
      <c r="TEC1" s="563"/>
      <c r="TED1" s="563"/>
      <c r="TEE1" s="563" t="s">
        <v>15</v>
      </c>
      <c r="TEF1" s="563"/>
      <c r="TEG1" s="563"/>
      <c r="TEH1" s="563"/>
      <c r="TEI1" s="563"/>
      <c r="TEJ1" s="563"/>
      <c r="TEK1" s="563"/>
      <c r="TEL1" s="563"/>
      <c r="TEM1" s="563" t="s">
        <v>15</v>
      </c>
      <c r="TEN1" s="563"/>
      <c r="TEO1" s="563"/>
      <c r="TEP1" s="563"/>
      <c r="TEQ1" s="563"/>
      <c r="TER1" s="563"/>
      <c r="TES1" s="563"/>
      <c r="TET1" s="563"/>
      <c r="TEU1" s="563" t="s">
        <v>15</v>
      </c>
      <c r="TEV1" s="563"/>
      <c r="TEW1" s="563"/>
      <c r="TEX1" s="563"/>
      <c r="TEY1" s="563"/>
      <c r="TEZ1" s="563"/>
      <c r="TFA1" s="563"/>
      <c r="TFB1" s="563"/>
      <c r="TFC1" s="563" t="s">
        <v>15</v>
      </c>
      <c r="TFD1" s="563"/>
      <c r="TFE1" s="563"/>
      <c r="TFF1" s="563"/>
      <c r="TFG1" s="563"/>
      <c r="TFH1" s="563"/>
      <c r="TFI1" s="563"/>
      <c r="TFJ1" s="563"/>
      <c r="TFK1" s="563" t="s">
        <v>15</v>
      </c>
      <c r="TFL1" s="563"/>
      <c r="TFM1" s="563"/>
      <c r="TFN1" s="563"/>
      <c r="TFO1" s="563"/>
      <c r="TFP1" s="563"/>
      <c r="TFQ1" s="563"/>
      <c r="TFR1" s="563"/>
      <c r="TFS1" s="563" t="s">
        <v>15</v>
      </c>
      <c r="TFT1" s="563"/>
      <c r="TFU1" s="563"/>
      <c r="TFV1" s="563"/>
      <c r="TFW1" s="563"/>
      <c r="TFX1" s="563"/>
      <c r="TFY1" s="563"/>
      <c r="TFZ1" s="563"/>
      <c r="TGA1" s="563" t="s">
        <v>15</v>
      </c>
      <c r="TGB1" s="563"/>
      <c r="TGC1" s="563"/>
      <c r="TGD1" s="563"/>
      <c r="TGE1" s="563"/>
      <c r="TGF1" s="563"/>
      <c r="TGG1" s="563"/>
      <c r="TGH1" s="563"/>
      <c r="TGI1" s="563" t="s">
        <v>15</v>
      </c>
      <c r="TGJ1" s="563"/>
      <c r="TGK1" s="563"/>
      <c r="TGL1" s="563"/>
      <c r="TGM1" s="563"/>
      <c r="TGN1" s="563"/>
      <c r="TGO1" s="563"/>
      <c r="TGP1" s="563"/>
      <c r="TGQ1" s="563" t="s">
        <v>15</v>
      </c>
      <c r="TGR1" s="563"/>
      <c r="TGS1" s="563"/>
      <c r="TGT1" s="563"/>
      <c r="TGU1" s="563"/>
      <c r="TGV1" s="563"/>
      <c r="TGW1" s="563"/>
      <c r="TGX1" s="563"/>
      <c r="TGY1" s="563" t="s">
        <v>15</v>
      </c>
      <c r="TGZ1" s="563"/>
      <c r="THA1" s="563"/>
      <c r="THB1" s="563"/>
      <c r="THC1" s="563"/>
      <c r="THD1" s="563"/>
      <c r="THE1" s="563"/>
      <c r="THF1" s="563"/>
      <c r="THG1" s="563" t="s">
        <v>15</v>
      </c>
      <c r="THH1" s="563"/>
      <c r="THI1" s="563"/>
      <c r="THJ1" s="563"/>
      <c r="THK1" s="563"/>
      <c r="THL1" s="563"/>
      <c r="THM1" s="563"/>
      <c r="THN1" s="563"/>
      <c r="THO1" s="563" t="s">
        <v>15</v>
      </c>
      <c r="THP1" s="563"/>
      <c r="THQ1" s="563"/>
      <c r="THR1" s="563"/>
      <c r="THS1" s="563"/>
      <c r="THT1" s="563"/>
      <c r="THU1" s="563"/>
      <c r="THV1" s="563"/>
      <c r="THW1" s="563" t="s">
        <v>15</v>
      </c>
      <c r="THX1" s="563"/>
      <c r="THY1" s="563"/>
      <c r="THZ1" s="563"/>
      <c r="TIA1" s="563"/>
      <c r="TIB1" s="563"/>
      <c r="TIC1" s="563"/>
      <c r="TID1" s="563"/>
      <c r="TIE1" s="563" t="s">
        <v>15</v>
      </c>
      <c r="TIF1" s="563"/>
      <c r="TIG1" s="563"/>
      <c r="TIH1" s="563"/>
      <c r="TII1" s="563"/>
      <c r="TIJ1" s="563"/>
      <c r="TIK1" s="563"/>
      <c r="TIL1" s="563"/>
      <c r="TIM1" s="563" t="s">
        <v>15</v>
      </c>
      <c r="TIN1" s="563"/>
      <c r="TIO1" s="563"/>
      <c r="TIP1" s="563"/>
      <c r="TIQ1" s="563"/>
      <c r="TIR1" s="563"/>
      <c r="TIS1" s="563"/>
      <c r="TIT1" s="563"/>
      <c r="TIU1" s="563" t="s">
        <v>15</v>
      </c>
      <c r="TIV1" s="563"/>
      <c r="TIW1" s="563"/>
      <c r="TIX1" s="563"/>
      <c r="TIY1" s="563"/>
      <c r="TIZ1" s="563"/>
      <c r="TJA1" s="563"/>
      <c r="TJB1" s="563"/>
      <c r="TJC1" s="563" t="s">
        <v>15</v>
      </c>
      <c r="TJD1" s="563"/>
      <c r="TJE1" s="563"/>
      <c r="TJF1" s="563"/>
      <c r="TJG1" s="563"/>
      <c r="TJH1" s="563"/>
      <c r="TJI1" s="563"/>
      <c r="TJJ1" s="563"/>
      <c r="TJK1" s="563" t="s">
        <v>15</v>
      </c>
      <c r="TJL1" s="563"/>
      <c r="TJM1" s="563"/>
      <c r="TJN1" s="563"/>
      <c r="TJO1" s="563"/>
      <c r="TJP1" s="563"/>
      <c r="TJQ1" s="563"/>
      <c r="TJR1" s="563"/>
      <c r="TJS1" s="563" t="s">
        <v>15</v>
      </c>
      <c r="TJT1" s="563"/>
      <c r="TJU1" s="563"/>
      <c r="TJV1" s="563"/>
      <c r="TJW1" s="563"/>
      <c r="TJX1" s="563"/>
      <c r="TJY1" s="563"/>
      <c r="TJZ1" s="563"/>
      <c r="TKA1" s="563" t="s">
        <v>15</v>
      </c>
      <c r="TKB1" s="563"/>
      <c r="TKC1" s="563"/>
      <c r="TKD1" s="563"/>
      <c r="TKE1" s="563"/>
      <c r="TKF1" s="563"/>
      <c r="TKG1" s="563"/>
      <c r="TKH1" s="563"/>
      <c r="TKI1" s="563" t="s">
        <v>15</v>
      </c>
      <c r="TKJ1" s="563"/>
      <c r="TKK1" s="563"/>
      <c r="TKL1" s="563"/>
      <c r="TKM1" s="563"/>
      <c r="TKN1" s="563"/>
      <c r="TKO1" s="563"/>
      <c r="TKP1" s="563"/>
      <c r="TKQ1" s="563" t="s">
        <v>15</v>
      </c>
      <c r="TKR1" s="563"/>
      <c r="TKS1" s="563"/>
      <c r="TKT1" s="563"/>
      <c r="TKU1" s="563"/>
      <c r="TKV1" s="563"/>
      <c r="TKW1" s="563"/>
      <c r="TKX1" s="563"/>
      <c r="TKY1" s="563" t="s">
        <v>15</v>
      </c>
      <c r="TKZ1" s="563"/>
      <c r="TLA1" s="563"/>
      <c r="TLB1" s="563"/>
      <c r="TLC1" s="563"/>
      <c r="TLD1" s="563"/>
      <c r="TLE1" s="563"/>
      <c r="TLF1" s="563"/>
      <c r="TLG1" s="563" t="s">
        <v>15</v>
      </c>
      <c r="TLH1" s="563"/>
      <c r="TLI1" s="563"/>
      <c r="TLJ1" s="563"/>
      <c r="TLK1" s="563"/>
      <c r="TLL1" s="563"/>
      <c r="TLM1" s="563"/>
      <c r="TLN1" s="563"/>
      <c r="TLO1" s="563" t="s">
        <v>15</v>
      </c>
      <c r="TLP1" s="563"/>
      <c r="TLQ1" s="563"/>
      <c r="TLR1" s="563"/>
      <c r="TLS1" s="563"/>
      <c r="TLT1" s="563"/>
      <c r="TLU1" s="563"/>
      <c r="TLV1" s="563"/>
      <c r="TLW1" s="563" t="s">
        <v>15</v>
      </c>
      <c r="TLX1" s="563"/>
      <c r="TLY1" s="563"/>
      <c r="TLZ1" s="563"/>
      <c r="TMA1" s="563"/>
      <c r="TMB1" s="563"/>
      <c r="TMC1" s="563"/>
      <c r="TMD1" s="563"/>
      <c r="TME1" s="563" t="s">
        <v>15</v>
      </c>
      <c r="TMF1" s="563"/>
      <c r="TMG1" s="563"/>
      <c r="TMH1" s="563"/>
      <c r="TMI1" s="563"/>
      <c r="TMJ1" s="563"/>
      <c r="TMK1" s="563"/>
      <c r="TML1" s="563"/>
      <c r="TMM1" s="563" t="s">
        <v>15</v>
      </c>
      <c r="TMN1" s="563"/>
      <c r="TMO1" s="563"/>
      <c r="TMP1" s="563"/>
      <c r="TMQ1" s="563"/>
      <c r="TMR1" s="563"/>
      <c r="TMS1" s="563"/>
      <c r="TMT1" s="563"/>
      <c r="TMU1" s="563" t="s">
        <v>15</v>
      </c>
      <c r="TMV1" s="563"/>
      <c r="TMW1" s="563"/>
      <c r="TMX1" s="563"/>
      <c r="TMY1" s="563"/>
      <c r="TMZ1" s="563"/>
      <c r="TNA1" s="563"/>
      <c r="TNB1" s="563"/>
      <c r="TNC1" s="563" t="s">
        <v>15</v>
      </c>
      <c r="TND1" s="563"/>
      <c r="TNE1" s="563"/>
      <c r="TNF1" s="563"/>
      <c r="TNG1" s="563"/>
      <c r="TNH1" s="563"/>
      <c r="TNI1" s="563"/>
      <c r="TNJ1" s="563"/>
      <c r="TNK1" s="563" t="s">
        <v>15</v>
      </c>
      <c r="TNL1" s="563"/>
      <c r="TNM1" s="563"/>
      <c r="TNN1" s="563"/>
      <c r="TNO1" s="563"/>
      <c r="TNP1" s="563"/>
      <c r="TNQ1" s="563"/>
      <c r="TNR1" s="563"/>
      <c r="TNS1" s="563" t="s">
        <v>15</v>
      </c>
      <c r="TNT1" s="563"/>
      <c r="TNU1" s="563"/>
      <c r="TNV1" s="563"/>
      <c r="TNW1" s="563"/>
      <c r="TNX1" s="563"/>
      <c r="TNY1" s="563"/>
      <c r="TNZ1" s="563"/>
      <c r="TOA1" s="563" t="s">
        <v>15</v>
      </c>
      <c r="TOB1" s="563"/>
      <c r="TOC1" s="563"/>
      <c r="TOD1" s="563"/>
      <c r="TOE1" s="563"/>
      <c r="TOF1" s="563"/>
      <c r="TOG1" s="563"/>
      <c r="TOH1" s="563"/>
      <c r="TOI1" s="563" t="s">
        <v>15</v>
      </c>
      <c r="TOJ1" s="563"/>
      <c r="TOK1" s="563"/>
      <c r="TOL1" s="563"/>
      <c r="TOM1" s="563"/>
      <c r="TON1" s="563"/>
      <c r="TOO1" s="563"/>
      <c r="TOP1" s="563"/>
      <c r="TOQ1" s="563" t="s">
        <v>15</v>
      </c>
      <c r="TOR1" s="563"/>
      <c r="TOS1" s="563"/>
      <c r="TOT1" s="563"/>
      <c r="TOU1" s="563"/>
      <c r="TOV1" s="563"/>
      <c r="TOW1" s="563"/>
      <c r="TOX1" s="563"/>
      <c r="TOY1" s="563" t="s">
        <v>15</v>
      </c>
      <c r="TOZ1" s="563"/>
      <c r="TPA1" s="563"/>
      <c r="TPB1" s="563"/>
      <c r="TPC1" s="563"/>
      <c r="TPD1" s="563"/>
      <c r="TPE1" s="563"/>
      <c r="TPF1" s="563"/>
      <c r="TPG1" s="563" t="s">
        <v>15</v>
      </c>
      <c r="TPH1" s="563"/>
      <c r="TPI1" s="563"/>
      <c r="TPJ1" s="563"/>
      <c r="TPK1" s="563"/>
      <c r="TPL1" s="563"/>
      <c r="TPM1" s="563"/>
      <c r="TPN1" s="563"/>
      <c r="TPO1" s="563" t="s">
        <v>15</v>
      </c>
      <c r="TPP1" s="563"/>
      <c r="TPQ1" s="563"/>
      <c r="TPR1" s="563"/>
      <c r="TPS1" s="563"/>
      <c r="TPT1" s="563"/>
      <c r="TPU1" s="563"/>
      <c r="TPV1" s="563"/>
      <c r="TPW1" s="563" t="s">
        <v>15</v>
      </c>
      <c r="TPX1" s="563"/>
      <c r="TPY1" s="563"/>
      <c r="TPZ1" s="563"/>
      <c r="TQA1" s="563"/>
      <c r="TQB1" s="563"/>
      <c r="TQC1" s="563"/>
      <c r="TQD1" s="563"/>
      <c r="TQE1" s="563" t="s">
        <v>15</v>
      </c>
      <c r="TQF1" s="563"/>
      <c r="TQG1" s="563"/>
      <c r="TQH1" s="563"/>
      <c r="TQI1" s="563"/>
      <c r="TQJ1" s="563"/>
      <c r="TQK1" s="563"/>
      <c r="TQL1" s="563"/>
      <c r="TQM1" s="563" t="s">
        <v>15</v>
      </c>
      <c r="TQN1" s="563"/>
      <c r="TQO1" s="563"/>
      <c r="TQP1" s="563"/>
      <c r="TQQ1" s="563"/>
      <c r="TQR1" s="563"/>
      <c r="TQS1" s="563"/>
      <c r="TQT1" s="563"/>
      <c r="TQU1" s="563" t="s">
        <v>15</v>
      </c>
      <c r="TQV1" s="563"/>
      <c r="TQW1" s="563"/>
      <c r="TQX1" s="563"/>
      <c r="TQY1" s="563"/>
      <c r="TQZ1" s="563"/>
      <c r="TRA1" s="563"/>
      <c r="TRB1" s="563"/>
      <c r="TRC1" s="563" t="s">
        <v>15</v>
      </c>
      <c r="TRD1" s="563"/>
      <c r="TRE1" s="563"/>
      <c r="TRF1" s="563"/>
      <c r="TRG1" s="563"/>
      <c r="TRH1" s="563"/>
      <c r="TRI1" s="563"/>
      <c r="TRJ1" s="563"/>
      <c r="TRK1" s="563" t="s">
        <v>15</v>
      </c>
      <c r="TRL1" s="563"/>
      <c r="TRM1" s="563"/>
      <c r="TRN1" s="563"/>
      <c r="TRO1" s="563"/>
      <c r="TRP1" s="563"/>
      <c r="TRQ1" s="563"/>
      <c r="TRR1" s="563"/>
      <c r="TRS1" s="563" t="s">
        <v>15</v>
      </c>
      <c r="TRT1" s="563"/>
      <c r="TRU1" s="563"/>
      <c r="TRV1" s="563"/>
      <c r="TRW1" s="563"/>
      <c r="TRX1" s="563"/>
      <c r="TRY1" s="563"/>
      <c r="TRZ1" s="563"/>
      <c r="TSA1" s="563" t="s">
        <v>15</v>
      </c>
      <c r="TSB1" s="563"/>
      <c r="TSC1" s="563"/>
      <c r="TSD1" s="563"/>
      <c r="TSE1" s="563"/>
      <c r="TSF1" s="563"/>
      <c r="TSG1" s="563"/>
      <c r="TSH1" s="563"/>
      <c r="TSI1" s="563" t="s">
        <v>15</v>
      </c>
      <c r="TSJ1" s="563"/>
      <c r="TSK1" s="563"/>
      <c r="TSL1" s="563"/>
      <c r="TSM1" s="563"/>
      <c r="TSN1" s="563"/>
      <c r="TSO1" s="563"/>
      <c r="TSP1" s="563"/>
      <c r="TSQ1" s="563" t="s">
        <v>15</v>
      </c>
      <c r="TSR1" s="563"/>
      <c r="TSS1" s="563"/>
      <c r="TST1" s="563"/>
      <c r="TSU1" s="563"/>
      <c r="TSV1" s="563"/>
      <c r="TSW1" s="563"/>
      <c r="TSX1" s="563"/>
      <c r="TSY1" s="563" t="s">
        <v>15</v>
      </c>
      <c r="TSZ1" s="563"/>
      <c r="TTA1" s="563"/>
      <c r="TTB1" s="563"/>
      <c r="TTC1" s="563"/>
      <c r="TTD1" s="563"/>
      <c r="TTE1" s="563"/>
      <c r="TTF1" s="563"/>
      <c r="TTG1" s="563" t="s">
        <v>15</v>
      </c>
      <c r="TTH1" s="563"/>
      <c r="TTI1" s="563"/>
      <c r="TTJ1" s="563"/>
      <c r="TTK1" s="563"/>
      <c r="TTL1" s="563"/>
      <c r="TTM1" s="563"/>
      <c r="TTN1" s="563"/>
      <c r="TTO1" s="563" t="s">
        <v>15</v>
      </c>
      <c r="TTP1" s="563"/>
      <c r="TTQ1" s="563"/>
      <c r="TTR1" s="563"/>
      <c r="TTS1" s="563"/>
      <c r="TTT1" s="563"/>
      <c r="TTU1" s="563"/>
      <c r="TTV1" s="563"/>
      <c r="TTW1" s="563" t="s">
        <v>15</v>
      </c>
      <c r="TTX1" s="563"/>
      <c r="TTY1" s="563"/>
      <c r="TTZ1" s="563"/>
      <c r="TUA1" s="563"/>
      <c r="TUB1" s="563"/>
      <c r="TUC1" s="563"/>
      <c r="TUD1" s="563"/>
      <c r="TUE1" s="563" t="s">
        <v>15</v>
      </c>
      <c r="TUF1" s="563"/>
      <c r="TUG1" s="563"/>
      <c r="TUH1" s="563"/>
      <c r="TUI1" s="563"/>
      <c r="TUJ1" s="563"/>
      <c r="TUK1" s="563"/>
      <c r="TUL1" s="563"/>
      <c r="TUM1" s="563" t="s">
        <v>15</v>
      </c>
      <c r="TUN1" s="563"/>
      <c r="TUO1" s="563"/>
      <c r="TUP1" s="563"/>
      <c r="TUQ1" s="563"/>
      <c r="TUR1" s="563"/>
      <c r="TUS1" s="563"/>
      <c r="TUT1" s="563"/>
      <c r="TUU1" s="563" t="s">
        <v>15</v>
      </c>
      <c r="TUV1" s="563"/>
      <c r="TUW1" s="563"/>
      <c r="TUX1" s="563"/>
      <c r="TUY1" s="563"/>
      <c r="TUZ1" s="563"/>
      <c r="TVA1" s="563"/>
      <c r="TVB1" s="563"/>
      <c r="TVC1" s="563" t="s">
        <v>15</v>
      </c>
      <c r="TVD1" s="563"/>
      <c r="TVE1" s="563"/>
      <c r="TVF1" s="563"/>
      <c r="TVG1" s="563"/>
      <c r="TVH1" s="563"/>
      <c r="TVI1" s="563"/>
      <c r="TVJ1" s="563"/>
      <c r="TVK1" s="563" t="s">
        <v>15</v>
      </c>
      <c r="TVL1" s="563"/>
      <c r="TVM1" s="563"/>
      <c r="TVN1" s="563"/>
      <c r="TVO1" s="563"/>
      <c r="TVP1" s="563"/>
      <c r="TVQ1" s="563"/>
      <c r="TVR1" s="563"/>
      <c r="TVS1" s="563" t="s">
        <v>15</v>
      </c>
      <c r="TVT1" s="563"/>
      <c r="TVU1" s="563"/>
      <c r="TVV1" s="563"/>
      <c r="TVW1" s="563"/>
      <c r="TVX1" s="563"/>
      <c r="TVY1" s="563"/>
      <c r="TVZ1" s="563"/>
      <c r="TWA1" s="563" t="s">
        <v>15</v>
      </c>
      <c r="TWB1" s="563"/>
      <c r="TWC1" s="563"/>
      <c r="TWD1" s="563"/>
      <c r="TWE1" s="563"/>
      <c r="TWF1" s="563"/>
      <c r="TWG1" s="563"/>
      <c r="TWH1" s="563"/>
      <c r="TWI1" s="563" t="s">
        <v>15</v>
      </c>
      <c r="TWJ1" s="563"/>
      <c r="TWK1" s="563"/>
      <c r="TWL1" s="563"/>
      <c r="TWM1" s="563"/>
      <c r="TWN1" s="563"/>
      <c r="TWO1" s="563"/>
      <c r="TWP1" s="563"/>
      <c r="TWQ1" s="563" t="s">
        <v>15</v>
      </c>
      <c r="TWR1" s="563"/>
      <c r="TWS1" s="563"/>
      <c r="TWT1" s="563"/>
      <c r="TWU1" s="563"/>
      <c r="TWV1" s="563"/>
      <c r="TWW1" s="563"/>
      <c r="TWX1" s="563"/>
      <c r="TWY1" s="563" t="s">
        <v>15</v>
      </c>
      <c r="TWZ1" s="563"/>
      <c r="TXA1" s="563"/>
      <c r="TXB1" s="563"/>
      <c r="TXC1" s="563"/>
      <c r="TXD1" s="563"/>
      <c r="TXE1" s="563"/>
      <c r="TXF1" s="563"/>
      <c r="TXG1" s="563" t="s">
        <v>15</v>
      </c>
      <c r="TXH1" s="563"/>
      <c r="TXI1" s="563"/>
      <c r="TXJ1" s="563"/>
      <c r="TXK1" s="563"/>
      <c r="TXL1" s="563"/>
      <c r="TXM1" s="563"/>
      <c r="TXN1" s="563"/>
      <c r="TXO1" s="563" t="s">
        <v>15</v>
      </c>
      <c r="TXP1" s="563"/>
      <c r="TXQ1" s="563"/>
      <c r="TXR1" s="563"/>
      <c r="TXS1" s="563"/>
      <c r="TXT1" s="563"/>
      <c r="TXU1" s="563"/>
      <c r="TXV1" s="563"/>
      <c r="TXW1" s="563" t="s">
        <v>15</v>
      </c>
      <c r="TXX1" s="563"/>
      <c r="TXY1" s="563"/>
      <c r="TXZ1" s="563"/>
      <c r="TYA1" s="563"/>
      <c r="TYB1" s="563"/>
      <c r="TYC1" s="563"/>
      <c r="TYD1" s="563"/>
      <c r="TYE1" s="563" t="s">
        <v>15</v>
      </c>
      <c r="TYF1" s="563"/>
      <c r="TYG1" s="563"/>
      <c r="TYH1" s="563"/>
      <c r="TYI1" s="563"/>
      <c r="TYJ1" s="563"/>
      <c r="TYK1" s="563"/>
      <c r="TYL1" s="563"/>
      <c r="TYM1" s="563" t="s">
        <v>15</v>
      </c>
      <c r="TYN1" s="563"/>
      <c r="TYO1" s="563"/>
      <c r="TYP1" s="563"/>
      <c r="TYQ1" s="563"/>
      <c r="TYR1" s="563"/>
      <c r="TYS1" s="563"/>
      <c r="TYT1" s="563"/>
      <c r="TYU1" s="563" t="s">
        <v>15</v>
      </c>
      <c r="TYV1" s="563"/>
      <c r="TYW1" s="563"/>
      <c r="TYX1" s="563"/>
      <c r="TYY1" s="563"/>
      <c r="TYZ1" s="563"/>
      <c r="TZA1" s="563"/>
      <c r="TZB1" s="563"/>
      <c r="TZC1" s="563" t="s">
        <v>15</v>
      </c>
      <c r="TZD1" s="563"/>
      <c r="TZE1" s="563"/>
      <c r="TZF1" s="563"/>
      <c r="TZG1" s="563"/>
      <c r="TZH1" s="563"/>
      <c r="TZI1" s="563"/>
      <c r="TZJ1" s="563"/>
      <c r="TZK1" s="563" t="s">
        <v>15</v>
      </c>
      <c r="TZL1" s="563"/>
      <c r="TZM1" s="563"/>
      <c r="TZN1" s="563"/>
      <c r="TZO1" s="563"/>
      <c r="TZP1" s="563"/>
      <c r="TZQ1" s="563"/>
      <c r="TZR1" s="563"/>
      <c r="TZS1" s="563" t="s">
        <v>15</v>
      </c>
      <c r="TZT1" s="563"/>
      <c r="TZU1" s="563"/>
      <c r="TZV1" s="563"/>
      <c r="TZW1" s="563"/>
      <c r="TZX1" s="563"/>
      <c r="TZY1" s="563"/>
      <c r="TZZ1" s="563"/>
      <c r="UAA1" s="563" t="s">
        <v>15</v>
      </c>
      <c r="UAB1" s="563"/>
      <c r="UAC1" s="563"/>
      <c r="UAD1" s="563"/>
      <c r="UAE1" s="563"/>
      <c r="UAF1" s="563"/>
      <c r="UAG1" s="563"/>
      <c r="UAH1" s="563"/>
      <c r="UAI1" s="563" t="s">
        <v>15</v>
      </c>
      <c r="UAJ1" s="563"/>
      <c r="UAK1" s="563"/>
      <c r="UAL1" s="563"/>
      <c r="UAM1" s="563"/>
      <c r="UAN1" s="563"/>
      <c r="UAO1" s="563"/>
      <c r="UAP1" s="563"/>
      <c r="UAQ1" s="563" t="s">
        <v>15</v>
      </c>
      <c r="UAR1" s="563"/>
      <c r="UAS1" s="563"/>
      <c r="UAT1" s="563"/>
      <c r="UAU1" s="563"/>
      <c r="UAV1" s="563"/>
      <c r="UAW1" s="563"/>
      <c r="UAX1" s="563"/>
      <c r="UAY1" s="563" t="s">
        <v>15</v>
      </c>
      <c r="UAZ1" s="563"/>
      <c r="UBA1" s="563"/>
      <c r="UBB1" s="563"/>
      <c r="UBC1" s="563"/>
      <c r="UBD1" s="563"/>
      <c r="UBE1" s="563"/>
      <c r="UBF1" s="563"/>
      <c r="UBG1" s="563" t="s">
        <v>15</v>
      </c>
      <c r="UBH1" s="563"/>
      <c r="UBI1" s="563"/>
      <c r="UBJ1" s="563"/>
      <c r="UBK1" s="563"/>
      <c r="UBL1" s="563"/>
      <c r="UBM1" s="563"/>
      <c r="UBN1" s="563"/>
      <c r="UBO1" s="563" t="s">
        <v>15</v>
      </c>
      <c r="UBP1" s="563"/>
      <c r="UBQ1" s="563"/>
      <c r="UBR1" s="563"/>
      <c r="UBS1" s="563"/>
      <c r="UBT1" s="563"/>
      <c r="UBU1" s="563"/>
      <c r="UBV1" s="563"/>
      <c r="UBW1" s="563" t="s">
        <v>15</v>
      </c>
      <c r="UBX1" s="563"/>
      <c r="UBY1" s="563"/>
      <c r="UBZ1" s="563"/>
      <c r="UCA1" s="563"/>
      <c r="UCB1" s="563"/>
      <c r="UCC1" s="563"/>
      <c r="UCD1" s="563"/>
      <c r="UCE1" s="563" t="s">
        <v>15</v>
      </c>
      <c r="UCF1" s="563"/>
      <c r="UCG1" s="563"/>
      <c r="UCH1" s="563"/>
      <c r="UCI1" s="563"/>
      <c r="UCJ1" s="563"/>
      <c r="UCK1" s="563"/>
      <c r="UCL1" s="563"/>
      <c r="UCM1" s="563" t="s">
        <v>15</v>
      </c>
      <c r="UCN1" s="563"/>
      <c r="UCO1" s="563"/>
      <c r="UCP1" s="563"/>
      <c r="UCQ1" s="563"/>
      <c r="UCR1" s="563"/>
      <c r="UCS1" s="563"/>
      <c r="UCT1" s="563"/>
      <c r="UCU1" s="563" t="s">
        <v>15</v>
      </c>
      <c r="UCV1" s="563"/>
      <c r="UCW1" s="563"/>
      <c r="UCX1" s="563"/>
      <c r="UCY1" s="563"/>
      <c r="UCZ1" s="563"/>
      <c r="UDA1" s="563"/>
      <c r="UDB1" s="563"/>
      <c r="UDC1" s="563" t="s">
        <v>15</v>
      </c>
      <c r="UDD1" s="563"/>
      <c r="UDE1" s="563"/>
      <c r="UDF1" s="563"/>
      <c r="UDG1" s="563"/>
      <c r="UDH1" s="563"/>
      <c r="UDI1" s="563"/>
      <c r="UDJ1" s="563"/>
      <c r="UDK1" s="563" t="s">
        <v>15</v>
      </c>
      <c r="UDL1" s="563"/>
      <c r="UDM1" s="563"/>
      <c r="UDN1" s="563"/>
      <c r="UDO1" s="563"/>
      <c r="UDP1" s="563"/>
      <c r="UDQ1" s="563"/>
      <c r="UDR1" s="563"/>
      <c r="UDS1" s="563" t="s">
        <v>15</v>
      </c>
      <c r="UDT1" s="563"/>
      <c r="UDU1" s="563"/>
      <c r="UDV1" s="563"/>
      <c r="UDW1" s="563"/>
      <c r="UDX1" s="563"/>
      <c r="UDY1" s="563"/>
      <c r="UDZ1" s="563"/>
      <c r="UEA1" s="563" t="s">
        <v>15</v>
      </c>
      <c r="UEB1" s="563"/>
      <c r="UEC1" s="563"/>
      <c r="UED1" s="563"/>
      <c r="UEE1" s="563"/>
      <c r="UEF1" s="563"/>
      <c r="UEG1" s="563"/>
      <c r="UEH1" s="563"/>
      <c r="UEI1" s="563" t="s">
        <v>15</v>
      </c>
      <c r="UEJ1" s="563"/>
      <c r="UEK1" s="563"/>
      <c r="UEL1" s="563"/>
      <c r="UEM1" s="563"/>
      <c r="UEN1" s="563"/>
      <c r="UEO1" s="563"/>
      <c r="UEP1" s="563"/>
      <c r="UEQ1" s="563" t="s">
        <v>15</v>
      </c>
      <c r="UER1" s="563"/>
      <c r="UES1" s="563"/>
      <c r="UET1" s="563"/>
      <c r="UEU1" s="563"/>
      <c r="UEV1" s="563"/>
      <c r="UEW1" s="563"/>
      <c r="UEX1" s="563"/>
      <c r="UEY1" s="563" t="s">
        <v>15</v>
      </c>
      <c r="UEZ1" s="563"/>
      <c r="UFA1" s="563"/>
      <c r="UFB1" s="563"/>
      <c r="UFC1" s="563"/>
      <c r="UFD1" s="563"/>
      <c r="UFE1" s="563"/>
      <c r="UFF1" s="563"/>
      <c r="UFG1" s="563" t="s">
        <v>15</v>
      </c>
      <c r="UFH1" s="563"/>
      <c r="UFI1" s="563"/>
      <c r="UFJ1" s="563"/>
      <c r="UFK1" s="563"/>
      <c r="UFL1" s="563"/>
      <c r="UFM1" s="563"/>
      <c r="UFN1" s="563"/>
      <c r="UFO1" s="563" t="s">
        <v>15</v>
      </c>
      <c r="UFP1" s="563"/>
      <c r="UFQ1" s="563"/>
      <c r="UFR1" s="563"/>
      <c r="UFS1" s="563"/>
      <c r="UFT1" s="563"/>
      <c r="UFU1" s="563"/>
      <c r="UFV1" s="563"/>
      <c r="UFW1" s="563" t="s">
        <v>15</v>
      </c>
      <c r="UFX1" s="563"/>
      <c r="UFY1" s="563"/>
      <c r="UFZ1" s="563"/>
      <c r="UGA1" s="563"/>
      <c r="UGB1" s="563"/>
      <c r="UGC1" s="563"/>
      <c r="UGD1" s="563"/>
      <c r="UGE1" s="563" t="s">
        <v>15</v>
      </c>
      <c r="UGF1" s="563"/>
      <c r="UGG1" s="563"/>
      <c r="UGH1" s="563"/>
      <c r="UGI1" s="563"/>
      <c r="UGJ1" s="563"/>
      <c r="UGK1" s="563"/>
      <c r="UGL1" s="563"/>
      <c r="UGM1" s="563" t="s">
        <v>15</v>
      </c>
      <c r="UGN1" s="563"/>
      <c r="UGO1" s="563"/>
      <c r="UGP1" s="563"/>
      <c r="UGQ1" s="563"/>
      <c r="UGR1" s="563"/>
      <c r="UGS1" s="563"/>
      <c r="UGT1" s="563"/>
      <c r="UGU1" s="563" t="s">
        <v>15</v>
      </c>
      <c r="UGV1" s="563"/>
      <c r="UGW1" s="563"/>
      <c r="UGX1" s="563"/>
      <c r="UGY1" s="563"/>
      <c r="UGZ1" s="563"/>
      <c r="UHA1" s="563"/>
      <c r="UHB1" s="563"/>
      <c r="UHC1" s="563" t="s">
        <v>15</v>
      </c>
      <c r="UHD1" s="563"/>
      <c r="UHE1" s="563"/>
      <c r="UHF1" s="563"/>
      <c r="UHG1" s="563"/>
      <c r="UHH1" s="563"/>
      <c r="UHI1" s="563"/>
      <c r="UHJ1" s="563"/>
      <c r="UHK1" s="563" t="s">
        <v>15</v>
      </c>
      <c r="UHL1" s="563"/>
      <c r="UHM1" s="563"/>
      <c r="UHN1" s="563"/>
      <c r="UHO1" s="563"/>
      <c r="UHP1" s="563"/>
      <c r="UHQ1" s="563"/>
      <c r="UHR1" s="563"/>
      <c r="UHS1" s="563" t="s">
        <v>15</v>
      </c>
      <c r="UHT1" s="563"/>
      <c r="UHU1" s="563"/>
      <c r="UHV1" s="563"/>
      <c r="UHW1" s="563"/>
      <c r="UHX1" s="563"/>
      <c r="UHY1" s="563"/>
      <c r="UHZ1" s="563"/>
      <c r="UIA1" s="563" t="s">
        <v>15</v>
      </c>
      <c r="UIB1" s="563"/>
      <c r="UIC1" s="563"/>
      <c r="UID1" s="563"/>
      <c r="UIE1" s="563"/>
      <c r="UIF1" s="563"/>
      <c r="UIG1" s="563"/>
      <c r="UIH1" s="563"/>
      <c r="UII1" s="563" t="s">
        <v>15</v>
      </c>
      <c r="UIJ1" s="563"/>
      <c r="UIK1" s="563"/>
      <c r="UIL1" s="563"/>
      <c r="UIM1" s="563"/>
      <c r="UIN1" s="563"/>
      <c r="UIO1" s="563"/>
      <c r="UIP1" s="563"/>
      <c r="UIQ1" s="563" t="s">
        <v>15</v>
      </c>
      <c r="UIR1" s="563"/>
      <c r="UIS1" s="563"/>
      <c r="UIT1" s="563"/>
      <c r="UIU1" s="563"/>
      <c r="UIV1" s="563"/>
      <c r="UIW1" s="563"/>
      <c r="UIX1" s="563"/>
      <c r="UIY1" s="563" t="s">
        <v>15</v>
      </c>
      <c r="UIZ1" s="563"/>
      <c r="UJA1" s="563"/>
      <c r="UJB1" s="563"/>
      <c r="UJC1" s="563"/>
      <c r="UJD1" s="563"/>
      <c r="UJE1" s="563"/>
      <c r="UJF1" s="563"/>
      <c r="UJG1" s="563" t="s">
        <v>15</v>
      </c>
      <c r="UJH1" s="563"/>
      <c r="UJI1" s="563"/>
      <c r="UJJ1" s="563"/>
      <c r="UJK1" s="563"/>
      <c r="UJL1" s="563"/>
      <c r="UJM1" s="563"/>
      <c r="UJN1" s="563"/>
      <c r="UJO1" s="563" t="s">
        <v>15</v>
      </c>
      <c r="UJP1" s="563"/>
      <c r="UJQ1" s="563"/>
      <c r="UJR1" s="563"/>
      <c r="UJS1" s="563"/>
      <c r="UJT1" s="563"/>
      <c r="UJU1" s="563"/>
      <c r="UJV1" s="563"/>
      <c r="UJW1" s="563" t="s">
        <v>15</v>
      </c>
      <c r="UJX1" s="563"/>
      <c r="UJY1" s="563"/>
      <c r="UJZ1" s="563"/>
      <c r="UKA1" s="563"/>
      <c r="UKB1" s="563"/>
      <c r="UKC1" s="563"/>
      <c r="UKD1" s="563"/>
      <c r="UKE1" s="563" t="s">
        <v>15</v>
      </c>
      <c r="UKF1" s="563"/>
      <c r="UKG1" s="563"/>
      <c r="UKH1" s="563"/>
      <c r="UKI1" s="563"/>
      <c r="UKJ1" s="563"/>
      <c r="UKK1" s="563"/>
      <c r="UKL1" s="563"/>
      <c r="UKM1" s="563" t="s">
        <v>15</v>
      </c>
      <c r="UKN1" s="563"/>
      <c r="UKO1" s="563"/>
      <c r="UKP1" s="563"/>
      <c r="UKQ1" s="563"/>
      <c r="UKR1" s="563"/>
      <c r="UKS1" s="563"/>
      <c r="UKT1" s="563"/>
      <c r="UKU1" s="563" t="s">
        <v>15</v>
      </c>
      <c r="UKV1" s="563"/>
      <c r="UKW1" s="563"/>
      <c r="UKX1" s="563"/>
      <c r="UKY1" s="563"/>
      <c r="UKZ1" s="563"/>
      <c r="ULA1" s="563"/>
      <c r="ULB1" s="563"/>
      <c r="ULC1" s="563" t="s">
        <v>15</v>
      </c>
      <c r="ULD1" s="563"/>
      <c r="ULE1" s="563"/>
      <c r="ULF1" s="563"/>
      <c r="ULG1" s="563"/>
      <c r="ULH1" s="563"/>
      <c r="ULI1" s="563"/>
      <c r="ULJ1" s="563"/>
      <c r="ULK1" s="563" t="s">
        <v>15</v>
      </c>
      <c r="ULL1" s="563"/>
      <c r="ULM1" s="563"/>
      <c r="ULN1" s="563"/>
      <c r="ULO1" s="563"/>
      <c r="ULP1" s="563"/>
      <c r="ULQ1" s="563"/>
      <c r="ULR1" s="563"/>
      <c r="ULS1" s="563" t="s">
        <v>15</v>
      </c>
      <c r="ULT1" s="563"/>
      <c r="ULU1" s="563"/>
      <c r="ULV1" s="563"/>
      <c r="ULW1" s="563"/>
      <c r="ULX1" s="563"/>
      <c r="ULY1" s="563"/>
      <c r="ULZ1" s="563"/>
      <c r="UMA1" s="563" t="s">
        <v>15</v>
      </c>
      <c r="UMB1" s="563"/>
      <c r="UMC1" s="563"/>
      <c r="UMD1" s="563"/>
      <c r="UME1" s="563"/>
      <c r="UMF1" s="563"/>
      <c r="UMG1" s="563"/>
      <c r="UMH1" s="563"/>
      <c r="UMI1" s="563" t="s">
        <v>15</v>
      </c>
      <c r="UMJ1" s="563"/>
      <c r="UMK1" s="563"/>
      <c r="UML1" s="563"/>
      <c r="UMM1" s="563"/>
      <c r="UMN1" s="563"/>
      <c r="UMO1" s="563"/>
      <c r="UMP1" s="563"/>
      <c r="UMQ1" s="563" t="s">
        <v>15</v>
      </c>
      <c r="UMR1" s="563"/>
      <c r="UMS1" s="563"/>
      <c r="UMT1" s="563"/>
      <c r="UMU1" s="563"/>
      <c r="UMV1" s="563"/>
      <c r="UMW1" s="563"/>
      <c r="UMX1" s="563"/>
      <c r="UMY1" s="563" t="s">
        <v>15</v>
      </c>
      <c r="UMZ1" s="563"/>
      <c r="UNA1" s="563"/>
      <c r="UNB1" s="563"/>
      <c r="UNC1" s="563"/>
      <c r="UND1" s="563"/>
      <c r="UNE1" s="563"/>
      <c r="UNF1" s="563"/>
      <c r="UNG1" s="563" t="s">
        <v>15</v>
      </c>
      <c r="UNH1" s="563"/>
      <c r="UNI1" s="563"/>
      <c r="UNJ1" s="563"/>
      <c r="UNK1" s="563"/>
      <c r="UNL1" s="563"/>
      <c r="UNM1" s="563"/>
      <c r="UNN1" s="563"/>
      <c r="UNO1" s="563" t="s">
        <v>15</v>
      </c>
      <c r="UNP1" s="563"/>
      <c r="UNQ1" s="563"/>
      <c r="UNR1" s="563"/>
      <c r="UNS1" s="563"/>
      <c r="UNT1" s="563"/>
      <c r="UNU1" s="563"/>
      <c r="UNV1" s="563"/>
      <c r="UNW1" s="563" t="s">
        <v>15</v>
      </c>
      <c r="UNX1" s="563"/>
      <c r="UNY1" s="563"/>
      <c r="UNZ1" s="563"/>
      <c r="UOA1" s="563"/>
      <c r="UOB1" s="563"/>
      <c r="UOC1" s="563"/>
      <c r="UOD1" s="563"/>
      <c r="UOE1" s="563" t="s">
        <v>15</v>
      </c>
      <c r="UOF1" s="563"/>
      <c r="UOG1" s="563"/>
      <c r="UOH1" s="563"/>
      <c r="UOI1" s="563"/>
      <c r="UOJ1" s="563"/>
      <c r="UOK1" s="563"/>
      <c r="UOL1" s="563"/>
      <c r="UOM1" s="563" t="s">
        <v>15</v>
      </c>
      <c r="UON1" s="563"/>
      <c r="UOO1" s="563"/>
      <c r="UOP1" s="563"/>
      <c r="UOQ1" s="563"/>
      <c r="UOR1" s="563"/>
      <c r="UOS1" s="563"/>
      <c r="UOT1" s="563"/>
      <c r="UOU1" s="563" t="s">
        <v>15</v>
      </c>
      <c r="UOV1" s="563"/>
      <c r="UOW1" s="563"/>
      <c r="UOX1" s="563"/>
      <c r="UOY1" s="563"/>
      <c r="UOZ1" s="563"/>
      <c r="UPA1" s="563"/>
      <c r="UPB1" s="563"/>
      <c r="UPC1" s="563" t="s">
        <v>15</v>
      </c>
      <c r="UPD1" s="563"/>
      <c r="UPE1" s="563"/>
      <c r="UPF1" s="563"/>
      <c r="UPG1" s="563"/>
      <c r="UPH1" s="563"/>
      <c r="UPI1" s="563"/>
      <c r="UPJ1" s="563"/>
      <c r="UPK1" s="563" t="s">
        <v>15</v>
      </c>
      <c r="UPL1" s="563"/>
      <c r="UPM1" s="563"/>
      <c r="UPN1" s="563"/>
      <c r="UPO1" s="563"/>
      <c r="UPP1" s="563"/>
      <c r="UPQ1" s="563"/>
      <c r="UPR1" s="563"/>
      <c r="UPS1" s="563" t="s">
        <v>15</v>
      </c>
      <c r="UPT1" s="563"/>
      <c r="UPU1" s="563"/>
      <c r="UPV1" s="563"/>
      <c r="UPW1" s="563"/>
      <c r="UPX1" s="563"/>
      <c r="UPY1" s="563"/>
      <c r="UPZ1" s="563"/>
      <c r="UQA1" s="563" t="s">
        <v>15</v>
      </c>
      <c r="UQB1" s="563"/>
      <c r="UQC1" s="563"/>
      <c r="UQD1" s="563"/>
      <c r="UQE1" s="563"/>
      <c r="UQF1" s="563"/>
      <c r="UQG1" s="563"/>
      <c r="UQH1" s="563"/>
      <c r="UQI1" s="563" t="s">
        <v>15</v>
      </c>
      <c r="UQJ1" s="563"/>
      <c r="UQK1" s="563"/>
      <c r="UQL1" s="563"/>
      <c r="UQM1" s="563"/>
      <c r="UQN1" s="563"/>
      <c r="UQO1" s="563"/>
      <c r="UQP1" s="563"/>
      <c r="UQQ1" s="563" t="s">
        <v>15</v>
      </c>
      <c r="UQR1" s="563"/>
      <c r="UQS1" s="563"/>
      <c r="UQT1" s="563"/>
      <c r="UQU1" s="563"/>
      <c r="UQV1" s="563"/>
      <c r="UQW1" s="563"/>
      <c r="UQX1" s="563"/>
      <c r="UQY1" s="563" t="s">
        <v>15</v>
      </c>
      <c r="UQZ1" s="563"/>
      <c r="URA1" s="563"/>
      <c r="URB1" s="563"/>
      <c r="URC1" s="563"/>
      <c r="URD1" s="563"/>
      <c r="URE1" s="563"/>
      <c r="URF1" s="563"/>
      <c r="URG1" s="563" t="s">
        <v>15</v>
      </c>
      <c r="URH1" s="563"/>
      <c r="URI1" s="563"/>
      <c r="URJ1" s="563"/>
      <c r="URK1" s="563"/>
      <c r="URL1" s="563"/>
      <c r="URM1" s="563"/>
      <c r="URN1" s="563"/>
      <c r="URO1" s="563" t="s">
        <v>15</v>
      </c>
      <c r="URP1" s="563"/>
      <c r="URQ1" s="563"/>
      <c r="URR1" s="563"/>
      <c r="URS1" s="563"/>
      <c r="URT1" s="563"/>
      <c r="URU1" s="563"/>
      <c r="URV1" s="563"/>
      <c r="URW1" s="563" t="s">
        <v>15</v>
      </c>
      <c r="URX1" s="563"/>
      <c r="URY1" s="563"/>
      <c r="URZ1" s="563"/>
      <c r="USA1" s="563"/>
      <c r="USB1" s="563"/>
      <c r="USC1" s="563"/>
      <c r="USD1" s="563"/>
      <c r="USE1" s="563" t="s">
        <v>15</v>
      </c>
      <c r="USF1" s="563"/>
      <c r="USG1" s="563"/>
      <c r="USH1" s="563"/>
      <c r="USI1" s="563"/>
      <c r="USJ1" s="563"/>
      <c r="USK1" s="563"/>
      <c r="USL1" s="563"/>
      <c r="USM1" s="563" t="s">
        <v>15</v>
      </c>
      <c r="USN1" s="563"/>
      <c r="USO1" s="563"/>
      <c r="USP1" s="563"/>
      <c r="USQ1" s="563"/>
      <c r="USR1" s="563"/>
      <c r="USS1" s="563"/>
      <c r="UST1" s="563"/>
      <c r="USU1" s="563" t="s">
        <v>15</v>
      </c>
      <c r="USV1" s="563"/>
      <c r="USW1" s="563"/>
      <c r="USX1" s="563"/>
      <c r="USY1" s="563"/>
      <c r="USZ1" s="563"/>
      <c r="UTA1" s="563"/>
      <c r="UTB1" s="563"/>
      <c r="UTC1" s="563" t="s">
        <v>15</v>
      </c>
      <c r="UTD1" s="563"/>
      <c r="UTE1" s="563"/>
      <c r="UTF1" s="563"/>
      <c r="UTG1" s="563"/>
      <c r="UTH1" s="563"/>
      <c r="UTI1" s="563"/>
      <c r="UTJ1" s="563"/>
      <c r="UTK1" s="563" t="s">
        <v>15</v>
      </c>
      <c r="UTL1" s="563"/>
      <c r="UTM1" s="563"/>
      <c r="UTN1" s="563"/>
      <c r="UTO1" s="563"/>
      <c r="UTP1" s="563"/>
      <c r="UTQ1" s="563"/>
      <c r="UTR1" s="563"/>
      <c r="UTS1" s="563" t="s">
        <v>15</v>
      </c>
      <c r="UTT1" s="563"/>
      <c r="UTU1" s="563"/>
      <c r="UTV1" s="563"/>
      <c r="UTW1" s="563"/>
      <c r="UTX1" s="563"/>
      <c r="UTY1" s="563"/>
      <c r="UTZ1" s="563"/>
      <c r="UUA1" s="563" t="s">
        <v>15</v>
      </c>
      <c r="UUB1" s="563"/>
      <c r="UUC1" s="563"/>
      <c r="UUD1" s="563"/>
      <c r="UUE1" s="563"/>
      <c r="UUF1" s="563"/>
      <c r="UUG1" s="563"/>
      <c r="UUH1" s="563"/>
      <c r="UUI1" s="563" t="s">
        <v>15</v>
      </c>
      <c r="UUJ1" s="563"/>
      <c r="UUK1" s="563"/>
      <c r="UUL1" s="563"/>
      <c r="UUM1" s="563"/>
      <c r="UUN1" s="563"/>
      <c r="UUO1" s="563"/>
      <c r="UUP1" s="563"/>
      <c r="UUQ1" s="563" t="s">
        <v>15</v>
      </c>
      <c r="UUR1" s="563"/>
      <c r="UUS1" s="563"/>
      <c r="UUT1" s="563"/>
      <c r="UUU1" s="563"/>
      <c r="UUV1" s="563"/>
      <c r="UUW1" s="563"/>
      <c r="UUX1" s="563"/>
      <c r="UUY1" s="563" t="s">
        <v>15</v>
      </c>
      <c r="UUZ1" s="563"/>
      <c r="UVA1" s="563"/>
      <c r="UVB1" s="563"/>
      <c r="UVC1" s="563"/>
      <c r="UVD1" s="563"/>
      <c r="UVE1" s="563"/>
      <c r="UVF1" s="563"/>
      <c r="UVG1" s="563" t="s">
        <v>15</v>
      </c>
      <c r="UVH1" s="563"/>
      <c r="UVI1" s="563"/>
      <c r="UVJ1" s="563"/>
      <c r="UVK1" s="563"/>
      <c r="UVL1" s="563"/>
      <c r="UVM1" s="563"/>
      <c r="UVN1" s="563"/>
      <c r="UVO1" s="563" t="s">
        <v>15</v>
      </c>
      <c r="UVP1" s="563"/>
      <c r="UVQ1" s="563"/>
      <c r="UVR1" s="563"/>
      <c r="UVS1" s="563"/>
      <c r="UVT1" s="563"/>
      <c r="UVU1" s="563"/>
      <c r="UVV1" s="563"/>
      <c r="UVW1" s="563" t="s">
        <v>15</v>
      </c>
      <c r="UVX1" s="563"/>
      <c r="UVY1" s="563"/>
      <c r="UVZ1" s="563"/>
      <c r="UWA1" s="563"/>
      <c r="UWB1" s="563"/>
      <c r="UWC1" s="563"/>
      <c r="UWD1" s="563"/>
      <c r="UWE1" s="563" t="s">
        <v>15</v>
      </c>
      <c r="UWF1" s="563"/>
      <c r="UWG1" s="563"/>
      <c r="UWH1" s="563"/>
      <c r="UWI1" s="563"/>
      <c r="UWJ1" s="563"/>
      <c r="UWK1" s="563"/>
      <c r="UWL1" s="563"/>
      <c r="UWM1" s="563" t="s">
        <v>15</v>
      </c>
      <c r="UWN1" s="563"/>
      <c r="UWO1" s="563"/>
      <c r="UWP1" s="563"/>
      <c r="UWQ1" s="563"/>
      <c r="UWR1" s="563"/>
      <c r="UWS1" s="563"/>
      <c r="UWT1" s="563"/>
      <c r="UWU1" s="563" t="s">
        <v>15</v>
      </c>
      <c r="UWV1" s="563"/>
      <c r="UWW1" s="563"/>
      <c r="UWX1" s="563"/>
      <c r="UWY1" s="563"/>
      <c r="UWZ1" s="563"/>
      <c r="UXA1" s="563"/>
      <c r="UXB1" s="563"/>
      <c r="UXC1" s="563" t="s">
        <v>15</v>
      </c>
      <c r="UXD1" s="563"/>
      <c r="UXE1" s="563"/>
      <c r="UXF1" s="563"/>
      <c r="UXG1" s="563"/>
      <c r="UXH1" s="563"/>
      <c r="UXI1" s="563"/>
      <c r="UXJ1" s="563"/>
      <c r="UXK1" s="563" t="s">
        <v>15</v>
      </c>
      <c r="UXL1" s="563"/>
      <c r="UXM1" s="563"/>
      <c r="UXN1" s="563"/>
      <c r="UXO1" s="563"/>
      <c r="UXP1" s="563"/>
      <c r="UXQ1" s="563"/>
      <c r="UXR1" s="563"/>
      <c r="UXS1" s="563" t="s">
        <v>15</v>
      </c>
      <c r="UXT1" s="563"/>
      <c r="UXU1" s="563"/>
      <c r="UXV1" s="563"/>
      <c r="UXW1" s="563"/>
      <c r="UXX1" s="563"/>
      <c r="UXY1" s="563"/>
      <c r="UXZ1" s="563"/>
      <c r="UYA1" s="563" t="s">
        <v>15</v>
      </c>
      <c r="UYB1" s="563"/>
      <c r="UYC1" s="563"/>
      <c r="UYD1" s="563"/>
      <c r="UYE1" s="563"/>
      <c r="UYF1" s="563"/>
      <c r="UYG1" s="563"/>
      <c r="UYH1" s="563"/>
      <c r="UYI1" s="563" t="s">
        <v>15</v>
      </c>
      <c r="UYJ1" s="563"/>
      <c r="UYK1" s="563"/>
      <c r="UYL1" s="563"/>
      <c r="UYM1" s="563"/>
      <c r="UYN1" s="563"/>
      <c r="UYO1" s="563"/>
      <c r="UYP1" s="563"/>
      <c r="UYQ1" s="563" t="s">
        <v>15</v>
      </c>
      <c r="UYR1" s="563"/>
      <c r="UYS1" s="563"/>
      <c r="UYT1" s="563"/>
      <c r="UYU1" s="563"/>
      <c r="UYV1" s="563"/>
      <c r="UYW1" s="563"/>
      <c r="UYX1" s="563"/>
      <c r="UYY1" s="563" t="s">
        <v>15</v>
      </c>
      <c r="UYZ1" s="563"/>
      <c r="UZA1" s="563"/>
      <c r="UZB1" s="563"/>
      <c r="UZC1" s="563"/>
      <c r="UZD1" s="563"/>
      <c r="UZE1" s="563"/>
      <c r="UZF1" s="563"/>
      <c r="UZG1" s="563" t="s">
        <v>15</v>
      </c>
      <c r="UZH1" s="563"/>
      <c r="UZI1" s="563"/>
      <c r="UZJ1" s="563"/>
      <c r="UZK1" s="563"/>
      <c r="UZL1" s="563"/>
      <c r="UZM1" s="563"/>
      <c r="UZN1" s="563"/>
      <c r="UZO1" s="563" t="s">
        <v>15</v>
      </c>
      <c r="UZP1" s="563"/>
      <c r="UZQ1" s="563"/>
      <c r="UZR1" s="563"/>
      <c r="UZS1" s="563"/>
      <c r="UZT1" s="563"/>
      <c r="UZU1" s="563"/>
      <c r="UZV1" s="563"/>
      <c r="UZW1" s="563" t="s">
        <v>15</v>
      </c>
      <c r="UZX1" s="563"/>
      <c r="UZY1" s="563"/>
      <c r="UZZ1" s="563"/>
      <c r="VAA1" s="563"/>
      <c r="VAB1" s="563"/>
      <c r="VAC1" s="563"/>
      <c r="VAD1" s="563"/>
      <c r="VAE1" s="563" t="s">
        <v>15</v>
      </c>
      <c r="VAF1" s="563"/>
      <c r="VAG1" s="563"/>
      <c r="VAH1" s="563"/>
      <c r="VAI1" s="563"/>
      <c r="VAJ1" s="563"/>
      <c r="VAK1" s="563"/>
      <c r="VAL1" s="563"/>
      <c r="VAM1" s="563" t="s">
        <v>15</v>
      </c>
      <c r="VAN1" s="563"/>
      <c r="VAO1" s="563"/>
      <c r="VAP1" s="563"/>
      <c r="VAQ1" s="563"/>
      <c r="VAR1" s="563"/>
      <c r="VAS1" s="563"/>
      <c r="VAT1" s="563"/>
      <c r="VAU1" s="563" t="s">
        <v>15</v>
      </c>
      <c r="VAV1" s="563"/>
      <c r="VAW1" s="563"/>
      <c r="VAX1" s="563"/>
      <c r="VAY1" s="563"/>
      <c r="VAZ1" s="563"/>
      <c r="VBA1" s="563"/>
      <c r="VBB1" s="563"/>
      <c r="VBC1" s="563" t="s">
        <v>15</v>
      </c>
      <c r="VBD1" s="563"/>
      <c r="VBE1" s="563"/>
      <c r="VBF1" s="563"/>
      <c r="VBG1" s="563"/>
      <c r="VBH1" s="563"/>
      <c r="VBI1" s="563"/>
      <c r="VBJ1" s="563"/>
      <c r="VBK1" s="563" t="s">
        <v>15</v>
      </c>
      <c r="VBL1" s="563"/>
      <c r="VBM1" s="563"/>
      <c r="VBN1" s="563"/>
      <c r="VBO1" s="563"/>
      <c r="VBP1" s="563"/>
      <c r="VBQ1" s="563"/>
      <c r="VBR1" s="563"/>
      <c r="VBS1" s="563" t="s">
        <v>15</v>
      </c>
      <c r="VBT1" s="563"/>
      <c r="VBU1" s="563"/>
      <c r="VBV1" s="563"/>
      <c r="VBW1" s="563"/>
      <c r="VBX1" s="563"/>
      <c r="VBY1" s="563"/>
      <c r="VBZ1" s="563"/>
      <c r="VCA1" s="563" t="s">
        <v>15</v>
      </c>
      <c r="VCB1" s="563"/>
      <c r="VCC1" s="563"/>
      <c r="VCD1" s="563"/>
      <c r="VCE1" s="563"/>
      <c r="VCF1" s="563"/>
      <c r="VCG1" s="563"/>
      <c r="VCH1" s="563"/>
      <c r="VCI1" s="563" t="s">
        <v>15</v>
      </c>
      <c r="VCJ1" s="563"/>
      <c r="VCK1" s="563"/>
      <c r="VCL1" s="563"/>
      <c r="VCM1" s="563"/>
      <c r="VCN1" s="563"/>
      <c r="VCO1" s="563"/>
      <c r="VCP1" s="563"/>
      <c r="VCQ1" s="563" t="s">
        <v>15</v>
      </c>
      <c r="VCR1" s="563"/>
      <c r="VCS1" s="563"/>
      <c r="VCT1" s="563"/>
      <c r="VCU1" s="563"/>
      <c r="VCV1" s="563"/>
      <c r="VCW1" s="563"/>
      <c r="VCX1" s="563"/>
      <c r="VCY1" s="563" t="s">
        <v>15</v>
      </c>
      <c r="VCZ1" s="563"/>
      <c r="VDA1" s="563"/>
      <c r="VDB1" s="563"/>
      <c r="VDC1" s="563"/>
      <c r="VDD1" s="563"/>
      <c r="VDE1" s="563"/>
      <c r="VDF1" s="563"/>
      <c r="VDG1" s="563" t="s">
        <v>15</v>
      </c>
      <c r="VDH1" s="563"/>
      <c r="VDI1" s="563"/>
      <c r="VDJ1" s="563"/>
      <c r="VDK1" s="563"/>
      <c r="VDL1" s="563"/>
      <c r="VDM1" s="563"/>
      <c r="VDN1" s="563"/>
      <c r="VDO1" s="563" t="s">
        <v>15</v>
      </c>
      <c r="VDP1" s="563"/>
      <c r="VDQ1" s="563"/>
      <c r="VDR1" s="563"/>
      <c r="VDS1" s="563"/>
      <c r="VDT1" s="563"/>
      <c r="VDU1" s="563"/>
      <c r="VDV1" s="563"/>
      <c r="VDW1" s="563" t="s">
        <v>15</v>
      </c>
      <c r="VDX1" s="563"/>
      <c r="VDY1" s="563"/>
      <c r="VDZ1" s="563"/>
      <c r="VEA1" s="563"/>
      <c r="VEB1" s="563"/>
      <c r="VEC1" s="563"/>
      <c r="VED1" s="563"/>
      <c r="VEE1" s="563" t="s">
        <v>15</v>
      </c>
      <c r="VEF1" s="563"/>
      <c r="VEG1" s="563"/>
      <c r="VEH1" s="563"/>
      <c r="VEI1" s="563"/>
      <c r="VEJ1" s="563"/>
      <c r="VEK1" s="563"/>
      <c r="VEL1" s="563"/>
      <c r="VEM1" s="563" t="s">
        <v>15</v>
      </c>
      <c r="VEN1" s="563"/>
      <c r="VEO1" s="563"/>
      <c r="VEP1" s="563"/>
      <c r="VEQ1" s="563"/>
      <c r="VER1" s="563"/>
      <c r="VES1" s="563"/>
      <c r="VET1" s="563"/>
      <c r="VEU1" s="563" t="s">
        <v>15</v>
      </c>
      <c r="VEV1" s="563"/>
      <c r="VEW1" s="563"/>
      <c r="VEX1" s="563"/>
      <c r="VEY1" s="563"/>
      <c r="VEZ1" s="563"/>
      <c r="VFA1" s="563"/>
      <c r="VFB1" s="563"/>
      <c r="VFC1" s="563" t="s">
        <v>15</v>
      </c>
      <c r="VFD1" s="563"/>
      <c r="VFE1" s="563"/>
      <c r="VFF1" s="563"/>
      <c r="VFG1" s="563"/>
      <c r="VFH1" s="563"/>
      <c r="VFI1" s="563"/>
      <c r="VFJ1" s="563"/>
      <c r="VFK1" s="563" t="s">
        <v>15</v>
      </c>
      <c r="VFL1" s="563"/>
      <c r="VFM1" s="563"/>
      <c r="VFN1" s="563"/>
      <c r="VFO1" s="563"/>
      <c r="VFP1" s="563"/>
      <c r="VFQ1" s="563"/>
      <c r="VFR1" s="563"/>
      <c r="VFS1" s="563" t="s">
        <v>15</v>
      </c>
      <c r="VFT1" s="563"/>
      <c r="VFU1" s="563"/>
      <c r="VFV1" s="563"/>
      <c r="VFW1" s="563"/>
      <c r="VFX1" s="563"/>
      <c r="VFY1" s="563"/>
      <c r="VFZ1" s="563"/>
      <c r="VGA1" s="563" t="s">
        <v>15</v>
      </c>
      <c r="VGB1" s="563"/>
      <c r="VGC1" s="563"/>
      <c r="VGD1" s="563"/>
      <c r="VGE1" s="563"/>
      <c r="VGF1" s="563"/>
      <c r="VGG1" s="563"/>
      <c r="VGH1" s="563"/>
      <c r="VGI1" s="563" t="s">
        <v>15</v>
      </c>
      <c r="VGJ1" s="563"/>
      <c r="VGK1" s="563"/>
      <c r="VGL1" s="563"/>
      <c r="VGM1" s="563"/>
      <c r="VGN1" s="563"/>
      <c r="VGO1" s="563"/>
      <c r="VGP1" s="563"/>
      <c r="VGQ1" s="563" t="s">
        <v>15</v>
      </c>
      <c r="VGR1" s="563"/>
      <c r="VGS1" s="563"/>
      <c r="VGT1" s="563"/>
      <c r="VGU1" s="563"/>
      <c r="VGV1" s="563"/>
      <c r="VGW1" s="563"/>
      <c r="VGX1" s="563"/>
      <c r="VGY1" s="563" t="s">
        <v>15</v>
      </c>
      <c r="VGZ1" s="563"/>
      <c r="VHA1" s="563"/>
      <c r="VHB1" s="563"/>
      <c r="VHC1" s="563"/>
      <c r="VHD1" s="563"/>
      <c r="VHE1" s="563"/>
      <c r="VHF1" s="563"/>
      <c r="VHG1" s="563" t="s">
        <v>15</v>
      </c>
      <c r="VHH1" s="563"/>
      <c r="VHI1" s="563"/>
      <c r="VHJ1" s="563"/>
      <c r="VHK1" s="563"/>
      <c r="VHL1" s="563"/>
      <c r="VHM1" s="563"/>
      <c r="VHN1" s="563"/>
      <c r="VHO1" s="563" t="s">
        <v>15</v>
      </c>
      <c r="VHP1" s="563"/>
      <c r="VHQ1" s="563"/>
      <c r="VHR1" s="563"/>
      <c r="VHS1" s="563"/>
      <c r="VHT1" s="563"/>
      <c r="VHU1" s="563"/>
      <c r="VHV1" s="563"/>
      <c r="VHW1" s="563" t="s">
        <v>15</v>
      </c>
      <c r="VHX1" s="563"/>
      <c r="VHY1" s="563"/>
      <c r="VHZ1" s="563"/>
      <c r="VIA1" s="563"/>
      <c r="VIB1" s="563"/>
      <c r="VIC1" s="563"/>
      <c r="VID1" s="563"/>
      <c r="VIE1" s="563" t="s">
        <v>15</v>
      </c>
      <c r="VIF1" s="563"/>
      <c r="VIG1" s="563"/>
      <c r="VIH1" s="563"/>
      <c r="VII1" s="563"/>
      <c r="VIJ1" s="563"/>
      <c r="VIK1" s="563"/>
      <c r="VIL1" s="563"/>
      <c r="VIM1" s="563" t="s">
        <v>15</v>
      </c>
      <c r="VIN1" s="563"/>
      <c r="VIO1" s="563"/>
      <c r="VIP1" s="563"/>
      <c r="VIQ1" s="563"/>
      <c r="VIR1" s="563"/>
      <c r="VIS1" s="563"/>
      <c r="VIT1" s="563"/>
      <c r="VIU1" s="563" t="s">
        <v>15</v>
      </c>
      <c r="VIV1" s="563"/>
      <c r="VIW1" s="563"/>
      <c r="VIX1" s="563"/>
      <c r="VIY1" s="563"/>
      <c r="VIZ1" s="563"/>
      <c r="VJA1" s="563"/>
      <c r="VJB1" s="563"/>
      <c r="VJC1" s="563" t="s">
        <v>15</v>
      </c>
      <c r="VJD1" s="563"/>
      <c r="VJE1" s="563"/>
      <c r="VJF1" s="563"/>
      <c r="VJG1" s="563"/>
      <c r="VJH1" s="563"/>
      <c r="VJI1" s="563"/>
      <c r="VJJ1" s="563"/>
      <c r="VJK1" s="563" t="s">
        <v>15</v>
      </c>
      <c r="VJL1" s="563"/>
      <c r="VJM1" s="563"/>
      <c r="VJN1" s="563"/>
      <c r="VJO1" s="563"/>
      <c r="VJP1" s="563"/>
      <c r="VJQ1" s="563"/>
      <c r="VJR1" s="563"/>
      <c r="VJS1" s="563" t="s">
        <v>15</v>
      </c>
      <c r="VJT1" s="563"/>
      <c r="VJU1" s="563"/>
      <c r="VJV1" s="563"/>
      <c r="VJW1" s="563"/>
      <c r="VJX1" s="563"/>
      <c r="VJY1" s="563"/>
      <c r="VJZ1" s="563"/>
      <c r="VKA1" s="563" t="s">
        <v>15</v>
      </c>
      <c r="VKB1" s="563"/>
      <c r="VKC1" s="563"/>
      <c r="VKD1" s="563"/>
      <c r="VKE1" s="563"/>
      <c r="VKF1" s="563"/>
      <c r="VKG1" s="563"/>
      <c r="VKH1" s="563"/>
      <c r="VKI1" s="563" t="s">
        <v>15</v>
      </c>
      <c r="VKJ1" s="563"/>
      <c r="VKK1" s="563"/>
      <c r="VKL1" s="563"/>
      <c r="VKM1" s="563"/>
      <c r="VKN1" s="563"/>
      <c r="VKO1" s="563"/>
      <c r="VKP1" s="563"/>
      <c r="VKQ1" s="563" t="s">
        <v>15</v>
      </c>
      <c r="VKR1" s="563"/>
      <c r="VKS1" s="563"/>
      <c r="VKT1" s="563"/>
      <c r="VKU1" s="563"/>
      <c r="VKV1" s="563"/>
      <c r="VKW1" s="563"/>
      <c r="VKX1" s="563"/>
      <c r="VKY1" s="563" t="s">
        <v>15</v>
      </c>
      <c r="VKZ1" s="563"/>
      <c r="VLA1" s="563"/>
      <c r="VLB1" s="563"/>
      <c r="VLC1" s="563"/>
      <c r="VLD1" s="563"/>
      <c r="VLE1" s="563"/>
      <c r="VLF1" s="563"/>
      <c r="VLG1" s="563" t="s">
        <v>15</v>
      </c>
      <c r="VLH1" s="563"/>
      <c r="VLI1" s="563"/>
      <c r="VLJ1" s="563"/>
      <c r="VLK1" s="563"/>
      <c r="VLL1" s="563"/>
      <c r="VLM1" s="563"/>
      <c r="VLN1" s="563"/>
      <c r="VLO1" s="563" t="s">
        <v>15</v>
      </c>
      <c r="VLP1" s="563"/>
      <c r="VLQ1" s="563"/>
      <c r="VLR1" s="563"/>
      <c r="VLS1" s="563"/>
      <c r="VLT1" s="563"/>
      <c r="VLU1" s="563"/>
      <c r="VLV1" s="563"/>
      <c r="VLW1" s="563" t="s">
        <v>15</v>
      </c>
      <c r="VLX1" s="563"/>
      <c r="VLY1" s="563"/>
      <c r="VLZ1" s="563"/>
      <c r="VMA1" s="563"/>
      <c r="VMB1" s="563"/>
      <c r="VMC1" s="563"/>
      <c r="VMD1" s="563"/>
      <c r="VME1" s="563" t="s">
        <v>15</v>
      </c>
      <c r="VMF1" s="563"/>
      <c r="VMG1" s="563"/>
      <c r="VMH1" s="563"/>
      <c r="VMI1" s="563"/>
      <c r="VMJ1" s="563"/>
      <c r="VMK1" s="563"/>
      <c r="VML1" s="563"/>
      <c r="VMM1" s="563" t="s">
        <v>15</v>
      </c>
      <c r="VMN1" s="563"/>
      <c r="VMO1" s="563"/>
      <c r="VMP1" s="563"/>
      <c r="VMQ1" s="563"/>
      <c r="VMR1" s="563"/>
      <c r="VMS1" s="563"/>
      <c r="VMT1" s="563"/>
      <c r="VMU1" s="563" t="s">
        <v>15</v>
      </c>
      <c r="VMV1" s="563"/>
      <c r="VMW1" s="563"/>
      <c r="VMX1" s="563"/>
      <c r="VMY1" s="563"/>
      <c r="VMZ1" s="563"/>
      <c r="VNA1" s="563"/>
      <c r="VNB1" s="563"/>
      <c r="VNC1" s="563" t="s">
        <v>15</v>
      </c>
      <c r="VND1" s="563"/>
      <c r="VNE1" s="563"/>
      <c r="VNF1" s="563"/>
      <c r="VNG1" s="563"/>
      <c r="VNH1" s="563"/>
      <c r="VNI1" s="563"/>
      <c r="VNJ1" s="563"/>
      <c r="VNK1" s="563" t="s">
        <v>15</v>
      </c>
      <c r="VNL1" s="563"/>
      <c r="VNM1" s="563"/>
      <c r="VNN1" s="563"/>
      <c r="VNO1" s="563"/>
      <c r="VNP1" s="563"/>
      <c r="VNQ1" s="563"/>
      <c r="VNR1" s="563"/>
      <c r="VNS1" s="563" t="s">
        <v>15</v>
      </c>
      <c r="VNT1" s="563"/>
      <c r="VNU1" s="563"/>
      <c r="VNV1" s="563"/>
      <c r="VNW1" s="563"/>
      <c r="VNX1" s="563"/>
      <c r="VNY1" s="563"/>
      <c r="VNZ1" s="563"/>
      <c r="VOA1" s="563" t="s">
        <v>15</v>
      </c>
      <c r="VOB1" s="563"/>
      <c r="VOC1" s="563"/>
      <c r="VOD1" s="563"/>
      <c r="VOE1" s="563"/>
      <c r="VOF1" s="563"/>
      <c r="VOG1" s="563"/>
      <c r="VOH1" s="563"/>
      <c r="VOI1" s="563" t="s">
        <v>15</v>
      </c>
      <c r="VOJ1" s="563"/>
      <c r="VOK1" s="563"/>
      <c r="VOL1" s="563"/>
      <c r="VOM1" s="563"/>
      <c r="VON1" s="563"/>
      <c r="VOO1" s="563"/>
      <c r="VOP1" s="563"/>
      <c r="VOQ1" s="563" t="s">
        <v>15</v>
      </c>
      <c r="VOR1" s="563"/>
      <c r="VOS1" s="563"/>
      <c r="VOT1" s="563"/>
      <c r="VOU1" s="563"/>
      <c r="VOV1" s="563"/>
      <c r="VOW1" s="563"/>
      <c r="VOX1" s="563"/>
      <c r="VOY1" s="563" t="s">
        <v>15</v>
      </c>
      <c r="VOZ1" s="563"/>
      <c r="VPA1" s="563"/>
      <c r="VPB1" s="563"/>
      <c r="VPC1" s="563"/>
      <c r="VPD1" s="563"/>
      <c r="VPE1" s="563"/>
      <c r="VPF1" s="563"/>
      <c r="VPG1" s="563" t="s">
        <v>15</v>
      </c>
      <c r="VPH1" s="563"/>
      <c r="VPI1" s="563"/>
      <c r="VPJ1" s="563"/>
      <c r="VPK1" s="563"/>
      <c r="VPL1" s="563"/>
      <c r="VPM1" s="563"/>
      <c r="VPN1" s="563"/>
      <c r="VPO1" s="563" t="s">
        <v>15</v>
      </c>
      <c r="VPP1" s="563"/>
      <c r="VPQ1" s="563"/>
      <c r="VPR1" s="563"/>
      <c r="VPS1" s="563"/>
      <c r="VPT1" s="563"/>
      <c r="VPU1" s="563"/>
      <c r="VPV1" s="563"/>
      <c r="VPW1" s="563" t="s">
        <v>15</v>
      </c>
      <c r="VPX1" s="563"/>
      <c r="VPY1" s="563"/>
      <c r="VPZ1" s="563"/>
      <c r="VQA1" s="563"/>
      <c r="VQB1" s="563"/>
      <c r="VQC1" s="563"/>
      <c r="VQD1" s="563"/>
      <c r="VQE1" s="563" t="s">
        <v>15</v>
      </c>
      <c r="VQF1" s="563"/>
      <c r="VQG1" s="563"/>
      <c r="VQH1" s="563"/>
      <c r="VQI1" s="563"/>
      <c r="VQJ1" s="563"/>
      <c r="VQK1" s="563"/>
      <c r="VQL1" s="563"/>
      <c r="VQM1" s="563" t="s">
        <v>15</v>
      </c>
      <c r="VQN1" s="563"/>
      <c r="VQO1" s="563"/>
      <c r="VQP1" s="563"/>
      <c r="VQQ1" s="563"/>
      <c r="VQR1" s="563"/>
      <c r="VQS1" s="563"/>
      <c r="VQT1" s="563"/>
      <c r="VQU1" s="563" t="s">
        <v>15</v>
      </c>
      <c r="VQV1" s="563"/>
      <c r="VQW1" s="563"/>
      <c r="VQX1" s="563"/>
      <c r="VQY1" s="563"/>
      <c r="VQZ1" s="563"/>
      <c r="VRA1" s="563"/>
      <c r="VRB1" s="563"/>
      <c r="VRC1" s="563" t="s">
        <v>15</v>
      </c>
      <c r="VRD1" s="563"/>
      <c r="VRE1" s="563"/>
      <c r="VRF1" s="563"/>
      <c r="VRG1" s="563"/>
      <c r="VRH1" s="563"/>
      <c r="VRI1" s="563"/>
      <c r="VRJ1" s="563"/>
      <c r="VRK1" s="563" t="s">
        <v>15</v>
      </c>
      <c r="VRL1" s="563"/>
      <c r="VRM1" s="563"/>
      <c r="VRN1" s="563"/>
      <c r="VRO1" s="563"/>
      <c r="VRP1" s="563"/>
      <c r="VRQ1" s="563"/>
      <c r="VRR1" s="563"/>
      <c r="VRS1" s="563" t="s">
        <v>15</v>
      </c>
      <c r="VRT1" s="563"/>
      <c r="VRU1" s="563"/>
      <c r="VRV1" s="563"/>
      <c r="VRW1" s="563"/>
      <c r="VRX1" s="563"/>
      <c r="VRY1" s="563"/>
      <c r="VRZ1" s="563"/>
      <c r="VSA1" s="563" t="s">
        <v>15</v>
      </c>
      <c r="VSB1" s="563"/>
      <c r="VSC1" s="563"/>
      <c r="VSD1" s="563"/>
      <c r="VSE1" s="563"/>
      <c r="VSF1" s="563"/>
      <c r="VSG1" s="563"/>
      <c r="VSH1" s="563"/>
      <c r="VSI1" s="563" t="s">
        <v>15</v>
      </c>
      <c r="VSJ1" s="563"/>
      <c r="VSK1" s="563"/>
      <c r="VSL1" s="563"/>
      <c r="VSM1" s="563"/>
      <c r="VSN1" s="563"/>
      <c r="VSO1" s="563"/>
      <c r="VSP1" s="563"/>
      <c r="VSQ1" s="563" t="s">
        <v>15</v>
      </c>
      <c r="VSR1" s="563"/>
      <c r="VSS1" s="563"/>
      <c r="VST1" s="563"/>
      <c r="VSU1" s="563"/>
      <c r="VSV1" s="563"/>
      <c r="VSW1" s="563"/>
      <c r="VSX1" s="563"/>
      <c r="VSY1" s="563" t="s">
        <v>15</v>
      </c>
      <c r="VSZ1" s="563"/>
      <c r="VTA1" s="563"/>
      <c r="VTB1" s="563"/>
      <c r="VTC1" s="563"/>
      <c r="VTD1" s="563"/>
      <c r="VTE1" s="563"/>
      <c r="VTF1" s="563"/>
      <c r="VTG1" s="563" t="s">
        <v>15</v>
      </c>
      <c r="VTH1" s="563"/>
      <c r="VTI1" s="563"/>
      <c r="VTJ1" s="563"/>
      <c r="VTK1" s="563"/>
      <c r="VTL1" s="563"/>
      <c r="VTM1" s="563"/>
      <c r="VTN1" s="563"/>
      <c r="VTO1" s="563" t="s">
        <v>15</v>
      </c>
      <c r="VTP1" s="563"/>
      <c r="VTQ1" s="563"/>
      <c r="VTR1" s="563"/>
      <c r="VTS1" s="563"/>
      <c r="VTT1" s="563"/>
      <c r="VTU1" s="563"/>
      <c r="VTV1" s="563"/>
      <c r="VTW1" s="563" t="s">
        <v>15</v>
      </c>
      <c r="VTX1" s="563"/>
      <c r="VTY1" s="563"/>
      <c r="VTZ1" s="563"/>
      <c r="VUA1" s="563"/>
      <c r="VUB1" s="563"/>
      <c r="VUC1" s="563"/>
      <c r="VUD1" s="563"/>
      <c r="VUE1" s="563" t="s">
        <v>15</v>
      </c>
      <c r="VUF1" s="563"/>
      <c r="VUG1" s="563"/>
      <c r="VUH1" s="563"/>
      <c r="VUI1" s="563"/>
      <c r="VUJ1" s="563"/>
      <c r="VUK1" s="563"/>
      <c r="VUL1" s="563"/>
      <c r="VUM1" s="563" t="s">
        <v>15</v>
      </c>
      <c r="VUN1" s="563"/>
      <c r="VUO1" s="563"/>
      <c r="VUP1" s="563"/>
      <c r="VUQ1" s="563"/>
      <c r="VUR1" s="563"/>
      <c r="VUS1" s="563"/>
      <c r="VUT1" s="563"/>
      <c r="VUU1" s="563" t="s">
        <v>15</v>
      </c>
      <c r="VUV1" s="563"/>
      <c r="VUW1" s="563"/>
      <c r="VUX1" s="563"/>
      <c r="VUY1" s="563"/>
      <c r="VUZ1" s="563"/>
      <c r="VVA1" s="563"/>
      <c r="VVB1" s="563"/>
      <c r="VVC1" s="563" t="s">
        <v>15</v>
      </c>
      <c r="VVD1" s="563"/>
      <c r="VVE1" s="563"/>
      <c r="VVF1" s="563"/>
      <c r="VVG1" s="563"/>
      <c r="VVH1" s="563"/>
      <c r="VVI1" s="563"/>
      <c r="VVJ1" s="563"/>
      <c r="VVK1" s="563" t="s">
        <v>15</v>
      </c>
      <c r="VVL1" s="563"/>
      <c r="VVM1" s="563"/>
      <c r="VVN1" s="563"/>
      <c r="VVO1" s="563"/>
      <c r="VVP1" s="563"/>
      <c r="VVQ1" s="563"/>
      <c r="VVR1" s="563"/>
      <c r="VVS1" s="563" t="s">
        <v>15</v>
      </c>
      <c r="VVT1" s="563"/>
      <c r="VVU1" s="563"/>
      <c r="VVV1" s="563"/>
      <c r="VVW1" s="563"/>
      <c r="VVX1" s="563"/>
      <c r="VVY1" s="563"/>
      <c r="VVZ1" s="563"/>
      <c r="VWA1" s="563" t="s">
        <v>15</v>
      </c>
      <c r="VWB1" s="563"/>
      <c r="VWC1" s="563"/>
      <c r="VWD1" s="563"/>
      <c r="VWE1" s="563"/>
      <c r="VWF1" s="563"/>
      <c r="VWG1" s="563"/>
      <c r="VWH1" s="563"/>
      <c r="VWI1" s="563" t="s">
        <v>15</v>
      </c>
      <c r="VWJ1" s="563"/>
      <c r="VWK1" s="563"/>
      <c r="VWL1" s="563"/>
      <c r="VWM1" s="563"/>
      <c r="VWN1" s="563"/>
      <c r="VWO1" s="563"/>
      <c r="VWP1" s="563"/>
      <c r="VWQ1" s="563" t="s">
        <v>15</v>
      </c>
      <c r="VWR1" s="563"/>
      <c r="VWS1" s="563"/>
      <c r="VWT1" s="563"/>
      <c r="VWU1" s="563"/>
      <c r="VWV1" s="563"/>
      <c r="VWW1" s="563"/>
      <c r="VWX1" s="563"/>
      <c r="VWY1" s="563" t="s">
        <v>15</v>
      </c>
      <c r="VWZ1" s="563"/>
      <c r="VXA1" s="563"/>
      <c r="VXB1" s="563"/>
      <c r="VXC1" s="563"/>
      <c r="VXD1" s="563"/>
      <c r="VXE1" s="563"/>
      <c r="VXF1" s="563"/>
      <c r="VXG1" s="563" t="s">
        <v>15</v>
      </c>
      <c r="VXH1" s="563"/>
      <c r="VXI1" s="563"/>
      <c r="VXJ1" s="563"/>
      <c r="VXK1" s="563"/>
      <c r="VXL1" s="563"/>
      <c r="VXM1" s="563"/>
      <c r="VXN1" s="563"/>
      <c r="VXO1" s="563" t="s">
        <v>15</v>
      </c>
      <c r="VXP1" s="563"/>
      <c r="VXQ1" s="563"/>
      <c r="VXR1" s="563"/>
      <c r="VXS1" s="563"/>
      <c r="VXT1" s="563"/>
      <c r="VXU1" s="563"/>
      <c r="VXV1" s="563"/>
      <c r="VXW1" s="563" t="s">
        <v>15</v>
      </c>
      <c r="VXX1" s="563"/>
      <c r="VXY1" s="563"/>
      <c r="VXZ1" s="563"/>
      <c r="VYA1" s="563"/>
      <c r="VYB1" s="563"/>
      <c r="VYC1" s="563"/>
      <c r="VYD1" s="563"/>
      <c r="VYE1" s="563" t="s">
        <v>15</v>
      </c>
      <c r="VYF1" s="563"/>
      <c r="VYG1" s="563"/>
      <c r="VYH1" s="563"/>
      <c r="VYI1" s="563"/>
      <c r="VYJ1" s="563"/>
      <c r="VYK1" s="563"/>
      <c r="VYL1" s="563"/>
      <c r="VYM1" s="563" t="s">
        <v>15</v>
      </c>
      <c r="VYN1" s="563"/>
      <c r="VYO1" s="563"/>
      <c r="VYP1" s="563"/>
      <c r="VYQ1" s="563"/>
      <c r="VYR1" s="563"/>
      <c r="VYS1" s="563"/>
      <c r="VYT1" s="563"/>
      <c r="VYU1" s="563" t="s">
        <v>15</v>
      </c>
      <c r="VYV1" s="563"/>
      <c r="VYW1" s="563"/>
      <c r="VYX1" s="563"/>
      <c r="VYY1" s="563"/>
      <c r="VYZ1" s="563"/>
      <c r="VZA1" s="563"/>
      <c r="VZB1" s="563"/>
      <c r="VZC1" s="563" t="s">
        <v>15</v>
      </c>
      <c r="VZD1" s="563"/>
      <c r="VZE1" s="563"/>
      <c r="VZF1" s="563"/>
      <c r="VZG1" s="563"/>
      <c r="VZH1" s="563"/>
      <c r="VZI1" s="563"/>
      <c r="VZJ1" s="563"/>
      <c r="VZK1" s="563" t="s">
        <v>15</v>
      </c>
      <c r="VZL1" s="563"/>
      <c r="VZM1" s="563"/>
      <c r="VZN1" s="563"/>
      <c r="VZO1" s="563"/>
      <c r="VZP1" s="563"/>
      <c r="VZQ1" s="563"/>
      <c r="VZR1" s="563"/>
      <c r="VZS1" s="563" t="s">
        <v>15</v>
      </c>
      <c r="VZT1" s="563"/>
      <c r="VZU1" s="563"/>
      <c r="VZV1" s="563"/>
      <c r="VZW1" s="563"/>
      <c r="VZX1" s="563"/>
      <c r="VZY1" s="563"/>
      <c r="VZZ1" s="563"/>
      <c r="WAA1" s="563" t="s">
        <v>15</v>
      </c>
      <c r="WAB1" s="563"/>
      <c r="WAC1" s="563"/>
      <c r="WAD1" s="563"/>
      <c r="WAE1" s="563"/>
      <c r="WAF1" s="563"/>
      <c r="WAG1" s="563"/>
      <c r="WAH1" s="563"/>
      <c r="WAI1" s="563" t="s">
        <v>15</v>
      </c>
      <c r="WAJ1" s="563"/>
      <c r="WAK1" s="563"/>
      <c r="WAL1" s="563"/>
      <c r="WAM1" s="563"/>
      <c r="WAN1" s="563"/>
      <c r="WAO1" s="563"/>
      <c r="WAP1" s="563"/>
      <c r="WAQ1" s="563" t="s">
        <v>15</v>
      </c>
      <c r="WAR1" s="563"/>
      <c r="WAS1" s="563"/>
      <c r="WAT1" s="563"/>
      <c r="WAU1" s="563"/>
      <c r="WAV1" s="563"/>
      <c r="WAW1" s="563"/>
      <c r="WAX1" s="563"/>
      <c r="WAY1" s="563" t="s">
        <v>15</v>
      </c>
      <c r="WAZ1" s="563"/>
      <c r="WBA1" s="563"/>
      <c r="WBB1" s="563"/>
      <c r="WBC1" s="563"/>
      <c r="WBD1" s="563"/>
      <c r="WBE1" s="563"/>
      <c r="WBF1" s="563"/>
      <c r="WBG1" s="563" t="s">
        <v>15</v>
      </c>
      <c r="WBH1" s="563"/>
      <c r="WBI1" s="563"/>
      <c r="WBJ1" s="563"/>
      <c r="WBK1" s="563"/>
      <c r="WBL1" s="563"/>
      <c r="WBM1" s="563"/>
      <c r="WBN1" s="563"/>
      <c r="WBO1" s="563" t="s">
        <v>15</v>
      </c>
      <c r="WBP1" s="563"/>
      <c r="WBQ1" s="563"/>
      <c r="WBR1" s="563"/>
      <c r="WBS1" s="563"/>
      <c r="WBT1" s="563"/>
      <c r="WBU1" s="563"/>
      <c r="WBV1" s="563"/>
      <c r="WBW1" s="563" t="s">
        <v>15</v>
      </c>
      <c r="WBX1" s="563"/>
      <c r="WBY1" s="563"/>
      <c r="WBZ1" s="563"/>
      <c r="WCA1" s="563"/>
      <c r="WCB1" s="563"/>
      <c r="WCC1" s="563"/>
      <c r="WCD1" s="563"/>
      <c r="WCE1" s="563" t="s">
        <v>15</v>
      </c>
      <c r="WCF1" s="563"/>
      <c r="WCG1" s="563"/>
      <c r="WCH1" s="563"/>
      <c r="WCI1" s="563"/>
      <c r="WCJ1" s="563"/>
      <c r="WCK1" s="563"/>
      <c r="WCL1" s="563"/>
      <c r="WCM1" s="563" t="s">
        <v>15</v>
      </c>
      <c r="WCN1" s="563"/>
      <c r="WCO1" s="563"/>
      <c r="WCP1" s="563"/>
      <c r="WCQ1" s="563"/>
      <c r="WCR1" s="563"/>
      <c r="WCS1" s="563"/>
      <c r="WCT1" s="563"/>
      <c r="WCU1" s="563" t="s">
        <v>15</v>
      </c>
      <c r="WCV1" s="563"/>
      <c r="WCW1" s="563"/>
      <c r="WCX1" s="563"/>
      <c r="WCY1" s="563"/>
      <c r="WCZ1" s="563"/>
      <c r="WDA1" s="563"/>
      <c r="WDB1" s="563"/>
      <c r="WDC1" s="563" t="s">
        <v>15</v>
      </c>
      <c r="WDD1" s="563"/>
      <c r="WDE1" s="563"/>
      <c r="WDF1" s="563"/>
      <c r="WDG1" s="563"/>
      <c r="WDH1" s="563"/>
      <c r="WDI1" s="563"/>
      <c r="WDJ1" s="563"/>
      <c r="WDK1" s="563" t="s">
        <v>15</v>
      </c>
      <c r="WDL1" s="563"/>
      <c r="WDM1" s="563"/>
      <c r="WDN1" s="563"/>
      <c r="WDO1" s="563"/>
      <c r="WDP1" s="563"/>
      <c r="WDQ1" s="563"/>
      <c r="WDR1" s="563"/>
      <c r="WDS1" s="563" t="s">
        <v>15</v>
      </c>
      <c r="WDT1" s="563"/>
      <c r="WDU1" s="563"/>
      <c r="WDV1" s="563"/>
      <c r="WDW1" s="563"/>
      <c r="WDX1" s="563"/>
      <c r="WDY1" s="563"/>
      <c r="WDZ1" s="563"/>
      <c r="WEA1" s="563" t="s">
        <v>15</v>
      </c>
      <c r="WEB1" s="563"/>
      <c r="WEC1" s="563"/>
      <c r="WED1" s="563"/>
      <c r="WEE1" s="563"/>
      <c r="WEF1" s="563"/>
      <c r="WEG1" s="563"/>
      <c r="WEH1" s="563"/>
      <c r="WEI1" s="563" t="s">
        <v>15</v>
      </c>
      <c r="WEJ1" s="563"/>
      <c r="WEK1" s="563"/>
      <c r="WEL1" s="563"/>
      <c r="WEM1" s="563"/>
      <c r="WEN1" s="563"/>
      <c r="WEO1" s="563"/>
      <c r="WEP1" s="563"/>
      <c r="WEQ1" s="563" t="s">
        <v>15</v>
      </c>
      <c r="WER1" s="563"/>
      <c r="WES1" s="563"/>
      <c r="WET1" s="563"/>
      <c r="WEU1" s="563"/>
      <c r="WEV1" s="563"/>
      <c r="WEW1" s="563"/>
      <c r="WEX1" s="563"/>
      <c r="WEY1" s="563" t="s">
        <v>15</v>
      </c>
      <c r="WEZ1" s="563"/>
      <c r="WFA1" s="563"/>
      <c r="WFB1" s="563"/>
      <c r="WFC1" s="563"/>
      <c r="WFD1" s="563"/>
      <c r="WFE1" s="563"/>
      <c r="WFF1" s="563"/>
      <c r="WFG1" s="563" t="s">
        <v>15</v>
      </c>
      <c r="WFH1" s="563"/>
      <c r="WFI1" s="563"/>
      <c r="WFJ1" s="563"/>
      <c r="WFK1" s="563"/>
      <c r="WFL1" s="563"/>
      <c r="WFM1" s="563"/>
      <c r="WFN1" s="563"/>
      <c r="WFO1" s="563" t="s">
        <v>15</v>
      </c>
      <c r="WFP1" s="563"/>
      <c r="WFQ1" s="563"/>
      <c r="WFR1" s="563"/>
      <c r="WFS1" s="563"/>
      <c r="WFT1" s="563"/>
      <c r="WFU1" s="563"/>
      <c r="WFV1" s="563"/>
      <c r="WFW1" s="563" t="s">
        <v>15</v>
      </c>
      <c r="WFX1" s="563"/>
      <c r="WFY1" s="563"/>
      <c r="WFZ1" s="563"/>
      <c r="WGA1" s="563"/>
      <c r="WGB1" s="563"/>
      <c r="WGC1" s="563"/>
      <c r="WGD1" s="563"/>
      <c r="WGE1" s="563" t="s">
        <v>15</v>
      </c>
      <c r="WGF1" s="563"/>
      <c r="WGG1" s="563"/>
      <c r="WGH1" s="563"/>
      <c r="WGI1" s="563"/>
      <c r="WGJ1" s="563"/>
      <c r="WGK1" s="563"/>
      <c r="WGL1" s="563"/>
      <c r="WGM1" s="563" t="s">
        <v>15</v>
      </c>
      <c r="WGN1" s="563"/>
      <c r="WGO1" s="563"/>
      <c r="WGP1" s="563"/>
      <c r="WGQ1" s="563"/>
      <c r="WGR1" s="563"/>
      <c r="WGS1" s="563"/>
      <c r="WGT1" s="563"/>
      <c r="WGU1" s="563" t="s">
        <v>15</v>
      </c>
      <c r="WGV1" s="563"/>
      <c r="WGW1" s="563"/>
      <c r="WGX1" s="563"/>
      <c r="WGY1" s="563"/>
      <c r="WGZ1" s="563"/>
      <c r="WHA1" s="563"/>
      <c r="WHB1" s="563"/>
      <c r="WHC1" s="563" t="s">
        <v>15</v>
      </c>
      <c r="WHD1" s="563"/>
      <c r="WHE1" s="563"/>
      <c r="WHF1" s="563"/>
      <c r="WHG1" s="563"/>
      <c r="WHH1" s="563"/>
      <c r="WHI1" s="563"/>
      <c r="WHJ1" s="563"/>
      <c r="WHK1" s="563" t="s">
        <v>15</v>
      </c>
      <c r="WHL1" s="563"/>
      <c r="WHM1" s="563"/>
      <c r="WHN1" s="563"/>
      <c r="WHO1" s="563"/>
      <c r="WHP1" s="563"/>
      <c r="WHQ1" s="563"/>
      <c r="WHR1" s="563"/>
      <c r="WHS1" s="563" t="s">
        <v>15</v>
      </c>
      <c r="WHT1" s="563"/>
      <c r="WHU1" s="563"/>
      <c r="WHV1" s="563"/>
      <c r="WHW1" s="563"/>
      <c r="WHX1" s="563"/>
      <c r="WHY1" s="563"/>
      <c r="WHZ1" s="563"/>
      <c r="WIA1" s="563" t="s">
        <v>15</v>
      </c>
      <c r="WIB1" s="563"/>
      <c r="WIC1" s="563"/>
      <c r="WID1" s="563"/>
      <c r="WIE1" s="563"/>
      <c r="WIF1" s="563"/>
      <c r="WIG1" s="563"/>
      <c r="WIH1" s="563"/>
      <c r="WII1" s="563" t="s">
        <v>15</v>
      </c>
      <c r="WIJ1" s="563"/>
      <c r="WIK1" s="563"/>
      <c r="WIL1" s="563"/>
      <c r="WIM1" s="563"/>
      <c r="WIN1" s="563"/>
      <c r="WIO1" s="563"/>
      <c r="WIP1" s="563"/>
      <c r="WIQ1" s="563" t="s">
        <v>15</v>
      </c>
      <c r="WIR1" s="563"/>
      <c r="WIS1" s="563"/>
      <c r="WIT1" s="563"/>
      <c r="WIU1" s="563"/>
      <c r="WIV1" s="563"/>
      <c r="WIW1" s="563"/>
      <c r="WIX1" s="563"/>
      <c r="WIY1" s="563" t="s">
        <v>15</v>
      </c>
      <c r="WIZ1" s="563"/>
      <c r="WJA1" s="563"/>
      <c r="WJB1" s="563"/>
      <c r="WJC1" s="563"/>
      <c r="WJD1" s="563"/>
      <c r="WJE1" s="563"/>
      <c r="WJF1" s="563"/>
      <c r="WJG1" s="563" t="s">
        <v>15</v>
      </c>
      <c r="WJH1" s="563"/>
      <c r="WJI1" s="563"/>
      <c r="WJJ1" s="563"/>
      <c r="WJK1" s="563"/>
      <c r="WJL1" s="563"/>
      <c r="WJM1" s="563"/>
      <c r="WJN1" s="563"/>
      <c r="WJO1" s="563" t="s">
        <v>15</v>
      </c>
      <c r="WJP1" s="563"/>
      <c r="WJQ1" s="563"/>
      <c r="WJR1" s="563"/>
      <c r="WJS1" s="563"/>
      <c r="WJT1" s="563"/>
      <c r="WJU1" s="563"/>
      <c r="WJV1" s="563"/>
      <c r="WJW1" s="563" t="s">
        <v>15</v>
      </c>
      <c r="WJX1" s="563"/>
      <c r="WJY1" s="563"/>
      <c r="WJZ1" s="563"/>
      <c r="WKA1" s="563"/>
      <c r="WKB1" s="563"/>
      <c r="WKC1" s="563"/>
      <c r="WKD1" s="563"/>
      <c r="WKE1" s="563" t="s">
        <v>15</v>
      </c>
      <c r="WKF1" s="563"/>
      <c r="WKG1" s="563"/>
      <c r="WKH1" s="563"/>
      <c r="WKI1" s="563"/>
      <c r="WKJ1" s="563"/>
      <c r="WKK1" s="563"/>
      <c r="WKL1" s="563"/>
      <c r="WKM1" s="563" t="s">
        <v>15</v>
      </c>
      <c r="WKN1" s="563"/>
      <c r="WKO1" s="563"/>
      <c r="WKP1" s="563"/>
      <c r="WKQ1" s="563"/>
      <c r="WKR1" s="563"/>
      <c r="WKS1" s="563"/>
      <c r="WKT1" s="563"/>
      <c r="WKU1" s="563" t="s">
        <v>15</v>
      </c>
      <c r="WKV1" s="563"/>
      <c r="WKW1" s="563"/>
      <c r="WKX1" s="563"/>
      <c r="WKY1" s="563"/>
      <c r="WKZ1" s="563"/>
      <c r="WLA1" s="563"/>
      <c r="WLB1" s="563"/>
      <c r="WLC1" s="563" t="s">
        <v>15</v>
      </c>
      <c r="WLD1" s="563"/>
      <c r="WLE1" s="563"/>
      <c r="WLF1" s="563"/>
      <c r="WLG1" s="563"/>
      <c r="WLH1" s="563"/>
      <c r="WLI1" s="563"/>
      <c r="WLJ1" s="563"/>
      <c r="WLK1" s="563" t="s">
        <v>15</v>
      </c>
      <c r="WLL1" s="563"/>
      <c r="WLM1" s="563"/>
      <c r="WLN1" s="563"/>
      <c r="WLO1" s="563"/>
      <c r="WLP1" s="563"/>
      <c r="WLQ1" s="563"/>
      <c r="WLR1" s="563"/>
      <c r="WLS1" s="563" t="s">
        <v>15</v>
      </c>
      <c r="WLT1" s="563"/>
      <c r="WLU1" s="563"/>
      <c r="WLV1" s="563"/>
      <c r="WLW1" s="563"/>
      <c r="WLX1" s="563"/>
      <c r="WLY1" s="563"/>
      <c r="WLZ1" s="563"/>
      <c r="WMA1" s="563" t="s">
        <v>15</v>
      </c>
      <c r="WMB1" s="563"/>
      <c r="WMC1" s="563"/>
      <c r="WMD1" s="563"/>
      <c r="WME1" s="563"/>
      <c r="WMF1" s="563"/>
      <c r="WMG1" s="563"/>
      <c r="WMH1" s="563"/>
      <c r="WMI1" s="563" t="s">
        <v>15</v>
      </c>
      <c r="WMJ1" s="563"/>
      <c r="WMK1" s="563"/>
      <c r="WML1" s="563"/>
      <c r="WMM1" s="563"/>
      <c r="WMN1" s="563"/>
      <c r="WMO1" s="563"/>
      <c r="WMP1" s="563"/>
      <c r="WMQ1" s="563" t="s">
        <v>15</v>
      </c>
      <c r="WMR1" s="563"/>
      <c r="WMS1" s="563"/>
      <c r="WMT1" s="563"/>
      <c r="WMU1" s="563"/>
      <c r="WMV1" s="563"/>
      <c r="WMW1" s="563"/>
      <c r="WMX1" s="563"/>
      <c r="WMY1" s="563" t="s">
        <v>15</v>
      </c>
      <c r="WMZ1" s="563"/>
      <c r="WNA1" s="563"/>
      <c r="WNB1" s="563"/>
      <c r="WNC1" s="563"/>
      <c r="WND1" s="563"/>
      <c r="WNE1" s="563"/>
      <c r="WNF1" s="563"/>
      <c r="WNG1" s="563" t="s">
        <v>15</v>
      </c>
      <c r="WNH1" s="563"/>
      <c r="WNI1" s="563"/>
      <c r="WNJ1" s="563"/>
      <c r="WNK1" s="563"/>
      <c r="WNL1" s="563"/>
      <c r="WNM1" s="563"/>
      <c r="WNN1" s="563"/>
      <c r="WNO1" s="563" t="s">
        <v>15</v>
      </c>
      <c r="WNP1" s="563"/>
      <c r="WNQ1" s="563"/>
      <c r="WNR1" s="563"/>
      <c r="WNS1" s="563"/>
      <c r="WNT1" s="563"/>
      <c r="WNU1" s="563"/>
      <c r="WNV1" s="563"/>
      <c r="WNW1" s="563" t="s">
        <v>15</v>
      </c>
      <c r="WNX1" s="563"/>
      <c r="WNY1" s="563"/>
      <c r="WNZ1" s="563"/>
      <c r="WOA1" s="563"/>
      <c r="WOB1" s="563"/>
      <c r="WOC1" s="563"/>
      <c r="WOD1" s="563"/>
      <c r="WOE1" s="563" t="s">
        <v>15</v>
      </c>
      <c r="WOF1" s="563"/>
      <c r="WOG1" s="563"/>
      <c r="WOH1" s="563"/>
      <c r="WOI1" s="563"/>
      <c r="WOJ1" s="563"/>
      <c r="WOK1" s="563"/>
      <c r="WOL1" s="563"/>
      <c r="WOM1" s="563" t="s">
        <v>15</v>
      </c>
      <c r="WON1" s="563"/>
      <c r="WOO1" s="563"/>
      <c r="WOP1" s="563"/>
      <c r="WOQ1" s="563"/>
      <c r="WOR1" s="563"/>
      <c r="WOS1" s="563"/>
      <c r="WOT1" s="563"/>
      <c r="WOU1" s="563" t="s">
        <v>15</v>
      </c>
      <c r="WOV1" s="563"/>
      <c r="WOW1" s="563"/>
      <c r="WOX1" s="563"/>
      <c r="WOY1" s="563"/>
      <c r="WOZ1" s="563"/>
      <c r="WPA1" s="563"/>
      <c r="WPB1" s="563"/>
      <c r="WPC1" s="563" t="s">
        <v>15</v>
      </c>
      <c r="WPD1" s="563"/>
      <c r="WPE1" s="563"/>
      <c r="WPF1" s="563"/>
      <c r="WPG1" s="563"/>
      <c r="WPH1" s="563"/>
      <c r="WPI1" s="563"/>
      <c r="WPJ1" s="563"/>
      <c r="WPK1" s="563" t="s">
        <v>15</v>
      </c>
      <c r="WPL1" s="563"/>
      <c r="WPM1" s="563"/>
      <c r="WPN1" s="563"/>
      <c r="WPO1" s="563"/>
      <c r="WPP1" s="563"/>
      <c r="WPQ1" s="563"/>
      <c r="WPR1" s="563"/>
      <c r="WPS1" s="563" t="s">
        <v>15</v>
      </c>
      <c r="WPT1" s="563"/>
      <c r="WPU1" s="563"/>
      <c r="WPV1" s="563"/>
      <c r="WPW1" s="563"/>
      <c r="WPX1" s="563"/>
      <c r="WPY1" s="563"/>
      <c r="WPZ1" s="563"/>
      <c r="WQA1" s="563" t="s">
        <v>15</v>
      </c>
      <c r="WQB1" s="563"/>
      <c r="WQC1" s="563"/>
      <c r="WQD1" s="563"/>
      <c r="WQE1" s="563"/>
      <c r="WQF1" s="563"/>
      <c r="WQG1" s="563"/>
      <c r="WQH1" s="563"/>
      <c r="WQI1" s="563" t="s">
        <v>15</v>
      </c>
      <c r="WQJ1" s="563"/>
      <c r="WQK1" s="563"/>
      <c r="WQL1" s="563"/>
      <c r="WQM1" s="563"/>
      <c r="WQN1" s="563"/>
      <c r="WQO1" s="563"/>
      <c r="WQP1" s="563"/>
      <c r="WQQ1" s="563" t="s">
        <v>15</v>
      </c>
      <c r="WQR1" s="563"/>
      <c r="WQS1" s="563"/>
      <c r="WQT1" s="563"/>
      <c r="WQU1" s="563"/>
      <c r="WQV1" s="563"/>
      <c r="WQW1" s="563"/>
      <c r="WQX1" s="563"/>
      <c r="WQY1" s="563" t="s">
        <v>15</v>
      </c>
      <c r="WQZ1" s="563"/>
      <c r="WRA1" s="563"/>
      <c r="WRB1" s="563"/>
      <c r="WRC1" s="563"/>
      <c r="WRD1" s="563"/>
      <c r="WRE1" s="563"/>
      <c r="WRF1" s="563"/>
      <c r="WRG1" s="563" t="s">
        <v>15</v>
      </c>
      <c r="WRH1" s="563"/>
      <c r="WRI1" s="563"/>
      <c r="WRJ1" s="563"/>
      <c r="WRK1" s="563"/>
      <c r="WRL1" s="563"/>
      <c r="WRM1" s="563"/>
      <c r="WRN1" s="563"/>
      <c r="WRO1" s="563" t="s">
        <v>15</v>
      </c>
      <c r="WRP1" s="563"/>
      <c r="WRQ1" s="563"/>
      <c r="WRR1" s="563"/>
      <c r="WRS1" s="563"/>
      <c r="WRT1" s="563"/>
      <c r="WRU1" s="563"/>
      <c r="WRV1" s="563"/>
      <c r="WRW1" s="563" t="s">
        <v>15</v>
      </c>
      <c r="WRX1" s="563"/>
      <c r="WRY1" s="563"/>
      <c r="WRZ1" s="563"/>
      <c r="WSA1" s="563"/>
      <c r="WSB1" s="563"/>
      <c r="WSC1" s="563"/>
      <c r="WSD1" s="563"/>
      <c r="WSE1" s="563" t="s">
        <v>15</v>
      </c>
      <c r="WSF1" s="563"/>
      <c r="WSG1" s="563"/>
      <c r="WSH1" s="563"/>
      <c r="WSI1" s="563"/>
      <c r="WSJ1" s="563"/>
      <c r="WSK1" s="563"/>
      <c r="WSL1" s="563"/>
      <c r="WSM1" s="563" t="s">
        <v>15</v>
      </c>
      <c r="WSN1" s="563"/>
      <c r="WSO1" s="563"/>
      <c r="WSP1" s="563"/>
      <c r="WSQ1" s="563"/>
      <c r="WSR1" s="563"/>
      <c r="WSS1" s="563"/>
      <c r="WST1" s="563"/>
      <c r="WSU1" s="563" t="s">
        <v>15</v>
      </c>
      <c r="WSV1" s="563"/>
      <c r="WSW1" s="563"/>
      <c r="WSX1" s="563"/>
      <c r="WSY1" s="563"/>
      <c r="WSZ1" s="563"/>
      <c r="WTA1" s="563"/>
      <c r="WTB1" s="563"/>
      <c r="WTC1" s="563" t="s">
        <v>15</v>
      </c>
      <c r="WTD1" s="563"/>
      <c r="WTE1" s="563"/>
      <c r="WTF1" s="563"/>
      <c r="WTG1" s="563"/>
      <c r="WTH1" s="563"/>
      <c r="WTI1" s="563"/>
      <c r="WTJ1" s="563"/>
      <c r="WTK1" s="563" t="s">
        <v>15</v>
      </c>
      <c r="WTL1" s="563"/>
      <c r="WTM1" s="563"/>
      <c r="WTN1" s="563"/>
      <c r="WTO1" s="563"/>
      <c r="WTP1" s="563"/>
      <c r="WTQ1" s="563"/>
      <c r="WTR1" s="563"/>
      <c r="WTS1" s="563" t="s">
        <v>15</v>
      </c>
      <c r="WTT1" s="563"/>
      <c r="WTU1" s="563"/>
      <c r="WTV1" s="563"/>
      <c r="WTW1" s="563"/>
      <c r="WTX1" s="563"/>
      <c r="WTY1" s="563"/>
      <c r="WTZ1" s="563"/>
      <c r="WUA1" s="563" t="s">
        <v>15</v>
      </c>
      <c r="WUB1" s="563"/>
      <c r="WUC1" s="563"/>
      <c r="WUD1" s="563"/>
      <c r="WUE1" s="563"/>
      <c r="WUF1" s="563"/>
      <c r="WUG1" s="563"/>
      <c r="WUH1" s="563"/>
      <c r="WUI1" s="563" t="s">
        <v>15</v>
      </c>
      <c r="WUJ1" s="563"/>
      <c r="WUK1" s="563"/>
      <c r="WUL1" s="563"/>
      <c r="WUM1" s="563"/>
      <c r="WUN1" s="563"/>
      <c r="WUO1" s="563"/>
      <c r="WUP1" s="563"/>
      <c r="WUQ1" s="563" t="s">
        <v>15</v>
      </c>
      <c r="WUR1" s="563"/>
      <c r="WUS1" s="563"/>
      <c r="WUT1" s="563"/>
      <c r="WUU1" s="563"/>
      <c r="WUV1" s="563"/>
      <c r="WUW1" s="563"/>
      <c r="WUX1" s="563"/>
      <c r="WUY1" s="563" t="s">
        <v>15</v>
      </c>
      <c r="WUZ1" s="563"/>
      <c r="WVA1" s="563"/>
      <c r="WVB1" s="563"/>
      <c r="WVC1" s="563"/>
      <c r="WVD1" s="563"/>
      <c r="WVE1" s="563"/>
      <c r="WVF1" s="563"/>
      <c r="WVG1" s="563" t="s">
        <v>15</v>
      </c>
      <c r="WVH1" s="563"/>
      <c r="WVI1" s="563"/>
      <c r="WVJ1" s="563"/>
      <c r="WVK1" s="563"/>
      <c r="WVL1" s="563"/>
      <c r="WVM1" s="563"/>
      <c r="WVN1" s="563"/>
      <c r="WVO1" s="563" t="s">
        <v>15</v>
      </c>
      <c r="WVP1" s="563"/>
      <c r="WVQ1" s="563"/>
      <c r="WVR1" s="563"/>
      <c r="WVS1" s="563"/>
      <c r="WVT1" s="563"/>
      <c r="WVU1" s="563"/>
      <c r="WVV1" s="563"/>
      <c r="WVW1" s="563" t="s">
        <v>15</v>
      </c>
      <c r="WVX1" s="563"/>
      <c r="WVY1" s="563"/>
      <c r="WVZ1" s="563"/>
      <c r="WWA1" s="563"/>
      <c r="WWB1" s="563"/>
      <c r="WWC1" s="563"/>
      <c r="WWD1" s="563"/>
      <c r="WWE1" s="563" t="s">
        <v>15</v>
      </c>
      <c r="WWF1" s="563"/>
      <c r="WWG1" s="563"/>
      <c r="WWH1" s="563"/>
      <c r="WWI1" s="563"/>
      <c r="WWJ1" s="563"/>
      <c r="WWK1" s="563"/>
      <c r="WWL1" s="563"/>
      <c r="WWM1" s="563" t="s">
        <v>15</v>
      </c>
      <c r="WWN1" s="563"/>
      <c r="WWO1" s="563"/>
      <c r="WWP1" s="563"/>
      <c r="WWQ1" s="563"/>
      <c r="WWR1" s="563"/>
      <c r="WWS1" s="563"/>
      <c r="WWT1" s="563"/>
      <c r="WWU1" s="563" t="s">
        <v>15</v>
      </c>
      <c r="WWV1" s="563"/>
      <c r="WWW1" s="563"/>
      <c r="WWX1" s="563"/>
      <c r="WWY1" s="563"/>
      <c r="WWZ1" s="563"/>
      <c r="WXA1" s="563"/>
      <c r="WXB1" s="563"/>
      <c r="WXC1" s="563" t="s">
        <v>15</v>
      </c>
      <c r="WXD1" s="563"/>
      <c r="WXE1" s="563"/>
      <c r="WXF1" s="563"/>
      <c r="WXG1" s="563"/>
      <c r="WXH1" s="563"/>
      <c r="WXI1" s="563"/>
      <c r="WXJ1" s="563"/>
      <c r="WXK1" s="563" t="s">
        <v>15</v>
      </c>
      <c r="WXL1" s="563"/>
      <c r="WXM1" s="563"/>
      <c r="WXN1" s="563"/>
      <c r="WXO1" s="563"/>
      <c r="WXP1" s="563"/>
      <c r="WXQ1" s="563"/>
      <c r="WXR1" s="563"/>
      <c r="WXS1" s="563" t="s">
        <v>15</v>
      </c>
      <c r="WXT1" s="563"/>
      <c r="WXU1" s="563"/>
      <c r="WXV1" s="563"/>
      <c r="WXW1" s="563"/>
      <c r="WXX1" s="563"/>
      <c r="WXY1" s="563"/>
      <c r="WXZ1" s="563"/>
      <c r="WYA1" s="563" t="s">
        <v>15</v>
      </c>
      <c r="WYB1" s="563"/>
      <c r="WYC1" s="563"/>
      <c r="WYD1" s="563"/>
      <c r="WYE1" s="563"/>
      <c r="WYF1" s="563"/>
      <c r="WYG1" s="563"/>
      <c r="WYH1" s="563"/>
      <c r="WYI1" s="563" t="s">
        <v>15</v>
      </c>
      <c r="WYJ1" s="563"/>
      <c r="WYK1" s="563"/>
      <c r="WYL1" s="563"/>
      <c r="WYM1" s="563"/>
      <c r="WYN1" s="563"/>
      <c r="WYO1" s="563"/>
      <c r="WYP1" s="563"/>
      <c r="WYQ1" s="563" t="s">
        <v>15</v>
      </c>
      <c r="WYR1" s="563"/>
      <c r="WYS1" s="563"/>
      <c r="WYT1" s="563"/>
      <c r="WYU1" s="563"/>
      <c r="WYV1" s="563"/>
      <c r="WYW1" s="563"/>
      <c r="WYX1" s="563"/>
      <c r="WYY1" s="563" t="s">
        <v>15</v>
      </c>
      <c r="WYZ1" s="563"/>
      <c r="WZA1" s="563"/>
      <c r="WZB1" s="563"/>
      <c r="WZC1" s="563"/>
      <c r="WZD1" s="563"/>
      <c r="WZE1" s="563"/>
      <c r="WZF1" s="563"/>
      <c r="WZG1" s="563" t="s">
        <v>15</v>
      </c>
      <c r="WZH1" s="563"/>
      <c r="WZI1" s="563"/>
      <c r="WZJ1" s="563"/>
      <c r="WZK1" s="563"/>
      <c r="WZL1" s="563"/>
      <c r="WZM1" s="563"/>
      <c r="WZN1" s="563"/>
      <c r="WZO1" s="563" t="s">
        <v>15</v>
      </c>
      <c r="WZP1" s="563"/>
      <c r="WZQ1" s="563"/>
      <c r="WZR1" s="563"/>
      <c r="WZS1" s="563"/>
      <c r="WZT1" s="563"/>
      <c r="WZU1" s="563"/>
      <c r="WZV1" s="563"/>
      <c r="WZW1" s="563" t="s">
        <v>15</v>
      </c>
      <c r="WZX1" s="563"/>
      <c r="WZY1" s="563"/>
      <c r="WZZ1" s="563"/>
      <c r="XAA1" s="563"/>
      <c r="XAB1" s="563"/>
      <c r="XAC1" s="563"/>
      <c r="XAD1" s="563"/>
      <c r="XAE1" s="563" t="s">
        <v>15</v>
      </c>
      <c r="XAF1" s="563"/>
      <c r="XAG1" s="563"/>
      <c r="XAH1" s="563"/>
      <c r="XAI1" s="563"/>
      <c r="XAJ1" s="563"/>
      <c r="XAK1" s="563"/>
      <c r="XAL1" s="563"/>
      <c r="XAM1" s="563" t="s">
        <v>15</v>
      </c>
      <c r="XAN1" s="563"/>
      <c r="XAO1" s="563"/>
      <c r="XAP1" s="563"/>
      <c r="XAQ1" s="563"/>
      <c r="XAR1" s="563"/>
      <c r="XAS1" s="563"/>
      <c r="XAT1" s="563"/>
      <c r="XAU1" s="563" t="s">
        <v>15</v>
      </c>
      <c r="XAV1" s="563"/>
      <c r="XAW1" s="563"/>
      <c r="XAX1" s="563"/>
      <c r="XAY1" s="563"/>
      <c r="XAZ1" s="563"/>
      <c r="XBA1" s="563"/>
      <c r="XBB1" s="563"/>
      <c r="XBC1" s="563" t="s">
        <v>15</v>
      </c>
      <c r="XBD1" s="563"/>
      <c r="XBE1" s="563"/>
      <c r="XBF1" s="563"/>
      <c r="XBG1" s="563"/>
      <c r="XBH1" s="563"/>
      <c r="XBI1" s="563"/>
      <c r="XBJ1" s="563"/>
      <c r="XBK1" s="563" t="s">
        <v>15</v>
      </c>
      <c r="XBL1" s="563"/>
      <c r="XBM1" s="563"/>
      <c r="XBN1" s="563"/>
      <c r="XBO1" s="563"/>
      <c r="XBP1" s="563"/>
      <c r="XBQ1" s="563"/>
      <c r="XBR1" s="563"/>
      <c r="XBS1" s="563" t="s">
        <v>15</v>
      </c>
      <c r="XBT1" s="563"/>
      <c r="XBU1" s="563"/>
      <c r="XBV1" s="563"/>
      <c r="XBW1" s="563"/>
      <c r="XBX1" s="563"/>
      <c r="XBY1" s="563"/>
      <c r="XBZ1" s="563"/>
      <c r="XCA1" s="563" t="s">
        <v>15</v>
      </c>
      <c r="XCB1" s="563"/>
      <c r="XCC1" s="563"/>
      <c r="XCD1" s="563"/>
      <c r="XCE1" s="563"/>
      <c r="XCF1" s="563"/>
      <c r="XCG1" s="563"/>
      <c r="XCH1" s="563"/>
      <c r="XCI1" s="563" t="s">
        <v>15</v>
      </c>
      <c r="XCJ1" s="563"/>
      <c r="XCK1" s="563"/>
      <c r="XCL1" s="563"/>
      <c r="XCM1" s="563"/>
      <c r="XCN1" s="563"/>
      <c r="XCO1" s="563"/>
      <c r="XCP1" s="563"/>
      <c r="XCQ1" s="563" t="s">
        <v>15</v>
      </c>
      <c r="XCR1" s="563"/>
      <c r="XCS1" s="563"/>
      <c r="XCT1" s="563"/>
      <c r="XCU1" s="563"/>
      <c r="XCV1" s="563"/>
      <c r="XCW1" s="563"/>
      <c r="XCX1" s="563"/>
      <c r="XCY1" s="563" t="s">
        <v>15</v>
      </c>
      <c r="XCZ1" s="563"/>
      <c r="XDA1" s="563"/>
      <c r="XDB1" s="563"/>
      <c r="XDC1" s="563"/>
      <c r="XDD1" s="563"/>
      <c r="XDE1" s="563"/>
      <c r="XDF1" s="563"/>
      <c r="XDG1" s="563" t="s">
        <v>15</v>
      </c>
      <c r="XDH1" s="563"/>
      <c r="XDI1" s="563"/>
      <c r="XDJ1" s="563"/>
      <c r="XDK1" s="563"/>
      <c r="XDL1" s="563"/>
      <c r="XDM1" s="563"/>
      <c r="XDN1" s="563"/>
      <c r="XDO1" s="563" t="s">
        <v>15</v>
      </c>
      <c r="XDP1" s="563"/>
      <c r="XDQ1" s="563"/>
      <c r="XDR1" s="563"/>
      <c r="XDS1" s="563"/>
      <c r="XDT1" s="563"/>
      <c r="XDU1" s="563"/>
      <c r="XDV1" s="563"/>
      <c r="XDW1" s="563" t="s">
        <v>15</v>
      </c>
      <c r="XDX1" s="563"/>
      <c r="XDY1" s="563"/>
      <c r="XDZ1" s="563"/>
      <c r="XEA1" s="563"/>
      <c r="XEB1" s="563"/>
      <c r="XEC1" s="563"/>
      <c r="XED1" s="563"/>
      <c r="XEE1" s="563" t="s">
        <v>15</v>
      </c>
      <c r="XEF1" s="563"/>
      <c r="XEG1" s="563"/>
      <c r="XEH1" s="563"/>
      <c r="XEI1" s="563"/>
      <c r="XEJ1" s="563"/>
      <c r="XEK1" s="563"/>
      <c r="XEL1" s="563"/>
      <c r="XEM1" s="563" t="s">
        <v>15</v>
      </c>
      <c r="XEN1" s="563"/>
      <c r="XEO1" s="563"/>
      <c r="XEP1" s="563"/>
      <c r="XEQ1" s="563"/>
      <c r="XER1" s="563"/>
      <c r="XES1" s="563"/>
      <c r="XET1" s="563"/>
    </row>
    <row r="2" spans="2:16374" s="7" customFormat="1" ht="14.25" customHeight="1" x14ac:dyDescent="0.3">
      <c r="B2" s="564" t="s">
        <v>2578</v>
      </c>
      <c r="C2" s="564"/>
      <c r="D2" s="564"/>
      <c r="E2" s="564"/>
      <c r="F2" s="564"/>
      <c r="G2" s="565"/>
      <c r="H2" s="564"/>
      <c r="I2" s="564"/>
      <c r="J2" s="564"/>
      <c r="K2" s="564"/>
    </row>
    <row r="3" spans="2:16374" ht="15" customHeight="1" x14ac:dyDescent="0.3">
      <c r="B3" s="564"/>
      <c r="C3" s="564"/>
      <c r="D3" s="564"/>
      <c r="E3" s="564"/>
      <c r="F3" s="564"/>
      <c r="G3" s="565"/>
      <c r="H3" s="564"/>
      <c r="I3" s="564"/>
      <c r="J3" s="564"/>
      <c r="K3" s="564"/>
    </row>
    <row r="4" spans="2:16374" ht="14.4" x14ac:dyDescent="0.3"/>
    <row r="5" spans="2:16374" ht="31.2" x14ac:dyDescent="0.3">
      <c r="B5" s="8" t="s">
        <v>0</v>
      </c>
      <c r="C5" s="8" t="s">
        <v>16</v>
      </c>
      <c r="D5" s="57" t="s">
        <v>17</v>
      </c>
      <c r="E5" s="59" t="s">
        <v>18</v>
      </c>
      <c r="F5" s="178" t="s">
        <v>19</v>
      </c>
      <c r="G5" s="177" t="s">
        <v>20</v>
      </c>
      <c r="H5" s="58" t="s">
        <v>21</v>
      </c>
      <c r="I5" s="8" t="s">
        <v>23</v>
      </c>
      <c r="J5" s="8" t="s">
        <v>24</v>
      </c>
      <c r="K5" s="9" t="s">
        <v>25</v>
      </c>
      <c r="L5" s="9" t="s">
        <v>26</v>
      </c>
      <c r="M5" s="9" t="s">
        <v>27</v>
      </c>
    </row>
    <row r="6" spans="2:16374" ht="15.9" customHeight="1" x14ac:dyDescent="0.3">
      <c r="B6" s="11" t="s">
        <v>35</v>
      </c>
      <c r="C6" s="11"/>
      <c r="D6" s="12" t="s">
        <v>1851</v>
      </c>
      <c r="E6" s="38">
        <v>32043852</v>
      </c>
      <c r="F6" s="43" t="s">
        <v>1852</v>
      </c>
      <c r="G6" s="2" t="s">
        <v>1853</v>
      </c>
      <c r="H6" s="14">
        <v>32045104</v>
      </c>
      <c r="I6" s="10" t="s">
        <v>1854</v>
      </c>
      <c r="J6" s="6" t="s">
        <v>1855</v>
      </c>
      <c r="K6" s="12">
        <v>7</v>
      </c>
      <c r="L6" s="12" t="s">
        <v>1851</v>
      </c>
      <c r="M6" s="13" t="s">
        <v>38</v>
      </c>
    </row>
    <row r="7" spans="2:16374" ht="15.9" customHeight="1" x14ac:dyDescent="0.3">
      <c r="B7" s="11" t="s">
        <v>35</v>
      </c>
      <c r="C7" s="11"/>
      <c r="D7" s="12" t="s">
        <v>1851</v>
      </c>
      <c r="E7" s="12">
        <v>32043852</v>
      </c>
      <c r="F7" s="10" t="s">
        <v>1852</v>
      </c>
      <c r="G7" s="2" t="s">
        <v>1853</v>
      </c>
      <c r="H7" s="14">
        <v>32044318</v>
      </c>
      <c r="I7" s="10" t="s">
        <v>1856</v>
      </c>
      <c r="J7" s="6" t="s">
        <v>1857</v>
      </c>
      <c r="K7" s="12">
        <v>7</v>
      </c>
      <c r="L7" s="12" t="s">
        <v>1851</v>
      </c>
      <c r="M7" s="13" t="s">
        <v>41</v>
      </c>
    </row>
    <row r="8" spans="2:16374" ht="15.9" customHeight="1" x14ac:dyDescent="0.3">
      <c r="B8" s="11" t="s">
        <v>35</v>
      </c>
      <c r="C8" s="11"/>
      <c r="D8" s="12" t="s">
        <v>1851</v>
      </c>
      <c r="E8" s="12">
        <v>32043852</v>
      </c>
      <c r="F8" s="10" t="s">
        <v>1852</v>
      </c>
      <c r="G8" s="2" t="s">
        <v>1853</v>
      </c>
      <c r="H8" s="14">
        <v>32043740</v>
      </c>
      <c r="I8" s="10" t="s">
        <v>1859</v>
      </c>
      <c r="J8" s="143" t="s">
        <v>1860</v>
      </c>
      <c r="K8" s="12">
        <v>7</v>
      </c>
      <c r="L8" s="12" t="s">
        <v>1851</v>
      </c>
      <c r="M8" s="13" t="s">
        <v>179</v>
      </c>
    </row>
    <row r="9" spans="2:16374" ht="15.9" customHeight="1" x14ac:dyDescent="0.3">
      <c r="B9" s="11" t="s">
        <v>35</v>
      </c>
      <c r="C9" s="11"/>
      <c r="D9" s="12" t="s">
        <v>1851</v>
      </c>
      <c r="E9" s="110">
        <v>32043852</v>
      </c>
      <c r="F9" s="133" t="s">
        <v>1852</v>
      </c>
      <c r="G9" s="146" t="s">
        <v>1853</v>
      </c>
      <c r="H9" s="60">
        <v>32043636</v>
      </c>
      <c r="I9" s="10" t="s">
        <v>1861</v>
      </c>
      <c r="J9" s="80" t="s">
        <v>1862</v>
      </c>
      <c r="K9" s="12">
        <v>7</v>
      </c>
      <c r="L9" s="12" t="s">
        <v>1851</v>
      </c>
      <c r="M9" s="13" t="s">
        <v>38</v>
      </c>
    </row>
    <row r="10" spans="2:16374" ht="15.9" customHeight="1" x14ac:dyDescent="0.3">
      <c r="B10" s="11" t="s">
        <v>35</v>
      </c>
      <c r="C10" s="11"/>
      <c r="D10" s="12" t="s">
        <v>1851</v>
      </c>
      <c r="E10" s="12">
        <v>32043852</v>
      </c>
      <c r="F10" s="10" t="s">
        <v>1852</v>
      </c>
      <c r="G10" s="2" t="s">
        <v>1853</v>
      </c>
      <c r="H10" s="14">
        <v>32045126</v>
      </c>
      <c r="I10" s="10" t="s">
        <v>1863</v>
      </c>
      <c r="J10" s="6" t="s">
        <v>1864</v>
      </c>
      <c r="K10" s="12">
        <v>7</v>
      </c>
      <c r="L10" s="12" t="s">
        <v>1851</v>
      </c>
      <c r="M10" s="13" t="s">
        <v>35</v>
      </c>
    </row>
    <row r="11" spans="2:16374" ht="15.9" customHeight="1" x14ac:dyDescent="0.3">
      <c r="B11" s="11" t="s">
        <v>35</v>
      </c>
      <c r="C11" s="11"/>
      <c r="D11" s="12" t="s">
        <v>1851</v>
      </c>
      <c r="E11" s="12">
        <v>32043852</v>
      </c>
      <c r="F11" s="10" t="s">
        <v>1852</v>
      </c>
      <c r="G11" s="2" t="s">
        <v>1853</v>
      </c>
      <c r="H11" s="14">
        <v>32043806</v>
      </c>
      <c r="I11" s="10" t="s">
        <v>1865</v>
      </c>
      <c r="J11" s="6" t="s">
        <v>1866</v>
      </c>
      <c r="K11" s="12">
        <v>7</v>
      </c>
      <c r="L11" s="12" t="s">
        <v>1851</v>
      </c>
      <c r="M11" s="13" t="s">
        <v>47</v>
      </c>
    </row>
    <row r="12" spans="2:16374" ht="15.9" customHeight="1" x14ac:dyDescent="0.3">
      <c r="B12" s="11" t="s">
        <v>35</v>
      </c>
      <c r="C12" s="11"/>
      <c r="D12" s="12" t="s">
        <v>1851</v>
      </c>
      <c r="E12" s="12">
        <v>32043852</v>
      </c>
      <c r="F12" s="10" t="s">
        <v>1852</v>
      </c>
      <c r="G12" s="2" t="s">
        <v>1853</v>
      </c>
      <c r="H12" s="14">
        <v>32045787</v>
      </c>
      <c r="I12" s="10" t="s">
        <v>1867</v>
      </c>
      <c r="J12" s="6" t="s">
        <v>1868</v>
      </c>
      <c r="K12" s="12">
        <v>7</v>
      </c>
      <c r="L12" s="12" t="s">
        <v>1851</v>
      </c>
      <c r="M12" s="13" t="s">
        <v>44</v>
      </c>
    </row>
    <row r="13" spans="2:16374" ht="15.9" customHeight="1" x14ac:dyDescent="0.3">
      <c r="B13" s="11" t="s">
        <v>2127</v>
      </c>
      <c r="C13" s="10" t="s">
        <v>2128</v>
      </c>
      <c r="D13" s="10" t="s">
        <v>2129</v>
      </c>
      <c r="E13" s="10">
        <v>32045873</v>
      </c>
      <c r="F13" s="10" t="s">
        <v>2130</v>
      </c>
      <c r="G13" s="2" t="s">
        <v>2579</v>
      </c>
      <c r="H13" s="39">
        <v>32045845</v>
      </c>
      <c r="I13" s="28" t="s">
        <v>2133</v>
      </c>
      <c r="J13" s="6" t="s">
        <v>2580</v>
      </c>
      <c r="K13" s="10">
        <v>9</v>
      </c>
      <c r="L13" s="10" t="s">
        <v>2129</v>
      </c>
      <c r="M13" s="49" t="s">
        <v>44</v>
      </c>
    </row>
    <row r="14" spans="2:16374" ht="15.9" customHeight="1" x14ac:dyDescent="0.3">
      <c r="B14" s="11" t="s">
        <v>2127</v>
      </c>
      <c r="C14" s="10" t="s">
        <v>2128</v>
      </c>
      <c r="D14" s="10" t="s">
        <v>2129</v>
      </c>
      <c r="E14" s="10">
        <v>32045873</v>
      </c>
      <c r="F14" s="10" t="s">
        <v>2130</v>
      </c>
      <c r="G14" s="2" t="s">
        <v>2579</v>
      </c>
      <c r="H14" s="39">
        <v>32045921</v>
      </c>
      <c r="I14" s="28" t="s">
        <v>2134</v>
      </c>
      <c r="J14" s="6" t="s">
        <v>2581</v>
      </c>
      <c r="K14" s="10">
        <v>9</v>
      </c>
      <c r="L14" s="10" t="s">
        <v>2129</v>
      </c>
      <c r="M14" s="49" t="s">
        <v>47</v>
      </c>
    </row>
    <row r="15" spans="2:16374" ht="15.9" customHeight="1" x14ac:dyDescent="0.3">
      <c r="B15" s="11" t="s">
        <v>2127</v>
      </c>
      <c r="C15" s="10" t="s">
        <v>2128</v>
      </c>
      <c r="D15" s="10" t="s">
        <v>2129</v>
      </c>
      <c r="E15" s="10">
        <v>32045873</v>
      </c>
      <c r="F15" s="80" t="s">
        <v>2130</v>
      </c>
      <c r="G15" s="147" t="s">
        <v>2579</v>
      </c>
      <c r="H15" s="70">
        <v>32045259</v>
      </c>
      <c r="I15" s="28" t="s">
        <v>2143</v>
      </c>
      <c r="J15" s="6" t="s">
        <v>2582</v>
      </c>
      <c r="K15" s="10">
        <v>9</v>
      </c>
      <c r="L15" s="10" t="s">
        <v>2129</v>
      </c>
      <c r="M15" s="49" t="s">
        <v>1</v>
      </c>
    </row>
    <row r="16" spans="2:16374" ht="15.9" customHeight="1" x14ac:dyDescent="0.3">
      <c r="B16" s="11" t="s">
        <v>2127</v>
      </c>
      <c r="C16" s="10" t="s">
        <v>2128</v>
      </c>
      <c r="D16" s="10" t="s">
        <v>2129</v>
      </c>
      <c r="E16" s="127">
        <v>32045873</v>
      </c>
      <c r="F16" s="130" t="s">
        <v>2130</v>
      </c>
      <c r="G16" s="147" t="s">
        <v>2579</v>
      </c>
      <c r="H16" s="70">
        <v>32045091</v>
      </c>
      <c r="I16" s="28" t="s">
        <v>2135</v>
      </c>
      <c r="J16" s="6" t="s">
        <v>2583</v>
      </c>
      <c r="K16" s="10">
        <v>9</v>
      </c>
      <c r="L16" s="10" t="s">
        <v>2129</v>
      </c>
      <c r="M16" s="49" t="s">
        <v>35</v>
      </c>
    </row>
    <row r="17" spans="2:13" ht="15.9" customHeight="1" x14ac:dyDescent="0.3">
      <c r="B17" s="11" t="s">
        <v>2127</v>
      </c>
      <c r="C17" s="10" t="s">
        <v>2128</v>
      </c>
      <c r="D17" s="10" t="s">
        <v>2129</v>
      </c>
      <c r="E17" s="10">
        <v>32045873</v>
      </c>
      <c r="F17" s="80" t="s">
        <v>2130</v>
      </c>
      <c r="G17" s="147" t="s">
        <v>2579</v>
      </c>
      <c r="H17" s="74">
        <v>32044904</v>
      </c>
      <c r="I17" s="28" t="s">
        <v>2370</v>
      </c>
      <c r="J17" s="143" t="s">
        <v>61</v>
      </c>
      <c r="K17" s="12">
        <v>9</v>
      </c>
      <c r="L17" s="10" t="s">
        <v>2129</v>
      </c>
      <c r="M17" s="49" t="s">
        <v>2145</v>
      </c>
    </row>
    <row r="18" spans="2:13" ht="15.9" customHeight="1" x14ac:dyDescent="0.3">
      <c r="B18" s="11" t="s">
        <v>2127</v>
      </c>
      <c r="C18" s="10" t="s">
        <v>2128</v>
      </c>
      <c r="D18" s="10" t="s">
        <v>2129</v>
      </c>
      <c r="E18" s="10">
        <v>32045873</v>
      </c>
      <c r="F18" s="80" t="s">
        <v>2130</v>
      </c>
      <c r="G18" s="146" t="s">
        <v>2579</v>
      </c>
      <c r="H18" s="70">
        <v>32061784</v>
      </c>
      <c r="I18" s="28" t="s">
        <v>2175</v>
      </c>
      <c r="J18" s="6" t="s">
        <v>2584</v>
      </c>
      <c r="K18" s="10">
        <v>9</v>
      </c>
      <c r="L18" s="10" t="s">
        <v>2129</v>
      </c>
      <c r="M18" s="49" t="s">
        <v>481</v>
      </c>
    </row>
    <row r="19" spans="2:13" ht="15.9" customHeight="1" x14ac:dyDescent="0.3">
      <c r="B19" s="11" t="s">
        <v>2127</v>
      </c>
      <c r="C19" s="10" t="s">
        <v>2128</v>
      </c>
      <c r="D19" s="10" t="s">
        <v>2129</v>
      </c>
      <c r="E19" s="10">
        <v>32045873</v>
      </c>
      <c r="F19" s="80" t="s">
        <v>2130</v>
      </c>
      <c r="G19" s="147" t="s">
        <v>2579</v>
      </c>
      <c r="H19" s="70">
        <v>32045130</v>
      </c>
      <c r="I19" s="28" t="s">
        <v>2132</v>
      </c>
      <c r="J19" s="6" t="s">
        <v>2585</v>
      </c>
      <c r="K19" s="10">
        <v>9</v>
      </c>
      <c r="L19" s="10" t="s">
        <v>2129</v>
      </c>
      <c r="M19" s="49" t="s">
        <v>179</v>
      </c>
    </row>
    <row r="20" spans="2:13" ht="15.9" customHeight="1" x14ac:dyDescent="0.3">
      <c r="B20" s="11" t="s">
        <v>2127</v>
      </c>
      <c r="C20" s="10" t="s">
        <v>2128</v>
      </c>
      <c r="D20" s="10" t="s">
        <v>2129</v>
      </c>
      <c r="E20" s="10">
        <v>32045873</v>
      </c>
      <c r="F20" s="80" t="s">
        <v>2130</v>
      </c>
      <c r="G20" s="146" t="s">
        <v>2579</v>
      </c>
      <c r="H20" s="70">
        <v>32045380</v>
      </c>
      <c r="I20" s="28" t="s">
        <v>2177</v>
      </c>
      <c r="J20" s="6" t="s">
        <v>2586</v>
      </c>
      <c r="K20" s="10">
        <v>9</v>
      </c>
      <c r="L20" s="10" t="s">
        <v>2129</v>
      </c>
      <c r="M20" s="49" t="s">
        <v>41</v>
      </c>
    </row>
    <row r="21" spans="2:13" ht="15.9" customHeight="1" x14ac:dyDescent="0.3">
      <c r="B21" s="11" t="s">
        <v>2127</v>
      </c>
      <c r="C21" s="10" t="s">
        <v>2128</v>
      </c>
      <c r="D21" s="10" t="s">
        <v>2129</v>
      </c>
      <c r="E21" s="10">
        <v>32045873</v>
      </c>
      <c r="F21" s="10" t="s">
        <v>2130</v>
      </c>
      <c r="G21" s="2" t="s">
        <v>2579</v>
      </c>
      <c r="H21" s="39">
        <v>32044256</v>
      </c>
      <c r="I21" s="28" t="s">
        <v>2136</v>
      </c>
      <c r="J21" s="6" t="s">
        <v>2587</v>
      </c>
      <c r="K21" s="10">
        <v>9</v>
      </c>
      <c r="L21" s="10" t="s">
        <v>2129</v>
      </c>
      <c r="M21" s="49" t="s">
        <v>511</v>
      </c>
    </row>
    <row r="22" spans="2:13" ht="15.9" customHeight="1" x14ac:dyDescent="0.3">
      <c r="B22" s="11" t="s">
        <v>363</v>
      </c>
      <c r="C22" s="11">
        <v>3</v>
      </c>
      <c r="D22" s="12" t="s">
        <v>448</v>
      </c>
      <c r="E22" s="113">
        <v>32174381</v>
      </c>
      <c r="F22" s="134" t="s">
        <v>449</v>
      </c>
      <c r="G22" s="2" t="s">
        <v>450</v>
      </c>
      <c r="H22" s="14">
        <v>32046634</v>
      </c>
      <c r="I22" s="10" t="s">
        <v>451</v>
      </c>
      <c r="J22" s="6" t="s">
        <v>452</v>
      </c>
      <c r="K22" s="12">
        <v>9</v>
      </c>
      <c r="L22" s="10" t="s">
        <v>448</v>
      </c>
      <c r="M22" s="12" t="s">
        <v>453</v>
      </c>
    </row>
    <row r="23" spans="2:13" ht="15.9" customHeight="1" x14ac:dyDescent="0.3">
      <c r="B23" s="11" t="s">
        <v>363</v>
      </c>
      <c r="C23" s="11">
        <v>3</v>
      </c>
      <c r="D23" s="12" t="s">
        <v>448</v>
      </c>
      <c r="E23" s="12">
        <v>32174381</v>
      </c>
      <c r="F23" s="13" t="s">
        <v>449</v>
      </c>
      <c r="G23" s="2" t="s">
        <v>450</v>
      </c>
      <c r="H23" s="14">
        <v>32198303</v>
      </c>
      <c r="I23" s="10" t="s">
        <v>454</v>
      </c>
      <c r="J23" s="143" t="s">
        <v>455</v>
      </c>
      <c r="K23" s="12">
        <v>9</v>
      </c>
      <c r="L23" s="10" t="s">
        <v>448</v>
      </c>
      <c r="M23" s="12" t="s">
        <v>456</v>
      </c>
    </row>
    <row r="24" spans="2:13" ht="15.9" customHeight="1" x14ac:dyDescent="0.3">
      <c r="B24" s="11" t="s">
        <v>363</v>
      </c>
      <c r="C24" s="11">
        <v>3</v>
      </c>
      <c r="D24" s="12" t="s">
        <v>448</v>
      </c>
      <c r="E24" s="12">
        <v>32174381</v>
      </c>
      <c r="F24" s="13" t="s">
        <v>449</v>
      </c>
      <c r="G24" s="2" t="s">
        <v>450</v>
      </c>
      <c r="H24" s="14">
        <v>32045522</v>
      </c>
      <c r="I24" s="10" t="s">
        <v>457</v>
      </c>
      <c r="J24" s="6" t="s">
        <v>458</v>
      </c>
      <c r="K24" s="12">
        <v>9</v>
      </c>
      <c r="L24" s="10" t="s">
        <v>448</v>
      </c>
      <c r="M24" s="12" t="s">
        <v>447</v>
      </c>
    </row>
    <row r="25" spans="2:13" ht="15.9" customHeight="1" x14ac:dyDescent="0.3">
      <c r="B25" s="11" t="s">
        <v>363</v>
      </c>
      <c r="C25" s="11">
        <v>3</v>
      </c>
      <c r="D25" s="12" t="s">
        <v>448</v>
      </c>
      <c r="E25" s="12">
        <v>32174381</v>
      </c>
      <c r="F25" s="13" t="s">
        <v>449</v>
      </c>
      <c r="G25" s="2" t="s">
        <v>450</v>
      </c>
      <c r="H25" s="14">
        <v>32044830</v>
      </c>
      <c r="I25" s="10" t="s">
        <v>459</v>
      </c>
      <c r="J25" s="6" t="s">
        <v>460</v>
      </c>
      <c r="K25" s="12">
        <v>9</v>
      </c>
      <c r="L25" s="10" t="s">
        <v>448</v>
      </c>
      <c r="M25" s="12" t="s">
        <v>461</v>
      </c>
    </row>
    <row r="26" spans="2:13" ht="15.9" customHeight="1" x14ac:dyDescent="0.3">
      <c r="B26" s="11" t="s">
        <v>363</v>
      </c>
      <c r="C26" s="11">
        <v>3</v>
      </c>
      <c r="D26" s="12" t="s">
        <v>448</v>
      </c>
      <c r="E26" s="12">
        <v>32174381</v>
      </c>
      <c r="F26" s="13" t="s">
        <v>449</v>
      </c>
      <c r="G26" s="2" t="s">
        <v>450</v>
      </c>
      <c r="H26" s="14">
        <v>32132584</v>
      </c>
      <c r="I26" s="10" t="s">
        <v>462</v>
      </c>
      <c r="J26" s="143" t="s">
        <v>463</v>
      </c>
      <c r="K26" s="12">
        <v>9</v>
      </c>
      <c r="L26" s="10" t="s">
        <v>448</v>
      </c>
      <c r="M26" s="12" t="s">
        <v>464</v>
      </c>
    </row>
    <row r="27" spans="2:13" ht="15.9" customHeight="1" x14ac:dyDescent="0.3">
      <c r="B27" s="11" t="s">
        <v>363</v>
      </c>
      <c r="C27" s="11">
        <v>3</v>
      </c>
      <c r="D27" s="12" t="s">
        <v>448</v>
      </c>
      <c r="E27" s="12">
        <v>32174381</v>
      </c>
      <c r="F27" s="13" t="s">
        <v>449</v>
      </c>
      <c r="G27" s="2" t="s">
        <v>450</v>
      </c>
      <c r="H27" s="14">
        <v>32197860</v>
      </c>
      <c r="I27" s="10" t="s">
        <v>1467</v>
      </c>
      <c r="J27" s="6" t="s">
        <v>1468</v>
      </c>
      <c r="K27" s="12">
        <v>9</v>
      </c>
      <c r="L27" s="10" t="s">
        <v>448</v>
      </c>
      <c r="M27" s="12" t="s">
        <v>481</v>
      </c>
    </row>
    <row r="28" spans="2:13" ht="15.9" customHeight="1" x14ac:dyDescent="0.3">
      <c r="B28" s="11" t="s">
        <v>363</v>
      </c>
      <c r="C28" s="11">
        <v>3</v>
      </c>
      <c r="D28" s="12" t="s">
        <v>448</v>
      </c>
      <c r="E28" s="113">
        <v>32174381</v>
      </c>
      <c r="F28" s="134" t="s">
        <v>449</v>
      </c>
      <c r="G28" s="2" t="s">
        <v>450</v>
      </c>
      <c r="H28" s="14">
        <v>32065049</v>
      </c>
      <c r="I28" s="10" t="s">
        <v>2371</v>
      </c>
      <c r="J28" s="143" t="s">
        <v>466</v>
      </c>
      <c r="K28" s="12">
        <v>9</v>
      </c>
      <c r="L28" s="10" t="s">
        <v>448</v>
      </c>
      <c r="M28" s="12" t="s">
        <v>467</v>
      </c>
    </row>
    <row r="29" spans="2:13" ht="15.9" customHeight="1" x14ac:dyDescent="0.3">
      <c r="B29" s="11" t="s">
        <v>363</v>
      </c>
      <c r="C29" s="11">
        <v>3</v>
      </c>
      <c r="D29" s="12" t="s">
        <v>448</v>
      </c>
      <c r="E29" s="113">
        <v>32174381</v>
      </c>
      <c r="F29" s="134" t="s">
        <v>449</v>
      </c>
      <c r="G29" s="2" t="s">
        <v>450</v>
      </c>
      <c r="H29" s="14">
        <v>32143282</v>
      </c>
      <c r="I29" s="10" t="s">
        <v>468</v>
      </c>
      <c r="J29" s="143" t="s">
        <v>469</v>
      </c>
      <c r="K29" s="12">
        <v>9</v>
      </c>
      <c r="L29" s="10" t="s">
        <v>448</v>
      </c>
      <c r="M29" s="12" t="s">
        <v>470</v>
      </c>
    </row>
    <row r="30" spans="2:13" ht="15.9" customHeight="1" x14ac:dyDescent="0.3">
      <c r="B30" s="11" t="s">
        <v>363</v>
      </c>
      <c r="C30" s="11">
        <v>3</v>
      </c>
      <c r="D30" s="12" t="s">
        <v>448</v>
      </c>
      <c r="E30" s="12">
        <v>32174381</v>
      </c>
      <c r="F30" s="13" t="s">
        <v>449</v>
      </c>
      <c r="G30" s="2" t="s">
        <v>450</v>
      </c>
      <c r="H30" s="14">
        <v>32046025</v>
      </c>
      <c r="I30" s="10" t="s">
        <v>471</v>
      </c>
      <c r="J30" s="143" t="s">
        <v>472</v>
      </c>
      <c r="K30" s="12">
        <v>9</v>
      </c>
      <c r="L30" s="10" t="s">
        <v>448</v>
      </c>
      <c r="M30" s="12" t="s">
        <v>473</v>
      </c>
    </row>
    <row r="31" spans="2:13" ht="15.9" customHeight="1" x14ac:dyDescent="0.3">
      <c r="B31" s="11" t="s">
        <v>2127</v>
      </c>
      <c r="C31" s="10" t="s">
        <v>2128</v>
      </c>
      <c r="D31" s="12" t="s">
        <v>2137</v>
      </c>
      <c r="E31" s="95">
        <v>32146124</v>
      </c>
      <c r="F31" s="164" t="s">
        <v>2138</v>
      </c>
      <c r="G31" s="2" t="s">
        <v>2588</v>
      </c>
      <c r="H31" s="39">
        <v>32146675</v>
      </c>
      <c r="I31" s="28" t="s">
        <v>2139</v>
      </c>
      <c r="J31" s="154" t="s">
        <v>2589</v>
      </c>
      <c r="K31" s="12">
        <v>6</v>
      </c>
      <c r="L31" s="12" t="s">
        <v>2137</v>
      </c>
      <c r="M31" s="49" t="s">
        <v>41</v>
      </c>
    </row>
    <row r="32" spans="2:13" ht="15.9" customHeight="1" x14ac:dyDescent="0.3">
      <c r="B32" s="11" t="s">
        <v>2127</v>
      </c>
      <c r="C32" s="10" t="s">
        <v>2128</v>
      </c>
      <c r="D32" s="18" t="s">
        <v>2137</v>
      </c>
      <c r="E32" s="114">
        <v>32146124</v>
      </c>
      <c r="F32" s="162" t="s">
        <v>2138</v>
      </c>
      <c r="G32" s="146" t="s">
        <v>2588</v>
      </c>
      <c r="H32" s="70">
        <v>32044763</v>
      </c>
      <c r="I32" s="28" t="s">
        <v>2141</v>
      </c>
      <c r="J32" s="6" t="s">
        <v>2590</v>
      </c>
      <c r="K32" s="12">
        <v>6</v>
      </c>
      <c r="L32" s="12" t="s">
        <v>2137</v>
      </c>
      <c r="M32" s="49" t="s">
        <v>35</v>
      </c>
    </row>
    <row r="33" spans="2:13" ht="15.9" customHeight="1" x14ac:dyDescent="0.3">
      <c r="B33" s="11" t="s">
        <v>2127</v>
      </c>
      <c r="C33" s="10" t="s">
        <v>2128</v>
      </c>
      <c r="D33" s="18" t="s">
        <v>2137</v>
      </c>
      <c r="E33" s="114">
        <v>32146124</v>
      </c>
      <c r="F33" s="162" t="s">
        <v>2138</v>
      </c>
      <c r="G33" s="150" t="s">
        <v>2588</v>
      </c>
      <c r="H33" s="70">
        <v>32138750</v>
      </c>
      <c r="I33" s="28" t="s">
        <v>2142</v>
      </c>
      <c r="J33" s="6" t="s">
        <v>2591</v>
      </c>
      <c r="K33" s="12">
        <v>6</v>
      </c>
      <c r="L33" s="12" t="s">
        <v>2137</v>
      </c>
      <c r="M33" s="49" t="s">
        <v>179</v>
      </c>
    </row>
    <row r="34" spans="2:13" ht="15.9" customHeight="1" x14ac:dyDescent="0.3">
      <c r="B34" s="11" t="s">
        <v>2127</v>
      </c>
      <c r="C34" s="10" t="s">
        <v>2128</v>
      </c>
      <c r="D34" s="18" t="s">
        <v>2137</v>
      </c>
      <c r="E34" s="114">
        <v>32146124</v>
      </c>
      <c r="F34" s="162" t="s">
        <v>2138</v>
      </c>
      <c r="G34" s="150" t="s">
        <v>2588</v>
      </c>
      <c r="H34" s="70">
        <v>32044548</v>
      </c>
      <c r="I34" s="28" t="s">
        <v>2140</v>
      </c>
      <c r="J34" s="6" t="s">
        <v>2592</v>
      </c>
      <c r="K34" s="12">
        <v>6</v>
      </c>
      <c r="L34" s="12" t="s">
        <v>2137</v>
      </c>
      <c r="M34" s="49" t="s">
        <v>44</v>
      </c>
    </row>
    <row r="35" spans="2:13" ht="15.9" customHeight="1" x14ac:dyDescent="0.3">
      <c r="B35" s="11" t="s">
        <v>2127</v>
      </c>
      <c r="C35" s="10" t="s">
        <v>2128</v>
      </c>
      <c r="D35" s="18" t="s">
        <v>2137</v>
      </c>
      <c r="E35" s="114">
        <v>32146124</v>
      </c>
      <c r="F35" s="162" t="s">
        <v>2138</v>
      </c>
      <c r="G35" s="147" t="s">
        <v>2588</v>
      </c>
      <c r="H35" s="70">
        <v>32045971</v>
      </c>
      <c r="I35" s="28" t="s">
        <v>2146</v>
      </c>
      <c r="J35" s="6" t="s">
        <v>2593</v>
      </c>
      <c r="K35" s="12">
        <v>6</v>
      </c>
      <c r="L35" s="12" t="s">
        <v>2137</v>
      </c>
      <c r="M35" s="49" t="s">
        <v>47</v>
      </c>
    </row>
    <row r="36" spans="2:13" ht="15.9" customHeight="1" x14ac:dyDescent="0.3">
      <c r="B36" s="11" t="s">
        <v>2127</v>
      </c>
      <c r="C36" s="10" t="s">
        <v>2128</v>
      </c>
      <c r="D36" s="18" t="s">
        <v>2137</v>
      </c>
      <c r="E36" s="114">
        <v>32146124</v>
      </c>
      <c r="F36" s="162" t="s">
        <v>2138</v>
      </c>
      <c r="G36" s="146" t="s">
        <v>2588</v>
      </c>
      <c r="H36" s="70">
        <v>32138740</v>
      </c>
      <c r="I36" s="28" t="s">
        <v>2144</v>
      </c>
      <c r="J36" s="6" t="s">
        <v>2594</v>
      </c>
      <c r="K36" s="12">
        <v>6</v>
      </c>
      <c r="L36" s="12" t="s">
        <v>2137</v>
      </c>
      <c r="M36" s="49" t="s">
        <v>1</v>
      </c>
    </row>
    <row r="37" spans="2:13" ht="15.9" customHeight="1" x14ac:dyDescent="0.3">
      <c r="B37" s="11" t="s">
        <v>363</v>
      </c>
      <c r="C37" s="11">
        <v>3</v>
      </c>
      <c r="D37" s="18" t="s">
        <v>474</v>
      </c>
      <c r="E37" s="51">
        <v>32203898</v>
      </c>
      <c r="F37" s="98" t="s">
        <v>475</v>
      </c>
      <c r="G37" s="146" t="s">
        <v>476</v>
      </c>
      <c r="H37" s="60">
        <v>32202296</v>
      </c>
      <c r="I37" s="10" t="s">
        <v>477</v>
      </c>
      <c r="J37" s="28" t="s">
        <v>478</v>
      </c>
      <c r="K37" s="12">
        <v>9</v>
      </c>
      <c r="L37" s="10" t="s">
        <v>474</v>
      </c>
      <c r="M37" s="12" t="s">
        <v>447</v>
      </c>
    </row>
    <row r="38" spans="2:13" ht="15.9" customHeight="1" x14ac:dyDescent="0.3">
      <c r="B38" s="11" t="s">
        <v>363</v>
      </c>
      <c r="C38" s="11">
        <v>3</v>
      </c>
      <c r="D38" s="18" t="s">
        <v>474</v>
      </c>
      <c r="E38" s="113">
        <v>32203898</v>
      </c>
      <c r="F38" s="129" t="s">
        <v>475</v>
      </c>
      <c r="G38" s="146" t="s">
        <v>476</v>
      </c>
      <c r="H38" s="60">
        <v>32198295</v>
      </c>
      <c r="I38" s="10" t="s">
        <v>479</v>
      </c>
      <c r="J38" s="143" t="s">
        <v>480</v>
      </c>
      <c r="K38" s="12">
        <v>9</v>
      </c>
      <c r="L38" s="10" t="s">
        <v>474</v>
      </c>
      <c r="M38" s="12" t="s">
        <v>481</v>
      </c>
    </row>
    <row r="39" spans="2:13" ht="15.9" customHeight="1" x14ac:dyDescent="0.3">
      <c r="B39" s="11" t="s">
        <v>363</v>
      </c>
      <c r="C39" s="11">
        <v>3</v>
      </c>
      <c r="D39" s="18" t="s">
        <v>474</v>
      </c>
      <c r="E39" s="51">
        <v>32203898</v>
      </c>
      <c r="F39" s="98" t="s">
        <v>475</v>
      </c>
      <c r="G39" s="147" t="s">
        <v>476</v>
      </c>
      <c r="H39" s="60">
        <v>32045487</v>
      </c>
      <c r="I39" s="10" t="s">
        <v>482</v>
      </c>
      <c r="J39" s="143" t="s">
        <v>483</v>
      </c>
      <c r="K39" s="12">
        <v>9</v>
      </c>
      <c r="L39" s="10" t="s">
        <v>474</v>
      </c>
      <c r="M39" s="12" t="s">
        <v>464</v>
      </c>
    </row>
    <row r="40" spans="2:13" ht="15.9" customHeight="1" x14ac:dyDescent="0.3">
      <c r="B40" s="11" t="s">
        <v>363</v>
      </c>
      <c r="C40" s="11">
        <v>3</v>
      </c>
      <c r="D40" s="18" t="s">
        <v>474</v>
      </c>
      <c r="E40" s="51">
        <v>32203898</v>
      </c>
      <c r="F40" s="98" t="s">
        <v>475</v>
      </c>
      <c r="G40" s="146" t="s">
        <v>476</v>
      </c>
      <c r="H40" s="60">
        <v>32145313</v>
      </c>
      <c r="I40" s="10" t="s">
        <v>2372</v>
      </c>
      <c r="J40" s="6" t="s">
        <v>2595</v>
      </c>
      <c r="K40" s="12">
        <v>9</v>
      </c>
      <c r="L40" s="10" t="s">
        <v>474</v>
      </c>
      <c r="M40" s="12" t="s">
        <v>564</v>
      </c>
    </row>
    <row r="41" spans="2:13" ht="15.9" customHeight="1" x14ac:dyDescent="0.3">
      <c r="B41" s="11" t="s">
        <v>363</v>
      </c>
      <c r="C41" s="11">
        <v>3</v>
      </c>
      <c r="D41" s="18" t="s">
        <v>474</v>
      </c>
      <c r="E41" s="113">
        <v>32203898</v>
      </c>
      <c r="F41" s="129" t="s">
        <v>475</v>
      </c>
      <c r="G41" s="150" t="s">
        <v>476</v>
      </c>
      <c r="H41" s="60">
        <v>32045727</v>
      </c>
      <c r="I41" s="10" t="s">
        <v>484</v>
      </c>
      <c r="J41" s="143" t="s">
        <v>485</v>
      </c>
      <c r="K41" s="12">
        <v>9</v>
      </c>
      <c r="L41" s="10" t="s">
        <v>474</v>
      </c>
      <c r="M41" s="12" t="s">
        <v>453</v>
      </c>
    </row>
    <row r="42" spans="2:13" ht="15.9" customHeight="1" x14ac:dyDescent="0.3">
      <c r="B42" s="11" t="s">
        <v>363</v>
      </c>
      <c r="C42" s="11">
        <v>3</v>
      </c>
      <c r="D42" s="18" t="s">
        <v>474</v>
      </c>
      <c r="E42" s="51">
        <v>32203898</v>
      </c>
      <c r="F42" s="98" t="s">
        <v>475</v>
      </c>
      <c r="G42" s="146" t="s">
        <v>476</v>
      </c>
      <c r="H42" s="60">
        <v>32044673</v>
      </c>
      <c r="I42" s="10" t="s">
        <v>486</v>
      </c>
      <c r="J42" s="143" t="s">
        <v>487</v>
      </c>
      <c r="K42" s="12">
        <v>9</v>
      </c>
      <c r="L42" s="10" t="s">
        <v>474</v>
      </c>
      <c r="M42" s="12" t="s">
        <v>467</v>
      </c>
    </row>
    <row r="43" spans="2:13" ht="15.9" customHeight="1" x14ac:dyDescent="0.3">
      <c r="B43" s="11" t="s">
        <v>363</v>
      </c>
      <c r="C43" s="11">
        <v>3</v>
      </c>
      <c r="D43" s="18" t="s">
        <v>474</v>
      </c>
      <c r="E43" s="51">
        <v>32203898</v>
      </c>
      <c r="F43" s="98" t="s">
        <v>475</v>
      </c>
      <c r="G43" s="150" t="s">
        <v>476</v>
      </c>
      <c r="H43" s="60">
        <v>32198280</v>
      </c>
      <c r="I43" s="10" t="s">
        <v>488</v>
      </c>
      <c r="J43" s="143" t="s">
        <v>489</v>
      </c>
      <c r="K43" s="12">
        <v>9</v>
      </c>
      <c r="L43" s="10" t="s">
        <v>474</v>
      </c>
      <c r="M43" s="12" t="s">
        <v>470</v>
      </c>
    </row>
    <row r="44" spans="2:13" ht="15.9" customHeight="1" x14ac:dyDescent="0.3">
      <c r="B44" s="11" t="s">
        <v>363</v>
      </c>
      <c r="C44" s="11">
        <v>3</v>
      </c>
      <c r="D44" s="12" t="s">
        <v>474</v>
      </c>
      <c r="E44" s="38">
        <v>32203898</v>
      </c>
      <c r="F44" s="56" t="s">
        <v>475</v>
      </c>
      <c r="G44" s="2" t="s">
        <v>476</v>
      </c>
      <c r="H44" s="14">
        <v>32132577</v>
      </c>
      <c r="I44" s="10" t="s">
        <v>490</v>
      </c>
      <c r="J44" s="143" t="s">
        <v>491</v>
      </c>
      <c r="K44" s="12">
        <v>9</v>
      </c>
      <c r="L44" s="10" t="s">
        <v>474</v>
      </c>
      <c r="M44" s="12" t="s">
        <v>473</v>
      </c>
    </row>
    <row r="45" spans="2:13" ht="15.9" customHeight="1" x14ac:dyDescent="0.3">
      <c r="B45" s="11" t="s">
        <v>363</v>
      </c>
      <c r="C45" s="11">
        <v>3</v>
      </c>
      <c r="D45" s="12" t="s">
        <v>474</v>
      </c>
      <c r="E45" s="12">
        <v>32203898</v>
      </c>
      <c r="F45" s="13" t="s">
        <v>475</v>
      </c>
      <c r="G45" s="2" t="s">
        <v>476</v>
      </c>
      <c r="H45" s="14">
        <v>32066826</v>
      </c>
      <c r="I45" s="10" t="s">
        <v>492</v>
      </c>
      <c r="J45" s="143" t="s">
        <v>493</v>
      </c>
      <c r="K45" s="12">
        <v>9</v>
      </c>
      <c r="L45" s="10" t="s">
        <v>474</v>
      </c>
      <c r="M45" s="12" t="s">
        <v>456</v>
      </c>
    </row>
    <row r="46" spans="2:13" ht="15.9" customHeight="1" x14ac:dyDescent="0.3">
      <c r="B46" s="11" t="s">
        <v>363</v>
      </c>
      <c r="C46" s="11">
        <v>2</v>
      </c>
      <c r="D46" s="12" t="s">
        <v>414</v>
      </c>
      <c r="E46" s="63">
        <v>32146001</v>
      </c>
      <c r="F46" s="63" t="s">
        <v>398</v>
      </c>
      <c r="G46" s="2" t="s">
        <v>399</v>
      </c>
      <c r="H46" s="14">
        <v>32044001</v>
      </c>
      <c r="I46" s="10" t="s">
        <v>415</v>
      </c>
      <c r="J46" s="6" t="s">
        <v>416</v>
      </c>
      <c r="K46" s="12">
        <v>6</v>
      </c>
      <c r="L46" s="10" t="s">
        <v>414</v>
      </c>
      <c r="M46" s="12" t="s">
        <v>369</v>
      </c>
    </row>
    <row r="47" spans="2:13" ht="15.9" customHeight="1" x14ac:dyDescent="0.3">
      <c r="B47" s="11" t="s">
        <v>363</v>
      </c>
      <c r="C47" s="11">
        <v>2</v>
      </c>
      <c r="D47" s="12" t="s">
        <v>414</v>
      </c>
      <c r="E47" s="63">
        <v>32146001</v>
      </c>
      <c r="F47" s="63" t="s">
        <v>398</v>
      </c>
      <c r="G47" s="2" t="s">
        <v>399</v>
      </c>
      <c r="H47" s="14">
        <v>32198288</v>
      </c>
      <c r="I47" s="10" t="s">
        <v>417</v>
      </c>
      <c r="J47" s="80" t="s">
        <v>61</v>
      </c>
      <c r="K47" s="12">
        <v>6</v>
      </c>
      <c r="L47" s="10" t="s">
        <v>414</v>
      </c>
      <c r="M47" s="12" t="s">
        <v>384</v>
      </c>
    </row>
    <row r="48" spans="2:13" ht="15.9" customHeight="1" x14ac:dyDescent="0.3">
      <c r="B48" s="11" t="s">
        <v>363</v>
      </c>
      <c r="C48" s="11">
        <v>2</v>
      </c>
      <c r="D48" s="12" t="s">
        <v>414</v>
      </c>
      <c r="E48" s="63">
        <v>32146001</v>
      </c>
      <c r="F48" s="63" t="s">
        <v>398</v>
      </c>
      <c r="G48" s="2" t="s">
        <v>399</v>
      </c>
      <c r="H48" s="14">
        <v>32046313</v>
      </c>
      <c r="I48" s="10" t="s">
        <v>418</v>
      </c>
      <c r="J48" s="154" t="s">
        <v>419</v>
      </c>
      <c r="K48" s="12">
        <v>6</v>
      </c>
      <c r="L48" s="10" t="s">
        <v>414</v>
      </c>
      <c r="M48" s="12" t="s">
        <v>375</v>
      </c>
    </row>
    <row r="49" spans="2:13" ht="15.9" customHeight="1" x14ac:dyDescent="0.3">
      <c r="B49" s="11" t="s">
        <v>363</v>
      </c>
      <c r="C49" s="11">
        <v>2</v>
      </c>
      <c r="D49" s="12" t="s">
        <v>414</v>
      </c>
      <c r="E49" s="117">
        <v>32146001</v>
      </c>
      <c r="F49" s="117" t="s">
        <v>398</v>
      </c>
      <c r="G49" s="2" t="s">
        <v>399</v>
      </c>
      <c r="H49" s="14">
        <v>32046028</v>
      </c>
      <c r="I49" s="10" t="s">
        <v>420</v>
      </c>
      <c r="J49" s="6" t="s">
        <v>421</v>
      </c>
      <c r="K49" s="12">
        <v>6</v>
      </c>
      <c r="L49" s="10" t="s">
        <v>414</v>
      </c>
      <c r="M49" s="12" t="s">
        <v>378</v>
      </c>
    </row>
    <row r="50" spans="2:13" ht="15.9" customHeight="1" x14ac:dyDescent="0.3">
      <c r="B50" s="11" t="s">
        <v>363</v>
      </c>
      <c r="C50" s="11">
        <v>2</v>
      </c>
      <c r="D50" s="12" t="s">
        <v>414</v>
      </c>
      <c r="E50" s="63">
        <v>32146001</v>
      </c>
      <c r="F50" s="63" t="s">
        <v>398</v>
      </c>
      <c r="G50" s="146" t="s">
        <v>399</v>
      </c>
      <c r="H50" s="14">
        <v>32060923</v>
      </c>
      <c r="I50" s="10" t="s">
        <v>422</v>
      </c>
      <c r="J50" s="143" t="s">
        <v>423</v>
      </c>
      <c r="K50" s="12">
        <v>6</v>
      </c>
      <c r="L50" s="10" t="s">
        <v>414</v>
      </c>
      <c r="M50" s="12" t="s">
        <v>372</v>
      </c>
    </row>
    <row r="51" spans="2:13" ht="15.9" customHeight="1" x14ac:dyDescent="0.3">
      <c r="B51" s="11" t="s">
        <v>363</v>
      </c>
      <c r="C51" s="11">
        <v>2</v>
      </c>
      <c r="D51" s="12" t="s">
        <v>414</v>
      </c>
      <c r="E51" s="117">
        <v>32146001</v>
      </c>
      <c r="F51" s="117" t="s">
        <v>398</v>
      </c>
      <c r="G51" s="2" t="s">
        <v>399</v>
      </c>
      <c r="H51" s="14">
        <v>32046293</v>
      </c>
      <c r="I51" s="10" t="s">
        <v>424</v>
      </c>
      <c r="J51" s="6" t="s">
        <v>425</v>
      </c>
      <c r="K51" s="12">
        <v>6</v>
      </c>
      <c r="L51" s="10" t="s">
        <v>414</v>
      </c>
      <c r="M51" s="12" t="s">
        <v>381</v>
      </c>
    </row>
    <row r="52" spans="2:13" ht="15.9" customHeight="1" x14ac:dyDescent="0.3">
      <c r="B52" s="11" t="s">
        <v>363</v>
      </c>
      <c r="C52" s="11">
        <v>9</v>
      </c>
      <c r="D52" s="12" t="s">
        <v>933</v>
      </c>
      <c r="E52" s="12">
        <v>32045977</v>
      </c>
      <c r="F52" s="13" t="s">
        <v>744</v>
      </c>
      <c r="G52" s="2" t="s">
        <v>748</v>
      </c>
      <c r="H52" s="14">
        <v>32046500</v>
      </c>
      <c r="I52" s="10" t="s">
        <v>947</v>
      </c>
      <c r="J52" s="6" t="s">
        <v>948</v>
      </c>
      <c r="K52" s="12">
        <v>14</v>
      </c>
      <c r="L52" s="10" t="s">
        <v>933</v>
      </c>
      <c r="M52" s="12" t="s">
        <v>899</v>
      </c>
    </row>
    <row r="53" spans="2:13" ht="15.9" customHeight="1" x14ac:dyDescent="0.3">
      <c r="B53" s="11" t="s">
        <v>363</v>
      </c>
      <c r="C53" s="11">
        <v>9</v>
      </c>
      <c r="D53" s="12" t="s">
        <v>933</v>
      </c>
      <c r="E53" s="12">
        <v>32045977</v>
      </c>
      <c r="F53" s="13" t="s">
        <v>744</v>
      </c>
      <c r="G53" s="2" t="s">
        <v>748</v>
      </c>
      <c r="H53" s="23">
        <v>32044964</v>
      </c>
      <c r="I53" s="10" t="s">
        <v>942</v>
      </c>
      <c r="J53" s="6" t="s">
        <v>943</v>
      </c>
      <c r="K53" s="12">
        <v>16</v>
      </c>
      <c r="L53" s="12" t="s">
        <v>933</v>
      </c>
      <c r="M53" s="12" t="s">
        <v>944</v>
      </c>
    </row>
    <row r="54" spans="2:13" ht="15.9" customHeight="1" x14ac:dyDescent="0.3">
      <c r="B54" s="11" t="s">
        <v>363</v>
      </c>
      <c r="C54" s="11">
        <v>9</v>
      </c>
      <c r="D54" s="12" t="s">
        <v>933</v>
      </c>
      <c r="E54" s="12">
        <v>32045977</v>
      </c>
      <c r="F54" s="50" t="s">
        <v>744</v>
      </c>
      <c r="G54" s="146" t="s">
        <v>748</v>
      </c>
      <c r="H54" s="71">
        <v>32150523</v>
      </c>
      <c r="I54" s="46" t="s">
        <v>963</v>
      </c>
      <c r="J54" s="80" t="s">
        <v>61</v>
      </c>
      <c r="K54" s="12">
        <v>16</v>
      </c>
      <c r="L54" s="12" t="s">
        <v>933</v>
      </c>
      <c r="M54" s="53" t="s">
        <v>755</v>
      </c>
    </row>
    <row r="55" spans="2:13" ht="15.9" customHeight="1" x14ac:dyDescent="0.3">
      <c r="B55" s="11" t="s">
        <v>363</v>
      </c>
      <c r="C55" s="11">
        <v>9</v>
      </c>
      <c r="D55" s="12" t="s">
        <v>933</v>
      </c>
      <c r="E55" s="12">
        <v>32045977</v>
      </c>
      <c r="F55" s="13" t="s">
        <v>744</v>
      </c>
      <c r="G55" s="2" t="s">
        <v>748</v>
      </c>
      <c r="H55" s="40">
        <v>32046535</v>
      </c>
      <c r="I55" s="46" t="s">
        <v>949</v>
      </c>
      <c r="J55" s="6" t="s">
        <v>950</v>
      </c>
      <c r="K55" s="12">
        <v>14</v>
      </c>
      <c r="L55" s="10" t="s">
        <v>933</v>
      </c>
      <c r="M55" s="48" t="s">
        <v>951</v>
      </c>
    </row>
    <row r="56" spans="2:13" ht="15.9" customHeight="1" x14ac:dyDescent="0.3">
      <c r="B56" s="11" t="s">
        <v>363</v>
      </c>
      <c r="C56" s="11">
        <v>9</v>
      </c>
      <c r="D56" s="12" t="s">
        <v>933</v>
      </c>
      <c r="E56" s="12">
        <v>32045977</v>
      </c>
      <c r="F56" s="13" t="s">
        <v>744</v>
      </c>
      <c r="G56" s="2" t="s">
        <v>748</v>
      </c>
      <c r="H56" s="40">
        <v>32066829</v>
      </c>
      <c r="I56" s="46" t="s">
        <v>2373</v>
      </c>
      <c r="J56" s="6" t="s">
        <v>2596</v>
      </c>
      <c r="K56" s="12">
        <v>14</v>
      </c>
      <c r="L56" s="10" t="s">
        <v>933</v>
      </c>
      <c r="M56" s="48" t="s">
        <v>651</v>
      </c>
    </row>
    <row r="57" spans="2:13" ht="15.9" customHeight="1" x14ac:dyDescent="0.3">
      <c r="B57" s="11" t="s">
        <v>363</v>
      </c>
      <c r="C57" s="11">
        <v>9</v>
      </c>
      <c r="D57" s="12" t="s">
        <v>933</v>
      </c>
      <c r="E57" s="12">
        <v>32045977</v>
      </c>
      <c r="F57" s="13" t="s">
        <v>744</v>
      </c>
      <c r="G57" s="2" t="s">
        <v>748</v>
      </c>
      <c r="H57" s="40">
        <v>32045436</v>
      </c>
      <c r="I57" s="46" t="s">
        <v>2374</v>
      </c>
      <c r="J57" s="80" t="s">
        <v>61</v>
      </c>
      <c r="K57" s="12">
        <v>14</v>
      </c>
      <c r="L57" s="10" t="s">
        <v>933</v>
      </c>
      <c r="M57" s="48" t="s">
        <v>519</v>
      </c>
    </row>
    <row r="58" spans="2:13" ht="15.9" customHeight="1" x14ac:dyDescent="0.3">
      <c r="B58" s="11" t="s">
        <v>363</v>
      </c>
      <c r="C58" s="11">
        <v>9</v>
      </c>
      <c r="D58" s="12" t="s">
        <v>933</v>
      </c>
      <c r="E58" s="12">
        <v>32045977</v>
      </c>
      <c r="F58" s="13" t="s">
        <v>744</v>
      </c>
      <c r="G58" s="2" t="s">
        <v>748</v>
      </c>
      <c r="H58" s="40">
        <v>32045013</v>
      </c>
      <c r="I58" s="46" t="s">
        <v>945</v>
      </c>
      <c r="J58" s="6" t="s">
        <v>946</v>
      </c>
      <c r="K58" s="12">
        <v>14</v>
      </c>
      <c r="L58" s="10" t="s">
        <v>933</v>
      </c>
      <c r="M58" s="48" t="s">
        <v>755</v>
      </c>
    </row>
    <row r="59" spans="2:13" ht="15.9" customHeight="1" x14ac:dyDescent="0.3">
      <c r="B59" s="11" t="s">
        <v>363</v>
      </c>
      <c r="C59" s="11">
        <v>9</v>
      </c>
      <c r="D59" s="12" t="s">
        <v>933</v>
      </c>
      <c r="E59" s="12">
        <v>32045977</v>
      </c>
      <c r="F59" s="13" t="s">
        <v>744</v>
      </c>
      <c r="G59" s="146" t="s">
        <v>748</v>
      </c>
      <c r="H59" s="41">
        <v>32143308</v>
      </c>
      <c r="I59" s="46" t="s">
        <v>959</v>
      </c>
      <c r="J59" s="143" t="s">
        <v>960</v>
      </c>
      <c r="K59" s="12">
        <v>14</v>
      </c>
      <c r="L59" s="10" t="s">
        <v>933</v>
      </c>
      <c r="M59" s="48" t="s">
        <v>890</v>
      </c>
    </row>
    <row r="60" spans="2:13" ht="15.9" customHeight="1" x14ac:dyDescent="0.3">
      <c r="B60" s="11" t="s">
        <v>363</v>
      </c>
      <c r="C60" s="11">
        <v>9</v>
      </c>
      <c r="D60" s="12" t="s">
        <v>933</v>
      </c>
      <c r="E60" s="12">
        <v>32045977</v>
      </c>
      <c r="F60" s="13" t="s">
        <v>744</v>
      </c>
      <c r="G60" s="2" t="s">
        <v>748</v>
      </c>
      <c r="H60" s="41">
        <v>32061461</v>
      </c>
      <c r="I60" s="46" t="s">
        <v>897</v>
      </c>
      <c r="J60" s="6" t="s">
        <v>898</v>
      </c>
      <c r="K60" s="12">
        <v>16</v>
      </c>
      <c r="L60" s="12" t="s">
        <v>933</v>
      </c>
      <c r="M60" s="48" t="s">
        <v>899</v>
      </c>
    </row>
    <row r="61" spans="2:13" ht="15.9" customHeight="1" x14ac:dyDescent="0.3">
      <c r="B61" s="11" t="s">
        <v>363</v>
      </c>
      <c r="C61" s="11">
        <v>9</v>
      </c>
      <c r="D61" s="12" t="s">
        <v>933</v>
      </c>
      <c r="E61" s="12">
        <v>32045977</v>
      </c>
      <c r="F61" s="13" t="s">
        <v>744</v>
      </c>
      <c r="G61" s="2" t="s">
        <v>748</v>
      </c>
      <c r="H61" s="41">
        <v>32143306</v>
      </c>
      <c r="I61" s="46" t="s">
        <v>956</v>
      </c>
      <c r="J61" s="6" t="s">
        <v>957</v>
      </c>
      <c r="K61" s="12">
        <v>16</v>
      </c>
      <c r="L61" s="12" t="s">
        <v>933</v>
      </c>
      <c r="M61" s="48" t="s">
        <v>958</v>
      </c>
    </row>
    <row r="62" spans="2:13" ht="15.9" customHeight="1" x14ac:dyDescent="0.3">
      <c r="B62" s="11" t="s">
        <v>363</v>
      </c>
      <c r="C62" s="11">
        <v>9</v>
      </c>
      <c r="D62" s="12" t="s">
        <v>933</v>
      </c>
      <c r="E62" s="12">
        <v>32045977</v>
      </c>
      <c r="F62" s="13" t="s">
        <v>744</v>
      </c>
      <c r="G62" s="2" t="s">
        <v>748</v>
      </c>
      <c r="H62" s="40">
        <v>32044601</v>
      </c>
      <c r="I62" s="43" t="s">
        <v>938</v>
      </c>
      <c r="J62" s="155" t="s">
        <v>939</v>
      </c>
      <c r="K62" s="12">
        <v>14</v>
      </c>
      <c r="L62" s="10" t="s">
        <v>933</v>
      </c>
      <c r="M62" s="48" t="s">
        <v>618</v>
      </c>
    </row>
    <row r="63" spans="2:13" ht="15.9" customHeight="1" x14ac:dyDescent="0.3">
      <c r="B63" s="11" t="s">
        <v>363</v>
      </c>
      <c r="C63" s="11">
        <v>9</v>
      </c>
      <c r="D63" s="12" t="s">
        <v>933</v>
      </c>
      <c r="E63" s="12">
        <v>32045977</v>
      </c>
      <c r="F63" s="13" t="s">
        <v>744</v>
      </c>
      <c r="G63" s="2" t="s">
        <v>748</v>
      </c>
      <c r="H63" s="41">
        <v>32044746</v>
      </c>
      <c r="I63" s="10" t="s">
        <v>940</v>
      </c>
      <c r="J63" s="143" t="s">
        <v>941</v>
      </c>
      <c r="K63" s="12">
        <v>14</v>
      </c>
      <c r="L63" s="10" t="s">
        <v>933</v>
      </c>
      <c r="M63" s="53" t="s">
        <v>581</v>
      </c>
    </row>
    <row r="64" spans="2:13" ht="15.9" customHeight="1" x14ac:dyDescent="0.3">
      <c r="B64" s="11" t="s">
        <v>363</v>
      </c>
      <c r="C64" s="11">
        <v>9</v>
      </c>
      <c r="D64" s="12" t="s">
        <v>933</v>
      </c>
      <c r="E64" s="12">
        <v>32045977</v>
      </c>
      <c r="F64" s="13" t="s">
        <v>744</v>
      </c>
      <c r="G64" s="2" t="s">
        <v>748</v>
      </c>
      <c r="H64" s="40">
        <v>32136494</v>
      </c>
      <c r="I64" s="43" t="s">
        <v>954</v>
      </c>
      <c r="J64" s="6" t="s">
        <v>955</v>
      </c>
      <c r="K64" s="12">
        <v>14</v>
      </c>
      <c r="L64" s="10" t="s">
        <v>933</v>
      </c>
      <c r="M64" s="48" t="s">
        <v>719</v>
      </c>
    </row>
    <row r="65" spans="2:13" ht="15.9" customHeight="1" x14ac:dyDescent="0.3">
      <c r="B65" s="11" t="s">
        <v>363</v>
      </c>
      <c r="C65" s="11">
        <v>9</v>
      </c>
      <c r="D65" s="12" t="s">
        <v>933</v>
      </c>
      <c r="E65" s="12">
        <v>32045977</v>
      </c>
      <c r="F65" s="13" t="s">
        <v>744</v>
      </c>
      <c r="G65" s="2" t="s">
        <v>748</v>
      </c>
      <c r="H65" s="40">
        <v>32046642</v>
      </c>
      <c r="I65" s="43" t="s">
        <v>952</v>
      </c>
      <c r="J65" s="6" t="s">
        <v>953</v>
      </c>
      <c r="K65" s="12">
        <v>16</v>
      </c>
      <c r="L65" s="12" t="s">
        <v>933</v>
      </c>
      <c r="M65" s="48" t="s">
        <v>651</v>
      </c>
    </row>
    <row r="66" spans="2:13" ht="15.9" customHeight="1" x14ac:dyDescent="0.3">
      <c r="B66" s="11" t="s">
        <v>363</v>
      </c>
      <c r="C66" s="11">
        <v>9</v>
      </c>
      <c r="D66" s="12" t="s">
        <v>933</v>
      </c>
      <c r="E66" s="12">
        <v>32045977</v>
      </c>
      <c r="F66" s="13" t="s">
        <v>744</v>
      </c>
      <c r="G66" s="2" t="s">
        <v>748</v>
      </c>
      <c r="H66" s="41">
        <v>32044101</v>
      </c>
      <c r="I66" s="10" t="s">
        <v>935</v>
      </c>
      <c r="J66" s="6" t="s">
        <v>936</v>
      </c>
      <c r="K66" s="12">
        <v>14</v>
      </c>
      <c r="L66" s="10" t="s">
        <v>933</v>
      </c>
      <c r="M66" s="48" t="s">
        <v>937</v>
      </c>
    </row>
    <row r="67" spans="2:13" ht="15.9" customHeight="1" x14ac:dyDescent="0.3">
      <c r="B67" s="11" t="s">
        <v>363</v>
      </c>
      <c r="C67" s="11">
        <v>9</v>
      </c>
      <c r="D67" s="12" t="s">
        <v>933</v>
      </c>
      <c r="E67" s="12">
        <v>32045977</v>
      </c>
      <c r="F67" s="13" t="s">
        <v>744</v>
      </c>
      <c r="G67" s="2" t="s">
        <v>748</v>
      </c>
      <c r="H67" s="40">
        <v>32045775</v>
      </c>
      <c r="I67" s="43" t="s">
        <v>749</v>
      </c>
      <c r="J67" s="155" t="s">
        <v>750</v>
      </c>
      <c r="K67" s="12">
        <v>16</v>
      </c>
      <c r="L67" s="12" t="s">
        <v>933</v>
      </c>
      <c r="M67" s="48" t="s">
        <v>751</v>
      </c>
    </row>
    <row r="68" spans="2:13" ht="15.9" customHeight="1" x14ac:dyDescent="0.3">
      <c r="B68" s="11" t="s">
        <v>363</v>
      </c>
      <c r="C68" s="11">
        <v>9</v>
      </c>
      <c r="D68" s="12" t="s">
        <v>933</v>
      </c>
      <c r="E68" s="12">
        <v>32045977</v>
      </c>
      <c r="F68" s="13" t="s">
        <v>744</v>
      </c>
      <c r="G68" s="2" t="s">
        <v>748</v>
      </c>
      <c r="H68" s="40">
        <v>32197857</v>
      </c>
      <c r="I68" s="43" t="s">
        <v>964</v>
      </c>
      <c r="J68" s="6" t="s">
        <v>965</v>
      </c>
      <c r="K68" s="12">
        <v>14</v>
      </c>
      <c r="L68" s="10" t="s">
        <v>933</v>
      </c>
      <c r="M68" s="48" t="s">
        <v>966</v>
      </c>
    </row>
    <row r="69" spans="2:13" ht="15.9" customHeight="1" x14ac:dyDescent="0.3">
      <c r="B69" s="11" t="s">
        <v>363</v>
      </c>
      <c r="C69" s="11">
        <v>9</v>
      </c>
      <c r="D69" s="12" t="s">
        <v>933</v>
      </c>
      <c r="E69" s="12">
        <v>32045977</v>
      </c>
      <c r="F69" s="13" t="s">
        <v>744</v>
      </c>
      <c r="G69" s="2" t="s">
        <v>748</v>
      </c>
      <c r="H69" s="41">
        <v>32143605</v>
      </c>
      <c r="I69" s="10" t="s">
        <v>961</v>
      </c>
      <c r="J69" s="80" t="s">
        <v>962</v>
      </c>
      <c r="K69" s="12">
        <v>14</v>
      </c>
      <c r="L69" s="10" t="s">
        <v>933</v>
      </c>
      <c r="M69" s="18" t="s">
        <v>958</v>
      </c>
    </row>
    <row r="70" spans="2:13" ht="15.9" customHeight="1" x14ac:dyDescent="0.3">
      <c r="B70" s="11" t="s">
        <v>363</v>
      </c>
      <c r="C70" s="11">
        <v>9</v>
      </c>
      <c r="D70" s="12" t="s">
        <v>933</v>
      </c>
      <c r="E70" s="12">
        <v>32045977</v>
      </c>
      <c r="F70" s="13" t="s">
        <v>744</v>
      </c>
      <c r="G70" s="2" t="s">
        <v>748</v>
      </c>
      <c r="H70" s="40">
        <v>32202287</v>
      </c>
      <c r="I70" s="43" t="s">
        <v>967</v>
      </c>
      <c r="J70" s="6" t="s">
        <v>968</v>
      </c>
      <c r="K70" s="12">
        <v>14</v>
      </c>
      <c r="L70" s="10" t="s">
        <v>933</v>
      </c>
      <c r="M70" s="18" t="s">
        <v>714</v>
      </c>
    </row>
    <row r="71" spans="2:13" ht="15.9" customHeight="1" x14ac:dyDescent="0.3">
      <c r="B71" s="11" t="s">
        <v>2053</v>
      </c>
      <c r="C71" s="11" t="s">
        <v>2054</v>
      </c>
      <c r="D71" s="12" t="s">
        <v>2055</v>
      </c>
      <c r="E71" s="12">
        <v>32231914</v>
      </c>
      <c r="F71" s="13" t="s">
        <v>2056</v>
      </c>
      <c r="G71" s="2" t="s">
        <v>2057</v>
      </c>
      <c r="H71" s="14">
        <v>32043974</v>
      </c>
      <c r="I71" s="43" t="s">
        <v>2058</v>
      </c>
      <c r="J71" s="6" t="s">
        <v>2059</v>
      </c>
      <c r="K71" s="12">
        <v>7</v>
      </c>
      <c r="L71" s="12" t="s">
        <v>2055</v>
      </c>
      <c r="M71" s="18" t="s">
        <v>128</v>
      </c>
    </row>
    <row r="72" spans="2:13" ht="15.9" customHeight="1" x14ac:dyDescent="0.3">
      <c r="B72" s="11" t="s">
        <v>2053</v>
      </c>
      <c r="C72" s="11" t="s">
        <v>2060</v>
      </c>
      <c r="D72" s="12" t="s">
        <v>2055</v>
      </c>
      <c r="E72" s="12">
        <v>32231914</v>
      </c>
      <c r="F72" s="13" t="s">
        <v>2056</v>
      </c>
      <c r="G72" s="2" t="s">
        <v>2057</v>
      </c>
      <c r="H72" s="41">
        <v>32045558</v>
      </c>
      <c r="I72" s="43" t="s">
        <v>2061</v>
      </c>
      <c r="J72" s="143" t="s">
        <v>2062</v>
      </c>
      <c r="K72" s="12">
        <v>7</v>
      </c>
      <c r="L72" s="12" t="s">
        <v>2055</v>
      </c>
      <c r="M72" s="18" t="s">
        <v>125</v>
      </c>
    </row>
    <row r="73" spans="2:13" ht="15.9" customHeight="1" x14ac:dyDescent="0.3">
      <c r="B73" s="11" t="s">
        <v>2053</v>
      </c>
      <c r="C73" s="11" t="s">
        <v>2090</v>
      </c>
      <c r="D73" s="12" t="s">
        <v>2055</v>
      </c>
      <c r="E73" s="12">
        <v>32231914</v>
      </c>
      <c r="F73" s="13" t="s">
        <v>2056</v>
      </c>
      <c r="G73" s="2" t="s">
        <v>2057</v>
      </c>
      <c r="H73" s="41">
        <v>32045424</v>
      </c>
      <c r="I73" s="10" t="s">
        <v>2093</v>
      </c>
      <c r="J73" s="6" t="s">
        <v>2094</v>
      </c>
      <c r="K73" s="12">
        <v>7</v>
      </c>
      <c r="L73" s="12" t="s">
        <v>2055</v>
      </c>
      <c r="M73" s="53" t="s">
        <v>1806</v>
      </c>
    </row>
    <row r="74" spans="2:13" ht="15.9" customHeight="1" x14ac:dyDescent="0.3">
      <c r="B74" s="11" t="s">
        <v>2053</v>
      </c>
      <c r="C74" s="11" t="s">
        <v>2063</v>
      </c>
      <c r="D74" s="12" t="s">
        <v>2055</v>
      </c>
      <c r="E74" s="12">
        <v>32231914</v>
      </c>
      <c r="F74" s="13" t="s">
        <v>2056</v>
      </c>
      <c r="G74" s="2" t="s">
        <v>2057</v>
      </c>
      <c r="H74" s="40">
        <v>32043847</v>
      </c>
      <c r="I74" s="43" t="s">
        <v>2064</v>
      </c>
      <c r="J74" s="6" t="s">
        <v>2065</v>
      </c>
      <c r="K74" s="12">
        <v>7</v>
      </c>
      <c r="L74" s="12" t="s">
        <v>2055</v>
      </c>
      <c r="M74" s="48" t="s">
        <v>1813</v>
      </c>
    </row>
    <row r="75" spans="2:13" ht="15.9" customHeight="1" x14ac:dyDescent="0.3">
      <c r="B75" s="11" t="s">
        <v>2053</v>
      </c>
      <c r="C75" s="11" t="s">
        <v>2066</v>
      </c>
      <c r="D75" s="12" t="s">
        <v>2055</v>
      </c>
      <c r="E75" s="12">
        <v>32231914</v>
      </c>
      <c r="F75" s="13" t="s">
        <v>2056</v>
      </c>
      <c r="G75" s="2" t="s">
        <v>2057</v>
      </c>
      <c r="H75" s="40">
        <v>32044410</v>
      </c>
      <c r="I75" s="78" t="s">
        <v>2067</v>
      </c>
      <c r="J75" s="6" t="s">
        <v>2068</v>
      </c>
      <c r="K75" s="12">
        <v>7</v>
      </c>
      <c r="L75" s="12" t="s">
        <v>2055</v>
      </c>
      <c r="M75" s="48" t="s">
        <v>1810</v>
      </c>
    </row>
    <row r="76" spans="2:13" ht="15.9" customHeight="1" x14ac:dyDescent="0.3">
      <c r="B76" s="11" t="s">
        <v>2053</v>
      </c>
      <c r="C76" s="11" t="s">
        <v>2063</v>
      </c>
      <c r="D76" s="12" t="s">
        <v>2055</v>
      </c>
      <c r="E76" s="110">
        <v>32231914</v>
      </c>
      <c r="F76" s="131" t="s">
        <v>2056</v>
      </c>
      <c r="G76" s="146" t="s">
        <v>2057</v>
      </c>
      <c r="H76" s="71">
        <v>32043855</v>
      </c>
      <c r="I76" s="43" t="s">
        <v>2319</v>
      </c>
      <c r="J76" s="143" t="s">
        <v>2320</v>
      </c>
      <c r="K76" s="12">
        <v>7</v>
      </c>
      <c r="L76" s="12" t="s">
        <v>2055</v>
      </c>
      <c r="M76" s="48" t="s">
        <v>1808</v>
      </c>
    </row>
    <row r="77" spans="2:13" ht="15.9" customHeight="1" x14ac:dyDescent="0.3">
      <c r="B77" s="11" t="s">
        <v>2053</v>
      </c>
      <c r="C77" s="11" t="s">
        <v>2060</v>
      </c>
      <c r="D77" s="12" t="s">
        <v>2055</v>
      </c>
      <c r="E77" s="12">
        <v>32231914</v>
      </c>
      <c r="F77" s="13" t="s">
        <v>2056</v>
      </c>
      <c r="G77" s="2" t="s">
        <v>2057</v>
      </c>
      <c r="H77" s="40">
        <v>32045543</v>
      </c>
      <c r="I77" s="43" t="s">
        <v>2069</v>
      </c>
      <c r="J77" s="6" t="s">
        <v>2070</v>
      </c>
      <c r="K77" s="12">
        <v>7</v>
      </c>
      <c r="L77" s="12" t="s">
        <v>2055</v>
      </c>
      <c r="M77" s="42" t="s">
        <v>1803</v>
      </c>
    </row>
    <row r="78" spans="2:13" ht="15.9" customHeight="1" x14ac:dyDescent="0.3">
      <c r="B78" s="11" t="s">
        <v>47</v>
      </c>
      <c r="C78" s="11" t="s">
        <v>211</v>
      </c>
      <c r="D78" s="10" t="s">
        <v>212</v>
      </c>
      <c r="E78" s="127">
        <v>32162568</v>
      </c>
      <c r="F78" s="135" t="s">
        <v>213</v>
      </c>
      <c r="G78" s="2" t="s">
        <v>214</v>
      </c>
      <c r="H78" s="41">
        <v>32046065</v>
      </c>
      <c r="I78" s="43" t="s">
        <v>245</v>
      </c>
      <c r="J78" s="6" t="s">
        <v>246</v>
      </c>
      <c r="K78" s="12">
        <v>20</v>
      </c>
      <c r="L78" s="10" t="s">
        <v>212</v>
      </c>
      <c r="M78" s="42" t="s">
        <v>47</v>
      </c>
    </row>
    <row r="79" spans="2:13" ht="15.9" customHeight="1" x14ac:dyDescent="0.3">
      <c r="B79" s="11" t="s">
        <v>47</v>
      </c>
      <c r="C79" s="11" t="s">
        <v>211</v>
      </c>
      <c r="D79" s="10" t="s">
        <v>212</v>
      </c>
      <c r="E79" s="127">
        <v>32162568</v>
      </c>
      <c r="F79" s="135" t="s">
        <v>213</v>
      </c>
      <c r="G79" s="2" t="s">
        <v>214</v>
      </c>
      <c r="H79" s="40">
        <v>32153661</v>
      </c>
      <c r="I79" s="43" t="s">
        <v>229</v>
      </c>
      <c r="J79" s="6" t="s">
        <v>230</v>
      </c>
      <c r="K79" s="12">
        <v>20</v>
      </c>
      <c r="L79" s="10" t="s">
        <v>212</v>
      </c>
      <c r="M79" s="42" t="s">
        <v>231</v>
      </c>
    </row>
    <row r="80" spans="2:13" ht="15.9" customHeight="1" x14ac:dyDescent="0.3">
      <c r="B80" s="11" t="s">
        <v>47</v>
      </c>
      <c r="C80" s="11" t="s">
        <v>211</v>
      </c>
      <c r="D80" s="10" t="s">
        <v>212</v>
      </c>
      <c r="E80" s="10">
        <v>32162568</v>
      </c>
      <c r="F80" s="11" t="s">
        <v>213</v>
      </c>
      <c r="G80" s="2" t="s">
        <v>214</v>
      </c>
      <c r="H80" s="139">
        <v>32057596</v>
      </c>
      <c r="I80" s="43" t="s">
        <v>258</v>
      </c>
      <c r="J80" s="155" t="s">
        <v>259</v>
      </c>
      <c r="K80" s="12">
        <v>20</v>
      </c>
      <c r="L80" s="10" t="s">
        <v>212</v>
      </c>
      <c r="M80" s="42" t="s">
        <v>260</v>
      </c>
    </row>
    <row r="81" spans="2:13" ht="15.9" customHeight="1" x14ac:dyDescent="0.3">
      <c r="B81" s="11" t="s">
        <v>47</v>
      </c>
      <c r="C81" s="11" t="s">
        <v>211</v>
      </c>
      <c r="D81" s="10" t="s">
        <v>212</v>
      </c>
      <c r="E81" s="10">
        <v>32162568</v>
      </c>
      <c r="F81" s="11" t="s">
        <v>213</v>
      </c>
      <c r="G81" s="2" t="s">
        <v>214</v>
      </c>
      <c r="H81" s="138">
        <v>32046549</v>
      </c>
      <c r="I81" s="10" t="s">
        <v>221</v>
      </c>
      <c r="J81" s="28" t="s">
        <v>222</v>
      </c>
      <c r="K81" s="12">
        <v>20</v>
      </c>
      <c r="L81" s="10" t="s">
        <v>212</v>
      </c>
      <c r="M81" s="53" t="s">
        <v>223</v>
      </c>
    </row>
    <row r="82" spans="2:13" ht="15.9" customHeight="1" x14ac:dyDescent="0.3">
      <c r="B82" s="11" t="s">
        <v>47</v>
      </c>
      <c r="C82" s="11" t="s">
        <v>211</v>
      </c>
      <c r="D82" s="12" t="s">
        <v>212</v>
      </c>
      <c r="E82" s="12">
        <v>32162568</v>
      </c>
      <c r="F82" s="11" t="s">
        <v>213</v>
      </c>
      <c r="G82" s="2" t="s">
        <v>214</v>
      </c>
      <c r="H82" s="40">
        <v>32044377</v>
      </c>
      <c r="I82" s="56" t="s">
        <v>218</v>
      </c>
      <c r="J82" s="6" t="s">
        <v>219</v>
      </c>
      <c r="K82" s="12">
        <v>20</v>
      </c>
      <c r="L82" s="10" t="s">
        <v>212</v>
      </c>
      <c r="M82" s="48" t="s">
        <v>220</v>
      </c>
    </row>
    <row r="83" spans="2:13" ht="15.9" customHeight="1" x14ac:dyDescent="0.3">
      <c r="B83" s="11" t="s">
        <v>47</v>
      </c>
      <c r="C83" s="11" t="s">
        <v>211</v>
      </c>
      <c r="D83" s="10" t="s">
        <v>212</v>
      </c>
      <c r="E83" s="10">
        <v>32162568</v>
      </c>
      <c r="F83" s="11" t="s">
        <v>213</v>
      </c>
      <c r="G83" s="2" t="s">
        <v>214</v>
      </c>
      <c r="H83" s="41">
        <v>32143046</v>
      </c>
      <c r="I83" s="141" t="s">
        <v>2375</v>
      </c>
      <c r="J83" s="6" t="s">
        <v>2597</v>
      </c>
      <c r="K83" s="12">
        <v>20</v>
      </c>
      <c r="L83" s="10" t="s">
        <v>212</v>
      </c>
      <c r="M83" s="214" t="s">
        <v>72</v>
      </c>
    </row>
    <row r="84" spans="2:13" ht="15.9" customHeight="1" x14ac:dyDescent="0.3">
      <c r="B84" s="11" t="s">
        <v>47</v>
      </c>
      <c r="C84" s="11" t="s">
        <v>211</v>
      </c>
      <c r="D84" s="12" t="s">
        <v>212</v>
      </c>
      <c r="E84" s="12">
        <v>32162568</v>
      </c>
      <c r="F84" s="11" t="s">
        <v>213</v>
      </c>
      <c r="G84" s="2" t="s">
        <v>214</v>
      </c>
      <c r="H84" s="41">
        <v>32045500</v>
      </c>
      <c r="I84" s="56" t="s">
        <v>261</v>
      </c>
      <c r="J84" s="6" t="s">
        <v>262</v>
      </c>
      <c r="K84" s="12">
        <v>20</v>
      </c>
      <c r="L84" s="10" t="s">
        <v>212</v>
      </c>
      <c r="M84" s="48" t="s">
        <v>44</v>
      </c>
    </row>
    <row r="85" spans="2:13" ht="15.9" customHeight="1" x14ac:dyDescent="0.3">
      <c r="B85" s="11" t="s">
        <v>47</v>
      </c>
      <c r="C85" s="11" t="s">
        <v>211</v>
      </c>
      <c r="D85" s="12" t="s">
        <v>212</v>
      </c>
      <c r="E85" s="12">
        <v>32162568</v>
      </c>
      <c r="F85" s="11" t="s">
        <v>213</v>
      </c>
      <c r="G85" s="2" t="s">
        <v>214</v>
      </c>
      <c r="H85" s="40">
        <v>32044927</v>
      </c>
      <c r="I85" s="56" t="s">
        <v>247</v>
      </c>
      <c r="J85" s="6" t="s">
        <v>248</v>
      </c>
      <c r="K85" s="12">
        <v>20</v>
      </c>
      <c r="L85" s="10" t="s">
        <v>212</v>
      </c>
      <c r="M85" s="48" t="s">
        <v>47</v>
      </c>
    </row>
    <row r="86" spans="2:13" ht="15.9" customHeight="1" x14ac:dyDescent="0.3">
      <c r="B86" s="11" t="s">
        <v>47</v>
      </c>
      <c r="C86" s="11" t="s">
        <v>211</v>
      </c>
      <c r="D86" s="10" t="s">
        <v>212</v>
      </c>
      <c r="E86" s="10">
        <v>32162568</v>
      </c>
      <c r="F86" s="11" t="s">
        <v>213</v>
      </c>
      <c r="G86" s="2" t="s">
        <v>214</v>
      </c>
      <c r="H86" s="41">
        <v>32057722</v>
      </c>
      <c r="I86" s="43" t="s">
        <v>238</v>
      </c>
      <c r="J86" s="80" t="s">
        <v>61</v>
      </c>
      <c r="K86" s="12">
        <v>20</v>
      </c>
      <c r="L86" s="10" t="s">
        <v>212</v>
      </c>
      <c r="M86" s="48" t="s">
        <v>239</v>
      </c>
    </row>
    <row r="87" spans="2:13" ht="15.9" customHeight="1" x14ac:dyDescent="0.3">
      <c r="B87" s="11" t="s">
        <v>47</v>
      </c>
      <c r="C87" s="11" t="s">
        <v>211</v>
      </c>
      <c r="D87" s="10" t="s">
        <v>212</v>
      </c>
      <c r="E87" s="10">
        <v>32162568</v>
      </c>
      <c r="F87" s="11" t="s">
        <v>213</v>
      </c>
      <c r="G87" s="2" t="s">
        <v>214</v>
      </c>
      <c r="H87" s="40">
        <v>32044511</v>
      </c>
      <c r="I87" s="43" t="s">
        <v>254</v>
      </c>
      <c r="J87" s="6" t="s">
        <v>255</v>
      </c>
      <c r="K87" s="12">
        <v>20</v>
      </c>
      <c r="L87" s="10" t="s">
        <v>212</v>
      </c>
      <c r="M87" s="48" t="s">
        <v>35</v>
      </c>
    </row>
    <row r="88" spans="2:13" ht="15.9" customHeight="1" x14ac:dyDescent="0.3">
      <c r="B88" s="11" t="s">
        <v>47</v>
      </c>
      <c r="C88" s="11" t="s">
        <v>211</v>
      </c>
      <c r="D88" s="10" t="s">
        <v>212</v>
      </c>
      <c r="E88" s="10">
        <v>32162568</v>
      </c>
      <c r="F88" s="11" t="s">
        <v>213</v>
      </c>
      <c r="G88" s="2" t="s">
        <v>214</v>
      </c>
      <c r="H88" s="40">
        <v>32044547</v>
      </c>
      <c r="I88" s="43" t="s">
        <v>232</v>
      </c>
      <c r="J88" s="6" t="s">
        <v>233</v>
      </c>
      <c r="K88" s="12">
        <v>20</v>
      </c>
      <c r="L88" s="10" t="s">
        <v>212</v>
      </c>
      <c r="M88" s="48" t="s">
        <v>234</v>
      </c>
    </row>
    <row r="89" spans="2:13" ht="15.9" customHeight="1" x14ac:dyDescent="0.3">
      <c r="B89" s="11" t="s">
        <v>47</v>
      </c>
      <c r="C89" s="11" t="s">
        <v>211</v>
      </c>
      <c r="D89" s="10" t="s">
        <v>212</v>
      </c>
      <c r="E89" s="10">
        <v>32162568</v>
      </c>
      <c r="F89" s="11" t="s">
        <v>213</v>
      </c>
      <c r="G89" s="2" t="s">
        <v>214</v>
      </c>
      <c r="H89" s="41">
        <v>32044975</v>
      </c>
      <c r="I89" s="10" t="s">
        <v>235</v>
      </c>
      <c r="J89" s="6" t="s">
        <v>236</v>
      </c>
      <c r="K89" s="12">
        <v>20</v>
      </c>
      <c r="L89" s="10" t="s">
        <v>212</v>
      </c>
      <c r="M89" s="53" t="s">
        <v>237</v>
      </c>
    </row>
    <row r="90" spans="2:13" ht="15.9" customHeight="1" x14ac:dyDescent="0.3">
      <c r="B90" s="11" t="s">
        <v>47</v>
      </c>
      <c r="C90" s="11" t="s">
        <v>211</v>
      </c>
      <c r="D90" s="10" t="s">
        <v>212</v>
      </c>
      <c r="E90" s="10">
        <v>32162568</v>
      </c>
      <c r="F90" s="11" t="s">
        <v>213</v>
      </c>
      <c r="G90" s="2" t="s">
        <v>214</v>
      </c>
      <c r="H90" s="40">
        <v>32061082</v>
      </c>
      <c r="I90" s="43" t="s">
        <v>240</v>
      </c>
      <c r="J90" s="155" t="s">
        <v>241</v>
      </c>
      <c r="K90" s="12">
        <v>20</v>
      </c>
      <c r="L90" s="10" t="s">
        <v>212</v>
      </c>
      <c r="M90" s="48" t="s">
        <v>239</v>
      </c>
    </row>
    <row r="91" spans="2:13" ht="15.9" customHeight="1" x14ac:dyDescent="0.3">
      <c r="B91" s="11" t="s">
        <v>47</v>
      </c>
      <c r="C91" s="11" t="s">
        <v>211</v>
      </c>
      <c r="D91" s="10" t="s">
        <v>212</v>
      </c>
      <c r="E91" s="10">
        <v>32162568</v>
      </c>
      <c r="F91" s="100" t="s">
        <v>213</v>
      </c>
      <c r="G91" s="146" t="s">
        <v>214</v>
      </c>
      <c r="H91" s="207">
        <v>32111147</v>
      </c>
      <c r="I91" s="44" t="s">
        <v>242</v>
      </c>
      <c r="J91" s="6" t="s">
        <v>243</v>
      </c>
      <c r="K91" s="12">
        <v>20</v>
      </c>
      <c r="L91" s="10" t="s">
        <v>212</v>
      </c>
      <c r="M91" s="48" t="s">
        <v>244</v>
      </c>
    </row>
    <row r="92" spans="2:13" ht="15.9" customHeight="1" x14ac:dyDescent="0.3">
      <c r="B92" s="11" t="s">
        <v>47</v>
      </c>
      <c r="C92" s="11" t="s">
        <v>211</v>
      </c>
      <c r="D92" s="10" t="s">
        <v>212</v>
      </c>
      <c r="E92" s="10">
        <v>32162568</v>
      </c>
      <c r="F92" s="11" t="s">
        <v>213</v>
      </c>
      <c r="G92" s="2" t="s">
        <v>214</v>
      </c>
      <c r="H92" s="40">
        <v>32096526</v>
      </c>
      <c r="I92" s="44" t="s">
        <v>215</v>
      </c>
      <c r="J92" s="6" t="s">
        <v>216</v>
      </c>
      <c r="K92" s="12">
        <v>20</v>
      </c>
      <c r="L92" s="10" t="s">
        <v>212</v>
      </c>
      <c r="M92" s="48" t="s">
        <v>217</v>
      </c>
    </row>
    <row r="93" spans="2:13" ht="15.9" customHeight="1" x14ac:dyDescent="0.3">
      <c r="B93" s="11" t="s">
        <v>47</v>
      </c>
      <c r="C93" s="11" t="s">
        <v>211</v>
      </c>
      <c r="D93" s="10" t="s">
        <v>212</v>
      </c>
      <c r="E93" s="10">
        <v>32162568</v>
      </c>
      <c r="F93" s="100" t="s">
        <v>213</v>
      </c>
      <c r="G93" s="146" t="s">
        <v>214</v>
      </c>
      <c r="H93" s="207">
        <v>32045475</v>
      </c>
      <c r="I93" s="44" t="s">
        <v>226</v>
      </c>
      <c r="J93" s="6" t="s">
        <v>227</v>
      </c>
      <c r="K93" s="12">
        <v>20</v>
      </c>
      <c r="L93" s="10" t="s">
        <v>212</v>
      </c>
      <c r="M93" s="48" t="s">
        <v>228</v>
      </c>
    </row>
    <row r="94" spans="2:13" ht="15.9" customHeight="1" x14ac:dyDescent="0.3">
      <c r="B94" s="11" t="s">
        <v>47</v>
      </c>
      <c r="C94" s="11" t="s">
        <v>211</v>
      </c>
      <c r="D94" s="12" t="s">
        <v>212</v>
      </c>
      <c r="E94" s="113">
        <v>32162568</v>
      </c>
      <c r="F94" s="135" t="s">
        <v>213</v>
      </c>
      <c r="G94" s="2" t="s">
        <v>214</v>
      </c>
      <c r="H94" s="40">
        <v>32054061</v>
      </c>
      <c r="I94" s="77" t="s">
        <v>249</v>
      </c>
      <c r="J94" s="6" t="s">
        <v>250</v>
      </c>
      <c r="K94" s="12">
        <v>20</v>
      </c>
      <c r="L94" s="10" t="s">
        <v>212</v>
      </c>
      <c r="M94" s="48" t="s">
        <v>72</v>
      </c>
    </row>
    <row r="95" spans="2:13" ht="15.9" customHeight="1" x14ac:dyDescent="0.3">
      <c r="B95" s="11" t="s">
        <v>47</v>
      </c>
      <c r="C95" s="11" t="s">
        <v>211</v>
      </c>
      <c r="D95" s="12" t="s">
        <v>212</v>
      </c>
      <c r="E95" s="12">
        <v>32162568</v>
      </c>
      <c r="F95" s="11" t="s">
        <v>213</v>
      </c>
      <c r="G95" s="2" t="s">
        <v>214</v>
      </c>
      <c r="H95" s="40">
        <v>32044484</v>
      </c>
      <c r="I95" s="77" t="s">
        <v>256</v>
      </c>
      <c r="J95" s="143" t="s">
        <v>257</v>
      </c>
      <c r="K95" s="12">
        <v>20</v>
      </c>
      <c r="L95" s="10" t="s">
        <v>212</v>
      </c>
      <c r="M95" s="48" t="s">
        <v>35</v>
      </c>
    </row>
    <row r="96" spans="2:13" ht="15.9" customHeight="1" x14ac:dyDescent="0.3">
      <c r="B96" s="11" t="s">
        <v>47</v>
      </c>
      <c r="C96" s="11" t="s">
        <v>211</v>
      </c>
      <c r="D96" s="10" t="s">
        <v>212</v>
      </c>
      <c r="E96" s="127">
        <v>32162568</v>
      </c>
      <c r="F96" s="135" t="s">
        <v>213</v>
      </c>
      <c r="G96" s="2" t="s">
        <v>214</v>
      </c>
      <c r="H96" s="40">
        <v>32046418</v>
      </c>
      <c r="I96" s="44" t="s">
        <v>251</v>
      </c>
      <c r="J96" s="6" t="s">
        <v>252</v>
      </c>
      <c r="K96" s="12">
        <v>20</v>
      </c>
      <c r="L96" s="10" t="s">
        <v>212</v>
      </c>
      <c r="M96" s="48" t="s">
        <v>253</v>
      </c>
    </row>
    <row r="97" spans="2:13" ht="15.9" customHeight="1" x14ac:dyDescent="0.3">
      <c r="B97" s="11" t="s">
        <v>47</v>
      </c>
      <c r="C97" s="11" t="s">
        <v>211</v>
      </c>
      <c r="D97" s="10" t="s">
        <v>212</v>
      </c>
      <c r="E97" s="10">
        <v>32162568</v>
      </c>
      <c r="F97" s="11" t="s">
        <v>213</v>
      </c>
      <c r="G97" s="2" t="s">
        <v>214</v>
      </c>
      <c r="H97" s="208">
        <v>32055155</v>
      </c>
      <c r="I97" s="44" t="s">
        <v>224</v>
      </c>
      <c r="J97" s="6" t="s">
        <v>225</v>
      </c>
      <c r="K97" s="12">
        <v>20</v>
      </c>
      <c r="L97" s="10" t="s">
        <v>212</v>
      </c>
      <c r="M97" s="48" t="s">
        <v>223</v>
      </c>
    </row>
    <row r="98" spans="2:13" ht="15.9" customHeight="1" x14ac:dyDescent="0.25">
      <c r="B98" s="11" t="s">
        <v>363</v>
      </c>
      <c r="C98" s="11">
        <v>2</v>
      </c>
      <c r="D98" s="12" t="s">
        <v>426</v>
      </c>
      <c r="E98" s="12">
        <v>32148109</v>
      </c>
      <c r="F98" s="13" t="s">
        <v>2345</v>
      </c>
      <c r="G98" s="149" t="s">
        <v>51</v>
      </c>
      <c r="H98" s="41">
        <v>32044654</v>
      </c>
      <c r="I98" s="44" t="s">
        <v>2376</v>
      </c>
      <c r="J98" s="143" t="s">
        <v>2598</v>
      </c>
      <c r="K98" s="12">
        <v>6</v>
      </c>
      <c r="L98" s="10" t="s">
        <v>426</v>
      </c>
      <c r="M98" s="48" t="s">
        <v>375</v>
      </c>
    </row>
    <row r="99" spans="2:13" ht="15.9" customHeight="1" x14ac:dyDescent="0.25">
      <c r="B99" s="11" t="s">
        <v>363</v>
      </c>
      <c r="C99" s="11">
        <v>2</v>
      </c>
      <c r="D99" s="12" t="s">
        <v>426</v>
      </c>
      <c r="E99" s="12">
        <v>32148109</v>
      </c>
      <c r="F99" s="13" t="s">
        <v>2345</v>
      </c>
      <c r="G99" s="149" t="s">
        <v>51</v>
      </c>
      <c r="H99" s="40">
        <v>32188134</v>
      </c>
      <c r="I99" s="44" t="s">
        <v>2377</v>
      </c>
      <c r="J99" s="6" t="s">
        <v>2599</v>
      </c>
      <c r="K99" s="12">
        <v>6</v>
      </c>
      <c r="L99" s="10" t="s">
        <v>426</v>
      </c>
      <c r="M99" s="48" t="s">
        <v>378</v>
      </c>
    </row>
    <row r="100" spans="2:13" ht="15.9" customHeight="1" x14ac:dyDescent="0.25">
      <c r="B100" s="11" t="s">
        <v>363</v>
      </c>
      <c r="C100" s="11">
        <v>2</v>
      </c>
      <c r="D100" s="12" t="s">
        <v>426</v>
      </c>
      <c r="E100" s="12">
        <v>32148109</v>
      </c>
      <c r="F100" s="13" t="s">
        <v>2345</v>
      </c>
      <c r="G100" s="149" t="s">
        <v>51</v>
      </c>
      <c r="H100" s="40">
        <v>32045763</v>
      </c>
      <c r="I100" s="44" t="s">
        <v>2378</v>
      </c>
      <c r="J100" s="80" t="s">
        <v>61</v>
      </c>
      <c r="K100" s="12">
        <v>6</v>
      </c>
      <c r="L100" s="10" t="s">
        <v>426</v>
      </c>
      <c r="M100" s="48" t="s">
        <v>372</v>
      </c>
    </row>
    <row r="101" spans="2:13" ht="15.9" customHeight="1" x14ac:dyDescent="0.25">
      <c r="B101" s="11" t="s">
        <v>363</v>
      </c>
      <c r="C101" s="11">
        <v>2</v>
      </c>
      <c r="D101" s="12" t="s">
        <v>426</v>
      </c>
      <c r="E101" s="12">
        <v>32148109</v>
      </c>
      <c r="F101" s="13" t="s">
        <v>2345</v>
      </c>
      <c r="G101" s="149" t="s">
        <v>51</v>
      </c>
      <c r="H101" s="40">
        <v>32044113</v>
      </c>
      <c r="I101" s="10" t="s">
        <v>427</v>
      </c>
      <c r="J101" s="6" t="s">
        <v>428</v>
      </c>
      <c r="K101" s="12">
        <v>6</v>
      </c>
      <c r="L101" s="10" t="s">
        <v>426</v>
      </c>
      <c r="M101" s="18" t="s">
        <v>381</v>
      </c>
    </row>
    <row r="102" spans="2:13" ht="15.9" customHeight="1" x14ac:dyDescent="0.25">
      <c r="B102" s="11" t="s">
        <v>363</v>
      </c>
      <c r="C102" s="11">
        <v>2</v>
      </c>
      <c r="D102" s="12" t="s">
        <v>426</v>
      </c>
      <c r="E102" s="12">
        <v>32148109</v>
      </c>
      <c r="F102" s="13" t="s">
        <v>2345</v>
      </c>
      <c r="G102" s="149" t="s">
        <v>51</v>
      </c>
      <c r="H102" s="40">
        <v>32044609</v>
      </c>
      <c r="I102" s="43" t="s">
        <v>431</v>
      </c>
      <c r="J102" s="143" t="s">
        <v>432</v>
      </c>
      <c r="K102" s="12">
        <v>6</v>
      </c>
      <c r="L102" s="10" t="s">
        <v>426</v>
      </c>
      <c r="M102" s="18" t="s">
        <v>369</v>
      </c>
    </row>
    <row r="103" spans="2:13" ht="15.9" customHeight="1" x14ac:dyDescent="0.25">
      <c r="B103" s="11" t="s">
        <v>363</v>
      </c>
      <c r="C103" s="11">
        <v>2</v>
      </c>
      <c r="D103" s="12" t="s">
        <v>426</v>
      </c>
      <c r="E103" s="110">
        <v>32148109</v>
      </c>
      <c r="F103" s="131" t="s">
        <v>2345</v>
      </c>
      <c r="G103" s="152" t="s">
        <v>51</v>
      </c>
      <c r="H103" s="73">
        <v>32188131</v>
      </c>
      <c r="I103" s="43" t="s">
        <v>433</v>
      </c>
      <c r="J103" s="6" t="s">
        <v>434</v>
      </c>
      <c r="K103" s="12">
        <v>6</v>
      </c>
      <c r="L103" s="10" t="s">
        <v>426</v>
      </c>
      <c r="M103" s="18" t="s">
        <v>384</v>
      </c>
    </row>
    <row r="104" spans="2:13" ht="15.9" customHeight="1" x14ac:dyDescent="0.3">
      <c r="B104" s="11" t="s">
        <v>1</v>
      </c>
      <c r="C104" s="11" t="s">
        <v>1991</v>
      </c>
      <c r="D104" s="10" t="s">
        <v>4</v>
      </c>
      <c r="E104" s="110">
        <v>32151311</v>
      </c>
      <c r="F104" s="201" t="s">
        <v>5</v>
      </c>
      <c r="G104" s="2" t="s">
        <v>2044</v>
      </c>
      <c r="H104" s="40">
        <v>32043758</v>
      </c>
      <c r="I104" s="209" t="s">
        <v>1994</v>
      </c>
      <c r="J104" s="6" t="s">
        <v>1995</v>
      </c>
      <c r="K104" s="35">
        <v>4</v>
      </c>
      <c r="L104" s="32" t="s">
        <v>4</v>
      </c>
      <c r="M104" s="18" t="s">
        <v>456</v>
      </c>
    </row>
    <row r="105" spans="2:13" ht="15.9" customHeight="1" x14ac:dyDescent="0.3">
      <c r="B105" s="11" t="s">
        <v>1</v>
      </c>
      <c r="C105" s="11" t="s">
        <v>1991</v>
      </c>
      <c r="D105" s="10" t="s">
        <v>4</v>
      </c>
      <c r="E105" s="21">
        <v>32151311</v>
      </c>
      <c r="F105" s="22" t="s">
        <v>5</v>
      </c>
      <c r="G105" s="2" t="s">
        <v>2044</v>
      </c>
      <c r="H105" s="40">
        <v>32045388</v>
      </c>
      <c r="I105" s="209" t="s">
        <v>1996</v>
      </c>
      <c r="J105" s="158" t="s">
        <v>1997</v>
      </c>
      <c r="K105" s="35">
        <v>4</v>
      </c>
      <c r="L105" s="32" t="s">
        <v>4</v>
      </c>
      <c r="M105" s="48" t="s">
        <v>464</v>
      </c>
    </row>
    <row r="106" spans="2:13" ht="15.9" customHeight="1" x14ac:dyDescent="0.3">
      <c r="B106" s="11" t="s">
        <v>1</v>
      </c>
      <c r="C106" s="11" t="s">
        <v>1991</v>
      </c>
      <c r="D106" s="67" t="s">
        <v>4</v>
      </c>
      <c r="E106" s="95">
        <v>32110715</v>
      </c>
      <c r="F106" s="163" t="s">
        <v>1992</v>
      </c>
      <c r="G106" s="147" t="s">
        <v>1993</v>
      </c>
      <c r="H106" s="71">
        <v>32045383</v>
      </c>
      <c r="I106" s="32" t="s">
        <v>1998</v>
      </c>
      <c r="J106" s="154" t="s">
        <v>1999</v>
      </c>
      <c r="K106" s="35">
        <v>4</v>
      </c>
      <c r="L106" s="32" t="s">
        <v>4</v>
      </c>
      <c r="M106" s="53" t="s">
        <v>470</v>
      </c>
    </row>
    <row r="107" spans="2:13" ht="15.9" customHeight="1" x14ac:dyDescent="0.3">
      <c r="B107" s="11" t="s">
        <v>1</v>
      </c>
      <c r="C107" s="11" t="s">
        <v>1991</v>
      </c>
      <c r="D107" s="67" t="s">
        <v>4</v>
      </c>
      <c r="E107" s="114">
        <v>32110715</v>
      </c>
      <c r="F107" s="162" t="s">
        <v>1992</v>
      </c>
      <c r="G107" s="146" t="s">
        <v>1993</v>
      </c>
      <c r="H107" s="73">
        <v>32045143</v>
      </c>
      <c r="I107" s="209" t="s">
        <v>2000</v>
      </c>
      <c r="J107" s="159" t="s">
        <v>2001</v>
      </c>
      <c r="K107" s="35">
        <v>4</v>
      </c>
      <c r="L107" s="32" t="s">
        <v>4</v>
      </c>
      <c r="M107" s="48" t="s">
        <v>447</v>
      </c>
    </row>
    <row r="108" spans="2:13" ht="15.9" customHeight="1" x14ac:dyDescent="0.3">
      <c r="B108" s="11" t="s">
        <v>363</v>
      </c>
      <c r="C108" s="11">
        <v>13</v>
      </c>
      <c r="D108" s="18" t="s">
        <v>1236</v>
      </c>
      <c r="E108" s="51">
        <v>32143096</v>
      </c>
      <c r="F108" s="98" t="s">
        <v>1237</v>
      </c>
      <c r="G108" s="146" t="s">
        <v>1238</v>
      </c>
      <c r="H108" s="73">
        <v>32044722</v>
      </c>
      <c r="I108" s="43" t="s">
        <v>1243</v>
      </c>
      <c r="J108" s="6" t="s">
        <v>1244</v>
      </c>
      <c r="K108" s="12">
        <v>14</v>
      </c>
      <c r="L108" s="10" t="s">
        <v>1236</v>
      </c>
      <c r="M108" s="48" t="s">
        <v>1245</v>
      </c>
    </row>
    <row r="109" spans="2:13" ht="15.9" customHeight="1" x14ac:dyDescent="0.3">
      <c r="B109" s="11" t="s">
        <v>363</v>
      </c>
      <c r="C109" s="11">
        <v>13</v>
      </c>
      <c r="D109" s="18" t="s">
        <v>1236</v>
      </c>
      <c r="E109" s="51">
        <v>32143096</v>
      </c>
      <c r="F109" s="98" t="s">
        <v>1237</v>
      </c>
      <c r="G109" s="150" t="s">
        <v>1238</v>
      </c>
      <c r="H109" s="73">
        <v>32044025</v>
      </c>
      <c r="I109" s="43" t="s">
        <v>2379</v>
      </c>
      <c r="J109" s="155" t="s">
        <v>2600</v>
      </c>
      <c r="K109" s="12">
        <v>14</v>
      </c>
      <c r="L109" s="10" t="s">
        <v>1236</v>
      </c>
      <c r="M109" s="48" t="s">
        <v>470</v>
      </c>
    </row>
    <row r="110" spans="2:13" ht="15.9" customHeight="1" x14ac:dyDescent="0.3">
      <c r="B110" s="11" t="s">
        <v>363</v>
      </c>
      <c r="C110" s="11">
        <v>13</v>
      </c>
      <c r="D110" s="18" t="s">
        <v>1236</v>
      </c>
      <c r="E110" s="51">
        <v>32143096</v>
      </c>
      <c r="F110" s="98" t="s">
        <v>1237</v>
      </c>
      <c r="G110" s="146" t="s">
        <v>1238</v>
      </c>
      <c r="H110" s="71">
        <v>32111144</v>
      </c>
      <c r="I110" s="43" t="s">
        <v>1254</v>
      </c>
      <c r="J110" s="6" t="s">
        <v>1255</v>
      </c>
      <c r="K110" s="12">
        <v>14</v>
      </c>
      <c r="L110" s="10" t="s">
        <v>1236</v>
      </c>
      <c r="M110" s="48" t="s">
        <v>179</v>
      </c>
    </row>
    <row r="111" spans="2:13" ht="15.9" customHeight="1" x14ac:dyDescent="0.3">
      <c r="B111" s="11" t="s">
        <v>363</v>
      </c>
      <c r="C111" s="11">
        <v>13</v>
      </c>
      <c r="D111" s="18" t="s">
        <v>1236</v>
      </c>
      <c r="E111" s="51">
        <v>32143096</v>
      </c>
      <c r="F111" s="98" t="s">
        <v>1237</v>
      </c>
      <c r="G111" s="147" t="s">
        <v>1238</v>
      </c>
      <c r="H111" s="73">
        <v>32044243</v>
      </c>
      <c r="I111" s="43" t="s">
        <v>1239</v>
      </c>
      <c r="J111" s="6" t="s">
        <v>1240</v>
      </c>
      <c r="K111" s="12">
        <v>14</v>
      </c>
      <c r="L111" s="10" t="s">
        <v>1236</v>
      </c>
      <c r="M111" s="48" t="s">
        <v>481</v>
      </c>
    </row>
    <row r="112" spans="2:13" ht="15.9" customHeight="1" x14ac:dyDescent="0.3">
      <c r="B112" s="11" t="s">
        <v>363</v>
      </c>
      <c r="C112" s="11">
        <v>13</v>
      </c>
      <c r="D112" s="18" t="s">
        <v>1236</v>
      </c>
      <c r="E112" s="51">
        <v>32143096</v>
      </c>
      <c r="F112" s="98" t="s">
        <v>1237</v>
      </c>
      <c r="G112" s="146" t="s">
        <v>1238</v>
      </c>
      <c r="H112" s="73">
        <v>32045798</v>
      </c>
      <c r="I112" s="43" t="s">
        <v>1250</v>
      </c>
      <c r="J112" s="80" t="s">
        <v>1251</v>
      </c>
      <c r="K112" s="12">
        <v>14</v>
      </c>
      <c r="L112" s="10" t="s">
        <v>1236</v>
      </c>
      <c r="M112" s="48" t="s">
        <v>511</v>
      </c>
    </row>
    <row r="113" spans="2:13" ht="15.9" customHeight="1" x14ac:dyDescent="0.3">
      <c r="B113" s="11" t="s">
        <v>363</v>
      </c>
      <c r="C113" s="11">
        <v>13</v>
      </c>
      <c r="D113" s="18" t="s">
        <v>1236</v>
      </c>
      <c r="E113" s="51">
        <v>32143096</v>
      </c>
      <c r="F113" s="98" t="s">
        <v>1237</v>
      </c>
      <c r="G113" s="146" t="s">
        <v>1238</v>
      </c>
      <c r="H113" s="71">
        <v>32044993</v>
      </c>
      <c r="I113" s="10" t="s">
        <v>1246</v>
      </c>
      <c r="J113" s="6" t="s">
        <v>1247</v>
      </c>
      <c r="K113" s="12">
        <v>14</v>
      </c>
      <c r="L113" s="10" t="s">
        <v>1236</v>
      </c>
      <c r="M113" s="53" t="s">
        <v>453</v>
      </c>
    </row>
    <row r="114" spans="2:13" ht="15.9" customHeight="1" x14ac:dyDescent="0.3">
      <c r="B114" s="11" t="s">
        <v>363</v>
      </c>
      <c r="C114" s="11">
        <v>13</v>
      </c>
      <c r="D114" s="18" t="s">
        <v>1236</v>
      </c>
      <c r="E114" s="51">
        <v>32143096</v>
      </c>
      <c r="F114" s="98" t="s">
        <v>1237</v>
      </c>
      <c r="G114" s="146" t="s">
        <v>1238</v>
      </c>
      <c r="H114" s="73">
        <v>32067154</v>
      </c>
      <c r="I114" s="43" t="s">
        <v>1252</v>
      </c>
      <c r="J114" s="6" t="s">
        <v>1253</v>
      </c>
      <c r="K114" s="12">
        <v>14</v>
      </c>
      <c r="L114" s="10" t="s">
        <v>1236</v>
      </c>
      <c r="M114" s="48" t="s">
        <v>564</v>
      </c>
    </row>
    <row r="115" spans="2:13" ht="15.9" customHeight="1" x14ac:dyDescent="0.3">
      <c r="B115" s="11" t="s">
        <v>363</v>
      </c>
      <c r="C115" s="11">
        <v>13</v>
      </c>
      <c r="D115" s="18" t="s">
        <v>1236</v>
      </c>
      <c r="E115" s="51">
        <v>32143096</v>
      </c>
      <c r="F115" s="98" t="s">
        <v>1237</v>
      </c>
      <c r="G115" s="147" t="s">
        <v>1238</v>
      </c>
      <c r="H115" s="73">
        <v>32045962</v>
      </c>
      <c r="I115" s="43" t="s">
        <v>1377</v>
      </c>
      <c r="J115" s="6" t="s">
        <v>1378</v>
      </c>
      <c r="K115" s="12">
        <v>14</v>
      </c>
      <c r="L115" s="10" t="s">
        <v>1236</v>
      </c>
      <c r="M115" s="48" t="s">
        <v>499</v>
      </c>
    </row>
    <row r="116" spans="2:13" ht="15.9" customHeight="1" x14ac:dyDescent="0.3">
      <c r="B116" s="11" t="s">
        <v>363</v>
      </c>
      <c r="C116" s="11">
        <v>13</v>
      </c>
      <c r="D116" s="18" t="s">
        <v>1236</v>
      </c>
      <c r="E116" s="51">
        <v>32143096</v>
      </c>
      <c r="F116" s="98" t="s">
        <v>1237</v>
      </c>
      <c r="G116" s="146" t="s">
        <v>1238</v>
      </c>
      <c r="H116" s="73">
        <v>32132604</v>
      </c>
      <c r="I116" s="43" t="s">
        <v>1258</v>
      </c>
      <c r="J116" s="155" t="s">
        <v>1259</v>
      </c>
      <c r="K116" s="12">
        <v>14</v>
      </c>
      <c r="L116" s="10" t="s">
        <v>1236</v>
      </c>
      <c r="M116" s="48" t="s">
        <v>464</v>
      </c>
    </row>
    <row r="117" spans="2:13" ht="15.9" customHeight="1" x14ac:dyDescent="0.3">
      <c r="B117" s="11" t="s">
        <v>363</v>
      </c>
      <c r="C117" s="11">
        <v>13</v>
      </c>
      <c r="D117" s="18" t="s">
        <v>1236</v>
      </c>
      <c r="E117" s="51">
        <v>32143096</v>
      </c>
      <c r="F117" s="98" t="s">
        <v>1237</v>
      </c>
      <c r="G117" s="146" t="s">
        <v>1238</v>
      </c>
      <c r="H117" s="73">
        <v>32044487</v>
      </c>
      <c r="I117" s="43" t="s">
        <v>1241</v>
      </c>
      <c r="J117" s="6" t="s">
        <v>1242</v>
      </c>
      <c r="K117" s="12">
        <v>14</v>
      </c>
      <c r="L117" s="10" t="s">
        <v>1236</v>
      </c>
      <c r="M117" s="48" t="s">
        <v>719</v>
      </c>
    </row>
    <row r="118" spans="2:13" ht="15.9" customHeight="1" x14ac:dyDescent="0.3">
      <c r="B118" s="11" t="s">
        <v>363</v>
      </c>
      <c r="C118" s="11">
        <v>13</v>
      </c>
      <c r="D118" s="18" t="s">
        <v>1236</v>
      </c>
      <c r="E118" s="51">
        <v>32143096</v>
      </c>
      <c r="F118" s="98" t="s">
        <v>1237</v>
      </c>
      <c r="G118" s="150" t="s">
        <v>1238</v>
      </c>
      <c r="H118" s="73">
        <v>32186050</v>
      </c>
      <c r="I118" s="43" t="s">
        <v>1260</v>
      </c>
      <c r="J118" s="6" t="s">
        <v>1261</v>
      </c>
      <c r="K118" s="12">
        <v>14</v>
      </c>
      <c r="L118" s="10" t="s">
        <v>1236</v>
      </c>
      <c r="M118" s="48" t="s">
        <v>456</v>
      </c>
    </row>
    <row r="119" spans="2:13" ht="15.9" customHeight="1" x14ac:dyDescent="0.3">
      <c r="B119" s="11" t="s">
        <v>363</v>
      </c>
      <c r="C119" s="11">
        <v>13</v>
      </c>
      <c r="D119" s="18" t="s">
        <v>1236</v>
      </c>
      <c r="E119" s="51">
        <v>32143096</v>
      </c>
      <c r="F119" s="98" t="s">
        <v>1237</v>
      </c>
      <c r="G119" s="146" t="s">
        <v>1238</v>
      </c>
      <c r="H119" s="73">
        <v>32197873</v>
      </c>
      <c r="I119" s="43" t="s">
        <v>1262</v>
      </c>
      <c r="J119" s="6" t="s">
        <v>1263</v>
      </c>
      <c r="K119" s="12">
        <v>14</v>
      </c>
      <c r="L119" s="10" t="s">
        <v>1236</v>
      </c>
      <c r="M119" s="48" t="s">
        <v>511</v>
      </c>
    </row>
    <row r="120" spans="2:13" ht="15.9" customHeight="1" x14ac:dyDescent="0.3">
      <c r="B120" s="11" t="s">
        <v>363</v>
      </c>
      <c r="C120" s="11">
        <v>13</v>
      </c>
      <c r="D120" s="12" t="s">
        <v>1236</v>
      </c>
      <c r="E120" s="38">
        <v>32143096</v>
      </c>
      <c r="F120" s="56" t="s">
        <v>1237</v>
      </c>
      <c r="G120" s="2" t="s">
        <v>1238</v>
      </c>
      <c r="H120" s="40">
        <v>32132047</v>
      </c>
      <c r="I120" s="54" t="s">
        <v>1256</v>
      </c>
      <c r="J120" s="6" t="s">
        <v>1257</v>
      </c>
      <c r="K120" s="12">
        <v>14</v>
      </c>
      <c r="L120" s="10" t="s">
        <v>1236</v>
      </c>
      <c r="M120" s="48" t="s">
        <v>779</v>
      </c>
    </row>
    <row r="121" spans="2:13" ht="15.9" customHeight="1" x14ac:dyDescent="0.3">
      <c r="B121" s="11" t="s">
        <v>363</v>
      </c>
      <c r="C121" s="11">
        <v>13</v>
      </c>
      <c r="D121" s="12" t="s">
        <v>1236</v>
      </c>
      <c r="E121" s="12">
        <v>32143096</v>
      </c>
      <c r="F121" s="56" t="s">
        <v>1237</v>
      </c>
      <c r="G121" s="2" t="s">
        <v>1238</v>
      </c>
      <c r="H121" s="40">
        <v>32045601</v>
      </c>
      <c r="I121" s="54" t="s">
        <v>1248</v>
      </c>
      <c r="J121" s="6" t="s">
        <v>1249</v>
      </c>
      <c r="K121" s="12">
        <v>14</v>
      </c>
      <c r="L121" s="10" t="s">
        <v>1236</v>
      </c>
      <c r="M121" s="48" t="s">
        <v>447</v>
      </c>
    </row>
    <row r="122" spans="2:13" ht="15.9" customHeight="1" x14ac:dyDescent="0.3">
      <c r="B122" s="11" t="s">
        <v>363</v>
      </c>
      <c r="C122" s="11">
        <v>4</v>
      </c>
      <c r="D122" s="35" t="s">
        <v>514</v>
      </c>
      <c r="E122" s="12">
        <v>32148105</v>
      </c>
      <c r="F122" s="56" t="s">
        <v>515</v>
      </c>
      <c r="G122" s="2" t="s">
        <v>520</v>
      </c>
      <c r="H122" s="40">
        <v>32046440</v>
      </c>
      <c r="I122" s="54" t="s">
        <v>531</v>
      </c>
      <c r="J122" s="6" t="s">
        <v>532</v>
      </c>
      <c r="K122" s="12">
        <v>15</v>
      </c>
      <c r="L122" s="10" t="s">
        <v>514</v>
      </c>
      <c r="M122" s="48" t="s">
        <v>456</v>
      </c>
    </row>
    <row r="123" spans="2:13" ht="15.9" customHeight="1" x14ac:dyDescent="0.3">
      <c r="B123" s="11" t="s">
        <v>363</v>
      </c>
      <c r="C123" s="11">
        <v>4</v>
      </c>
      <c r="D123" s="35" t="s">
        <v>514</v>
      </c>
      <c r="E123" s="113">
        <v>32148105</v>
      </c>
      <c r="F123" s="134" t="s">
        <v>515</v>
      </c>
      <c r="G123" s="2" t="s">
        <v>520</v>
      </c>
      <c r="H123" s="40">
        <v>32143050</v>
      </c>
      <c r="I123" s="54" t="s">
        <v>548</v>
      </c>
      <c r="J123" s="6" t="s">
        <v>549</v>
      </c>
      <c r="K123" s="12">
        <v>15</v>
      </c>
      <c r="L123" s="10" t="s">
        <v>514</v>
      </c>
      <c r="M123" s="48" t="s">
        <v>467</v>
      </c>
    </row>
    <row r="124" spans="2:13" ht="15.9" customHeight="1" x14ac:dyDescent="0.3">
      <c r="B124" s="11" t="s">
        <v>363</v>
      </c>
      <c r="C124" s="11">
        <v>4</v>
      </c>
      <c r="D124" s="35" t="s">
        <v>514</v>
      </c>
      <c r="E124" s="12">
        <v>32148105</v>
      </c>
      <c r="F124" s="56" t="s">
        <v>515</v>
      </c>
      <c r="G124" s="2" t="s">
        <v>520</v>
      </c>
      <c r="H124" s="41">
        <v>32046142</v>
      </c>
      <c r="I124" s="34" t="s">
        <v>630</v>
      </c>
      <c r="J124" s="6" t="s">
        <v>631</v>
      </c>
      <c r="K124" s="12">
        <v>15</v>
      </c>
      <c r="L124" s="10" t="s">
        <v>514</v>
      </c>
      <c r="M124" s="53" t="s">
        <v>632</v>
      </c>
    </row>
    <row r="125" spans="2:13" ht="15.9" customHeight="1" x14ac:dyDescent="0.3">
      <c r="B125" s="11" t="s">
        <v>363</v>
      </c>
      <c r="C125" s="11">
        <v>4</v>
      </c>
      <c r="D125" s="10" t="s">
        <v>514</v>
      </c>
      <c r="E125" s="21">
        <v>32148105</v>
      </c>
      <c r="F125" s="22" t="s">
        <v>515</v>
      </c>
      <c r="G125" s="2" t="s">
        <v>520</v>
      </c>
      <c r="H125" s="40">
        <v>32071028</v>
      </c>
      <c r="I125" s="44" t="s">
        <v>537</v>
      </c>
      <c r="J125" s="6" t="s">
        <v>538</v>
      </c>
      <c r="K125" s="12">
        <v>14</v>
      </c>
      <c r="L125" s="10" t="s">
        <v>514</v>
      </c>
      <c r="M125" s="48" t="s">
        <v>447</v>
      </c>
    </row>
    <row r="126" spans="2:13" ht="15.9" customHeight="1" x14ac:dyDescent="0.3">
      <c r="B126" s="11" t="s">
        <v>363</v>
      </c>
      <c r="C126" s="11">
        <v>4</v>
      </c>
      <c r="D126" s="35" t="s">
        <v>514</v>
      </c>
      <c r="E126" s="113">
        <v>32148105</v>
      </c>
      <c r="F126" s="134" t="s">
        <v>515</v>
      </c>
      <c r="G126" s="2" t="s">
        <v>520</v>
      </c>
      <c r="H126" s="40">
        <v>32199342</v>
      </c>
      <c r="I126" s="44" t="s">
        <v>555</v>
      </c>
      <c r="J126" s="6" t="s">
        <v>556</v>
      </c>
      <c r="K126" s="12">
        <v>15</v>
      </c>
      <c r="L126" s="10" t="s">
        <v>514</v>
      </c>
      <c r="M126" s="48" t="s">
        <v>237</v>
      </c>
    </row>
    <row r="127" spans="2:13" ht="15.9" customHeight="1" x14ac:dyDescent="0.3">
      <c r="B127" s="11" t="s">
        <v>363</v>
      </c>
      <c r="C127" s="11">
        <v>4</v>
      </c>
      <c r="D127" s="35" t="s">
        <v>514</v>
      </c>
      <c r="E127" s="21">
        <v>32148105</v>
      </c>
      <c r="F127" s="22" t="s">
        <v>515</v>
      </c>
      <c r="G127" s="2" t="s">
        <v>520</v>
      </c>
      <c r="H127" s="40">
        <v>32096443</v>
      </c>
      <c r="I127" s="44" t="s">
        <v>539</v>
      </c>
      <c r="J127" s="156" t="s">
        <v>540</v>
      </c>
      <c r="K127" s="12">
        <v>15</v>
      </c>
      <c r="L127" s="10" t="s">
        <v>514</v>
      </c>
      <c r="M127" s="48" t="s">
        <v>456</v>
      </c>
    </row>
    <row r="128" spans="2:13" ht="15.9" customHeight="1" x14ac:dyDescent="0.3">
      <c r="B128" s="11" t="s">
        <v>363</v>
      </c>
      <c r="C128" s="11">
        <v>4</v>
      </c>
      <c r="D128" s="35" t="s">
        <v>514</v>
      </c>
      <c r="E128" s="12">
        <v>32148105</v>
      </c>
      <c r="F128" s="13" t="s">
        <v>515</v>
      </c>
      <c r="G128" s="2" t="s">
        <v>520</v>
      </c>
      <c r="H128" s="40">
        <v>32044737</v>
      </c>
      <c r="I128" s="44" t="s">
        <v>521</v>
      </c>
      <c r="J128" s="80" t="s">
        <v>61</v>
      </c>
      <c r="K128" s="12">
        <v>15</v>
      </c>
      <c r="L128" s="10" t="s">
        <v>514</v>
      </c>
      <c r="M128" s="48" t="s">
        <v>522</v>
      </c>
    </row>
    <row r="129" spans="2:13" ht="15.9" customHeight="1" x14ac:dyDescent="0.3">
      <c r="B129" s="11" t="s">
        <v>363</v>
      </c>
      <c r="C129" s="11">
        <v>4</v>
      </c>
      <c r="D129" s="10" t="s">
        <v>514</v>
      </c>
      <c r="E129" s="110">
        <v>32148105</v>
      </c>
      <c r="F129" s="131" t="s">
        <v>515</v>
      </c>
      <c r="G129" s="146" t="s">
        <v>520</v>
      </c>
      <c r="H129" s="71">
        <v>32096528</v>
      </c>
      <c r="I129" s="43" t="s">
        <v>660</v>
      </c>
      <c r="J129" s="6" t="s">
        <v>661</v>
      </c>
      <c r="K129" s="12">
        <v>14</v>
      </c>
      <c r="L129" s="10" t="s">
        <v>514</v>
      </c>
      <c r="M129" s="48" t="s">
        <v>511</v>
      </c>
    </row>
    <row r="130" spans="2:13" ht="15.9" customHeight="1" x14ac:dyDescent="0.3">
      <c r="B130" s="11" t="s">
        <v>363</v>
      </c>
      <c r="C130" s="11">
        <v>4</v>
      </c>
      <c r="D130" s="35" t="s">
        <v>514</v>
      </c>
      <c r="E130" s="113">
        <v>32148105</v>
      </c>
      <c r="F130" s="134" t="s">
        <v>515</v>
      </c>
      <c r="G130" s="2" t="s">
        <v>520</v>
      </c>
      <c r="H130" s="41">
        <v>32057512</v>
      </c>
      <c r="I130" s="43" t="s">
        <v>533</v>
      </c>
      <c r="J130" s="155" t="s">
        <v>534</v>
      </c>
      <c r="K130" s="12">
        <v>15</v>
      </c>
      <c r="L130" s="10" t="s">
        <v>514</v>
      </c>
      <c r="M130" s="48" t="s">
        <v>473</v>
      </c>
    </row>
    <row r="131" spans="2:13" ht="15.9" customHeight="1" x14ac:dyDescent="0.3">
      <c r="B131" s="11" t="s">
        <v>363</v>
      </c>
      <c r="C131" s="11">
        <v>4</v>
      </c>
      <c r="D131" s="35" t="s">
        <v>514</v>
      </c>
      <c r="E131" s="12">
        <v>32148105</v>
      </c>
      <c r="F131" s="13" t="s">
        <v>515</v>
      </c>
      <c r="G131" s="2" t="s">
        <v>520</v>
      </c>
      <c r="H131" s="40">
        <v>32149066</v>
      </c>
      <c r="I131" s="43" t="s">
        <v>550</v>
      </c>
      <c r="J131" s="6" t="s">
        <v>551</v>
      </c>
      <c r="K131" s="12">
        <v>15</v>
      </c>
      <c r="L131" s="10" t="s">
        <v>514</v>
      </c>
      <c r="M131" s="48" t="s">
        <v>447</v>
      </c>
    </row>
    <row r="132" spans="2:13" ht="15.9" customHeight="1" x14ac:dyDescent="0.3">
      <c r="B132" s="11" t="s">
        <v>363</v>
      </c>
      <c r="C132" s="11">
        <v>4</v>
      </c>
      <c r="D132" s="35" t="s">
        <v>514</v>
      </c>
      <c r="E132" s="12">
        <v>32148105</v>
      </c>
      <c r="F132" s="13" t="s">
        <v>515</v>
      </c>
      <c r="G132" s="2" t="s">
        <v>520</v>
      </c>
      <c r="H132" s="40">
        <v>32044578</v>
      </c>
      <c r="I132" s="10" t="s">
        <v>559</v>
      </c>
      <c r="J132" s="143" t="s">
        <v>560</v>
      </c>
      <c r="K132" s="12">
        <v>15</v>
      </c>
      <c r="L132" s="10" t="s">
        <v>514</v>
      </c>
      <c r="M132" s="18" t="s">
        <v>561</v>
      </c>
    </row>
    <row r="133" spans="2:13" ht="15.9" customHeight="1" x14ac:dyDescent="0.3">
      <c r="B133" s="11" t="s">
        <v>363</v>
      </c>
      <c r="C133" s="11">
        <v>4</v>
      </c>
      <c r="D133" s="35" t="s">
        <v>514</v>
      </c>
      <c r="E133" s="12">
        <v>32148105</v>
      </c>
      <c r="F133" s="50" t="s">
        <v>515</v>
      </c>
      <c r="G133" s="146" t="s">
        <v>520</v>
      </c>
      <c r="H133" s="73">
        <v>32045654</v>
      </c>
      <c r="I133" s="43" t="s">
        <v>526</v>
      </c>
      <c r="J133" s="6" t="s">
        <v>527</v>
      </c>
      <c r="K133" s="12">
        <v>15</v>
      </c>
      <c r="L133" s="10" t="s">
        <v>514</v>
      </c>
      <c r="M133" s="18" t="s">
        <v>522</v>
      </c>
    </row>
    <row r="134" spans="2:13" ht="15.9" customHeight="1" x14ac:dyDescent="0.3">
      <c r="B134" s="11" t="s">
        <v>363</v>
      </c>
      <c r="C134" s="11">
        <v>4</v>
      </c>
      <c r="D134" s="10" t="s">
        <v>514</v>
      </c>
      <c r="E134" s="12">
        <v>32148105</v>
      </c>
      <c r="F134" s="13" t="s">
        <v>515</v>
      </c>
      <c r="G134" s="2" t="s">
        <v>520</v>
      </c>
      <c r="H134" s="40">
        <v>32046030</v>
      </c>
      <c r="I134" s="43" t="s">
        <v>528</v>
      </c>
      <c r="J134" s="6" t="s">
        <v>529</v>
      </c>
      <c r="K134" s="12">
        <v>15</v>
      </c>
      <c r="L134" s="10" t="s">
        <v>514</v>
      </c>
      <c r="M134" s="18" t="s">
        <v>530</v>
      </c>
    </row>
    <row r="135" spans="2:13" ht="15.9" customHeight="1" x14ac:dyDescent="0.3">
      <c r="B135" s="11" t="s">
        <v>363</v>
      </c>
      <c r="C135" s="11">
        <v>4</v>
      </c>
      <c r="D135" s="35" t="s">
        <v>514</v>
      </c>
      <c r="E135" s="12">
        <v>32148105</v>
      </c>
      <c r="F135" s="13" t="s">
        <v>515</v>
      </c>
      <c r="G135" s="2" t="s">
        <v>520</v>
      </c>
      <c r="H135" s="40">
        <v>32197883</v>
      </c>
      <c r="I135" s="43" t="s">
        <v>552</v>
      </c>
      <c r="J135" s="6" t="s">
        <v>553</v>
      </c>
      <c r="K135" s="12">
        <v>15</v>
      </c>
      <c r="L135" s="10" t="s">
        <v>514</v>
      </c>
      <c r="M135" s="18" t="s">
        <v>554</v>
      </c>
    </row>
    <row r="136" spans="2:13" ht="15.9" customHeight="1" x14ac:dyDescent="0.3">
      <c r="B136" s="11" t="s">
        <v>363</v>
      </c>
      <c r="C136" s="11">
        <v>4</v>
      </c>
      <c r="D136" s="10" t="s">
        <v>514</v>
      </c>
      <c r="E136" s="12">
        <v>32148105</v>
      </c>
      <c r="F136" s="13" t="s">
        <v>515</v>
      </c>
      <c r="G136" s="146" t="s">
        <v>520</v>
      </c>
      <c r="H136" s="40">
        <v>32142779</v>
      </c>
      <c r="I136" s="10" t="s">
        <v>545</v>
      </c>
      <c r="J136" s="6" t="s">
        <v>546</v>
      </c>
      <c r="K136" s="12">
        <v>14</v>
      </c>
      <c r="L136" s="10" t="s">
        <v>514</v>
      </c>
      <c r="M136" s="53" t="s">
        <v>547</v>
      </c>
    </row>
    <row r="137" spans="2:13" ht="15.9" customHeight="1" x14ac:dyDescent="0.3">
      <c r="B137" s="11" t="s">
        <v>363</v>
      </c>
      <c r="C137" s="11">
        <v>4</v>
      </c>
      <c r="D137" s="35" t="s">
        <v>514</v>
      </c>
      <c r="E137" s="12">
        <v>32148105</v>
      </c>
      <c r="F137" s="13" t="s">
        <v>515</v>
      </c>
      <c r="G137" s="2" t="s">
        <v>520</v>
      </c>
      <c r="H137" s="40">
        <v>32188129</v>
      </c>
      <c r="I137" s="43" t="s">
        <v>2380</v>
      </c>
      <c r="J137" s="6" t="s">
        <v>61</v>
      </c>
      <c r="K137" s="12">
        <v>15</v>
      </c>
      <c r="L137" s="10" t="s">
        <v>514</v>
      </c>
      <c r="M137" s="48" t="s">
        <v>464</v>
      </c>
    </row>
    <row r="138" spans="2:13" ht="15.9" customHeight="1" x14ac:dyDescent="0.3">
      <c r="B138" s="11" t="s">
        <v>363</v>
      </c>
      <c r="C138" s="11">
        <v>4</v>
      </c>
      <c r="D138" s="35" t="s">
        <v>514</v>
      </c>
      <c r="E138" s="113">
        <v>32148105</v>
      </c>
      <c r="F138" s="134" t="s">
        <v>515</v>
      </c>
      <c r="G138" s="2" t="s">
        <v>520</v>
      </c>
      <c r="H138" s="40">
        <v>32071020</v>
      </c>
      <c r="I138" s="43" t="s">
        <v>535</v>
      </c>
      <c r="J138" s="6" t="s">
        <v>536</v>
      </c>
      <c r="K138" s="12">
        <v>15</v>
      </c>
      <c r="L138" s="10" t="s">
        <v>514</v>
      </c>
      <c r="M138" s="48" t="s">
        <v>470</v>
      </c>
    </row>
    <row r="139" spans="2:13" ht="15.9" customHeight="1" x14ac:dyDescent="0.3">
      <c r="B139" s="11" t="s">
        <v>363</v>
      </c>
      <c r="C139" s="11">
        <v>4</v>
      </c>
      <c r="D139" s="35" t="s">
        <v>514</v>
      </c>
      <c r="E139" s="113">
        <v>32148105</v>
      </c>
      <c r="F139" s="134" t="s">
        <v>515</v>
      </c>
      <c r="G139" s="2" t="s">
        <v>520</v>
      </c>
      <c r="H139" s="41">
        <v>32045356</v>
      </c>
      <c r="I139" s="43" t="s">
        <v>523</v>
      </c>
      <c r="J139" s="6" t="s">
        <v>524</v>
      </c>
      <c r="K139" s="12">
        <v>15</v>
      </c>
      <c r="L139" s="10" t="s">
        <v>514</v>
      </c>
      <c r="M139" s="48" t="s">
        <v>525</v>
      </c>
    </row>
    <row r="140" spans="2:13" ht="15.9" customHeight="1" x14ac:dyDescent="0.3">
      <c r="B140" s="11" t="s">
        <v>363</v>
      </c>
      <c r="C140" s="11">
        <v>4</v>
      </c>
      <c r="D140" s="10" t="s">
        <v>514</v>
      </c>
      <c r="E140" s="12">
        <v>32148105</v>
      </c>
      <c r="F140" s="13" t="s">
        <v>515</v>
      </c>
      <c r="G140" s="2" t="s">
        <v>520</v>
      </c>
      <c r="H140" s="40">
        <v>32046469</v>
      </c>
      <c r="I140" s="43" t="s">
        <v>971</v>
      </c>
      <c r="J140" s="6" t="s">
        <v>972</v>
      </c>
      <c r="K140" s="12">
        <v>15</v>
      </c>
      <c r="L140" s="10" t="s">
        <v>514</v>
      </c>
      <c r="M140" s="48" t="s">
        <v>973</v>
      </c>
    </row>
    <row r="141" spans="2:13" ht="15.9" customHeight="1" x14ac:dyDescent="0.3">
      <c r="B141" s="11" t="s">
        <v>363</v>
      </c>
      <c r="C141" s="11">
        <v>1</v>
      </c>
      <c r="D141" s="12" t="s">
        <v>364</v>
      </c>
      <c r="E141" s="12">
        <v>32046689</v>
      </c>
      <c r="F141" s="26" t="s">
        <v>365</v>
      </c>
      <c r="G141" s="2" t="s">
        <v>366</v>
      </c>
      <c r="H141" s="40">
        <v>32067736</v>
      </c>
      <c r="I141" s="10" t="s">
        <v>367</v>
      </c>
      <c r="J141" s="6" t="s">
        <v>368</v>
      </c>
      <c r="K141" s="12">
        <v>6</v>
      </c>
      <c r="L141" s="10" t="s">
        <v>364</v>
      </c>
      <c r="M141" s="18" t="s">
        <v>369</v>
      </c>
    </row>
    <row r="142" spans="2:13" ht="15.9" customHeight="1" x14ac:dyDescent="0.3">
      <c r="B142" s="11" t="s">
        <v>363</v>
      </c>
      <c r="C142" s="11">
        <v>1</v>
      </c>
      <c r="D142" s="12" t="s">
        <v>364</v>
      </c>
      <c r="E142" s="21">
        <v>32046689</v>
      </c>
      <c r="F142" s="187" t="s">
        <v>365</v>
      </c>
      <c r="G142" s="2" t="s">
        <v>366</v>
      </c>
      <c r="H142" s="40">
        <v>32046175</v>
      </c>
      <c r="I142" s="43" t="s">
        <v>370</v>
      </c>
      <c r="J142" s="6" t="s">
        <v>371</v>
      </c>
      <c r="K142" s="12">
        <v>6</v>
      </c>
      <c r="L142" s="10" t="s">
        <v>364</v>
      </c>
      <c r="M142" s="18" t="s">
        <v>372</v>
      </c>
    </row>
    <row r="143" spans="2:13" ht="15.9" customHeight="1" x14ac:dyDescent="0.3">
      <c r="B143" s="11" t="s">
        <v>363</v>
      </c>
      <c r="C143" s="11">
        <v>1</v>
      </c>
      <c r="D143" s="18" t="s">
        <v>364</v>
      </c>
      <c r="E143" s="51">
        <v>32046689</v>
      </c>
      <c r="F143" s="99" t="s">
        <v>365</v>
      </c>
      <c r="G143" s="146" t="s">
        <v>366</v>
      </c>
      <c r="H143" s="73">
        <v>32046354</v>
      </c>
      <c r="I143" s="43" t="s">
        <v>373</v>
      </c>
      <c r="J143" s="6" t="s">
        <v>374</v>
      </c>
      <c r="K143" s="12">
        <v>6</v>
      </c>
      <c r="L143" s="10" t="s">
        <v>364</v>
      </c>
      <c r="M143" s="18" t="s">
        <v>375</v>
      </c>
    </row>
    <row r="144" spans="2:13" ht="15.9" customHeight="1" x14ac:dyDescent="0.3">
      <c r="B144" s="11" t="s">
        <v>363</v>
      </c>
      <c r="C144" s="11">
        <v>1</v>
      </c>
      <c r="D144" s="18" t="s">
        <v>364</v>
      </c>
      <c r="E144" s="113">
        <v>32046689</v>
      </c>
      <c r="F144" s="132" t="s">
        <v>365</v>
      </c>
      <c r="G144" s="146" t="s">
        <v>366</v>
      </c>
      <c r="H144" s="73">
        <v>32136855</v>
      </c>
      <c r="I144" s="43" t="s">
        <v>376</v>
      </c>
      <c r="J144" s="6" t="s">
        <v>377</v>
      </c>
      <c r="K144" s="12">
        <v>6</v>
      </c>
      <c r="L144" s="10" t="s">
        <v>364</v>
      </c>
      <c r="M144" s="18" t="s">
        <v>378</v>
      </c>
    </row>
    <row r="145" spans="2:13" ht="15.9" customHeight="1" x14ac:dyDescent="0.3">
      <c r="B145" s="11" t="s">
        <v>363</v>
      </c>
      <c r="C145" s="11">
        <v>1</v>
      </c>
      <c r="D145" s="18" t="s">
        <v>364</v>
      </c>
      <c r="E145" s="51">
        <v>32046689</v>
      </c>
      <c r="F145" s="99" t="s">
        <v>365</v>
      </c>
      <c r="G145" s="146" t="s">
        <v>366</v>
      </c>
      <c r="H145" s="73">
        <v>32057054</v>
      </c>
      <c r="I145" s="43" t="s">
        <v>379</v>
      </c>
      <c r="J145" s="6" t="s">
        <v>380</v>
      </c>
      <c r="K145" s="12">
        <v>6</v>
      </c>
      <c r="L145" s="10" t="s">
        <v>364</v>
      </c>
      <c r="M145" s="18" t="s">
        <v>381</v>
      </c>
    </row>
    <row r="146" spans="2:13" ht="15.9" customHeight="1" x14ac:dyDescent="0.3">
      <c r="B146" s="11" t="s">
        <v>363</v>
      </c>
      <c r="C146" s="11">
        <v>1</v>
      </c>
      <c r="D146" s="18" t="s">
        <v>364</v>
      </c>
      <c r="E146" s="51">
        <v>32046689</v>
      </c>
      <c r="F146" s="99" t="s">
        <v>365</v>
      </c>
      <c r="G146" s="146" t="s">
        <v>366</v>
      </c>
      <c r="H146" s="73">
        <v>32046253</v>
      </c>
      <c r="I146" s="34" t="s">
        <v>382</v>
      </c>
      <c r="J146" s="143" t="s">
        <v>383</v>
      </c>
      <c r="K146" s="12">
        <v>6</v>
      </c>
      <c r="L146" s="10" t="s">
        <v>364</v>
      </c>
      <c r="M146" s="51" t="s">
        <v>384</v>
      </c>
    </row>
    <row r="147" spans="2:13" ht="15.9" customHeight="1" x14ac:dyDescent="0.3">
      <c r="B147" s="11" t="s">
        <v>363</v>
      </c>
      <c r="C147" s="11">
        <v>5</v>
      </c>
      <c r="D147" s="18" t="s">
        <v>640</v>
      </c>
      <c r="E147" s="114">
        <v>32141851</v>
      </c>
      <c r="F147" s="162" t="s">
        <v>606</v>
      </c>
      <c r="G147" s="146" t="s">
        <v>607</v>
      </c>
      <c r="H147" s="73">
        <v>32139713</v>
      </c>
      <c r="I147" s="44" t="s">
        <v>2381</v>
      </c>
      <c r="J147" s="6" t="s">
        <v>2601</v>
      </c>
      <c r="K147" s="12">
        <v>14</v>
      </c>
      <c r="L147" s="10" t="s">
        <v>640</v>
      </c>
      <c r="M147" s="42" t="s">
        <v>547</v>
      </c>
    </row>
    <row r="148" spans="2:13" ht="15.9" customHeight="1" x14ac:dyDescent="0.3">
      <c r="B148" s="11" t="s">
        <v>363</v>
      </c>
      <c r="C148" s="11">
        <v>5</v>
      </c>
      <c r="D148" s="18" t="s">
        <v>640</v>
      </c>
      <c r="E148" s="114">
        <v>32141851</v>
      </c>
      <c r="F148" s="162" t="s">
        <v>606</v>
      </c>
      <c r="G148" s="146" t="s">
        <v>607</v>
      </c>
      <c r="H148" s="73">
        <v>32149610</v>
      </c>
      <c r="I148" s="44" t="s">
        <v>671</v>
      </c>
      <c r="J148" s="6" t="s">
        <v>672</v>
      </c>
      <c r="K148" s="12">
        <v>14</v>
      </c>
      <c r="L148" s="10" t="s">
        <v>640</v>
      </c>
      <c r="M148" s="42" t="s">
        <v>587</v>
      </c>
    </row>
    <row r="149" spans="2:13" ht="15.9" customHeight="1" x14ac:dyDescent="0.3">
      <c r="B149" s="11" t="s">
        <v>363</v>
      </c>
      <c r="C149" s="11">
        <v>5</v>
      </c>
      <c r="D149" s="18" t="s">
        <v>640</v>
      </c>
      <c r="E149" s="114">
        <v>32141851</v>
      </c>
      <c r="F149" s="162" t="s">
        <v>606</v>
      </c>
      <c r="G149" s="146" t="s">
        <v>607</v>
      </c>
      <c r="H149" s="73">
        <v>32045011</v>
      </c>
      <c r="I149" s="44" t="s">
        <v>647</v>
      </c>
      <c r="J149" s="6" t="s">
        <v>648</v>
      </c>
      <c r="K149" s="12">
        <v>14</v>
      </c>
      <c r="L149" s="10" t="s">
        <v>640</v>
      </c>
      <c r="M149" s="42" t="s">
        <v>649</v>
      </c>
    </row>
    <row r="150" spans="2:13" ht="15.9" customHeight="1" x14ac:dyDescent="0.3">
      <c r="B150" s="11" t="s">
        <v>363</v>
      </c>
      <c r="C150" s="11">
        <v>5</v>
      </c>
      <c r="D150" s="18" t="s">
        <v>640</v>
      </c>
      <c r="E150" s="94">
        <v>32141851</v>
      </c>
      <c r="F150" s="166" t="s">
        <v>606</v>
      </c>
      <c r="G150" s="146" t="s">
        <v>607</v>
      </c>
      <c r="H150" s="73">
        <v>32067364</v>
      </c>
      <c r="I150" s="44" t="s">
        <v>2382</v>
      </c>
      <c r="J150" s="6" t="s">
        <v>2602</v>
      </c>
      <c r="K150" s="12">
        <v>14</v>
      </c>
      <c r="L150" s="10" t="s">
        <v>640</v>
      </c>
      <c r="M150" s="42" t="s">
        <v>519</v>
      </c>
    </row>
    <row r="151" spans="2:13" ht="15.9" customHeight="1" x14ac:dyDescent="0.3">
      <c r="B151" s="11" t="s">
        <v>363</v>
      </c>
      <c r="C151" s="11">
        <v>5</v>
      </c>
      <c r="D151" s="67" t="s">
        <v>640</v>
      </c>
      <c r="E151" s="114">
        <v>32141851</v>
      </c>
      <c r="F151" s="162" t="s">
        <v>606</v>
      </c>
      <c r="G151" s="146" t="s">
        <v>607</v>
      </c>
      <c r="H151" s="73">
        <v>32044019</v>
      </c>
      <c r="I151" s="43" t="s">
        <v>2383</v>
      </c>
      <c r="J151" s="6" t="s">
        <v>2603</v>
      </c>
      <c r="K151" s="12">
        <v>16</v>
      </c>
      <c r="L151" s="10" t="s">
        <v>640</v>
      </c>
      <c r="M151" s="42" t="s">
        <v>890</v>
      </c>
    </row>
    <row r="152" spans="2:13" ht="15.9" customHeight="1" x14ac:dyDescent="0.3">
      <c r="B152" s="11" t="s">
        <v>363</v>
      </c>
      <c r="C152" s="11">
        <v>5</v>
      </c>
      <c r="D152" s="18" t="s">
        <v>640</v>
      </c>
      <c r="E152" s="114">
        <v>32141851</v>
      </c>
      <c r="F152" s="162" t="s">
        <v>606</v>
      </c>
      <c r="G152" s="146" t="s">
        <v>607</v>
      </c>
      <c r="H152" s="73">
        <v>32143307</v>
      </c>
      <c r="I152" s="43" t="s">
        <v>669</v>
      </c>
      <c r="J152" s="6" t="s">
        <v>670</v>
      </c>
      <c r="K152" s="12">
        <v>14</v>
      </c>
      <c r="L152" s="10" t="s">
        <v>640</v>
      </c>
      <c r="M152" s="42" t="s">
        <v>623</v>
      </c>
    </row>
    <row r="153" spans="2:13" ht="15.9" customHeight="1" x14ac:dyDescent="0.3">
      <c r="B153" s="11" t="s">
        <v>363</v>
      </c>
      <c r="C153" s="11">
        <v>5</v>
      </c>
      <c r="D153" s="18" t="s">
        <v>640</v>
      </c>
      <c r="E153" s="114">
        <v>32141851</v>
      </c>
      <c r="F153" s="162" t="s">
        <v>606</v>
      </c>
      <c r="G153" s="146" t="s">
        <v>607</v>
      </c>
      <c r="H153" s="71">
        <v>32044741</v>
      </c>
      <c r="I153" s="34" t="s">
        <v>645</v>
      </c>
      <c r="J153" s="143" t="s">
        <v>646</v>
      </c>
      <c r="K153" s="12">
        <v>14</v>
      </c>
      <c r="L153" s="10" t="s">
        <v>640</v>
      </c>
      <c r="M153" s="51" t="s">
        <v>599</v>
      </c>
    </row>
    <row r="154" spans="2:13" ht="15.9" customHeight="1" x14ac:dyDescent="0.3">
      <c r="B154" s="11" t="s">
        <v>363</v>
      </c>
      <c r="C154" s="11">
        <v>5</v>
      </c>
      <c r="D154" s="18" t="s">
        <v>640</v>
      </c>
      <c r="E154" s="114">
        <v>32141851</v>
      </c>
      <c r="F154" s="180" t="s">
        <v>606</v>
      </c>
      <c r="G154" s="147" t="s">
        <v>607</v>
      </c>
      <c r="H154" s="73">
        <v>32143289</v>
      </c>
      <c r="I154" s="44" t="s">
        <v>667</v>
      </c>
      <c r="J154" s="6" t="s">
        <v>668</v>
      </c>
      <c r="K154" s="12">
        <v>14</v>
      </c>
      <c r="L154" s="10" t="s">
        <v>640</v>
      </c>
      <c r="M154" s="42" t="s">
        <v>593</v>
      </c>
    </row>
    <row r="155" spans="2:13" ht="15.9" customHeight="1" x14ac:dyDescent="0.3">
      <c r="B155" s="11" t="s">
        <v>363</v>
      </c>
      <c r="C155" s="11">
        <v>5</v>
      </c>
      <c r="D155" s="18" t="s">
        <v>640</v>
      </c>
      <c r="E155" s="108">
        <v>32141851</v>
      </c>
      <c r="F155" s="165" t="s">
        <v>606</v>
      </c>
      <c r="G155" s="146" t="s">
        <v>607</v>
      </c>
      <c r="H155" s="73">
        <v>32045693</v>
      </c>
      <c r="I155" s="44" t="s">
        <v>652</v>
      </c>
      <c r="J155" s="80" t="s">
        <v>61</v>
      </c>
      <c r="K155" s="12">
        <v>14</v>
      </c>
      <c r="L155" s="10" t="s">
        <v>640</v>
      </c>
      <c r="M155" s="42" t="s">
        <v>470</v>
      </c>
    </row>
    <row r="156" spans="2:13" ht="15.9" customHeight="1" x14ac:dyDescent="0.3">
      <c r="B156" s="11" t="s">
        <v>363</v>
      </c>
      <c r="C156" s="11">
        <v>5</v>
      </c>
      <c r="D156" s="18" t="s">
        <v>640</v>
      </c>
      <c r="E156" s="114">
        <v>32141851</v>
      </c>
      <c r="F156" s="171" t="s">
        <v>606</v>
      </c>
      <c r="G156" s="150" t="s">
        <v>607</v>
      </c>
      <c r="H156" s="73">
        <v>32197876</v>
      </c>
      <c r="I156" s="44" t="s">
        <v>1469</v>
      </c>
      <c r="J156" s="6" t="s">
        <v>1470</v>
      </c>
      <c r="K156" s="12">
        <v>14</v>
      </c>
      <c r="L156" s="10" t="s">
        <v>640</v>
      </c>
      <c r="M156" s="42" t="s">
        <v>1047</v>
      </c>
    </row>
    <row r="157" spans="2:13" ht="15.9" customHeight="1" x14ac:dyDescent="0.3">
      <c r="B157" s="11" t="s">
        <v>363</v>
      </c>
      <c r="C157" s="11">
        <v>5</v>
      </c>
      <c r="D157" s="12" t="s">
        <v>640</v>
      </c>
      <c r="E157" s="122">
        <v>32141851</v>
      </c>
      <c r="F157" s="151" t="s">
        <v>606</v>
      </c>
      <c r="G157" s="2" t="s">
        <v>607</v>
      </c>
      <c r="H157" s="40">
        <v>32197870</v>
      </c>
      <c r="I157" s="44" t="s">
        <v>2384</v>
      </c>
      <c r="J157" s="80" t="s">
        <v>61</v>
      </c>
      <c r="K157" s="12">
        <v>14</v>
      </c>
      <c r="L157" s="10" t="s">
        <v>640</v>
      </c>
      <c r="M157" s="42" t="s">
        <v>581</v>
      </c>
    </row>
    <row r="158" spans="2:13" ht="15.9" customHeight="1" x14ac:dyDescent="0.3">
      <c r="B158" s="11" t="s">
        <v>363</v>
      </c>
      <c r="C158" s="11">
        <v>5</v>
      </c>
      <c r="D158" s="12" t="s">
        <v>640</v>
      </c>
      <c r="E158" s="112">
        <v>32141851</v>
      </c>
      <c r="F158" s="165" t="s">
        <v>606</v>
      </c>
      <c r="G158" s="146" t="s">
        <v>607</v>
      </c>
      <c r="H158" s="73">
        <v>32067182</v>
      </c>
      <c r="I158" s="44" t="s">
        <v>657</v>
      </c>
      <c r="J158" s="143" t="s">
        <v>658</v>
      </c>
      <c r="K158" s="12">
        <v>14</v>
      </c>
      <c r="L158" s="10" t="s">
        <v>640</v>
      </c>
      <c r="M158" s="42" t="s">
        <v>659</v>
      </c>
    </row>
    <row r="159" spans="2:13" ht="15.9" customHeight="1" x14ac:dyDescent="0.3">
      <c r="B159" s="11" t="s">
        <v>363</v>
      </c>
      <c r="C159" s="11">
        <v>5</v>
      </c>
      <c r="D159" s="12" t="s">
        <v>640</v>
      </c>
      <c r="E159" s="112">
        <v>32141851</v>
      </c>
      <c r="F159" s="152" t="s">
        <v>606</v>
      </c>
      <c r="G159" s="2" t="s">
        <v>607</v>
      </c>
      <c r="H159" s="41">
        <v>32044721</v>
      </c>
      <c r="I159" s="43" t="s">
        <v>641</v>
      </c>
      <c r="J159" s="6" t="s">
        <v>642</v>
      </c>
      <c r="K159" s="12">
        <v>14</v>
      </c>
      <c r="L159" s="10" t="s">
        <v>640</v>
      </c>
      <c r="M159" s="42" t="s">
        <v>578</v>
      </c>
    </row>
    <row r="160" spans="2:13" ht="15.9" customHeight="1" x14ac:dyDescent="0.3">
      <c r="B160" s="11" t="s">
        <v>363</v>
      </c>
      <c r="C160" s="11">
        <v>5</v>
      </c>
      <c r="D160" s="12" t="s">
        <v>640</v>
      </c>
      <c r="E160" s="95">
        <v>32141851</v>
      </c>
      <c r="F160" s="163" t="s">
        <v>606</v>
      </c>
      <c r="G160" s="146" t="s">
        <v>607</v>
      </c>
      <c r="H160" s="73">
        <v>32046547</v>
      </c>
      <c r="I160" s="43" t="s">
        <v>653</v>
      </c>
      <c r="J160" s="6" t="s">
        <v>654</v>
      </c>
      <c r="K160" s="12">
        <v>14</v>
      </c>
      <c r="L160" s="10" t="s">
        <v>640</v>
      </c>
      <c r="M160" s="42" t="s">
        <v>456</v>
      </c>
    </row>
    <row r="161" spans="2:13" ht="15.9" customHeight="1" x14ac:dyDescent="0.3">
      <c r="B161" s="11" t="s">
        <v>363</v>
      </c>
      <c r="C161" s="11">
        <v>5</v>
      </c>
      <c r="D161" s="12" t="s">
        <v>640</v>
      </c>
      <c r="E161" s="112">
        <v>32141851</v>
      </c>
      <c r="F161" s="152" t="s">
        <v>606</v>
      </c>
      <c r="G161" s="2" t="s">
        <v>607</v>
      </c>
      <c r="H161" s="40">
        <v>32044733</v>
      </c>
      <c r="I161" s="43" t="s">
        <v>643</v>
      </c>
      <c r="J161" s="6" t="s">
        <v>644</v>
      </c>
      <c r="K161" s="12">
        <v>14</v>
      </c>
      <c r="L161" s="10" t="s">
        <v>640</v>
      </c>
      <c r="M161" s="42" t="s">
        <v>590</v>
      </c>
    </row>
    <row r="162" spans="2:13" ht="15.9" customHeight="1" x14ac:dyDescent="0.3">
      <c r="B162" s="11" t="s">
        <v>363</v>
      </c>
      <c r="C162" s="11">
        <v>11</v>
      </c>
      <c r="D162" s="12" t="s">
        <v>1116</v>
      </c>
      <c r="E162" s="94">
        <v>32155926</v>
      </c>
      <c r="F162" s="161" t="s">
        <v>2346</v>
      </c>
      <c r="G162" s="2" t="s">
        <v>1081</v>
      </c>
      <c r="H162" s="41">
        <v>32044172</v>
      </c>
      <c r="I162" s="34" t="s">
        <v>1117</v>
      </c>
      <c r="J162" s="6" t="s">
        <v>1118</v>
      </c>
      <c r="K162" s="12">
        <v>11</v>
      </c>
      <c r="L162" s="10" t="s">
        <v>1116</v>
      </c>
      <c r="M162" s="53" t="s">
        <v>1074</v>
      </c>
    </row>
    <row r="163" spans="2:13" ht="15.9" customHeight="1" x14ac:dyDescent="0.3">
      <c r="B163" s="11" t="s">
        <v>363</v>
      </c>
      <c r="C163" s="11">
        <v>11</v>
      </c>
      <c r="D163" s="12" t="s">
        <v>1116</v>
      </c>
      <c r="E163" s="112">
        <v>32155926</v>
      </c>
      <c r="F163" s="152" t="s">
        <v>2346</v>
      </c>
      <c r="G163" s="2" t="s">
        <v>1081</v>
      </c>
      <c r="H163" s="40">
        <v>32044809</v>
      </c>
      <c r="I163" s="44" t="s">
        <v>1119</v>
      </c>
      <c r="J163" s="143" t="s">
        <v>1120</v>
      </c>
      <c r="K163" s="12">
        <v>11</v>
      </c>
      <c r="L163" s="10" t="s">
        <v>1116</v>
      </c>
      <c r="M163" s="48" t="s">
        <v>456</v>
      </c>
    </row>
    <row r="164" spans="2:13" ht="15.9" customHeight="1" x14ac:dyDescent="0.3">
      <c r="B164" s="11" t="s">
        <v>363</v>
      </c>
      <c r="C164" s="11">
        <v>11</v>
      </c>
      <c r="D164" s="12" t="s">
        <v>1116</v>
      </c>
      <c r="E164" s="112">
        <v>32155926</v>
      </c>
      <c r="F164" s="152" t="s">
        <v>2346</v>
      </c>
      <c r="G164" s="2" t="s">
        <v>1081</v>
      </c>
      <c r="H164" s="41">
        <v>32148858</v>
      </c>
      <c r="I164" s="44" t="s">
        <v>1135</v>
      </c>
      <c r="J164" s="6" t="s">
        <v>1136</v>
      </c>
      <c r="K164" s="12">
        <v>11</v>
      </c>
      <c r="L164" s="10" t="s">
        <v>1116</v>
      </c>
      <c r="M164" s="48" t="s">
        <v>1069</v>
      </c>
    </row>
    <row r="165" spans="2:13" ht="15.9" customHeight="1" x14ac:dyDescent="0.3">
      <c r="B165" s="11" t="s">
        <v>363</v>
      </c>
      <c r="C165" s="11">
        <v>11</v>
      </c>
      <c r="D165" s="12" t="s">
        <v>1116</v>
      </c>
      <c r="E165" s="112">
        <v>32155926</v>
      </c>
      <c r="F165" s="152" t="s">
        <v>2346</v>
      </c>
      <c r="G165" s="2" t="s">
        <v>1081</v>
      </c>
      <c r="H165" s="40">
        <v>32046009</v>
      </c>
      <c r="I165" s="44" t="s">
        <v>1125</v>
      </c>
      <c r="J165" s="143" t="s">
        <v>1126</v>
      </c>
      <c r="K165" s="12">
        <v>11</v>
      </c>
      <c r="L165" s="10" t="s">
        <v>1116</v>
      </c>
      <c r="M165" s="48" t="s">
        <v>973</v>
      </c>
    </row>
    <row r="166" spans="2:13" ht="15.9" customHeight="1" x14ac:dyDescent="0.3">
      <c r="B166" s="11" t="s">
        <v>363</v>
      </c>
      <c r="C166" s="11">
        <v>11</v>
      </c>
      <c r="D166" s="12" t="s">
        <v>1116</v>
      </c>
      <c r="E166" s="112">
        <v>32155926</v>
      </c>
      <c r="F166" s="152" t="s">
        <v>2346</v>
      </c>
      <c r="G166" s="2" t="s">
        <v>1081</v>
      </c>
      <c r="H166" s="40">
        <v>32045219</v>
      </c>
      <c r="I166" s="43" t="s">
        <v>1123</v>
      </c>
      <c r="J166" s="143" t="s">
        <v>1124</v>
      </c>
      <c r="K166" s="12">
        <v>11</v>
      </c>
      <c r="L166" s="10" t="s">
        <v>1116</v>
      </c>
      <c r="M166" s="48" t="s">
        <v>461</v>
      </c>
    </row>
    <row r="167" spans="2:13" ht="15.9" customHeight="1" x14ac:dyDescent="0.3">
      <c r="B167" s="11" t="s">
        <v>363</v>
      </c>
      <c r="C167" s="11">
        <v>11</v>
      </c>
      <c r="D167" s="12" t="s">
        <v>1116</v>
      </c>
      <c r="E167" s="112">
        <v>32155926</v>
      </c>
      <c r="F167" s="152" t="s">
        <v>2346</v>
      </c>
      <c r="G167" s="2" t="s">
        <v>1081</v>
      </c>
      <c r="H167" s="40">
        <v>32045052</v>
      </c>
      <c r="I167" s="43" t="s">
        <v>1121</v>
      </c>
      <c r="J167" s="143" t="s">
        <v>1122</v>
      </c>
      <c r="K167" s="12">
        <v>11</v>
      </c>
      <c r="L167" s="10" t="s">
        <v>1116</v>
      </c>
      <c r="M167" s="48" t="s">
        <v>711</v>
      </c>
    </row>
    <row r="168" spans="2:13" ht="15.9" customHeight="1" x14ac:dyDescent="0.3">
      <c r="B168" s="11" t="s">
        <v>363</v>
      </c>
      <c r="C168" s="11">
        <v>11</v>
      </c>
      <c r="D168" s="12" t="s">
        <v>1116</v>
      </c>
      <c r="E168" s="112">
        <v>32155926</v>
      </c>
      <c r="F168" s="152" t="s">
        <v>2346</v>
      </c>
      <c r="G168" s="2" t="s">
        <v>1081</v>
      </c>
      <c r="H168" s="40">
        <v>32138048</v>
      </c>
      <c r="I168" s="80" t="s">
        <v>1133</v>
      </c>
      <c r="J168" s="6" t="s">
        <v>1134</v>
      </c>
      <c r="K168" s="12">
        <v>11</v>
      </c>
      <c r="L168" s="10" t="s">
        <v>1116</v>
      </c>
      <c r="M168" s="12" t="s">
        <v>1056</v>
      </c>
    </row>
    <row r="169" spans="2:13" ht="15.9" customHeight="1" x14ac:dyDescent="0.3">
      <c r="B169" s="11" t="s">
        <v>363</v>
      </c>
      <c r="C169" s="11">
        <v>11</v>
      </c>
      <c r="D169" s="12" t="s">
        <v>1116</v>
      </c>
      <c r="E169" s="112">
        <v>32155926</v>
      </c>
      <c r="F169" s="152" t="s">
        <v>2346</v>
      </c>
      <c r="G169" s="2" t="s">
        <v>1081</v>
      </c>
      <c r="H169" s="40">
        <v>32132226</v>
      </c>
      <c r="I169" s="10" t="s">
        <v>1131</v>
      </c>
      <c r="J169" s="143" t="s">
        <v>1132</v>
      </c>
      <c r="K169" s="12">
        <v>11</v>
      </c>
      <c r="L169" s="10" t="s">
        <v>1116</v>
      </c>
      <c r="M169" s="12" t="s">
        <v>1077</v>
      </c>
    </row>
    <row r="170" spans="2:13" ht="15.9" customHeight="1" x14ac:dyDescent="0.3">
      <c r="B170" s="11" t="s">
        <v>363</v>
      </c>
      <c r="C170" s="11">
        <v>11</v>
      </c>
      <c r="D170" s="12" t="s">
        <v>1116</v>
      </c>
      <c r="E170" s="112">
        <v>32155926</v>
      </c>
      <c r="F170" s="165" t="s">
        <v>2346</v>
      </c>
      <c r="G170" s="146" t="s">
        <v>1081</v>
      </c>
      <c r="H170" s="73">
        <v>32043874</v>
      </c>
      <c r="I170" s="43" t="s">
        <v>2385</v>
      </c>
      <c r="J170" s="6" t="s">
        <v>2604</v>
      </c>
      <c r="K170" s="12">
        <v>11</v>
      </c>
      <c r="L170" s="10" t="s">
        <v>1116</v>
      </c>
      <c r="M170" s="12" t="s">
        <v>564</v>
      </c>
    </row>
    <row r="171" spans="2:13" ht="15.9" customHeight="1" x14ac:dyDescent="0.3">
      <c r="B171" s="11" t="s">
        <v>363</v>
      </c>
      <c r="C171" s="11">
        <v>11</v>
      </c>
      <c r="D171" s="12" t="s">
        <v>1116</v>
      </c>
      <c r="E171" s="95">
        <v>32155926</v>
      </c>
      <c r="F171" s="163" t="s">
        <v>2346</v>
      </c>
      <c r="G171" s="146" t="s">
        <v>1081</v>
      </c>
      <c r="H171" s="73">
        <v>32046022</v>
      </c>
      <c r="I171" s="43" t="s">
        <v>1127</v>
      </c>
      <c r="J171" s="6" t="s">
        <v>1128</v>
      </c>
      <c r="K171" s="12">
        <v>11</v>
      </c>
      <c r="L171" s="10" t="s">
        <v>1116</v>
      </c>
      <c r="M171" s="12" t="s">
        <v>447</v>
      </c>
    </row>
    <row r="172" spans="2:13" ht="15.9" customHeight="1" x14ac:dyDescent="0.3">
      <c r="B172" s="11" t="s">
        <v>363</v>
      </c>
      <c r="C172" s="11">
        <v>11</v>
      </c>
      <c r="D172" s="18" t="s">
        <v>1116</v>
      </c>
      <c r="E172" s="94">
        <v>32155926</v>
      </c>
      <c r="F172" s="166" t="s">
        <v>2346</v>
      </c>
      <c r="G172" s="153" t="s">
        <v>1081</v>
      </c>
      <c r="H172" s="73">
        <v>32046379</v>
      </c>
      <c r="I172" s="43" t="s">
        <v>1129</v>
      </c>
      <c r="J172" s="143" t="s">
        <v>1130</v>
      </c>
      <c r="K172" s="12">
        <v>11</v>
      </c>
      <c r="L172" s="10" t="s">
        <v>1116</v>
      </c>
      <c r="M172" s="48" t="s">
        <v>453</v>
      </c>
    </row>
    <row r="173" spans="2:13" ht="15.9" customHeight="1" x14ac:dyDescent="0.3">
      <c r="B173" s="10" t="s">
        <v>263</v>
      </c>
      <c r="C173" s="10"/>
      <c r="D173" s="69" t="s">
        <v>264</v>
      </c>
      <c r="E173" s="114">
        <v>32231912</v>
      </c>
      <c r="F173" s="162" t="s">
        <v>265</v>
      </c>
      <c r="G173" s="146" t="s">
        <v>266</v>
      </c>
      <c r="H173" s="82">
        <v>32102191</v>
      </c>
      <c r="I173" s="43" t="s">
        <v>267</v>
      </c>
      <c r="J173" s="143" t="s">
        <v>268</v>
      </c>
      <c r="K173" s="12">
        <v>5</v>
      </c>
      <c r="L173" s="26" t="s">
        <v>264</v>
      </c>
      <c r="M173" s="48" t="s">
        <v>35</v>
      </c>
    </row>
    <row r="174" spans="2:13" ht="15.9" customHeight="1" x14ac:dyDescent="0.3">
      <c r="B174" s="10" t="s">
        <v>263</v>
      </c>
      <c r="C174" s="10"/>
      <c r="D174" s="26" t="s">
        <v>264</v>
      </c>
      <c r="E174" s="122">
        <v>32231912</v>
      </c>
      <c r="F174" s="197" t="s">
        <v>265</v>
      </c>
      <c r="G174" s="146" t="s">
        <v>266</v>
      </c>
      <c r="H174" s="82">
        <v>32222225</v>
      </c>
      <c r="I174" s="43" t="s">
        <v>269</v>
      </c>
      <c r="J174" s="6" t="s">
        <v>270</v>
      </c>
      <c r="K174" s="12">
        <v>5</v>
      </c>
      <c r="L174" s="26" t="s">
        <v>264</v>
      </c>
      <c r="M174" s="48" t="s">
        <v>47</v>
      </c>
    </row>
    <row r="175" spans="2:13" ht="15.9" customHeight="1" x14ac:dyDescent="0.3">
      <c r="B175" s="10" t="s">
        <v>263</v>
      </c>
      <c r="C175" s="10"/>
      <c r="D175" s="26" t="s">
        <v>264</v>
      </c>
      <c r="E175" s="112">
        <v>32231912</v>
      </c>
      <c r="F175" s="152" t="s">
        <v>265</v>
      </c>
      <c r="G175" s="2" t="s">
        <v>266</v>
      </c>
      <c r="H175" s="42">
        <v>32202298</v>
      </c>
      <c r="I175" s="43" t="s">
        <v>2321</v>
      </c>
      <c r="J175" s="6" t="s">
        <v>2322</v>
      </c>
      <c r="K175" s="12">
        <v>5</v>
      </c>
      <c r="L175" s="26" t="s">
        <v>264</v>
      </c>
      <c r="M175" s="48" t="s">
        <v>41</v>
      </c>
    </row>
    <row r="176" spans="2:13" ht="15.9" customHeight="1" x14ac:dyDescent="0.3">
      <c r="B176" s="10" t="s">
        <v>263</v>
      </c>
      <c r="C176" s="10"/>
      <c r="D176" s="26" t="s">
        <v>264</v>
      </c>
      <c r="E176" s="112">
        <v>32231912</v>
      </c>
      <c r="F176" s="152" t="s">
        <v>265</v>
      </c>
      <c r="G176" s="2" t="s">
        <v>266</v>
      </c>
      <c r="H176" s="42">
        <v>32222227</v>
      </c>
      <c r="I176" s="43" t="s">
        <v>271</v>
      </c>
      <c r="J176" s="143" t="s">
        <v>272</v>
      </c>
      <c r="K176" s="12">
        <v>5</v>
      </c>
      <c r="L176" s="26" t="s">
        <v>264</v>
      </c>
      <c r="M176" s="48" t="s">
        <v>44</v>
      </c>
    </row>
    <row r="177" spans="2:13" ht="15.9" customHeight="1" x14ac:dyDescent="0.3">
      <c r="B177" s="10" t="s">
        <v>263</v>
      </c>
      <c r="C177" s="10"/>
      <c r="D177" s="26" t="s">
        <v>264</v>
      </c>
      <c r="E177" s="112">
        <v>32231912</v>
      </c>
      <c r="F177" s="152" t="s">
        <v>265</v>
      </c>
      <c r="G177" s="2" t="s">
        <v>266</v>
      </c>
      <c r="H177" s="42">
        <v>32044502</v>
      </c>
      <c r="I177" s="43" t="s">
        <v>275</v>
      </c>
      <c r="J177" s="6" t="s">
        <v>276</v>
      </c>
      <c r="K177" s="12">
        <v>5</v>
      </c>
      <c r="L177" s="26" t="s">
        <v>264</v>
      </c>
      <c r="M177" s="48" t="s">
        <v>56</v>
      </c>
    </row>
    <row r="178" spans="2:13" ht="15.9" customHeight="1" x14ac:dyDescent="0.3">
      <c r="B178" s="11" t="s">
        <v>2053</v>
      </c>
      <c r="C178" s="11" t="s">
        <v>2054</v>
      </c>
      <c r="D178" s="12" t="s">
        <v>2071</v>
      </c>
      <c r="E178" s="112">
        <v>32217652</v>
      </c>
      <c r="F178" s="152" t="s">
        <v>2072</v>
      </c>
      <c r="G178" s="146" t="s">
        <v>2073</v>
      </c>
      <c r="H178" s="40">
        <v>32072210</v>
      </c>
      <c r="I178" s="43" t="s">
        <v>2074</v>
      </c>
      <c r="J178" s="6" t="s">
        <v>2075</v>
      </c>
      <c r="K178" s="12">
        <v>8</v>
      </c>
      <c r="L178" s="12" t="s">
        <v>2071</v>
      </c>
      <c r="M178" s="48" t="s">
        <v>1806</v>
      </c>
    </row>
    <row r="179" spans="2:13" ht="15.9" customHeight="1" x14ac:dyDescent="0.3">
      <c r="B179" s="11" t="s">
        <v>2053</v>
      </c>
      <c r="C179" s="11" t="s">
        <v>2054</v>
      </c>
      <c r="D179" s="12" t="s">
        <v>2071</v>
      </c>
      <c r="E179" s="112">
        <v>32217652</v>
      </c>
      <c r="F179" s="152" t="s">
        <v>2072</v>
      </c>
      <c r="G179" s="2" t="s">
        <v>2073</v>
      </c>
      <c r="H179" s="40">
        <v>32044317</v>
      </c>
      <c r="I179" s="46" t="s">
        <v>2323</v>
      </c>
      <c r="J179" s="6" t="s">
        <v>2324</v>
      </c>
      <c r="K179" s="12">
        <v>8</v>
      </c>
      <c r="L179" s="12" t="s">
        <v>2071</v>
      </c>
      <c r="M179" s="48" t="s">
        <v>1810</v>
      </c>
    </row>
    <row r="180" spans="2:13" ht="15.9" customHeight="1" x14ac:dyDescent="0.3">
      <c r="B180" s="11" t="s">
        <v>2053</v>
      </c>
      <c r="C180" s="11" t="s">
        <v>2076</v>
      </c>
      <c r="D180" s="12" t="s">
        <v>2071</v>
      </c>
      <c r="E180" s="112">
        <v>32217652</v>
      </c>
      <c r="F180" s="152" t="s">
        <v>2072</v>
      </c>
      <c r="G180" s="2" t="s">
        <v>2073</v>
      </c>
      <c r="H180" s="40">
        <v>32224379</v>
      </c>
      <c r="I180" s="43" t="s">
        <v>2077</v>
      </c>
      <c r="J180" s="80" t="s">
        <v>61</v>
      </c>
      <c r="K180" s="12">
        <v>8</v>
      </c>
      <c r="L180" s="12" t="s">
        <v>2071</v>
      </c>
      <c r="M180" s="48" t="s">
        <v>1806</v>
      </c>
    </row>
    <row r="181" spans="2:13" ht="15.9" customHeight="1" x14ac:dyDescent="0.3">
      <c r="B181" s="11" t="s">
        <v>2053</v>
      </c>
      <c r="C181" s="11" t="s">
        <v>2078</v>
      </c>
      <c r="D181" s="12" t="s">
        <v>2071</v>
      </c>
      <c r="E181" s="112">
        <v>32217652</v>
      </c>
      <c r="F181" s="152" t="s">
        <v>2072</v>
      </c>
      <c r="G181" s="2" t="s">
        <v>2073</v>
      </c>
      <c r="H181" s="40">
        <v>32045559</v>
      </c>
      <c r="I181" s="43" t="s">
        <v>2079</v>
      </c>
      <c r="J181" s="6" t="s">
        <v>2080</v>
      </c>
      <c r="K181" s="12">
        <v>8</v>
      </c>
      <c r="L181" s="12" t="s">
        <v>2071</v>
      </c>
      <c r="M181" s="48" t="s">
        <v>1808</v>
      </c>
    </row>
    <row r="182" spans="2:13" ht="15.9" customHeight="1" x14ac:dyDescent="0.3">
      <c r="B182" s="11" t="s">
        <v>2053</v>
      </c>
      <c r="C182" s="11" t="s">
        <v>2081</v>
      </c>
      <c r="D182" s="12" t="s">
        <v>2071</v>
      </c>
      <c r="E182" s="112">
        <v>32217652</v>
      </c>
      <c r="F182" s="152" t="s">
        <v>2072</v>
      </c>
      <c r="G182" s="146" t="s">
        <v>2073</v>
      </c>
      <c r="H182" s="40">
        <v>32043914</v>
      </c>
      <c r="I182" s="43" t="s">
        <v>2082</v>
      </c>
      <c r="J182" s="143" t="s">
        <v>2083</v>
      </c>
      <c r="K182" s="12">
        <v>8</v>
      </c>
      <c r="L182" s="12" t="s">
        <v>2071</v>
      </c>
      <c r="M182" s="48" t="s">
        <v>128</v>
      </c>
    </row>
    <row r="183" spans="2:13" ht="15.9" customHeight="1" x14ac:dyDescent="0.3">
      <c r="B183" s="11" t="s">
        <v>2053</v>
      </c>
      <c r="C183" s="11" t="s">
        <v>2066</v>
      </c>
      <c r="D183" s="12" t="s">
        <v>2071</v>
      </c>
      <c r="E183" s="112">
        <v>32217652</v>
      </c>
      <c r="F183" s="152" t="s">
        <v>2072</v>
      </c>
      <c r="G183" s="2" t="s">
        <v>2073</v>
      </c>
      <c r="H183" s="40">
        <v>32044817</v>
      </c>
      <c r="I183" s="43" t="s">
        <v>2084</v>
      </c>
      <c r="J183" s="6" t="s">
        <v>2085</v>
      </c>
      <c r="K183" s="12">
        <v>8</v>
      </c>
      <c r="L183" s="12" t="s">
        <v>2071</v>
      </c>
      <c r="M183" s="48" t="s">
        <v>1803</v>
      </c>
    </row>
    <row r="184" spans="2:13" ht="15.9" customHeight="1" x14ac:dyDescent="0.3">
      <c r="B184" s="11" t="s">
        <v>2053</v>
      </c>
      <c r="C184" s="11" t="s">
        <v>2060</v>
      </c>
      <c r="D184" s="12" t="s">
        <v>2071</v>
      </c>
      <c r="E184" s="95">
        <v>32217652</v>
      </c>
      <c r="F184" s="163" t="s">
        <v>2072</v>
      </c>
      <c r="G184" s="147" t="s">
        <v>2073</v>
      </c>
      <c r="H184" s="73">
        <v>32155923</v>
      </c>
      <c r="I184" s="43" t="s">
        <v>2086</v>
      </c>
      <c r="J184" s="143" t="s">
        <v>2087</v>
      </c>
      <c r="K184" s="12">
        <v>8</v>
      </c>
      <c r="L184" s="12" t="s">
        <v>2071</v>
      </c>
      <c r="M184" s="48" t="s">
        <v>1813</v>
      </c>
    </row>
    <row r="185" spans="2:13" ht="15.9" customHeight="1" x14ac:dyDescent="0.3">
      <c r="B185" s="11" t="s">
        <v>2053</v>
      </c>
      <c r="C185" s="11" t="s">
        <v>2060</v>
      </c>
      <c r="D185" s="12" t="s">
        <v>2071</v>
      </c>
      <c r="E185" s="95">
        <v>32217652</v>
      </c>
      <c r="F185" s="163" t="s">
        <v>2072</v>
      </c>
      <c r="G185" s="146" t="s">
        <v>2073</v>
      </c>
      <c r="H185" s="73">
        <v>32043736</v>
      </c>
      <c r="I185" s="43" t="s">
        <v>2088</v>
      </c>
      <c r="J185" s="6" t="s">
        <v>2089</v>
      </c>
      <c r="K185" s="12">
        <v>8</v>
      </c>
      <c r="L185" s="12" t="s">
        <v>2071</v>
      </c>
      <c r="M185" s="48" t="s">
        <v>125</v>
      </c>
    </row>
    <row r="186" spans="2:13" ht="15.9" customHeight="1" x14ac:dyDescent="0.3">
      <c r="B186" s="11" t="s">
        <v>2127</v>
      </c>
      <c r="C186" s="11" t="s">
        <v>2182</v>
      </c>
      <c r="D186" s="12" t="s">
        <v>2210</v>
      </c>
      <c r="E186" s="112">
        <v>32068308</v>
      </c>
      <c r="F186" s="152" t="s">
        <v>2211</v>
      </c>
      <c r="G186" s="2" t="s">
        <v>2605</v>
      </c>
      <c r="H186" s="30">
        <v>32043831</v>
      </c>
      <c r="I186" s="140" t="s">
        <v>2217</v>
      </c>
      <c r="J186" s="6" t="s">
        <v>2606</v>
      </c>
      <c r="K186" s="12">
        <v>8</v>
      </c>
      <c r="L186" s="12" t="s">
        <v>2210</v>
      </c>
      <c r="M186" s="36" t="s">
        <v>47</v>
      </c>
    </row>
    <row r="187" spans="2:13" ht="15.9" customHeight="1" x14ac:dyDescent="0.3">
      <c r="B187" s="11" t="s">
        <v>2127</v>
      </c>
      <c r="C187" s="11" t="s">
        <v>2182</v>
      </c>
      <c r="D187" s="12" t="s">
        <v>2210</v>
      </c>
      <c r="E187" s="94">
        <v>32068308</v>
      </c>
      <c r="F187" s="161" t="s">
        <v>2211</v>
      </c>
      <c r="G187" s="2" t="s">
        <v>2605</v>
      </c>
      <c r="H187" s="29">
        <v>32044308</v>
      </c>
      <c r="I187" s="210" t="s">
        <v>2202</v>
      </c>
      <c r="J187" s="6" t="s">
        <v>2607</v>
      </c>
      <c r="K187" s="12">
        <v>8</v>
      </c>
      <c r="L187" s="12" t="s">
        <v>2210</v>
      </c>
      <c r="M187" s="37" t="s">
        <v>1</v>
      </c>
    </row>
    <row r="188" spans="2:13" ht="15.9" customHeight="1" x14ac:dyDescent="0.3">
      <c r="B188" s="11" t="s">
        <v>2127</v>
      </c>
      <c r="C188" s="11" t="s">
        <v>2182</v>
      </c>
      <c r="D188" s="12" t="s">
        <v>2210</v>
      </c>
      <c r="E188" s="94">
        <v>32068308</v>
      </c>
      <c r="F188" s="161" t="s">
        <v>2211</v>
      </c>
      <c r="G188" s="2" t="s">
        <v>2605</v>
      </c>
      <c r="H188" s="29">
        <v>32045210</v>
      </c>
      <c r="I188" s="210" t="s">
        <v>2205</v>
      </c>
      <c r="J188" s="6" t="s">
        <v>2608</v>
      </c>
      <c r="K188" s="12">
        <v>8</v>
      </c>
      <c r="L188" s="12" t="s">
        <v>2210</v>
      </c>
      <c r="M188" s="37" t="s">
        <v>35</v>
      </c>
    </row>
    <row r="189" spans="2:13" ht="15.9" customHeight="1" x14ac:dyDescent="0.3">
      <c r="B189" s="11" t="s">
        <v>2127</v>
      </c>
      <c r="C189" s="11" t="s">
        <v>2182</v>
      </c>
      <c r="D189" s="12" t="s">
        <v>2210</v>
      </c>
      <c r="E189" s="112">
        <v>32068308</v>
      </c>
      <c r="F189" s="152" t="s">
        <v>2211</v>
      </c>
      <c r="G189" s="2" t="s">
        <v>2605</v>
      </c>
      <c r="H189" s="29">
        <v>32146008</v>
      </c>
      <c r="I189" s="210" t="s">
        <v>2203</v>
      </c>
      <c r="J189" s="6" t="s">
        <v>2609</v>
      </c>
      <c r="K189" s="12">
        <v>8</v>
      </c>
      <c r="L189" s="12" t="s">
        <v>2210</v>
      </c>
      <c r="M189" s="37" t="s">
        <v>179</v>
      </c>
    </row>
    <row r="190" spans="2:13" ht="15.9" customHeight="1" x14ac:dyDescent="0.3">
      <c r="B190" s="11" t="s">
        <v>2127</v>
      </c>
      <c r="C190" s="11" t="s">
        <v>2182</v>
      </c>
      <c r="D190" s="12" t="s">
        <v>2210</v>
      </c>
      <c r="E190" s="112">
        <v>32068308</v>
      </c>
      <c r="F190" s="152" t="s">
        <v>2211</v>
      </c>
      <c r="G190" s="2" t="s">
        <v>2605</v>
      </c>
      <c r="H190" s="29">
        <v>32045926</v>
      </c>
      <c r="I190" s="140" t="s">
        <v>2218</v>
      </c>
      <c r="J190" s="143" t="s">
        <v>61</v>
      </c>
      <c r="K190" s="12">
        <v>8</v>
      </c>
      <c r="L190" s="12" t="s">
        <v>2210</v>
      </c>
      <c r="M190" s="37" t="s">
        <v>511</v>
      </c>
    </row>
    <row r="191" spans="2:13" ht="15.9" customHeight="1" x14ac:dyDescent="0.3">
      <c r="B191" s="11" t="s">
        <v>2127</v>
      </c>
      <c r="C191" s="11" t="s">
        <v>2182</v>
      </c>
      <c r="D191" s="12" t="s">
        <v>2210</v>
      </c>
      <c r="E191" s="112">
        <v>32068308</v>
      </c>
      <c r="F191" s="152" t="s">
        <v>2211</v>
      </c>
      <c r="G191" s="2" t="s">
        <v>2605</v>
      </c>
      <c r="H191" s="29">
        <v>32044693</v>
      </c>
      <c r="I191" s="140" t="s">
        <v>2219</v>
      </c>
      <c r="J191" s="140" t="s">
        <v>2610</v>
      </c>
      <c r="K191" s="12">
        <v>8</v>
      </c>
      <c r="L191" s="12" t="s">
        <v>2210</v>
      </c>
      <c r="M191" s="37" t="s">
        <v>481</v>
      </c>
    </row>
    <row r="192" spans="2:13" ht="15.9" customHeight="1" x14ac:dyDescent="0.3">
      <c r="B192" s="11" t="s">
        <v>2127</v>
      </c>
      <c r="C192" s="11" t="s">
        <v>2182</v>
      </c>
      <c r="D192" s="12" t="s">
        <v>2210</v>
      </c>
      <c r="E192" s="112">
        <v>32068308</v>
      </c>
      <c r="F192" s="152" t="s">
        <v>2211</v>
      </c>
      <c r="G192" s="2" t="s">
        <v>2605</v>
      </c>
      <c r="H192" s="29">
        <v>32149494</v>
      </c>
      <c r="I192" s="210" t="s">
        <v>2206</v>
      </c>
      <c r="J192" s="6" t="s">
        <v>2611</v>
      </c>
      <c r="K192" s="12">
        <v>8</v>
      </c>
      <c r="L192" s="12" t="s">
        <v>2210</v>
      </c>
      <c r="M192" s="37" t="s">
        <v>41</v>
      </c>
    </row>
    <row r="193" spans="2:13" ht="15.9" customHeight="1" x14ac:dyDescent="0.3">
      <c r="B193" s="11" t="s">
        <v>2127</v>
      </c>
      <c r="C193" s="11" t="s">
        <v>2182</v>
      </c>
      <c r="D193" s="12" t="s">
        <v>2210</v>
      </c>
      <c r="E193" s="112">
        <v>32068308</v>
      </c>
      <c r="F193" s="152" t="s">
        <v>2211</v>
      </c>
      <c r="G193" s="2" t="s">
        <v>2605</v>
      </c>
      <c r="H193" s="29">
        <v>32046095</v>
      </c>
      <c r="I193" s="210" t="s">
        <v>2204</v>
      </c>
      <c r="J193" s="6" t="s">
        <v>2612</v>
      </c>
      <c r="K193" s="12">
        <v>8</v>
      </c>
      <c r="L193" s="12" t="s">
        <v>2210</v>
      </c>
      <c r="M193" s="37" t="s">
        <v>44</v>
      </c>
    </row>
    <row r="194" spans="2:13" ht="15.9" customHeight="1" x14ac:dyDescent="0.3">
      <c r="B194" s="11" t="s">
        <v>363</v>
      </c>
      <c r="C194" s="11">
        <v>7</v>
      </c>
      <c r="D194" s="12" t="s">
        <v>847</v>
      </c>
      <c r="E194" s="26">
        <v>32147381</v>
      </c>
      <c r="F194" s="26" t="s">
        <v>817</v>
      </c>
      <c r="G194" s="2" t="s">
        <v>818</v>
      </c>
      <c r="H194" s="40">
        <v>32043910</v>
      </c>
      <c r="I194" s="46" t="s">
        <v>850</v>
      </c>
      <c r="J194" s="6" t="s">
        <v>851</v>
      </c>
      <c r="K194" s="12">
        <v>15</v>
      </c>
      <c r="L194" s="10" t="s">
        <v>847</v>
      </c>
      <c r="M194" s="48" t="s">
        <v>651</v>
      </c>
    </row>
    <row r="195" spans="2:13" ht="15.9" customHeight="1" x14ac:dyDescent="0.3">
      <c r="B195" s="11" t="s">
        <v>363</v>
      </c>
      <c r="C195" s="11">
        <v>7</v>
      </c>
      <c r="D195" s="12" t="s">
        <v>847</v>
      </c>
      <c r="E195" s="26">
        <v>32147381</v>
      </c>
      <c r="F195" s="26" t="s">
        <v>817</v>
      </c>
      <c r="G195" s="2" t="s">
        <v>818</v>
      </c>
      <c r="H195" s="40">
        <v>32045614</v>
      </c>
      <c r="I195" s="46" t="s">
        <v>856</v>
      </c>
      <c r="J195" s="80" t="s">
        <v>61</v>
      </c>
      <c r="K195" s="12">
        <v>15</v>
      </c>
      <c r="L195" s="10" t="s">
        <v>847</v>
      </c>
      <c r="M195" s="48" t="s">
        <v>456</v>
      </c>
    </row>
    <row r="196" spans="2:13" ht="15.9" customHeight="1" x14ac:dyDescent="0.3">
      <c r="B196" s="11" t="s">
        <v>363</v>
      </c>
      <c r="C196" s="11">
        <v>7</v>
      </c>
      <c r="D196" s="12" t="s">
        <v>847</v>
      </c>
      <c r="E196" s="26">
        <v>32147381</v>
      </c>
      <c r="F196" s="69" t="s">
        <v>817</v>
      </c>
      <c r="G196" s="146" t="s">
        <v>818</v>
      </c>
      <c r="H196" s="73">
        <v>32197919</v>
      </c>
      <c r="I196" s="46" t="s">
        <v>873</v>
      </c>
      <c r="J196" s="6" t="s">
        <v>874</v>
      </c>
      <c r="K196" s="12">
        <v>15</v>
      </c>
      <c r="L196" s="10" t="s">
        <v>847</v>
      </c>
      <c r="M196" s="48" t="s">
        <v>564</v>
      </c>
    </row>
    <row r="197" spans="2:13" ht="15.9" customHeight="1" x14ac:dyDescent="0.3">
      <c r="B197" s="11" t="s">
        <v>363</v>
      </c>
      <c r="C197" s="11">
        <v>7</v>
      </c>
      <c r="D197" s="12" t="s">
        <v>847</v>
      </c>
      <c r="E197" s="26">
        <v>32147381</v>
      </c>
      <c r="F197" s="69" t="s">
        <v>817</v>
      </c>
      <c r="G197" s="150" t="s">
        <v>818</v>
      </c>
      <c r="H197" s="73">
        <v>32143283</v>
      </c>
      <c r="I197" s="46" t="s">
        <v>861</v>
      </c>
      <c r="J197" s="157" t="s">
        <v>862</v>
      </c>
      <c r="K197" s="12">
        <v>15</v>
      </c>
      <c r="L197" s="10" t="s">
        <v>847</v>
      </c>
      <c r="M197" s="48" t="s">
        <v>863</v>
      </c>
    </row>
    <row r="198" spans="2:13" ht="15.9" customHeight="1" x14ac:dyDescent="0.3">
      <c r="B198" s="11" t="s">
        <v>363</v>
      </c>
      <c r="C198" s="11">
        <v>7</v>
      </c>
      <c r="D198" s="12" t="s">
        <v>847</v>
      </c>
      <c r="E198" s="118">
        <v>32147381</v>
      </c>
      <c r="F198" s="132" t="s">
        <v>817</v>
      </c>
      <c r="G198" s="146" t="s">
        <v>818</v>
      </c>
      <c r="H198" s="73">
        <v>32044451</v>
      </c>
      <c r="I198" s="46" t="s">
        <v>854</v>
      </c>
      <c r="J198" s="6" t="s">
        <v>855</v>
      </c>
      <c r="K198" s="12">
        <v>15</v>
      </c>
      <c r="L198" s="10" t="s">
        <v>847</v>
      </c>
      <c r="M198" s="48" t="s">
        <v>705</v>
      </c>
    </row>
    <row r="199" spans="2:13" ht="15.9" customHeight="1" x14ac:dyDescent="0.3">
      <c r="B199" s="11" t="s">
        <v>363</v>
      </c>
      <c r="C199" s="11">
        <v>7</v>
      </c>
      <c r="D199" s="12" t="s">
        <v>847</v>
      </c>
      <c r="E199" s="26">
        <v>32147381</v>
      </c>
      <c r="F199" s="69" t="s">
        <v>817</v>
      </c>
      <c r="G199" s="146" t="s">
        <v>818</v>
      </c>
      <c r="H199" s="60">
        <v>32044326</v>
      </c>
      <c r="I199" s="10" t="s">
        <v>853</v>
      </c>
      <c r="J199" s="80" t="s">
        <v>61</v>
      </c>
      <c r="K199" s="12">
        <v>15</v>
      </c>
      <c r="L199" s="10" t="s">
        <v>847</v>
      </c>
      <c r="M199" s="12" t="s">
        <v>481</v>
      </c>
    </row>
    <row r="200" spans="2:13" ht="15.9" customHeight="1" x14ac:dyDescent="0.3">
      <c r="B200" s="11" t="s">
        <v>363</v>
      </c>
      <c r="C200" s="11">
        <v>7</v>
      </c>
      <c r="D200" s="12" t="s">
        <v>847</v>
      </c>
      <c r="E200" s="26">
        <v>32147381</v>
      </c>
      <c r="F200" s="69" t="s">
        <v>817</v>
      </c>
      <c r="G200" s="146" t="s">
        <v>818</v>
      </c>
      <c r="H200" s="60">
        <v>32155903</v>
      </c>
      <c r="I200" s="10" t="s">
        <v>867</v>
      </c>
      <c r="J200" s="6" t="s">
        <v>868</v>
      </c>
      <c r="K200" s="12">
        <v>15</v>
      </c>
      <c r="L200" s="10" t="s">
        <v>847</v>
      </c>
      <c r="M200" s="12" t="s">
        <v>807</v>
      </c>
    </row>
    <row r="201" spans="2:13" ht="15.9" customHeight="1" x14ac:dyDescent="0.3">
      <c r="B201" s="11" t="s">
        <v>363</v>
      </c>
      <c r="C201" s="11">
        <v>7</v>
      </c>
      <c r="D201" s="12" t="s">
        <v>847</v>
      </c>
      <c r="E201" s="26">
        <v>32147381</v>
      </c>
      <c r="F201" s="69" t="s">
        <v>817</v>
      </c>
      <c r="G201" s="146" t="s">
        <v>818</v>
      </c>
      <c r="H201" s="60">
        <v>32177944</v>
      </c>
      <c r="I201" s="10" t="s">
        <v>869</v>
      </c>
      <c r="J201" s="6" t="s">
        <v>870</v>
      </c>
      <c r="K201" s="12">
        <v>15</v>
      </c>
      <c r="L201" s="10" t="s">
        <v>847</v>
      </c>
      <c r="M201" s="12" t="s">
        <v>564</v>
      </c>
    </row>
    <row r="202" spans="2:13" ht="15.9" customHeight="1" x14ac:dyDescent="0.3">
      <c r="B202" s="11" t="s">
        <v>363</v>
      </c>
      <c r="C202" s="11">
        <v>7</v>
      </c>
      <c r="D202" s="12" t="s">
        <v>847</v>
      </c>
      <c r="E202" s="26">
        <v>32147381</v>
      </c>
      <c r="F202" s="69" t="s">
        <v>817</v>
      </c>
      <c r="G202" s="146" t="s">
        <v>818</v>
      </c>
      <c r="H202" s="60">
        <v>32197887</v>
      </c>
      <c r="I202" s="10" t="s">
        <v>871</v>
      </c>
      <c r="J202" s="6" t="s">
        <v>872</v>
      </c>
      <c r="K202" s="12">
        <v>15</v>
      </c>
      <c r="L202" s="10" t="s">
        <v>847</v>
      </c>
      <c r="M202" s="12" t="s">
        <v>467</v>
      </c>
    </row>
    <row r="203" spans="2:13" ht="15.9" customHeight="1" x14ac:dyDescent="0.3">
      <c r="B203" s="11" t="s">
        <v>363</v>
      </c>
      <c r="C203" s="11">
        <v>7</v>
      </c>
      <c r="D203" s="12" t="s">
        <v>847</v>
      </c>
      <c r="E203" s="26">
        <v>32147381</v>
      </c>
      <c r="F203" s="69" t="s">
        <v>817</v>
      </c>
      <c r="G203" s="146" t="s">
        <v>818</v>
      </c>
      <c r="H203" s="60">
        <v>32043822</v>
      </c>
      <c r="I203" s="10" t="s">
        <v>848</v>
      </c>
      <c r="J203" s="6" t="s">
        <v>849</v>
      </c>
      <c r="K203" s="12">
        <v>15</v>
      </c>
      <c r="L203" s="10" t="s">
        <v>847</v>
      </c>
      <c r="M203" s="12" t="s">
        <v>461</v>
      </c>
    </row>
    <row r="204" spans="2:13" ht="15.9" customHeight="1" x14ac:dyDescent="0.3">
      <c r="B204" s="11" t="s">
        <v>363</v>
      </c>
      <c r="C204" s="11">
        <v>7</v>
      </c>
      <c r="D204" s="12" t="s">
        <v>847</v>
      </c>
      <c r="E204" s="26">
        <v>32147381</v>
      </c>
      <c r="F204" s="69" t="s">
        <v>817</v>
      </c>
      <c r="G204" s="146" t="s">
        <v>818</v>
      </c>
      <c r="H204" s="60">
        <v>32149065</v>
      </c>
      <c r="I204" s="10" t="s">
        <v>864</v>
      </c>
      <c r="J204" s="6" t="s">
        <v>865</v>
      </c>
      <c r="K204" s="12">
        <v>15</v>
      </c>
      <c r="L204" s="10" t="s">
        <v>847</v>
      </c>
      <c r="M204" s="12" t="s">
        <v>473</v>
      </c>
    </row>
    <row r="205" spans="2:13" ht="15.9" customHeight="1" x14ac:dyDescent="0.3">
      <c r="B205" s="11" t="s">
        <v>363</v>
      </c>
      <c r="C205" s="11">
        <v>7</v>
      </c>
      <c r="D205" s="12" t="s">
        <v>847</v>
      </c>
      <c r="E205" s="26">
        <v>32147381</v>
      </c>
      <c r="F205" s="69" t="s">
        <v>817</v>
      </c>
      <c r="G205" s="146" t="s">
        <v>818</v>
      </c>
      <c r="H205" s="60">
        <v>32143045</v>
      </c>
      <c r="I205" s="10" t="s">
        <v>859</v>
      </c>
      <c r="J205" s="6" t="s">
        <v>860</v>
      </c>
      <c r="K205" s="12">
        <v>15</v>
      </c>
      <c r="L205" s="10" t="s">
        <v>847</v>
      </c>
      <c r="M205" s="12" t="s">
        <v>464</v>
      </c>
    </row>
    <row r="206" spans="2:13" ht="15.9" customHeight="1" x14ac:dyDescent="0.3">
      <c r="B206" s="11" t="s">
        <v>363</v>
      </c>
      <c r="C206" s="11">
        <v>7</v>
      </c>
      <c r="D206" s="12" t="s">
        <v>847</v>
      </c>
      <c r="E206" s="26">
        <v>32147381</v>
      </c>
      <c r="F206" s="69" t="s">
        <v>817</v>
      </c>
      <c r="G206" s="146" t="s">
        <v>818</v>
      </c>
      <c r="H206" s="60">
        <v>32045785</v>
      </c>
      <c r="I206" s="10" t="s">
        <v>857</v>
      </c>
      <c r="J206" s="154" t="s">
        <v>858</v>
      </c>
      <c r="K206" s="12">
        <v>15</v>
      </c>
      <c r="L206" s="10" t="s">
        <v>847</v>
      </c>
      <c r="M206" s="12" t="s">
        <v>453</v>
      </c>
    </row>
    <row r="207" spans="2:13" ht="15.9" customHeight="1" x14ac:dyDescent="0.3">
      <c r="B207" s="11" t="s">
        <v>363</v>
      </c>
      <c r="C207" s="11">
        <v>7</v>
      </c>
      <c r="D207" s="12" t="s">
        <v>847</v>
      </c>
      <c r="E207" s="26">
        <v>32147381</v>
      </c>
      <c r="F207" s="69" t="s">
        <v>817</v>
      </c>
      <c r="G207" s="146" t="s">
        <v>818</v>
      </c>
      <c r="H207" s="60">
        <v>32155886</v>
      </c>
      <c r="I207" s="10" t="s">
        <v>866</v>
      </c>
      <c r="J207" s="80" t="s">
        <v>61</v>
      </c>
      <c r="K207" s="12">
        <v>15</v>
      </c>
      <c r="L207" s="10" t="s">
        <v>847</v>
      </c>
      <c r="M207" s="18" t="s">
        <v>779</v>
      </c>
    </row>
    <row r="208" spans="2:13" ht="15.9" customHeight="1" x14ac:dyDescent="0.3">
      <c r="B208" s="11" t="s">
        <v>363</v>
      </c>
      <c r="C208" s="11">
        <v>7</v>
      </c>
      <c r="D208" s="12" t="s">
        <v>847</v>
      </c>
      <c r="E208" s="118">
        <v>32147381</v>
      </c>
      <c r="F208" s="132" t="s">
        <v>817</v>
      </c>
      <c r="G208" s="146" t="s">
        <v>818</v>
      </c>
      <c r="H208" s="60">
        <v>32044014</v>
      </c>
      <c r="I208" s="10" t="s">
        <v>852</v>
      </c>
      <c r="J208" s="80" t="s">
        <v>61</v>
      </c>
      <c r="K208" s="12">
        <v>15</v>
      </c>
      <c r="L208" s="10" t="s">
        <v>847</v>
      </c>
      <c r="M208" s="12" t="s">
        <v>499</v>
      </c>
    </row>
    <row r="209" spans="2:13" ht="15.9" customHeight="1" x14ac:dyDescent="0.3">
      <c r="B209" s="11" t="s">
        <v>35</v>
      </c>
      <c r="C209" s="11"/>
      <c r="D209" s="12" t="s">
        <v>1869</v>
      </c>
      <c r="E209" s="12">
        <v>32172003</v>
      </c>
      <c r="F209" s="50" t="s">
        <v>1870</v>
      </c>
      <c r="G209" s="146" t="s">
        <v>1871</v>
      </c>
      <c r="H209" s="72">
        <v>32044171</v>
      </c>
      <c r="I209" s="10" t="s">
        <v>1872</v>
      </c>
      <c r="J209" s="6" t="s">
        <v>1873</v>
      </c>
      <c r="K209" s="12">
        <v>12</v>
      </c>
      <c r="L209" s="12" t="s">
        <v>1869</v>
      </c>
      <c r="M209" s="13" t="s">
        <v>38</v>
      </c>
    </row>
    <row r="210" spans="2:13" ht="15.9" customHeight="1" x14ac:dyDescent="0.3">
      <c r="B210" s="11" t="s">
        <v>35</v>
      </c>
      <c r="C210" s="11"/>
      <c r="D210" s="12" t="s">
        <v>1869</v>
      </c>
      <c r="E210" s="12">
        <v>32172003</v>
      </c>
      <c r="F210" s="50" t="s">
        <v>1870</v>
      </c>
      <c r="G210" s="146" t="s">
        <v>1871</v>
      </c>
      <c r="H210" s="105">
        <v>32222294</v>
      </c>
      <c r="I210" s="12" t="s">
        <v>1874</v>
      </c>
      <c r="J210" s="6" t="s">
        <v>1875</v>
      </c>
      <c r="K210" s="12">
        <v>12</v>
      </c>
      <c r="L210" s="12" t="s">
        <v>1869</v>
      </c>
      <c r="M210" s="13" t="s">
        <v>47</v>
      </c>
    </row>
    <row r="211" spans="2:13" ht="15.9" customHeight="1" x14ac:dyDescent="0.3">
      <c r="B211" s="11" t="s">
        <v>35</v>
      </c>
      <c r="C211" s="11"/>
      <c r="D211" s="12" t="s">
        <v>1869</v>
      </c>
      <c r="E211" s="12">
        <v>32172003</v>
      </c>
      <c r="F211" s="50" t="s">
        <v>1870</v>
      </c>
      <c r="G211" s="146" t="s">
        <v>1871</v>
      </c>
      <c r="H211" s="60">
        <v>32173437</v>
      </c>
      <c r="I211" s="10" t="s">
        <v>1876</v>
      </c>
      <c r="J211" s="6" t="s">
        <v>1877</v>
      </c>
      <c r="K211" s="12">
        <v>12</v>
      </c>
      <c r="L211" s="12" t="s">
        <v>1869</v>
      </c>
      <c r="M211" s="13" t="s">
        <v>38</v>
      </c>
    </row>
    <row r="212" spans="2:13" ht="15.9" customHeight="1" x14ac:dyDescent="0.3">
      <c r="B212" s="11" t="s">
        <v>35</v>
      </c>
      <c r="C212" s="11"/>
      <c r="D212" s="12" t="s">
        <v>1869</v>
      </c>
      <c r="E212" s="12">
        <v>32172003</v>
      </c>
      <c r="F212" s="50" t="s">
        <v>1870</v>
      </c>
      <c r="G212" s="146" t="s">
        <v>1871</v>
      </c>
      <c r="H212" s="60">
        <v>32132176</v>
      </c>
      <c r="I212" s="10" t="s">
        <v>1878</v>
      </c>
      <c r="J212" s="6" t="s">
        <v>1879</v>
      </c>
      <c r="K212" s="12">
        <v>12</v>
      </c>
      <c r="L212" s="12" t="s">
        <v>1869</v>
      </c>
      <c r="M212" s="13" t="s">
        <v>44</v>
      </c>
    </row>
    <row r="213" spans="2:13" ht="15.9" customHeight="1" x14ac:dyDescent="0.3">
      <c r="B213" s="11" t="s">
        <v>35</v>
      </c>
      <c r="C213" s="11"/>
      <c r="D213" s="12" t="s">
        <v>1869</v>
      </c>
      <c r="E213" s="12">
        <v>32172003</v>
      </c>
      <c r="F213" s="50" t="s">
        <v>1870</v>
      </c>
      <c r="G213" s="146" t="s">
        <v>1871</v>
      </c>
      <c r="H213" s="60">
        <v>32136495</v>
      </c>
      <c r="I213" s="10" t="s">
        <v>1880</v>
      </c>
      <c r="J213" s="154" t="s">
        <v>1881</v>
      </c>
      <c r="K213" s="12">
        <v>12</v>
      </c>
      <c r="L213" s="12" t="s">
        <v>1869</v>
      </c>
      <c r="M213" s="13" t="s">
        <v>179</v>
      </c>
    </row>
    <row r="214" spans="2:13" ht="15.9" customHeight="1" x14ac:dyDescent="0.3">
      <c r="B214" s="11" t="s">
        <v>35</v>
      </c>
      <c r="C214" s="11"/>
      <c r="D214" s="12" t="s">
        <v>1869</v>
      </c>
      <c r="E214" s="12">
        <v>32172003</v>
      </c>
      <c r="F214" s="50" t="s">
        <v>1870</v>
      </c>
      <c r="G214" s="146" t="s">
        <v>1871</v>
      </c>
      <c r="H214" s="60">
        <v>32046099</v>
      </c>
      <c r="I214" s="10" t="s">
        <v>1882</v>
      </c>
      <c r="J214" s="6" t="s">
        <v>1883</v>
      </c>
      <c r="K214" s="12">
        <v>12</v>
      </c>
      <c r="L214" s="12" t="s">
        <v>1869</v>
      </c>
      <c r="M214" s="13" t="s">
        <v>44</v>
      </c>
    </row>
    <row r="215" spans="2:13" ht="15.9" customHeight="1" x14ac:dyDescent="0.3">
      <c r="B215" s="11" t="s">
        <v>35</v>
      </c>
      <c r="C215" s="11"/>
      <c r="D215" s="12" t="s">
        <v>1869</v>
      </c>
      <c r="E215" s="12">
        <v>32172003</v>
      </c>
      <c r="F215" s="50" t="s">
        <v>1870</v>
      </c>
      <c r="G215" s="146" t="s">
        <v>1871</v>
      </c>
      <c r="H215" s="105">
        <v>32043967</v>
      </c>
      <c r="I215" s="12" t="s">
        <v>1884</v>
      </c>
      <c r="J215" s="154" t="s">
        <v>1885</v>
      </c>
      <c r="K215" s="12">
        <v>12</v>
      </c>
      <c r="L215" s="12" t="s">
        <v>1869</v>
      </c>
      <c r="M215" s="13" t="s">
        <v>35</v>
      </c>
    </row>
    <row r="216" spans="2:13" ht="15.9" customHeight="1" x14ac:dyDescent="0.3">
      <c r="B216" s="11" t="s">
        <v>35</v>
      </c>
      <c r="C216" s="11"/>
      <c r="D216" s="12" t="s">
        <v>1869</v>
      </c>
      <c r="E216" s="12">
        <v>32172003</v>
      </c>
      <c r="F216" s="50" t="s">
        <v>1870</v>
      </c>
      <c r="G216" s="146" t="s">
        <v>1871</v>
      </c>
      <c r="H216" s="60">
        <v>32043915</v>
      </c>
      <c r="I216" s="10" t="s">
        <v>1886</v>
      </c>
      <c r="J216" s="6" t="s">
        <v>1887</v>
      </c>
      <c r="K216" s="12">
        <v>12</v>
      </c>
      <c r="L216" s="12" t="s">
        <v>1869</v>
      </c>
      <c r="M216" s="13" t="s">
        <v>41</v>
      </c>
    </row>
    <row r="217" spans="2:13" ht="15.9" customHeight="1" x14ac:dyDescent="0.3">
      <c r="B217" s="11" t="s">
        <v>35</v>
      </c>
      <c r="C217" s="11"/>
      <c r="D217" s="12" t="s">
        <v>1869</v>
      </c>
      <c r="E217" s="12">
        <v>32172003</v>
      </c>
      <c r="F217" s="50" t="s">
        <v>1870</v>
      </c>
      <c r="G217" s="146" t="s">
        <v>1871</v>
      </c>
      <c r="H217" s="60">
        <v>32043745</v>
      </c>
      <c r="I217" s="10" t="s">
        <v>1888</v>
      </c>
      <c r="J217" s="143" t="s">
        <v>1889</v>
      </c>
      <c r="K217" s="12">
        <v>12</v>
      </c>
      <c r="L217" s="12" t="s">
        <v>1869</v>
      </c>
      <c r="M217" s="13" t="s">
        <v>47</v>
      </c>
    </row>
    <row r="218" spans="2:13" ht="15.9" customHeight="1" x14ac:dyDescent="0.3">
      <c r="B218" s="11" t="s">
        <v>35</v>
      </c>
      <c r="C218" s="11"/>
      <c r="D218" s="12" t="s">
        <v>1869</v>
      </c>
      <c r="E218" s="12">
        <v>32172003</v>
      </c>
      <c r="F218" s="50" t="s">
        <v>1870</v>
      </c>
      <c r="G218" s="147" t="s">
        <v>1871</v>
      </c>
      <c r="H218" s="60">
        <v>32043836</v>
      </c>
      <c r="I218" s="10" t="s">
        <v>1890</v>
      </c>
      <c r="J218" s="6" t="s">
        <v>1891</v>
      </c>
      <c r="K218" s="12">
        <v>12</v>
      </c>
      <c r="L218" s="12" t="s">
        <v>1869</v>
      </c>
      <c r="M218" s="13" t="s">
        <v>41</v>
      </c>
    </row>
    <row r="219" spans="2:13" ht="15.9" customHeight="1" x14ac:dyDescent="0.3">
      <c r="B219" s="11" t="s">
        <v>35</v>
      </c>
      <c r="C219" s="11"/>
      <c r="D219" s="12" t="s">
        <v>1869</v>
      </c>
      <c r="E219" s="113">
        <v>32172003</v>
      </c>
      <c r="F219" s="129" t="s">
        <v>1870</v>
      </c>
      <c r="G219" s="146" t="s">
        <v>1871</v>
      </c>
      <c r="H219" s="60">
        <v>32043856</v>
      </c>
      <c r="I219" s="10" t="s">
        <v>1892</v>
      </c>
      <c r="J219" s="143" t="s">
        <v>1893</v>
      </c>
      <c r="K219" s="12">
        <v>12</v>
      </c>
      <c r="L219" s="12" t="s">
        <v>1869</v>
      </c>
      <c r="M219" s="13" t="s">
        <v>35</v>
      </c>
    </row>
    <row r="220" spans="2:13" ht="15.9" customHeight="1" x14ac:dyDescent="0.3">
      <c r="B220" s="11" t="s">
        <v>2127</v>
      </c>
      <c r="C220" s="11" t="s">
        <v>2235</v>
      </c>
      <c r="D220" s="12" t="s">
        <v>2273</v>
      </c>
      <c r="E220" s="112">
        <v>32044061</v>
      </c>
      <c r="F220" s="165" t="s">
        <v>2274</v>
      </c>
      <c r="G220" s="150" t="s">
        <v>2613</v>
      </c>
      <c r="H220" s="74">
        <v>32044072</v>
      </c>
      <c r="I220" s="211" t="s">
        <v>2280</v>
      </c>
      <c r="J220" s="6" t="s">
        <v>2614</v>
      </c>
      <c r="K220" s="12">
        <v>7</v>
      </c>
      <c r="L220" s="12" t="s">
        <v>2273</v>
      </c>
      <c r="M220" s="49" t="s">
        <v>1684</v>
      </c>
    </row>
    <row r="221" spans="2:13" ht="15.9" customHeight="1" x14ac:dyDescent="0.3">
      <c r="B221" s="11" t="s">
        <v>2127</v>
      </c>
      <c r="C221" s="11" t="s">
        <v>2235</v>
      </c>
      <c r="D221" s="12" t="s">
        <v>2273</v>
      </c>
      <c r="E221" s="94">
        <v>32044061</v>
      </c>
      <c r="F221" s="166" t="s">
        <v>2274</v>
      </c>
      <c r="G221" s="146" t="s">
        <v>2613</v>
      </c>
      <c r="H221" s="74">
        <v>32044814</v>
      </c>
      <c r="I221" s="211" t="s">
        <v>2278</v>
      </c>
      <c r="J221" s="6" t="s">
        <v>2615</v>
      </c>
      <c r="K221" s="12">
        <v>7</v>
      </c>
      <c r="L221" s="12" t="s">
        <v>2273</v>
      </c>
      <c r="M221" s="49" t="s">
        <v>179</v>
      </c>
    </row>
    <row r="222" spans="2:13" ht="15.9" customHeight="1" x14ac:dyDescent="0.3">
      <c r="B222" s="11" t="s">
        <v>2127</v>
      </c>
      <c r="C222" s="11" t="s">
        <v>2235</v>
      </c>
      <c r="D222" s="12" t="s">
        <v>2273</v>
      </c>
      <c r="E222" s="112">
        <v>32044061</v>
      </c>
      <c r="F222" s="165" t="s">
        <v>2274</v>
      </c>
      <c r="G222" s="146" t="s">
        <v>2613</v>
      </c>
      <c r="H222" s="74">
        <v>32043950</v>
      </c>
      <c r="I222" s="211" t="s">
        <v>2275</v>
      </c>
      <c r="J222" s="6" t="s">
        <v>2616</v>
      </c>
      <c r="K222" s="12">
        <v>7</v>
      </c>
      <c r="L222" s="12" t="s">
        <v>2273</v>
      </c>
      <c r="M222" s="49" t="s">
        <v>2276</v>
      </c>
    </row>
    <row r="223" spans="2:13" ht="15.9" customHeight="1" x14ac:dyDescent="0.3">
      <c r="B223" s="11" t="s">
        <v>2127</v>
      </c>
      <c r="C223" s="11" t="s">
        <v>2235</v>
      </c>
      <c r="D223" s="12" t="s">
        <v>2273</v>
      </c>
      <c r="E223" s="112">
        <v>32044061</v>
      </c>
      <c r="F223" s="165" t="s">
        <v>2274</v>
      </c>
      <c r="G223" s="146" t="s">
        <v>2613</v>
      </c>
      <c r="H223" s="70">
        <v>32146281</v>
      </c>
      <c r="I223" s="28" t="s">
        <v>2282</v>
      </c>
      <c r="J223" s="6" t="s">
        <v>2617</v>
      </c>
      <c r="K223" s="12">
        <v>7</v>
      </c>
      <c r="L223" s="12" t="s">
        <v>2273</v>
      </c>
      <c r="M223" s="49" t="s">
        <v>41</v>
      </c>
    </row>
    <row r="224" spans="2:13" ht="15.9" customHeight="1" x14ac:dyDescent="0.3">
      <c r="B224" s="11" t="s">
        <v>2127</v>
      </c>
      <c r="C224" s="11" t="s">
        <v>2235</v>
      </c>
      <c r="D224" s="12" t="s">
        <v>2273</v>
      </c>
      <c r="E224" s="112">
        <v>32044061</v>
      </c>
      <c r="F224" s="165" t="s">
        <v>2274</v>
      </c>
      <c r="G224" s="147" t="s">
        <v>2613</v>
      </c>
      <c r="H224" s="70">
        <v>32045476</v>
      </c>
      <c r="I224" s="28" t="s">
        <v>2283</v>
      </c>
      <c r="J224" s="6" t="s">
        <v>2618</v>
      </c>
      <c r="K224" s="12">
        <v>7</v>
      </c>
      <c r="L224" s="12" t="s">
        <v>2273</v>
      </c>
      <c r="M224" s="49" t="s">
        <v>511</v>
      </c>
    </row>
    <row r="225" spans="2:13" ht="15.9" customHeight="1" x14ac:dyDescent="0.3">
      <c r="B225" s="11" t="s">
        <v>2127</v>
      </c>
      <c r="C225" s="11" t="s">
        <v>2235</v>
      </c>
      <c r="D225" s="12" t="s">
        <v>2273</v>
      </c>
      <c r="E225" s="94">
        <v>32044061</v>
      </c>
      <c r="F225" s="166" t="s">
        <v>2274</v>
      </c>
      <c r="G225" s="146" t="s">
        <v>2613</v>
      </c>
      <c r="H225" s="74">
        <v>32044988</v>
      </c>
      <c r="I225" s="211" t="s">
        <v>2268</v>
      </c>
      <c r="J225" s="6" t="s">
        <v>2619</v>
      </c>
      <c r="K225" s="12">
        <v>7</v>
      </c>
      <c r="L225" s="12" t="s">
        <v>2273</v>
      </c>
      <c r="M225" s="49" t="s">
        <v>44</v>
      </c>
    </row>
    <row r="226" spans="2:13" ht="15.9" customHeight="1" x14ac:dyDescent="0.3">
      <c r="B226" s="11" t="s">
        <v>2127</v>
      </c>
      <c r="C226" s="11" t="s">
        <v>2235</v>
      </c>
      <c r="D226" s="12" t="s">
        <v>2273</v>
      </c>
      <c r="E226" s="112">
        <v>32044061</v>
      </c>
      <c r="F226" s="165" t="s">
        <v>2274</v>
      </c>
      <c r="G226" s="150" t="s">
        <v>2613</v>
      </c>
      <c r="H226" s="74">
        <v>32061266</v>
      </c>
      <c r="I226" s="211" t="s">
        <v>2281</v>
      </c>
      <c r="J226" s="6" t="s">
        <v>2620</v>
      </c>
      <c r="K226" s="12">
        <v>7</v>
      </c>
      <c r="L226" s="12" t="s">
        <v>2273</v>
      </c>
      <c r="M226" s="49" t="s">
        <v>47</v>
      </c>
    </row>
    <row r="227" spans="2:13" ht="15.9" customHeight="1" x14ac:dyDescent="0.3">
      <c r="B227" s="11" t="s">
        <v>363</v>
      </c>
      <c r="C227" s="11" t="s">
        <v>1529</v>
      </c>
      <c r="D227" s="12" t="s">
        <v>1530</v>
      </c>
      <c r="E227" s="113">
        <v>32148860</v>
      </c>
      <c r="F227" s="129" t="s">
        <v>2347</v>
      </c>
      <c r="G227" s="2" t="s">
        <v>1531</v>
      </c>
      <c r="H227" s="60">
        <v>32148867</v>
      </c>
      <c r="I227" s="13" t="s">
        <v>1544</v>
      </c>
      <c r="J227" s="154" t="s">
        <v>1545</v>
      </c>
      <c r="K227" s="12">
        <v>19</v>
      </c>
      <c r="L227" s="10" t="s">
        <v>1530</v>
      </c>
      <c r="M227" s="18" t="s">
        <v>765</v>
      </c>
    </row>
    <row r="228" spans="2:13" ht="15.9" customHeight="1" x14ac:dyDescent="0.3">
      <c r="B228" s="11" t="s">
        <v>363</v>
      </c>
      <c r="C228" s="11" t="s">
        <v>1529</v>
      </c>
      <c r="D228" s="12" t="s">
        <v>1530</v>
      </c>
      <c r="E228" s="51">
        <v>32148860</v>
      </c>
      <c r="F228" s="98" t="s">
        <v>2347</v>
      </c>
      <c r="G228" s="150" t="s">
        <v>1531</v>
      </c>
      <c r="H228" s="60">
        <v>32153098</v>
      </c>
      <c r="I228" s="13" t="s">
        <v>1546</v>
      </c>
      <c r="J228" s="6" t="s">
        <v>1547</v>
      </c>
      <c r="K228" s="12">
        <v>19</v>
      </c>
      <c r="L228" s="10" t="s">
        <v>1530</v>
      </c>
      <c r="M228" s="18" t="s">
        <v>1548</v>
      </c>
    </row>
    <row r="229" spans="2:13" ht="15.9" customHeight="1" x14ac:dyDescent="0.3">
      <c r="B229" s="11" t="s">
        <v>363</v>
      </c>
      <c r="C229" s="11" t="s">
        <v>1529</v>
      </c>
      <c r="D229" s="12" t="s">
        <v>1530</v>
      </c>
      <c r="E229" s="51">
        <v>32148860</v>
      </c>
      <c r="F229" s="98" t="s">
        <v>2347</v>
      </c>
      <c r="G229" s="146" t="s">
        <v>1531</v>
      </c>
      <c r="H229" s="60">
        <v>32136718</v>
      </c>
      <c r="I229" s="13" t="s">
        <v>1543</v>
      </c>
      <c r="J229" s="81" t="s">
        <v>61</v>
      </c>
      <c r="K229" s="12">
        <v>19</v>
      </c>
      <c r="L229" s="10" t="s">
        <v>1530</v>
      </c>
      <c r="M229" s="18" t="s">
        <v>714</v>
      </c>
    </row>
    <row r="230" spans="2:13" ht="15.9" customHeight="1" x14ac:dyDescent="0.3">
      <c r="B230" s="11" t="s">
        <v>363</v>
      </c>
      <c r="C230" s="11" t="s">
        <v>1529</v>
      </c>
      <c r="D230" s="12" t="s">
        <v>1530</v>
      </c>
      <c r="E230" s="51">
        <v>32148860</v>
      </c>
      <c r="F230" s="98" t="s">
        <v>2347</v>
      </c>
      <c r="G230" s="146" t="s">
        <v>1531</v>
      </c>
      <c r="H230" s="60">
        <v>32197863</v>
      </c>
      <c r="I230" s="13" t="s">
        <v>1555</v>
      </c>
      <c r="J230" s="80" t="s">
        <v>61</v>
      </c>
      <c r="K230" s="12">
        <v>19</v>
      </c>
      <c r="L230" s="10" t="s">
        <v>1530</v>
      </c>
      <c r="M230" s="18" t="s">
        <v>973</v>
      </c>
    </row>
    <row r="231" spans="2:13" ht="15.9" customHeight="1" x14ac:dyDescent="0.3">
      <c r="B231" s="11" t="s">
        <v>363</v>
      </c>
      <c r="C231" s="11" t="s">
        <v>1529</v>
      </c>
      <c r="D231" s="12" t="s">
        <v>1530</v>
      </c>
      <c r="E231" s="51">
        <v>32148860</v>
      </c>
      <c r="F231" s="50" t="s">
        <v>2347</v>
      </c>
      <c r="G231" s="2" t="s">
        <v>1531</v>
      </c>
      <c r="H231" s="60">
        <v>32171442</v>
      </c>
      <c r="I231" s="13" t="s">
        <v>1549</v>
      </c>
      <c r="J231" s="6" t="s">
        <v>1550</v>
      </c>
      <c r="K231" s="12">
        <v>19</v>
      </c>
      <c r="L231" s="10" t="s">
        <v>1530</v>
      </c>
      <c r="M231" s="18" t="s">
        <v>711</v>
      </c>
    </row>
    <row r="232" spans="2:13" ht="15.9" customHeight="1" x14ac:dyDescent="0.3">
      <c r="B232" s="11" t="s">
        <v>363</v>
      </c>
      <c r="C232" s="11" t="s">
        <v>1529</v>
      </c>
      <c r="D232" s="12" t="s">
        <v>1530</v>
      </c>
      <c r="E232" s="51">
        <v>32148860</v>
      </c>
      <c r="F232" s="50" t="s">
        <v>2347</v>
      </c>
      <c r="G232" s="146" t="s">
        <v>1531</v>
      </c>
      <c r="H232" s="60">
        <v>32197855</v>
      </c>
      <c r="I232" s="13" t="s">
        <v>1553</v>
      </c>
      <c r="J232" s="6" t="s">
        <v>1554</v>
      </c>
      <c r="K232" s="12">
        <v>19</v>
      </c>
      <c r="L232" s="10" t="s">
        <v>1530</v>
      </c>
      <c r="M232" s="12" t="s">
        <v>564</v>
      </c>
    </row>
    <row r="233" spans="2:13" ht="15.9" customHeight="1" x14ac:dyDescent="0.3">
      <c r="B233" s="11" t="s">
        <v>363</v>
      </c>
      <c r="C233" s="11" t="s">
        <v>1529</v>
      </c>
      <c r="D233" s="12" t="s">
        <v>1530</v>
      </c>
      <c r="E233" s="113">
        <v>32148860</v>
      </c>
      <c r="F233" s="129" t="s">
        <v>2347</v>
      </c>
      <c r="G233" s="146" t="s">
        <v>1531</v>
      </c>
      <c r="H233" s="60">
        <v>32045625</v>
      </c>
      <c r="I233" s="13" t="s">
        <v>1534</v>
      </c>
      <c r="J233" s="6" t="s">
        <v>1535</v>
      </c>
      <c r="K233" s="12">
        <v>19</v>
      </c>
      <c r="L233" s="10" t="s">
        <v>1530</v>
      </c>
      <c r="M233" s="12" t="s">
        <v>1026</v>
      </c>
    </row>
    <row r="234" spans="2:13" ht="15.9" customHeight="1" x14ac:dyDescent="0.3">
      <c r="B234" s="11" t="s">
        <v>363</v>
      </c>
      <c r="C234" s="11" t="s">
        <v>1529</v>
      </c>
      <c r="D234" s="12" t="s">
        <v>1530</v>
      </c>
      <c r="E234" s="51">
        <v>32148860</v>
      </c>
      <c r="F234" s="50" t="s">
        <v>2347</v>
      </c>
      <c r="G234" s="146" t="s">
        <v>1531</v>
      </c>
      <c r="H234" s="60">
        <v>32045964</v>
      </c>
      <c r="I234" s="13" t="s">
        <v>1536</v>
      </c>
      <c r="J234" s="6" t="s">
        <v>1537</v>
      </c>
      <c r="K234" s="12">
        <v>19</v>
      </c>
      <c r="L234" s="10" t="s">
        <v>1530</v>
      </c>
      <c r="M234" s="12" t="s">
        <v>705</v>
      </c>
    </row>
    <row r="235" spans="2:13" ht="15.9" customHeight="1" x14ac:dyDescent="0.3">
      <c r="B235" s="11" t="s">
        <v>363</v>
      </c>
      <c r="C235" s="11" t="s">
        <v>1529</v>
      </c>
      <c r="D235" s="12" t="s">
        <v>1530</v>
      </c>
      <c r="E235" s="51">
        <v>32148860</v>
      </c>
      <c r="F235" s="98" t="s">
        <v>2347</v>
      </c>
      <c r="G235" s="146" t="s">
        <v>1531</v>
      </c>
      <c r="H235" s="60">
        <v>32198298</v>
      </c>
      <c r="I235" s="13" t="s">
        <v>1558</v>
      </c>
      <c r="J235" s="6" t="s">
        <v>1559</v>
      </c>
      <c r="K235" s="12">
        <v>19</v>
      </c>
      <c r="L235" s="10" t="s">
        <v>1530</v>
      </c>
      <c r="M235" s="18" t="s">
        <v>890</v>
      </c>
    </row>
    <row r="236" spans="2:13" ht="15.9" customHeight="1" x14ac:dyDescent="0.3">
      <c r="B236" s="11" t="s">
        <v>363</v>
      </c>
      <c r="C236" s="11" t="s">
        <v>1529</v>
      </c>
      <c r="D236" s="12" t="s">
        <v>1530</v>
      </c>
      <c r="E236" s="51">
        <v>32148860</v>
      </c>
      <c r="F236" s="98" t="s">
        <v>2347</v>
      </c>
      <c r="G236" s="146" t="s">
        <v>1531</v>
      </c>
      <c r="H236" s="60">
        <v>32197892</v>
      </c>
      <c r="I236" s="13" t="s">
        <v>1556</v>
      </c>
      <c r="J236" s="6" t="s">
        <v>1557</v>
      </c>
      <c r="K236" s="12">
        <v>19</v>
      </c>
      <c r="L236" s="10" t="s">
        <v>1530</v>
      </c>
      <c r="M236" s="18" t="s">
        <v>666</v>
      </c>
    </row>
    <row r="237" spans="2:13" ht="15.9" customHeight="1" x14ac:dyDescent="0.3">
      <c r="B237" s="11" t="s">
        <v>363</v>
      </c>
      <c r="C237" s="11" t="s">
        <v>1529</v>
      </c>
      <c r="D237" s="12" t="s">
        <v>1530</v>
      </c>
      <c r="E237" s="12">
        <v>32148860</v>
      </c>
      <c r="F237" s="50" t="s">
        <v>2347</v>
      </c>
      <c r="G237" s="146" t="s">
        <v>1531</v>
      </c>
      <c r="H237" s="60">
        <v>32046048</v>
      </c>
      <c r="I237" s="13" t="s">
        <v>1538</v>
      </c>
      <c r="J237" s="6" t="s">
        <v>1539</v>
      </c>
      <c r="K237" s="12">
        <v>19</v>
      </c>
      <c r="L237" s="10" t="s">
        <v>1530</v>
      </c>
      <c r="M237" s="18" t="s">
        <v>564</v>
      </c>
    </row>
    <row r="238" spans="2:13" ht="15.9" customHeight="1" x14ac:dyDescent="0.3">
      <c r="B238" s="11" t="s">
        <v>363</v>
      </c>
      <c r="C238" s="11" t="s">
        <v>1529</v>
      </c>
      <c r="D238" s="12" t="s">
        <v>1530</v>
      </c>
      <c r="E238" s="113">
        <v>32148860</v>
      </c>
      <c r="F238" s="129" t="s">
        <v>2347</v>
      </c>
      <c r="G238" s="146" t="s">
        <v>1531</v>
      </c>
      <c r="H238" s="60">
        <v>32045186</v>
      </c>
      <c r="I238" s="13" t="s">
        <v>1532</v>
      </c>
      <c r="J238" s="6" t="s">
        <v>1533</v>
      </c>
      <c r="K238" s="12">
        <v>19</v>
      </c>
      <c r="L238" s="10" t="s">
        <v>1530</v>
      </c>
      <c r="M238" s="18" t="s">
        <v>937</v>
      </c>
    </row>
    <row r="239" spans="2:13" ht="15.9" customHeight="1" x14ac:dyDescent="0.3">
      <c r="B239" s="11" t="s">
        <v>363</v>
      </c>
      <c r="C239" s="11" t="s">
        <v>1529</v>
      </c>
      <c r="D239" s="12" t="s">
        <v>1530</v>
      </c>
      <c r="E239" s="51">
        <v>32148860</v>
      </c>
      <c r="F239" s="98" t="s">
        <v>2347</v>
      </c>
      <c r="G239" s="147" t="s">
        <v>1531</v>
      </c>
      <c r="H239" s="60">
        <v>32132180</v>
      </c>
      <c r="I239" s="13" t="s">
        <v>1542</v>
      </c>
      <c r="J239" s="81" t="s">
        <v>61</v>
      </c>
      <c r="K239" s="12">
        <v>19</v>
      </c>
      <c r="L239" s="10" t="s">
        <v>1530</v>
      </c>
      <c r="M239" s="18" t="s">
        <v>958</v>
      </c>
    </row>
    <row r="240" spans="2:13" ht="15.9" customHeight="1" x14ac:dyDescent="0.3">
      <c r="B240" s="11" t="s">
        <v>363</v>
      </c>
      <c r="C240" s="11" t="s">
        <v>1529</v>
      </c>
      <c r="D240" s="12" t="s">
        <v>1530</v>
      </c>
      <c r="E240" s="110">
        <v>32148860</v>
      </c>
      <c r="F240" s="131" t="s">
        <v>2347</v>
      </c>
      <c r="G240" s="146" t="s">
        <v>1531</v>
      </c>
      <c r="H240" s="60">
        <v>32046494</v>
      </c>
      <c r="I240" s="13" t="s">
        <v>1540</v>
      </c>
      <c r="J240" s="143" t="s">
        <v>1541</v>
      </c>
      <c r="K240" s="12">
        <v>19</v>
      </c>
      <c r="L240" s="10" t="s">
        <v>1530</v>
      </c>
      <c r="M240" s="18" t="s">
        <v>456</v>
      </c>
    </row>
    <row r="241" spans="2:13" ht="15.9" customHeight="1" x14ac:dyDescent="0.3">
      <c r="B241" s="11" t="s">
        <v>363</v>
      </c>
      <c r="C241" s="11" t="s">
        <v>1529</v>
      </c>
      <c r="D241" s="12" t="s">
        <v>1530</v>
      </c>
      <c r="E241" s="51">
        <v>32148860</v>
      </c>
      <c r="F241" s="98" t="s">
        <v>2347</v>
      </c>
      <c r="G241" s="150" t="s">
        <v>1531</v>
      </c>
      <c r="H241" s="60">
        <v>32197853</v>
      </c>
      <c r="I241" s="13" t="s">
        <v>1551</v>
      </c>
      <c r="J241" s="6" t="s">
        <v>1552</v>
      </c>
      <c r="K241" s="12">
        <v>19</v>
      </c>
      <c r="L241" s="10" t="s">
        <v>1530</v>
      </c>
      <c r="M241" s="12" t="s">
        <v>973</v>
      </c>
    </row>
    <row r="242" spans="2:13" ht="15.9" customHeight="1" x14ac:dyDescent="0.3">
      <c r="B242" s="11" t="s">
        <v>363</v>
      </c>
      <c r="C242" s="11">
        <v>12</v>
      </c>
      <c r="D242" s="12" t="s">
        <v>1171</v>
      </c>
      <c r="E242" s="114">
        <v>32096563</v>
      </c>
      <c r="F242" s="162" t="s">
        <v>1094</v>
      </c>
      <c r="G242" s="146" t="s">
        <v>1097</v>
      </c>
      <c r="H242" s="60">
        <v>32045392</v>
      </c>
      <c r="I242" s="10" t="s">
        <v>1180</v>
      </c>
      <c r="J242" s="6" t="s">
        <v>1181</v>
      </c>
      <c r="K242" s="12">
        <v>10</v>
      </c>
      <c r="L242" s="10" t="s">
        <v>1171</v>
      </c>
      <c r="M242" s="12" t="s">
        <v>481</v>
      </c>
    </row>
    <row r="243" spans="2:13" ht="15.9" customHeight="1" x14ac:dyDescent="0.3">
      <c r="B243" s="11" t="s">
        <v>363</v>
      </c>
      <c r="C243" s="11">
        <v>12</v>
      </c>
      <c r="D243" s="12" t="s">
        <v>1171</v>
      </c>
      <c r="E243" s="114">
        <v>32096563</v>
      </c>
      <c r="F243" s="162" t="s">
        <v>1094</v>
      </c>
      <c r="G243" s="2" t="s">
        <v>1097</v>
      </c>
      <c r="H243" s="60">
        <v>32044228</v>
      </c>
      <c r="I243" s="10" t="s">
        <v>1176</v>
      </c>
      <c r="J243" s="6" t="s">
        <v>1177</v>
      </c>
      <c r="K243" s="12">
        <v>10</v>
      </c>
      <c r="L243" s="10" t="s">
        <v>1171</v>
      </c>
      <c r="M243" s="12" t="s">
        <v>1069</v>
      </c>
    </row>
    <row r="244" spans="2:13" ht="15.9" customHeight="1" x14ac:dyDescent="0.3">
      <c r="B244" s="11" t="s">
        <v>363</v>
      </c>
      <c r="C244" s="11">
        <v>12</v>
      </c>
      <c r="D244" s="12" t="s">
        <v>1171</v>
      </c>
      <c r="E244" s="94">
        <v>32096563</v>
      </c>
      <c r="F244" s="166" t="s">
        <v>1094</v>
      </c>
      <c r="G244" s="146" t="s">
        <v>1097</v>
      </c>
      <c r="H244" s="60">
        <v>32046515</v>
      </c>
      <c r="I244" s="10" t="s">
        <v>1185</v>
      </c>
      <c r="J244" s="6" t="s">
        <v>1186</v>
      </c>
      <c r="K244" s="12">
        <v>10</v>
      </c>
      <c r="L244" s="10" t="s">
        <v>1171</v>
      </c>
      <c r="M244" s="12" t="s">
        <v>456</v>
      </c>
    </row>
    <row r="245" spans="2:13" ht="15.9" customHeight="1" x14ac:dyDescent="0.3">
      <c r="B245" s="11" t="s">
        <v>363</v>
      </c>
      <c r="C245" s="11">
        <v>12</v>
      </c>
      <c r="D245" s="12" t="s">
        <v>1171</v>
      </c>
      <c r="E245" s="112">
        <v>32096563</v>
      </c>
      <c r="F245" s="165" t="s">
        <v>1094</v>
      </c>
      <c r="G245" s="153" t="s">
        <v>1097</v>
      </c>
      <c r="H245" s="60">
        <v>32132048</v>
      </c>
      <c r="I245" s="10" t="s">
        <v>1191</v>
      </c>
      <c r="J245" s="80" t="s">
        <v>61</v>
      </c>
      <c r="K245" s="12">
        <v>10</v>
      </c>
      <c r="L245" s="10" t="s">
        <v>1171</v>
      </c>
      <c r="M245" s="12" t="s">
        <v>447</v>
      </c>
    </row>
    <row r="246" spans="2:13" ht="15.9" customHeight="1" x14ac:dyDescent="0.3">
      <c r="B246" s="11" t="s">
        <v>363</v>
      </c>
      <c r="C246" s="11">
        <v>12</v>
      </c>
      <c r="D246" s="12" t="s">
        <v>1171</v>
      </c>
      <c r="E246" s="112">
        <v>32096563</v>
      </c>
      <c r="F246" s="165" t="s">
        <v>1094</v>
      </c>
      <c r="G246" s="146" t="s">
        <v>1097</v>
      </c>
      <c r="H246" s="60">
        <v>32046089</v>
      </c>
      <c r="I246" s="10" t="s">
        <v>1183</v>
      </c>
      <c r="J246" s="6" t="s">
        <v>1184</v>
      </c>
      <c r="K246" s="12">
        <v>10</v>
      </c>
      <c r="L246" s="10" t="s">
        <v>1171</v>
      </c>
      <c r="M246" s="12" t="s">
        <v>461</v>
      </c>
    </row>
    <row r="247" spans="2:13" ht="15.9" customHeight="1" x14ac:dyDescent="0.3">
      <c r="B247" s="11" t="s">
        <v>363</v>
      </c>
      <c r="C247" s="11">
        <v>12</v>
      </c>
      <c r="D247" s="12" t="s">
        <v>1171</v>
      </c>
      <c r="E247" s="112">
        <v>32096563</v>
      </c>
      <c r="F247" s="165" t="s">
        <v>1094</v>
      </c>
      <c r="G247" s="150" t="s">
        <v>1097</v>
      </c>
      <c r="H247" s="60">
        <v>32108994</v>
      </c>
      <c r="I247" s="10" t="s">
        <v>1189</v>
      </c>
      <c r="J247" s="143" t="s">
        <v>1190</v>
      </c>
      <c r="K247" s="12">
        <v>10</v>
      </c>
      <c r="L247" s="10" t="s">
        <v>1171</v>
      </c>
      <c r="M247" s="18" t="s">
        <v>1077</v>
      </c>
    </row>
    <row r="248" spans="2:13" ht="15.9" customHeight="1" x14ac:dyDescent="0.3">
      <c r="B248" s="11" t="s">
        <v>363</v>
      </c>
      <c r="C248" s="11">
        <v>12</v>
      </c>
      <c r="D248" s="12" t="s">
        <v>1171</v>
      </c>
      <c r="E248" s="94">
        <v>32096563</v>
      </c>
      <c r="F248" s="166" t="s">
        <v>1094</v>
      </c>
      <c r="G248" s="146" t="s">
        <v>1097</v>
      </c>
      <c r="H248" s="60">
        <v>32043890</v>
      </c>
      <c r="I248" s="10" t="s">
        <v>1172</v>
      </c>
      <c r="J248" s="6" t="s">
        <v>1173</v>
      </c>
      <c r="K248" s="12">
        <v>10</v>
      </c>
      <c r="L248" s="10" t="s">
        <v>1171</v>
      </c>
      <c r="M248" s="12" t="s">
        <v>1074</v>
      </c>
    </row>
    <row r="249" spans="2:13" ht="15.9" customHeight="1" x14ac:dyDescent="0.3">
      <c r="B249" s="11" t="s">
        <v>363</v>
      </c>
      <c r="C249" s="11">
        <v>12</v>
      </c>
      <c r="D249" s="12" t="s">
        <v>1171</v>
      </c>
      <c r="E249" s="94">
        <v>32096563</v>
      </c>
      <c r="F249" s="166" t="s">
        <v>1094</v>
      </c>
      <c r="G249" s="146" t="s">
        <v>1097</v>
      </c>
      <c r="H249" s="60">
        <v>32045179</v>
      </c>
      <c r="I249" s="10" t="s">
        <v>1178</v>
      </c>
      <c r="J249" s="6" t="s">
        <v>1179</v>
      </c>
      <c r="K249" s="12">
        <v>10</v>
      </c>
      <c r="L249" s="10" t="s">
        <v>1171</v>
      </c>
      <c r="M249" s="12" t="s">
        <v>564</v>
      </c>
    </row>
    <row r="250" spans="2:13" ht="15.9" customHeight="1" x14ac:dyDescent="0.3">
      <c r="B250" s="11" t="s">
        <v>363</v>
      </c>
      <c r="C250" s="11">
        <v>12</v>
      </c>
      <c r="D250" s="12" t="s">
        <v>1171</v>
      </c>
      <c r="E250" s="112">
        <v>32096563</v>
      </c>
      <c r="F250" s="165" t="s">
        <v>1094</v>
      </c>
      <c r="G250" s="146" t="s">
        <v>1097</v>
      </c>
      <c r="H250" s="60">
        <v>32045643</v>
      </c>
      <c r="I250" s="10" t="s">
        <v>1182</v>
      </c>
      <c r="J250" s="80" t="s">
        <v>61</v>
      </c>
      <c r="K250" s="12">
        <v>10</v>
      </c>
      <c r="L250" s="10" t="s">
        <v>1171</v>
      </c>
      <c r="M250" s="18" t="s">
        <v>711</v>
      </c>
    </row>
    <row r="251" spans="2:13" ht="15.9" customHeight="1" x14ac:dyDescent="0.3">
      <c r="B251" s="11" t="s">
        <v>363</v>
      </c>
      <c r="C251" s="11">
        <v>12</v>
      </c>
      <c r="D251" s="12" t="s">
        <v>1171</v>
      </c>
      <c r="E251" s="112">
        <v>32096563</v>
      </c>
      <c r="F251" s="165" t="s">
        <v>1094</v>
      </c>
      <c r="G251" s="147" t="s">
        <v>1097</v>
      </c>
      <c r="H251" s="60">
        <v>32057876</v>
      </c>
      <c r="I251" s="10" t="s">
        <v>1187</v>
      </c>
      <c r="J251" s="143" t="s">
        <v>1188</v>
      </c>
      <c r="K251" s="12">
        <v>10</v>
      </c>
      <c r="L251" s="10" t="s">
        <v>1171</v>
      </c>
      <c r="M251" s="12" t="s">
        <v>453</v>
      </c>
    </row>
    <row r="252" spans="2:13" ht="15.9" customHeight="1" x14ac:dyDescent="0.3">
      <c r="B252" s="11" t="s">
        <v>2127</v>
      </c>
      <c r="C252" s="11" t="s">
        <v>2235</v>
      </c>
      <c r="D252" s="12" t="s">
        <v>2248</v>
      </c>
      <c r="E252" s="113">
        <v>32145055</v>
      </c>
      <c r="F252" s="129" t="s">
        <v>2244</v>
      </c>
      <c r="G252" s="147" t="s">
        <v>2621</v>
      </c>
      <c r="H252" s="74">
        <v>32043999</v>
      </c>
      <c r="I252" s="31" t="s">
        <v>2252</v>
      </c>
      <c r="J252" s="6" t="s">
        <v>2622</v>
      </c>
      <c r="K252" s="12">
        <v>4</v>
      </c>
      <c r="L252" s="12" t="s">
        <v>2248</v>
      </c>
      <c r="M252" s="12" t="s">
        <v>44</v>
      </c>
    </row>
    <row r="253" spans="2:13" ht="15.9" customHeight="1" x14ac:dyDescent="0.3">
      <c r="B253" s="11" t="s">
        <v>2127</v>
      </c>
      <c r="C253" s="11" t="s">
        <v>2235</v>
      </c>
      <c r="D253" s="12" t="s">
        <v>2248</v>
      </c>
      <c r="E253" s="12">
        <v>32145055</v>
      </c>
      <c r="F253" s="50" t="s">
        <v>2244</v>
      </c>
      <c r="G253" s="146" t="s">
        <v>2621</v>
      </c>
      <c r="H253" s="74">
        <v>32045788</v>
      </c>
      <c r="I253" s="31" t="s">
        <v>2251</v>
      </c>
      <c r="J253" s="6" t="s">
        <v>2623</v>
      </c>
      <c r="K253" s="12">
        <v>4</v>
      </c>
      <c r="L253" s="12" t="s">
        <v>2248</v>
      </c>
      <c r="M253" s="12" t="s">
        <v>35</v>
      </c>
    </row>
    <row r="254" spans="2:13" ht="15.9" customHeight="1" x14ac:dyDescent="0.3">
      <c r="B254" s="11" t="s">
        <v>2127</v>
      </c>
      <c r="C254" s="11" t="s">
        <v>2235</v>
      </c>
      <c r="D254" s="12" t="s">
        <v>2248</v>
      </c>
      <c r="E254" s="12">
        <v>32145055</v>
      </c>
      <c r="F254" s="50" t="s">
        <v>2244</v>
      </c>
      <c r="G254" s="150" t="s">
        <v>2621</v>
      </c>
      <c r="H254" s="74">
        <v>32044181</v>
      </c>
      <c r="I254" s="31" t="s">
        <v>2249</v>
      </c>
      <c r="J254" s="6" t="s">
        <v>2624</v>
      </c>
      <c r="K254" s="12">
        <v>4</v>
      </c>
      <c r="L254" s="12" t="s">
        <v>2248</v>
      </c>
      <c r="M254" s="12" t="s">
        <v>41</v>
      </c>
    </row>
    <row r="255" spans="2:13" ht="15.9" customHeight="1" x14ac:dyDescent="0.3">
      <c r="B255" s="11" t="s">
        <v>2127</v>
      </c>
      <c r="C255" s="11" t="s">
        <v>2235</v>
      </c>
      <c r="D255" s="12" t="s">
        <v>2248</v>
      </c>
      <c r="E255" s="12">
        <v>32145055</v>
      </c>
      <c r="F255" s="50" t="s">
        <v>2244</v>
      </c>
      <c r="G255" s="146" t="s">
        <v>2621</v>
      </c>
      <c r="H255" s="74">
        <v>32146673</v>
      </c>
      <c r="I255" s="31" t="s">
        <v>2386</v>
      </c>
      <c r="J255" s="181" t="s">
        <v>61</v>
      </c>
      <c r="K255" s="12">
        <v>4</v>
      </c>
      <c r="L255" s="12" t="s">
        <v>2248</v>
      </c>
      <c r="M255" s="12" t="s">
        <v>179</v>
      </c>
    </row>
    <row r="256" spans="2:13" ht="15.9" customHeight="1" x14ac:dyDescent="0.3">
      <c r="B256" s="11" t="s">
        <v>2127</v>
      </c>
      <c r="C256" s="11" t="s">
        <v>2182</v>
      </c>
      <c r="D256" s="12" t="s">
        <v>2227</v>
      </c>
      <c r="E256" s="12">
        <v>32172669</v>
      </c>
      <c r="F256" s="50" t="s">
        <v>2348</v>
      </c>
      <c r="G256" s="146" t="s">
        <v>2625</v>
      </c>
      <c r="H256" s="70">
        <v>32072179</v>
      </c>
      <c r="I256" s="39" t="s">
        <v>2232</v>
      </c>
      <c r="J256" s="6" t="s">
        <v>2626</v>
      </c>
      <c r="K256" s="12">
        <v>12</v>
      </c>
      <c r="L256" s="12" t="s">
        <v>2227</v>
      </c>
      <c r="M256" s="49" t="s">
        <v>35</v>
      </c>
    </row>
    <row r="257" spans="2:13" ht="15.9" customHeight="1" x14ac:dyDescent="0.3">
      <c r="B257" s="11" t="s">
        <v>2127</v>
      </c>
      <c r="C257" s="11" t="s">
        <v>2182</v>
      </c>
      <c r="D257" s="12" t="s">
        <v>2227</v>
      </c>
      <c r="E257" s="12">
        <v>32172669</v>
      </c>
      <c r="F257" s="50" t="s">
        <v>2348</v>
      </c>
      <c r="G257" s="146" t="s">
        <v>2625</v>
      </c>
      <c r="H257" s="70">
        <v>32045843</v>
      </c>
      <c r="I257" s="39" t="s">
        <v>2214</v>
      </c>
      <c r="J257" s="6" t="s">
        <v>2627</v>
      </c>
      <c r="K257" s="12">
        <v>12</v>
      </c>
      <c r="L257" s="12" t="s">
        <v>2227</v>
      </c>
      <c r="M257" s="49" t="s">
        <v>779</v>
      </c>
    </row>
    <row r="258" spans="2:13" ht="15.9" customHeight="1" x14ac:dyDescent="0.3">
      <c r="B258" s="11" t="s">
        <v>2127</v>
      </c>
      <c r="C258" s="11" t="s">
        <v>2182</v>
      </c>
      <c r="D258" s="12" t="s">
        <v>2227</v>
      </c>
      <c r="E258" s="112">
        <v>32172669</v>
      </c>
      <c r="F258" s="165" t="s">
        <v>2228</v>
      </c>
      <c r="G258" s="146" t="s">
        <v>2625</v>
      </c>
      <c r="H258" s="70">
        <v>32072205</v>
      </c>
      <c r="I258" s="39" t="s">
        <v>2215</v>
      </c>
      <c r="J258" s="6" t="s">
        <v>2628</v>
      </c>
      <c r="K258" s="12">
        <v>12</v>
      </c>
      <c r="L258" s="12" t="s">
        <v>2227</v>
      </c>
      <c r="M258" s="49" t="s">
        <v>511</v>
      </c>
    </row>
    <row r="259" spans="2:13" ht="15.9" customHeight="1" x14ac:dyDescent="0.3">
      <c r="B259" s="11" t="s">
        <v>2127</v>
      </c>
      <c r="C259" s="11" t="s">
        <v>2182</v>
      </c>
      <c r="D259" s="12" t="s">
        <v>2227</v>
      </c>
      <c r="E259" s="94">
        <v>32172669</v>
      </c>
      <c r="F259" s="166" t="s">
        <v>2228</v>
      </c>
      <c r="G259" s="146" t="s">
        <v>2625</v>
      </c>
      <c r="H259" s="70">
        <v>32146010</v>
      </c>
      <c r="I259" s="39" t="s">
        <v>2234</v>
      </c>
      <c r="J259" s="6" t="s">
        <v>2629</v>
      </c>
      <c r="K259" s="12">
        <v>12</v>
      </c>
      <c r="L259" s="12" t="s">
        <v>2227</v>
      </c>
      <c r="M259" s="49" t="s">
        <v>719</v>
      </c>
    </row>
    <row r="260" spans="2:13" ht="15.9" customHeight="1" x14ac:dyDescent="0.3">
      <c r="B260" s="11" t="s">
        <v>2127</v>
      </c>
      <c r="C260" s="11" t="s">
        <v>2182</v>
      </c>
      <c r="D260" s="12" t="s">
        <v>2227</v>
      </c>
      <c r="E260" s="112">
        <v>32172669</v>
      </c>
      <c r="F260" s="165" t="s">
        <v>2228</v>
      </c>
      <c r="G260" s="146" t="s">
        <v>2625</v>
      </c>
      <c r="H260" s="70">
        <v>32146622</v>
      </c>
      <c r="I260" s="39" t="s">
        <v>2387</v>
      </c>
      <c r="J260" s="6" t="s">
        <v>2630</v>
      </c>
      <c r="K260" s="12">
        <v>12</v>
      </c>
      <c r="L260" s="12" t="s">
        <v>2227</v>
      </c>
      <c r="M260" s="49" t="s">
        <v>2145</v>
      </c>
    </row>
    <row r="261" spans="2:13" ht="15.9" customHeight="1" x14ac:dyDescent="0.3">
      <c r="B261" s="11" t="s">
        <v>2127</v>
      </c>
      <c r="C261" s="11" t="s">
        <v>2182</v>
      </c>
      <c r="D261" s="12" t="s">
        <v>2227</v>
      </c>
      <c r="E261" s="112">
        <v>32172669</v>
      </c>
      <c r="F261" s="165" t="s">
        <v>2228</v>
      </c>
      <c r="G261" s="147" t="s">
        <v>2625</v>
      </c>
      <c r="H261" s="76">
        <v>32149265</v>
      </c>
      <c r="I261" s="39" t="s">
        <v>2216</v>
      </c>
      <c r="J261" s="6" t="s">
        <v>2631</v>
      </c>
      <c r="K261" s="12">
        <v>12</v>
      </c>
      <c r="L261" s="12" t="s">
        <v>2227</v>
      </c>
      <c r="M261" s="49" t="s">
        <v>47</v>
      </c>
    </row>
    <row r="262" spans="2:13" ht="15.9" customHeight="1" x14ac:dyDescent="0.3">
      <c r="B262" s="11" t="s">
        <v>2127</v>
      </c>
      <c r="C262" s="11" t="s">
        <v>2182</v>
      </c>
      <c r="D262" s="12" t="s">
        <v>2227</v>
      </c>
      <c r="E262" s="112">
        <v>32172669</v>
      </c>
      <c r="F262" s="165" t="s">
        <v>2228</v>
      </c>
      <c r="G262" s="146" t="s">
        <v>2625</v>
      </c>
      <c r="H262" s="70">
        <v>32043918</v>
      </c>
      <c r="I262" s="39" t="s">
        <v>2213</v>
      </c>
      <c r="J262" s="6" t="s">
        <v>2632</v>
      </c>
      <c r="K262" s="12">
        <v>12</v>
      </c>
      <c r="L262" s="12" t="s">
        <v>2227</v>
      </c>
      <c r="M262" s="49" t="s">
        <v>481</v>
      </c>
    </row>
    <row r="263" spans="2:13" ht="15.9" customHeight="1" x14ac:dyDescent="0.3">
      <c r="B263" s="11" t="s">
        <v>2127</v>
      </c>
      <c r="C263" s="11" t="s">
        <v>2182</v>
      </c>
      <c r="D263" s="12" t="s">
        <v>2227</v>
      </c>
      <c r="E263" s="112">
        <v>32172669</v>
      </c>
      <c r="F263" s="165" t="s">
        <v>2228</v>
      </c>
      <c r="G263" s="150" t="s">
        <v>2625</v>
      </c>
      <c r="H263" s="70">
        <v>32043744</v>
      </c>
      <c r="I263" s="39" t="s">
        <v>2233</v>
      </c>
      <c r="J263" s="154" t="s">
        <v>2633</v>
      </c>
      <c r="K263" s="12">
        <v>12</v>
      </c>
      <c r="L263" s="12" t="s">
        <v>2227</v>
      </c>
      <c r="M263" s="49" t="s">
        <v>461</v>
      </c>
    </row>
    <row r="264" spans="2:13" ht="15.9" customHeight="1" x14ac:dyDescent="0.3">
      <c r="B264" s="11" t="s">
        <v>2127</v>
      </c>
      <c r="C264" s="11" t="s">
        <v>2182</v>
      </c>
      <c r="D264" s="12" t="s">
        <v>2227</v>
      </c>
      <c r="E264" s="94">
        <v>32172669</v>
      </c>
      <c r="F264" s="166" t="s">
        <v>2228</v>
      </c>
      <c r="G264" s="146" t="s">
        <v>2625</v>
      </c>
      <c r="H264" s="70">
        <v>32045730</v>
      </c>
      <c r="I264" s="28" t="s">
        <v>2229</v>
      </c>
      <c r="J264" s="154" t="s">
        <v>2634</v>
      </c>
      <c r="K264" s="12">
        <v>12</v>
      </c>
      <c r="L264" s="12" t="s">
        <v>2227</v>
      </c>
      <c r="M264" s="49" t="s">
        <v>41</v>
      </c>
    </row>
    <row r="265" spans="2:13" ht="15.9" customHeight="1" x14ac:dyDescent="0.3">
      <c r="B265" s="11" t="s">
        <v>2127</v>
      </c>
      <c r="C265" s="11" t="s">
        <v>2182</v>
      </c>
      <c r="D265" s="12" t="s">
        <v>2227</v>
      </c>
      <c r="E265" s="112">
        <v>32172669</v>
      </c>
      <c r="F265" s="165" t="s">
        <v>2228</v>
      </c>
      <c r="G265" s="146" t="s">
        <v>2625</v>
      </c>
      <c r="H265" s="70">
        <v>32044605</v>
      </c>
      <c r="I265" s="39" t="s">
        <v>2212</v>
      </c>
      <c r="J265" s="6" t="s">
        <v>2635</v>
      </c>
      <c r="K265" s="12">
        <v>12</v>
      </c>
      <c r="L265" s="12" t="s">
        <v>2227</v>
      </c>
      <c r="M265" s="49" t="s">
        <v>179</v>
      </c>
    </row>
    <row r="266" spans="2:13" ht="15.9" customHeight="1" x14ac:dyDescent="0.3">
      <c r="B266" s="11" t="s">
        <v>2127</v>
      </c>
      <c r="C266" s="11" t="s">
        <v>2182</v>
      </c>
      <c r="D266" s="12" t="s">
        <v>2227</v>
      </c>
      <c r="E266" s="112">
        <v>32172669</v>
      </c>
      <c r="F266" s="165" t="s">
        <v>2228</v>
      </c>
      <c r="G266" s="146" t="s">
        <v>2625</v>
      </c>
      <c r="H266" s="70">
        <v>32044408</v>
      </c>
      <c r="I266" s="28" t="s">
        <v>2230</v>
      </c>
      <c r="J266" s="143" t="s">
        <v>2636</v>
      </c>
      <c r="K266" s="12">
        <v>12</v>
      </c>
      <c r="L266" s="12" t="s">
        <v>2227</v>
      </c>
      <c r="M266" s="47" t="s">
        <v>1</v>
      </c>
    </row>
    <row r="267" spans="2:13" ht="15.9" customHeight="1" x14ac:dyDescent="0.3">
      <c r="B267" s="11" t="s">
        <v>2127</v>
      </c>
      <c r="C267" s="11" t="s">
        <v>2182</v>
      </c>
      <c r="D267" s="12" t="s">
        <v>2227</v>
      </c>
      <c r="E267" s="112">
        <v>32172669</v>
      </c>
      <c r="F267" s="165" t="s">
        <v>2228</v>
      </c>
      <c r="G267" s="146" t="s">
        <v>2625</v>
      </c>
      <c r="H267" s="70">
        <v>32044529</v>
      </c>
      <c r="I267" s="39" t="s">
        <v>2231</v>
      </c>
      <c r="J267" s="6" t="s">
        <v>2637</v>
      </c>
      <c r="K267" s="12">
        <v>12</v>
      </c>
      <c r="L267" s="12" t="s">
        <v>2227</v>
      </c>
      <c r="M267" s="49" t="s">
        <v>44</v>
      </c>
    </row>
    <row r="268" spans="2:13" ht="15.9" customHeight="1" x14ac:dyDescent="0.25">
      <c r="B268" s="11" t="s">
        <v>363</v>
      </c>
      <c r="C268" s="11">
        <v>1</v>
      </c>
      <c r="D268" s="12" t="s">
        <v>385</v>
      </c>
      <c r="E268" s="113">
        <v>32148109</v>
      </c>
      <c r="F268" s="129" t="s">
        <v>2345</v>
      </c>
      <c r="G268" s="152" t="s">
        <v>51</v>
      </c>
      <c r="H268" s="60">
        <v>32107322</v>
      </c>
      <c r="I268" s="10" t="s">
        <v>387</v>
      </c>
      <c r="J268" s="6" t="s">
        <v>388</v>
      </c>
      <c r="K268" s="12">
        <v>6</v>
      </c>
      <c r="L268" s="10" t="s">
        <v>385</v>
      </c>
      <c r="M268" s="12" t="s">
        <v>375</v>
      </c>
    </row>
    <row r="269" spans="2:13" ht="15.9" customHeight="1" x14ac:dyDescent="0.25">
      <c r="B269" s="11" t="s">
        <v>363</v>
      </c>
      <c r="C269" s="11">
        <v>1</v>
      </c>
      <c r="D269" s="12" t="s">
        <v>385</v>
      </c>
      <c r="E269" s="113">
        <v>32148109</v>
      </c>
      <c r="F269" s="129" t="s">
        <v>2345</v>
      </c>
      <c r="G269" s="152" t="s">
        <v>51</v>
      </c>
      <c r="H269" s="60">
        <v>32046388</v>
      </c>
      <c r="I269" s="10" t="s">
        <v>389</v>
      </c>
      <c r="J269" s="6" t="s">
        <v>390</v>
      </c>
      <c r="K269" s="12">
        <v>6</v>
      </c>
      <c r="L269" s="10" t="s">
        <v>385</v>
      </c>
      <c r="M269" s="12" t="s">
        <v>381</v>
      </c>
    </row>
    <row r="270" spans="2:13" ht="15.9" customHeight="1" x14ac:dyDescent="0.25">
      <c r="B270" s="11" t="s">
        <v>363</v>
      </c>
      <c r="C270" s="11">
        <v>1</v>
      </c>
      <c r="D270" s="12" t="s">
        <v>385</v>
      </c>
      <c r="E270" s="12">
        <v>32148109</v>
      </c>
      <c r="F270" s="50" t="s">
        <v>2345</v>
      </c>
      <c r="G270" s="152" t="s">
        <v>51</v>
      </c>
      <c r="H270" s="60">
        <v>32046339</v>
      </c>
      <c r="I270" s="10" t="s">
        <v>391</v>
      </c>
      <c r="J270" s="6" t="s">
        <v>392</v>
      </c>
      <c r="K270" s="12">
        <v>6</v>
      </c>
      <c r="L270" s="10" t="s">
        <v>385</v>
      </c>
      <c r="M270" s="12" t="s">
        <v>378</v>
      </c>
    </row>
    <row r="271" spans="2:13" ht="15.9" customHeight="1" x14ac:dyDescent="0.25">
      <c r="B271" s="11" t="s">
        <v>363</v>
      </c>
      <c r="C271" s="11">
        <v>1</v>
      </c>
      <c r="D271" s="12" t="s">
        <v>385</v>
      </c>
      <c r="E271" s="113">
        <v>32148109</v>
      </c>
      <c r="F271" s="129" t="s">
        <v>2345</v>
      </c>
      <c r="G271" s="152" t="s">
        <v>51</v>
      </c>
      <c r="H271" s="60">
        <v>32131837</v>
      </c>
      <c r="I271" s="10" t="s">
        <v>393</v>
      </c>
      <c r="J271" s="6" t="s">
        <v>394</v>
      </c>
      <c r="K271" s="12">
        <v>6</v>
      </c>
      <c r="L271" s="10" t="s">
        <v>385</v>
      </c>
      <c r="M271" s="12" t="s">
        <v>372</v>
      </c>
    </row>
    <row r="272" spans="2:13" ht="15.9" customHeight="1" x14ac:dyDescent="0.25">
      <c r="B272" s="11" t="s">
        <v>363</v>
      </c>
      <c r="C272" s="11">
        <v>1</v>
      </c>
      <c r="D272" s="18" t="s">
        <v>385</v>
      </c>
      <c r="E272" s="51">
        <v>32148109</v>
      </c>
      <c r="F272" s="98" t="s">
        <v>2345</v>
      </c>
      <c r="G272" s="152" t="s">
        <v>51</v>
      </c>
      <c r="H272" s="60">
        <v>32046651</v>
      </c>
      <c r="I272" s="10" t="s">
        <v>2388</v>
      </c>
      <c r="J272" s="80" t="s">
        <v>61</v>
      </c>
      <c r="K272" s="12">
        <v>6</v>
      </c>
      <c r="L272" s="10" t="s">
        <v>385</v>
      </c>
      <c r="M272" s="12" t="s">
        <v>384</v>
      </c>
    </row>
    <row r="273" spans="2:13" ht="15.9" customHeight="1" x14ac:dyDescent="0.25">
      <c r="B273" s="11" t="s">
        <v>363</v>
      </c>
      <c r="C273" s="11">
        <v>1</v>
      </c>
      <c r="D273" s="18" t="s">
        <v>385</v>
      </c>
      <c r="E273" s="51">
        <v>32148109</v>
      </c>
      <c r="F273" s="98" t="s">
        <v>2345</v>
      </c>
      <c r="G273" s="152" t="s">
        <v>51</v>
      </c>
      <c r="H273" s="60">
        <v>32145468</v>
      </c>
      <c r="I273" s="10" t="s">
        <v>395</v>
      </c>
      <c r="J273" s="6" t="s">
        <v>396</v>
      </c>
      <c r="K273" s="12">
        <v>6</v>
      </c>
      <c r="L273" s="10" t="s">
        <v>385</v>
      </c>
      <c r="M273" s="12" t="s">
        <v>369</v>
      </c>
    </row>
    <row r="274" spans="2:13" ht="15.9" customHeight="1" x14ac:dyDescent="0.3">
      <c r="B274" s="11" t="s">
        <v>363</v>
      </c>
      <c r="C274" s="11">
        <v>7</v>
      </c>
      <c r="D274" s="18" t="s">
        <v>875</v>
      </c>
      <c r="E274" s="51">
        <v>32045047</v>
      </c>
      <c r="F274" s="98" t="s">
        <v>2349</v>
      </c>
      <c r="G274" s="146" t="s">
        <v>745</v>
      </c>
      <c r="H274" s="60">
        <v>32046481</v>
      </c>
      <c r="I274" s="10" t="s">
        <v>895</v>
      </c>
      <c r="J274" s="143" t="s">
        <v>896</v>
      </c>
      <c r="K274" s="12">
        <v>14</v>
      </c>
      <c r="L274" s="10" t="s">
        <v>875</v>
      </c>
      <c r="M274" s="12" t="s">
        <v>473</v>
      </c>
    </row>
    <row r="275" spans="2:13" ht="15.9" customHeight="1" x14ac:dyDescent="0.3">
      <c r="B275" s="11" t="s">
        <v>363</v>
      </c>
      <c r="C275" s="11">
        <v>7</v>
      </c>
      <c r="D275" s="18" t="s">
        <v>875</v>
      </c>
      <c r="E275" s="51">
        <v>32045047</v>
      </c>
      <c r="F275" s="98" t="s">
        <v>2349</v>
      </c>
      <c r="G275" s="147" t="s">
        <v>745</v>
      </c>
      <c r="H275" s="60">
        <v>32148627</v>
      </c>
      <c r="I275" s="10" t="s">
        <v>905</v>
      </c>
      <c r="J275" s="143" t="s">
        <v>906</v>
      </c>
      <c r="K275" s="12">
        <v>14</v>
      </c>
      <c r="L275" s="10" t="s">
        <v>875</v>
      </c>
      <c r="M275" s="12" t="s">
        <v>470</v>
      </c>
    </row>
    <row r="276" spans="2:13" ht="15.9" customHeight="1" x14ac:dyDescent="0.3">
      <c r="B276" s="11" t="s">
        <v>363</v>
      </c>
      <c r="C276" s="11">
        <v>7</v>
      </c>
      <c r="D276" s="18" t="s">
        <v>875</v>
      </c>
      <c r="E276" s="113">
        <v>32045047</v>
      </c>
      <c r="F276" s="129" t="s">
        <v>2349</v>
      </c>
      <c r="G276" s="146" t="s">
        <v>745</v>
      </c>
      <c r="H276" s="60">
        <v>32142977</v>
      </c>
      <c r="I276" s="10" t="s">
        <v>901</v>
      </c>
      <c r="J276" s="6" t="s">
        <v>902</v>
      </c>
      <c r="K276" s="12">
        <v>14</v>
      </c>
      <c r="L276" s="10" t="s">
        <v>875</v>
      </c>
      <c r="M276" s="12" t="s">
        <v>564</v>
      </c>
    </row>
    <row r="277" spans="2:13" ht="15.9" customHeight="1" x14ac:dyDescent="0.3">
      <c r="B277" s="11" t="s">
        <v>363</v>
      </c>
      <c r="C277" s="11">
        <v>7</v>
      </c>
      <c r="D277" s="18" t="s">
        <v>875</v>
      </c>
      <c r="E277" s="113">
        <v>32045047</v>
      </c>
      <c r="F277" s="129" t="s">
        <v>2349</v>
      </c>
      <c r="G277" s="146" t="s">
        <v>745</v>
      </c>
      <c r="H277" s="60">
        <v>32044901</v>
      </c>
      <c r="I277" s="10" t="s">
        <v>887</v>
      </c>
      <c r="J277" s="80" t="s">
        <v>61</v>
      </c>
      <c r="K277" s="12">
        <v>14</v>
      </c>
      <c r="L277" s="10" t="s">
        <v>875</v>
      </c>
      <c r="M277" s="12" t="s">
        <v>481</v>
      </c>
    </row>
    <row r="278" spans="2:13" ht="15.9" customHeight="1" x14ac:dyDescent="0.3">
      <c r="B278" s="11" t="s">
        <v>363</v>
      </c>
      <c r="C278" s="11">
        <v>7</v>
      </c>
      <c r="D278" s="18" t="s">
        <v>875</v>
      </c>
      <c r="E278" s="51">
        <v>32045047</v>
      </c>
      <c r="F278" s="98" t="s">
        <v>2349</v>
      </c>
      <c r="G278" s="146" t="s">
        <v>745</v>
      </c>
      <c r="H278" s="60">
        <v>32044281</v>
      </c>
      <c r="I278" s="10" t="s">
        <v>880</v>
      </c>
      <c r="J278" s="6" t="s">
        <v>881</v>
      </c>
      <c r="K278" s="12">
        <v>14</v>
      </c>
      <c r="L278" s="10" t="s">
        <v>875</v>
      </c>
      <c r="M278" s="12" t="s">
        <v>651</v>
      </c>
    </row>
    <row r="279" spans="2:13" ht="15.9" customHeight="1" x14ac:dyDescent="0.3">
      <c r="B279" s="11" t="s">
        <v>363</v>
      </c>
      <c r="C279" s="11">
        <v>7</v>
      </c>
      <c r="D279" s="18" t="s">
        <v>875</v>
      </c>
      <c r="E279" s="51">
        <v>32045047</v>
      </c>
      <c r="F279" s="98" t="s">
        <v>2349</v>
      </c>
      <c r="G279" s="146" t="s">
        <v>745</v>
      </c>
      <c r="H279" s="60">
        <v>32148624</v>
      </c>
      <c r="I279" s="10" t="s">
        <v>903</v>
      </c>
      <c r="J279" s="6" t="s">
        <v>904</v>
      </c>
      <c r="K279" s="12">
        <v>14</v>
      </c>
      <c r="L279" s="10" t="s">
        <v>875</v>
      </c>
      <c r="M279" s="12" t="s">
        <v>863</v>
      </c>
    </row>
    <row r="280" spans="2:13" ht="15.9" customHeight="1" x14ac:dyDescent="0.3">
      <c r="B280" s="11" t="s">
        <v>363</v>
      </c>
      <c r="C280" s="11">
        <v>7</v>
      </c>
      <c r="D280" s="18" t="s">
        <v>875</v>
      </c>
      <c r="E280" s="51">
        <v>32045047</v>
      </c>
      <c r="F280" s="98" t="s">
        <v>2349</v>
      </c>
      <c r="G280" s="146" t="s">
        <v>745</v>
      </c>
      <c r="H280" s="60">
        <v>32043894</v>
      </c>
      <c r="I280" s="10" t="s">
        <v>878</v>
      </c>
      <c r="J280" s="6" t="s">
        <v>879</v>
      </c>
      <c r="K280" s="12">
        <v>14</v>
      </c>
      <c r="L280" s="10" t="s">
        <v>875</v>
      </c>
      <c r="M280" s="12" t="s">
        <v>467</v>
      </c>
    </row>
    <row r="281" spans="2:13" ht="15.9" customHeight="1" x14ac:dyDescent="0.3">
      <c r="B281" s="11" t="s">
        <v>363</v>
      </c>
      <c r="C281" s="11">
        <v>7</v>
      </c>
      <c r="D281" s="12" t="s">
        <v>875</v>
      </c>
      <c r="E281" s="38">
        <v>32045047</v>
      </c>
      <c r="F281" s="96" t="s">
        <v>2349</v>
      </c>
      <c r="G281" s="147" t="s">
        <v>745</v>
      </c>
      <c r="H281" s="60">
        <v>32045740</v>
      </c>
      <c r="I281" s="10" t="s">
        <v>891</v>
      </c>
      <c r="J281" s="6" t="s">
        <v>892</v>
      </c>
      <c r="K281" s="12">
        <v>14</v>
      </c>
      <c r="L281" s="10" t="s">
        <v>875</v>
      </c>
      <c r="M281" s="12" t="s">
        <v>481</v>
      </c>
    </row>
    <row r="282" spans="2:13" ht="15.9" customHeight="1" x14ac:dyDescent="0.3">
      <c r="B282" s="11" t="s">
        <v>363</v>
      </c>
      <c r="C282" s="11">
        <v>7</v>
      </c>
      <c r="D282" s="12" t="s">
        <v>875</v>
      </c>
      <c r="E282" s="113">
        <v>32045047</v>
      </c>
      <c r="F282" s="129" t="s">
        <v>2349</v>
      </c>
      <c r="G282" s="146" t="s">
        <v>745</v>
      </c>
      <c r="H282" s="60">
        <v>32043866</v>
      </c>
      <c r="I282" s="10" t="s">
        <v>876</v>
      </c>
      <c r="J282" s="6" t="s">
        <v>877</v>
      </c>
      <c r="K282" s="12">
        <v>14</v>
      </c>
      <c r="L282" s="10" t="s">
        <v>875</v>
      </c>
      <c r="M282" s="12" t="s">
        <v>456</v>
      </c>
    </row>
    <row r="283" spans="2:13" ht="15.9" customHeight="1" x14ac:dyDescent="0.3">
      <c r="B283" s="11" t="s">
        <v>363</v>
      </c>
      <c r="C283" s="11">
        <v>7</v>
      </c>
      <c r="D283" s="12" t="s">
        <v>875</v>
      </c>
      <c r="E283" s="12">
        <v>32045047</v>
      </c>
      <c r="F283" s="50" t="s">
        <v>2349</v>
      </c>
      <c r="G283" s="150" t="s">
        <v>745</v>
      </c>
      <c r="H283" s="60">
        <v>32046346</v>
      </c>
      <c r="I283" s="10" t="s">
        <v>893</v>
      </c>
      <c r="J283" s="80" t="s">
        <v>61</v>
      </c>
      <c r="K283" s="12">
        <v>14</v>
      </c>
      <c r="L283" s="10" t="s">
        <v>875</v>
      </c>
      <c r="M283" s="12" t="s">
        <v>894</v>
      </c>
    </row>
    <row r="284" spans="2:13" ht="15.9" customHeight="1" x14ac:dyDescent="0.3">
      <c r="B284" s="11" t="s">
        <v>363</v>
      </c>
      <c r="C284" s="11">
        <v>7</v>
      </c>
      <c r="D284" s="12" t="s">
        <v>875</v>
      </c>
      <c r="E284" s="12">
        <v>32045047</v>
      </c>
      <c r="F284" s="50" t="s">
        <v>2349</v>
      </c>
      <c r="G284" s="150" t="s">
        <v>745</v>
      </c>
      <c r="H284" s="60">
        <v>32044285</v>
      </c>
      <c r="I284" s="10" t="s">
        <v>882</v>
      </c>
      <c r="J284" s="6" t="s">
        <v>883</v>
      </c>
      <c r="K284" s="12">
        <v>14</v>
      </c>
      <c r="L284" s="10" t="s">
        <v>875</v>
      </c>
      <c r="M284" s="12" t="s">
        <v>719</v>
      </c>
    </row>
    <row r="285" spans="2:13" ht="15.9" customHeight="1" x14ac:dyDescent="0.3">
      <c r="B285" s="11" t="s">
        <v>363</v>
      </c>
      <c r="C285" s="11">
        <v>7</v>
      </c>
      <c r="D285" s="12" t="s">
        <v>875</v>
      </c>
      <c r="E285" s="12">
        <v>32045047</v>
      </c>
      <c r="F285" s="50" t="s">
        <v>2349</v>
      </c>
      <c r="G285" s="146" t="s">
        <v>745</v>
      </c>
      <c r="H285" s="60">
        <v>32044618</v>
      </c>
      <c r="I285" s="10" t="s">
        <v>884</v>
      </c>
      <c r="J285" s="6" t="s">
        <v>885</v>
      </c>
      <c r="K285" s="12">
        <v>14</v>
      </c>
      <c r="L285" s="10" t="s">
        <v>875</v>
      </c>
      <c r="M285" s="12" t="s">
        <v>886</v>
      </c>
    </row>
    <row r="286" spans="2:13" ht="15.9" customHeight="1" x14ac:dyDescent="0.25">
      <c r="B286" s="11" t="s">
        <v>1584</v>
      </c>
      <c r="C286" s="11" t="s">
        <v>1600</v>
      </c>
      <c r="D286" s="12" t="s">
        <v>2350</v>
      </c>
      <c r="E286" s="112">
        <v>32225725</v>
      </c>
      <c r="F286" s="167" t="s">
        <v>1737</v>
      </c>
      <c r="G286" s="152" t="s">
        <v>51</v>
      </c>
      <c r="H286" s="60">
        <v>32043715</v>
      </c>
      <c r="I286" s="10" t="s">
        <v>2389</v>
      </c>
      <c r="J286" s="143" t="s">
        <v>2638</v>
      </c>
      <c r="K286" s="12">
        <v>11</v>
      </c>
      <c r="L286" s="12"/>
      <c r="M286" s="12" t="s">
        <v>1584</v>
      </c>
    </row>
    <row r="287" spans="2:13" ht="15.9" customHeight="1" x14ac:dyDescent="0.3">
      <c r="B287" s="11" t="s">
        <v>2127</v>
      </c>
      <c r="C287" s="10" t="s">
        <v>2128</v>
      </c>
      <c r="D287" s="18" t="s">
        <v>2147</v>
      </c>
      <c r="E287" s="51">
        <v>32151314</v>
      </c>
      <c r="F287" s="98" t="s">
        <v>2148</v>
      </c>
      <c r="G287" s="146" t="s">
        <v>2639</v>
      </c>
      <c r="H287" s="70">
        <v>32044531</v>
      </c>
      <c r="I287" s="28" t="s">
        <v>2150</v>
      </c>
      <c r="J287" s="6" t="s">
        <v>2640</v>
      </c>
      <c r="K287" s="12">
        <v>4</v>
      </c>
      <c r="L287" s="12" t="s">
        <v>2147</v>
      </c>
      <c r="M287" s="12" t="s">
        <v>44</v>
      </c>
    </row>
    <row r="288" spans="2:13" ht="15.9" customHeight="1" x14ac:dyDescent="0.3">
      <c r="B288" s="11" t="s">
        <v>2127</v>
      </c>
      <c r="C288" s="10" t="s">
        <v>2128</v>
      </c>
      <c r="D288" s="18" t="s">
        <v>2147</v>
      </c>
      <c r="E288" s="113">
        <v>32151314</v>
      </c>
      <c r="F288" s="129" t="s">
        <v>2148</v>
      </c>
      <c r="G288" s="146" t="s">
        <v>2639</v>
      </c>
      <c r="H288" s="76">
        <v>32044635</v>
      </c>
      <c r="I288" s="28" t="s">
        <v>2152</v>
      </c>
      <c r="J288" s="6" t="s">
        <v>2641</v>
      </c>
      <c r="K288" s="12">
        <v>4</v>
      </c>
      <c r="L288" s="12" t="s">
        <v>2147</v>
      </c>
      <c r="M288" s="12" t="s">
        <v>35</v>
      </c>
    </row>
    <row r="289" spans="2:13" ht="15.9" customHeight="1" x14ac:dyDescent="0.3">
      <c r="B289" s="11" t="s">
        <v>2127</v>
      </c>
      <c r="C289" s="10" t="s">
        <v>2128</v>
      </c>
      <c r="D289" s="18" t="s">
        <v>2147</v>
      </c>
      <c r="E289" s="113">
        <v>32151314</v>
      </c>
      <c r="F289" s="129" t="s">
        <v>2148</v>
      </c>
      <c r="G289" s="146" t="s">
        <v>2639</v>
      </c>
      <c r="H289" s="70">
        <v>32044398</v>
      </c>
      <c r="I289" s="28" t="s">
        <v>2149</v>
      </c>
      <c r="J289" s="154" t="s">
        <v>2642</v>
      </c>
      <c r="K289" s="12">
        <v>4</v>
      </c>
      <c r="L289" s="12" t="s">
        <v>2147</v>
      </c>
      <c r="M289" s="12" t="s">
        <v>41</v>
      </c>
    </row>
    <row r="290" spans="2:13" ht="15.9" customHeight="1" x14ac:dyDescent="0.3">
      <c r="B290" s="11" t="s">
        <v>2127</v>
      </c>
      <c r="C290" s="10" t="s">
        <v>2128</v>
      </c>
      <c r="D290" s="18" t="s">
        <v>2147</v>
      </c>
      <c r="E290" s="113">
        <v>32151314</v>
      </c>
      <c r="F290" s="129" t="s">
        <v>2148</v>
      </c>
      <c r="G290" s="146" t="s">
        <v>2639</v>
      </c>
      <c r="H290" s="70">
        <v>32044617</v>
      </c>
      <c r="I290" s="28" t="s">
        <v>2151</v>
      </c>
      <c r="J290" s="6" t="s">
        <v>2643</v>
      </c>
      <c r="K290" s="12">
        <v>4</v>
      </c>
      <c r="L290" s="12" t="s">
        <v>2147</v>
      </c>
      <c r="M290" s="12" t="s">
        <v>179</v>
      </c>
    </row>
    <row r="291" spans="2:13" ht="15.9" customHeight="1" x14ac:dyDescent="0.3">
      <c r="B291" s="11" t="s">
        <v>2127</v>
      </c>
      <c r="C291" s="11" t="s">
        <v>2182</v>
      </c>
      <c r="D291" s="18" t="s">
        <v>2183</v>
      </c>
      <c r="E291" s="113">
        <v>32172813</v>
      </c>
      <c r="F291" s="129" t="s">
        <v>2184</v>
      </c>
      <c r="G291" s="146" t="s">
        <v>2644</v>
      </c>
      <c r="H291" s="74">
        <v>32044339</v>
      </c>
      <c r="I291" s="28" t="s">
        <v>2390</v>
      </c>
      <c r="J291" s="6" t="s">
        <v>2645</v>
      </c>
      <c r="K291" s="12">
        <v>11</v>
      </c>
      <c r="L291" s="12" t="s">
        <v>2183</v>
      </c>
      <c r="M291" s="49" t="s">
        <v>481</v>
      </c>
    </row>
    <row r="292" spans="2:13" ht="15.9" customHeight="1" x14ac:dyDescent="0.3">
      <c r="B292" s="11" t="s">
        <v>2127</v>
      </c>
      <c r="C292" s="11" t="s">
        <v>2182</v>
      </c>
      <c r="D292" s="18" t="s">
        <v>2183</v>
      </c>
      <c r="E292" s="113">
        <v>32045290</v>
      </c>
      <c r="F292" s="129" t="s">
        <v>2351</v>
      </c>
      <c r="G292" s="146" t="s">
        <v>2646</v>
      </c>
      <c r="H292" s="70">
        <v>32045869</v>
      </c>
      <c r="I292" s="28" t="s">
        <v>2391</v>
      </c>
      <c r="J292" s="6" t="s">
        <v>2647</v>
      </c>
      <c r="K292" s="12">
        <v>11</v>
      </c>
      <c r="L292" s="12" t="s">
        <v>2183</v>
      </c>
      <c r="M292" s="49" t="s">
        <v>719</v>
      </c>
    </row>
    <row r="293" spans="2:13" ht="15.9" customHeight="1" x14ac:dyDescent="0.3">
      <c r="B293" s="11" t="s">
        <v>2127</v>
      </c>
      <c r="C293" s="11" t="s">
        <v>2182</v>
      </c>
      <c r="D293" s="18" t="s">
        <v>2183</v>
      </c>
      <c r="E293" s="51">
        <v>32172813</v>
      </c>
      <c r="F293" s="98" t="s">
        <v>2184</v>
      </c>
      <c r="G293" s="147" t="s">
        <v>2644</v>
      </c>
      <c r="H293" s="74">
        <v>32045129</v>
      </c>
      <c r="I293" s="28" t="s">
        <v>2392</v>
      </c>
      <c r="J293" s="154" t="s">
        <v>2648</v>
      </c>
      <c r="K293" s="12">
        <v>11</v>
      </c>
      <c r="L293" s="12" t="s">
        <v>2183</v>
      </c>
      <c r="M293" s="49" t="s">
        <v>511</v>
      </c>
    </row>
    <row r="294" spans="2:13" ht="15.9" customHeight="1" x14ac:dyDescent="0.3">
      <c r="B294" s="11" t="s">
        <v>2127</v>
      </c>
      <c r="C294" s="11" t="s">
        <v>2182</v>
      </c>
      <c r="D294" s="18" t="s">
        <v>2183</v>
      </c>
      <c r="E294" s="51">
        <v>32172813</v>
      </c>
      <c r="F294" s="98" t="s">
        <v>2184</v>
      </c>
      <c r="G294" s="146" t="s">
        <v>2644</v>
      </c>
      <c r="H294" s="74">
        <v>32045080</v>
      </c>
      <c r="I294" s="28" t="s">
        <v>2393</v>
      </c>
      <c r="J294" s="6" t="s">
        <v>2649</v>
      </c>
      <c r="K294" s="12">
        <v>11</v>
      </c>
      <c r="L294" s="12" t="s">
        <v>2183</v>
      </c>
      <c r="M294" s="49" t="s">
        <v>44</v>
      </c>
    </row>
    <row r="295" spans="2:13" ht="15.9" customHeight="1" x14ac:dyDescent="0.3">
      <c r="B295" s="11" t="s">
        <v>2127</v>
      </c>
      <c r="C295" s="11" t="s">
        <v>2182</v>
      </c>
      <c r="D295" s="18" t="s">
        <v>2183</v>
      </c>
      <c r="E295" s="51">
        <v>32172813</v>
      </c>
      <c r="F295" s="98" t="s">
        <v>2184</v>
      </c>
      <c r="G295" s="146" t="s">
        <v>2644</v>
      </c>
      <c r="H295" s="74">
        <v>32064463</v>
      </c>
      <c r="I295" s="28" t="s">
        <v>2394</v>
      </c>
      <c r="J295" s="6" t="s">
        <v>2650</v>
      </c>
      <c r="K295" s="12">
        <v>11</v>
      </c>
      <c r="L295" s="12" t="s">
        <v>2183</v>
      </c>
      <c r="M295" s="49" t="s">
        <v>41</v>
      </c>
    </row>
    <row r="296" spans="2:13" ht="15.9" customHeight="1" x14ac:dyDescent="0.3">
      <c r="B296" s="11" t="s">
        <v>2127</v>
      </c>
      <c r="C296" s="11" t="s">
        <v>2182</v>
      </c>
      <c r="D296" s="18" t="s">
        <v>2183</v>
      </c>
      <c r="E296" s="51">
        <v>32172813</v>
      </c>
      <c r="F296" s="98" t="s">
        <v>2184</v>
      </c>
      <c r="G296" s="146" t="s">
        <v>2644</v>
      </c>
      <c r="H296" s="74">
        <v>32043976</v>
      </c>
      <c r="I296" s="28" t="s">
        <v>2395</v>
      </c>
      <c r="J296" s="6" t="s">
        <v>2651</v>
      </c>
      <c r="K296" s="12">
        <v>11</v>
      </c>
      <c r="L296" s="12" t="s">
        <v>2183</v>
      </c>
      <c r="M296" s="49" t="s">
        <v>35</v>
      </c>
    </row>
    <row r="297" spans="2:13" ht="15.9" customHeight="1" x14ac:dyDescent="0.3">
      <c r="B297" s="11" t="s">
        <v>2127</v>
      </c>
      <c r="C297" s="11" t="s">
        <v>2182</v>
      </c>
      <c r="D297" s="18" t="s">
        <v>2183</v>
      </c>
      <c r="E297" s="114">
        <v>32172813</v>
      </c>
      <c r="F297" s="194" t="s">
        <v>2184</v>
      </c>
      <c r="G297" s="146" t="s">
        <v>2644</v>
      </c>
      <c r="H297" s="74">
        <v>32045277</v>
      </c>
      <c r="I297" s="28" t="s">
        <v>2185</v>
      </c>
      <c r="J297" s="143" t="s">
        <v>61</v>
      </c>
      <c r="K297" s="12">
        <v>11</v>
      </c>
      <c r="L297" s="12" t="s">
        <v>2183</v>
      </c>
      <c r="M297" s="49" t="s">
        <v>1</v>
      </c>
    </row>
    <row r="298" spans="2:13" ht="15.9" customHeight="1" x14ac:dyDescent="0.3">
      <c r="B298" s="11" t="s">
        <v>2127</v>
      </c>
      <c r="C298" s="11" t="s">
        <v>2182</v>
      </c>
      <c r="D298" s="18" t="s">
        <v>2183</v>
      </c>
      <c r="E298" s="114">
        <v>32172813</v>
      </c>
      <c r="F298" s="194" t="s">
        <v>2184</v>
      </c>
      <c r="G298" s="146" t="s">
        <v>2644</v>
      </c>
      <c r="H298" s="70">
        <v>32045049</v>
      </c>
      <c r="I298" s="28" t="s">
        <v>2193</v>
      </c>
      <c r="J298" s="6" t="s">
        <v>2652</v>
      </c>
      <c r="K298" s="12">
        <v>11</v>
      </c>
      <c r="L298" s="12" t="s">
        <v>2183</v>
      </c>
      <c r="M298" s="49" t="s">
        <v>461</v>
      </c>
    </row>
    <row r="299" spans="2:13" ht="15.9" customHeight="1" x14ac:dyDescent="0.3">
      <c r="B299" s="11" t="s">
        <v>2127</v>
      </c>
      <c r="C299" s="11" t="s">
        <v>2182</v>
      </c>
      <c r="D299" s="18" t="s">
        <v>2183</v>
      </c>
      <c r="E299" s="114">
        <v>32172813</v>
      </c>
      <c r="F299" s="194" t="s">
        <v>2184</v>
      </c>
      <c r="G299" s="146" t="s">
        <v>2644</v>
      </c>
      <c r="H299" s="70">
        <v>32061267</v>
      </c>
      <c r="I299" s="28" t="s">
        <v>2192</v>
      </c>
      <c r="J299" s="154" t="s">
        <v>2653</v>
      </c>
      <c r="K299" s="12">
        <v>11</v>
      </c>
      <c r="L299" s="12" t="s">
        <v>2183</v>
      </c>
      <c r="M299" s="49" t="s">
        <v>2145</v>
      </c>
    </row>
    <row r="300" spans="2:13" ht="15.9" customHeight="1" x14ac:dyDescent="0.3">
      <c r="B300" s="11" t="s">
        <v>2127</v>
      </c>
      <c r="C300" s="11" t="s">
        <v>2182</v>
      </c>
      <c r="D300" s="18" t="s">
        <v>2183</v>
      </c>
      <c r="E300" s="94">
        <v>32172813</v>
      </c>
      <c r="F300" s="108" t="s">
        <v>2184</v>
      </c>
      <c r="G300" s="146" t="s">
        <v>2644</v>
      </c>
      <c r="H300" s="74">
        <v>32044048</v>
      </c>
      <c r="I300" s="28" t="s">
        <v>2396</v>
      </c>
      <c r="J300" s="6" t="s">
        <v>2654</v>
      </c>
      <c r="K300" s="12">
        <v>11</v>
      </c>
      <c r="L300" s="12" t="s">
        <v>2183</v>
      </c>
      <c r="M300" s="49" t="s">
        <v>179</v>
      </c>
    </row>
    <row r="301" spans="2:13" ht="15.9" customHeight="1" x14ac:dyDescent="0.3">
      <c r="B301" s="11" t="s">
        <v>2127</v>
      </c>
      <c r="C301" s="11" t="s">
        <v>2182</v>
      </c>
      <c r="D301" s="18" t="s">
        <v>2183</v>
      </c>
      <c r="E301" s="114">
        <v>32172813</v>
      </c>
      <c r="F301" s="194" t="s">
        <v>2184</v>
      </c>
      <c r="G301" s="146" t="s">
        <v>2644</v>
      </c>
      <c r="H301" s="74">
        <v>32045421</v>
      </c>
      <c r="I301" s="28" t="s">
        <v>2191</v>
      </c>
      <c r="J301" s="143" t="s">
        <v>2655</v>
      </c>
      <c r="K301" s="12">
        <v>11</v>
      </c>
      <c r="L301" s="12" t="s">
        <v>2183</v>
      </c>
      <c r="M301" s="47" t="s">
        <v>779</v>
      </c>
    </row>
    <row r="302" spans="2:13" ht="15.9" customHeight="1" x14ac:dyDescent="0.3">
      <c r="B302" s="11" t="s">
        <v>363</v>
      </c>
      <c r="C302" s="11">
        <v>7</v>
      </c>
      <c r="D302" s="18" t="s">
        <v>907</v>
      </c>
      <c r="E302" s="51">
        <v>32096431</v>
      </c>
      <c r="F302" s="98" t="s">
        <v>781</v>
      </c>
      <c r="G302" s="146" t="s">
        <v>782</v>
      </c>
      <c r="H302" s="60">
        <v>32187989</v>
      </c>
      <c r="I302" s="10" t="s">
        <v>931</v>
      </c>
      <c r="J302" s="6" t="s">
        <v>932</v>
      </c>
      <c r="K302" s="12">
        <v>15</v>
      </c>
      <c r="L302" s="10" t="s">
        <v>907</v>
      </c>
      <c r="M302" s="12" t="s">
        <v>758</v>
      </c>
    </row>
    <row r="303" spans="2:13" ht="15.9" customHeight="1" x14ac:dyDescent="0.3">
      <c r="B303" s="11" t="s">
        <v>363</v>
      </c>
      <c r="C303" s="11">
        <v>7</v>
      </c>
      <c r="D303" s="18" t="s">
        <v>907</v>
      </c>
      <c r="E303" s="113">
        <v>32096431</v>
      </c>
      <c r="F303" s="129" t="s">
        <v>781</v>
      </c>
      <c r="G303" s="146" t="s">
        <v>782</v>
      </c>
      <c r="H303" s="60">
        <v>32145330</v>
      </c>
      <c r="I303" s="10" t="s">
        <v>930</v>
      </c>
      <c r="J303" s="80" t="s">
        <v>61</v>
      </c>
      <c r="K303" s="12">
        <v>15</v>
      </c>
      <c r="L303" s="10" t="s">
        <v>907</v>
      </c>
      <c r="M303" s="12" t="s">
        <v>779</v>
      </c>
    </row>
    <row r="304" spans="2:13" ht="15.9" customHeight="1" x14ac:dyDescent="0.3">
      <c r="B304" s="11" t="s">
        <v>363</v>
      </c>
      <c r="C304" s="11">
        <v>7</v>
      </c>
      <c r="D304" s="18" t="s">
        <v>907</v>
      </c>
      <c r="E304" s="113">
        <v>32096431</v>
      </c>
      <c r="F304" s="129" t="s">
        <v>781</v>
      </c>
      <c r="G304" s="146" t="s">
        <v>782</v>
      </c>
      <c r="H304" s="60">
        <v>32132056</v>
      </c>
      <c r="I304" s="10" t="s">
        <v>926</v>
      </c>
      <c r="J304" s="6" t="s">
        <v>927</v>
      </c>
      <c r="K304" s="12">
        <v>15</v>
      </c>
      <c r="L304" s="10" t="s">
        <v>907</v>
      </c>
      <c r="M304" s="12" t="s">
        <v>456</v>
      </c>
    </row>
    <row r="305" spans="2:13" ht="15.9" customHeight="1" x14ac:dyDescent="0.3">
      <c r="B305" s="11" t="s">
        <v>363</v>
      </c>
      <c r="C305" s="11">
        <v>7</v>
      </c>
      <c r="D305" s="18" t="s">
        <v>907</v>
      </c>
      <c r="E305" s="51">
        <v>32096431</v>
      </c>
      <c r="F305" s="98" t="s">
        <v>781</v>
      </c>
      <c r="G305" s="146" t="s">
        <v>782</v>
      </c>
      <c r="H305" s="60">
        <v>32043889</v>
      </c>
      <c r="I305" s="10" t="s">
        <v>908</v>
      </c>
      <c r="J305" s="6" t="s">
        <v>909</v>
      </c>
      <c r="K305" s="12">
        <v>15</v>
      </c>
      <c r="L305" s="10" t="s">
        <v>907</v>
      </c>
      <c r="M305" s="12" t="s">
        <v>447</v>
      </c>
    </row>
    <row r="306" spans="2:13" ht="15.9" customHeight="1" x14ac:dyDescent="0.3">
      <c r="B306" s="11" t="s">
        <v>363</v>
      </c>
      <c r="C306" s="11">
        <v>7</v>
      </c>
      <c r="D306" s="18" t="s">
        <v>907</v>
      </c>
      <c r="E306" s="51">
        <v>32096431</v>
      </c>
      <c r="F306" s="98" t="s">
        <v>781</v>
      </c>
      <c r="G306" s="146" t="s">
        <v>782</v>
      </c>
      <c r="H306" s="60">
        <v>32143691</v>
      </c>
      <c r="I306" s="10" t="s">
        <v>928</v>
      </c>
      <c r="J306" s="6" t="s">
        <v>929</v>
      </c>
      <c r="K306" s="12">
        <v>15</v>
      </c>
      <c r="L306" s="10" t="s">
        <v>907</v>
      </c>
      <c r="M306" s="12" t="s">
        <v>719</v>
      </c>
    </row>
    <row r="307" spans="2:13" ht="15.9" customHeight="1" x14ac:dyDescent="0.3">
      <c r="B307" s="11" t="s">
        <v>363</v>
      </c>
      <c r="C307" s="11">
        <v>7</v>
      </c>
      <c r="D307" s="18" t="s">
        <v>907</v>
      </c>
      <c r="E307" s="51">
        <v>32096431</v>
      </c>
      <c r="F307" s="98" t="s">
        <v>781</v>
      </c>
      <c r="G307" s="146" t="s">
        <v>782</v>
      </c>
      <c r="H307" s="60">
        <v>32043978</v>
      </c>
      <c r="I307" s="10" t="s">
        <v>910</v>
      </c>
      <c r="J307" s="80" t="s">
        <v>61</v>
      </c>
      <c r="K307" s="12">
        <v>15</v>
      </c>
      <c r="L307" s="10" t="s">
        <v>907</v>
      </c>
      <c r="M307" s="12" t="s">
        <v>467</v>
      </c>
    </row>
    <row r="308" spans="2:13" ht="15.9" customHeight="1" x14ac:dyDescent="0.3">
      <c r="B308" s="11" t="s">
        <v>363</v>
      </c>
      <c r="C308" s="11">
        <v>7</v>
      </c>
      <c r="D308" s="12" t="s">
        <v>907</v>
      </c>
      <c r="E308" s="113">
        <v>32096431</v>
      </c>
      <c r="F308" s="129" t="s">
        <v>781</v>
      </c>
      <c r="G308" s="153" t="s">
        <v>782</v>
      </c>
      <c r="H308" s="60">
        <v>32044169</v>
      </c>
      <c r="I308" s="10" t="s">
        <v>914</v>
      </c>
      <c r="J308" s="6" t="s">
        <v>915</v>
      </c>
      <c r="K308" s="12">
        <v>15</v>
      </c>
      <c r="L308" s="10" t="s">
        <v>907</v>
      </c>
      <c r="M308" s="12" t="s">
        <v>776</v>
      </c>
    </row>
    <row r="309" spans="2:13" ht="15.9" customHeight="1" x14ac:dyDescent="0.3">
      <c r="B309" s="11" t="s">
        <v>363</v>
      </c>
      <c r="C309" s="11">
        <v>7</v>
      </c>
      <c r="D309" s="12" t="s">
        <v>907</v>
      </c>
      <c r="E309" s="12">
        <v>32096431</v>
      </c>
      <c r="F309" s="50" t="s">
        <v>781</v>
      </c>
      <c r="G309" s="146" t="s">
        <v>782</v>
      </c>
      <c r="H309" s="60">
        <v>32046478</v>
      </c>
      <c r="I309" s="10" t="s">
        <v>920</v>
      </c>
      <c r="J309" s="80" t="s">
        <v>61</v>
      </c>
      <c r="K309" s="12">
        <v>15</v>
      </c>
      <c r="L309" s="10" t="s">
        <v>907</v>
      </c>
      <c r="M309" s="12" t="s">
        <v>807</v>
      </c>
    </row>
    <row r="310" spans="2:13" ht="15.9" customHeight="1" x14ac:dyDescent="0.3">
      <c r="B310" s="11" t="s">
        <v>363</v>
      </c>
      <c r="C310" s="11">
        <v>7</v>
      </c>
      <c r="D310" s="12" t="s">
        <v>907</v>
      </c>
      <c r="E310" s="12">
        <v>32096431</v>
      </c>
      <c r="F310" s="50" t="s">
        <v>781</v>
      </c>
      <c r="G310" s="146" t="s">
        <v>782</v>
      </c>
      <c r="H310" s="60">
        <v>32067183</v>
      </c>
      <c r="I310" s="10" t="s">
        <v>922</v>
      </c>
      <c r="J310" s="6" t="s">
        <v>923</v>
      </c>
      <c r="K310" s="12">
        <v>15</v>
      </c>
      <c r="L310" s="10" t="s">
        <v>907</v>
      </c>
      <c r="M310" s="12" t="s">
        <v>886</v>
      </c>
    </row>
    <row r="311" spans="2:13" ht="15.9" customHeight="1" x14ac:dyDescent="0.3">
      <c r="B311" s="11" t="s">
        <v>363</v>
      </c>
      <c r="C311" s="11">
        <v>7</v>
      </c>
      <c r="D311" s="12" t="s">
        <v>907</v>
      </c>
      <c r="E311" s="113">
        <v>32096431</v>
      </c>
      <c r="F311" s="129" t="s">
        <v>781</v>
      </c>
      <c r="G311" s="146" t="s">
        <v>782</v>
      </c>
      <c r="H311" s="60">
        <v>32044167</v>
      </c>
      <c r="I311" s="10" t="s">
        <v>912</v>
      </c>
      <c r="J311" s="6" t="s">
        <v>913</v>
      </c>
      <c r="K311" s="12">
        <v>15</v>
      </c>
      <c r="L311" s="10" t="s">
        <v>907</v>
      </c>
      <c r="M311" s="12" t="s">
        <v>481</v>
      </c>
    </row>
    <row r="312" spans="2:13" ht="15.9" customHeight="1" x14ac:dyDescent="0.3">
      <c r="B312" s="11" t="s">
        <v>363</v>
      </c>
      <c r="C312" s="11">
        <v>7</v>
      </c>
      <c r="D312" s="12" t="s">
        <v>907</v>
      </c>
      <c r="E312" s="12">
        <v>32096431</v>
      </c>
      <c r="F312" s="50" t="s">
        <v>781</v>
      </c>
      <c r="G312" s="146" t="s">
        <v>782</v>
      </c>
      <c r="H312" s="60">
        <v>32072429</v>
      </c>
      <c r="I312" s="10" t="s">
        <v>924</v>
      </c>
      <c r="J312" s="6" t="s">
        <v>925</v>
      </c>
      <c r="K312" s="12">
        <v>15</v>
      </c>
      <c r="L312" s="10" t="s">
        <v>907</v>
      </c>
      <c r="M312" s="12" t="s">
        <v>481</v>
      </c>
    </row>
    <row r="313" spans="2:13" ht="15.9" customHeight="1" x14ac:dyDescent="0.3">
      <c r="B313" s="11" t="s">
        <v>363</v>
      </c>
      <c r="C313" s="11">
        <v>7</v>
      </c>
      <c r="D313" s="12" t="s">
        <v>907</v>
      </c>
      <c r="E313" s="12">
        <v>32096431</v>
      </c>
      <c r="F313" s="50" t="s">
        <v>781</v>
      </c>
      <c r="G313" s="153" t="s">
        <v>782</v>
      </c>
      <c r="H313" s="60">
        <v>32067174</v>
      </c>
      <c r="I313" s="10" t="s">
        <v>921</v>
      </c>
      <c r="J313" s="80" t="s">
        <v>61</v>
      </c>
      <c r="K313" s="12">
        <v>15</v>
      </c>
      <c r="L313" s="10" t="s">
        <v>907</v>
      </c>
      <c r="M313" s="12" t="s">
        <v>473</v>
      </c>
    </row>
    <row r="314" spans="2:13" ht="15.9" customHeight="1" x14ac:dyDescent="0.3">
      <c r="B314" s="11" t="s">
        <v>363</v>
      </c>
      <c r="C314" s="11">
        <v>7</v>
      </c>
      <c r="D314" s="12" t="s">
        <v>907</v>
      </c>
      <c r="E314" s="12">
        <v>32096431</v>
      </c>
      <c r="F314" s="50" t="s">
        <v>781</v>
      </c>
      <c r="G314" s="146" t="s">
        <v>782</v>
      </c>
      <c r="H314" s="60">
        <v>32044074</v>
      </c>
      <c r="I314" s="10" t="s">
        <v>911</v>
      </c>
      <c r="J314" s="80" t="s">
        <v>61</v>
      </c>
      <c r="K314" s="12">
        <v>15</v>
      </c>
      <c r="L314" s="10" t="s">
        <v>907</v>
      </c>
      <c r="M314" s="12" t="s">
        <v>564</v>
      </c>
    </row>
    <row r="315" spans="2:13" ht="15.9" customHeight="1" x14ac:dyDescent="0.3">
      <c r="B315" s="11" t="s">
        <v>363</v>
      </c>
      <c r="C315" s="11">
        <v>7</v>
      </c>
      <c r="D315" s="12" t="s">
        <v>907</v>
      </c>
      <c r="E315" s="113">
        <v>32096431</v>
      </c>
      <c r="F315" s="50" t="s">
        <v>781</v>
      </c>
      <c r="G315" s="146" t="s">
        <v>782</v>
      </c>
      <c r="H315" s="60">
        <v>32046401</v>
      </c>
      <c r="I315" s="10" t="s">
        <v>916</v>
      </c>
      <c r="J315" s="154" t="s">
        <v>917</v>
      </c>
      <c r="K315" s="12">
        <v>15</v>
      </c>
      <c r="L315" s="10" t="s">
        <v>907</v>
      </c>
      <c r="M315" s="12" t="s">
        <v>765</v>
      </c>
    </row>
    <row r="316" spans="2:13" ht="15.9" customHeight="1" x14ac:dyDescent="0.3">
      <c r="B316" s="11" t="s">
        <v>363</v>
      </c>
      <c r="C316" s="11">
        <v>7</v>
      </c>
      <c r="D316" s="12" t="s">
        <v>907</v>
      </c>
      <c r="E316" s="12">
        <v>32096431</v>
      </c>
      <c r="F316" s="50" t="s">
        <v>781</v>
      </c>
      <c r="G316" s="146" t="s">
        <v>782</v>
      </c>
      <c r="H316" s="60">
        <v>32046414</v>
      </c>
      <c r="I316" s="10" t="s">
        <v>918</v>
      </c>
      <c r="J316" s="143" t="s">
        <v>919</v>
      </c>
      <c r="K316" s="12">
        <v>15</v>
      </c>
      <c r="L316" s="10" t="s">
        <v>907</v>
      </c>
      <c r="M316" s="12" t="s">
        <v>651</v>
      </c>
    </row>
    <row r="317" spans="2:13" ht="15.9" customHeight="1" x14ac:dyDescent="0.3">
      <c r="B317" s="11" t="s">
        <v>1584</v>
      </c>
      <c r="C317" s="11" t="s">
        <v>1589</v>
      </c>
      <c r="D317" s="12" t="s">
        <v>1590</v>
      </c>
      <c r="E317" s="112">
        <v>32173125</v>
      </c>
      <c r="F317" s="165" t="s">
        <v>1591</v>
      </c>
      <c r="G317" s="146" t="s">
        <v>1592</v>
      </c>
      <c r="H317" s="60">
        <v>32198244</v>
      </c>
      <c r="I317" s="10" t="s">
        <v>1593</v>
      </c>
      <c r="J317" s="6" t="s">
        <v>1594</v>
      </c>
      <c r="K317" s="12">
        <v>5</v>
      </c>
      <c r="L317" s="12" t="s">
        <v>1590</v>
      </c>
      <c r="M317" s="12" t="s">
        <v>47</v>
      </c>
    </row>
    <row r="318" spans="2:13" ht="15.9" customHeight="1" x14ac:dyDescent="0.3">
      <c r="B318" s="11" t="s">
        <v>1584</v>
      </c>
      <c r="C318" s="11" t="s">
        <v>1589</v>
      </c>
      <c r="D318" s="12" t="s">
        <v>1590</v>
      </c>
      <c r="E318" s="94">
        <v>32173125</v>
      </c>
      <c r="F318" s="166" t="s">
        <v>1591</v>
      </c>
      <c r="G318" s="146" t="s">
        <v>1592</v>
      </c>
      <c r="H318" s="60">
        <v>32198252</v>
      </c>
      <c r="I318" s="10" t="s">
        <v>1595</v>
      </c>
      <c r="J318" s="80" t="s">
        <v>61</v>
      </c>
      <c r="K318" s="12">
        <v>5</v>
      </c>
      <c r="L318" s="12" t="s">
        <v>1590</v>
      </c>
      <c r="M318" s="51" t="s">
        <v>35</v>
      </c>
    </row>
    <row r="319" spans="2:13" ht="15.9" customHeight="1" x14ac:dyDescent="0.3">
      <c r="B319" s="11" t="s">
        <v>1584</v>
      </c>
      <c r="C319" s="11" t="s">
        <v>1589</v>
      </c>
      <c r="D319" s="12" t="s">
        <v>1590</v>
      </c>
      <c r="E319" s="114">
        <v>32173125</v>
      </c>
      <c r="F319" s="162" t="s">
        <v>1591</v>
      </c>
      <c r="G319" s="147" t="s">
        <v>1592</v>
      </c>
      <c r="H319" s="60">
        <v>32197852</v>
      </c>
      <c r="I319" s="10" t="s">
        <v>1596</v>
      </c>
      <c r="J319" s="6" t="s">
        <v>1597</v>
      </c>
      <c r="K319" s="12">
        <v>5</v>
      </c>
      <c r="L319" s="12" t="s">
        <v>1590</v>
      </c>
      <c r="M319" s="51" t="s">
        <v>44</v>
      </c>
    </row>
    <row r="320" spans="2:13" ht="15.9" customHeight="1" x14ac:dyDescent="0.3">
      <c r="B320" s="11" t="s">
        <v>1584</v>
      </c>
      <c r="C320" s="11" t="s">
        <v>1589</v>
      </c>
      <c r="D320" s="12" t="s">
        <v>1590</v>
      </c>
      <c r="E320" s="114">
        <v>32173125</v>
      </c>
      <c r="F320" s="162" t="s">
        <v>1591</v>
      </c>
      <c r="G320" s="146" t="s">
        <v>1592</v>
      </c>
      <c r="H320" s="60">
        <v>32198260</v>
      </c>
      <c r="I320" s="10" t="s">
        <v>1598</v>
      </c>
      <c r="J320" s="6" t="s">
        <v>1599</v>
      </c>
      <c r="K320" s="12">
        <v>5</v>
      </c>
      <c r="L320" s="12" t="s">
        <v>1590</v>
      </c>
      <c r="M320" s="51" t="s">
        <v>260</v>
      </c>
    </row>
    <row r="321" spans="2:13" ht="15.9" customHeight="1" x14ac:dyDescent="0.3">
      <c r="B321" s="11" t="s">
        <v>363</v>
      </c>
      <c r="C321" s="11">
        <v>10</v>
      </c>
      <c r="D321" s="12" t="s">
        <v>1051</v>
      </c>
      <c r="E321" s="94">
        <v>32156051</v>
      </c>
      <c r="F321" s="166" t="s">
        <v>2352</v>
      </c>
      <c r="G321" s="147" t="s">
        <v>1053</v>
      </c>
      <c r="H321" s="60">
        <v>32044475</v>
      </c>
      <c r="I321" s="10" t="s">
        <v>1054</v>
      </c>
      <c r="J321" s="6" t="s">
        <v>1055</v>
      </c>
      <c r="K321" s="12">
        <v>10</v>
      </c>
      <c r="L321" s="10" t="s">
        <v>1051</v>
      </c>
      <c r="M321" s="51" t="s">
        <v>1056</v>
      </c>
    </row>
    <row r="322" spans="2:13" ht="15.9" customHeight="1" x14ac:dyDescent="0.3">
      <c r="B322" s="11" t="s">
        <v>363</v>
      </c>
      <c r="C322" s="11">
        <v>10</v>
      </c>
      <c r="D322" s="12" t="s">
        <v>1051</v>
      </c>
      <c r="E322" s="94">
        <v>32156051</v>
      </c>
      <c r="F322" s="166" t="s">
        <v>2352</v>
      </c>
      <c r="G322" s="146" t="s">
        <v>1053</v>
      </c>
      <c r="H322" s="60">
        <v>32132224</v>
      </c>
      <c r="I322" s="10" t="s">
        <v>1067</v>
      </c>
      <c r="J322" s="143" t="s">
        <v>1068</v>
      </c>
      <c r="K322" s="12">
        <v>10</v>
      </c>
      <c r="L322" s="10" t="s">
        <v>1051</v>
      </c>
      <c r="M322" s="51" t="s">
        <v>1069</v>
      </c>
    </row>
    <row r="323" spans="2:13" ht="15.9" customHeight="1" x14ac:dyDescent="0.3">
      <c r="B323" s="11" t="s">
        <v>363</v>
      </c>
      <c r="C323" s="11">
        <v>10</v>
      </c>
      <c r="D323" s="12" t="s">
        <v>1051</v>
      </c>
      <c r="E323" s="114">
        <v>32156051</v>
      </c>
      <c r="F323" s="162" t="s">
        <v>2352</v>
      </c>
      <c r="G323" s="150" t="s">
        <v>1053</v>
      </c>
      <c r="H323" s="60">
        <v>32059341</v>
      </c>
      <c r="I323" s="10" t="s">
        <v>1065</v>
      </c>
      <c r="J323" s="6" t="s">
        <v>1066</v>
      </c>
      <c r="K323" s="12">
        <v>10</v>
      </c>
      <c r="L323" s="10" t="s">
        <v>1051</v>
      </c>
      <c r="M323" s="51" t="s">
        <v>453</v>
      </c>
    </row>
    <row r="324" spans="2:13" ht="15.9" customHeight="1" x14ac:dyDescent="0.3">
      <c r="B324" s="11" t="s">
        <v>363</v>
      </c>
      <c r="C324" s="11">
        <v>10</v>
      </c>
      <c r="D324" s="12" t="s">
        <v>1051</v>
      </c>
      <c r="E324" s="114">
        <v>32156051</v>
      </c>
      <c r="F324" s="162" t="s">
        <v>2352</v>
      </c>
      <c r="G324" s="146" t="s">
        <v>1053</v>
      </c>
      <c r="H324" s="60">
        <v>32044881</v>
      </c>
      <c r="I324" s="10" t="s">
        <v>1057</v>
      </c>
      <c r="J324" s="6" t="s">
        <v>1058</v>
      </c>
      <c r="K324" s="12">
        <v>10</v>
      </c>
      <c r="L324" s="10" t="s">
        <v>1051</v>
      </c>
      <c r="M324" s="51" t="s">
        <v>973</v>
      </c>
    </row>
    <row r="325" spans="2:13" ht="15.9" customHeight="1" x14ac:dyDescent="0.3">
      <c r="B325" s="11" t="s">
        <v>363</v>
      </c>
      <c r="C325" s="11">
        <v>10</v>
      </c>
      <c r="D325" s="12" t="s">
        <v>1051</v>
      </c>
      <c r="E325" s="114">
        <v>32156051</v>
      </c>
      <c r="F325" s="162" t="s">
        <v>2352</v>
      </c>
      <c r="G325" s="146" t="s">
        <v>1053</v>
      </c>
      <c r="H325" s="60">
        <v>32046338</v>
      </c>
      <c r="I325" s="10" t="s">
        <v>1061</v>
      </c>
      <c r="J325" s="6" t="s">
        <v>1062</v>
      </c>
      <c r="K325" s="12">
        <v>10</v>
      </c>
      <c r="L325" s="10" t="s">
        <v>1051</v>
      </c>
      <c r="M325" s="51" t="s">
        <v>461</v>
      </c>
    </row>
    <row r="326" spans="2:13" ht="15.9" customHeight="1" x14ac:dyDescent="0.3">
      <c r="B326" s="11" t="s">
        <v>363</v>
      </c>
      <c r="C326" s="11">
        <v>10</v>
      </c>
      <c r="D326" s="12" t="s">
        <v>1051</v>
      </c>
      <c r="E326" s="114">
        <v>32156051</v>
      </c>
      <c r="F326" s="162" t="s">
        <v>2352</v>
      </c>
      <c r="G326" s="146" t="s">
        <v>1053</v>
      </c>
      <c r="H326" s="60">
        <v>32058105</v>
      </c>
      <c r="I326" s="10" t="s">
        <v>1063</v>
      </c>
      <c r="J326" s="80" t="s">
        <v>1064</v>
      </c>
      <c r="K326" s="12">
        <v>10</v>
      </c>
      <c r="L326" s="10" t="s">
        <v>1051</v>
      </c>
      <c r="M326" s="51" t="s">
        <v>711</v>
      </c>
    </row>
    <row r="327" spans="2:13" ht="15.9" customHeight="1" x14ac:dyDescent="0.3">
      <c r="B327" s="11" t="s">
        <v>363</v>
      </c>
      <c r="C327" s="11">
        <v>10</v>
      </c>
      <c r="D327" s="12" t="s">
        <v>1051</v>
      </c>
      <c r="E327" s="114">
        <v>32156051</v>
      </c>
      <c r="F327" s="162" t="s">
        <v>2352</v>
      </c>
      <c r="G327" s="146" t="s">
        <v>1053</v>
      </c>
      <c r="H327" s="60">
        <v>32143043</v>
      </c>
      <c r="I327" s="10" t="s">
        <v>1070</v>
      </c>
      <c r="J327" s="6" t="s">
        <v>1071</v>
      </c>
      <c r="K327" s="12">
        <v>10</v>
      </c>
      <c r="L327" s="10" t="s">
        <v>1051</v>
      </c>
      <c r="M327" s="51" t="s">
        <v>456</v>
      </c>
    </row>
    <row r="328" spans="2:13" ht="15.9" customHeight="1" x14ac:dyDescent="0.3">
      <c r="B328" s="11" t="s">
        <v>363</v>
      </c>
      <c r="C328" s="11">
        <v>10</v>
      </c>
      <c r="D328" s="12" t="s">
        <v>1051</v>
      </c>
      <c r="E328" s="94">
        <v>32156051</v>
      </c>
      <c r="F328" s="166" t="s">
        <v>2352</v>
      </c>
      <c r="G328" s="146" t="s">
        <v>1053</v>
      </c>
      <c r="H328" s="60">
        <v>32144347</v>
      </c>
      <c r="I328" s="10" t="s">
        <v>1072</v>
      </c>
      <c r="J328" s="6" t="s">
        <v>1073</v>
      </c>
      <c r="K328" s="12">
        <v>10</v>
      </c>
      <c r="L328" s="10" t="s">
        <v>1051</v>
      </c>
      <c r="M328" s="51" t="s">
        <v>1074</v>
      </c>
    </row>
    <row r="329" spans="2:13" ht="15.9" customHeight="1" x14ac:dyDescent="0.3">
      <c r="B329" s="11" t="s">
        <v>363</v>
      </c>
      <c r="C329" s="11">
        <v>10</v>
      </c>
      <c r="D329" s="12" t="s">
        <v>1051</v>
      </c>
      <c r="E329" s="95">
        <v>32156051</v>
      </c>
      <c r="F329" s="163" t="s">
        <v>2352</v>
      </c>
      <c r="G329" s="147" t="s">
        <v>1053</v>
      </c>
      <c r="H329" s="60">
        <v>32149078</v>
      </c>
      <c r="I329" s="10" t="s">
        <v>1075</v>
      </c>
      <c r="J329" s="6" t="s">
        <v>1076</v>
      </c>
      <c r="K329" s="12">
        <v>10</v>
      </c>
      <c r="L329" s="10" t="s">
        <v>1051</v>
      </c>
      <c r="M329" s="51" t="s">
        <v>1077</v>
      </c>
    </row>
    <row r="330" spans="2:13" ht="15.9" customHeight="1" x14ac:dyDescent="0.3">
      <c r="B330" s="11" t="s">
        <v>363</v>
      </c>
      <c r="C330" s="11">
        <v>10</v>
      </c>
      <c r="D330" s="12" t="s">
        <v>1051</v>
      </c>
      <c r="E330" s="114">
        <v>32156051</v>
      </c>
      <c r="F330" s="162" t="s">
        <v>2352</v>
      </c>
      <c r="G330" s="146" t="s">
        <v>1053</v>
      </c>
      <c r="H330" s="60">
        <v>32046256</v>
      </c>
      <c r="I330" s="10" t="s">
        <v>1059</v>
      </c>
      <c r="J330" s="6" t="s">
        <v>1060</v>
      </c>
      <c r="K330" s="12">
        <v>10</v>
      </c>
      <c r="L330" s="10" t="s">
        <v>1051</v>
      </c>
      <c r="M330" s="51" t="s">
        <v>447</v>
      </c>
    </row>
    <row r="331" spans="2:13" ht="15.9" customHeight="1" x14ac:dyDescent="0.3">
      <c r="B331" s="11" t="s">
        <v>1</v>
      </c>
      <c r="C331" s="11" t="s">
        <v>1991</v>
      </c>
      <c r="D331" s="10" t="s">
        <v>6</v>
      </c>
      <c r="E331" s="51">
        <v>32045105</v>
      </c>
      <c r="F331" s="98" t="s">
        <v>7</v>
      </c>
      <c r="G331" s="150" t="s">
        <v>2002</v>
      </c>
      <c r="H331" s="60">
        <v>32150508</v>
      </c>
      <c r="I331" s="32" t="s">
        <v>2003</v>
      </c>
      <c r="J331" s="159" t="s">
        <v>2004</v>
      </c>
      <c r="K331" s="35">
        <v>6</v>
      </c>
      <c r="L331" s="32" t="s">
        <v>6</v>
      </c>
      <c r="M331" s="51" t="s">
        <v>447</v>
      </c>
    </row>
    <row r="332" spans="2:13" ht="15.9" customHeight="1" x14ac:dyDescent="0.3">
      <c r="B332" s="11" t="s">
        <v>1</v>
      </c>
      <c r="C332" s="11" t="s">
        <v>1991</v>
      </c>
      <c r="D332" s="10" t="s">
        <v>6</v>
      </c>
      <c r="E332" s="51">
        <v>32045105</v>
      </c>
      <c r="F332" s="98" t="s">
        <v>7</v>
      </c>
      <c r="G332" s="146" t="s">
        <v>2002</v>
      </c>
      <c r="H332" s="60">
        <v>32045071</v>
      </c>
      <c r="I332" s="32" t="s">
        <v>2051</v>
      </c>
      <c r="J332" s="6" t="s">
        <v>2052</v>
      </c>
      <c r="K332" s="35">
        <v>6</v>
      </c>
      <c r="L332" s="32" t="s">
        <v>10</v>
      </c>
      <c r="M332" s="51" t="s">
        <v>453</v>
      </c>
    </row>
    <row r="333" spans="2:13" ht="15.9" customHeight="1" x14ac:dyDescent="0.3">
      <c r="B333" s="11" t="s">
        <v>1</v>
      </c>
      <c r="C333" s="11" t="s">
        <v>1991</v>
      </c>
      <c r="D333" s="10" t="s">
        <v>6</v>
      </c>
      <c r="E333" s="51">
        <v>32045105</v>
      </c>
      <c r="F333" s="98" t="s">
        <v>7</v>
      </c>
      <c r="G333" s="146" t="s">
        <v>2002</v>
      </c>
      <c r="H333" s="60">
        <v>32045391</v>
      </c>
      <c r="I333" s="32" t="s">
        <v>2005</v>
      </c>
      <c r="J333" s="6" t="s">
        <v>2006</v>
      </c>
      <c r="K333" s="35">
        <v>6</v>
      </c>
      <c r="L333" s="32" t="s">
        <v>6</v>
      </c>
      <c r="M333" s="51" t="s">
        <v>470</v>
      </c>
    </row>
    <row r="334" spans="2:13" ht="15.9" customHeight="1" x14ac:dyDescent="0.3">
      <c r="B334" s="11" t="s">
        <v>1</v>
      </c>
      <c r="C334" s="11" t="s">
        <v>1991</v>
      </c>
      <c r="D334" s="10" t="s">
        <v>6</v>
      </c>
      <c r="E334" s="12">
        <v>32045105</v>
      </c>
      <c r="F334" s="50" t="s">
        <v>7</v>
      </c>
      <c r="G334" s="147" t="s">
        <v>2002</v>
      </c>
      <c r="H334" s="60">
        <v>32044248</v>
      </c>
      <c r="I334" s="32" t="s">
        <v>2007</v>
      </c>
      <c r="J334" s="159" t="s">
        <v>2008</v>
      </c>
      <c r="K334" s="35">
        <v>6</v>
      </c>
      <c r="L334" s="32" t="s">
        <v>6</v>
      </c>
      <c r="M334" s="12" t="s">
        <v>464</v>
      </c>
    </row>
    <row r="335" spans="2:13" ht="15.9" customHeight="1" x14ac:dyDescent="0.3">
      <c r="B335" s="11" t="s">
        <v>1</v>
      </c>
      <c r="C335" s="11" t="s">
        <v>1991</v>
      </c>
      <c r="D335" s="10" t="s">
        <v>6</v>
      </c>
      <c r="E335" s="12">
        <v>32045105</v>
      </c>
      <c r="F335" s="50" t="s">
        <v>7</v>
      </c>
      <c r="G335" s="146" t="s">
        <v>2002</v>
      </c>
      <c r="H335" s="60">
        <v>32043716</v>
      </c>
      <c r="I335" s="10" t="s">
        <v>2009</v>
      </c>
      <c r="J335" s="6" t="s">
        <v>2010</v>
      </c>
      <c r="K335" s="12">
        <v>6</v>
      </c>
      <c r="L335" s="10" t="s">
        <v>6</v>
      </c>
      <c r="M335" s="12" t="s">
        <v>467</v>
      </c>
    </row>
    <row r="336" spans="2:13" ht="15.9" customHeight="1" x14ac:dyDescent="0.3">
      <c r="B336" s="11" t="s">
        <v>1</v>
      </c>
      <c r="C336" s="11" t="s">
        <v>1991</v>
      </c>
      <c r="D336" s="10" t="s">
        <v>6</v>
      </c>
      <c r="E336" s="113">
        <v>32045105</v>
      </c>
      <c r="F336" s="129" t="s">
        <v>7</v>
      </c>
      <c r="G336" s="150" t="s">
        <v>2002</v>
      </c>
      <c r="H336" s="60">
        <v>32144782</v>
      </c>
      <c r="I336" s="32" t="s">
        <v>2011</v>
      </c>
      <c r="J336" s="159" t="s">
        <v>2012</v>
      </c>
      <c r="K336" s="35">
        <v>6</v>
      </c>
      <c r="L336" s="32" t="s">
        <v>6</v>
      </c>
      <c r="M336" s="12" t="s">
        <v>2013</v>
      </c>
    </row>
    <row r="337" spans="2:13" ht="15.9" customHeight="1" x14ac:dyDescent="0.3">
      <c r="B337" s="11" t="s">
        <v>363</v>
      </c>
      <c r="C337" s="11">
        <v>4</v>
      </c>
      <c r="D337" s="10" t="s">
        <v>557</v>
      </c>
      <c r="E337" s="112">
        <v>32147380</v>
      </c>
      <c r="F337" s="165" t="s">
        <v>386</v>
      </c>
      <c r="G337" s="146" t="s">
        <v>565</v>
      </c>
      <c r="H337" s="60">
        <v>32044647</v>
      </c>
      <c r="I337" s="10" t="s">
        <v>712</v>
      </c>
      <c r="J337" s="154" t="s">
        <v>713</v>
      </c>
      <c r="K337" s="12">
        <v>16</v>
      </c>
      <c r="L337" s="10" t="s">
        <v>557</v>
      </c>
      <c r="M337" s="12" t="s">
        <v>714</v>
      </c>
    </row>
    <row r="338" spans="2:13" ht="15.9" customHeight="1" x14ac:dyDescent="0.3">
      <c r="B338" s="11" t="s">
        <v>363</v>
      </c>
      <c r="C338" s="11">
        <v>4</v>
      </c>
      <c r="D338" s="10" t="s">
        <v>557</v>
      </c>
      <c r="E338" s="110">
        <v>32046005</v>
      </c>
      <c r="F338" s="131" t="s">
        <v>558</v>
      </c>
      <c r="G338" s="146" t="s">
        <v>516</v>
      </c>
      <c r="H338" s="60">
        <v>32060917</v>
      </c>
      <c r="I338" s="10" t="s">
        <v>655</v>
      </c>
      <c r="J338" s="154" t="s">
        <v>656</v>
      </c>
      <c r="K338" s="12">
        <v>16</v>
      </c>
      <c r="L338" s="10" t="s">
        <v>557</v>
      </c>
      <c r="M338" s="12" t="s">
        <v>618</v>
      </c>
    </row>
    <row r="339" spans="2:13" ht="15.9" customHeight="1" x14ac:dyDescent="0.3">
      <c r="B339" s="11" t="s">
        <v>363</v>
      </c>
      <c r="C339" s="11">
        <v>4</v>
      </c>
      <c r="D339" s="12" t="s">
        <v>557</v>
      </c>
      <c r="E339" s="110">
        <v>32046005</v>
      </c>
      <c r="F339" s="131" t="s">
        <v>558</v>
      </c>
      <c r="G339" s="153" t="s">
        <v>516</v>
      </c>
      <c r="H339" s="60">
        <v>32148612</v>
      </c>
      <c r="I339" s="10" t="s">
        <v>600</v>
      </c>
      <c r="J339" s="6" t="s">
        <v>601</v>
      </c>
      <c r="K339" s="12">
        <v>13</v>
      </c>
      <c r="L339" s="10" t="s">
        <v>557</v>
      </c>
      <c r="M339" s="12" t="s">
        <v>602</v>
      </c>
    </row>
    <row r="340" spans="2:13" ht="15.9" customHeight="1" x14ac:dyDescent="0.3">
      <c r="B340" s="11" t="s">
        <v>363</v>
      </c>
      <c r="C340" s="11">
        <v>4</v>
      </c>
      <c r="D340" s="12" t="s">
        <v>557</v>
      </c>
      <c r="E340" s="113">
        <v>32046005</v>
      </c>
      <c r="F340" s="129" t="s">
        <v>558</v>
      </c>
      <c r="G340" s="146" t="s">
        <v>516</v>
      </c>
      <c r="H340" s="60">
        <v>32044684</v>
      </c>
      <c r="I340" s="10" t="s">
        <v>517</v>
      </c>
      <c r="J340" s="80" t="s">
        <v>518</v>
      </c>
      <c r="K340" s="12">
        <v>13</v>
      </c>
      <c r="L340" s="10" t="s">
        <v>557</v>
      </c>
      <c r="M340" s="12" t="s">
        <v>519</v>
      </c>
    </row>
    <row r="341" spans="2:13" ht="15.9" customHeight="1" x14ac:dyDescent="0.3">
      <c r="B341" s="11" t="s">
        <v>363</v>
      </c>
      <c r="C341" s="11">
        <v>4</v>
      </c>
      <c r="D341" s="10" t="s">
        <v>557</v>
      </c>
      <c r="E341" s="12">
        <v>32046005</v>
      </c>
      <c r="F341" s="50" t="s">
        <v>558</v>
      </c>
      <c r="G341" s="146" t="s">
        <v>516</v>
      </c>
      <c r="H341" s="60">
        <v>32044615</v>
      </c>
      <c r="I341" s="10" t="s">
        <v>562</v>
      </c>
      <c r="J341" s="154" t="s">
        <v>563</v>
      </c>
      <c r="K341" s="12">
        <v>16</v>
      </c>
      <c r="L341" s="10" t="s">
        <v>557</v>
      </c>
      <c r="M341" s="12" t="s">
        <v>564</v>
      </c>
    </row>
    <row r="342" spans="2:13" ht="15.9" customHeight="1" x14ac:dyDescent="0.3">
      <c r="B342" s="11" t="s">
        <v>363</v>
      </c>
      <c r="C342" s="11">
        <v>4</v>
      </c>
      <c r="D342" s="12" t="s">
        <v>557</v>
      </c>
      <c r="E342" s="112">
        <v>32147380</v>
      </c>
      <c r="F342" s="165" t="s">
        <v>386</v>
      </c>
      <c r="G342" s="146" t="s">
        <v>565</v>
      </c>
      <c r="H342" s="60">
        <v>32045613</v>
      </c>
      <c r="I342" s="10" t="s">
        <v>569</v>
      </c>
      <c r="J342" s="6" t="s">
        <v>570</v>
      </c>
      <c r="K342" s="12">
        <v>13</v>
      </c>
      <c r="L342" s="10" t="s">
        <v>557</v>
      </c>
      <c r="M342" s="12" t="s">
        <v>571</v>
      </c>
    </row>
    <row r="343" spans="2:13" ht="15.9" customHeight="1" x14ac:dyDescent="0.3">
      <c r="B343" s="11" t="s">
        <v>363</v>
      </c>
      <c r="C343" s="11">
        <v>4</v>
      </c>
      <c r="D343" s="12" t="s">
        <v>557</v>
      </c>
      <c r="E343" s="112">
        <v>32147380</v>
      </c>
      <c r="F343" s="165" t="s">
        <v>386</v>
      </c>
      <c r="G343" s="147" t="s">
        <v>565</v>
      </c>
      <c r="H343" s="60">
        <v>32067003</v>
      </c>
      <c r="I343" s="10" t="s">
        <v>579</v>
      </c>
      <c r="J343" s="6" t="s">
        <v>580</v>
      </c>
      <c r="K343" s="12">
        <v>13</v>
      </c>
      <c r="L343" s="10" t="s">
        <v>557</v>
      </c>
      <c r="M343" s="12" t="s">
        <v>581</v>
      </c>
    </row>
    <row r="344" spans="2:13" ht="15.9" customHeight="1" x14ac:dyDescent="0.3">
      <c r="B344" s="11" t="s">
        <v>363</v>
      </c>
      <c r="C344" s="11">
        <v>4</v>
      </c>
      <c r="D344" s="12" t="s">
        <v>557</v>
      </c>
      <c r="E344" s="112">
        <v>32147380</v>
      </c>
      <c r="F344" s="165" t="s">
        <v>386</v>
      </c>
      <c r="G344" s="146" t="s">
        <v>565</v>
      </c>
      <c r="H344" s="60">
        <v>32046353</v>
      </c>
      <c r="I344" s="10" t="s">
        <v>576</v>
      </c>
      <c r="J344" s="154" t="s">
        <v>577</v>
      </c>
      <c r="K344" s="12">
        <v>13</v>
      </c>
      <c r="L344" s="10" t="s">
        <v>557</v>
      </c>
      <c r="M344" s="12" t="s">
        <v>578</v>
      </c>
    </row>
    <row r="345" spans="2:13" ht="15.9" customHeight="1" x14ac:dyDescent="0.3">
      <c r="B345" s="11" t="s">
        <v>363</v>
      </c>
      <c r="C345" s="11">
        <v>4</v>
      </c>
      <c r="D345" s="12" t="s">
        <v>557</v>
      </c>
      <c r="E345" s="112">
        <v>32147380</v>
      </c>
      <c r="F345" s="165" t="s">
        <v>386</v>
      </c>
      <c r="G345" s="146" t="s">
        <v>565</v>
      </c>
      <c r="H345" s="60">
        <v>32132237</v>
      </c>
      <c r="I345" s="10" t="s">
        <v>585</v>
      </c>
      <c r="J345" s="143" t="s">
        <v>586</v>
      </c>
      <c r="K345" s="12">
        <v>13</v>
      </c>
      <c r="L345" s="10" t="s">
        <v>557</v>
      </c>
      <c r="M345" s="12" t="s">
        <v>587</v>
      </c>
    </row>
    <row r="346" spans="2:13" ht="15.9" customHeight="1" x14ac:dyDescent="0.3">
      <c r="B346" s="11" t="s">
        <v>363</v>
      </c>
      <c r="C346" s="11">
        <v>4</v>
      </c>
      <c r="D346" s="10" t="s">
        <v>557</v>
      </c>
      <c r="E346" s="94">
        <v>32147380</v>
      </c>
      <c r="F346" s="166" t="s">
        <v>386</v>
      </c>
      <c r="G346" s="150" t="s">
        <v>565</v>
      </c>
      <c r="H346" s="60">
        <v>32045344</v>
      </c>
      <c r="I346" s="10" t="s">
        <v>566</v>
      </c>
      <c r="J346" s="6" t="s">
        <v>567</v>
      </c>
      <c r="K346" s="12">
        <v>16</v>
      </c>
      <c r="L346" s="10" t="s">
        <v>557</v>
      </c>
      <c r="M346" s="12" t="s">
        <v>568</v>
      </c>
    </row>
    <row r="347" spans="2:13" ht="15.9" customHeight="1" x14ac:dyDescent="0.3">
      <c r="B347" s="11" t="s">
        <v>363</v>
      </c>
      <c r="C347" s="11">
        <v>4</v>
      </c>
      <c r="D347" s="10" t="s">
        <v>557</v>
      </c>
      <c r="E347" s="112">
        <v>32147380</v>
      </c>
      <c r="F347" s="165" t="s">
        <v>386</v>
      </c>
      <c r="G347" s="153" t="s">
        <v>565</v>
      </c>
      <c r="H347" s="60">
        <v>32180204</v>
      </c>
      <c r="I347" s="10" t="s">
        <v>603</v>
      </c>
      <c r="J347" s="6" t="s">
        <v>604</v>
      </c>
      <c r="K347" s="12">
        <v>16</v>
      </c>
      <c r="L347" s="10" t="s">
        <v>557</v>
      </c>
      <c r="M347" s="12" t="s">
        <v>602</v>
      </c>
    </row>
    <row r="348" spans="2:13" ht="15.9" customHeight="1" x14ac:dyDescent="0.3">
      <c r="B348" s="11" t="s">
        <v>363</v>
      </c>
      <c r="C348" s="11">
        <v>4</v>
      </c>
      <c r="D348" s="12" t="s">
        <v>557</v>
      </c>
      <c r="E348" s="95">
        <v>32147380</v>
      </c>
      <c r="F348" s="163" t="s">
        <v>386</v>
      </c>
      <c r="G348" s="146" t="s">
        <v>565</v>
      </c>
      <c r="H348" s="60">
        <v>32132045</v>
      </c>
      <c r="I348" s="10" t="s">
        <v>582</v>
      </c>
      <c r="J348" s="6" t="s">
        <v>583</v>
      </c>
      <c r="K348" s="12">
        <v>13</v>
      </c>
      <c r="L348" s="10" t="s">
        <v>557</v>
      </c>
      <c r="M348" s="12" t="s">
        <v>584</v>
      </c>
    </row>
    <row r="349" spans="2:13" ht="15.9" customHeight="1" x14ac:dyDescent="0.3">
      <c r="B349" s="11" t="s">
        <v>363</v>
      </c>
      <c r="C349" s="11">
        <v>4</v>
      </c>
      <c r="D349" s="12" t="s">
        <v>557</v>
      </c>
      <c r="E349" s="94">
        <v>32147380</v>
      </c>
      <c r="F349" s="166" t="s">
        <v>386</v>
      </c>
      <c r="G349" s="150" t="s">
        <v>565</v>
      </c>
      <c r="H349" s="60">
        <v>32045807</v>
      </c>
      <c r="I349" s="10" t="s">
        <v>572</v>
      </c>
      <c r="J349" s="154" t="s">
        <v>573</v>
      </c>
      <c r="K349" s="12">
        <v>13</v>
      </c>
      <c r="L349" s="10" t="s">
        <v>557</v>
      </c>
      <c r="M349" s="12" t="s">
        <v>456</v>
      </c>
    </row>
    <row r="350" spans="2:13" ht="15.9" customHeight="1" x14ac:dyDescent="0.3">
      <c r="B350" s="11" t="s">
        <v>363</v>
      </c>
      <c r="C350" s="11">
        <v>4</v>
      </c>
      <c r="D350" s="10" t="s">
        <v>557</v>
      </c>
      <c r="E350" s="94">
        <v>32147380</v>
      </c>
      <c r="F350" s="166" t="s">
        <v>386</v>
      </c>
      <c r="G350" s="150" t="s">
        <v>565</v>
      </c>
      <c r="H350" s="60">
        <v>32180918</v>
      </c>
      <c r="I350" s="10" t="s">
        <v>738</v>
      </c>
      <c r="J350" s="6" t="s">
        <v>739</v>
      </c>
      <c r="K350" s="12">
        <v>16</v>
      </c>
      <c r="L350" s="10" t="s">
        <v>557</v>
      </c>
      <c r="M350" s="12" t="s">
        <v>511</v>
      </c>
    </row>
    <row r="351" spans="2:13" ht="15.9" customHeight="1" x14ac:dyDescent="0.3">
      <c r="B351" s="11" t="s">
        <v>363</v>
      </c>
      <c r="C351" s="11">
        <v>4</v>
      </c>
      <c r="D351" s="12" t="s">
        <v>557</v>
      </c>
      <c r="E351" s="95">
        <v>32147380</v>
      </c>
      <c r="F351" s="163" t="s">
        <v>386</v>
      </c>
      <c r="G351" s="147" t="s">
        <v>565</v>
      </c>
      <c r="H351" s="60">
        <v>32143658</v>
      </c>
      <c r="I351" s="10" t="s">
        <v>597</v>
      </c>
      <c r="J351" s="6" t="s">
        <v>598</v>
      </c>
      <c r="K351" s="12">
        <v>13</v>
      </c>
      <c r="L351" s="10" t="s">
        <v>557</v>
      </c>
      <c r="M351" s="12" t="s">
        <v>599</v>
      </c>
    </row>
    <row r="352" spans="2:13" ht="15.9" customHeight="1" x14ac:dyDescent="0.3">
      <c r="B352" s="11" t="s">
        <v>363</v>
      </c>
      <c r="C352" s="11">
        <v>4</v>
      </c>
      <c r="D352" s="12" t="s">
        <v>557</v>
      </c>
      <c r="E352" s="94">
        <v>32147380</v>
      </c>
      <c r="F352" s="166" t="s">
        <v>386</v>
      </c>
      <c r="G352" s="146" t="s">
        <v>565</v>
      </c>
      <c r="H352" s="60">
        <v>32046155</v>
      </c>
      <c r="I352" s="10" t="s">
        <v>574</v>
      </c>
      <c r="J352" s="6" t="s">
        <v>575</v>
      </c>
      <c r="K352" s="12">
        <v>13</v>
      </c>
      <c r="L352" s="10" t="s">
        <v>557</v>
      </c>
      <c r="M352" s="12" t="s">
        <v>470</v>
      </c>
    </row>
    <row r="353" spans="2:13" ht="15.9" customHeight="1" x14ac:dyDescent="0.3">
      <c r="B353" s="11" t="s">
        <v>363</v>
      </c>
      <c r="C353" s="11">
        <v>4</v>
      </c>
      <c r="D353" s="12" t="s">
        <v>557</v>
      </c>
      <c r="E353" s="112">
        <v>32147380</v>
      </c>
      <c r="F353" s="165" t="s">
        <v>386</v>
      </c>
      <c r="G353" s="150" t="s">
        <v>565</v>
      </c>
      <c r="H353" s="60">
        <v>32143287</v>
      </c>
      <c r="I353" s="10" t="s">
        <v>591</v>
      </c>
      <c r="J353" s="6" t="s">
        <v>592</v>
      </c>
      <c r="K353" s="12">
        <v>13</v>
      </c>
      <c r="L353" s="10" t="s">
        <v>557</v>
      </c>
      <c r="M353" s="12" t="s">
        <v>593</v>
      </c>
    </row>
    <row r="354" spans="2:13" ht="15.9" customHeight="1" x14ac:dyDescent="0.3">
      <c r="B354" s="11" t="s">
        <v>363</v>
      </c>
      <c r="C354" s="11">
        <v>4</v>
      </c>
      <c r="D354" s="12" t="s">
        <v>557</v>
      </c>
      <c r="E354" s="94">
        <v>32147380</v>
      </c>
      <c r="F354" s="166" t="s">
        <v>386</v>
      </c>
      <c r="G354" s="146" t="s">
        <v>565</v>
      </c>
      <c r="H354" s="60">
        <v>32143281</v>
      </c>
      <c r="I354" s="10" t="s">
        <v>588</v>
      </c>
      <c r="J354" s="6" t="s">
        <v>589</v>
      </c>
      <c r="K354" s="12">
        <v>13</v>
      </c>
      <c r="L354" s="10" t="s">
        <v>557</v>
      </c>
      <c r="M354" s="12" t="s">
        <v>590</v>
      </c>
    </row>
    <row r="355" spans="2:13" ht="15.9" customHeight="1" x14ac:dyDescent="0.3">
      <c r="B355" s="11" t="s">
        <v>363</v>
      </c>
      <c r="C355" s="11">
        <v>4</v>
      </c>
      <c r="D355" s="12" t="s">
        <v>557</v>
      </c>
      <c r="E355" s="112">
        <v>32147380</v>
      </c>
      <c r="F355" s="165" t="s">
        <v>386</v>
      </c>
      <c r="G355" s="146" t="s">
        <v>565</v>
      </c>
      <c r="H355" s="60">
        <v>32143290</v>
      </c>
      <c r="I355" s="10" t="s">
        <v>594</v>
      </c>
      <c r="J355" s="6" t="s">
        <v>595</v>
      </c>
      <c r="K355" s="12">
        <v>13</v>
      </c>
      <c r="L355" s="10" t="s">
        <v>557</v>
      </c>
      <c r="M355" s="12" t="s">
        <v>596</v>
      </c>
    </row>
    <row r="356" spans="2:13" ht="15.9" customHeight="1" x14ac:dyDescent="0.3">
      <c r="B356" s="17" t="s">
        <v>1584</v>
      </c>
      <c r="C356" s="11" t="s">
        <v>1600</v>
      </c>
      <c r="D356" s="12" t="s">
        <v>2353</v>
      </c>
      <c r="E356" s="113">
        <v>32043728</v>
      </c>
      <c r="F356" s="129" t="s">
        <v>1602</v>
      </c>
      <c r="G356" s="146" t="s">
        <v>1603</v>
      </c>
      <c r="H356" s="76">
        <v>32227735</v>
      </c>
      <c r="I356" s="10" t="s">
        <v>2397</v>
      </c>
      <c r="J356" s="6" t="s">
        <v>2656</v>
      </c>
      <c r="K356" s="12">
        <v>9</v>
      </c>
      <c r="L356" s="10" t="s">
        <v>2353</v>
      </c>
      <c r="M356" s="18"/>
    </row>
    <row r="357" spans="2:13" ht="15.9" customHeight="1" x14ac:dyDescent="0.3">
      <c r="B357" s="17" t="s">
        <v>1584</v>
      </c>
      <c r="C357" s="11" t="s">
        <v>1600</v>
      </c>
      <c r="D357" s="12" t="s">
        <v>2353</v>
      </c>
      <c r="E357" s="113">
        <v>32043728</v>
      </c>
      <c r="F357" s="129" t="s">
        <v>1602</v>
      </c>
      <c r="G357" s="146" t="s">
        <v>1603</v>
      </c>
      <c r="H357" s="76">
        <v>32072461</v>
      </c>
      <c r="I357" s="10" t="s">
        <v>2398</v>
      </c>
      <c r="J357" s="143" t="s">
        <v>2657</v>
      </c>
      <c r="K357" s="12">
        <v>9</v>
      </c>
      <c r="L357" s="10" t="s">
        <v>2353</v>
      </c>
      <c r="M357" s="18"/>
    </row>
    <row r="358" spans="2:13" ht="15.9" customHeight="1" x14ac:dyDescent="0.3">
      <c r="B358" s="17" t="s">
        <v>1584</v>
      </c>
      <c r="C358" s="11" t="s">
        <v>1600</v>
      </c>
      <c r="D358" s="12" t="s">
        <v>2353</v>
      </c>
      <c r="E358" s="12">
        <v>32043728</v>
      </c>
      <c r="F358" s="50" t="s">
        <v>1602</v>
      </c>
      <c r="G358" s="146" t="s">
        <v>1603</v>
      </c>
      <c r="H358" s="76">
        <v>32045688</v>
      </c>
      <c r="I358" s="10" t="s">
        <v>1611</v>
      </c>
      <c r="J358" s="143" t="s">
        <v>2658</v>
      </c>
      <c r="K358" s="12">
        <v>9</v>
      </c>
      <c r="L358" s="10" t="s">
        <v>2353</v>
      </c>
      <c r="M358" s="18"/>
    </row>
    <row r="359" spans="2:13" ht="15.9" customHeight="1" x14ac:dyDescent="0.3">
      <c r="B359" s="17" t="s">
        <v>1584</v>
      </c>
      <c r="C359" s="11" t="s">
        <v>1600</v>
      </c>
      <c r="D359" s="12" t="s">
        <v>2353</v>
      </c>
      <c r="E359" s="113">
        <v>32043728</v>
      </c>
      <c r="F359" s="129" t="s">
        <v>1602</v>
      </c>
      <c r="G359" s="146" t="s">
        <v>1603</v>
      </c>
      <c r="H359" s="76">
        <v>320211557</v>
      </c>
      <c r="I359" s="10" t="s">
        <v>2399</v>
      </c>
      <c r="J359" s="143" t="s">
        <v>2659</v>
      </c>
      <c r="K359" s="12">
        <v>9</v>
      </c>
      <c r="L359" s="10" t="s">
        <v>2353</v>
      </c>
      <c r="M359" s="18"/>
    </row>
    <row r="360" spans="2:13" ht="15.9" customHeight="1" x14ac:dyDescent="0.3">
      <c r="B360" s="17" t="s">
        <v>1584</v>
      </c>
      <c r="C360" s="11" t="s">
        <v>1600</v>
      </c>
      <c r="D360" s="12" t="s">
        <v>2353</v>
      </c>
      <c r="E360" s="12">
        <v>32043728</v>
      </c>
      <c r="F360" s="50" t="s">
        <v>1602</v>
      </c>
      <c r="G360" s="146" t="s">
        <v>1603</v>
      </c>
      <c r="H360" s="76">
        <v>32218618</v>
      </c>
      <c r="I360" s="10" t="s">
        <v>1608</v>
      </c>
      <c r="J360" s="143" t="s">
        <v>2660</v>
      </c>
      <c r="K360" s="12">
        <v>9</v>
      </c>
      <c r="L360" s="10" t="s">
        <v>2353</v>
      </c>
      <c r="M360" s="18"/>
    </row>
    <row r="361" spans="2:13" ht="15.9" customHeight="1" x14ac:dyDescent="0.3">
      <c r="B361" s="17" t="s">
        <v>1584</v>
      </c>
      <c r="C361" s="11" t="s">
        <v>1600</v>
      </c>
      <c r="D361" s="12" t="s">
        <v>2353</v>
      </c>
      <c r="E361" s="12">
        <v>32043728</v>
      </c>
      <c r="F361" s="50" t="s">
        <v>1602</v>
      </c>
      <c r="G361" s="146" t="s">
        <v>1603</v>
      </c>
      <c r="H361" s="76">
        <v>32045830</v>
      </c>
      <c r="I361" s="10" t="s">
        <v>2400</v>
      </c>
      <c r="J361" s="143" t="s">
        <v>2661</v>
      </c>
      <c r="K361" s="12">
        <v>9</v>
      </c>
      <c r="L361" s="10" t="s">
        <v>2353</v>
      </c>
      <c r="M361" s="18"/>
    </row>
    <row r="362" spans="2:13" ht="15.9" customHeight="1" x14ac:dyDescent="0.3">
      <c r="B362" s="17" t="s">
        <v>1584</v>
      </c>
      <c r="C362" s="11" t="s">
        <v>1600</v>
      </c>
      <c r="D362" s="12" t="s">
        <v>2353</v>
      </c>
      <c r="E362" s="113">
        <v>32043728</v>
      </c>
      <c r="F362" s="129" t="s">
        <v>1602</v>
      </c>
      <c r="G362" s="146" t="s">
        <v>1603</v>
      </c>
      <c r="H362" s="76">
        <v>32045650</v>
      </c>
      <c r="I362" s="10" t="s">
        <v>1606</v>
      </c>
      <c r="J362" s="143" t="s">
        <v>2662</v>
      </c>
      <c r="K362" s="12">
        <v>9</v>
      </c>
      <c r="L362" s="10" t="s">
        <v>2353</v>
      </c>
      <c r="M362" s="18"/>
    </row>
    <row r="363" spans="2:13" ht="15.9" customHeight="1" x14ac:dyDescent="0.3">
      <c r="B363" s="17" t="s">
        <v>1584</v>
      </c>
      <c r="C363" s="11" t="s">
        <v>1600</v>
      </c>
      <c r="D363" s="12" t="s">
        <v>2353</v>
      </c>
      <c r="E363" s="12">
        <v>32043728</v>
      </c>
      <c r="F363" s="50" t="s">
        <v>1602</v>
      </c>
      <c r="G363" s="146" t="s">
        <v>1603</v>
      </c>
      <c r="H363" s="76">
        <v>32210326</v>
      </c>
      <c r="I363" s="10" t="s">
        <v>2401</v>
      </c>
      <c r="J363" s="6" t="s">
        <v>2663</v>
      </c>
      <c r="K363" s="12">
        <v>9</v>
      </c>
      <c r="L363" s="10" t="s">
        <v>2353</v>
      </c>
      <c r="M363" s="18"/>
    </row>
    <row r="364" spans="2:13" ht="15.9" customHeight="1" x14ac:dyDescent="0.3">
      <c r="B364" s="17" t="s">
        <v>1584</v>
      </c>
      <c r="C364" s="11" t="s">
        <v>1600</v>
      </c>
      <c r="D364" s="12" t="s">
        <v>2353</v>
      </c>
      <c r="E364" s="12">
        <v>32043728</v>
      </c>
      <c r="F364" s="50" t="s">
        <v>1602</v>
      </c>
      <c r="G364" s="146" t="s">
        <v>1603</v>
      </c>
      <c r="H364" s="76">
        <v>32216501</v>
      </c>
      <c r="I364" s="10" t="s">
        <v>1604</v>
      </c>
      <c r="J364" s="6" t="s">
        <v>2664</v>
      </c>
      <c r="K364" s="12">
        <v>9</v>
      </c>
      <c r="L364" s="10" t="s">
        <v>2353</v>
      </c>
      <c r="M364" s="18"/>
    </row>
    <row r="365" spans="2:13" ht="15.9" customHeight="1" x14ac:dyDescent="0.3">
      <c r="B365" s="17" t="s">
        <v>363</v>
      </c>
      <c r="C365" s="11">
        <v>14</v>
      </c>
      <c r="D365" s="12" t="s">
        <v>1320</v>
      </c>
      <c r="E365" s="12">
        <v>32046695</v>
      </c>
      <c r="F365" s="50" t="s">
        <v>1292</v>
      </c>
      <c r="G365" s="146" t="s">
        <v>1293</v>
      </c>
      <c r="H365" s="60">
        <v>32044915</v>
      </c>
      <c r="I365" s="10" t="s">
        <v>1341</v>
      </c>
      <c r="J365" s="6" t="s">
        <v>1342</v>
      </c>
      <c r="K365" s="12">
        <v>12</v>
      </c>
      <c r="L365" s="10" t="s">
        <v>1320</v>
      </c>
      <c r="M365" s="18" t="s">
        <v>1069</v>
      </c>
    </row>
    <row r="366" spans="2:13" ht="15.9" customHeight="1" x14ac:dyDescent="0.3">
      <c r="B366" s="17" t="s">
        <v>363</v>
      </c>
      <c r="C366" s="11">
        <v>14</v>
      </c>
      <c r="D366" s="12" t="s">
        <v>1320</v>
      </c>
      <c r="E366" s="113">
        <v>32046695</v>
      </c>
      <c r="F366" s="129" t="s">
        <v>1292</v>
      </c>
      <c r="G366" s="146" t="s">
        <v>1293</v>
      </c>
      <c r="H366" s="60">
        <v>32044729</v>
      </c>
      <c r="I366" s="10" t="s">
        <v>1339</v>
      </c>
      <c r="J366" s="6" t="s">
        <v>1340</v>
      </c>
      <c r="K366" s="12">
        <v>12</v>
      </c>
      <c r="L366" s="10" t="s">
        <v>1320</v>
      </c>
      <c r="M366" s="18" t="s">
        <v>447</v>
      </c>
    </row>
    <row r="367" spans="2:13" ht="15.9" customHeight="1" x14ac:dyDescent="0.3">
      <c r="B367" s="17" t="s">
        <v>363</v>
      </c>
      <c r="C367" s="11">
        <v>14</v>
      </c>
      <c r="D367" s="12" t="s">
        <v>1320</v>
      </c>
      <c r="E367" s="12">
        <v>32046695</v>
      </c>
      <c r="F367" s="50" t="s">
        <v>1292</v>
      </c>
      <c r="G367" s="146" t="s">
        <v>1293</v>
      </c>
      <c r="H367" s="60">
        <v>32044731</v>
      </c>
      <c r="I367" s="10" t="s">
        <v>1337</v>
      </c>
      <c r="J367" s="6" t="s">
        <v>1338</v>
      </c>
      <c r="K367" s="12">
        <v>12</v>
      </c>
      <c r="L367" s="10" t="s">
        <v>1320</v>
      </c>
      <c r="M367" s="18" t="s">
        <v>973</v>
      </c>
    </row>
    <row r="368" spans="2:13" ht="15.9" customHeight="1" x14ac:dyDescent="0.3">
      <c r="B368" s="17" t="s">
        <v>363</v>
      </c>
      <c r="C368" s="11">
        <v>14</v>
      </c>
      <c r="D368" s="12" t="s">
        <v>1320</v>
      </c>
      <c r="E368" s="12">
        <v>32046695</v>
      </c>
      <c r="F368" s="50" t="s">
        <v>1292</v>
      </c>
      <c r="G368" s="146" t="s">
        <v>1293</v>
      </c>
      <c r="H368" s="60">
        <v>32046217</v>
      </c>
      <c r="I368" s="10" t="s">
        <v>1335</v>
      </c>
      <c r="J368" s="6" t="s">
        <v>1336</v>
      </c>
      <c r="K368" s="12">
        <v>12</v>
      </c>
      <c r="L368" s="10" t="s">
        <v>1320</v>
      </c>
      <c r="M368" s="18" t="s">
        <v>719</v>
      </c>
    </row>
    <row r="369" spans="2:13" ht="15.9" customHeight="1" x14ac:dyDescent="0.3">
      <c r="B369" s="17" t="s">
        <v>363</v>
      </c>
      <c r="C369" s="11">
        <v>14</v>
      </c>
      <c r="D369" s="12" t="s">
        <v>1320</v>
      </c>
      <c r="E369" s="12">
        <v>32046695</v>
      </c>
      <c r="F369" s="50" t="s">
        <v>1292</v>
      </c>
      <c r="G369" s="146" t="s">
        <v>1293</v>
      </c>
      <c r="H369" s="60">
        <v>32045237</v>
      </c>
      <c r="I369" s="10" t="s">
        <v>1333</v>
      </c>
      <c r="J369" s="6" t="s">
        <v>1334</v>
      </c>
      <c r="K369" s="12">
        <v>12</v>
      </c>
      <c r="L369" s="10" t="s">
        <v>1320</v>
      </c>
      <c r="M369" s="18" t="s">
        <v>651</v>
      </c>
    </row>
    <row r="370" spans="2:13" ht="15.9" customHeight="1" x14ac:dyDescent="0.3">
      <c r="B370" s="17" t="s">
        <v>363</v>
      </c>
      <c r="C370" s="11">
        <v>14</v>
      </c>
      <c r="D370" s="12" t="s">
        <v>1320</v>
      </c>
      <c r="E370" s="12">
        <v>32046695</v>
      </c>
      <c r="F370" s="50" t="s">
        <v>1292</v>
      </c>
      <c r="G370" s="146" t="s">
        <v>1293</v>
      </c>
      <c r="H370" s="60">
        <v>32132046</v>
      </c>
      <c r="I370" s="10" t="s">
        <v>1331</v>
      </c>
      <c r="J370" s="6" t="s">
        <v>1332</v>
      </c>
      <c r="K370" s="12">
        <v>12</v>
      </c>
      <c r="L370" s="10" t="s">
        <v>1320</v>
      </c>
      <c r="M370" s="18" t="s">
        <v>1300</v>
      </c>
    </row>
    <row r="371" spans="2:13" ht="15.9" customHeight="1" x14ac:dyDescent="0.3">
      <c r="B371" s="17" t="s">
        <v>363</v>
      </c>
      <c r="C371" s="11">
        <v>14</v>
      </c>
      <c r="D371" s="12" t="s">
        <v>1320</v>
      </c>
      <c r="E371" s="12">
        <v>32046695</v>
      </c>
      <c r="F371" s="50" t="s">
        <v>1292</v>
      </c>
      <c r="G371" s="153" t="s">
        <v>1293</v>
      </c>
      <c r="H371" s="60">
        <v>32045206</v>
      </c>
      <c r="I371" s="10" t="s">
        <v>1329</v>
      </c>
      <c r="J371" s="6" t="s">
        <v>1330</v>
      </c>
      <c r="K371" s="12">
        <v>12</v>
      </c>
      <c r="L371" s="10" t="s">
        <v>1320</v>
      </c>
      <c r="M371" s="18" t="s">
        <v>467</v>
      </c>
    </row>
    <row r="372" spans="2:13" ht="15.9" customHeight="1" x14ac:dyDescent="0.3">
      <c r="B372" s="17" t="s">
        <v>363</v>
      </c>
      <c r="C372" s="11">
        <v>14</v>
      </c>
      <c r="D372" s="12" t="s">
        <v>1320</v>
      </c>
      <c r="E372" s="12">
        <v>32046695</v>
      </c>
      <c r="F372" s="50" t="s">
        <v>1292</v>
      </c>
      <c r="G372" s="147" t="s">
        <v>1293</v>
      </c>
      <c r="H372" s="60">
        <v>32044865</v>
      </c>
      <c r="I372" s="10" t="s">
        <v>1327</v>
      </c>
      <c r="J372" s="6" t="s">
        <v>1328</v>
      </c>
      <c r="K372" s="12">
        <v>12</v>
      </c>
      <c r="L372" s="10" t="s">
        <v>1320</v>
      </c>
      <c r="M372" s="18" t="s">
        <v>564</v>
      </c>
    </row>
    <row r="373" spans="2:13" ht="15.9" customHeight="1" x14ac:dyDescent="0.3">
      <c r="B373" s="17" t="s">
        <v>363</v>
      </c>
      <c r="C373" s="11">
        <v>14</v>
      </c>
      <c r="D373" s="12" t="s">
        <v>1320</v>
      </c>
      <c r="E373" s="12">
        <v>32046695</v>
      </c>
      <c r="F373" s="50" t="s">
        <v>1292</v>
      </c>
      <c r="G373" s="146" t="s">
        <v>1293</v>
      </c>
      <c r="H373" s="60">
        <v>32046080</v>
      </c>
      <c r="I373" s="10" t="s">
        <v>1325</v>
      </c>
      <c r="J373" s="6" t="s">
        <v>1326</v>
      </c>
      <c r="K373" s="12">
        <v>12</v>
      </c>
      <c r="L373" s="10" t="s">
        <v>1320</v>
      </c>
      <c r="M373" s="18" t="s">
        <v>470</v>
      </c>
    </row>
    <row r="374" spans="2:13" ht="15.9" customHeight="1" x14ac:dyDescent="0.3">
      <c r="B374" s="17" t="s">
        <v>363</v>
      </c>
      <c r="C374" s="11">
        <v>14</v>
      </c>
      <c r="D374" s="12" t="s">
        <v>1320</v>
      </c>
      <c r="E374" s="12">
        <v>32046695</v>
      </c>
      <c r="F374" s="50" t="s">
        <v>1292</v>
      </c>
      <c r="G374" s="150" t="s">
        <v>1293</v>
      </c>
      <c r="H374" s="60">
        <v>32132234</v>
      </c>
      <c r="I374" s="10" t="s">
        <v>1323</v>
      </c>
      <c r="J374" s="6" t="s">
        <v>1324</v>
      </c>
      <c r="K374" s="12">
        <v>12</v>
      </c>
      <c r="L374" s="10" t="s">
        <v>1320</v>
      </c>
      <c r="M374" s="18" t="s">
        <v>456</v>
      </c>
    </row>
    <row r="375" spans="2:13" ht="15.9" customHeight="1" x14ac:dyDescent="0.3">
      <c r="B375" s="17" t="s">
        <v>363</v>
      </c>
      <c r="C375" s="11">
        <v>14</v>
      </c>
      <c r="D375" s="12" t="s">
        <v>1320</v>
      </c>
      <c r="E375" s="12">
        <v>32046695</v>
      </c>
      <c r="F375" s="50" t="s">
        <v>1292</v>
      </c>
      <c r="G375" s="146" t="s">
        <v>1293</v>
      </c>
      <c r="H375" s="60">
        <v>32202290</v>
      </c>
      <c r="I375" s="10" t="s">
        <v>1321</v>
      </c>
      <c r="J375" s="6" t="s">
        <v>1322</v>
      </c>
      <c r="K375" s="12">
        <v>12</v>
      </c>
      <c r="L375" s="10" t="s">
        <v>1320</v>
      </c>
      <c r="M375" s="18" t="s">
        <v>464</v>
      </c>
    </row>
    <row r="376" spans="2:13" ht="15.9" customHeight="1" x14ac:dyDescent="0.3">
      <c r="B376" s="17" t="s">
        <v>1584</v>
      </c>
      <c r="C376" s="11" t="s">
        <v>1614</v>
      </c>
      <c r="D376" s="12" t="s">
        <v>1615</v>
      </c>
      <c r="E376" s="12">
        <v>32199317</v>
      </c>
      <c r="F376" s="50" t="s">
        <v>1616</v>
      </c>
      <c r="G376" s="146" t="s">
        <v>1617</v>
      </c>
      <c r="H376" s="60">
        <v>32045439</v>
      </c>
      <c r="I376" s="10" t="s">
        <v>1637</v>
      </c>
      <c r="J376" s="6" t="s">
        <v>2665</v>
      </c>
      <c r="K376" s="12">
        <v>17</v>
      </c>
      <c r="L376" s="12" t="s">
        <v>1615</v>
      </c>
      <c r="M376" s="65" t="s">
        <v>1619</v>
      </c>
    </row>
    <row r="377" spans="2:13" ht="15.9" customHeight="1" x14ac:dyDescent="0.3">
      <c r="B377" s="17" t="s">
        <v>1584</v>
      </c>
      <c r="C377" s="11" t="s">
        <v>1614</v>
      </c>
      <c r="D377" s="12" t="s">
        <v>1615</v>
      </c>
      <c r="E377" s="12">
        <v>32199317</v>
      </c>
      <c r="F377" s="50" t="s">
        <v>1616</v>
      </c>
      <c r="G377" s="146" t="s">
        <v>1617</v>
      </c>
      <c r="H377" s="60">
        <v>32044337</v>
      </c>
      <c r="I377" s="10" t="s">
        <v>1633</v>
      </c>
      <c r="J377" s="143" t="s">
        <v>2666</v>
      </c>
      <c r="K377" s="12">
        <v>17</v>
      </c>
      <c r="L377" s="12" t="s">
        <v>1615</v>
      </c>
      <c r="M377" s="65" t="s">
        <v>1621</v>
      </c>
    </row>
    <row r="378" spans="2:13" ht="15.9" customHeight="1" x14ac:dyDescent="0.3">
      <c r="B378" s="17" t="s">
        <v>1584</v>
      </c>
      <c r="C378" s="11" t="s">
        <v>1614</v>
      </c>
      <c r="D378" s="12" t="s">
        <v>1615</v>
      </c>
      <c r="E378" s="12">
        <v>32199317</v>
      </c>
      <c r="F378" s="50" t="s">
        <v>1616</v>
      </c>
      <c r="G378" s="147" t="s">
        <v>1617</v>
      </c>
      <c r="H378" s="60">
        <v>32046212</v>
      </c>
      <c r="I378" s="10" t="s">
        <v>1632</v>
      </c>
      <c r="J378" s="143" t="s">
        <v>2667</v>
      </c>
      <c r="K378" s="12">
        <v>17</v>
      </c>
      <c r="L378" s="12" t="s">
        <v>1615</v>
      </c>
      <c r="M378" s="65" t="s">
        <v>1623</v>
      </c>
    </row>
    <row r="379" spans="2:13" ht="15.9" customHeight="1" x14ac:dyDescent="0.3">
      <c r="B379" s="17" t="s">
        <v>1584</v>
      </c>
      <c r="C379" s="11" t="s">
        <v>1614</v>
      </c>
      <c r="D379" s="12" t="s">
        <v>1615</v>
      </c>
      <c r="E379" s="12">
        <v>32199317</v>
      </c>
      <c r="F379" s="50" t="s">
        <v>1616</v>
      </c>
      <c r="G379" s="146" t="s">
        <v>1617</v>
      </c>
      <c r="H379" s="60">
        <v>32043830</v>
      </c>
      <c r="I379" s="10" t="s">
        <v>2402</v>
      </c>
      <c r="J379" s="154" t="s">
        <v>2668</v>
      </c>
      <c r="K379" s="12">
        <v>17</v>
      </c>
      <c r="L379" s="12" t="s">
        <v>1615</v>
      </c>
      <c r="M379" s="65" t="s">
        <v>375</v>
      </c>
    </row>
    <row r="380" spans="2:13" ht="15.9" customHeight="1" x14ac:dyDescent="0.3">
      <c r="B380" s="17" t="s">
        <v>1584</v>
      </c>
      <c r="C380" s="11" t="s">
        <v>1614</v>
      </c>
      <c r="D380" s="12" t="s">
        <v>1615</v>
      </c>
      <c r="E380" s="113">
        <v>32199317</v>
      </c>
      <c r="F380" s="129" t="s">
        <v>1616</v>
      </c>
      <c r="G380" s="150" t="s">
        <v>1617</v>
      </c>
      <c r="H380" s="60">
        <v>32044255</v>
      </c>
      <c r="I380" s="10" t="s">
        <v>1626</v>
      </c>
      <c r="J380" s="28" t="s">
        <v>2669</v>
      </c>
      <c r="K380" s="12">
        <v>17</v>
      </c>
      <c r="L380" s="12" t="s">
        <v>1615</v>
      </c>
      <c r="M380" s="65" t="s">
        <v>1623</v>
      </c>
    </row>
    <row r="381" spans="2:13" ht="15.9" customHeight="1" x14ac:dyDescent="0.3">
      <c r="B381" s="17" t="s">
        <v>1584</v>
      </c>
      <c r="C381" s="11" t="s">
        <v>1614</v>
      </c>
      <c r="D381" s="12" t="s">
        <v>1615</v>
      </c>
      <c r="E381" s="12">
        <v>32199317</v>
      </c>
      <c r="F381" s="50" t="s">
        <v>1616</v>
      </c>
      <c r="G381" s="146" t="s">
        <v>1617</v>
      </c>
      <c r="H381" s="60">
        <v>32197843</v>
      </c>
      <c r="I381" s="10" t="s">
        <v>2403</v>
      </c>
      <c r="J381" s="143" t="s">
        <v>2670</v>
      </c>
      <c r="K381" s="12">
        <v>17</v>
      </c>
      <c r="L381" s="12" t="s">
        <v>1615</v>
      </c>
      <c r="M381" s="65" t="s">
        <v>1621</v>
      </c>
    </row>
    <row r="382" spans="2:13" ht="15.9" customHeight="1" x14ac:dyDescent="0.3">
      <c r="B382" s="17" t="s">
        <v>1584</v>
      </c>
      <c r="C382" s="11" t="s">
        <v>1614</v>
      </c>
      <c r="D382" s="12" t="s">
        <v>1615</v>
      </c>
      <c r="E382" s="113">
        <v>32199317</v>
      </c>
      <c r="F382" s="50" t="s">
        <v>1616</v>
      </c>
      <c r="G382" s="146" t="s">
        <v>1617</v>
      </c>
      <c r="H382" s="60">
        <v>32197851</v>
      </c>
      <c r="I382" s="10" t="s">
        <v>2404</v>
      </c>
      <c r="J382" s="6" t="s">
        <v>2671</v>
      </c>
      <c r="K382" s="12">
        <v>17</v>
      </c>
      <c r="L382" s="12" t="s">
        <v>1615</v>
      </c>
      <c r="M382" s="65" t="s">
        <v>1621</v>
      </c>
    </row>
    <row r="383" spans="2:13" ht="15.9" customHeight="1" x14ac:dyDescent="0.3">
      <c r="B383" s="17" t="s">
        <v>1584</v>
      </c>
      <c r="C383" s="11" t="s">
        <v>1614</v>
      </c>
      <c r="D383" s="12" t="s">
        <v>1615</v>
      </c>
      <c r="E383" s="113">
        <v>32199317</v>
      </c>
      <c r="F383" s="129" t="s">
        <v>1616</v>
      </c>
      <c r="G383" s="146" t="s">
        <v>1617</v>
      </c>
      <c r="H383" s="60">
        <v>32058883</v>
      </c>
      <c r="I383" s="10" t="s">
        <v>1624</v>
      </c>
      <c r="J383" s="28" t="s">
        <v>2672</v>
      </c>
      <c r="K383" s="12">
        <v>17</v>
      </c>
      <c r="L383" s="12" t="s">
        <v>1615</v>
      </c>
      <c r="M383" s="65" t="s">
        <v>1629</v>
      </c>
    </row>
    <row r="384" spans="2:13" ht="15.9" customHeight="1" x14ac:dyDescent="0.3">
      <c r="B384" s="17" t="s">
        <v>1584</v>
      </c>
      <c r="C384" s="11" t="s">
        <v>1614</v>
      </c>
      <c r="D384" s="12" t="s">
        <v>1615</v>
      </c>
      <c r="E384" s="113">
        <v>32199317</v>
      </c>
      <c r="F384" s="129" t="s">
        <v>1616</v>
      </c>
      <c r="G384" s="146" t="s">
        <v>1617</v>
      </c>
      <c r="H384" s="60">
        <v>32046185</v>
      </c>
      <c r="I384" s="10" t="s">
        <v>1622</v>
      </c>
      <c r="J384" s="28" t="s">
        <v>2673</v>
      </c>
      <c r="K384" s="12">
        <v>17</v>
      </c>
      <c r="L384" s="12" t="s">
        <v>1615</v>
      </c>
      <c r="M384" s="65" t="s">
        <v>1631</v>
      </c>
    </row>
    <row r="385" spans="2:13" ht="15.9" customHeight="1" x14ac:dyDescent="0.3">
      <c r="B385" s="17" t="s">
        <v>1584</v>
      </c>
      <c r="C385" s="11" t="s">
        <v>1614</v>
      </c>
      <c r="D385" s="12" t="s">
        <v>1615</v>
      </c>
      <c r="E385" s="12">
        <v>32199317</v>
      </c>
      <c r="F385" s="50" t="s">
        <v>1616</v>
      </c>
      <c r="G385" s="146" t="s">
        <v>1617</v>
      </c>
      <c r="H385" s="60">
        <v>32064295</v>
      </c>
      <c r="I385" s="10" t="s">
        <v>2405</v>
      </c>
      <c r="J385" s="143" t="s">
        <v>2674</v>
      </c>
      <c r="K385" s="12">
        <v>17</v>
      </c>
      <c r="L385" s="12" t="s">
        <v>1615</v>
      </c>
      <c r="M385" s="65" t="s">
        <v>369</v>
      </c>
    </row>
    <row r="386" spans="2:13" ht="15.9" customHeight="1" x14ac:dyDescent="0.3">
      <c r="B386" s="11" t="s">
        <v>1584</v>
      </c>
      <c r="C386" s="11" t="s">
        <v>1614</v>
      </c>
      <c r="D386" s="12" t="s">
        <v>1615</v>
      </c>
      <c r="E386" s="110">
        <v>32199317</v>
      </c>
      <c r="F386" s="131" t="s">
        <v>1616</v>
      </c>
      <c r="G386" s="146" t="s">
        <v>1617</v>
      </c>
      <c r="H386" s="60">
        <v>32045631</v>
      </c>
      <c r="I386" s="10" t="s">
        <v>2406</v>
      </c>
      <c r="J386" s="6" t="s">
        <v>2675</v>
      </c>
      <c r="K386" s="12">
        <v>17</v>
      </c>
      <c r="L386" s="12" t="s">
        <v>1615</v>
      </c>
      <c r="M386" s="65" t="s">
        <v>369</v>
      </c>
    </row>
    <row r="387" spans="2:13" ht="15.9" customHeight="1" x14ac:dyDescent="0.3">
      <c r="B387" s="17" t="s">
        <v>1584</v>
      </c>
      <c r="C387" s="11" t="s">
        <v>1614</v>
      </c>
      <c r="D387" s="12" t="s">
        <v>1615</v>
      </c>
      <c r="E387" s="12">
        <v>32199317</v>
      </c>
      <c r="F387" s="50" t="s">
        <v>1616</v>
      </c>
      <c r="G387" s="146" t="s">
        <v>1617</v>
      </c>
      <c r="H387" s="60">
        <v>32046085</v>
      </c>
      <c r="I387" s="10" t="s">
        <v>2407</v>
      </c>
      <c r="J387" s="6" t="s">
        <v>2676</v>
      </c>
      <c r="K387" s="12">
        <v>17</v>
      </c>
      <c r="L387" s="12" t="s">
        <v>1615</v>
      </c>
      <c r="M387" s="65" t="s">
        <v>375</v>
      </c>
    </row>
    <row r="388" spans="2:13" ht="15.9" customHeight="1" x14ac:dyDescent="0.3">
      <c r="B388" s="17" t="s">
        <v>1584</v>
      </c>
      <c r="C388" s="11" t="s">
        <v>1614</v>
      </c>
      <c r="D388" s="12" t="s">
        <v>1615</v>
      </c>
      <c r="E388" s="12">
        <v>32199317</v>
      </c>
      <c r="F388" s="50" t="s">
        <v>1616</v>
      </c>
      <c r="G388" s="146" t="s">
        <v>1617</v>
      </c>
      <c r="H388" s="60">
        <v>32044368</v>
      </c>
      <c r="I388" s="10" t="s">
        <v>2408</v>
      </c>
      <c r="J388" s="143" t="s">
        <v>2677</v>
      </c>
      <c r="K388" s="12">
        <v>17</v>
      </c>
      <c r="L388" s="12" t="s">
        <v>1615</v>
      </c>
      <c r="M388" s="65" t="s">
        <v>1629</v>
      </c>
    </row>
    <row r="389" spans="2:13" ht="15.9" customHeight="1" x14ac:dyDescent="0.3">
      <c r="B389" s="17" t="s">
        <v>1584</v>
      </c>
      <c r="C389" s="11" t="s">
        <v>1614</v>
      </c>
      <c r="D389" s="12" t="s">
        <v>1615</v>
      </c>
      <c r="E389" s="12">
        <v>32199317</v>
      </c>
      <c r="F389" s="50" t="s">
        <v>1616</v>
      </c>
      <c r="G389" s="146" t="s">
        <v>1617</v>
      </c>
      <c r="H389" s="60">
        <v>32044062</v>
      </c>
      <c r="I389" s="10" t="s">
        <v>2409</v>
      </c>
      <c r="J389" s="80" t="s">
        <v>61</v>
      </c>
      <c r="K389" s="12">
        <v>17</v>
      </c>
      <c r="L389" s="12" t="s">
        <v>1615</v>
      </c>
      <c r="M389" s="65" t="s">
        <v>1631</v>
      </c>
    </row>
    <row r="390" spans="2:13" ht="15.9" customHeight="1" x14ac:dyDescent="0.3">
      <c r="B390" s="17" t="s">
        <v>1584</v>
      </c>
      <c r="C390" s="11" t="s">
        <v>1614</v>
      </c>
      <c r="D390" s="12" t="s">
        <v>1615</v>
      </c>
      <c r="E390" s="113">
        <v>32199317</v>
      </c>
      <c r="F390" s="129" t="s">
        <v>1616</v>
      </c>
      <c r="G390" s="147" t="s">
        <v>1617</v>
      </c>
      <c r="H390" s="60">
        <v>32055892</v>
      </c>
      <c r="I390" s="10" t="s">
        <v>2410</v>
      </c>
      <c r="J390" s="6" t="s">
        <v>2678</v>
      </c>
      <c r="K390" s="12">
        <v>17</v>
      </c>
      <c r="L390" s="12" t="s">
        <v>1615</v>
      </c>
      <c r="M390" s="65" t="s">
        <v>1621</v>
      </c>
    </row>
    <row r="391" spans="2:13" ht="15.9" customHeight="1" x14ac:dyDescent="0.3">
      <c r="B391" s="11" t="s">
        <v>1584</v>
      </c>
      <c r="C391" s="11" t="s">
        <v>1614</v>
      </c>
      <c r="D391" s="12" t="s">
        <v>1615</v>
      </c>
      <c r="E391" s="110">
        <v>32199317</v>
      </c>
      <c r="F391" s="131" t="s">
        <v>1616</v>
      </c>
      <c r="G391" s="146" t="s">
        <v>1617</v>
      </c>
      <c r="H391" s="60">
        <v>32064295</v>
      </c>
      <c r="I391" s="10" t="s">
        <v>2411</v>
      </c>
      <c r="J391" s="6" t="s">
        <v>2679</v>
      </c>
      <c r="K391" s="12">
        <v>17</v>
      </c>
      <c r="L391" s="12" t="s">
        <v>1615</v>
      </c>
      <c r="M391" s="65" t="s">
        <v>1619</v>
      </c>
    </row>
    <row r="392" spans="2:13" ht="15.9" customHeight="1" x14ac:dyDescent="0.3">
      <c r="B392" s="17" t="s">
        <v>363</v>
      </c>
      <c r="C392" s="11">
        <v>4</v>
      </c>
      <c r="D392" s="12" t="s">
        <v>605</v>
      </c>
      <c r="E392" s="63">
        <v>32147380</v>
      </c>
      <c r="F392" s="165" t="s">
        <v>606</v>
      </c>
      <c r="G392" s="150" t="s">
        <v>565</v>
      </c>
      <c r="H392" s="60">
        <v>32044946</v>
      </c>
      <c r="I392" s="10" t="s">
        <v>611</v>
      </c>
      <c r="J392" s="143" t="s">
        <v>612</v>
      </c>
      <c r="K392" s="12">
        <v>14</v>
      </c>
      <c r="L392" s="10" t="s">
        <v>605</v>
      </c>
      <c r="M392" s="18" t="s">
        <v>596</v>
      </c>
    </row>
    <row r="393" spans="2:13" ht="15.9" customHeight="1" x14ac:dyDescent="0.3">
      <c r="B393" s="17" t="s">
        <v>363</v>
      </c>
      <c r="C393" s="11">
        <v>4</v>
      </c>
      <c r="D393" s="12" t="s">
        <v>605</v>
      </c>
      <c r="E393" s="63">
        <v>32147380</v>
      </c>
      <c r="F393" s="165" t="s">
        <v>606</v>
      </c>
      <c r="G393" s="146" t="s">
        <v>565</v>
      </c>
      <c r="H393" s="60">
        <v>32045731</v>
      </c>
      <c r="I393" s="10" t="s">
        <v>621</v>
      </c>
      <c r="J393" s="6" t="s">
        <v>622</v>
      </c>
      <c r="K393" s="12">
        <v>14</v>
      </c>
      <c r="L393" s="10" t="s">
        <v>605</v>
      </c>
      <c r="M393" s="18" t="s">
        <v>623</v>
      </c>
    </row>
    <row r="394" spans="2:13" ht="15.9" customHeight="1" x14ac:dyDescent="0.3">
      <c r="B394" s="17" t="s">
        <v>363</v>
      </c>
      <c r="C394" s="11">
        <v>4</v>
      </c>
      <c r="D394" s="12" t="s">
        <v>605</v>
      </c>
      <c r="E394" s="63">
        <v>32147380</v>
      </c>
      <c r="F394" s="165" t="s">
        <v>606</v>
      </c>
      <c r="G394" s="146" t="s">
        <v>565</v>
      </c>
      <c r="H394" s="60">
        <v>32044554</v>
      </c>
      <c r="I394" s="10" t="s">
        <v>609</v>
      </c>
      <c r="J394" s="6" t="s">
        <v>610</v>
      </c>
      <c r="K394" s="12">
        <v>14</v>
      </c>
      <c r="L394" s="10" t="s">
        <v>605</v>
      </c>
      <c r="M394" s="18" t="s">
        <v>456</v>
      </c>
    </row>
    <row r="395" spans="2:13" ht="15.9" customHeight="1" x14ac:dyDescent="0.3">
      <c r="B395" s="17" t="s">
        <v>363</v>
      </c>
      <c r="C395" s="11">
        <v>4</v>
      </c>
      <c r="D395" s="12" t="s">
        <v>605</v>
      </c>
      <c r="E395" s="63">
        <v>32147380</v>
      </c>
      <c r="F395" s="165" t="s">
        <v>606</v>
      </c>
      <c r="G395" s="146" t="s">
        <v>565</v>
      </c>
      <c r="H395" s="60">
        <v>32046135</v>
      </c>
      <c r="I395" s="10" t="s">
        <v>628</v>
      </c>
      <c r="J395" s="6" t="s">
        <v>629</v>
      </c>
      <c r="K395" s="12">
        <v>14</v>
      </c>
      <c r="L395" s="10" t="s">
        <v>605</v>
      </c>
      <c r="M395" s="18" t="s">
        <v>590</v>
      </c>
    </row>
    <row r="396" spans="2:13" ht="15.9" customHeight="1" x14ac:dyDescent="0.3">
      <c r="B396" s="17" t="s">
        <v>363</v>
      </c>
      <c r="C396" s="11">
        <v>4</v>
      </c>
      <c r="D396" s="12" t="s">
        <v>605</v>
      </c>
      <c r="E396" s="112">
        <v>32141851</v>
      </c>
      <c r="F396" s="165" t="s">
        <v>606</v>
      </c>
      <c r="G396" s="146" t="s">
        <v>607</v>
      </c>
      <c r="H396" s="60">
        <v>32044201</v>
      </c>
      <c r="I396" s="10" t="s">
        <v>608</v>
      </c>
      <c r="J396" s="80" t="s">
        <v>61</v>
      </c>
      <c r="K396" s="12">
        <v>14</v>
      </c>
      <c r="L396" s="10" t="s">
        <v>605</v>
      </c>
      <c r="M396" s="18" t="s">
        <v>547</v>
      </c>
    </row>
    <row r="397" spans="2:13" ht="15.9" customHeight="1" x14ac:dyDescent="0.3">
      <c r="B397" s="17" t="s">
        <v>363</v>
      </c>
      <c r="C397" s="11">
        <v>4</v>
      </c>
      <c r="D397" s="12" t="s">
        <v>605</v>
      </c>
      <c r="E397" s="94">
        <v>32141851</v>
      </c>
      <c r="F397" s="166" t="s">
        <v>606</v>
      </c>
      <c r="G397" s="146" t="s">
        <v>607</v>
      </c>
      <c r="H397" s="60">
        <v>32046511</v>
      </c>
      <c r="I397" s="10" t="s">
        <v>637</v>
      </c>
      <c r="J397" s="80" t="s">
        <v>61</v>
      </c>
      <c r="K397" s="12">
        <v>14</v>
      </c>
      <c r="L397" s="10" t="s">
        <v>605</v>
      </c>
      <c r="M397" s="18" t="s">
        <v>571</v>
      </c>
    </row>
    <row r="398" spans="2:13" ht="15.9" customHeight="1" x14ac:dyDescent="0.3">
      <c r="B398" s="17" t="s">
        <v>363</v>
      </c>
      <c r="C398" s="11">
        <v>4</v>
      </c>
      <c r="D398" s="12" t="s">
        <v>605</v>
      </c>
      <c r="E398" s="94">
        <v>32141851</v>
      </c>
      <c r="F398" s="165" t="s">
        <v>606</v>
      </c>
      <c r="G398" s="146" t="s">
        <v>607</v>
      </c>
      <c r="H398" s="60">
        <v>32045629</v>
      </c>
      <c r="I398" s="10" t="s">
        <v>619</v>
      </c>
      <c r="J398" s="6" t="s">
        <v>620</v>
      </c>
      <c r="K398" s="12">
        <v>14</v>
      </c>
      <c r="L398" s="10" t="s">
        <v>605</v>
      </c>
      <c r="M398" s="18" t="s">
        <v>578</v>
      </c>
    </row>
    <row r="399" spans="2:13" ht="15.9" customHeight="1" x14ac:dyDescent="0.3">
      <c r="B399" s="17" t="s">
        <v>363</v>
      </c>
      <c r="C399" s="11">
        <v>4</v>
      </c>
      <c r="D399" s="10" t="s">
        <v>605</v>
      </c>
      <c r="E399" s="112">
        <v>32141851</v>
      </c>
      <c r="F399" s="165" t="s">
        <v>606</v>
      </c>
      <c r="G399" s="146" t="s">
        <v>607</v>
      </c>
      <c r="H399" s="60">
        <v>32096559</v>
      </c>
      <c r="I399" s="10" t="s">
        <v>662</v>
      </c>
      <c r="J399" s="6" t="s">
        <v>663</v>
      </c>
      <c r="K399" s="12">
        <v>15</v>
      </c>
      <c r="L399" s="10" t="s">
        <v>605</v>
      </c>
      <c r="M399" s="18" t="s">
        <v>519</v>
      </c>
    </row>
    <row r="400" spans="2:13" ht="15.9" customHeight="1" x14ac:dyDescent="0.3">
      <c r="B400" s="17" t="s">
        <v>363</v>
      </c>
      <c r="C400" s="11">
        <v>4</v>
      </c>
      <c r="D400" s="10" t="s">
        <v>605</v>
      </c>
      <c r="E400" s="112">
        <v>32141851</v>
      </c>
      <c r="F400" s="165" t="s">
        <v>606</v>
      </c>
      <c r="G400" s="146" t="s">
        <v>607</v>
      </c>
      <c r="H400" s="60">
        <v>32045593</v>
      </c>
      <c r="I400" s="10" t="s">
        <v>617</v>
      </c>
      <c r="J400" s="80" t="s">
        <v>51</v>
      </c>
      <c r="K400" s="12">
        <v>15</v>
      </c>
      <c r="L400" s="10" t="s">
        <v>605</v>
      </c>
      <c r="M400" s="18" t="s">
        <v>618</v>
      </c>
    </row>
    <row r="401" spans="2:13" ht="15.9" customHeight="1" x14ac:dyDescent="0.3">
      <c r="B401" s="17" t="s">
        <v>363</v>
      </c>
      <c r="C401" s="11">
        <v>4</v>
      </c>
      <c r="D401" s="10" t="s">
        <v>605</v>
      </c>
      <c r="E401" s="112">
        <v>32141851</v>
      </c>
      <c r="F401" s="165" t="s">
        <v>606</v>
      </c>
      <c r="G401" s="146" t="s">
        <v>607</v>
      </c>
      <c r="H401" s="60">
        <v>32045202</v>
      </c>
      <c r="I401" s="10" t="s">
        <v>650</v>
      </c>
      <c r="J401" s="80" t="s">
        <v>61</v>
      </c>
      <c r="K401" s="12">
        <v>15</v>
      </c>
      <c r="L401" s="10" t="s">
        <v>605</v>
      </c>
      <c r="M401" s="18" t="s">
        <v>651</v>
      </c>
    </row>
    <row r="402" spans="2:13" ht="15.9" customHeight="1" x14ac:dyDescent="0.3">
      <c r="B402" s="17" t="s">
        <v>363</v>
      </c>
      <c r="C402" s="11">
        <v>4</v>
      </c>
      <c r="D402" s="12" t="s">
        <v>605</v>
      </c>
      <c r="E402" s="94">
        <v>32141851</v>
      </c>
      <c r="F402" s="166" t="s">
        <v>606</v>
      </c>
      <c r="G402" s="146" t="s">
        <v>607</v>
      </c>
      <c r="H402" s="60">
        <v>32045754</v>
      </c>
      <c r="I402" s="10" t="s">
        <v>624</v>
      </c>
      <c r="J402" s="6" t="s">
        <v>625</v>
      </c>
      <c r="K402" s="12">
        <v>14</v>
      </c>
      <c r="L402" s="10" t="s">
        <v>605</v>
      </c>
      <c r="M402" s="18" t="s">
        <v>584</v>
      </c>
    </row>
    <row r="403" spans="2:13" ht="15.9" customHeight="1" x14ac:dyDescent="0.3">
      <c r="B403" s="17" t="s">
        <v>363</v>
      </c>
      <c r="C403" s="11">
        <v>4</v>
      </c>
      <c r="D403" s="12" t="s">
        <v>605</v>
      </c>
      <c r="E403" s="94">
        <v>32141851</v>
      </c>
      <c r="F403" s="166" t="s">
        <v>606</v>
      </c>
      <c r="G403" s="146" t="s">
        <v>607</v>
      </c>
      <c r="H403" s="60">
        <v>32044986</v>
      </c>
      <c r="I403" s="10" t="s">
        <v>613</v>
      </c>
      <c r="J403" s="154" t="s">
        <v>614</v>
      </c>
      <c r="K403" s="12">
        <v>14</v>
      </c>
      <c r="L403" s="10" t="s">
        <v>605</v>
      </c>
      <c r="M403" s="18" t="s">
        <v>470</v>
      </c>
    </row>
    <row r="404" spans="2:13" ht="15.9" customHeight="1" x14ac:dyDescent="0.3">
      <c r="B404" s="17" t="s">
        <v>363</v>
      </c>
      <c r="C404" s="11">
        <v>4</v>
      </c>
      <c r="D404" s="12" t="s">
        <v>605</v>
      </c>
      <c r="E404" s="94">
        <v>32141851</v>
      </c>
      <c r="F404" s="165" t="s">
        <v>606</v>
      </c>
      <c r="G404" s="146" t="s">
        <v>607</v>
      </c>
      <c r="H404" s="60">
        <v>32045137</v>
      </c>
      <c r="I404" s="10" t="s">
        <v>615</v>
      </c>
      <c r="J404" s="6" t="s">
        <v>616</v>
      </c>
      <c r="K404" s="12">
        <v>14</v>
      </c>
      <c r="L404" s="10" t="s">
        <v>605</v>
      </c>
      <c r="M404" s="18" t="s">
        <v>581</v>
      </c>
    </row>
    <row r="405" spans="2:13" ht="15.9" customHeight="1" x14ac:dyDescent="0.3">
      <c r="B405" s="17" t="s">
        <v>363</v>
      </c>
      <c r="C405" s="11">
        <v>4</v>
      </c>
      <c r="D405" s="12" t="s">
        <v>605</v>
      </c>
      <c r="E405" s="112">
        <v>32141851</v>
      </c>
      <c r="F405" s="165" t="s">
        <v>606</v>
      </c>
      <c r="G405" s="146" t="s">
        <v>607</v>
      </c>
      <c r="H405" s="60">
        <v>32063475</v>
      </c>
      <c r="I405" s="10" t="s">
        <v>638</v>
      </c>
      <c r="J405" s="6" t="s">
        <v>639</v>
      </c>
      <c r="K405" s="12">
        <v>14</v>
      </c>
      <c r="L405" s="10" t="s">
        <v>605</v>
      </c>
      <c r="M405" s="18" t="s">
        <v>593</v>
      </c>
    </row>
    <row r="406" spans="2:13" ht="15.9" customHeight="1" x14ac:dyDescent="0.3">
      <c r="B406" s="17" t="s">
        <v>363</v>
      </c>
      <c r="C406" s="11">
        <v>4</v>
      </c>
      <c r="D406" s="12" t="s">
        <v>605</v>
      </c>
      <c r="E406" s="94">
        <v>32141851</v>
      </c>
      <c r="F406" s="166" t="s">
        <v>606</v>
      </c>
      <c r="G406" s="146" t="s">
        <v>607</v>
      </c>
      <c r="H406" s="60">
        <v>32046165</v>
      </c>
      <c r="I406" s="10" t="s">
        <v>633</v>
      </c>
      <c r="J406" s="6" t="s">
        <v>634</v>
      </c>
      <c r="K406" s="12">
        <v>14</v>
      </c>
      <c r="L406" s="10" t="s">
        <v>605</v>
      </c>
      <c r="M406" s="18" t="s">
        <v>519</v>
      </c>
    </row>
    <row r="407" spans="2:13" ht="15.9" customHeight="1" x14ac:dyDescent="0.3">
      <c r="B407" s="17" t="s">
        <v>363</v>
      </c>
      <c r="C407" s="11">
        <v>4</v>
      </c>
      <c r="D407" s="12" t="s">
        <v>605</v>
      </c>
      <c r="E407" s="112">
        <v>32141851</v>
      </c>
      <c r="F407" s="165" t="s">
        <v>606</v>
      </c>
      <c r="G407" s="146" t="s">
        <v>607</v>
      </c>
      <c r="H407" s="60">
        <v>32046468</v>
      </c>
      <c r="I407" s="10" t="s">
        <v>635</v>
      </c>
      <c r="J407" s="6" t="s">
        <v>636</v>
      </c>
      <c r="K407" s="12">
        <v>14</v>
      </c>
      <c r="L407" s="10" t="s">
        <v>605</v>
      </c>
      <c r="M407" s="18" t="s">
        <v>587</v>
      </c>
    </row>
    <row r="408" spans="2:13" ht="15.9" customHeight="1" x14ac:dyDescent="0.3">
      <c r="B408" s="17" t="s">
        <v>363</v>
      </c>
      <c r="C408" s="11">
        <v>4</v>
      </c>
      <c r="D408" s="12" t="s">
        <v>605</v>
      </c>
      <c r="E408" s="112">
        <v>32141851</v>
      </c>
      <c r="F408" s="165" t="s">
        <v>606</v>
      </c>
      <c r="G408" s="146" t="s">
        <v>607</v>
      </c>
      <c r="H408" s="60">
        <v>32045768</v>
      </c>
      <c r="I408" s="10" t="s">
        <v>626</v>
      </c>
      <c r="J408" s="6" t="s">
        <v>627</v>
      </c>
      <c r="K408" s="12">
        <v>14</v>
      </c>
      <c r="L408" s="10" t="s">
        <v>605</v>
      </c>
      <c r="M408" s="18" t="s">
        <v>599</v>
      </c>
    </row>
    <row r="409" spans="2:13" ht="15.9" customHeight="1" x14ac:dyDescent="0.3">
      <c r="B409" s="17" t="s">
        <v>363</v>
      </c>
      <c r="C409" s="11">
        <v>2</v>
      </c>
      <c r="D409" s="12" t="s">
        <v>435</v>
      </c>
      <c r="E409" s="113">
        <v>32046689</v>
      </c>
      <c r="F409" s="132" t="s">
        <v>365</v>
      </c>
      <c r="G409" s="146" t="s">
        <v>366</v>
      </c>
      <c r="H409" s="60">
        <v>32046406</v>
      </c>
      <c r="I409" s="10" t="s">
        <v>436</v>
      </c>
      <c r="J409" s="143" t="s">
        <v>437</v>
      </c>
      <c r="K409" s="12">
        <v>6</v>
      </c>
      <c r="L409" s="10" t="s">
        <v>435</v>
      </c>
      <c r="M409" s="18" t="s">
        <v>384</v>
      </c>
    </row>
    <row r="410" spans="2:13" ht="15.9" customHeight="1" x14ac:dyDescent="0.3">
      <c r="B410" s="17" t="s">
        <v>363</v>
      </c>
      <c r="C410" s="11">
        <v>2</v>
      </c>
      <c r="D410" s="12" t="s">
        <v>435</v>
      </c>
      <c r="E410" s="12">
        <v>32046689</v>
      </c>
      <c r="F410" s="69" t="s">
        <v>365</v>
      </c>
      <c r="G410" s="146" t="s">
        <v>366</v>
      </c>
      <c r="H410" s="60">
        <v>32131821</v>
      </c>
      <c r="I410" s="10" t="s">
        <v>438</v>
      </c>
      <c r="J410" s="6" t="s">
        <v>439</v>
      </c>
      <c r="K410" s="12">
        <v>6</v>
      </c>
      <c r="L410" s="10" t="s">
        <v>435</v>
      </c>
      <c r="M410" s="18" t="s">
        <v>378</v>
      </c>
    </row>
    <row r="411" spans="2:13" ht="15.9" customHeight="1" x14ac:dyDescent="0.3">
      <c r="B411" s="17" t="s">
        <v>363</v>
      </c>
      <c r="C411" s="11">
        <v>2</v>
      </c>
      <c r="D411" s="12" t="s">
        <v>435</v>
      </c>
      <c r="E411" s="12">
        <v>32046689</v>
      </c>
      <c r="F411" s="69" t="s">
        <v>365</v>
      </c>
      <c r="G411" s="146" t="s">
        <v>366</v>
      </c>
      <c r="H411" s="60">
        <v>32044448</v>
      </c>
      <c r="I411" s="10" t="s">
        <v>440</v>
      </c>
      <c r="J411" s="6" t="s">
        <v>441</v>
      </c>
      <c r="K411" s="12">
        <v>6</v>
      </c>
      <c r="L411" s="10" t="s">
        <v>435</v>
      </c>
      <c r="M411" s="18" t="s">
        <v>375</v>
      </c>
    </row>
    <row r="412" spans="2:13" ht="15.9" customHeight="1" x14ac:dyDescent="0.3">
      <c r="B412" s="17" t="s">
        <v>363</v>
      </c>
      <c r="C412" s="11">
        <v>2</v>
      </c>
      <c r="D412" s="12" t="s">
        <v>435</v>
      </c>
      <c r="E412" s="12">
        <v>32046689</v>
      </c>
      <c r="F412" s="69" t="s">
        <v>365</v>
      </c>
      <c r="G412" s="146" t="s">
        <v>366</v>
      </c>
      <c r="H412" s="60">
        <v>32155897</v>
      </c>
      <c r="I412" s="10" t="s">
        <v>442</v>
      </c>
      <c r="J412" s="6" t="s">
        <v>443</v>
      </c>
      <c r="K412" s="12">
        <v>6</v>
      </c>
      <c r="L412" s="10" t="s">
        <v>435</v>
      </c>
      <c r="M412" s="18" t="s">
        <v>444</v>
      </c>
    </row>
    <row r="413" spans="2:13" ht="15.9" customHeight="1" x14ac:dyDescent="0.3">
      <c r="B413" s="17" t="s">
        <v>363</v>
      </c>
      <c r="C413" s="11">
        <v>2</v>
      </c>
      <c r="D413" s="12" t="s">
        <v>435</v>
      </c>
      <c r="E413" s="12">
        <v>32046689</v>
      </c>
      <c r="F413" s="69" t="s">
        <v>365</v>
      </c>
      <c r="G413" s="153" t="s">
        <v>366</v>
      </c>
      <c r="H413" s="60">
        <v>32199334</v>
      </c>
      <c r="I413" s="10" t="s">
        <v>1266</v>
      </c>
      <c r="J413" s="6" t="s">
        <v>2680</v>
      </c>
      <c r="K413" s="12">
        <v>6</v>
      </c>
      <c r="L413" s="10" t="s">
        <v>435</v>
      </c>
      <c r="M413" s="18" t="s">
        <v>369</v>
      </c>
    </row>
    <row r="414" spans="2:13" ht="15.9" customHeight="1" x14ac:dyDescent="0.3">
      <c r="B414" s="17" t="s">
        <v>363</v>
      </c>
      <c r="C414" s="11">
        <v>2</v>
      </c>
      <c r="D414" s="12" t="s">
        <v>435</v>
      </c>
      <c r="E414" s="12">
        <v>32046689</v>
      </c>
      <c r="F414" s="69" t="s">
        <v>365</v>
      </c>
      <c r="G414" s="146" t="s">
        <v>366</v>
      </c>
      <c r="H414" s="60">
        <v>32198267</v>
      </c>
      <c r="I414" s="10" t="s">
        <v>445</v>
      </c>
      <c r="J414" s="6" t="s">
        <v>446</v>
      </c>
      <c r="K414" s="12">
        <v>6</v>
      </c>
      <c r="L414" s="10" t="s">
        <v>435</v>
      </c>
      <c r="M414" s="18" t="s">
        <v>447</v>
      </c>
    </row>
    <row r="415" spans="2:13" ht="15.9" customHeight="1" x14ac:dyDescent="0.3">
      <c r="B415" s="17" t="s">
        <v>363</v>
      </c>
      <c r="C415" s="11">
        <v>11</v>
      </c>
      <c r="D415" s="12" t="s">
        <v>1137</v>
      </c>
      <c r="E415" s="113">
        <v>32141851</v>
      </c>
      <c r="F415" s="129" t="s">
        <v>2352</v>
      </c>
      <c r="G415" s="146" t="s">
        <v>1053</v>
      </c>
      <c r="H415" s="60">
        <v>32132049</v>
      </c>
      <c r="I415" s="10" t="s">
        <v>1150</v>
      </c>
      <c r="J415" s="6" t="s">
        <v>1151</v>
      </c>
      <c r="K415" s="12">
        <v>12</v>
      </c>
      <c r="L415" s="10" t="s">
        <v>1137</v>
      </c>
      <c r="M415" s="18" t="s">
        <v>453</v>
      </c>
    </row>
    <row r="416" spans="2:13" ht="15.9" customHeight="1" x14ac:dyDescent="0.3">
      <c r="B416" s="17" t="s">
        <v>363</v>
      </c>
      <c r="C416" s="11">
        <v>11</v>
      </c>
      <c r="D416" s="12" t="s">
        <v>1137</v>
      </c>
      <c r="E416" s="12">
        <v>32141851</v>
      </c>
      <c r="F416" s="50" t="s">
        <v>2352</v>
      </c>
      <c r="G416" s="146" t="s">
        <v>1053</v>
      </c>
      <c r="H416" s="60">
        <v>32045434</v>
      </c>
      <c r="I416" s="10" t="s">
        <v>2412</v>
      </c>
      <c r="J416" s="6" t="s">
        <v>2681</v>
      </c>
      <c r="K416" s="12">
        <v>12</v>
      </c>
      <c r="L416" s="10" t="s">
        <v>1137</v>
      </c>
      <c r="M416" s="18" t="s">
        <v>456</v>
      </c>
    </row>
    <row r="417" spans="2:13" ht="15.9" customHeight="1" x14ac:dyDescent="0.3">
      <c r="B417" s="17" t="s">
        <v>363</v>
      </c>
      <c r="C417" s="11">
        <v>11</v>
      </c>
      <c r="D417" s="12" t="s">
        <v>1137</v>
      </c>
      <c r="E417" s="12">
        <v>32141851</v>
      </c>
      <c r="F417" s="50" t="s">
        <v>2352</v>
      </c>
      <c r="G417" s="146" t="s">
        <v>1053</v>
      </c>
      <c r="H417" s="60">
        <v>32044476</v>
      </c>
      <c r="I417" s="10" t="s">
        <v>1138</v>
      </c>
      <c r="J417" s="143" t="s">
        <v>1139</v>
      </c>
      <c r="K417" s="12">
        <v>12</v>
      </c>
      <c r="L417" s="10" t="s">
        <v>1137</v>
      </c>
      <c r="M417" s="18" t="s">
        <v>481</v>
      </c>
    </row>
    <row r="418" spans="2:13" ht="15.9" customHeight="1" x14ac:dyDescent="0.3">
      <c r="B418" s="17" t="s">
        <v>363</v>
      </c>
      <c r="C418" s="11">
        <v>11</v>
      </c>
      <c r="D418" s="12" t="s">
        <v>1137</v>
      </c>
      <c r="E418" s="12">
        <v>32141851</v>
      </c>
      <c r="F418" s="50" t="s">
        <v>2352</v>
      </c>
      <c r="G418" s="146" t="s">
        <v>1053</v>
      </c>
      <c r="H418" s="60">
        <v>32044836</v>
      </c>
      <c r="I418" s="10" t="s">
        <v>1144</v>
      </c>
      <c r="J418" s="6" t="s">
        <v>1145</v>
      </c>
      <c r="K418" s="12">
        <v>12</v>
      </c>
      <c r="L418" s="10" t="s">
        <v>1137</v>
      </c>
      <c r="M418" s="18" t="s">
        <v>705</v>
      </c>
    </row>
    <row r="419" spans="2:13" ht="15.9" customHeight="1" x14ac:dyDescent="0.3">
      <c r="B419" s="17" t="s">
        <v>363</v>
      </c>
      <c r="C419" s="11">
        <v>11</v>
      </c>
      <c r="D419" s="12" t="s">
        <v>1137</v>
      </c>
      <c r="E419" s="113">
        <v>32141851</v>
      </c>
      <c r="F419" s="129" t="s">
        <v>2352</v>
      </c>
      <c r="G419" s="146" t="s">
        <v>1053</v>
      </c>
      <c r="H419" s="60">
        <v>32143041</v>
      </c>
      <c r="I419" s="10" t="s">
        <v>429</v>
      </c>
      <c r="J419" s="6" t="s">
        <v>2682</v>
      </c>
      <c r="K419" s="12">
        <v>12</v>
      </c>
      <c r="L419" s="10" t="s">
        <v>1137</v>
      </c>
      <c r="M419" s="18" t="s">
        <v>1074</v>
      </c>
    </row>
    <row r="420" spans="2:13" ht="15.9" customHeight="1" x14ac:dyDescent="0.3">
      <c r="B420" s="17" t="s">
        <v>363</v>
      </c>
      <c r="C420" s="11">
        <v>11</v>
      </c>
      <c r="D420" s="12" t="s">
        <v>1137</v>
      </c>
      <c r="E420" s="113">
        <v>32141851</v>
      </c>
      <c r="F420" s="129" t="s">
        <v>2352</v>
      </c>
      <c r="G420" s="146" t="s">
        <v>1053</v>
      </c>
      <c r="H420" s="60">
        <v>32132018</v>
      </c>
      <c r="I420" s="10" t="s">
        <v>1148</v>
      </c>
      <c r="J420" s="143" t="s">
        <v>1149</v>
      </c>
      <c r="K420" s="12">
        <v>12</v>
      </c>
      <c r="L420" s="10" t="s">
        <v>1137</v>
      </c>
      <c r="M420" s="18" t="s">
        <v>461</v>
      </c>
    </row>
    <row r="421" spans="2:13" ht="15.9" customHeight="1" x14ac:dyDescent="0.3">
      <c r="B421" s="17" t="s">
        <v>363</v>
      </c>
      <c r="C421" s="11">
        <v>11</v>
      </c>
      <c r="D421" s="12" t="s">
        <v>1137</v>
      </c>
      <c r="E421" s="12">
        <v>32141851</v>
      </c>
      <c r="F421" s="50" t="s">
        <v>2352</v>
      </c>
      <c r="G421" s="146" t="s">
        <v>1053</v>
      </c>
      <c r="H421" s="60">
        <v>32132236</v>
      </c>
      <c r="I421" s="10" t="s">
        <v>1154</v>
      </c>
      <c r="J421" s="143" t="s">
        <v>1155</v>
      </c>
      <c r="K421" s="12">
        <v>12</v>
      </c>
      <c r="L421" s="10" t="s">
        <v>1137</v>
      </c>
      <c r="M421" s="18" t="s">
        <v>1077</v>
      </c>
    </row>
    <row r="422" spans="2:13" ht="15.9" customHeight="1" x14ac:dyDescent="0.3">
      <c r="B422" s="17" t="s">
        <v>363</v>
      </c>
      <c r="C422" s="11">
        <v>11</v>
      </c>
      <c r="D422" s="12" t="s">
        <v>1137</v>
      </c>
      <c r="E422" s="12">
        <v>32141851</v>
      </c>
      <c r="F422" s="50" t="s">
        <v>2352</v>
      </c>
      <c r="G422" s="146" t="s">
        <v>1053</v>
      </c>
      <c r="H422" s="60">
        <v>32044522</v>
      </c>
      <c r="I422" s="10" t="s">
        <v>1140</v>
      </c>
      <c r="J422" s="154" t="s">
        <v>1141</v>
      </c>
      <c r="K422" s="12">
        <v>12</v>
      </c>
      <c r="L422" s="10" t="s">
        <v>1137</v>
      </c>
      <c r="M422" s="18" t="s">
        <v>1056</v>
      </c>
    </row>
    <row r="423" spans="2:13" ht="15.9" customHeight="1" x14ac:dyDescent="0.3">
      <c r="B423" s="17" t="s">
        <v>363</v>
      </c>
      <c r="C423" s="11">
        <v>11</v>
      </c>
      <c r="D423" s="12" t="s">
        <v>1137</v>
      </c>
      <c r="E423" s="12">
        <v>32141851</v>
      </c>
      <c r="F423" s="50" t="s">
        <v>2352</v>
      </c>
      <c r="G423" s="146" t="s">
        <v>1053</v>
      </c>
      <c r="H423" s="60">
        <v>32132181</v>
      </c>
      <c r="I423" s="10" t="s">
        <v>1152</v>
      </c>
      <c r="J423" s="6" t="s">
        <v>1153</v>
      </c>
      <c r="K423" s="12">
        <v>12</v>
      </c>
      <c r="L423" s="10" t="s">
        <v>1137</v>
      </c>
      <c r="M423" s="18" t="s">
        <v>447</v>
      </c>
    </row>
    <row r="424" spans="2:13" ht="15.9" customHeight="1" x14ac:dyDescent="0.3">
      <c r="B424" s="17" t="s">
        <v>363</v>
      </c>
      <c r="C424" s="11">
        <v>11</v>
      </c>
      <c r="D424" s="12" t="s">
        <v>1137</v>
      </c>
      <c r="E424" s="12">
        <v>32141851</v>
      </c>
      <c r="F424" s="50" t="s">
        <v>2352</v>
      </c>
      <c r="G424" s="146" t="s">
        <v>1053</v>
      </c>
      <c r="H424" s="60">
        <v>32044641</v>
      </c>
      <c r="I424" s="10" t="s">
        <v>1142</v>
      </c>
      <c r="J424" s="6" t="s">
        <v>1143</v>
      </c>
      <c r="K424" s="12">
        <v>12</v>
      </c>
      <c r="L424" s="10" t="s">
        <v>1137</v>
      </c>
      <c r="M424" s="18" t="s">
        <v>711</v>
      </c>
    </row>
    <row r="425" spans="2:13" ht="15.9" customHeight="1" x14ac:dyDescent="0.3">
      <c r="B425" s="17" t="s">
        <v>363</v>
      </c>
      <c r="C425" s="11">
        <v>11</v>
      </c>
      <c r="D425" s="12" t="s">
        <v>1137</v>
      </c>
      <c r="E425" s="12">
        <v>32141851</v>
      </c>
      <c r="F425" s="50" t="s">
        <v>2352</v>
      </c>
      <c r="G425" s="146" t="s">
        <v>1053</v>
      </c>
      <c r="H425" s="60">
        <v>32057057</v>
      </c>
      <c r="I425" s="10" t="s">
        <v>1146</v>
      </c>
      <c r="J425" s="6" t="s">
        <v>1147</v>
      </c>
      <c r="K425" s="12">
        <v>12</v>
      </c>
      <c r="L425" s="10" t="s">
        <v>1137</v>
      </c>
      <c r="M425" s="18" t="s">
        <v>1069</v>
      </c>
    </row>
    <row r="426" spans="2:13" ht="15.9" customHeight="1" x14ac:dyDescent="0.3">
      <c r="B426" s="17" t="s">
        <v>363</v>
      </c>
      <c r="C426" s="11">
        <v>11</v>
      </c>
      <c r="D426" s="12" t="s">
        <v>1137</v>
      </c>
      <c r="E426" s="12">
        <v>32141851</v>
      </c>
      <c r="F426" s="50" t="s">
        <v>2352</v>
      </c>
      <c r="G426" s="146" t="s">
        <v>1053</v>
      </c>
      <c r="H426" s="60">
        <v>32044656</v>
      </c>
      <c r="I426" s="10" t="s">
        <v>2413</v>
      </c>
      <c r="J426" s="6" t="s">
        <v>2683</v>
      </c>
      <c r="K426" s="12">
        <v>12</v>
      </c>
      <c r="L426" s="10" t="s">
        <v>1137</v>
      </c>
      <c r="M426" s="18" t="s">
        <v>564</v>
      </c>
    </row>
    <row r="427" spans="2:13" ht="15.9" customHeight="1" x14ac:dyDescent="0.3">
      <c r="B427" s="17" t="s">
        <v>2127</v>
      </c>
      <c r="C427" s="11" t="s">
        <v>2284</v>
      </c>
      <c r="D427" s="12" t="s">
        <v>2285</v>
      </c>
      <c r="E427" s="112">
        <v>32044913</v>
      </c>
      <c r="F427" s="165" t="s">
        <v>2286</v>
      </c>
      <c r="G427" s="146" t="s">
        <v>2684</v>
      </c>
      <c r="H427" s="70">
        <v>32046050</v>
      </c>
      <c r="I427" s="28" t="s">
        <v>2294</v>
      </c>
      <c r="J427" s="6" t="s">
        <v>2685</v>
      </c>
      <c r="K427" s="12">
        <v>14</v>
      </c>
      <c r="L427" s="12" t="s">
        <v>2285</v>
      </c>
      <c r="M427" s="47" t="s">
        <v>47</v>
      </c>
    </row>
    <row r="428" spans="2:13" ht="15.9" customHeight="1" x14ac:dyDescent="0.3">
      <c r="B428" s="17" t="s">
        <v>2127</v>
      </c>
      <c r="C428" s="11" t="s">
        <v>2284</v>
      </c>
      <c r="D428" s="12" t="s">
        <v>2285</v>
      </c>
      <c r="E428" s="114">
        <v>32044913</v>
      </c>
      <c r="F428" s="162" t="s">
        <v>2286</v>
      </c>
      <c r="G428" s="153" t="s">
        <v>2684</v>
      </c>
      <c r="H428" s="70">
        <v>32045883</v>
      </c>
      <c r="I428" s="28" t="s">
        <v>2291</v>
      </c>
      <c r="J428" s="154" t="s">
        <v>2686</v>
      </c>
      <c r="K428" s="12">
        <v>14</v>
      </c>
      <c r="L428" s="12" t="s">
        <v>2285</v>
      </c>
      <c r="M428" s="47" t="s">
        <v>41</v>
      </c>
    </row>
    <row r="429" spans="2:13" ht="15.9" customHeight="1" x14ac:dyDescent="0.3">
      <c r="B429" s="17" t="s">
        <v>2127</v>
      </c>
      <c r="C429" s="11" t="s">
        <v>2284</v>
      </c>
      <c r="D429" s="12" t="s">
        <v>2285</v>
      </c>
      <c r="E429" s="114">
        <v>32044913</v>
      </c>
      <c r="F429" s="162" t="s">
        <v>2286</v>
      </c>
      <c r="G429" s="146" t="s">
        <v>2684</v>
      </c>
      <c r="H429" s="70">
        <v>32044685</v>
      </c>
      <c r="I429" s="28" t="s">
        <v>2289</v>
      </c>
      <c r="J429" s="6" t="s">
        <v>2687</v>
      </c>
      <c r="K429" s="12">
        <v>14</v>
      </c>
      <c r="L429" s="12" t="s">
        <v>2285</v>
      </c>
      <c r="M429" s="47" t="s">
        <v>481</v>
      </c>
    </row>
    <row r="430" spans="2:13" ht="15.9" customHeight="1" x14ac:dyDescent="0.3">
      <c r="B430" s="17" t="s">
        <v>2127</v>
      </c>
      <c r="C430" s="11" t="s">
        <v>2284</v>
      </c>
      <c r="D430" s="12" t="s">
        <v>2285</v>
      </c>
      <c r="E430" s="94">
        <v>32044913</v>
      </c>
      <c r="F430" s="166" t="s">
        <v>2286</v>
      </c>
      <c r="G430" s="146" t="s">
        <v>2684</v>
      </c>
      <c r="H430" s="70">
        <v>32045842</v>
      </c>
      <c r="I430" s="28" t="s">
        <v>2414</v>
      </c>
      <c r="J430" s="143" t="s">
        <v>61</v>
      </c>
      <c r="K430" s="12">
        <v>14</v>
      </c>
      <c r="L430" s="12" t="s">
        <v>2285</v>
      </c>
      <c r="M430" s="47" t="s">
        <v>35</v>
      </c>
    </row>
    <row r="431" spans="2:13" ht="15.9" customHeight="1" x14ac:dyDescent="0.3">
      <c r="B431" s="17" t="s">
        <v>2127</v>
      </c>
      <c r="C431" s="11" t="s">
        <v>2284</v>
      </c>
      <c r="D431" s="12" t="s">
        <v>2285</v>
      </c>
      <c r="E431" s="114">
        <v>32044913</v>
      </c>
      <c r="F431" s="162" t="s">
        <v>2286</v>
      </c>
      <c r="G431" s="146" t="s">
        <v>2684</v>
      </c>
      <c r="H431" s="70">
        <v>32146676</v>
      </c>
      <c r="I431" s="28" t="s">
        <v>2415</v>
      </c>
      <c r="J431" s="6" t="s">
        <v>2688</v>
      </c>
      <c r="K431" s="12">
        <v>14</v>
      </c>
      <c r="L431" s="12" t="s">
        <v>2285</v>
      </c>
      <c r="M431" s="47" t="s">
        <v>179</v>
      </c>
    </row>
    <row r="432" spans="2:13" ht="15.9" customHeight="1" x14ac:dyDescent="0.3">
      <c r="B432" s="17" t="s">
        <v>2127</v>
      </c>
      <c r="C432" s="11" t="s">
        <v>2284</v>
      </c>
      <c r="D432" s="12" t="s">
        <v>2285</v>
      </c>
      <c r="E432" s="94">
        <v>32044913</v>
      </c>
      <c r="F432" s="166" t="s">
        <v>2286</v>
      </c>
      <c r="G432" s="153" t="s">
        <v>2689</v>
      </c>
      <c r="H432" s="70">
        <v>32044248</v>
      </c>
      <c r="I432" s="28" t="s">
        <v>2287</v>
      </c>
      <c r="J432" s="28" t="s">
        <v>61</v>
      </c>
      <c r="K432" s="12">
        <v>14</v>
      </c>
      <c r="L432" s="12" t="s">
        <v>2285</v>
      </c>
      <c r="M432" s="47" t="s">
        <v>719</v>
      </c>
    </row>
    <row r="433" spans="2:13" ht="15.9" customHeight="1" x14ac:dyDescent="0.3">
      <c r="B433" s="17" t="s">
        <v>2127</v>
      </c>
      <c r="C433" s="11" t="s">
        <v>2284</v>
      </c>
      <c r="D433" s="12" t="s">
        <v>2285</v>
      </c>
      <c r="E433" s="94">
        <v>32044913</v>
      </c>
      <c r="F433" s="166" t="s">
        <v>2286</v>
      </c>
      <c r="G433" s="146" t="s">
        <v>2689</v>
      </c>
      <c r="H433" s="70">
        <v>32044677</v>
      </c>
      <c r="I433" s="28" t="s">
        <v>2295</v>
      </c>
      <c r="J433" s="6" t="s">
        <v>2690</v>
      </c>
      <c r="K433" s="12">
        <v>14</v>
      </c>
      <c r="L433" s="12" t="s">
        <v>2285</v>
      </c>
      <c r="M433" s="47" t="s">
        <v>44</v>
      </c>
    </row>
    <row r="434" spans="2:13" ht="15.9" customHeight="1" x14ac:dyDescent="0.3">
      <c r="B434" s="17" t="s">
        <v>2127</v>
      </c>
      <c r="C434" s="11" t="s">
        <v>2284</v>
      </c>
      <c r="D434" s="12" t="s">
        <v>2285</v>
      </c>
      <c r="E434" s="112">
        <v>32044913</v>
      </c>
      <c r="F434" s="165" t="s">
        <v>2286</v>
      </c>
      <c r="G434" s="146" t="s">
        <v>2689</v>
      </c>
      <c r="H434" s="70">
        <v>32045217</v>
      </c>
      <c r="I434" s="28" t="s">
        <v>2290</v>
      </c>
      <c r="J434" s="6" t="s">
        <v>1547</v>
      </c>
      <c r="K434" s="12">
        <v>14</v>
      </c>
      <c r="L434" s="12" t="s">
        <v>2285</v>
      </c>
      <c r="M434" s="47" t="s">
        <v>2145</v>
      </c>
    </row>
    <row r="435" spans="2:13" ht="15.9" customHeight="1" x14ac:dyDescent="0.3">
      <c r="B435" s="17" t="s">
        <v>2127</v>
      </c>
      <c r="C435" s="11" t="s">
        <v>2284</v>
      </c>
      <c r="D435" s="12" t="s">
        <v>2285</v>
      </c>
      <c r="E435" s="94">
        <v>32044913</v>
      </c>
      <c r="F435" s="166" t="s">
        <v>2286</v>
      </c>
      <c r="G435" s="146" t="s">
        <v>2689</v>
      </c>
      <c r="H435" s="70">
        <v>32044925</v>
      </c>
      <c r="I435" s="28" t="s">
        <v>2293</v>
      </c>
      <c r="J435" s="6" t="s">
        <v>2691</v>
      </c>
      <c r="K435" s="12">
        <v>14</v>
      </c>
      <c r="L435" s="12" t="s">
        <v>2285</v>
      </c>
      <c r="M435" s="47" t="s">
        <v>779</v>
      </c>
    </row>
    <row r="436" spans="2:13" ht="15.9" customHeight="1" x14ac:dyDescent="0.3">
      <c r="B436" s="17" t="s">
        <v>2127</v>
      </c>
      <c r="C436" s="11" t="s">
        <v>2284</v>
      </c>
      <c r="D436" s="12" t="s">
        <v>2285</v>
      </c>
      <c r="E436" s="94">
        <v>32044913</v>
      </c>
      <c r="F436" s="166" t="s">
        <v>2286</v>
      </c>
      <c r="G436" s="146" t="s">
        <v>2689</v>
      </c>
      <c r="H436" s="70">
        <v>32044491</v>
      </c>
      <c r="I436" s="28" t="s">
        <v>2288</v>
      </c>
      <c r="J436" s="154" t="s">
        <v>2692</v>
      </c>
      <c r="K436" s="12">
        <v>14</v>
      </c>
      <c r="L436" s="12" t="s">
        <v>2285</v>
      </c>
      <c r="M436" s="47" t="s">
        <v>511</v>
      </c>
    </row>
    <row r="437" spans="2:13" ht="15.9" customHeight="1" x14ac:dyDescent="0.3">
      <c r="B437" s="17" t="s">
        <v>2127</v>
      </c>
      <c r="C437" s="11" t="s">
        <v>2284</v>
      </c>
      <c r="D437" s="12" t="s">
        <v>2285</v>
      </c>
      <c r="E437" s="94">
        <v>32044913</v>
      </c>
      <c r="F437" s="166" t="s">
        <v>2286</v>
      </c>
      <c r="G437" s="146" t="s">
        <v>2689</v>
      </c>
      <c r="H437" s="70">
        <v>32146283</v>
      </c>
      <c r="I437" s="28" t="s">
        <v>2416</v>
      </c>
      <c r="J437" s="143" t="s">
        <v>61</v>
      </c>
      <c r="K437" s="12">
        <v>14</v>
      </c>
      <c r="L437" s="12" t="s">
        <v>2285</v>
      </c>
      <c r="M437" s="47" t="s">
        <v>1</v>
      </c>
    </row>
    <row r="438" spans="2:13" ht="15.9" customHeight="1" x14ac:dyDescent="0.3">
      <c r="B438" s="17" t="s">
        <v>2127</v>
      </c>
      <c r="C438" s="11" t="s">
        <v>2284</v>
      </c>
      <c r="D438" s="12" t="s">
        <v>2285</v>
      </c>
      <c r="E438" s="112">
        <v>32044913</v>
      </c>
      <c r="F438" s="165" t="s">
        <v>2286</v>
      </c>
      <c r="G438" s="146" t="s">
        <v>2689</v>
      </c>
      <c r="H438" s="70">
        <v>32046677</v>
      </c>
      <c r="I438" s="28" t="s">
        <v>2157</v>
      </c>
      <c r="J438" s="6" t="s">
        <v>2693</v>
      </c>
      <c r="K438" s="12">
        <v>14</v>
      </c>
      <c r="L438" s="12" t="s">
        <v>2285</v>
      </c>
      <c r="M438" s="47" t="s">
        <v>511</v>
      </c>
    </row>
    <row r="439" spans="2:13" ht="15.9" customHeight="1" x14ac:dyDescent="0.3">
      <c r="B439" s="17" t="s">
        <v>2127</v>
      </c>
      <c r="C439" s="11" t="s">
        <v>2284</v>
      </c>
      <c r="D439" s="12" t="s">
        <v>2285</v>
      </c>
      <c r="E439" s="112">
        <v>32044913</v>
      </c>
      <c r="F439" s="165" t="s">
        <v>2286</v>
      </c>
      <c r="G439" s="146" t="s">
        <v>2689</v>
      </c>
      <c r="H439" s="70">
        <v>32043986</v>
      </c>
      <c r="I439" s="28" t="s">
        <v>2296</v>
      </c>
      <c r="J439" s="6" t="s">
        <v>2694</v>
      </c>
      <c r="K439" s="12">
        <v>14</v>
      </c>
      <c r="L439" s="12" t="s">
        <v>2285</v>
      </c>
      <c r="M439" s="47" t="s">
        <v>2145</v>
      </c>
    </row>
    <row r="440" spans="2:13" ht="15.9" customHeight="1" x14ac:dyDescent="0.3">
      <c r="B440" s="17" t="s">
        <v>2127</v>
      </c>
      <c r="C440" s="11" t="s">
        <v>2284</v>
      </c>
      <c r="D440" s="12" t="s">
        <v>2285</v>
      </c>
      <c r="E440" s="112">
        <v>32044913</v>
      </c>
      <c r="F440" s="165" t="s">
        <v>2286</v>
      </c>
      <c r="G440" s="146" t="s">
        <v>2689</v>
      </c>
      <c r="H440" s="70">
        <v>32044063</v>
      </c>
      <c r="I440" s="28" t="s">
        <v>2292</v>
      </c>
      <c r="J440" s="6" t="s">
        <v>2695</v>
      </c>
      <c r="K440" s="12">
        <v>14</v>
      </c>
      <c r="L440" s="12" t="s">
        <v>2285</v>
      </c>
      <c r="M440" s="47" t="s">
        <v>461</v>
      </c>
    </row>
    <row r="441" spans="2:13" ht="15.9" customHeight="1" x14ac:dyDescent="0.3">
      <c r="B441" s="17" t="s">
        <v>363</v>
      </c>
      <c r="C441" s="11" t="s">
        <v>1416</v>
      </c>
      <c r="D441" s="12" t="s">
        <v>1417</v>
      </c>
      <c r="E441" s="26">
        <v>32168008</v>
      </c>
      <c r="F441" s="69" t="s">
        <v>1418</v>
      </c>
      <c r="G441" s="146" t="s">
        <v>411</v>
      </c>
      <c r="H441" s="60">
        <v>32061471</v>
      </c>
      <c r="I441" s="10" t="s">
        <v>1421</v>
      </c>
      <c r="J441" s="6" t="s">
        <v>1422</v>
      </c>
      <c r="K441" s="12">
        <v>7</v>
      </c>
      <c r="L441" s="10" t="s">
        <v>1417</v>
      </c>
      <c r="M441" s="18" t="s">
        <v>384</v>
      </c>
    </row>
    <row r="442" spans="2:13" ht="15.9" customHeight="1" x14ac:dyDescent="0.3">
      <c r="B442" s="17" t="s">
        <v>363</v>
      </c>
      <c r="C442" s="11" t="s">
        <v>1416</v>
      </c>
      <c r="D442" s="12" t="s">
        <v>1417</v>
      </c>
      <c r="E442" s="26">
        <v>32168008</v>
      </c>
      <c r="F442" s="69" t="s">
        <v>1418</v>
      </c>
      <c r="G442" s="146" t="s">
        <v>411</v>
      </c>
      <c r="H442" s="60">
        <v>32136711</v>
      </c>
      <c r="I442" s="10" t="s">
        <v>2417</v>
      </c>
      <c r="J442" s="6" t="s">
        <v>2696</v>
      </c>
      <c r="K442" s="12">
        <v>7</v>
      </c>
      <c r="L442" s="10" t="s">
        <v>1417</v>
      </c>
      <c r="M442" s="18" t="s">
        <v>381</v>
      </c>
    </row>
    <row r="443" spans="2:13" ht="15.9" customHeight="1" x14ac:dyDescent="0.3">
      <c r="B443" s="17" t="s">
        <v>363</v>
      </c>
      <c r="C443" s="11" t="s">
        <v>1416</v>
      </c>
      <c r="D443" s="12" t="s">
        <v>1417</v>
      </c>
      <c r="E443" s="26">
        <v>32168008</v>
      </c>
      <c r="F443" s="69" t="s">
        <v>1418</v>
      </c>
      <c r="G443" s="146" t="s">
        <v>411</v>
      </c>
      <c r="H443" s="60">
        <v>32060912</v>
      </c>
      <c r="I443" s="10" t="s">
        <v>1423</v>
      </c>
      <c r="J443" s="6" t="s">
        <v>1424</v>
      </c>
      <c r="K443" s="12">
        <v>7</v>
      </c>
      <c r="L443" s="10" t="s">
        <v>1417</v>
      </c>
      <c r="M443" s="18" t="s">
        <v>372</v>
      </c>
    </row>
    <row r="444" spans="2:13" ht="15.9" customHeight="1" x14ac:dyDescent="0.3">
      <c r="B444" s="11" t="s">
        <v>363</v>
      </c>
      <c r="C444" s="11" t="s">
        <v>1416</v>
      </c>
      <c r="D444" s="12" t="s">
        <v>1417</v>
      </c>
      <c r="E444" s="26">
        <v>32168008</v>
      </c>
      <c r="F444" s="69" t="s">
        <v>1418</v>
      </c>
      <c r="G444" s="146" t="s">
        <v>411</v>
      </c>
      <c r="H444" s="60">
        <v>32197846</v>
      </c>
      <c r="I444" s="10" t="s">
        <v>1425</v>
      </c>
      <c r="J444" s="80" t="s">
        <v>61</v>
      </c>
      <c r="K444" s="12">
        <v>7</v>
      </c>
      <c r="L444" s="10" t="s">
        <v>1417</v>
      </c>
      <c r="M444" s="18" t="s">
        <v>1426</v>
      </c>
    </row>
    <row r="445" spans="2:13" ht="15.9" customHeight="1" x14ac:dyDescent="0.3">
      <c r="B445" s="11" t="s">
        <v>363</v>
      </c>
      <c r="C445" s="11" t="s">
        <v>1416</v>
      </c>
      <c r="D445" s="12" t="s">
        <v>1417</v>
      </c>
      <c r="E445" s="128">
        <v>32168008</v>
      </c>
      <c r="F445" s="137" t="s">
        <v>1418</v>
      </c>
      <c r="G445" s="146" t="s">
        <v>411</v>
      </c>
      <c r="H445" s="60">
        <v>32197891</v>
      </c>
      <c r="I445" s="10" t="s">
        <v>412</v>
      </c>
      <c r="J445" s="154" t="s">
        <v>413</v>
      </c>
      <c r="K445" s="12">
        <v>7</v>
      </c>
      <c r="L445" s="10" t="s">
        <v>1417</v>
      </c>
      <c r="M445" s="18" t="s">
        <v>378</v>
      </c>
    </row>
    <row r="446" spans="2:13" ht="15.9" customHeight="1" x14ac:dyDescent="0.3">
      <c r="B446" s="17" t="s">
        <v>363</v>
      </c>
      <c r="C446" s="11" t="s">
        <v>1416</v>
      </c>
      <c r="D446" s="12" t="s">
        <v>1417</v>
      </c>
      <c r="E446" s="26">
        <v>32168008</v>
      </c>
      <c r="F446" s="69" t="s">
        <v>1418</v>
      </c>
      <c r="G446" s="146" t="s">
        <v>411</v>
      </c>
      <c r="H446" s="60">
        <v>32067355</v>
      </c>
      <c r="I446" s="10" t="s">
        <v>1427</v>
      </c>
      <c r="J446" s="6" t="s">
        <v>1428</v>
      </c>
      <c r="K446" s="12">
        <v>7</v>
      </c>
      <c r="L446" s="10" t="s">
        <v>1417</v>
      </c>
      <c r="M446" s="18" t="s">
        <v>369</v>
      </c>
    </row>
    <row r="447" spans="2:13" ht="15.9" customHeight="1" x14ac:dyDescent="0.3">
      <c r="B447" s="17" t="s">
        <v>363</v>
      </c>
      <c r="C447" s="11" t="s">
        <v>1416</v>
      </c>
      <c r="D447" s="12" t="s">
        <v>1417</v>
      </c>
      <c r="E447" s="118">
        <v>32168008</v>
      </c>
      <c r="F447" s="132" t="s">
        <v>1418</v>
      </c>
      <c r="G447" s="146" t="s">
        <v>411</v>
      </c>
      <c r="H447" s="60">
        <v>32044535</v>
      </c>
      <c r="I447" s="10" t="s">
        <v>1429</v>
      </c>
      <c r="J447" s="6" t="s">
        <v>1430</v>
      </c>
      <c r="K447" s="12">
        <v>7</v>
      </c>
      <c r="L447" s="10" t="s">
        <v>1417</v>
      </c>
      <c r="M447" s="18" t="s">
        <v>375</v>
      </c>
    </row>
    <row r="448" spans="2:13" ht="15.9" customHeight="1" x14ac:dyDescent="0.3">
      <c r="B448" s="17" t="s">
        <v>1</v>
      </c>
      <c r="C448" s="11" t="s">
        <v>2014</v>
      </c>
      <c r="D448" s="10" t="s">
        <v>12</v>
      </c>
      <c r="E448" s="12">
        <v>32198463</v>
      </c>
      <c r="F448" s="50" t="s">
        <v>2354</v>
      </c>
      <c r="G448" s="153" t="s">
        <v>2697</v>
      </c>
      <c r="H448" s="60">
        <v>32045610</v>
      </c>
      <c r="I448" s="10" t="s">
        <v>2015</v>
      </c>
      <c r="J448" s="6" t="s">
        <v>2016</v>
      </c>
      <c r="K448" s="12">
        <v>7</v>
      </c>
      <c r="L448" s="10" t="s">
        <v>12</v>
      </c>
      <c r="M448" s="18" t="s">
        <v>470</v>
      </c>
    </row>
    <row r="449" spans="2:13" ht="15.9" customHeight="1" x14ac:dyDescent="0.3">
      <c r="B449" s="17" t="s">
        <v>1</v>
      </c>
      <c r="C449" s="11" t="s">
        <v>2014</v>
      </c>
      <c r="D449" s="10" t="s">
        <v>12</v>
      </c>
      <c r="E449" s="113">
        <v>32198463</v>
      </c>
      <c r="F449" s="129" t="s">
        <v>2354</v>
      </c>
      <c r="G449" s="146" t="s">
        <v>2697</v>
      </c>
      <c r="H449" s="60">
        <v>32044773</v>
      </c>
      <c r="I449" s="10" t="s">
        <v>2418</v>
      </c>
      <c r="J449" s="6" t="s">
        <v>2018</v>
      </c>
      <c r="K449" s="12">
        <v>7</v>
      </c>
      <c r="L449" s="10" t="s">
        <v>12</v>
      </c>
      <c r="M449" s="18" t="s">
        <v>467</v>
      </c>
    </row>
    <row r="450" spans="2:13" ht="15.9" customHeight="1" x14ac:dyDescent="0.3">
      <c r="B450" s="17" t="s">
        <v>1</v>
      </c>
      <c r="C450" s="11" t="s">
        <v>2014</v>
      </c>
      <c r="D450" s="10" t="s">
        <v>12</v>
      </c>
      <c r="E450" s="113">
        <v>32198463</v>
      </c>
      <c r="F450" s="129" t="s">
        <v>2354</v>
      </c>
      <c r="G450" s="146" t="s">
        <v>2697</v>
      </c>
      <c r="H450" s="60">
        <v>32045120</v>
      </c>
      <c r="I450" s="10" t="s">
        <v>2019</v>
      </c>
      <c r="J450" s="6" t="s">
        <v>2020</v>
      </c>
      <c r="K450" s="12">
        <v>7</v>
      </c>
      <c r="L450" s="10" t="s">
        <v>12</v>
      </c>
      <c r="M450" s="18" t="s">
        <v>447</v>
      </c>
    </row>
    <row r="451" spans="2:13" ht="15.9" customHeight="1" x14ac:dyDescent="0.3">
      <c r="B451" s="17" t="s">
        <v>1</v>
      </c>
      <c r="C451" s="11" t="s">
        <v>2014</v>
      </c>
      <c r="D451" s="10" t="s">
        <v>12</v>
      </c>
      <c r="E451" s="113">
        <v>32198463</v>
      </c>
      <c r="F451" s="129" t="s">
        <v>2354</v>
      </c>
      <c r="G451" s="146" t="s">
        <v>2697</v>
      </c>
      <c r="H451" s="60">
        <v>32045931</v>
      </c>
      <c r="I451" s="10" t="s">
        <v>2022</v>
      </c>
      <c r="J451" s="6" t="s">
        <v>2023</v>
      </c>
      <c r="K451" s="12">
        <v>7</v>
      </c>
      <c r="L451" s="10" t="s">
        <v>12</v>
      </c>
      <c r="M451" s="18" t="s">
        <v>2013</v>
      </c>
    </row>
    <row r="452" spans="2:13" ht="15.9" customHeight="1" x14ac:dyDescent="0.3">
      <c r="B452" s="17" t="s">
        <v>1</v>
      </c>
      <c r="C452" s="11" t="s">
        <v>2014</v>
      </c>
      <c r="D452" s="10" t="s">
        <v>12</v>
      </c>
      <c r="E452" s="12">
        <v>32198463</v>
      </c>
      <c r="F452" s="50" t="s">
        <v>2354</v>
      </c>
      <c r="G452" s="146" t="s">
        <v>2697</v>
      </c>
      <c r="H452" s="60">
        <v>32044445</v>
      </c>
      <c r="I452" s="10" t="s">
        <v>2025</v>
      </c>
      <c r="J452" s="6" t="s">
        <v>2026</v>
      </c>
      <c r="K452" s="12">
        <v>7</v>
      </c>
      <c r="L452" s="10" t="s">
        <v>12</v>
      </c>
      <c r="M452" s="18" t="s">
        <v>473</v>
      </c>
    </row>
    <row r="453" spans="2:13" ht="15.9" customHeight="1" x14ac:dyDescent="0.3">
      <c r="B453" s="17" t="s">
        <v>1</v>
      </c>
      <c r="C453" s="11" t="s">
        <v>2014</v>
      </c>
      <c r="D453" s="10" t="s">
        <v>12</v>
      </c>
      <c r="E453" s="12">
        <v>32198463</v>
      </c>
      <c r="F453" s="50" t="s">
        <v>2354</v>
      </c>
      <c r="G453" s="146" t="s">
        <v>2697</v>
      </c>
      <c r="H453" s="206">
        <v>32202308</v>
      </c>
      <c r="I453" s="10" t="s">
        <v>2419</v>
      </c>
      <c r="J453" s="80"/>
      <c r="K453" s="12">
        <v>7</v>
      </c>
      <c r="L453" s="10" t="s">
        <v>12</v>
      </c>
      <c r="M453" s="18" t="s">
        <v>453</v>
      </c>
    </row>
    <row r="454" spans="2:13" ht="15.9" customHeight="1" x14ac:dyDescent="0.3">
      <c r="B454" s="17" t="s">
        <v>1</v>
      </c>
      <c r="C454" s="11" t="s">
        <v>2014</v>
      </c>
      <c r="D454" s="10" t="s">
        <v>12</v>
      </c>
      <c r="E454" s="12">
        <v>32198463</v>
      </c>
      <c r="F454" s="50" t="s">
        <v>2354</v>
      </c>
      <c r="G454" s="146" t="s">
        <v>2697</v>
      </c>
      <c r="H454" s="60">
        <v>32045070</v>
      </c>
      <c r="I454" s="10" t="s">
        <v>2027</v>
      </c>
      <c r="J454" s="143" t="s">
        <v>2028</v>
      </c>
      <c r="K454" s="12">
        <v>7</v>
      </c>
      <c r="L454" s="10" t="s">
        <v>12</v>
      </c>
      <c r="M454" s="18" t="s">
        <v>765</v>
      </c>
    </row>
    <row r="455" spans="2:13" ht="15.9" customHeight="1" x14ac:dyDescent="0.3">
      <c r="B455" s="17" t="s">
        <v>363</v>
      </c>
      <c r="C455" s="11">
        <v>11</v>
      </c>
      <c r="D455" s="12" t="s">
        <v>1156</v>
      </c>
      <c r="E455" s="94">
        <v>32096563</v>
      </c>
      <c r="F455" s="166" t="s">
        <v>1094</v>
      </c>
      <c r="G455" s="147" t="s">
        <v>1097</v>
      </c>
      <c r="H455" s="60">
        <v>32155922</v>
      </c>
      <c r="I455" s="10" t="s">
        <v>1167</v>
      </c>
      <c r="J455" s="6" t="s">
        <v>1168</v>
      </c>
      <c r="K455" s="12">
        <v>7</v>
      </c>
      <c r="L455" s="10" t="s">
        <v>1156</v>
      </c>
      <c r="M455" s="18" t="s">
        <v>447</v>
      </c>
    </row>
    <row r="456" spans="2:13" ht="15.9" customHeight="1" x14ac:dyDescent="0.3">
      <c r="B456" s="17" t="s">
        <v>363</v>
      </c>
      <c r="C456" s="11">
        <v>11</v>
      </c>
      <c r="D456" s="12" t="s">
        <v>1156</v>
      </c>
      <c r="E456" s="94">
        <v>32096563</v>
      </c>
      <c r="F456" s="166" t="s">
        <v>1094</v>
      </c>
      <c r="G456" s="146" t="s">
        <v>1097</v>
      </c>
      <c r="H456" s="60">
        <v>32044973</v>
      </c>
      <c r="I456" s="10" t="s">
        <v>1159</v>
      </c>
      <c r="J456" s="6" t="s">
        <v>1160</v>
      </c>
      <c r="K456" s="12">
        <v>7</v>
      </c>
      <c r="L456" s="10" t="s">
        <v>1156</v>
      </c>
      <c r="M456" s="18" t="s">
        <v>481</v>
      </c>
    </row>
    <row r="457" spans="2:13" ht="15.9" customHeight="1" x14ac:dyDescent="0.3">
      <c r="B457" s="17" t="s">
        <v>363</v>
      </c>
      <c r="C457" s="11">
        <v>11</v>
      </c>
      <c r="D457" s="12" t="s">
        <v>1156</v>
      </c>
      <c r="E457" s="94">
        <v>32096563</v>
      </c>
      <c r="F457" s="166" t="s">
        <v>1094</v>
      </c>
      <c r="G457" s="150" t="s">
        <v>1097</v>
      </c>
      <c r="H457" s="60">
        <v>32044327</v>
      </c>
      <c r="I457" s="10" t="s">
        <v>1157</v>
      </c>
      <c r="J457" s="6" t="s">
        <v>1158</v>
      </c>
      <c r="K457" s="12">
        <v>7</v>
      </c>
      <c r="L457" s="10" t="s">
        <v>1156</v>
      </c>
      <c r="M457" s="18" t="s">
        <v>1069</v>
      </c>
    </row>
    <row r="458" spans="2:13" ht="15.9" customHeight="1" x14ac:dyDescent="0.3">
      <c r="B458" s="19" t="s">
        <v>363</v>
      </c>
      <c r="C458" s="20">
        <v>11</v>
      </c>
      <c r="D458" s="21" t="s">
        <v>1156</v>
      </c>
      <c r="E458" s="112">
        <v>32096563</v>
      </c>
      <c r="F458" s="167" t="s">
        <v>1094</v>
      </c>
      <c r="G458" s="146" t="s">
        <v>1097</v>
      </c>
      <c r="H458" s="61">
        <v>32045611</v>
      </c>
      <c r="I458" s="24" t="s">
        <v>1163</v>
      </c>
      <c r="J458" s="143" t="s">
        <v>1164</v>
      </c>
      <c r="K458" s="21">
        <v>7</v>
      </c>
      <c r="L458" s="24" t="s">
        <v>1156</v>
      </c>
      <c r="M458" s="25" t="s">
        <v>511</v>
      </c>
    </row>
    <row r="459" spans="2:13" ht="15.9" customHeight="1" x14ac:dyDescent="0.3">
      <c r="B459" s="19" t="s">
        <v>363</v>
      </c>
      <c r="C459" s="20">
        <v>11</v>
      </c>
      <c r="D459" s="21" t="s">
        <v>1156</v>
      </c>
      <c r="E459" s="94">
        <v>32096563</v>
      </c>
      <c r="F459" s="166" t="s">
        <v>1094</v>
      </c>
      <c r="G459" s="146" t="s">
        <v>1097</v>
      </c>
      <c r="H459" s="61">
        <v>32045813</v>
      </c>
      <c r="I459" s="24" t="s">
        <v>1165</v>
      </c>
      <c r="J459" s="6" t="s">
        <v>1166</v>
      </c>
      <c r="K459" s="21">
        <v>7</v>
      </c>
      <c r="L459" s="24" t="s">
        <v>1156</v>
      </c>
      <c r="M459" s="25" t="s">
        <v>453</v>
      </c>
    </row>
    <row r="460" spans="2:13" ht="15.9" customHeight="1" x14ac:dyDescent="0.3">
      <c r="B460" s="19" t="s">
        <v>363</v>
      </c>
      <c r="C460" s="11">
        <v>11</v>
      </c>
      <c r="D460" s="12" t="s">
        <v>1156</v>
      </c>
      <c r="E460" s="116">
        <v>32096563</v>
      </c>
      <c r="F460" s="167" t="s">
        <v>1094</v>
      </c>
      <c r="G460" s="146" t="s">
        <v>1097</v>
      </c>
      <c r="H460" s="60">
        <v>32067346</v>
      </c>
      <c r="I460" s="10" t="s">
        <v>2420</v>
      </c>
      <c r="J460" s="6" t="s">
        <v>2698</v>
      </c>
      <c r="K460" s="12">
        <v>7</v>
      </c>
      <c r="L460" s="10" t="s">
        <v>1156</v>
      </c>
      <c r="M460" s="18" t="s">
        <v>711</v>
      </c>
    </row>
    <row r="461" spans="2:13" ht="15.9" customHeight="1" x14ac:dyDescent="0.3">
      <c r="B461" s="19" t="s">
        <v>363</v>
      </c>
      <c r="C461" s="11">
        <v>11</v>
      </c>
      <c r="D461" s="12" t="s">
        <v>1156</v>
      </c>
      <c r="E461" s="94">
        <v>32096563</v>
      </c>
      <c r="F461" s="166" t="s">
        <v>1094</v>
      </c>
      <c r="G461" s="146" t="s">
        <v>1097</v>
      </c>
      <c r="H461" s="60">
        <v>32045145</v>
      </c>
      <c r="I461" s="10" t="s">
        <v>1161</v>
      </c>
      <c r="J461" s="6" t="s">
        <v>1162</v>
      </c>
      <c r="K461" s="12">
        <v>7</v>
      </c>
      <c r="L461" s="10" t="s">
        <v>1156</v>
      </c>
      <c r="M461" s="18" t="s">
        <v>1077</v>
      </c>
    </row>
    <row r="462" spans="2:13" ht="15.9" customHeight="1" x14ac:dyDescent="0.3">
      <c r="B462" s="19" t="s">
        <v>363</v>
      </c>
      <c r="C462" s="11">
        <v>5</v>
      </c>
      <c r="D462" s="12" t="s">
        <v>677</v>
      </c>
      <c r="E462" s="21">
        <v>32148105</v>
      </c>
      <c r="F462" s="52" t="s">
        <v>515</v>
      </c>
      <c r="G462" s="146" t="s">
        <v>520</v>
      </c>
      <c r="H462" s="60">
        <v>32139709</v>
      </c>
      <c r="I462" s="10" t="s">
        <v>698</v>
      </c>
      <c r="J462" s="6" t="s">
        <v>699</v>
      </c>
      <c r="K462" s="12">
        <v>12</v>
      </c>
      <c r="L462" s="10" t="s">
        <v>677</v>
      </c>
      <c r="M462" s="18" t="s">
        <v>593</v>
      </c>
    </row>
    <row r="463" spans="2:13" ht="15.9" customHeight="1" x14ac:dyDescent="0.3">
      <c r="B463" s="19" t="s">
        <v>363</v>
      </c>
      <c r="C463" s="11">
        <v>5</v>
      </c>
      <c r="D463" s="12" t="s">
        <v>677</v>
      </c>
      <c r="E463" s="21">
        <v>32148105</v>
      </c>
      <c r="F463" s="52" t="s">
        <v>515</v>
      </c>
      <c r="G463" s="147" t="s">
        <v>520</v>
      </c>
      <c r="H463" s="60">
        <v>32046178</v>
      </c>
      <c r="I463" s="10" t="s">
        <v>691</v>
      </c>
      <c r="J463" s="154" t="s">
        <v>692</v>
      </c>
      <c r="K463" s="12">
        <v>14</v>
      </c>
      <c r="L463" s="12" t="s">
        <v>677</v>
      </c>
      <c r="M463" s="18" t="s">
        <v>693</v>
      </c>
    </row>
    <row r="464" spans="2:13" ht="15.9" customHeight="1" x14ac:dyDescent="0.3">
      <c r="B464" s="11" t="s">
        <v>363</v>
      </c>
      <c r="C464" s="11">
        <v>5</v>
      </c>
      <c r="D464" s="18" t="s">
        <v>677</v>
      </c>
      <c r="E464" s="51">
        <v>32148105</v>
      </c>
      <c r="F464" s="98" t="s">
        <v>515</v>
      </c>
      <c r="G464" s="146" t="s">
        <v>520</v>
      </c>
      <c r="H464" s="60">
        <v>32046143</v>
      </c>
      <c r="I464" s="10" t="s">
        <v>689</v>
      </c>
      <c r="J464" s="6" t="s">
        <v>690</v>
      </c>
      <c r="K464" s="12">
        <v>12</v>
      </c>
      <c r="L464" s="10" t="s">
        <v>677</v>
      </c>
      <c r="M464" s="18" t="s">
        <v>581</v>
      </c>
    </row>
    <row r="465" spans="2:13" ht="15.9" customHeight="1" x14ac:dyDescent="0.3">
      <c r="B465" s="19" t="s">
        <v>363</v>
      </c>
      <c r="C465" s="11">
        <v>5</v>
      </c>
      <c r="D465" s="18" t="s">
        <v>677</v>
      </c>
      <c r="E465" s="51">
        <v>32148105</v>
      </c>
      <c r="F465" s="98" t="s">
        <v>515</v>
      </c>
      <c r="G465" s="150" t="s">
        <v>520</v>
      </c>
      <c r="H465" s="60">
        <v>32132022</v>
      </c>
      <c r="I465" s="10" t="s">
        <v>696</v>
      </c>
      <c r="J465" s="6" t="s">
        <v>697</v>
      </c>
      <c r="K465" s="12">
        <v>12</v>
      </c>
      <c r="L465" s="10" t="s">
        <v>677</v>
      </c>
      <c r="M465" s="18" t="s">
        <v>599</v>
      </c>
    </row>
    <row r="466" spans="2:13" ht="15.9" customHeight="1" x14ac:dyDescent="0.3">
      <c r="B466" s="19" t="s">
        <v>363</v>
      </c>
      <c r="C466" s="11">
        <v>5</v>
      </c>
      <c r="D466" s="18" t="s">
        <v>677</v>
      </c>
      <c r="E466" s="51">
        <v>32148105</v>
      </c>
      <c r="F466" s="98" t="s">
        <v>515</v>
      </c>
      <c r="G466" s="146" t="s">
        <v>520</v>
      </c>
      <c r="H466" s="60">
        <v>32145464</v>
      </c>
      <c r="I466" s="10" t="s">
        <v>700</v>
      </c>
      <c r="J466" s="154" t="s">
        <v>701</v>
      </c>
      <c r="K466" s="12">
        <v>12</v>
      </c>
      <c r="L466" s="10" t="s">
        <v>677</v>
      </c>
      <c r="M466" s="18" t="s">
        <v>578</v>
      </c>
    </row>
    <row r="467" spans="2:13" ht="15.9" customHeight="1" x14ac:dyDescent="0.3">
      <c r="B467" s="19" t="s">
        <v>363</v>
      </c>
      <c r="C467" s="11">
        <v>5</v>
      </c>
      <c r="D467" s="18" t="s">
        <v>677</v>
      </c>
      <c r="E467" s="51">
        <v>32148105</v>
      </c>
      <c r="F467" s="98" t="s">
        <v>515</v>
      </c>
      <c r="G467" s="147" t="s">
        <v>520</v>
      </c>
      <c r="H467" s="60">
        <v>32142781</v>
      </c>
      <c r="I467" s="10" t="s">
        <v>2421</v>
      </c>
      <c r="J467" s="6" t="s">
        <v>2699</v>
      </c>
      <c r="K467" s="12">
        <v>14</v>
      </c>
      <c r="L467" s="12" t="s">
        <v>677</v>
      </c>
      <c r="M467" s="18" t="s">
        <v>2700</v>
      </c>
    </row>
    <row r="468" spans="2:13" ht="15.9" customHeight="1" x14ac:dyDescent="0.3">
      <c r="B468" s="11" t="s">
        <v>363</v>
      </c>
      <c r="C468" s="11">
        <v>5</v>
      </c>
      <c r="D468" s="18" t="s">
        <v>677</v>
      </c>
      <c r="E468" s="51">
        <v>32148105</v>
      </c>
      <c r="F468" s="98" t="s">
        <v>515</v>
      </c>
      <c r="G468" s="146" t="s">
        <v>520</v>
      </c>
      <c r="H468" s="60">
        <v>32067738</v>
      </c>
      <c r="I468" s="10" t="s">
        <v>694</v>
      </c>
      <c r="J468" s="6" t="s">
        <v>695</v>
      </c>
      <c r="K468" s="12">
        <v>12</v>
      </c>
      <c r="L468" s="10" t="s">
        <v>677</v>
      </c>
      <c r="M468" s="18" t="s">
        <v>623</v>
      </c>
    </row>
    <row r="469" spans="2:13" ht="15.9" customHeight="1" x14ac:dyDescent="0.3">
      <c r="B469" s="11" t="s">
        <v>363</v>
      </c>
      <c r="C469" s="11">
        <v>5</v>
      </c>
      <c r="D469" s="18" t="s">
        <v>677</v>
      </c>
      <c r="E469" s="51">
        <v>32148105</v>
      </c>
      <c r="F469" s="98" t="s">
        <v>515</v>
      </c>
      <c r="G469" s="150" t="s">
        <v>520</v>
      </c>
      <c r="H469" s="60">
        <v>32045652</v>
      </c>
      <c r="I469" s="10" t="s">
        <v>687</v>
      </c>
      <c r="J469" s="6" t="s">
        <v>688</v>
      </c>
      <c r="K469" s="12">
        <v>12</v>
      </c>
      <c r="L469" s="10" t="s">
        <v>677</v>
      </c>
      <c r="M469" s="18" t="s">
        <v>456</v>
      </c>
    </row>
    <row r="470" spans="2:13" ht="15.9" customHeight="1" x14ac:dyDescent="0.3">
      <c r="B470" s="19" t="s">
        <v>363</v>
      </c>
      <c r="C470" s="11">
        <v>5</v>
      </c>
      <c r="D470" s="12" t="s">
        <v>677</v>
      </c>
      <c r="E470" s="38">
        <v>32148105</v>
      </c>
      <c r="F470" s="50" t="s">
        <v>515</v>
      </c>
      <c r="G470" s="150" t="s">
        <v>520</v>
      </c>
      <c r="H470" s="60">
        <v>32198273</v>
      </c>
      <c r="I470" s="10" t="s">
        <v>706</v>
      </c>
      <c r="J470" s="6" t="s">
        <v>707</v>
      </c>
      <c r="K470" s="12">
        <v>12</v>
      </c>
      <c r="L470" s="10" t="s">
        <v>677</v>
      </c>
      <c r="M470" s="18" t="s">
        <v>590</v>
      </c>
    </row>
    <row r="471" spans="2:13" ht="15.9" customHeight="1" x14ac:dyDescent="0.3">
      <c r="B471" s="19" t="s">
        <v>363</v>
      </c>
      <c r="C471" s="11">
        <v>5</v>
      </c>
      <c r="D471" s="12" t="s">
        <v>677</v>
      </c>
      <c r="E471" s="12">
        <v>32148105</v>
      </c>
      <c r="F471" s="50" t="s">
        <v>515</v>
      </c>
      <c r="G471" s="146" t="s">
        <v>520</v>
      </c>
      <c r="H471" s="60">
        <v>32150519</v>
      </c>
      <c r="I471" s="10" t="s">
        <v>702</v>
      </c>
      <c r="J471" s="6" t="s">
        <v>703</v>
      </c>
      <c r="K471" s="12">
        <v>12</v>
      </c>
      <c r="L471" s="10" t="s">
        <v>677</v>
      </c>
      <c r="M471" s="18" t="s">
        <v>571</v>
      </c>
    </row>
    <row r="472" spans="2:13" ht="15.9" customHeight="1" x14ac:dyDescent="0.3">
      <c r="B472" s="19" t="s">
        <v>363</v>
      </c>
      <c r="C472" s="11">
        <v>5</v>
      </c>
      <c r="D472" s="12" t="s">
        <v>677</v>
      </c>
      <c r="E472" s="12">
        <v>32148105</v>
      </c>
      <c r="F472" s="50" t="s">
        <v>515</v>
      </c>
      <c r="G472" s="146" t="s">
        <v>520</v>
      </c>
      <c r="H472" s="60">
        <v>32045397</v>
      </c>
      <c r="I472" s="10" t="s">
        <v>685</v>
      </c>
      <c r="J472" s="6" t="s">
        <v>686</v>
      </c>
      <c r="K472" s="12">
        <v>12</v>
      </c>
      <c r="L472" s="10" t="s">
        <v>677</v>
      </c>
      <c r="M472" s="18" t="s">
        <v>519</v>
      </c>
    </row>
    <row r="473" spans="2:13" ht="15.9" customHeight="1" x14ac:dyDescent="0.3">
      <c r="B473" s="19" t="s">
        <v>363</v>
      </c>
      <c r="C473" s="11">
        <v>5</v>
      </c>
      <c r="D473" s="12" t="s">
        <v>677</v>
      </c>
      <c r="E473" s="51">
        <v>32148105</v>
      </c>
      <c r="F473" s="98" t="s">
        <v>515</v>
      </c>
      <c r="G473" s="146" t="s">
        <v>520</v>
      </c>
      <c r="H473" s="60">
        <v>32044307</v>
      </c>
      <c r="I473" s="10" t="s">
        <v>680</v>
      </c>
      <c r="J473" s="28" t="s">
        <v>681</v>
      </c>
      <c r="K473" s="12">
        <v>12</v>
      </c>
      <c r="L473" s="10" t="s">
        <v>677</v>
      </c>
      <c r="M473" s="18" t="s">
        <v>596</v>
      </c>
    </row>
    <row r="474" spans="2:13" ht="15.9" customHeight="1" x14ac:dyDescent="0.3">
      <c r="B474" s="19" t="s">
        <v>363</v>
      </c>
      <c r="C474" s="11">
        <v>5</v>
      </c>
      <c r="D474" s="12" t="s">
        <v>677</v>
      </c>
      <c r="E474" s="51">
        <v>32148105</v>
      </c>
      <c r="F474" s="98" t="s">
        <v>515</v>
      </c>
      <c r="G474" s="146" t="s">
        <v>520</v>
      </c>
      <c r="H474" s="60">
        <v>32142777</v>
      </c>
      <c r="I474" s="10" t="s">
        <v>664</v>
      </c>
      <c r="J474" s="6" t="s">
        <v>665</v>
      </c>
      <c r="K474" s="12">
        <v>15</v>
      </c>
      <c r="L474" s="12" t="s">
        <v>677</v>
      </c>
      <c r="M474" s="18" t="s">
        <v>666</v>
      </c>
    </row>
    <row r="475" spans="2:13" ht="15.9" customHeight="1" x14ac:dyDescent="0.3">
      <c r="B475" s="19" t="s">
        <v>363</v>
      </c>
      <c r="C475" s="11">
        <v>5</v>
      </c>
      <c r="D475" s="12" t="s">
        <v>677</v>
      </c>
      <c r="E475" s="51">
        <v>32148105</v>
      </c>
      <c r="F475" s="98" t="s">
        <v>515</v>
      </c>
      <c r="G475" s="146" t="s">
        <v>520</v>
      </c>
      <c r="H475" s="60">
        <v>32044086</v>
      </c>
      <c r="I475" s="10" t="s">
        <v>678</v>
      </c>
      <c r="J475" s="6" t="s">
        <v>679</v>
      </c>
      <c r="K475" s="12">
        <v>12</v>
      </c>
      <c r="L475" s="10" t="s">
        <v>677</v>
      </c>
      <c r="M475" s="18" t="s">
        <v>547</v>
      </c>
    </row>
    <row r="476" spans="2:13" ht="15.9" customHeight="1" x14ac:dyDescent="0.3">
      <c r="B476" s="19" t="s">
        <v>363</v>
      </c>
      <c r="C476" s="11">
        <v>3</v>
      </c>
      <c r="D476" s="12" t="s">
        <v>494</v>
      </c>
      <c r="E476" s="51">
        <v>32149965</v>
      </c>
      <c r="F476" s="98" t="s">
        <v>495</v>
      </c>
      <c r="G476" s="146" t="s">
        <v>496</v>
      </c>
      <c r="H476" s="60">
        <v>32043938</v>
      </c>
      <c r="I476" s="10" t="s">
        <v>497</v>
      </c>
      <c r="J476" s="143" t="s">
        <v>498</v>
      </c>
      <c r="K476" s="12">
        <v>9</v>
      </c>
      <c r="L476" s="10" t="s">
        <v>494</v>
      </c>
      <c r="M476" s="18" t="s">
        <v>499</v>
      </c>
    </row>
    <row r="477" spans="2:13" ht="15.9" customHeight="1" x14ac:dyDescent="0.3">
      <c r="B477" s="19" t="s">
        <v>363</v>
      </c>
      <c r="C477" s="11">
        <v>3</v>
      </c>
      <c r="D477" s="12" t="s">
        <v>494</v>
      </c>
      <c r="E477" s="113">
        <v>32149965</v>
      </c>
      <c r="F477" s="129" t="s">
        <v>495</v>
      </c>
      <c r="G477" s="146" t="s">
        <v>496</v>
      </c>
      <c r="H477" s="60">
        <v>32198302</v>
      </c>
      <c r="I477" s="10" t="s">
        <v>500</v>
      </c>
      <c r="J477" s="6" t="s">
        <v>501</v>
      </c>
      <c r="K477" s="12">
        <v>9</v>
      </c>
      <c r="L477" s="10" t="s">
        <v>494</v>
      </c>
      <c r="M477" s="18" t="s">
        <v>464</v>
      </c>
    </row>
    <row r="478" spans="2:13" ht="15.9" customHeight="1" x14ac:dyDescent="0.3">
      <c r="B478" s="19" t="s">
        <v>363</v>
      </c>
      <c r="C478" s="11">
        <v>3</v>
      </c>
      <c r="D478" s="12" t="s">
        <v>494</v>
      </c>
      <c r="E478" s="113">
        <v>32149965</v>
      </c>
      <c r="F478" s="129" t="s">
        <v>495</v>
      </c>
      <c r="G478" s="146" t="s">
        <v>496</v>
      </c>
      <c r="H478" s="60">
        <v>32198296</v>
      </c>
      <c r="I478" s="10" t="s">
        <v>502</v>
      </c>
      <c r="J478" s="28" t="s">
        <v>503</v>
      </c>
      <c r="K478" s="12">
        <v>9</v>
      </c>
      <c r="L478" s="10" t="s">
        <v>494</v>
      </c>
      <c r="M478" s="18" t="s">
        <v>473</v>
      </c>
    </row>
    <row r="479" spans="2:13" ht="15.9" customHeight="1" x14ac:dyDescent="0.3">
      <c r="B479" s="19" t="s">
        <v>363</v>
      </c>
      <c r="C479" s="11">
        <v>3</v>
      </c>
      <c r="D479" s="12" t="s">
        <v>494</v>
      </c>
      <c r="E479" s="113">
        <v>32149965</v>
      </c>
      <c r="F479" s="129" t="s">
        <v>495</v>
      </c>
      <c r="G479" s="146" t="s">
        <v>496</v>
      </c>
      <c r="H479" s="60">
        <v>32198290</v>
      </c>
      <c r="I479" s="10" t="s">
        <v>504</v>
      </c>
      <c r="J479" s="6" t="s">
        <v>505</v>
      </c>
      <c r="K479" s="12">
        <v>9</v>
      </c>
      <c r="L479" s="10" t="s">
        <v>494</v>
      </c>
      <c r="M479" s="18" t="s">
        <v>470</v>
      </c>
    </row>
    <row r="480" spans="2:13" ht="15.9" customHeight="1" x14ac:dyDescent="0.3">
      <c r="B480" s="19" t="s">
        <v>363</v>
      </c>
      <c r="C480" s="11">
        <v>3</v>
      </c>
      <c r="D480" s="12" t="s">
        <v>494</v>
      </c>
      <c r="E480" s="51">
        <v>32149965</v>
      </c>
      <c r="F480" s="98" t="s">
        <v>495</v>
      </c>
      <c r="G480" s="146" t="s">
        <v>496</v>
      </c>
      <c r="H480" s="60">
        <v>32044283</v>
      </c>
      <c r="I480" s="10" t="s">
        <v>506</v>
      </c>
      <c r="J480" s="80" t="s">
        <v>61</v>
      </c>
      <c r="K480" s="12">
        <v>9</v>
      </c>
      <c r="L480" s="10" t="s">
        <v>494</v>
      </c>
      <c r="M480" s="18" t="s">
        <v>456</v>
      </c>
    </row>
    <row r="481" spans="2:13" ht="15.9" customHeight="1" x14ac:dyDescent="0.3">
      <c r="B481" s="19" t="s">
        <v>363</v>
      </c>
      <c r="C481" s="11">
        <v>3</v>
      </c>
      <c r="D481" s="12" t="s">
        <v>494</v>
      </c>
      <c r="E481" s="51">
        <v>32149965</v>
      </c>
      <c r="F481" s="98" t="s">
        <v>495</v>
      </c>
      <c r="G481" s="146" t="s">
        <v>496</v>
      </c>
      <c r="H481" s="60">
        <v>32045054</v>
      </c>
      <c r="I481" s="10" t="s">
        <v>507</v>
      </c>
      <c r="J481" s="143" t="s">
        <v>508</v>
      </c>
      <c r="K481" s="12">
        <v>9</v>
      </c>
      <c r="L481" s="10" t="s">
        <v>494</v>
      </c>
      <c r="M481" s="18" t="s">
        <v>453</v>
      </c>
    </row>
    <row r="482" spans="2:13" ht="15.9" customHeight="1" x14ac:dyDescent="0.3">
      <c r="B482" s="19" t="s">
        <v>363</v>
      </c>
      <c r="C482" s="11">
        <v>3</v>
      </c>
      <c r="D482" s="18" t="s">
        <v>494</v>
      </c>
      <c r="E482" s="51">
        <v>32149965</v>
      </c>
      <c r="F482" s="98" t="s">
        <v>495</v>
      </c>
      <c r="G482" s="146" t="s">
        <v>496</v>
      </c>
      <c r="H482" s="60">
        <v>32150512</v>
      </c>
      <c r="I482" s="10" t="s">
        <v>509</v>
      </c>
      <c r="J482" s="143" t="s">
        <v>510</v>
      </c>
      <c r="K482" s="12">
        <v>9</v>
      </c>
      <c r="L482" s="10" t="s">
        <v>494</v>
      </c>
      <c r="M482" s="18" t="s">
        <v>511</v>
      </c>
    </row>
    <row r="483" spans="2:13" ht="15.9" customHeight="1" x14ac:dyDescent="0.3">
      <c r="B483" s="19" t="s">
        <v>363</v>
      </c>
      <c r="C483" s="11">
        <v>3</v>
      </c>
      <c r="D483" s="18" t="s">
        <v>494</v>
      </c>
      <c r="E483" s="51">
        <v>32149965</v>
      </c>
      <c r="F483" s="98" t="s">
        <v>495</v>
      </c>
      <c r="G483" s="147" t="s">
        <v>496</v>
      </c>
      <c r="H483" s="60">
        <v>32044951</v>
      </c>
      <c r="I483" s="10" t="s">
        <v>512</v>
      </c>
      <c r="J483" s="143" t="s">
        <v>513</v>
      </c>
      <c r="K483" s="12">
        <v>9</v>
      </c>
      <c r="L483" s="10" t="s">
        <v>494</v>
      </c>
      <c r="M483" s="18" t="s">
        <v>447</v>
      </c>
    </row>
    <row r="484" spans="2:13" ht="15.9" customHeight="1" x14ac:dyDescent="0.3">
      <c r="B484" s="11" t="s">
        <v>363</v>
      </c>
      <c r="C484" s="11">
        <v>3</v>
      </c>
      <c r="D484" s="18" t="s">
        <v>494</v>
      </c>
      <c r="E484" s="51">
        <v>32149965</v>
      </c>
      <c r="F484" s="98" t="s">
        <v>495</v>
      </c>
      <c r="G484" s="146" t="s">
        <v>496</v>
      </c>
      <c r="H484" s="60">
        <v>32058348</v>
      </c>
      <c r="I484" s="10" t="s">
        <v>2422</v>
      </c>
      <c r="J484" s="80" t="s">
        <v>61</v>
      </c>
      <c r="K484" s="12">
        <v>9</v>
      </c>
      <c r="L484" s="10" t="s">
        <v>494</v>
      </c>
      <c r="M484" s="18" t="s">
        <v>481</v>
      </c>
    </row>
    <row r="485" spans="2:13" ht="15.9" customHeight="1" x14ac:dyDescent="0.3">
      <c r="B485" s="19" t="s">
        <v>28</v>
      </c>
      <c r="C485" s="11" t="s">
        <v>29</v>
      </c>
      <c r="D485" s="18" t="s">
        <v>30</v>
      </c>
      <c r="E485" s="64">
        <v>32146684</v>
      </c>
      <c r="F485" s="103" t="s">
        <v>31</v>
      </c>
      <c r="G485" s="150" t="s">
        <v>32</v>
      </c>
      <c r="H485" s="60">
        <v>32045134</v>
      </c>
      <c r="I485" s="10" t="s">
        <v>33</v>
      </c>
      <c r="J485" s="6" t="s">
        <v>34</v>
      </c>
      <c r="K485" s="12">
        <v>5</v>
      </c>
      <c r="L485" s="12" t="s">
        <v>30</v>
      </c>
      <c r="M485" s="18" t="s">
        <v>35</v>
      </c>
    </row>
    <row r="486" spans="2:13" ht="15.9" customHeight="1" x14ac:dyDescent="0.3">
      <c r="B486" s="19" t="s">
        <v>28</v>
      </c>
      <c r="C486" s="20" t="s">
        <v>29</v>
      </c>
      <c r="D486" s="18" t="s">
        <v>30</v>
      </c>
      <c r="E486" s="125">
        <v>32146684</v>
      </c>
      <c r="F486" s="136" t="s">
        <v>31</v>
      </c>
      <c r="G486" s="146" t="s">
        <v>32</v>
      </c>
      <c r="H486" s="61">
        <v>32149605</v>
      </c>
      <c r="I486" s="24" t="s">
        <v>36</v>
      </c>
      <c r="J486" s="6" t="s">
        <v>37</v>
      </c>
      <c r="K486" s="21">
        <v>5</v>
      </c>
      <c r="L486" s="21" t="s">
        <v>30</v>
      </c>
      <c r="M486" s="25" t="s">
        <v>38</v>
      </c>
    </row>
    <row r="487" spans="2:13" ht="15.9" customHeight="1" x14ac:dyDescent="0.3">
      <c r="B487" s="19" t="s">
        <v>28</v>
      </c>
      <c r="C487" s="11" t="s">
        <v>29</v>
      </c>
      <c r="D487" s="18" t="s">
        <v>30</v>
      </c>
      <c r="E487" s="64">
        <v>32146684</v>
      </c>
      <c r="F487" s="103" t="s">
        <v>31</v>
      </c>
      <c r="G487" s="153" t="s">
        <v>32</v>
      </c>
      <c r="H487" s="60">
        <v>32157221</v>
      </c>
      <c r="I487" s="10" t="s">
        <v>39</v>
      </c>
      <c r="J487" s="6" t="s">
        <v>40</v>
      </c>
      <c r="K487" s="12">
        <v>5</v>
      </c>
      <c r="L487" s="12" t="s">
        <v>30</v>
      </c>
      <c r="M487" s="18" t="s">
        <v>41</v>
      </c>
    </row>
    <row r="488" spans="2:13" ht="15.9" customHeight="1" x14ac:dyDescent="0.3">
      <c r="B488" s="19" t="s">
        <v>28</v>
      </c>
      <c r="C488" s="11" t="s">
        <v>29</v>
      </c>
      <c r="D488" s="18" t="s">
        <v>30</v>
      </c>
      <c r="E488" s="64">
        <v>32146684</v>
      </c>
      <c r="F488" s="103" t="s">
        <v>31</v>
      </c>
      <c r="G488" s="146" t="s">
        <v>32</v>
      </c>
      <c r="H488" s="60">
        <v>32045128</v>
      </c>
      <c r="I488" s="10" t="s">
        <v>42</v>
      </c>
      <c r="J488" s="6" t="s">
        <v>43</v>
      </c>
      <c r="K488" s="12">
        <v>5</v>
      </c>
      <c r="L488" s="12" t="s">
        <v>30</v>
      </c>
      <c r="M488" s="18" t="s">
        <v>44</v>
      </c>
    </row>
    <row r="489" spans="2:13" ht="15.9" customHeight="1" x14ac:dyDescent="0.3">
      <c r="B489" s="19" t="s">
        <v>28</v>
      </c>
      <c r="C489" s="11" t="s">
        <v>29</v>
      </c>
      <c r="D489" s="18" t="s">
        <v>30</v>
      </c>
      <c r="E489" s="64">
        <v>32146684</v>
      </c>
      <c r="F489" s="103" t="s">
        <v>31</v>
      </c>
      <c r="G489" s="146" t="s">
        <v>32</v>
      </c>
      <c r="H489" s="60">
        <v>32188009</v>
      </c>
      <c r="I489" s="10" t="s">
        <v>45</v>
      </c>
      <c r="J489" s="6" t="s">
        <v>46</v>
      </c>
      <c r="K489" s="12">
        <v>5</v>
      </c>
      <c r="L489" s="12" t="s">
        <v>30</v>
      </c>
      <c r="M489" s="18" t="s">
        <v>47</v>
      </c>
    </row>
    <row r="490" spans="2:13" ht="15.9" customHeight="1" x14ac:dyDescent="0.25">
      <c r="B490" s="19" t="s">
        <v>28</v>
      </c>
      <c r="C490" s="20" t="s">
        <v>48</v>
      </c>
      <c r="D490" s="25" t="s">
        <v>49</v>
      </c>
      <c r="E490" s="94">
        <v>32186665</v>
      </c>
      <c r="F490" s="166" t="s">
        <v>50</v>
      </c>
      <c r="G490" s="152" t="s">
        <v>51</v>
      </c>
      <c r="H490" s="61">
        <v>32222224</v>
      </c>
      <c r="I490" s="24" t="s">
        <v>52</v>
      </c>
      <c r="J490" s="6" t="s">
        <v>53</v>
      </c>
      <c r="K490" s="21">
        <v>7</v>
      </c>
      <c r="L490" s="21" t="s">
        <v>49</v>
      </c>
      <c r="M490" s="25" t="s">
        <v>41</v>
      </c>
    </row>
    <row r="491" spans="2:13" ht="15.9" customHeight="1" x14ac:dyDescent="0.25">
      <c r="B491" s="19" t="s">
        <v>28</v>
      </c>
      <c r="C491" s="11" t="s">
        <v>48</v>
      </c>
      <c r="D491" s="18" t="s">
        <v>49</v>
      </c>
      <c r="E491" s="94">
        <v>32186665</v>
      </c>
      <c r="F491" s="166" t="s">
        <v>50</v>
      </c>
      <c r="G491" s="152" t="s">
        <v>51</v>
      </c>
      <c r="H491" s="60">
        <v>32149238</v>
      </c>
      <c r="I491" s="10" t="s">
        <v>54</v>
      </c>
      <c r="J491" s="6" t="s">
        <v>55</v>
      </c>
      <c r="K491" s="12">
        <v>7</v>
      </c>
      <c r="L491" s="12" t="s">
        <v>49</v>
      </c>
      <c r="M491" s="18" t="s">
        <v>56</v>
      </c>
    </row>
    <row r="492" spans="2:13" ht="15.9" customHeight="1" x14ac:dyDescent="0.25">
      <c r="B492" s="19" t="s">
        <v>28</v>
      </c>
      <c r="C492" s="11" t="s">
        <v>48</v>
      </c>
      <c r="D492" s="18" t="s">
        <v>49</v>
      </c>
      <c r="E492" s="114">
        <v>32186665</v>
      </c>
      <c r="F492" s="162" t="s">
        <v>50</v>
      </c>
      <c r="G492" s="152" t="s">
        <v>51</v>
      </c>
      <c r="H492" s="60">
        <v>32209921</v>
      </c>
      <c r="I492" s="10" t="s">
        <v>57</v>
      </c>
      <c r="J492" s="6" t="s">
        <v>58</v>
      </c>
      <c r="K492" s="12">
        <v>7</v>
      </c>
      <c r="L492" s="12" t="s">
        <v>49</v>
      </c>
      <c r="M492" s="18" t="s">
        <v>38</v>
      </c>
    </row>
    <row r="493" spans="2:13" ht="15.9" customHeight="1" x14ac:dyDescent="0.3">
      <c r="B493" s="19" t="s">
        <v>28</v>
      </c>
      <c r="C493" s="11" t="s">
        <v>48</v>
      </c>
      <c r="D493" s="18" t="s">
        <v>49</v>
      </c>
      <c r="E493" s="114">
        <v>32186665</v>
      </c>
      <c r="F493" s="162" t="s">
        <v>50</v>
      </c>
      <c r="G493" s="146" t="s">
        <v>59</v>
      </c>
      <c r="H493" s="60">
        <v>32188117</v>
      </c>
      <c r="I493" s="10" t="s">
        <v>60</v>
      </c>
      <c r="J493" s="80" t="s">
        <v>61</v>
      </c>
      <c r="K493" s="12">
        <v>7</v>
      </c>
      <c r="L493" s="12" t="s">
        <v>49</v>
      </c>
      <c r="M493" s="18" t="s">
        <v>62</v>
      </c>
    </row>
    <row r="494" spans="2:13" ht="15.9" customHeight="1" x14ac:dyDescent="0.3">
      <c r="B494" s="19" t="s">
        <v>28</v>
      </c>
      <c r="C494" s="11" t="s">
        <v>48</v>
      </c>
      <c r="D494" s="18" t="s">
        <v>49</v>
      </c>
      <c r="E494" s="114">
        <v>32186665</v>
      </c>
      <c r="F494" s="162" t="s">
        <v>50</v>
      </c>
      <c r="G494" s="146" t="s">
        <v>59</v>
      </c>
      <c r="H494" s="60">
        <v>32197835</v>
      </c>
      <c r="I494" s="10" t="s">
        <v>63</v>
      </c>
      <c r="J494" s="6" t="s">
        <v>64</v>
      </c>
      <c r="K494" s="12">
        <v>7</v>
      </c>
      <c r="L494" s="12" t="s">
        <v>49</v>
      </c>
      <c r="M494" s="18" t="s">
        <v>35</v>
      </c>
    </row>
    <row r="495" spans="2:13" ht="15.9" customHeight="1" x14ac:dyDescent="0.3">
      <c r="B495" s="19" t="s">
        <v>28</v>
      </c>
      <c r="C495" s="11" t="s">
        <v>48</v>
      </c>
      <c r="D495" s="18" t="s">
        <v>49</v>
      </c>
      <c r="E495" s="114">
        <v>32186665</v>
      </c>
      <c r="F495" s="162" t="s">
        <v>50</v>
      </c>
      <c r="G495" s="146" t="s">
        <v>59</v>
      </c>
      <c r="H495" s="60">
        <v>32197833</v>
      </c>
      <c r="I495" s="10" t="s">
        <v>65</v>
      </c>
      <c r="J495" s="6" t="s">
        <v>66</v>
      </c>
      <c r="K495" s="12">
        <v>7</v>
      </c>
      <c r="L495" s="12" t="s">
        <v>49</v>
      </c>
      <c r="M495" s="18" t="s">
        <v>47</v>
      </c>
    </row>
    <row r="496" spans="2:13" ht="15.9" customHeight="1" x14ac:dyDescent="0.3">
      <c r="B496" s="19" t="s">
        <v>28</v>
      </c>
      <c r="C496" s="11" t="s">
        <v>29</v>
      </c>
      <c r="D496" s="18" t="s">
        <v>67</v>
      </c>
      <c r="E496" s="41">
        <v>32045174</v>
      </c>
      <c r="F496" s="101" t="s">
        <v>68</v>
      </c>
      <c r="G496" s="146" t="s">
        <v>69</v>
      </c>
      <c r="H496" s="60"/>
      <c r="I496" s="10" t="s">
        <v>70</v>
      </c>
      <c r="J496" s="6" t="s">
        <v>71</v>
      </c>
      <c r="K496" s="12">
        <v>7</v>
      </c>
      <c r="L496" s="12" t="s">
        <v>67</v>
      </c>
      <c r="M496" s="18" t="s">
        <v>72</v>
      </c>
    </row>
    <row r="497" spans="2:13" ht="15.9" customHeight="1" x14ac:dyDescent="0.3">
      <c r="B497" s="19" t="s">
        <v>28</v>
      </c>
      <c r="C497" s="11" t="s">
        <v>29</v>
      </c>
      <c r="D497" s="18" t="s">
        <v>67</v>
      </c>
      <c r="E497" s="41">
        <v>32045174</v>
      </c>
      <c r="F497" s="101" t="s">
        <v>68</v>
      </c>
      <c r="G497" s="146" t="s">
        <v>69</v>
      </c>
      <c r="H497" s="60">
        <v>32209922</v>
      </c>
      <c r="I497" s="10" t="s">
        <v>73</v>
      </c>
      <c r="J497" s="154" t="s">
        <v>74</v>
      </c>
      <c r="K497" s="12">
        <v>7</v>
      </c>
      <c r="L497" s="12" t="s">
        <v>67</v>
      </c>
      <c r="M497" s="18" t="s">
        <v>35</v>
      </c>
    </row>
    <row r="498" spans="2:13" ht="15.9" customHeight="1" x14ac:dyDescent="0.3">
      <c r="B498" s="19" t="s">
        <v>28</v>
      </c>
      <c r="C498" s="11" t="s">
        <v>29</v>
      </c>
      <c r="D498" s="18" t="s">
        <v>67</v>
      </c>
      <c r="E498" s="41">
        <v>32045174</v>
      </c>
      <c r="F498" s="101" t="s">
        <v>68</v>
      </c>
      <c r="G498" s="146" t="s">
        <v>69</v>
      </c>
      <c r="H498" s="60">
        <v>32173446</v>
      </c>
      <c r="I498" s="10" t="s">
        <v>75</v>
      </c>
      <c r="J498" s="6" t="s">
        <v>76</v>
      </c>
      <c r="K498" s="12">
        <v>7</v>
      </c>
      <c r="L498" s="12" t="s">
        <v>67</v>
      </c>
      <c r="M498" s="18" t="s">
        <v>47</v>
      </c>
    </row>
    <row r="499" spans="2:13" ht="15.9" customHeight="1" x14ac:dyDescent="0.3">
      <c r="B499" s="19" t="s">
        <v>28</v>
      </c>
      <c r="C499" s="20" t="s">
        <v>29</v>
      </c>
      <c r="D499" s="25" t="s">
        <v>67</v>
      </c>
      <c r="E499" s="41">
        <v>32045174</v>
      </c>
      <c r="F499" s="101" t="s">
        <v>68</v>
      </c>
      <c r="G499" s="146" t="s">
        <v>69</v>
      </c>
      <c r="H499" s="61">
        <v>32149607</v>
      </c>
      <c r="I499" s="24" t="s">
        <v>77</v>
      </c>
      <c r="J499" s="6" t="s">
        <v>78</v>
      </c>
      <c r="K499" s="21">
        <v>7</v>
      </c>
      <c r="L499" s="21" t="s">
        <v>67</v>
      </c>
      <c r="M499" s="25" t="s">
        <v>44</v>
      </c>
    </row>
    <row r="500" spans="2:13" ht="15.9" customHeight="1" x14ac:dyDescent="0.3">
      <c r="B500" s="11" t="s">
        <v>28</v>
      </c>
      <c r="C500" s="11" t="s">
        <v>29</v>
      </c>
      <c r="D500" s="18" t="s">
        <v>67</v>
      </c>
      <c r="E500" s="41">
        <v>32045174</v>
      </c>
      <c r="F500" s="101" t="s">
        <v>68</v>
      </c>
      <c r="G500" s="146" t="s">
        <v>69</v>
      </c>
      <c r="H500" s="60">
        <v>32045076</v>
      </c>
      <c r="I500" s="10" t="s">
        <v>79</v>
      </c>
      <c r="J500" s="6" t="s">
        <v>80</v>
      </c>
      <c r="K500" s="21">
        <v>7</v>
      </c>
      <c r="L500" s="12" t="s">
        <v>67</v>
      </c>
      <c r="M500" s="18" t="s">
        <v>38</v>
      </c>
    </row>
    <row r="501" spans="2:13" ht="15.9" customHeight="1" x14ac:dyDescent="0.3">
      <c r="B501" s="19" t="s">
        <v>28</v>
      </c>
      <c r="C501" s="11" t="s">
        <v>29</v>
      </c>
      <c r="D501" s="18" t="s">
        <v>67</v>
      </c>
      <c r="E501" s="41">
        <v>32045174</v>
      </c>
      <c r="F501" s="101" t="s">
        <v>68</v>
      </c>
      <c r="G501" s="153" t="s">
        <v>69</v>
      </c>
      <c r="H501" s="60">
        <v>32222222</v>
      </c>
      <c r="I501" s="10" t="s">
        <v>81</v>
      </c>
      <c r="J501" s="6" t="s">
        <v>82</v>
      </c>
      <c r="K501" s="21">
        <v>7</v>
      </c>
      <c r="L501" s="12" t="s">
        <v>67</v>
      </c>
      <c r="M501" s="18" t="s">
        <v>41</v>
      </c>
    </row>
    <row r="502" spans="2:13" ht="15.9" customHeight="1" x14ac:dyDescent="0.3">
      <c r="B502" s="19" t="s">
        <v>363</v>
      </c>
      <c r="C502" s="11">
        <v>6</v>
      </c>
      <c r="D502" s="18" t="s">
        <v>743</v>
      </c>
      <c r="E502" s="51">
        <v>32045047</v>
      </c>
      <c r="F502" s="98" t="s">
        <v>2349</v>
      </c>
      <c r="G502" s="146" t="s">
        <v>745</v>
      </c>
      <c r="H502" s="60">
        <v>32131838</v>
      </c>
      <c r="I502" s="10" t="s">
        <v>761</v>
      </c>
      <c r="J502" s="6" t="s">
        <v>762</v>
      </c>
      <c r="K502" s="21">
        <v>14</v>
      </c>
      <c r="L502" s="10" t="s">
        <v>743</v>
      </c>
      <c r="M502" s="18" t="s">
        <v>447</v>
      </c>
    </row>
    <row r="503" spans="2:13" ht="15.9" customHeight="1" x14ac:dyDescent="0.3">
      <c r="B503" s="19" t="s">
        <v>363</v>
      </c>
      <c r="C503" s="11">
        <v>6</v>
      </c>
      <c r="D503" s="12" t="s">
        <v>743</v>
      </c>
      <c r="E503" s="38">
        <v>32045047</v>
      </c>
      <c r="F503" s="50" t="s">
        <v>2349</v>
      </c>
      <c r="G503" s="146" t="s">
        <v>745</v>
      </c>
      <c r="H503" s="60">
        <v>32188125</v>
      </c>
      <c r="I503" s="10" t="s">
        <v>777</v>
      </c>
      <c r="J503" s="6" t="s">
        <v>778</v>
      </c>
      <c r="K503" s="21">
        <v>14</v>
      </c>
      <c r="L503" s="10" t="s">
        <v>743</v>
      </c>
      <c r="M503" s="18" t="s">
        <v>779</v>
      </c>
    </row>
    <row r="504" spans="2:13" ht="15.9" customHeight="1" x14ac:dyDescent="0.3">
      <c r="B504" s="19" t="s">
        <v>363</v>
      </c>
      <c r="C504" s="11">
        <v>6</v>
      </c>
      <c r="D504" s="12" t="s">
        <v>743</v>
      </c>
      <c r="E504" s="12">
        <v>32045047</v>
      </c>
      <c r="F504" s="50" t="s">
        <v>2349</v>
      </c>
      <c r="G504" s="146" t="s">
        <v>745</v>
      </c>
      <c r="H504" s="60">
        <v>32045310</v>
      </c>
      <c r="I504" s="10" t="s">
        <v>746</v>
      </c>
      <c r="J504" s="6" t="s">
        <v>747</v>
      </c>
      <c r="K504" s="21">
        <v>14</v>
      </c>
      <c r="L504" s="10" t="s">
        <v>743</v>
      </c>
      <c r="M504" s="18" t="s">
        <v>666</v>
      </c>
    </row>
    <row r="505" spans="2:13" ht="15.9" customHeight="1" x14ac:dyDescent="0.3">
      <c r="B505" s="19" t="s">
        <v>363</v>
      </c>
      <c r="C505" s="11">
        <v>6</v>
      </c>
      <c r="D505" s="12" t="s">
        <v>743</v>
      </c>
      <c r="E505" s="113">
        <v>32045047</v>
      </c>
      <c r="F505" s="129" t="s">
        <v>2349</v>
      </c>
      <c r="G505" s="146" t="s">
        <v>745</v>
      </c>
      <c r="H505" s="60">
        <v>32143042</v>
      </c>
      <c r="I505" s="10" t="s">
        <v>770</v>
      </c>
      <c r="J505" s="6" t="s">
        <v>771</v>
      </c>
      <c r="K505" s="21">
        <v>14</v>
      </c>
      <c r="L505" s="10" t="s">
        <v>743</v>
      </c>
      <c r="M505" s="18" t="s">
        <v>705</v>
      </c>
    </row>
    <row r="506" spans="2:13" ht="15.9" customHeight="1" x14ac:dyDescent="0.3">
      <c r="B506" s="19" t="s">
        <v>363</v>
      </c>
      <c r="C506" s="20">
        <v>6</v>
      </c>
      <c r="D506" s="21" t="s">
        <v>743</v>
      </c>
      <c r="E506" s="12">
        <v>32045047</v>
      </c>
      <c r="F506" s="52" t="s">
        <v>2349</v>
      </c>
      <c r="G506" s="146" t="s">
        <v>745</v>
      </c>
      <c r="H506" s="61">
        <v>32148626</v>
      </c>
      <c r="I506" s="24" t="s">
        <v>773</v>
      </c>
      <c r="J506" s="156" t="s">
        <v>774</v>
      </c>
      <c r="K506" s="21">
        <v>14</v>
      </c>
      <c r="L506" s="24" t="s">
        <v>743</v>
      </c>
      <c r="M506" s="25" t="s">
        <v>719</v>
      </c>
    </row>
    <row r="507" spans="2:13" ht="15.9" customHeight="1" x14ac:dyDescent="0.3">
      <c r="B507" s="19" t="s">
        <v>363</v>
      </c>
      <c r="C507" s="20">
        <v>6</v>
      </c>
      <c r="D507" s="21" t="s">
        <v>743</v>
      </c>
      <c r="E507" s="12">
        <v>32045047</v>
      </c>
      <c r="F507" s="52" t="s">
        <v>2349</v>
      </c>
      <c r="G507" s="146" t="s">
        <v>745</v>
      </c>
      <c r="H507" s="61">
        <v>32142945</v>
      </c>
      <c r="I507" s="24" t="s">
        <v>768</v>
      </c>
      <c r="J507" s="6" t="s">
        <v>769</v>
      </c>
      <c r="K507" s="21">
        <v>14</v>
      </c>
      <c r="L507" s="24" t="s">
        <v>743</v>
      </c>
      <c r="M507" s="18" t="s">
        <v>456</v>
      </c>
    </row>
    <row r="508" spans="2:13" ht="15.9" customHeight="1" x14ac:dyDescent="0.3">
      <c r="B508" s="19" t="s">
        <v>363</v>
      </c>
      <c r="C508" s="11">
        <v>6</v>
      </c>
      <c r="D508" s="12" t="s">
        <v>743</v>
      </c>
      <c r="E508" s="12">
        <v>32045047</v>
      </c>
      <c r="F508" s="50" t="s">
        <v>2349</v>
      </c>
      <c r="G508" s="146" t="s">
        <v>745</v>
      </c>
      <c r="H508" s="60">
        <v>32101568</v>
      </c>
      <c r="I508" s="10" t="s">
        <v>759</v>
      </c>
      <c r="J508" s="143" t="s">
        <v>760</v>
      </c>
      <c r="K508" s="21">
        <v>14</v>
      </c>
      <c r="L508" s="10" t="s">
        <v>743</v>
      </c>
      <c r="M508" s="18" t="s">
        <v>481</v>
      </c>
    </row>
    <row r="509" spans="2:13" ht="15.9" customHeight="1" x14ac:dyDescent="0.3">
      <c r="B509" s="19" t="s">
        <v>363</v>
      </c>
      <c r="C509" s="11">
        <v>6</v>
      </c>
      <c r="D509" s="12" t="s">
        <v>743</v>
      </c>
      <c r="E509" s="113">
        <v>32045047</v>
      </c>
      <c r="F509" s="129" t="s">
        <v>2349</v>
      </c>
      <c r="G509" s="146" t="s">
        <v>745</v>
      </c>
      <c r="H509" s="60">
        <v>32070296</v>
      </c>
      <c r="I509" s="10" t="s">
        <v>756</v>
      </c>
      <c r="J509" s="6" t="s">
        <v>757</v>
      </c>
      <c r="K509" s="21">
        <v>14</v>
      </c>
      <c r="L509" s="10" t="s">
        <v>743</v>
      </c>
      <c r="M509" s="18" t="s">
        <v>758</v>
      </c>
    </row>
    <row r="510" spans="2:13" ht="15.9" customHeight="1" x14ac:dyDescent="0.3">
      <c r="B510" s="19" t="s">
        <v>363</v>
      </c>
      <c r="C510" s="11">
        <v>6</v>
      </c>
      <c r="D510" s="12" t="s">
        <v>743</v>
      </c>
      <c r="E510" s="12">
        <v>32045047</v>
      </c>
      <c r="F510" s="50" t="s">
        <v>2349</v>
      </c>
      <c r="G510" s="146" t="s">
        <v>745</v>
      </c>
      <c r="H510" s="60">
        <v>32186164</v>
      </c>
      <c r="I510" s="10" t="s">
        <v>775</v>
      </c>
      <c r="J510" s="80" t="s">
        <v>61</v>
      </c>
      <c r="K510" s="21">
        <v>14</v>
      </c>
      <c r="L510" s="10" t="s">
        <v>743</v>
      </c>
      <c r="M510" s="18" t="s">
        <v>776</v>
      </c>
    </row>
    <row r="511" spans="2:13" ht="15.9" customHeight="1" x14ac:dyDescent="0.3">
      <c r="B511" s="19" t="s">
        <v>363</v>
      </c>
      <c r="C511" s="11">
        <v>6</v>
      </c>
      <c r="D511" s="12" t="s">
        <v>743</v>
      </c>
      <c r="E511" s="12">
        <v>32045047</v>
      </c>
      <c r="F511" s="50" t="s">
        <v>2349</v>
      </c>
      <c r="G511" s="146" t="s">
        <v>745</v>
      </c>
      <c r="H511" s="60">
        <v>32143660</v>
      </c>
      <c r="I511" s="10" t="s">
        <v>2423</v>
      </c>
      <c r="J511" s="6" t="s">
        <v>61</v>
      </c>
      <c r="K511" s="21">
        <v>14</v>
      </c>
      <c r="L511" s="10" t="s">
        <v>743</v>
      </c>
      <c r="M511" s="18" t="s">
        <v>481</v>
      </c>
    </row>
    <row r="512" spans="2:13" ht="15.9" customHeight="1" x14ac:dyDescent="0.3">
      <c r="B512" s="19" t="s">
        <v>363</v>
      </c>
      <c r="C512" s="11">
        <v>6</v>
      </c>
      <c r="D512" s="12" t="s">
        <v>743</v>
      </c>
      <c r="E512" s="113">
        <v>32045047</v>
      </c>
      <c r="F512" s="129" t="s">
        <v>2349</v>
      </c>
      <c r="G512" s="146" t="s">
        <v>745</v>
      </c>
      <c r="H512" s="60">
        <v>32044320</v>
      </c>
      <c r="I512" s="10" t="s">
        <v>2424</v>
      </c>
      <c r="J512" s="6" t="s">
        <v>2701</v>
      </c>
      <c r="K512" s="21">
        <v>14</v>
      </c>
      <c r="L512" s="10" t="s">
        <v>743</v>
      </c>
      <c r="M512" s="18" t="s">
        <v>467</v>
      </c>
    </row>
    <row r="513" spans="2:13" ht="15.9" customHeight="1" x14ac:dyDescent="0.3">
      <c r="B513" s="19" t="s">
        <v>363</v>
      </c>
      <c r="C513" s="11">
        <v>6</v>
      </c>
      <c r="D513" s="12" t="s">
        <v>743</v>
      </c>
      <c r="E513" s="12">
        <v>32045047</v>
      </c>
      <c r="F513" s="50" t="s">
        <v>2349</v>
      </c>
      <c r="G513" s="146" t="s">
        <v>745</v>
      </c>
      <c r="H513" s="60">
        <v>32132230</v>
      </c>
      <c r="I513" s="10" t="s">
        <v>763</v>
      </c>
      <c r="J513" s="156" t="s">
        <v>764</v>
      </c>
      <c r="K513" s="21">
        <v>14</v>
      </c>
      <c r="L513" s="10" t="s">
        <v>743</v>
      </c>
      <c r="M513" s="18" t="s">
        <v>765</v>
      </c>
    </row>
    <row r="514" spans="2:13" ht="15.9" customHeight="1" x14ac:dyDescent="0.3">
      <c r="B514" s="19" t="s">
        <v>363</v>
      </c>
      <c r="C514" s="20">
        <v>6</v>
      </c>
      <c r="D514" s="21" t="s">
        <v>743</v>
      </c>
      <c r="E514" s="12">
        <v>32045047</v>
      </c>
      <c r="F514" s="50" t="s">
        <v>2349</v>
      </c>
      <c r="G514" s="146" t="s">
        <v>745</v>
      </c>
      <c r="H514" s="61">
        <v>32139711</v>
      </c>
      <c r="I514" s="46" t="s">
        <v>766</v>
      </c>
      <c r="J514" s="6" t="s">
        <v>767</v>
      </c>
      <c r="K514" s="21">
        <v>14</v>
      </c>
      <c r="L514" s="24" t="s">
        <v>743</v>
      </c>
      <c r="M514" s="18" t="s">
        <v>651</v>
      </c>
    </row>
    <row r="515" spans="2:13" ht="15.9" customHeight="1" x14ac:dyDescent="0.3">
      <c r="B515" s="185" t="s">
        <v>263</v>
      </c>
      <c r="C515" s="10"/>
      <c r="D515" s="26" t="s">
        <v>277</v>
      </c>
      <c r="E515" s="112">
        <v>32174889</v>
      </c>
      <c r="F515" s="165" t="s">
        <v>278</v>
      </c>
      <c r="G515" s="146" t="s">
        <v>279</v>
      </c>
      <c r="H515" s="72">
        <v>32197423</v>
      </c>
      <c r="I515" s="46" t="s">
        <v>280</v>
      </c>
      <c r="J515" s="6" t="s">
        <v>281</v>
      </c>
      <c r="K515" s="12">
        <v>7</v>
      </c>
      <c r="L515" s="26" t="s">
        <v>277</v>
      </c>
      <c r="M515" s="48" t="s">
        <v>179</v>
      </c>
    </row>
    <row r="516" spans="2:13" ht="15.9" customHeight="1" x14ac:dyDescent="0.3">
      <c r="B516" s="10" t="s">
        <v>263</v>
      </c>
      <c r="C516" s="10"/>
      <c r="D516" s="26" t="s">
        <v>277</v>
      </c>
      <c r="E516" s="112">
        <v>32174889</v>
      </c>
      <c r="F516" s="165" t="s">
        <v>278</v>
      </c>
      <c r="G516" s="146" t="s">
        <v>279</v>
      </c>
      <c r="H516" s="72">
        <v>32043796</v>
      </c>
      <c r="I516" s="46" t="s">
        <v>282</v>
      </c>
      <c r="J516" s="6" t="s">
        <v>283</v>
      </c>
      <c r="K516" s="12">
        <v>7</v>
      </c>
      <c r="L516" s="26" t="s">
        <v>277</v>
      </c>
      <c r="M516" s="18" t="s">
        <v>35</v>
      </c>
    </row>
    <row r="517" spans="2:13" ht="15.9" customHeight="1" x14ac:dyDescent="0.3">
      <c r="B517" s="185" t="s">
        <v>263</v>
      </c>
      <c r="C517" s="10"/>
      <c r="D517" s="26" t="s">
        <v>277</v>
      </c>
      <c r="E517" s="94">
        <v>32174889</v>
      </c>
      <c r="F517" s="166" t="s">
        <v>278</v>
      </c>
      <c r="G517" s="146" t="s">
        <v>279</v>
      </c>
      <c r="H517" s="72">
        <v>32148922</v>
      </c>
      <c r="I517" s="46" t="s">
        <v>284</v>
      </c>
      <c r="J517" s="157" t="s">
        <v>285</v>
      </c>
      <c r="K517" s="12">
        <v>7</v>
      </c>
      <c r="L517" s="26" t="s">
        <v>277</v>
      </c>
      <c r="M517" s="18" t="s">
        <v>41</v>
      </c>
    </row>
    <row r="518" spans="2:13" ht="15.9" customHeight="1" x14ac:dyDescent="0.3">
      <c r="B518" s="185" t="s">
        <v>263</v>
      </c>
      <c r="C518" s="10"/>
      <c r="D518" s="26" t="s">
        <v>277</v>
      </c>
      <c r="E518" s="94">
        <v>32174889</v>
      </c>
      <c r="F518" s="166" t="s">
        <v>278</v>
      </c>
      <c r="G518" s="146" t="s">
        <v>279</v>
      </c>
      <c r="H518" s="72">
        <v>32213336</v>
      </c>
      <c r="I518" s="46" t="s">
        <v>2425</v>
      </c>
      <c r="J518" s="80" t="s">
        <v>61</v>
      </c>
      <c r="K518" s="12">
        <v>7</v>
      </c>
      <c r="L518" s="26" t="s">
        <v>277</v>
      </c>
      <c r="M518" s="18" t="s">
        <v>56</v>
      </c>
    </row>
    <row r="519" spans="2:13" ht="15.9" customHeight="1" x14ac:dyDescent="0.3">
      <c r="B519" s="10" t="s">
        <v>263</v>
      </c>
      <c r="C519" s="10"/>
      <c r="D519" s="26" t="s">
        <v>277</v>
      </c>
      <c r="E519" s="95">
        <v>32174889</v>
      </c>
      <c r="F519" s="163" t="s">
        <v>278</v>
      </c>
      <c r="G519" s="146" t="s">
        <v>279</v>
      </c>
      <c r="H519" s="72">
        <v>32173445</v>
      </c>
      <c r="I519" s="10" t="s">
        <v>286</v>
      </c>
      <c r="J519" s="6" t="s">
        <v>287</v>
      </c>
      <c r="K519" s="12">
        <v>7</v>
      </c>
      <c r="L519" s="26" t="s">
        <v>277</v>
      </c>
      <c r="M519" s="18" t="s">
        <v>47</v>
      </c>
    </row>
    <row r="520" spans="2:13" ht="15.9" customHeight="1" x14ac:dyDescent="0.3">
      <c r="B520" s="185" t="s">
        <v>263</v>
      </c>
      <c r="C520" s="10"/>
      <c r="D520" s="26" t="s">
        <v>277</v>
      </c>
      <c r="E520" s="112">
        <v>32174889</v>
      </c>
      <c r="F520" s="165" t="s">
        <v>278</v>
      </c>
      <c r="G520" s="146" t="s">
        <v>279</v>
      </c>
      <c r="H520" s="72">
        <v>32150658</v>
      </c>
      <c r="I520" s="10" t="s">
        <v>2426</v>
      </c>
      <c r="J520" s="143" t="s">
        <v>2702</v>
      </c>
      <c r="K520" s="12">
        <v>7</v>
      </c>
      <c r="L520" s="26" t="s">
        <v>277</v>
      </c>
      <c r="M520" s="18" t="s">
        <v>44</v>
      </c>
    </row>
    <row r="521" spans="2:13" ht="15.9" customHeight="1" x14ac:dyDescent="0.3">
      <c r="B521" s="185" t="s">
        <v>263</v>
      </c>
      <c r="C521" s="24"/>
      <c r="D521" s="187" t="s">
        <v>277</v>
      </c>
      <c r="E521" s="112">
        <v>32174889</v>
      </c>
      <c r="F521" s="165" t="s">
        <v>278</v>
      </c>
      <c r="G521" s="146" t="s">
        <v>279</v>
      </c>
      <c r="H521" s="106">
        <v>32044838</v>
      </c>
      <c r="I521" s="10" t="s">
        <v>289</v>
      </c>
      <c r="J521" s="6" t="s">
        <v>290</v>
      </c>
      <c r="K521" s="12">
        <v>7</v>
      </c>
      <c r="L521" s="26" t="s">
        <v>277</v>
      </c>
      <c r="M521" s="25" t="s">
        <v>38</v>
      </c>
    </row>
    <row r="522" spans="2:13" ht="15.9" customHeight="1" x14ac:dyDescent="0.3">
      <c r="B522" s="19" t="s">
        <v>28</v>
      </c>
      <c r="C522" s="11" t="s">
        <v>83</v>
      </c>
      <c r="D522" s="21" t="s">
        <v>84</v>
      </c>
      <c r="E522" s="14">
        <v>32052981</v>
      </c>
      <c r="F522" s="67" t="s">
        <v>85</v>
      </c>
      <c r="G522" s="147" t="s">
        <v>86</v>
      </c>
      <c r="H522" s="60">
        <v>32144776</v>
      </c>
      <c r="I522" s="10" t="s">
        <v>87</v>
      </c>
      <c r="J522" s="6" t="s">
        <v>88</v>
      </c>
      <c r="K522" s="12">
        <v>6</v>
      </c>
      <c r="L522" s="12" t="s">
        <v>84</v>
      </c>
      <c r="M522" s="18" t="s">
        <v>41</v>
      </c>
    </row>
    <row r="523" spans="2:13" ht="15.9" customHeight="1" x14ac:dyDescent="0.3">
      <c r="B523" s="19" t="s">
        <v>28</v>
      </c>
      <c r="C523" s="11" t="s">
        <v>83</v>
      </c>
      <c r="D523" s="21" t="s">
        <v>84</v>
      </c>
      <c r="E523" s="120">
        <v>32052981</v>
      </c>
      <c r="F523" s="130" t="s">
        <v>85</v>
      </c>
      <c r="G523" s="146" t="s">
        <v>86</v>
      </c>
      <c r="H523" s="60">
        <v>32196366</v>
      </c>
      <c r="I523" s="10" t="s">
        <v>89</v>
      </c>
      <c r="J523" s="154" t="s">
        <v>90</v>
      </c>
      <c r="K523" s="12">
        <v>6</v>
      </c>
      <c r="L523" s="12" t="s">
        <v>84</v>
      </c>
      <c r="M523" s="18" t="s">
        <v>47</v>
      </c>
    </row>
    <row r="524" spans="2:13" ht="15.9" customHeight="1" x14ac:dyDescent="0.3">
      <c r="B524" s="19" t="s">
        <v>28</v>
      </c>
      <c r="C524" s="11" t="s">
        <v>83</v>
      </c>
      <c r="D524" s="21" t="s">
        <v>84</v>
      </c>
      <c r="E524" s="14">
        <v>32052981</v>
      </c>
      <c r="F524" s="67" t="s">
        <v>85</v>
      </c>
      <c r="G524" s="150" t="s">
        <v>86</v>
      </c>
      <c r="H524" s="60">
        <v>32143661</v>
      </c>
      <c r="I524" s="10" t="s">
        <v>2325</v>
      </c>
      <c r="J524" s="154" t="s">
        <v>2326</v>
      </c>
      <c r="K524" s="12">
        <v>6</v>
      </c>
      <c r="L524" s="12" t="s">
        <v>84</v>
      </c>
      <c r="M524" s="18" t="s">
        <v>44</v>
      </c>
    </row>
    <row r="525" spans="2:13" ht="15.9" customHeight="1" x14ac:dyDescent="0.3">
      <c r="B525" s="19" t="s">
        <v>28</v>
      </c>
      <c r="C525" s="11" t="s">
        <v>83</v>
      </c>
      <c r="D525" s="21" t="s">
        <v>84</v>
      </c>
      <c r="E525" s="14">
        <v>32052981</v>
      </c>
      <c r="F525" s="67" t="s">
        <v>85</v>
      </c>
      <c r="G525" s="146" t="s">
        <v>86</v>
      </c>
      <c r="H525" s="60">
        <v>32144778</v>
      </c>
      <c r="I525" s="10" t="s">
        <v>91</v>
      </c>
      <c r="J525" s="6" t="s">
        <v>92</v>
      </c>
      <c r="K525" s="12">
        <v>6</v>
      </c>
      <c r="L525" s="12" t="s">
        <v>84</v>
      </c>
      <c r="M525" s="18" t="s">
        <v>38</v>
      </c>
    </row>
    <row r="526" spans="2:13" ht="15.9" customHeight="1" x14ac:dyDescent="0.3">
      <c r="B526" s="19" t="s">
        <v>28</v>
      </c>
      <c r="C526" s="11" t="s">
        <v>83</v>
      </c>
      <c r="D526" s="21" t="s">
        <v>84</v>
      </c>
      <c r="E526" s="14">
        <v>32052981</v>
      </c>
      <c r="F526" s="67" t="s">
        <v>85</v>
      </c>
      <c r="G526" s="146" t="s">
        <v>86</v>
      </c>
      <c r="H526" s="60">
        <v>32045357</v>
      </c>
      <c r="I526" s="10" t="s">
        <v>93</v>
      </c>
      <c r="J526" s="80" t="s">
        <v>61</v>
      </c>
      <c r="K526" s="12">
        <v>6</v>
      </c>
      <c r="L526" s="12" t="s">
        <v>84</v>
      </c>
      <c r="M526" s="18" t="s">
        <v>56</v>
      </c>
    </row>
    <row r="527" spans="2:13" ht="15.9" customHeight="1" x14ac:dyDescent="0.3">
      <c r="B527" s="11" t="s">
        <v>28</v>
      </c>
      <c r="C527" s="11" t="s">
        <v>83</v>
      </c>
      <c r="D527" s="12" t="s">
        <v>84</v>
      </c>
      <c r="E527" s="14">
        <v>32052981</v>
      </c>
      <c r="F527" s="67" t="s">
        <v>85</v>
      </c>
      <c r="G527" s="146" t="s">
        <v>86</v>
      </c>
      <c r="H527" s="60">
        <v>32044776</v>
      </c>
      <c r="I527" s="10" t="s">
        <v>94</v>
      </c>
      <c r="J527" s="6" t="s">
        <v>95</v>
      </c>
      <c r="K527" s="12">
        <v>6</v>
      </c>
      <c r="L527" s="12" t="s">
        <v>84</v>
      </c>
      <c r="M527" s="18" t="s">
        <v>62</v>
      </c>
    </row>
    <row r="528" spans="2:13" ht="15.9" customHeight="1" x14ac:dyDescent="0.3">
      <c r="B528" s="19" t="s">
        <v>363</v>
      </c>
      <c r="C528" s="11" t="s">
        <v>1431</v>
      </c>
      <c r="D528" s="12" t="s">
        <v>1432</v>
      </c>
      <c r="E528" s="12">
        <v>32146685</v>
      </c>
      <c r="F528" s="50" t="s">
        <v>1394</v>
      </c>
      <c r="G528" s="146" t="s">
        <v>1433</v>
      </c>
      <c r="H528" s="60">
        <v>32046553</v>
      </c>
      <c r="I528" s="10" t="s">
        <v>1462</v>
      </c>
      <c r="J528" s="6" t="s">
        <v>1463</v>
      </c>
      <c r="K528" s="12">
        <v>14</v>
      </c>
      <c r="L528" s="10" t="s">
        <v>1432</v>
      </c>
      <c r="M528" s="18" t="s">
        <v>676</v>
      </c>
    </row>
    <row r="529" spans="2:13" ht="15.9" customHeight="1" x14ac:dyDescent="0.3">
      <c r="B529" s="19" t="s">
        <v>363</v>
      </c>
      <c r="C529" s="11" t="s">
        <v>1431</v>
      </c>
      <c r="D529" s="12" t="s">
        <v>1432</v>
      </c>
      <c r="E529" s="12">
        <v>32146685</v>
      </c>
      <c r="F529" s="50" t="s">
        <v>1394</v>
      </c>
      <c r="G529" s="146" t="s">
        <v>1433</v>
      </c>
      <c r="H529" s="60">
        <v>32197897</v>
      </c>
      <c r="I529" s="10" t="s">
        <v>1459</v>
      </c>
      <c r="J529" s="6" t="s">
        <v>1460</v>
      </c>
      <c r="K529" s="12">
        <v>14</v>
      </c>
      <c r="L529" s="10" t="s">
        <v>1432</v>
      </c>
      <c r="M529" s="18" t="s">
        <v>1461</v>
      </c>
    </row>
    <row r="530" spans="2:13" ht="15.9" customHeight="1" x14ac:dyDescent="0.3">
      <c r="B530" s="19" t="s">
        <v>363</v>
      </c>
      <c r="C530" s="11" t="s">
        <v>1431</v>
      </c>
      <c r="D530" s="12" t="s">
        <v>1432</v>
      </c>
      <c r="E530" s="113">
        <v>32146685</v>
      </c>
      <c r="F530" s="129" t="s">
        <v>1394</v>
      </c>
      <c r="G530" s="146" t="s">
        <v>1433</v>
      </c>
      <c r="H530" s="60">
        <v>32044543</v>
      </c>
      <c r="I530" s="10" t="s">
        <v>1457</v>
      </c>
      <c r="J530" s="6" t="s">
        <v>1458</v>
      </c>
      <c r="K530" s="12">
        <v>14</v>
      </c>
      <c r="L530" s="10" t="s">
        <v>1432</v>
      </c>
      <c r="M530" s="18" t="s">
        <v>384</v>
      </c>
    </row>
    <row r="531" spans="2:13" ht="15.9" customHeight="1" x14ac:dyDescent="0.3">
      <c r="B531" s="19" t="s">
        <v>363</v>
      </c>
      <c r="C531" s="11" t="s">
        <v>1431</v>
      </c>
      <c r="D531" s="12" t="s">
        <v>1432</v>
      </c>
      <c r="E531" s="12">
        <v>32146685</v>
      </c>
      <c r="F531" s="50" t="s">
        <v>1394</v>
      </c>
      <c r="G531" s="146" t="s">
        <v>1433</v>
      </c>
      <c r="H531" s="60">
        <v>32132587</v>
      </c>
      <c r="I531" s="10" t="s">
        <v>1455</v>
      </c>
      <c r="J531" s="6" t="s">
        <v>1456</v>
      </c>
      <c r="K531" s="12">
        <v>14</v>
      </c>
      <c r="L531" s="10" t="s">
        <v>1432</v>
      </c>
      <c r="M531" s="18" t="s">
        <v>369</v>
      </c>
    </row>
    <row r="532" spans="2:13" ht="15.9" customHeight="1" x14ac:dyDescent="0.3">
      <c r="B532" s="19" t="s">
        <v>363</v>
      </c>
      <c r="C532" s="20" t="s">
        <v>1431</v>
      </c>
      <c r="D532" s="21" t="s">
        <v>1432</v>
      </c>
      <c r="E532" s="113">
        <v>32146685</v>
      </c>
      <c r="F532" s="129" t="s">
        <v>1394</v>
      </c>
      <c r="G532" s="146" t="s">
        <v>1433</v>
      </c>
      <c r="H532" s="61">
        <v>32143052</v>
      </c>
      <c r="I532" s="24" t="s">
        <v>1452</v>
      </c>
      <c r="J532" s="156" t="s">
        <v>1453</v>
      </c>
      <c r="K532" s="12">
        <v>14</v>
      </c>
      <c r="L532" s="24" t="s">
        <v>1432</v>
      </c>
      <c r="M532" s="25" t="s">
        <v>1454</v>
      </c>
    </row>
    <row r="533" spans="2:13" ht="15.9" customHeight="1" x14ac:dyDescent="0.3">
      <c r="B533" s="19" t="s">
        <v>363</v>
      </c>
      <c r="C533" s="11" t="s">
        <v>1431</v>
      </c>
      <c r="D533" s="12" t="s">
        <v>1432</v>
      </c>
      <c r="E533" s="12">
        <v>32146685</v>
      </c>
      <c r="F533" s="50" t="s">
        <v>1394</v>
      </c>
      <c r="G533" s="146" t="s">
        <v>1433</v>
      </c>
      <c r="H533" s="60">
        <v>32046016</v>
      </c>
      <c r="I533" s="10" t="s">
        <v>1449</v>
      </c>
      <c r="J533" s="6" t="s">
        <v>1450</v>
      </c>
      <c r="K533" s="12">
        <v>14</v>
      </c>
      <c r="L533" s="10" t="s">
        <v>1432</v>
      </c>
      <c r="M533" s="18" t="s">
        <v>1451</v>
      </c>
    </row>
    <row r="534" spans="2:13" ht="15.9" customHeight="1" x14ac:dyDescent="0.3">
      <c r="B534" s="19" t="s">
        <v>363</v>
      </c>
      <c r="C534" s="11" t="s">
        <v>1431</v>
      </c>
      <c r="D534" s="12" t="s">
        <v>1432</v>
      </c>
      <c r="E534" s="12">
        <v>32146685</v>
      </c>
      <c r="F534" s="50" t="s">
        <v>1394</v>
      </c>
      <c r="G534" s="146" t="s">
        <v>1433</v>
      </c>
      <c r="H534" s="60">
        <v>32132051</v>
      </c>
      <c r="I534" s="10" t="s">
        <v>1445</v>
      </c>
      <c r="J534" s="6" t="s">
        <v>1446</v>
      </c>
      <c r="K534" s="12">
        <v>14</v>
      </c>
      <c r="L534" s="10" t="s">
        <v>1432</v>
      </c>
      <c r="M534" s="18" t="s">
        <v>1447</v>
      </c>
    </row>
    <row r="535" spans="2:13" ht="15.9" customHeight="1" x14ac:dyDescent="0.3">
      <c r="B535" s="19" t="s">
        <v>363</v>
      </c>
      <c r="C535" s="11" t="s">
        <v>1431</v>
      </c>
      <c r="D535" s="12" t="s">
        <v>1432</v>
      </c>
      <c r="E535" s="113">
        <v>32146685</v>
      </c>
      <c r="F535" s="129" t="s">
        <v>1394</v>
      </c>
      <c r="G535" s="146" t="s">
        <v>1433</v>
      </c>
      <c r="H535" s="60">
        <v>32143053</v>
      </c>
      <c r="I535" s="10" t="s">
        <v>1442</v>
      </c>
      <c r="J535" s="6" t="s">
        <v>1443</v>
      </c>
      <c r="K535" s="12">
        <v>14</v>
      </c>
      <c r="L535" s="10" t="s">
        <v>1432</v>
      </c>
      <c r="M535" s="18" t="s">
        <v>1444</v>
      </c>
    </row>
    <row r="536" spans="2:13" ht="15.9" customHeight="1" x14ac:dyDescent="0.3">
      <c r="B536" s="19" t="s">
        <v>363</v>
      </c>
      <c r="C536" s="11" t="s">
        <v>1431</v>
      </c>
      <c r="D536" s="12" t="s">
        <v>1432</v>
      </c>
      <c r="E536" s="12">
        <v>32146685</v>
      </c>
      <c r="F536" s="50" t="s">
        <v>1394</v>
      </c>
      <c r="G536" s="146" t="s">
        <v>1433</v>
      </c>
      <c r="H536" s="60">
        <v>32045507</v>
      </c>
      <c r="I536" s="10" t="s">
        <v>1440</v>
      </c>
      <c r="J536" s="6" t="s">
        <v>1441</v>
      </c>
      <c r="K536" s="12">
        <v>14</v>
      </c>
      <c r="L536" s="10" t="s">
        <v>1432</v>
      </c>
      <c r="M536" s="18" t="s">
        <v>372</v>
      </c>
    </row>
    <row r="537" spans="2:13" ht="15.9" customHeight="1" x14ac:dyDescent="0.3">
      <c r="B537" s="19" t="s">
        <v>363</v>
      </c>
      <c r="C537" s="11" t="s">
        <v>1431</v>
      </c>
      <c r="D537" s="12" t="s">
        <v>1432</v>
      </c>
      <c r="E537" s="12">
        <v>32146685</v>
      </c>
      <c r="F537" s="50" t="s">
        <v>1394</v>
      </c>
      <c r="G537" s="146" t="s">
        <v>1433</v>
      </c>
      <c r="H537" s="60">
        <v>32045806</v>
      </c>
      <c r="I537" s="10" t="s">
        <v>1438</v>
      </c>
      <c r="J537" s="6" t="s">
        <v>1439</v>
      </c>
      <c r="K537" s="12">
        <v>14</v>
      </c>
      <c r="L537" s="10" t="s">
        <v>1432</v>
      </c>
      <c r="M537" s="18" t="s">
        <v>378</v>
      </c>
    </row>
    <row r="538" spans="2:13" ht="15.9" customHeight="1" x14ac:dyDescent="0.3">
      <c r="B538" s="19" t="s">
        <v>363</v>
      </c>
      <c r="C538" s="11" t="s">
        <v>1431</v>
      </c>
      <c r="D538" s="12" t="s">
        <v>1432</v>
      </c>
      <c r="E538" s="12">
        <v>32146685</v>
      </c>
      <c r="F538" s="50" t="s">
        <v>1394</v>
      </c>
      <c r="G538" s="146" t="s">
        <v>1433</v>
      </c>
      <c r="H538" s="60">
        <v>32064299</v>
      </c>
      <c r="I538" s="10" t="s">
        <v>1436</v>
      </c>
      <c r="J538" s="143" t="s">
        <v>1437</v>
      </c>
      <c r="K538" s="12">
        <v>14</v>
      </c>
      <c r="L538" s="10" t="s">
        <v>1432</v>
      </c>
      <c r="M538" s="18" t="s">
        <v>381</v>
      </c>
    </row>
    <row r="539" spans="2:13" ht="15.9" customHeight="1" x14ac:dyDescent="0.3">
      <c r="B539" s="19" t="s">
        <v>363</v>
      </c>
      <c r="C539" s="11" t="s">
        <v>1431</v>
      </c>
      <c r="D539" s="12" t="s">
        <v>1432</v>
      </c>
      <c r="E539" s="12">
        <v>32146685</v>
      </c>
      <c r="F539" s="50" t="s">
        <v>1394</v>
      </c>
      <c r="G539" s="146" t="s">
        <v>1433</v>
      </c>
      <c r="H539" s="60">
        <v>32044002</v>
      </c>
      <c r="I539" s="10" t="s">
        <v>1434</v>
      </c>
      <c r="J539" s="6" t="s">
        <v>1435</v>
      </c>
      <c r="K539" s="12">
        <v>14</v>
      </c>
      <c r="L539" s="10" t="s">
        <v>1432</v>
      </c>
      <c r="M539" s="18" t="s">
        <v>375</v>
      </c>
    </row>
    <row r="540" spans="2:13" ht="15.9" customHeight="1" x14ac:dyDescent="0.25">
      <c r="B540" s="19" t="s">
        <v>363</v>
      </c>
      <c r="C540" s="11">
        <v>12</v>
      </c>
      <c r="D540" s="12" t="s">
        <v>1192</v>
      </c>
      <c r="E540" s="112">
        <v>32155926</v>
      </c>
      <c r="F540" s="173" t="s">
        <v>2346</v>
      </c>
      <c r="G540" s="152" t="s">
        <v>51</v>
      </c>
      <c r="H540" s="60">
        <v>32140576</v>
      </c>
      <c r="I540" s="10" t="s">
        <v>1207</v>
      </c>
      <c r="J540" s="143" t="s">
        <v>1208</v>
      </c>
      <c r="K540" s="12">
        <v>13</v>
      </c>
      <c r="L540" s="10" t="s">
        <v>1192</v>
      </c>
      <c r="M540" s="18" t="s">
        <v>1077</v>
      </c>
    </row>
    <row r="541" spans="2:13" ht="15.9" customHeight="1" x14ac:dyDescent="0.25">
      <c r="B541" s="19" t="s">
        <v>363</v>
      </c>
      <c r="C541" s="11">
        <v>12</v>
      </c>
      <c r="D541" s="12" t="s">
        <v>1192</v>
      </c>
      <c r="E541" s="112">
        <v>32155926</v>
      </c>
      <c r="F541" s="173" t="s">
        <v>2346</v>
      </c>
      <c r="G541" s="152" t="s">
        <v>51</v>
      </c>
      <c r="H541" s="60">
        <v>32143665</v>
      </c>
      <c r="I541" s="10" t="s">
        <v>1211</v>
      </c>
      <c r="J541" s="143" t="s">
        <v>1212</v>
      </c>
      <c r="K541" s="12">
        <v>13</v>
      </c>
      <c r="L541" s="10" t="s">
        <v>1192</v>
      </c>
      <c r="M541" s="18" t="s">
        <v>1056</v>
      </c>
    </row>
    <row r="542" spans="2:13" ht="15.9" customHeight="1" x14ac:dyDescent="0.25">
      <c r="B542" s="19" t="s">
        <v>363</v>
      </c>
      <c r="C542" s="11">
        <v>12</v>
      </c>
      <c r="D542" s="12" t="s">
        <v>1192</v>
      </c>
      <c r="E542" s="112">
        <v>32155926</v>
      </c>
      <c r="F542" s="173" t="s">
        <v>2346</v>
      </c>
      <c r="G542" s="152" t="s">
        <v>51</v>
      </c>
      <c r="H542" s="60">
        <v>32046671</v>
      </c>
      <c r="I542" s="10" t="s">
        <v>1205</v>
      </c>
      <c r="J542" s="143" t="s">
        <v>1206</v>
      </c>
      <c r="K542" s="12">
        <v>13</v>
      </c>
      <c r="L542" s="10" t="s">
        <v>1192</v>
      </c>
      <c r="M542" s="18" t="s">
        <v>453</v>
      </c>
    </row>
    <row r="543" spans="2:13" ht="15.9" customHeight="1" x14ac:dyDescent="0.25">
      <c r="B543" s="19" t="s">
        <v>363</v>
      </c>
      <c r="C543" s="11">
        <v>12</v>
      </c>
      <c r="D543" s="12" t="s">
        <v>1192</v>
      </c>
      <c r="E543" s="94">
        <v>32155926</v>
      </c>
      <c r="F543" s="179" t="s">
        <v>2346</v>
      </c>
      <c r="G543" s="152" t="s">
        <v>51</v>
      </c>
      <c r="H543" s="60">
        <v>32044156</v>
      </c>
      <c r="I543" s="10" t="s">
        <v>1174</v>
      </c>
      <c r="J543" s="6" t="s">
        <v>1175</v>
      </c>
      <c r="K543" s="12">
        <v>13</v>
      </c>
      <c r="L543" s="10" t="s">
        <v>1192</v>
      </c>
      <c r="M543" s="18" t="s">
        <v>719</v>
      </c>
    </row>
    <row r="544" spans="2:13" ht="15.9" customHeight="1" x14ac:dyDescent="0.25">
      <c r="B544" s="19" t="s">
        <v>363</v>
      </c>
      <c r="C544" s="11">
        <v>12</v>
      </c>
      <c r="D544" s="12" t="s">
        <v>1192</v>
      </c>
      <c r="E544" s="94">
        <v>32155926</v>
      </c>
      <c r="F544" s="179" t="s">
        <v>2346</v>
      </c>
      <c r="G544" s="152" t="s">
        <v>51</v>
      </c>
      <c r="H544" s="60">
        <v>32044370</v>
      </c>
      <c r="I544" s="10" t="s">
        <v>1195</v>
      </c>
      <c r="J544" s="143" t="s">
        <v>1196</v>
      </c>
      <c r="K544" s="12">
        <v>13</v>
      </c>
      <c r="L544" s="10" t="s">
        <v>1192</v>
      </c>
      <c r="M544" s="18" t="s">
        <v>456</v>
      </c>
    </row>
    <row r="545" spans="2:13" ht="15.9" customHeight="1" x14ac:dyDescent="0.25">
      <c r="B545" s="19" t="s">
        <v>363</v>
      </c>
      <c r="C545" s="11">
        <v>12</v>
      </c>
      <c r="D545" s="12" t="s">
        <v>1192</v>
      </c>
      <c r="E545" s="112">
        <v>32155926</v>
      </c>
      <c r="F545" s="173" t="s">
        <v>2346</v>
      </c>
      <c r="G545" s="152" t="s">
        <v>51</v>
      </c>
      <c r="H545" s="60">
        <v>32044075</v>
      </c>
      <c r="I545" s="10" t="s">
        <v>1193</v>
      </c>
      <c r="J545" s="6" t="s">
        <v>1194</v>
      </c>
      <c r="K545" s="12">
        <v>13</v>
      </c>
      <c r="L545" s="10" t="s">
        <v>1192</v>
      </c>
      <c r="M545" s="18" t="s">
        <v>564</v>
      </c>
    </row>
    <row r="546" spans="2:13" ht="15.9" customHeight="1" x14ac:dyDescent="0.25">
      <c r="B546" s="19" t="s">
        <v>363</v>
      </c>
      <c r="C546" s="11">
        <v>12</v>
      </c>
      <c r="D546" s="12" t="s">
        <v>1192</v>
      </c>
      <c r="E546" s="94">
        <v>32155926</v>
      </c>
      <c r="F546" s="179" t="s">
        <v>2346</v>
      </c>
      <c r="G546" s="152" t="s">
        <v>51</v>
      </c>
      <c r="H546" s="60">
        <v>32046355</v>
      </c>
      <c r="I546" s="10" t="s">
        <v>1201</v>
      </c>
      <c r="J546" s="143" t="s">
        <v>1202</v>
      </c>
      <c r="K546" s="12">
        <v>13</v>
      </c>
      <c r="L546" s="10" t="s">
        <v>1192</v>
      </c>
      <c r="M546" s="18" t="s">
        <v>481</v>
      </c>
    </row>
    <row r="547" spans="2:13" ht="15.9" customHeight="1" x14ac:dyDescent="0.25">
      <c r="B547" s="19" t="s">
        <v>363</v>
      </c>
      <c r="C547" s="20">
        <v>12</v>
      </c>
      <c r="D547" s="21" t="s">
        <v>1192</v>
      </c>
      <c r="E547" s="112">
        <v>32155926</v>
      </c>
      <c r="F547" s="173" t="s">
        <v>2346</v>
      </c>
      <c r="G547" s="152" t="s">
        <v>51</v>
      </c>
      <c r="H547" s="61">
        <v>32046159</v>
      </c>
      <c r="I547" s="24" t="s">
        <v>1199</v>
      </c>
      <c r="J547" s="6" t="s">
        <v>1200</v>
      </c>
      <c r="K547" s="12">
        <v>13</v>
      </c>
      <c r="L547" s="24" t="s">
        <v>1192</v>
      </c>
      <c r="M547" s="25" t="s">
        <v>705</v>
      </c>
    </row>
    <row r="548" spans="2:13" ht="15.9" customHeight="1" x14ac:dyDescent="0.25">
      <c r="B548" s="19" t="s">
        <v>363</v>
      </c>
      <c r="C548" s="11">
        <v>12</v>
      </c>
      <c r="D548" s="12" t="s">
        <v>1192</v>
      </c>
      <c r="E548" s="112">
        <v>32155926</v>
      </c>
      <c r="F548" s="173" t="s">
        <v>2346</v>
      </c>
      <c r="G548" s="152" t="s">
        <v>51</v>
      </c>
      <c r="H548" s="60">
        <v>32044561</v>
      </c>
      <c r="I548" s="10" t="s">
        <v>1197</v>
      </c>
      <c r="J548" s="6" t="s">
        <v>1198</v>
      </c>
      <c r="K548" s="12">
        <v>13</v>
      </c>
      <c r="L548" s="10" t="s">
        <v>1192</v>
      </c>
      <c r="M548" s="18" t="s">
        <v>711</v>
      </c>
    </row>
    <row r="549" spans="2:13" ht="15.9" customHeight="1" x14ac:dyDescent="0.25">
      <c r="B549" s="19" t="s">
        <v>363</v>
      </c>
      <c r="C549" s="11">
        <v>12</v>
      </c>
      <c r="D549" s="12" t="s">
        <v>1192</v>
      </c>
      <c r="E549" s="114">
        <v>32155926</v>
      </c>
      <c r="F549" s="172" t="s">
        <v>2346</v>
      </c>
      <c r="G549" s="152" t="s">
        <v>51</v>
      </c>
      <c r="H549" s="60">
        <v>32143625</v>
      </c>
      <c r="I549" s="10" t="s">
        <v>1209</v>
      </c>
      <c r="J549" s="143" t="s">
        <v>1210</v>
      </c>
      <c r="K549" s="12">
        <v>13</v>
      </c>
      <c r="L549" s="10" t="s">
        <v>1192</v>
      </c>
      <c r="M549" s="18" t="s">
        <v>447</v>
      </c>
    </row>
    <row r="550" spans="2:13" ht="15.9" customHeight="1" x14ac:dyDescent="0.25">
      <c r="B550" s="19" t="s">
        <v>363</v>
      </c>
      <c r="C550" s="11">
        <v>12</v>
      </c>
      <c r="D550" s="12" t="s">
        <v>1192</v>
      </c>
      <c r="E550" s="94">
        <v>32155926</v>
      </c>
      <c r="F550" s="179" t="s">
        <v>2346</v>
      </c>
      <c r="G550" s="152" t="s">
        <v>51</v>
      </c>
      <c r="H550" s="60">
        <v>32150657</v>
      </c>
      <c r="I550" s="10" t="s">
        <v>1213</v>
      </c>
      <c r="J550" s="143" t="s">
        <v>1214</v>
      </c>
      <c r="K550" s="12">
        <v>13</v>
      </c>
      <c r="L550" s="10" t="s">
        <v>1192</v>
      </c>
      <c r="M550" s="18" t="s">
        <v>1074</v>
      </c>
    </row>
    <row r="551" spans="2:13" ht="15.9" customHeight="1" x14ac:dyDescent="0.25">
      <c r="B551" s="19" t="s">
        <v>363</v>
      </c>
      <c r="C551" s="11">
        <v>12</v>
      </c>
      <c r="D551" s="12" t="s">
        <v>1192</v>
      </c>
      <c r="E551" s="112">
        <v>32155926</v>
      </c>
      <c r="F551" s="173" t="s">
        <v>2346</v>
      </c>
      <c r="G551" s="152" t="s">
        <v>51</v>
      </c>
      <c r="H551" s="60">
        <v>32046569</v>
      </c>
      <c r="I551" s="10" t="s">
        <v>1203</v>
      </c>
      <c r="J551" s="6" t="s">
        <v>1204</v>
      </c>
      <c r="K551" s="12">
        <v>13</v>
      </c>
      <c r="L551" s="10" t="s">
        <v>1192</v>
      </c>
      <c r="M551" s="18" t="s">
        <v>1069</v>
      </c>
    </row>
    <row r="552" spans="2:13" ht="15.9" customHeight="1" x14ac:dyDescent="0.3">
      <c r="B552" s="19" t="s">
        <v>28</v>
      </c>
      <c r="C552" s="11" t="s">
        <v>29</v>
      </c>
      <c r="D552" s="12" t="s">
        <v>96</v>
      </c>
      <c r="E552" s="14">
        <v>32044049</v>
      </c>
      <c r="F552" s="67" t="s">
        <v>97</v>
      </c>
      <c r="G552" s="146" t="s">
        <v>98</v>
      </c>
      <c r="H552" s="60">
        <v>32045556</v>
      </c>
      <c r="I552" s="10" t="s">
        <v>99</v>
      </c>
      <c r="J552" s="154" t="s">
        <v>100</v>
      </c>
      <c r="K552" s="12">
        <v>5</v>
      </c>
      <c r="L552" s="12" t="s">
        <v>96</v>
      </c>
      <c r="M552" s="18" t="s">
        <v>38</v>
      </c>
    </row>
    <row r="553" spans="2:13" ht="15.9" customHeight="1" x14ac:dyDescent="0.3">
      <c r="B553" s="11" t="s">
        <v>28</v>
      </c>
      <c r="C553" s="11" t="s">
        <v>29</v>
      </c>
      <c r="D553" s="12" t="s">
        <v>96</v>
      </c>
      <c r="E553" s="14">
        <v>32044049</v>
      </c>
      <c r="F553" s="67" t="s">
        <v>97</v>
      </c>
      <c r="G553" s="146" t="s">
        <v>98</v>
      </c>
      <c r="H553" s="60">
        <v>32045410</v>
      </c>
      <c r="I553" s="10" t="s">
        <v>101</v>
      </c>
      <c r="J553" s="6" t="s">
        <v>102</v>
      </c>
      <c r="K553" s="12">
        <v>5</v>
      </c>
      <c r="L553" s="12" t="s">
        <v>96</v>
      </c>
      <c r="M553" s="18" t="s">
        <v>41</v>
      </c>
    </row>
    <row r="554" spans="2:13" ht="15.9" customHeight="1" x14ac:dyDescent="0.3">
      <c r="B554" s="19" t="s">
        <v>28</v>
      </c>
      <c r="C554" s="11" t="s">
        <v>29</v>
      </c>
      <c r="D554" s="12" t="s">
        <v>96</v>
      </c>
      <c r="E554" s="14">
        <v>32044049</v>
      </c>
      <c r="F554" s="67" t="s">
        <v>97</v>
      </c>
      <c r="G554" s="146" t="s">
        <v>98</v>
      </c>
      <c r="H554" s="60">
        <v>32213349</v>
      </c>
      <c r="I554" s="10" t="s">
        <v>103</v>
      </c>
      <c r="J554" s="6" t="s">
        <v>104</v>
      </c>
      <c r="K554" s="12">
        <v>5</v>
      </c>
      <c r="L554" s="12" t="s">
        <v>96</v>
      </c>
      <c r="M554" s="18" t="s">
        <v>35</v>
      </c>
    </row>
    <row r="555" spans="2:13" ht="15.9" customHeight="1" x14ac:dyDescent="0.3">
      <c r="B555" s="19" t="s">
        <v>28</v>
      </c>
      <c r="C555" s="11" t="s">
        <v>29</v>
      </c>
      <c r="D555" s="12" t="s">
        <v>96</v>
      </c>
      <c r="E555" s="14">
        <v>32044049</v>
      </c>
      <c r="F555" s="67" t="s">
        <v>97</v>
      </c>
      <c r="G555" s="146" t="s">
        <v>98</v>
      </c>
      <c r="H555" s="60">
        <v>32043849</v>
      </c>
      <c r="I555" s="10" t="s">
        <v>105</v>
      </c>
      <c r="J555" s="6" t="s">
        <v>106</v>
      </c>
      <c r="K555" s="12">
        <v>5</v>
      </c>
      <c r="L555" s="12" t="s">
        <v>96</v>
      </c>
      <c r="M555" s="18" t="s">
        <v>47</v>
      </c>
    </row>
    <row r="556" spans="2:13" ht="15.9" customHeight="1" x14ac:dyDescent="0.3">
      <c r="B556" s="19" t="s">
        <v>28</v>
      </c>
      <c r="C556" s="11" t="s">
        <v>29</v>
      </c>
      <c r="D556" s="12" t="s">
        <v>96</v>
      </c>
      <c r="E556" s="14">
        <v>32044049</v>
      </c>
      <c r="F556" s="67" t="s">
        <v>97</v>
      </c>
      <c r="G556" s="146" t="s">
        <v>98</v>
      </c>
      <c r="H556" s="60">
        <v>32142953</v>
      </c>
      <c r="I556" s="10" t="s">
        <v>107</v>
      </c>
      <c r="J556" s="154" t="s">
        <v>108</v>
      </c>
      <c r="K556" s="12">
        <v>5</v>
      </c>
      <c r="L556" s="12" t="s">
        <v>96</v>
      </c>
      <c r="M556" s="18" t="s">
        <v>56</v>
      </c>
    </row>
    <row r="557" spans="2:13" ht="15.9" customHeight="1" x14ac:dyDescent="0.3">
      <c r="B557" s="19" t="s">
        <v>28</v>
      </c>
      <c r="C557" s="11" t="s">
        <v>29</v>
      </c>
      <c r="D557" s="12" t="s">
        <v>109</v>
      </c>
      <c r="E557" s="14">
        <v>32154187</v>
      </c>
      <c r="F557" s="67" t="s">
        <v>110</v>
      </c>
      <c r="G557" s="146" t="s">
        <v>111</v>
      </c>
      <c r="H557" s="60">
        <v>32201713</v>
      </c>
      <c r="I557" s="10" t="s">
        <v>112</v>
      </c>
      <c r="J557" s="6" t="s">
        <v>113</v>
      </c>
      <c r="K557" s="12">
        <v>4</v>
      </c>
      <c r="L557" s="12" t="s">
        <v>109</v>
      </c>
      <c r="M557" s="18" t="s">
        <v>47</v>
      </c>
    </row>
    <row r="558" spans="2:13" ht="15.9" customHeight="1" x14ac:dyDescent="0.3">
      <c r="B558" s="11" t="s">
        <v>28</v>
      </c>
      <c r="C558" s="11" t="s">
        <v>29</v>
      </c>
      <c r="D558" s="12" t="s">
        <v>109</v>
      </c>
      <c r="E558" s="124">
        <v>32154187</v>
      </c>
      <c r="F558" s="133" t="s">
        <v>110</v>
      </c>
      <c r="G558" s="146" t="s">
        <v>111</v>
      </c>
      <c r="H558" s="60">
        <v>32045396</v>
      </c>
      <c r="I558" s="10" t="s">
        <v>114</v>
      </c>
      <c r="J558" s="6" t="s">
        <v>115</v>
      </c>
      <c r="K558" s="12">
        <v>4</v>
      </c>
      <c r="L558" s="12" t="s">
        <v>109</v>
      </c>
      <c r="M558" s="18" t="s">
        <v>41</v>
      </c>
    </row>
    <row r="559" spans="2:13" ht="15.9" customHeight="1" x14ac:dyDescent="0.3">
      <c r="B559" s="19" t="s">
        <v>28</v>
      </c>
      <c r="C559" s="11" t="s">
        <v>29</v>
      </c>
      <c r="D559" s="12" t="s">
        <v>109</v>
      </c>
      <c r="E559" s="14">
        <v>32154187</v>
      </c>
      <c r="F559" s="67" t="s">
        <v>110</v>
      </c>
      <c r="G559" s="146" t="s">
        <v>111</v>
      </c>
      <c r="H559" s="60">
        <v>32201712</v>
      </c>
      <c r="I559" s="10" t="s">
        <v>116</v>
      </c>
      <c r="J559" s="143" t="s">
        <v>117</v>
      </c>
      <c r="K559" s="12">
        <v>4</v>
      </c>
      <c r="L559" s="12" t="s">
        <v>109</v>
      </c>
      <c r="M559" s="18" t="s">
        <v>35</v>
      </c>
    </row>
    <row r="560" spans="2:13" ht="15.9" customHeight="1" x14ac:dyDescent="0.3">
      <c r="B560" s="19" t="s">
        <v>28</v>
      </c>
      <c r="C560" s="11" t="s">
        <v>29</v>
      </c>
      <c r="D560" s="12" t="s">
        <v>109</v>
      </c>
      <c r="E560" s="14">
        <v>32154187</v>
      </c>
      <c r="F560" s="67" t="s">
        <v>110</v>
      </c>
      <c r="G560" s="146" t="s">
        <v>111</v>
      </c>
      <c r="H560" s="60">
        <v>32043902</v>
      </c>
      <c r="I560" s="10" t="s">
        <v>118</v>
      </c>
      <c r="J560" s="6" t="s">
        <v>119</v>
      </c>
      <c r="K560" s="12">
        <v>4</v>
      </c>
      <c r="L560" s="12" t="s">
        <v>109</v>
      </c>
      <c r="M560" s="18" t="s">
        <v>44</v>
      </c>
    </row>
    <row r="561" spans="2:13" ht="15.9" customHeight="1" x14ac:dyDescent="0.3">
      <c r="B561" s="19" t="s">
        <v>1</v>
      </c>
      <c r="C561" s="20" t="s">
        <v>1991</v>
      </c>
      <c r="D561" s="24" t="s">
        <v>8</v>
      </c>
      <c r="E561" s="112">
        <v>32044637</v>
      </c>
      <c r="F561" s="167" t="s">
        <v>2031</v>
      </c>
      <c r="G561" s="146" t="s">
        <v>2032</v>
      </c>
      <c r="H561" s="61">
        <v>32043794</v>
      </c>
      <c r="I561" s="142" t="s">
        <v>2033</v>
      </c>
      <c r="J561" s="6" t="s">
        <v>2034</v>
      </c>
      <c r="K561" s="35">
        <v>4</v>
      </c>
      <c r="L561" s="142" t="s">
        <v>8</v>
      </c>
      <c r="M561" s="25" t="s">
        <v>470</v>
      </c>
    </row>
    <row r="562" spans="2:13" ht="15.9" customHeight="1" x14ac:dyDescent="0.3">
      <c r="B562" s="19" t="s">
        <v>1</v>
      </c>
      <c r="C562" s="11" t="s">
        <v>1991</v>
      </c>
      <c r="D562" s="10" t="s">
        <v>8</v>
      </c>
      <c r="E562" s="112">
        <v>32044637</v>
      </c>
      <c r="F562" s="165" t="s">
        <v>2031</v>
      </c>
      <c r="G562" s="146" t="s">
        <v>2032</v>
      </c>
      <c r="H562" s="60">
        <v>32181713</v>
      </c>
      <c r="I562" s="32" t="s">
        <v>2035</v>
      </c>
      <c r="J562" s="6" t="s">
        <v>2036</v>
      </c>
      <c r="K562" s="35">
        <v>4</v>
      </c>
      <c r="L562" s="32" t="s">
        <v>8</v>
      </c>
      <c r="M562" s="33" t="s">
        <v>456</v>
      </c>
    </row>
    <row r="563" spans="2:13" ht="15.9" customHeight="1" x14ac:dyDescent="0.3">
      <c r="B563" s="19" t="s">
        <v>1</v>
      </c>
      <c r="C563" s="11" t="s">
        <v>1991</v>
      </c>
      <c r="D563" s="10" t="s">
        <v>8</v>
      </c>
      <c r="E563" s="116">
        <v>32044637</v>
      </c>
      <c r="F563" s="167" t="s">
        <v>2031</v>
      </c>
      <c r="G563" s="146" t="s">
        <v>2032</v>
      </c>
      <c r="H563" s="60">
        <v>32043868</v>
      </c>
      <c r="I563" s="32" t="s">
        <v>2037</v>
      </c>
      <c r="J563" s="6" t="s">
        <v>2038</v>
      </c>
      <c r="K563" s="35">
        <v>4</v>
      </c>
      <c r="L563" s="32" t="s">
        <v>8</v>
      </c>
      <c r="M563" s="18" t="s">
        <v>464</v>
      </c>
    </row>
    <row r="564" spans="2:13" ht="15.9" customHeight="1" x14ac:dyDescent="0.3">
      <c r="B564" s="19" t="s">
        <v>1</v>
      </c>
      <c r="C564" s="11" t="s">
        <v>1991</v>
      </c>
      <c r="D564" s="67" t="s">
        <v>8</v>
      </c>
      <c r="E564" s="94">
        <v>32044637</v>
      </c>
      <c r="F564" s="166" t="s">
        <v>2031</v>
      </c>
      <c r="G564" s="146" t="s">
        <v>2032</v>
      </c>
      <c r="H564" s="60">
        <v>32046003</v>
      </c>
      <c r="I564" s="32" t="s">
        <v>2327</v>
      </c>
      <c r="J564" s="32" t="s">
        <v>61</v>
      </c>
      <c r="K564" s="35">
        <v>4</v>
      </c>
      <c r="L564" s="32" t="s">
        <v>8</v>
      </c>
      <c r="M564" s="33" t="s">
        <v>447</v>
      </c>
    </row>
    <row r="565" spans="2:13" ht="15.9" customHeight="1" x14ac:dyDescent="0.3">
      <c r="B565" s="19" t="s">
        <v>28</v>
      </c>
      <c r="C565" s="11" t="s">
        <v>83</v>
      </c>
      <c r="D565" s="18" t="s">
        <v>120</v>
      </c>
      <c r="E565" s="64">
        <v>32146677</v>
      </c>
      <c r="F565" s="107" t="s">
        <v>121</v>
      </c>
      <c r="G565" s="146" t="s">
        <v>122</v>
      </c>
      <c r="H565" s="60">
        <v>32044036</v>
      </c>
      <c r="I565" s="10" t="s">
        <v>123</v>
      </c>
      <c r="J565" s="143" t="s">
        <v>124</v>
      </c>
      <c r="K565" s="12">
        <v>8</v>
      </c>
      <c r="L565" s="12" t="s">
        <v>120</v>
      </c>
      <c r="M565" s="18" t="s">
        <v>125</v>
      </c>
    </row>
    <row r="566" spans="2:13" ht="15.9" customHeight="1" x14ac:dyDescent="0.3">
      <c r="B566" s="19" t="s">
        <v>28</v>
      </c>
      <c r="C566" s="11" t="s">
        <v>83</v>
      </c>
      <c r="D566" s="18" t="s">
        <v>120</v>
      </c>
      <c r="E566" s="64">
        <v>32146677</v>
      </c>
      <c r="F566" s="107" t="s">
        <v>121</v>
      </c>
      <c r="G566" s="146" t="s">
        <v>122</v>
      </c>
      <c r="H566" s="60">
        <v>32044447</v>
      </c>
      <c r="I566" s="10" t="s">
        <v>126</v>
      </c>
      <c r="J566" s="6" t="s">
        <v>127</v>
      </c>
      <c r="K566" s="12">
        <v>8</v>
      </c>
      <c r="L566" s="12" t="s">
        <v>120</v>
      </c>
      <c r="M566" s="18" t="s">
        <v>128</v>
      </c>
    </row>
    <row r="567" spans="2:13" ht="15.9" customHeight="1" x14ac:dyDescent="0.3">
      <c r="B567" s="19" t="s">
        <v>28</v>
      </c>
      <c r="C567" s="11" t="s">
        <v>83</v>
      </c>
      <c r="D567" s="18" t="s">
        <v>120</v>
      </c>
      <c r="E567" s="64">
        <v>32146677</v>
      </c>
      <c r="F567" s="107" t="s">
        <v>121</v>
      </c>
      <c r="G567" s="147" t="s">
        <v>122</v>
      </c>
      <c r="H567" s="60">
        <v>32044771</v>
      </c>
      <c r="I567" s="10" t="s">
        <v>129</v>
      </c>
      <c r="J567" s="6" t="s">
        <v>130</v>
      </c>
      <c r="K567" s="12">
        <v>8</v>
      </c>
      <c r="L567" s="12" t="s">
        <v>120</v>
      </c>
      <c r="M567" s="18" t="s">
        <v>72</v>
      </c>
    </row>
    <row r="568" spans="2:13" ht="15.9" customHeight="1" x14ac:dyDescent="0.3">
      <c r="B568" s="19" t="s">
        <v>28</v>
      </c>
      <c r="C568" s="11" t="s">
        <v>83</v>
      </c>
      <c r="D568" s="18" t="s">
        <v>120</v>
      </c>
      <c r="E568" s="64">
        <v>32146677</v>
      </c>
      <c r="F568" s="107" t="s">
        <v>121</v>
      </c>
      <c r="G568" s="146" t="s">
        <v>122</v>
      </c>
      <c r="H568" s="60">
        <v>32213345</v>
      </c>
      <c r="I568" s="10" t="s">
        <v>131</v>
      </c>
      <c r="J568" s="154" t="s">
        <v>132</v>
      </c>
      <c r="K568" s="12">
        <v>8</v>
      </c>
      <c r="L568" s="12" t="s">
        <v>120</v>
      </c>
      <c r="M568" s="18" t="s">
        <v>56</v>
      </c>
    </row>
    <row r="569" spans="2:13" ht="15.9" customHeight="1" x14ac:dyDescent="0.3">
      <c r="B569" s="19" t="s">
        <v>28</v>
      </c>
      <c r="C569" s="11" t="s">
        <v>83</v>
      </c>
      <c r="D569" s="18" t="s">
        <v>120</v>
      </c>
      <c r="E569" s="64">
        <v>32146677</v>
      </c>
      <c r="F569" s="107" t="s">
        <v>121</v>
      </c>
      <c r="G569" s="153" t="s">
        <v>122</v>
      </c>
      <c r="H569" s="60">
        <v>32044514</v>
      </c>
      <c r="I569" s="10" t="s">
        <v>133</v>
      </c>
      <c r="J569" s="6" t="s">
        <v>134</v>
      </c>
      <c r="K569" s="12">
        <v>8</v>
      </c>
      <c r="L569" s="12" t="s">
        <v>120</v>
      </c>
      <c r="M569" s="18" t="s">
        <v>35</v>
      </c>
    </row>
    <row r="570" spans="2:13" ht="15.9" customHeight="1" x14ac:dyDescent="0.3">
      <c r="B570" s="11" t="s">
        <v>28</v>
      </c>
      <c r="C570" s="11" t="s">
        <v>83</v>
      </c>
      <c r="D570" s="18" t="s">
        <v>120</v>
      </c>
      <c r="E570" s="64">
        <v>32146677</v>
      </c>
      <c r="F570" s="107" t="s">
        <v>121</v>
      </c>
      <c r="G570" s="146" t="s">
        <v>122</v>
      </c>
      <c r="H570" s="204">
        <v>32043880</v>
      </c>
      <c r="I570" s="10" t="s">
        <v>135</v>
      </c>
      <c r="J570" s="80" t="s">
        <v>136</v>
      </c>
      <c r="K570" s="12">
        <v>8</v>
      </c>
      <c r="L570" s="12" t="s">
        <v>120</v>
      </c>
      <c r="M570" s="18" t="s">
        <v>38</v>
      </c>
    </row>
    <row r="571" spans="2:13" ht="15.9" customHeight="1" x14ac:dyDescent="0.3">
      <c r="B571" s="19" t="s">
        <v>28</v>
      </c>
      <c r="C571" s="11" t="s">
        <v>83</v>
      </c>
      <c r="D571" s="18" t="s">
        <v>120</v>
      </c>
      <c r="E571" s="27">
        <v>32146677</v>
      </c>
      <c r="F571" s="200" t="s">
        <v>121</v>
      </c>
      <c r="G571" s="150" t="s">
        <v>122</v>
      </c>
      <c r="H571" s="60">
        <v>32044513</v>
      </c>
      <c r="I571" s="10" t="s">
        <v>137</v>
      </c>
      <c r="J571" s="6" t="s">
        <v>138</v>
      </c>
      <c r="K571" s="12">
        <v>8</v>
      </c>
      <c r="L571" s="12" t="s">
        <v>120</v>
      </c>
      <c r="M571" s="18" t="s">
        <v>44</v>
      </c>
    </row>
    <row r="572" spans="2:13" ht="15.9" customHeight="1" x14ac:dyDescent="0.3">
      <c r="B572" s="19" t="s">
        <v>28</v>
      </c>
      <c r="C572" s="11" t="s">
        <v>29</v>
      </c>
      <c r="D572" s="18" t="s">
        <v>139</v>
      </c>
      <c r="E572" s="41">
        <v>32046063</v>
      </c>
      <c r="F572" s="101" t="s">
        <v>140</v>
      </c>
      <c r="G572" s="146" t="s">
        <v>141</v>
      </c>
      <c r="H572" s="60">
        <v>32045574</v>
      </c>
      <c r="I572" s="10" t="s">
        <v>142</v>
      </c>
      <c r="J572" s="6" t="s">
        <v>143</v>
      </c>
      <c r="K572" s="12">
        <v>5</v>
      </c>
      <c r="L572" s="12" t="s">
        <v>139</v>
      </c>
      <c r="M572" s="18" t="s">
        <v>47</v>
      </c>
    </row>
    <row r="573" spans="2:13" ht="15.9" customHeight="1" x14ac:dyDescent="0.3">
      <c r="B573" s="11" t="s">
        <v>28</v>
      </c>
      <c r="C573" s="20" t="s">
        <v>29</v>
      </c>
      <c r="D573" s="25" t="s">
        <v>139</v>
      </c>
      <c r="E573" s="41">
        <v>32046063</v>
      </c>
      <c r="F573" s="101" t="s">
        <v>140</v>
      </c>
      <c r="G573" s="146" t="s">
        <v>141</v>
      </c>
      <c r="H573" s="61">
        <v>32222223</v>
      </c>
      <c r="I573" s="24" t="s">
        <v>144</v>
      </c>
      <c r="J573" s="6" t="s">
        <v>145</v>
      </c>
      <c r="K573" s="12">
        <v>5</v>
      </c>
      <c r="L573" s="21" t="s">
        <v>139</v>
      </c>
      <c r="M573" s="25" t="s">
        <v>56</v>
      </c>
    </row>
    <row r="574" spans="2:13" ht="15.9" customHeight="1" x14ac:dyDescent="0.3">
      <c r="B574" s="19" t="s">
        <v>28</v>
      </c>
      <c r="C574" s="11" t="s">
        <v>29</v>
      </c>
      <c r="D574" s="18" t="s">
        <v>139</v>
      </c>
      <c r="E574" s="41">
        <v>32046063</v>
      </c>
      <c r="F574" s="101" t="s">
        <v>140</v>
      </c>
      <c r="G574" s="146" t="s">
        <v>141</v>
      </c>
      <c r="H574" s="60">
        <v>32111307</v>
      </c>
      <c r="I574" s="10" t="s">
        <v>146</v>
      </c>
      <c r="J574" s="6" t="s">
        <v>147</v>
      </c>
      <c r="K574" s="12">
        <v>5</v>
      </c>
      <c r="L574" s="12" t="s">
        <v>139</v>
      </c>
      <c r="M574" s="18" t="s">
        <v>44</v>
      </c>
    </row>
    <row r="575" spans="2:13" ht="15.9" customHeight="1" x14ac:dyDescent="0.3">
      <c r="B575" s="19" t="s">
        <v>28</v>
      </c>
      <c r="C575" s="11" t="s">
        <v>29</v>
      </c>
      <c r="D575" s="18" t="s">
        <v>139</v>
      </c>
      <c r="E575" s="14">
        <v>32046063</v>
      </c>
      <c r="F575" s="67" t="s">
        <v>140</v>
      </c>
      <c r="G575" s="147" t="s">
        <v>141</v>
      </c>
      <c r="H575" s="60">
        <v>32213354</v>
      </c>
      <c r="I575" s="10" t="s">
        <v>2427</v>
      </c>
      <c r="J575" s="6" t="s">
        <v>2703</v>
      </c>
      <c r="K575" s="12">
        <v>5</v>
      </c>
      <c r="L575" s="12" t="s">
        <v>139</v>
      </c>
      <c r="M575" s="18" t="s">
        <v>56</v>
      </c>
    </row>
    <row r="576" spans="2:13" ht="15.9" customHeight="1" x14ac:dyDescent="0.3">
      <c r="B576" s="19" t="s">
        <v>28</v>
      </c>
      <c r="C576" s="11" t="s">
        <v>29</v>
      </c>
      <c r="D576" s="18" t="s">
        <v>139</v>
      </c>
      <c r="E576" s="120">
        <v>32046063</v>
      </c>
      <c r="F576" s="130" t="s">
        <v>140</v>
      </c>
      <c r="G576" s="147" t="s">
        <v>141</v>
      </c>
      <c r="H576" s="60">
        <v>32043891</v>
      </c>
      <c r="I576" s="10" t="s">
        <v>148</v>
      </c>
      <c r="J576" s="6" t="s">
        <v>149</v>
      </c>
      <c r="K576" s="12">
        <v>5</v>
      </c>
      <c r="L576" s="12" t="s">
        <v>139</v>
      </c>
      <c r="M576" s="18" t="s">
        <v>38</v>
      </c>
    </row>
    <row r="577" spans="2:13" ht="15.9" customHeight="1" x14ac:dyDescent="0.3">
      <c r="B577" s="19" t="s">
        <v>363</v>
      </c>
      <c r="C577" s="11">
        <v>6</v>
      </c>
      <c r="D577" s="12" t="s">
        <v>780</v>
      </c>
      <c r="E577" s="51">
        <v>32096431</v>
      </c>
      <c r="F577" s="98" t="s">
        <v>781</v>
      </c>
      <c r="G577" s="146" t="s">
        <v>782</v>
      </c>
      <c r="H577" s="60">
        <v>32067180</v>
      </c>
      <c r="I577" s="10" t="s">
        <v>808</v>
      </c>
      <c r="J577" s="6" t="s">
        <v>809</v>
      </c>
      <c r="K577" s="12">
        <v>16</v>
      </c>
      <c r="L577" s="10" t="s">
        <v>780</v>
      </c>
      <c r="M577" s="18" t="s">
        <v>461</v>
      </c>
    </row>
    <row r="578" spans="2:13" ht="15.9" customHeight="1" x14ac:dyDescent="0.3">
      <c r="B578" s="19" t="s">
        <v>363</v>
      </c>
      <c r="C578" s="11">
        <v>6</v>
      </c>
      <c r="D578" s="12" t="s">
        <v>780</v>
      </c>
      <c r="E578" s="51">
        <v>32096431</v>
      </c>
      <c r="F578" s="98" t="s">
        <v>781</v>
      </c>
      <c r="G578" s="150" t="s">
        <v>782</v>
      </c>
      <c r="H578" s="60">
        <v>32044354</v>
      </c>
      <c r="I578" s="10" t="s">
        <v>785</v>
      </c>
      <c r="J578" s="6" t="s">
        <v>786</v>
      </c>
      <c r="K578" s="12">
        <v>16</v>
      </c>
      <c r="L578" s="10" t="s">
        <v>780</v>
      </c>
      <c r="M578" s="18" t="s">
        <v>481</v>
      </c>
    </row>
    <row r="579" spans="2:13" ht="15.9" customHeight="1" x14ac:dyDescent="0.3">
      <c r="B579" s="19" t="s">
        <v>363</v>
      </c>
      <c r="C579" s="11">
        <v>6</v>
      </c>
      <c r="D579" s="12" t="s">
        <v>780</v>
      </c>
      <c r="E579" s="113">
        <v>32096431</v>
      </c>
      <c r="F579" s="129" t="s">
        <v>781</v>
      </c>
      <c r="G579" s="147" t="s">
        <v>782</v>
      </c>
      <c r="H579" s="60">
        <v>32155905</v>
      </c>
      <c r="I579" s="10" t="s">
        <v>813</v>
      </c>
      <c r="J579" s="6" t="s">
        <v>814</v>
      </c>
      <c r="K579" s="12">
        <v>16</v>
      </c>
      <c r="L579" s="10" t="s">
        <v>780</v>
      </c>
      <c r="M579" s="18" t="s">
        <v>456</v>
      </c>
    </row>
    <row r="580" spans="2:13" ht="15.9" customHeight="1" x14ac:dyDescent="0.3">
      <c r="B580" s="19" t="s">
        <v>363</v>
      </c>
      <c r="C580" s="11">
        <v>6</v>
      </c>
      <c r="D580" s="12" t="s">
        <v>780</v>
      </c>
      <c r="E580" s="51">
        <v>32096431</v>
      </c>
      <c r="F580" s="98" t="s">
        <v>781</v>
      </c>
      <c r="G580" s="147" t="s">
        <v>782</v>
      </c>
      <c r="H580" s="60">
        <v>32044703</v>
      </c>
      <c r="I580" s="10" t="s">
        <v>791</v>
      </c>
      <c r="J580" s="6" t="s">
        <v>792</v>
      </c>
      <c r="K580" s="12">
        <v>16</v>
      </c>
      <c r="L580" s="10" t="s">
        <v>780</v>
      </c>
      <c r="M580" s="18" t="s">
        <v>758</v>
      </c>
    </row>
    <row r="581" spans="2:13" ht="15.9" customHeight="1" x14ac:dyDescent="0.3">
      <c r="B581" s="11" t="s">
        <v>363</v>
      </c>
      <c r="C581" s="11">
        <v>6</v>
      </c>
      <c r="D581" s="12" t="s">
        <v>780</v>
      </c>
      <c r="E581" s="110">
        <v>32096431</v>
      </c>
      <c r="F581" s="131" t="s">
        <v>781</v>
      </c>
      <c r="G581" s="146" t="s">
        <v>782</v>
      </c>
      <c r="H581" s="60">
        <v>32044710</v>
      </c>
      <c r="I581" s="10" t="s">
        <v>793</v>
      </c>
      <c r="J581" s="154" t="s">
        <v>794</v>
      </c>
      <c r="K581" s="12">
        <v>16</v>
      </c>
      <c r="L581" s="10" t="s">
        <v>780</v>
      </c>
      <c r="M581" s="18" t="s">
        <v>447</v>
      </c>
    </row>
    <row r="582" spans="2:13" ht="15.9" customHeight="1" x14ac:dyDescent="0.3">
      <c r="B582" s="19" t="s">
        <v>363</v>
      </c>
      <c r="C582" s="11">
        <v>6</v>
      </c>
      <c r="D582" s="12" t="s">
        <v>780</v>
      </c>
      <c r="E582" s="113">
        <v>32096431</v>
      </c>
      <c r="F582" s="129" t="s">
        <v>781</v>
      </c>
      <c r="G582" s="153" t="s">
        <v>782</v>
      </c>
      <c r="H582" s="60">
        <v>32045623</v>
      </c>
      <c r="I582" s="10" t="s">
        <v>799</v>
      </c>
      <c r="J582" s="6" t="s">
        <v>800</v>
      </c>
      <c r="K582" s="12">
        <v>16</v>
      </c>
      <c r="L582" s="10" t="s">
        <v>780</v>
      </c>
      <c r="M582" s="18" t="s">
        <v>705</v>
      </c>
    </row>
    <row r="583" spans="2:13" ht="15.9" customHeight="1" x14ac:dyDescent="0.3">
      <c r="B583" s="19" t="s">
        <v>363</v>
      </c>
      <c r="C583" s="11">
        <v>6</v>
      </c>
      <c r="D583" s="12" t="s">
        <v>780</v>
      </c>
      <c r="E583" s="113">
        <v>32096431</v>
      </c>
      <c r="F583" s="129" t="s">
        <v>781</v>
      </c>
      <c r="G583" s="146" t="s">
        <v>782</v>
      </c>
      <c r="H583" s="60">
        <v>32045551</v>
      </c>
      <c r="I583" s="10" t="s">
        <v>797</v>
      </c>
      <c r="J583" s="6" t="s">
        <v>798</v>
      </c>
      <c r="K583" s="12">
        <v>16</v>
      </c>
      <c r="L583" s="10" t="s">
        <v>780</v>
      </c>
      <c r="M583" s="18" t="s">
        <v>651</v>
      </c>
    </row>
    <row r="584" spans="2:13" ht="15.9" customHeight="1" x14ac:dyDescent="0.3">
      <c r="B584" s="19" t="s">
        <v>363</v>
      </c>
      <c r="C584" s="11">
        <v>6</v>
      </c>
      <c r="D584" s="12" t="s">
        <v>780</v>
      </c>
      <c r="E584" s="113">
        <v>32096431</v>
      </c>
      <c r="F584" s="129" t="s">
        <v>781</v>
      </c>
      <c r="G584" s="150" t="s">
        <v>782</v>
      </c>
      <c r="H584" s="60">
        <v>32132588</v>
      </c>
      <c r="I584" s="10" t="s">
        <v>810</v>
      </c>
      <c r="J584" s="6" t="s">
        <v>811</v>
      </c>
      <c r="K584" s="12">
        <v>16</v>
      </c>
      <c r="L584" s="10" t="s">
        <v>780</v>
      </c>
      <c r="M584" s="18" t="s">
        <v>812</v>
      </c>
    </row>
    <row r="585" spans="2:13" ht="15.9" customHeight="1" x14ac:dyDescent="0.3">
      <c r="B585" s="19" t="s">
        <v>363</v>
      </c>
      <c r="C585" s="11">
        <v>6</v>
      </c>
      <c r="D585" s="12" t="s">
        <v>780</v>
      </c>
      <c r="E585" s="51">
        <v>32096431</v>
      </c>
      <c r="F585" s="98" t="s">
        <v>781</v>
      </c>
      <c r="G585" s="146" t="s">
        <v>782</v>
      </c>
      <c r="H585" s="60">
        <v>32067156</v>
      </c>
      <c r="I585" s="10" t="s">
        <v>805</v>
      </c>
      <c r="J585" s="6" t="s">
        <v>806</v>
      </c>
      <c r="K585" s="12">
        <v>16</v>
      </c>
      <c r="L585" s="10" t="s">
        <v>780</v>
      </c>
      <c r="M585" s="18" t="s">
        <v>807</v>
      </c>
    </row>
    <row r="586" spans="2:13" ht="15.9" customHeight="1" x14ac:dyDescent="0.3">
      <c r="B586" s="19" t="s">
        <v>363</v>
      </c>
      <c r="C586" s="20">
        <v>6</v>
      </c>
      <c r="D586" s="21" t="s">
        <v>780</v>
      </c>
      <c r="E586" s="113">
        <v>32096431</v>
      </c>
      <c r="F586" s="129" t="s">
        <v>781</v>
      </c>
      <c r="G586" s="146" t="s">
        <v>782</v>
      </c>
      <c r="H586" s="61">
        <v>32056899</v>
      </c>
      <c r="I586" s="24" t="s">
        <v>801</v>
      </c>
      <c r="J586" s="6" t="s">
        <v>802</v>
      </c>
      <c r="K586" s="12">
        <v>16</v>
      </c>
      <c r="L586" s="24" t="s">
        <v>780</v>
      </c>
      <c r="M586" s="25" t="s">
        <v>564</v>
      </c>
    </row>
    <row r="587" spans="2:13" ht="15.9" customHeight="1" x14ac:dyDescent="0.3">
      <c r="B587" s="19" t="s">
        <v>363</v>
      </c>
      <c r="C587" s="11">
        <v>6</v>
      </c>
      <c r="D587" s="12" t="s">
        <v>780</v>
      </c>
      <c r="E587" s="12">
        <v>32096431</v>
      </c>
      <c r="F587" s="50" t="s">
        <v>781</v>
      </c>
      <c r="G587" s="146" t="s">
        <v>782</v>
      </c>
      <c r="H587" s="60">
        <v>32058093</v>
      </c>
      <c r="I587" s="10" t="s">
        <v>803</v>
      </c>
      <c r="J587" s="6" t="s">
        <v>804</v>
      </c>
      <c r="K587" s="12">
        <v>16</v>
      </c>
      <c r="L587" s="10" t="s">
        <v>780</v>
      </c>
      <c r="M587" s="18" t="s">
        <v>481</v>
      </c>
    </row>
    <row r="588" spans="2:13" ht="15.9" customHeight="1" x14ac:dyDescent="0.3">
      <c r="B588" s="19" t="s">
        <v>363</v>
      </c>
      <c r="C588" s="11">
        <v>6</v>
      </c>
      <c r="D588" s="12" t="s">
        <v>780</v>
      </c>
      <c r="E588" s="51">
        <v>32096431</v>
      </c>
      <c r="F588" s="98" t="s">
        <v>781</v>
      </c>
      <c r="G588" s="146" t="s">
        <v>782</v>
      </c>
      <c r="H588" s="60">
        <v>32043943</v>
      </c>
      <c r="I588" s="10" t="s">
        <v>783</v>
      </c>
      <c r="J588" s="6" t="s">
        <v>784</v>
      </c>
      <c r="K588" s="12">
        <v>16</v>
      </c>
      <c r="L588" s="10" t="s">
        <v>780</v>
      </c>
      <c r="M588" s="18" t="s">
        <v>779</v>
      </c>
    </row>
    <row r="589" spans="2:13" ht="15.9" customHeight="1" x14ac:dyDescent="0.3">
      <c r="B589" s="19" t="s">
        <v>363</v>
      </c>
      <c r="C589" s="11">
        <v>6</v>
      </c>
      <c r="D589" s="12" t="s">
        <v>780</v>
      </c>
      <c r="E589" s="51">
        <v>32096431</v>
      </c>
      <c r="F589" s="98" t="s">
        <v>781</v>
      </c>
      <c r="G589" s="146" t="s">
        <v>782</v>
      </c>
      <c r="H589" s="60">
        <v>32044745</v>
      </c>
      <c r="I589" s="10" t="s">
        <v>795</v>
      </c>
      <c r="J589" s="6" t="s">
        <v>796</v>
      </c>
      <c r="K589" s="12">
        <v>16</v>
      </c>
      <c r="L589" s="10" t="s">
        <v>780</v>
      </c>
      <c r="M589" s="18" t="s">
        <v>464</v>
      </c>
    </row>
    <row r="590" spans="2:13" ht="15.9" customHeight="1" x14ac:dyDescent="0.3">
      <c r="B590" s="19" t="s">
        <v>363</v>
      </c>
      <c r="C590" s="11">
        <v>6</v>
      </c>
      <c r="D590" s="12" t="s">
        <v>780</v>
      </c>
      <c r="E590" s="113">
        <v>32096431</v>
      </c>
      <c r="F590" s="129" t="s">
        <v>781</v>
      </c>
      <c r="G590" s="146" t="s">
        <v>782</v>
      </c>
      <c r="H590" s="60">
        <v>32044444</v>
      </c>
      <c r="I590" s="10" t="s">
        <v>787</v>
      </c>
      <c r="J590" s="6" t="s">
        <v>788</v>
      </c>
      <c r="K590" s="12">
        <v>16</v>
      </c>
      <c r="L590" s="10" t="s">
        <v>780</v>
      </c>
      <c r="M590" s="18" t="s">
        <v>666</v>
      </c>
    </row>
    <row r="591" spans="2:13" ht="15.9" customHeight="1" x14ac:dyDescent="0.3">
      <c r="B591" s="19" t="s">
        <v>363</v>
      </c>
      <c r="C591" s="11">
        <v>6</v>
      </c>
      <c r="D591" s="12" t="s">
        <v>780</v>
      </c>
      <c r="E591" s="113">
        <v>32096431</v>
      </c>
      <c r="F591" s="129" t="s">
        <v>781</v>
      </c>
      <c r="G591" s="146" t="s">
        <v>782</v>
      </c>
      <c r="H591" s="60">
        <v>32044622</v>
      </c>
      <c r="I591" s="10" t="s">
        <v>789</v>
      </c>
      <c r="J591" s="143" t="s">
        <v>790</v>
      </c>
      <c r="K591" s="12">
        <v>16</v>
      </c>
      <c r="L591" s="10" t="s">
        <v>780</v>
      </c>
      <c r="M591" s="18" t="s">
        <v>467</v>
      </c>
    </row>
    <row r="592" spans="2:13" ht="15.9" customHeight="1" x14ac:dyDescent="0.3">
      <c r="B592" s="19" t="s">
        <v>363</v>
      </c>
      <c r="C592" s="11">
        <v>6</v>
      </c>
      <c r="D592" s="12" t="s">
        <v>780</v>
      </c>
      <c r="E592" s="12">
        <v>32096431</v>
      </c>
      <c r="F592" s="50" t="s">
        <v>781</v>
      </c>
      <c r="G592" s="146" t="s">
        <v>782</v>
      </c>
      <c r="H592" s="60">
        <v>32171445</v>
      </c>
      <c r="I592" s="10" t="s">
        <v>815</v>
      </c>
      <c r="J592" s="80" t="s">
        <v>61</v>
      </c>
      <c r="K592" s="12">
        <v>16</v>
      </c>
      <c r="L592" s="10" t="s">
        <v>780</v>
      </c>
      <c r="M592" s="18" t="s">
        <v>666</v>
      </c>
    </row>
    <row r="593" spans="2:13" ht="15.9" customHeight="1" x14ac:dyDescent="0.3">
      <c r="B593" s="19" t="s">
        <v>363</v>
      </c>
      <c r="C593" s="11" t="s">
        <v>1560</v>
      </c>
      <c r="D593" s="12" t="s">
        <v>1561</v>
      </c>
      <c r="E593" s="112">
        <v>32231920</v>
      </c>
      <c r="F593" s="165" t="s">
        <v>1079</v>
      </c>
      <c r="G593" s="153" t="s">
        <v>1106</v>
      </c>
      <c r="H593" s="60">
        <v>32186046</v>
      </c>
      <c r="I593" s="10" t="s">
        <v>1582</v>
      </c>
      <c r="J593" s="6" t="s">
        <v>1583</v>
      </c>
      <c r="K593" s="12">
        <v>13</v>
      </c>
      <c r="L593" s="10" t="s">
        <v>1561</v>
      </c>
      <c r="M593" s="18" t="s">
        <v>973</v>
      </c>
    </row>
    <row r="594" spans="2:13" ht="15.9" customHeight="1" x14ac:dyDescent="0.3">
      <c r="B594" s="19" t="s">
        <v>363</v>
      </c>
      <c r="C594" s="11" t="s">
        <v>1560</v>
      </c>
      <c r="D594" s="12" t="s">
        <v>1561</v>
      </c>
      <c r="E594" s="112">
        <v>32231920</v>
      </c>
      <c r="F594" s="165" t="s">
        <v>1079</v>
      </c>
      <c r="G594" s="146" t="s">
        <v>1106</v>
      </c>
      <c r="H594" s="60">
        <v>32046387</v>
      </c>
      <c r="I594" s="10" t="s">
        <v>1107</v>
      </c>
      <c r="J594" s="80" t="s">
        <v>61</v>
      </c>
      <c r="K594" s="12">
        <v>13</v>
      </c>
      <c r="L594" s="10" t="s">
        <v>1561</v>
      </c>
      <c r="M594" s="18" t="s">
        <v>719</v>
      </c>
    </row>
    <row r="595" spans="2:13" ht="15.9" customHeight="1" x14ac:dyDescent="0.3">
      <c r="B595" s="19" t="s">
        <v>363</v>
      </c>
      <c r="C595" s="11" t="s">
        <v>1560</v>
      </c>
      <c r="D595" s="12" t="s">
        <v>1561</v>
      </c>
      <c r="E595" s="94">
        <v>32231920</v>
      </c>
      <c r="F595" s="166" t="s">
        <v>1079</v>
      </c>
      <c r="G595" s="146" t="s">
        <v>1106</v>
      </c>
      <c r="H595" s="60">
        <v>32046310</v>
      </c>
      <c r="I595" s="10" t="s">
        <v>1568</v>
      </c>
      <c r="J595" s="6" t="s">
        <v>1569</v>
      </c>
      <c r="K595" s="12">
        <v>13</v>
      </c>
      <c r="L595" s="10" t="s">
        <v>1561</v>
      </c>
      <c r="M595" s="18" t="s">
        <v>453</v>
      </c>
    </row>
    <row r="596" spans="2:13" ht="15.9" customHeight="1" x14ac:dyDescent="0.3">
      <c r="B596" s="19" t="s">
        <v>363</v>
      </c>
      <c r="C596" s="11" t="s">
        <v>1560</v>
      </c>
      <c r="D596" s="12" t="s">
        <v>1561</v>
      </c>
      <c r="E596" s="112">
        <v>32231920</v>
      </c>
      <c r="F596" s="165" t="s">
        <v>1079</v>
      </c>
      <c r="G596" s="146" t="s">
        <v>1106</v>
      </c>
      <c r="H596" s="60">
        <v>32046154</v>
      </c>
      <c r="I596" s="10" t="s">
        <v>1565</v>
      </c>
      <c r="J596" s="154" t="s">
        <v>1566</v>
      </c>
      <c r="K596" s="12">
        <v>13</v>
      </c>
      <c r="L596" s="10" t="s">
        <v>1561</v>
      </c>
      <c r="M596" s="18" t="s">
        <v>461</v>
      </c>
    </row>
    <row r="597" spans="2:13" ht="15.9" customHeight="1" x14ac:dyDescent="0.3">
      <c r="B597" s="19" t="s">
        <v>363</v>
      </c>
      <c r="C597" s="11" t="s">
        <v>1560</v>
      </c>
      <c r="D597" s="12" t="s">
        <v>1561</v>
      </c>
      <c r="E597" s="112">
        <v>32231920</v>
      </c>
      <c r="F597" s="165" t="s">
        <v>1079</v>
      </c>
      <c r="G597" s="146" t="s">
        <v>1106</v>
      </c>
      <c r="H597" s="60">
        <v>32188010</v>
      </c>
      <c r="I597" s="10" t="s">
        <v>2428</v>
      </c>
      <c r="J597" s="10" t="s">
        <v>61</v>
      </c>
      <c r="K597" s="12">
        <v>13</v>
      </c>
      <c r="L597" s="10" t="s">
        <v>1561</v>
      </c>
      <c r="M597" s="18" t="s">
        <v>564</v>
      </c>
    </row>
    <row r="598" spans="2:13" ht="15.9" customHeight="1" x14ac:dyDescent="0.3">
      <c r="B598" s="19" t="s">
        <v>363</v>
      </c>
      <c r="C598" s="11" t="s">
        <v>1560</v>
      </c>
      <c r="D598" s="12" t="s">
        <v>1561</v>
      </c>
      <c r="E598" s="112">
        <v>32231920</v>
      </c>
      <c r="F598" s="165" t="s">
        <v>1079</v>
      </c>
      <c r="G598" s="146" t="s">
        <v>1106</v>
      </c>
      <c r="H598" s="60">
        <v>32046029</v>
      </c>
      <c r="I598" s="10" t="s">
        <v>1563</v>
      </c>
      <c r="J598" s="6" t="s">
        <v>1564</v>
      </c>
      <c r="K598" s="12">
        <v>13</v>
      </c>
      <c r="L598" s="10" t="s">
        <v>1561</v>
      </c>
      <c r="M598" s="18" t="s">
        <v>711</v>
      </c>
    </row>
    <row r="599" spans="2:13" ht="15.9" customHeight="1" x14ac:dyDescent="0.3">
      <c r="B599" s="19" t="s">
        <v>363</v>
      </c>
      <c r="C599" s="20" t="s">
        <v>1560</v>
      </c>
      <c r="D599" s="21" t="s">
        <v>1561</v>
      </c>
      <c r="E599" s="94">
        <v>32231920</v>
      </c>
      <c r="F599" s="166" t="s">
        <v>1079</v>
      </c>
      <c r="G599" s="153" t="s">
        <v>1106</v>
      </c>
      <c r="H599" s="61">
        <v>32149071</v>
      </c>
      <c r="I599" s="24" t="s">
        <v>1580</v>
      </c>
      <c r="J599" s="156" t="s">
        <v>1581</v>
      </c>
      <c r="K599" s="12">
        <v>13</v>
      </c>
      <c r="L599" s="24" t="s">
        <v>1561</v>
      </c>
      <c r="M599" s="25" t="s">
        <v>1069</v>
      </c>
    </row>
    <row r="600" spans="2:13" ht="15.9" customHeight="1" x14ac:dyDescent="0.3">
      <c r="B600" s="19" t="s">
        <v>363</v>
      </c>
      <c r="C600" s="11" t="s">
        <v>1560</v>
      </c>
      <c r="D600" s="12" t="s">
        <v>1561</v>
      </c>
      <c r="E600" s="112">
        <v>32231920</v>
      </c>
      <c r="F600" s="165" t="s">
        <v>1079</v>
      </c>
      <c r="G600" s="146" t="s">
        <v>1106</v>
      </c>
      <c r="H600" s="60">
        <v>32046348</v>
      </c>
      <c r="I600" s="10" t="s">
        <v>1570</v>
      </c>
      <c r="J600" s="154" t="s">
        <v>1571</v>
      </c>
      <c r="K600" s="12">
        <v>13</v>
      </c>
      <c r="L600" s="10" t="s">
        <v>1561</v>
      </c>
      <c r="M600" s="18" t="s">
        <v>456</v>
      </c>
    </row>
    <row r="601" spans="2:13" ht="15.9" customHeight="1" x14ac:dyDescent="0.3">
      <c r="B601" s="19" t="s">
        <v>363</v>
      </c>
      <c r="C601" s="11" t="s">
        <v>1560</v>
      </c>
      <c r="D601" s="12" t="s">
        <v>1561</v>
      </c>
      <c r="E601" s="112">
        <v>32231920</v>
      </c>
      <c r="F601" s="165" t="s">
        <v>1079</v>
      </c>
      <c r="G601" s="146" t="s">
        <v>1106</v>
      </c>
      <c r="H601" s="60">
        <v>32132599</v>
      </c>
      <c r="I601" s="10" t="s">
        <v>1576</v>
      </c>
      <c r="J601" s="143" t="s">
        <v>1577</v>
      </c>
      <c r="K601" s="12">
        <v>13</v>
      </c>
      <c r="L601" s="10" t="s">
        <v>1561</v>
      </c>
      <c r="M601" s="18" t="s">
        <v>1056</v>
      </c>
    </row>
    <row r="602" spans="2:13" ht="15.9" customHeight="1" x14ac:dyDescent="0.3">
      <c r="B602" s="19" t="s">
        <v>363</v>
      </c>
      <c r="C602" s="11" t="s">
        <v>1560</v>
      </c>
      <c r="D602" s="12" t="s">
        <v>1561</v>
      </c>
      <c r="E602" s="112">
        <v>32231920</v>
      </c>
      <c r="F602" s="165" t="s">
        <v>1079</v>
      </c>
      <c r="G602" s="146" t="s">
        <v>1106</v>
      </c>
      <c r="H602" s="60">
        <v>32045984</v>
      </c>
      <c r="I602" s="10" t="s">
        <v>1562</v>
      </c>
      <c r="J602" s="10" t="s">
        <v>61</v>
      </c>
      <c r="K602" s="12">
        <v>13</v>
      </c>
      <c r="L602" s="10" t="s">
        <v>1561</v>
      </c>
      <c r="M602" s="18" t="s">
        <v>705</v>
      </c>
    </row>
    <row r="603" spans="2:13" ht="15.9" customHeight="1" x14ac:dyDescent="0.3">
      <c r="B603" s="19" t="s">
        <v>363</v>
      </c>
      <c r="C603" s="11" t="s">
        <v>1560</v>
      </c>
      <c r="D603" s="12" t="s">
        <v>1561</v>
      </c>
      <c r="E603" s="112">
        <v>32231920</v>
      </c>
      <c r="F603" s="165" t="s">
        <v>1079</v>
      </c>
      <c r="G603" s="153" t="s">
        <v>1106</v>
      </c>
      <c r="H603" s="60">
        <v>32046591</v>
      </c>
      <c r="I603" s="10" t="s">
        <v>1574</v>
      </c>
      <c r="J603" s="6" t="s">
        <v>1575</v>
      </c>
      <c r="K603" s="12">
        <v>13</v>
      </c>
      <c r="L603" s="10" t="s">
        <v>1561</v>
      </c>
      <c r="M603" s="18" t="s">
        <v>1074</v>
      </c>
    </row>
    <row r="604" spans="2:13" ht="15.9" customHeight="1" x14ac:dyDescent="0.3">
      <c r="B604" s="11" t="s">
        <v>363</v>
      </c>
      <c r="C604" s="11" t="s">
        <v>1560</v>
      </c>
      <c r="D604" s="12" t="s">
        <v>1561</v>
      </c>
      <c r="E604" s="95">
        <v>32231920</v>
      </c>
      <c r="F604" s="163" t="s">
        <v>1079</v>
      </c>
      <c r="G604" s="146" t="s">
        <v>1106</v>
      </c>
      <c r="H604" s="60">
        <v>32131812</v>
      </c>
      <c r="I604" s="10" t="s">
        <v>2429</v>
      </c>
      <c r="J604" s="10" t="s">
        <v>61</v>
      </c>
      <c r="K604" s="12">
        <v>13</v>
      </c>
      <c r="L604" s="10" t="s">
        <v>1561</v>
      </c>
      <c r="M604" s="18" t="s">
        <v>1077</v>
      </c>
    </row>
    <row r="605" spans="2:13" ht="15.9" customHeight="1" x14ac:dyDescent="0.3">
      <c r="B605" s="19" t="s">
        <v>363</v>
      </c>
      <c r="C605" s="11" t="s">
        <v>1560</v>
      </c>
      <c r="D605" s="12" t="s">
        <v>1561</v>
      </c>
      <c r="E605" s="94">
        <v>32231920</v>
      </c>
      <c r="F605" s="166" t="s">
        <v>1079</v>
      </c>
      <c r="G605" s="150" t="s">
        <v>1106</v>
      </c>
      <c r="H605" s="60">
        <v>32046503</v>
      </c>
      <c r="I605" s="10" t="s">
        <v>1572</v>
      </c>
      <c r="J605" s="6" t="s">
        <v>1573</v>
      </c>
      <c r="K605" s="12">
        <v>13</v>
      </c>
      <c r="L605" s="10" t="s">
        <v>1561</v>
      </c>
      <c r="M605" s="18" t="s">
        <v>447</v>
      </c>
    </row>
    <row r="606" spans="2:13" ht="15.9" customHeight="1" x14ac:dyDescent="0.3">
      <c r="B606" s="19" t="s">
        <v>363</v>
      </c>
      <c r="C606" s="11">
        <v>5</v>
      </c>
      <c r="D606" s="12" t="s">
        <v>708</v>
      </c>
      <c r="E606" s="12">
        <v>32046005</v>
      </c>
      <c r="F606" s="50" t="s">
        <v>2355</v>
      </c>
      <c r="G606" s="146" t="s">
        <v>516</v>
      </c>
      <c r="H606" s="60">
        <v>32045395</v>
      </c>
      <c r="I606" s="10" t="s">
        <v>720</v>
      </c>
      <c r="J606" s="6" t="s">
        <v>721</v>
      </c>
      <c r="K606" s="12">
        <v>13</v>
      </c>
      <c r="L606" s="10" t="s">
        <v>708</v>
      </c>
      <c r="M606" s="18" t="s">
        <v>519</v>
      </c>
    </row>
    <row r="607" spans="2:13" ht="15.9" customHeight="1" x14ac:dyDescent="0.3">
      <c r="B607" s="19" t="s">
        <v>363</v>
      </c>
      <c r="C607" s="11">
        <v>5</v>
      </c>
      <c r="D607" s="12" t="s">
        <v>708</v>
      </c>
      <c r="E607" s="12">
        <v>32046005</v>
      </c>
      <c r="F607" s="50" t="s">
        <v>2355</v>
      </c>
      <c r="G607" s="146" t="s">
        <v>516</v>
      </c>
      <c r="H607" s="60">
        <v>32045170</v>
      </c>
      <c r="I607" s="10" t="s">
        <v>715</v>
      </c>
      <c r="J607" s="143" t="s">
        <v>716</v>
      </c>
      <c r="K607" s="12">
        <v>13</v>
      </c>
      <c r="L607" s="10" t="s">
        <v>708</v>
      </c>
      <c r="M607" s="18" t="s">
        <v>596</v>
      </c>
    </row>
    <row r="608" spans="2:13" ht="15.9" customHeight="1" x14ac:dyDescent="0.3">
      <c r="B608" s="19" t="s">
        <v>363</v>
      </c>
      <c r="C608" s="11">
        <v>5</v>
      </c>
      <c r="D608" s="12" t="s">
        <v>708</v>
      </c>
      <c r="E608" s="12">
        <v>32046005</v>
      </c>
      <c r="F608" s="50" t="s">
        <v>2355</v>
      </c>
      <c r="G608" s="146" t="s">
        <v>516</v>
      </c>
      <c r="H608" s="60">
        <v>32045599</v>
      </c>
      <c r="I608" s="10" t="s">
        <v>722</v>
      </c>
      <c r="J608" s="143" t="s">
        <v>723</v>
      </c>
      <c r="K608" s="12">
        <v>13</v>
      </c>
      <c r="L608" s="10" t="s">
        <v>708</v>
      </c>
      <c r="M608" s="18" t="s">
        <v>581</v>
      </c>
    </row>
    <row r="609" spans="2:13" ht="15.9" customHeight="1" x14ac:dyDescent="0.3">
      <c r="B609" s="19" t="s">
        <v>363</v>
      </c>
      <c r="C609" s="11">
        <v>5</v>
      </c>
      <c r="D609" s="12" t="s">
        <v>708</v>
      </c>
      <c r="E609" s="112">
        <v>32147380</v>
      </c>
      <c r="F609" s="165" t="s">
        <v>386</v>
      </c>
      <c r="G609" s="146" t="s">
        <v>565</v>
      </c>
      <c r="H609" s="60">
        <v>32045207</v>
      </c>
      <c r="I609" s="10" t="s">
        <v>717</v>
      </c>
      <c r="J609" s="6" t="s">
        <v>718</v>
      </c>
      <c r="K609" s="12">
        <v>13</v>
      </c>
      <c r="L609" s="10" t="s">
        <v>708</v>
      </c>
      <c r="M609" s="18" t="s">
        <v>719</v>
      </c>
    </row>
    <row r="610" spans="2:13" ht="15.9" customHeight="1" x14ac:dyDescent="0.3">
      <c r="B610" s="19" t="s">
        <v>363</v>
      </c>
      <c r="C610" s="11">
        <v>5</v>
      </c>
      <c r="D610" s="12" t="s">
        <v>708</v>
      </c>
      <c r="E610" s="94">
        <v>32147380</v>
      </c>
      <c r="F610" s="166" t="s">
        <v>386</v>
      </c>
      <c r="G610" s="146" t="s">
        <v>565</v>
      </c>
      <c r="H610" s="60">
        <v>32132188</v>
      </c>
      <c r="I610" s="10" t="s">
        <v>730</v>
      </c>
      <c r="J610" s="143" t="s">
        <v>731</v>
      </c>
      <c r="K610" s="12">
        <v>13</v>
      </c>
      <c r="L610" s="10" t="s">
        <v>708</v>
      </c>
      <c r="M610" s="18" t="s">
        <v>590</v>
      </c>
    </row>
    <row r="611" spans="2:13" ht="15.9" customHeight="1" x14ac:dyDescent="0.3">
      <c r="B611" s="19" t="s">
        <v>363</v>
      </c>
      <c r="C611" s="11">
        <v>5</v>
      </c>
      <c r="D611" s="12" t="s">
        <v>708</v>
      </c>
      <c r="E611" s="112">
        <v>32147380</v>
      </c>
      <c r="F611" s="165" t="s">
        <v>386</v>
      </c>
      <c r="G611" s="146" t="s">
        <v>565</v>
      </c>
      <c r="H611" s="60">
        <v>32046477</v>
      </c>
      <c r="I611" s="10" t="s">
        <v>726</v>
      </c>
      <c r="J611" s="6" t="s">
        <v>727</v>
      </c>
      <c r="K611" s="12">
        <v>13</v>
      </c>
      <c r="L611" s="10" t="s">
        <v>708</v>
      </c>
      <c r="M611" s="18" t="s">
        <v>456</v>
      </c>
    </row>
    <row r="612" spans="2:13" ht="15.9" customHeight="1" x14ac:dyDescent="0.3">
      <c r="B612" s="19" t="s">
        <v>363</v>
      </c>
      <c r="C612" s="11">
        <v>5</v>
      </c>
      <c r="D612" s="12" t="s">
        <v>708</v>
      </c>
      <c r="E612" s="112">
        <v>32147380</v>
      </c>
      <c r="F612" s="165" t="s">
        <v>386</v>
      </c>
      <c r="G612" s="146" t="s">
        <v>565</v>
      </c>
      <c r="H612" s="60">
        <v>32045656</v>
      </c>
      <c r="I612" s="10" t="s">
        <v>724</v>
      </c>
      <c r="J612" s="81" t="s">
        <v>725</v>
      </c>
      <c r="K612" s="12">
        <v>13</v>
      </c>
      <c r="L612" s="10" t="s">
        <v>708</v>
      </c>
      <c r="M612" s="18" t="s">
        <v>470</v>
      </c>
    </row>
    <row r="613" spans="2:13" ht="15.9" customHeight="1" x14ac:dyDescent="0.3">
      <c r="B613" s="19" t="s">
        <v>363</v>
      </c>
      <c r="C613" s="11">
        <v>5</v>
      </c>
      <c r="D613" s="12" t="s">
        <v>708</v>
      </c>
      <c r="E613" s="112">
        <v>32147380</v>
      </c>
      <c r="F613" s="165" t="s">
        <v>386</v>
      </c>
      <c r="G613" s="146" t="s">
        <v>565</v>
      </c>
      <c r="H613" s="60">
        <v>32143263</v>
      </c>
      <c r="I613" s="10" t="s">
        <v>734</v>
      </c>
      <c r="J613" s="6" t="s">
        <v>735</v>
      </c>
      <c r="K613" s="12">
        <v>13</v>
      </c>
      <c r="L613" s="10" t="s">
        <v>708</v>
      </c>
      <c r="M613" s="18" t="s">
        <v>587</v>
      </c>
    </row>
    <row r="614" spans="2:13" ht="15.9" customHeight="1" x14ac:dyDescent="0.3">
      <c r="B614" s="19" t="s">
        <v>363</v>
      </c>
      <c r="C614" s="20">
        <v>5</v>
      </c>
      <c r="D614" s="24" t="s">
        <v>708</v>
      </c>
      <c r="E614" s="112">
        <v>32147380</v>
      </c>
      <c r="F614" s="167" t="s">
        <v>386</v>
      </c>
      <c r="G614" s="146" t="s">
        <v>565</v>
      </c>
      <c r="H614" s="61">
        <v>32046149</v>
      </c>
      <c r="I614" s="24" t="s">
        <v>1015</v>
      </c>
      <c r="J614" s="143" t="s">
        <v>1016</v>
      </c>
      <c r="K614" s="12">
        <v>14</v>
      </c>
      <c r="L614" s="24" t="s">
        <v>708</v>
      </c>
      <c r="M614" s="25" t="s">
        <v>1017</v>
      </c>
    </row>
    <row r="615" spans="2:13" ht="15.9" customHeight="1" x14ac:dyDescent="0.3">
      <c r="B615" s="19" t="s">
        <v>363</v>
      </c>
      <c r="C615" s="11">
        <v>5</v>
      </c>
      <c r="D615" s="12" t="s">
        <v>708</v>
      </c>
      <c r="E615" s="94">
        <v>32147380</v>
      </c>
      <c r="F615" s="166" t="s">
        <v>386</v>
      </c>
      <c r="G615" s="146" t="s">
        <v>565</v>
      </c>
      <c r="H615" s="60">
        <v>32142764</v>
      </c>
      <c r="I615" s="10" t="s">
        <v>732</v>
      </c>
      <c r="J615" s="6" t="s">
        <v>733</v>
      </c>
      <c r="K615" s="12">
        <v>13</v>
      </c>
      <c r="L615" s="10" t="s">
        <v>708</v>
      </c>
      <c r="M615" s="18" t="s">
        <v>593</v>
      </c>
    </row>
    <row r="616" spans="2:13" ht="15.9" customHeight="1" x14ac:dyDescent="0.3">
      <c r="B616" s="19" t="s">
        <v>363</v>
      </c>
      <c r="C616" s="11">
        <v>5</v>
      </c>
      <c r="D616" s="12" t="s">
        <v>708</v>
      </c>
      <c r="E616" s="112">
        <v>32147380</v>
      </c>
      <c r="F616" s="167" t="s">
        <v>386</v>
      </c>
      <c r="G616" s="146" t="s">
        <v>565</v>
      </c>
      <c r="H616" s="60">
        <v>32149072</v>
      </c>
      <c r="I616" s="10" t="s">
        <v>736</v>
      </c>
      <c r="J616" s="6" t="s">
        <v>737</v>
      </c>
      <c r="K616" s="12">
        <v>13</v>
      </c>
      <c r="L616" s="10" t="s">
        <v>708</v>
      </c>
      <c r="M616" s="18" t="s">
        <v>584</v>
      </c>
    </row>
    <row r="617" spans="2:13" ht="15.9" customHeight="1" x14ac:dyDescent="0.3">
      <c r="B617" s="19" t="s">
        <v>363</v>
      </c>
      <c r="C617" s="11">
        <v>5</v>
      </c>
      <c r="D617" s="10" t="s">
        <v>708</v>
      </c>
      <c r="E617" s="112">
        <v>32147380</v>
      </c>
      <c r="F617" s="167" t="s">
        <v>386</v>
      </c>
      <c r="G617" s="146" t="s">
        <v>565</v>
      </c>
      <c r="H617" s="60">
        <v>32044226</v>
      </c>
      <c r="I617" s="10" t="s">
        <v>709</v>
      </c>
      <c r="J617" s="6" t="s">
        <v>710</v>
      </c>
      <c r="K617" s="12">
        <v>15</v>
      </c>
      <c r="L617" s="10" t="s">
        <v>708</v>
      </c>
      <c r="M617" s="18" t="s">
        <v>711</v>
      </c>
    </row>
    <row r="618" spans="2:13" ht="15.9" customHeight="1" x14ac:dyDescent="0.3">
      <c r="B618" s="19" t="s">
        <v>363</v>
      </c>
      <c r="C618" s="11">
        <v>5</v>
      </c>
      <c r="D618" s="12" t="s">
        <v>708</v>
      </c>
      <c r="E618" s="94">
        <v>32147380</v>
      </c>
      <c r="F618" s="166" t="s">
        <v>386</v>
      </c>
      <c r="G618" s="153" t="s">
        <v>565</v>
      </c>
      <c r="H618" s="60">
        <v>32046615</v>
      </c>
      <c r="I618" s="10" t="s">
        <v>728</v>
      </c>
      <c r="J618" s="6" t="s">
        <v>729</v>
      </c>
      <c r="K618" s="12">
        <v>13</v>
      </c>
      <c r="L618" s="10" t="s">
        <v>708</v>
      </c>
      <c r="M618" s="18" t="s">
        <v>571</v>
      </c>
    </row>
    <row r="619" spans="2:13" ht="15.9" customHeight="1" x14ac:dyDescent="0.3">
      <c r="B619" s="19" t="s">
        <v>2053</v>
      </c>
      <c r="C619" s="11" t="s">
        <v>2095</v>
      </c>
      <c r="D619" s="12" t="s">
        <v>2091</v>
      </c>
      <c r="E619" s="113">
        <v>32149492</v>
      </c>
      <c r="F619" s="129" t="s">
        <v>2092</v>
      </c>
      <c r="G619" s="153" t="s">
        <v>2096</v>
      </c>
      <c r="H619" s="60">
        <v>32043646</v>
      </c>
      <c r="I619" s="10" t="s">
        <v>2097</v>
      </c>
      <c r="J619" s="6" t="s">
        <v>2098</v>
      </c>
      <c r="K619" s="12">
        <v>6</v>
      </c>
      <c r="L619" s="12" t="s">
        <v>2091</v>
      </c>
      <c r="M619" s="18"/>
    </row>
    <row r="620" spans="2:13" ht="15.9" customHeight="1" x14ac:dyDescent="0.3">
      <c r="B620" s="19" t="s">
        <v>2053</v>
      </c>
      <c r="C620" s="11" t="s">
        <v>2090</v>
      </c>
      <c r="D620" s="12" t="s">
        <v>2091</v>
      </c>
      <c r="E620" s="12">
        <v>32149492</v>
      </c>
      <c r="F620" s="50" t="s">
        <v>2092</v>
      </c>
      <c r="G620" s="146" t="s">
        <v>2096</v>
      </c>
      <c r="H620" s="60">
        <v>32224379</v>
      </c>
      <c r="I620" s="10" t="s">
        <v>2099</v>
      </c>
      <c r="J620" s="6" t="s">
        <v>2100</v>
      </c>
      <c r="K620" s="12">
        <v>6</v>
      </c>
      <c r="L620" s="12" t="s">
        <v>2091</v>
      </c>
      <c r="M620" s="18"/>
    </row>
    <row r="621" spans="2:13" ht="15.9" customHeight="1" x14ac:dyDescent="0.3">
      <c r="B621" s="19" t="s">
        <v>2053</v>
      </c>
      <c r="C621" s="11" t="s">
        <v>2101</v>
      </c>
      <c r="D621" s="12" t="s">
        <v>2091</v>
      </c>
      <c r="E621" s="113">
        <v>32149492</v>
      </c>
      <c r="F621" s="129" t="s">
        <v>2092</v>
      </c>
      <c r="G621" s="153" t="s">
        <v>2096</v>
      </c>
      <c r="H621" s="60">
        <v>32044344</v>
      </c>
      <c r="I621" s="10" t="s">
        <v>2102</v>
      </c>
      <c r="J621" s="6" t="s">
        <v>2103</v>
      </c>
      <c r="K621" s="12">
        <v>6</v>
      </c>
      <c r="L621" s="12" t="s">
        <v>2091</v>
      </c>
      <c r="M621" s="18" t="s">
        <v>1806</v>
      </c>
    </row>
    <row r="622" spans="2:13" ht="15.9" customHeight="1" x14ac:dyDescent="0.3">
      <c r="B622" s="19" t="s">
        <v>2053</v>
      </c>
      <c r="C622" s="11" t="s">
        <v>2076</v>
      </c>
      <c r="D622" s="12" t="s">
        <v>2091</v>
      </c>
      <c r="E622" s="12">
        <v>32149492</v>
      </c>
      <c r="F622" s="50" t="s">
        <v>2092</v>
      </c>
      <c r="G622" s="146" t="s">
        <v>2096</v>
      </c>
      <c r="H622" s="60">
        <v>32044492</v>
      </c>
      <c r="I622" s="10" t="s">
        <v>2104</v>
      </c>
      <c r="J622" s="6" t="s">
        <v>2105</v>
      </c>
      <c r="K622" s="12">
        <v>6</v>
      </c>
      <c r="L622" s="12" t="s">
        <v>2091</v>
      </c>
      <c r="M622" s="18" t="s">
        <v>128</v>
      </c>
    </row>
    <row r="623" spans="2:13" ht="15.9" customHeight="1" x14ac:dyDescent="0.3">
      <c r="B623" s="19" t="s">
        <v>2053</v>
      </c>
      <c r="C623" s="11" t="s">
        <v>2060</v>
      </c>
      <c r="D623" s="12" t="s">
        <v>2091</v>
      </c>
      <c r="E623" s="12">
        <v>32149492</v>
      </c>
      <c r="F623" s="50" t="s">
        <v>2092</v>
      </c>
      <c r="G623" s="146" t="s">
        <v>2096</v>
      </c>
      <c r="H623" s="60">
        <v>32043771</v>
      </c>
      <c r="I623" s="10" t="s">
        <v>2106</v>
      </c>
      <c r="J623" s="154" t="s">
        <v>2107</v>
      </c>
      <c r="K623" s="12">
        <v>6</v>
      </c>
      <c r="L623" s="12" t="s">
        <v>2091</v>
      </c>
      <c r="M623" s="18" t="s">
        <v>1810</v>
      </c>
    </row>
    <row r="624" spans="2:13" ht="15.9" customHeight="1" x14ac:dyDescent="0.3">
      <c r="B624" s="19" t="s">
        <v>2053</v>
      </c>
      <c r="C624" s="11" t="s">
        <v>2060</v>
      </c>
      <c r="D624" s="12" t="s">
        <v>2091</v>
      </c>
      <c r="E624" s="12">
        <v>32149492</v>
      </c>
      <c r="F624" s="50" t="s">
        <v>2092</v>
      </c>
      <c r="G624" s="146" t="s">
        <v>2096</v>
      </c>
      <c r="H624" s="60">
        <v>32043979</v>
      </c>
      <c r="I624" s="10" t="s">
        <v>2108</v>
      </c>
      <c r="J624" s="6" t="s">
        <v>2109</v>
      </c>
      <c r="K624" s="12">
        <v>6</v>
      </c>
      <c r="L624" s="12" t="s">
        <v>2091</v>
      </c>
      <c r="M624" s="18"/>
    </row>
    <row r="625" spans="2:13" ht="15.9" customHeight="1" x14ac:dyDescent="0.3">
      <c r="B625" s="11" t="s">
        <v>1584</v>
      </c>
      <c r="C625" s="11"/>
      <c r="D625" s="109" t="s">
        <v>2356</v>
      </c>
      <c r="E625" s="121">
        <v>32172282</v>
      </c>
      <c r="F625" s="170" t="s">
        <v>1641</v>
      </c>
      <c r="G625" s="146" t="s">
        <v>1642</v>
      </c>
      <c r="H625" s="60"/>
      <c r="I625" s="10"/>
      <c r="J625" s="80"/>
      <c r="K625" s="12"/>
      <c r="L625" s="10"/>
      <c r="M625" s="18"/>
    </row>
    <row r="626" spans="2:13" ht="15.9" customHeight="1" x14ac:dyDescent="0.3">
      <c r="B626" s="19" t="s">
        <v>363</v>
      </c>
      <c r="C626" s="11">
        <v>9</v>
      </c>
      <c r="D626" s="12" t="s">
        <v>974</v>
      </c>
      <c r="E626" s="113">
        <v>32045820</v>
      </c>
      <c r="F626" s="129" t="s">
        <v>975</v>
      </c>
      <c r="G626" s="146" t="s">
        <v>752</v>
      </c>
      <c r="H626" s="60">
        <v>32148854</v>
      </c>
      <c r="I626" s="10" t="s">
        <v>999</v>
      </c>
      <c r="J626" s="80" t="s">
        <v>61</v>
      </c>
      <c r="K626" s="12">
        <v>13</v>
      </c>
      <c r="L626" s="10" t="s">
        <v>974</v>
      </c>
      <c r="M626" s="18" t="s">
        <v>581</v>
      </c>
    </row>
    <row r="627" spans="2:13" ht="15.9" customHeight="1" x14ac:dyDescent="0.3">
      <c r="B627" s="19" t="s">
        <v>363</v>
      </c>
      <c r="C627" s="11">
        <v>9</v>
      </c>
      <c r="D627" s="12" t="s">
        <v>974</v>
      </c>
      <c r="E627" s="12">
        <v>32045820</v>
      </c>
      <c r="F627" s="50" t="s">
        <v>975</v>
      </c>
      <c r="G627" s="146" t="s">
        <v>752</v>
      </c>
      <c r="H627" s="60">
        <v>32202288</v>
      </c>
      <c r="I627" s="10" t="s">
        <v>1002</v>
      </c>
      <c r="J627" s="80" t="s">
        <v>61</v>
      </c>
      <c r="K627" s="12">
        <v>13</v>
      </c>
      <c r="L627" s="10" t="s">
        <v>974</v>
      </c>
      <c r="M627" s="18" t="s">
        <v>618</v>
      </c>
    </row>
    <row r="628" spans="2:13" ht="15.9" customHeight="1" x14ac:dyDescent="0.3">
      <c r="B628" s="19" t="s">
        <v>363</v>
      </c>
      <c r="C628" s="20">
        <v>9</v>
      </c>
      <c r="D628" s="21" t="s">
        <v>974</v>
      </c>
      <c r="E628" s="12">
        <v>32045820</v>
      </c>
      <c r="F628" s="52" t="s">
        <v>975</v>
      </c>
      <c r="G628" s="146" t="s">
        <v>752</v>
      </c>
      <c r="H628" s="61">
        <v>32043983</v>
      </c>
      <c r="I628" s="24" t="s">
        <v>1000</v>
      </c>
      <c r="J628" s="6" t="s">
        <v>1001</v>
      </c>
      <c r="K628" s="12">
        <v>13</v>
      </c>
      <c r="L628" s="24" t="s">
        <v>974</v>
      </c>
      <c r="M628" s="25" t="s">
        <v>719</v>
      </c>
    </row>
    <row r="629" spans="2:13" ht="15.9" customHeight="1" x14ac:dyDescent="0.3">
      <c r="B629" s="19" t="s">
        <v>363</v>
      </c>
      <c r="C629" s="11">
        <v>9</v>
      </c>
      <c r="D629" s="12" t="s">
        <v>974</v>
      </c>
      <c r="E629" s="12">
        <v>32045820</v>
      </c>
      <c r="F629" s="52" t="s">
        <v>975</v>
      </c>
      <c r="G629" s="153" t="s">
        <v>752</v>
      </c>
      <c r="H629" s="60">
        <v>32044919</v>
      </c>
      <c r="I629" s="10" t="s">
        <v>982</v>
      </c>
      <c r="J629" s="6" t="s">
        <v>983</v>
      </c>
      <c r="K629" s="12">
        <v>13</v>
      </c>
      <c r="L629" s="10" t="s">
        <v>974</v>
      </c>
      <c r="M629" s="18" t="s">
        <v>755</v>
      </c>
    </row>
    <row r="630" spans="2:13" ht="15.9" customHeight="1" x14ac:dyDescent="0.3">
      <c r="B630" s="19" t="s">
        <v>363</v>
      </c>
      <c r="C630" s="11">
        <v>9</v>
      </c>
      <c r="D630" s="12" t="s">
        <v>974</v>
      </c>
      <c r="E630" s="12">
        <v>32045820</v>
      </c>
      <c r="F630" s="50" t="s">
        <v>975</v>
      </c>
      <c r="G630" s="146" t="s">
        <v>752</v>
      </c>
      <c r="H630" s="60">
        <v>32046585</v>
      </c>
      <c r="I630" s="10" t="s">
        <v>987</v>
      </c>
      <c r="J630" s="154" t="s">
        <v>988</v>
      </c>
      <c r="K630" s="12">
        <v>13</v>
      </c>
      <c r="L630" s="10" t="s">
        <v>974</v>
      </c>
      <c r="M630" s="18" t="s">
        <v>899</v>
      </c>
    </row>
    <row r="631" spans="2:13" ht="15.9" customHeight="1" x14ac:dyDescent="0.3">
      <c r="B631" s="19" t="s">
        <v>363</v>
      </c>
      <c r="C631" s="11">
        <v>9</v>
      </c>
      <c r="D631" s="12" t="s">
        <v>974</v>
      </c>
      <c r="E631" s="12">
        <v>32045820</v>
      </c>
      <c r="F631" s="50" t="s">
        <v>975</v>
      </c>
      <c r="G631" s="146" t="s">
        <v>752</v>
      </c>
      <c r="H631" s="60">
        <v>32067168</v>
      </c>
      <c r="I631" s="10" t="s">
        <v>993</v>
      </c>
      <c r="J631" s="80" t="s">
        <v>61</v>
      </c>
      <c r="K631" s="12">
        <v>13</v>
      </c>
      <c r="L631" s="10" t="s">
        <v>974</v>
      </c>
      <c r="M631" s="18" t="s">
        <v>951</v>
      </c>
    </row>
    <row r="632" spans="2:13" ht="15.9" customHeight="1" x14ac:dyDescent="0.3">
      <c r="B632" s="19" t="s">
        <v>363</v>
      </c>
      <c r="C632" s="11">
        <v>9</v>
      </c>
      <c r="D632" s="12" t="s">
        <v>974</v>
      </c>
      <c r="E632" s="113">
        <v>32045820</v>
      </c>
      <c r="F632" s="129" t="s">
        <v>975</v>
      </c>
      <c r="G632" s="147" t="s">
        <v>752</v>
      </c>
      <c r="H632" s="60">
        <v>32044117</v>
      </c>
      <c r="I632" s="10" t="s">
        <v>978</v>
      </c>
      <c r="J632" s="6" t="s">
        <v>979</v>
      </c>
      <c r="K632" s="12">
        <v>15</v>
      </c>
      <c r="L632" s="12" t="s">
        <v>974</v>
      </c>
      <c r="M632" s="18" t="s">
        <v>937</v>
      </c>
    </row>
    <row r="633" spans="2:13" ht="15.9" customHeight="1" x14ac:dyDescent="0.3">
      <c r="B633" s="19" t="s">
        <v>363</v>
      </c>
      <c r="C633" s="11">
        <v>9</v>
      </c>
      <c r="D633" s="12" t="s">
        <v>974</v>
      </c>
      <c r="E633" s="12">
        <v>32045820</v>
      </c>
      <c r="F633" s="50" t="s">
        <v>975</v>
      </c>
      <c r="G633" s="146" t="s">
        <v>752</v>
      </c>
      <c r="H633" s="60">
        <v>32045393</v>
      </c>
      <c r="I633" s="10" t="s">
        <v>888</v>
      </c>
      <c r="J633" s="6" t="s">
        <v>889</v>
      </c>
      <c r="K633" s="12">
        <v>15</v>
      </c>
      <c r="L633" s="12" t="s">
        <v>974</v>
      </c>
      <c r="M633" s="18" t="s">
        <v>890</v>
      </c>
    </row>
    <row r="634" spans="2:13" ht="15.9" customHeight="1" x14ac:dyDescent="0.3">
      <c r="B634" s="19" t="s">
        <v>363</v>
      </c>
      <c r="C634" s="11">
        <v>9</v>
      </c>
      <c r="D634" s="12" t="s">
        <v>974</v>
      </c>
      <c r="E634" s="12">
        <v>32045820</v>
      </c>
      <c r="F634" s="50" t="s">
        <v>975</v>
      </c>
      <c r="G634" s="150" t="s">
        <v>752</v>
      </c>
      <c r="H634" s="60">
        <v>32046220</v>
      </c>
      <c r="I634" s="10" t="s">
        <v>753</v>
      </c>
      <c r="J634" s="6" t="s">
        <v>754</v>
      </c>
      <c r="K634" s="12">
        <v>15</v>
      </c>
      <c r="L634" s="12" t="s">
        <v>974</v>
      </c>
      <c r="M634" s="18" t="s">
        <v>755</v>
      </c>
    </row>
    <row r="635" spans="2:13" ht="15.9" customHeight="1" x14ac:dyDescent="0.3">
      <c r="B635" s="19" t="s">
        <v>363</v>
      </c>
      <c r="C635" s="11">
        <v>9</v>
      </c>
      <c r="D635" s="12" t="s">
        <v>974</v>
      </c>
      <c r="E635" s="113">
        <v>32045820</v>
      </c>
      <c r="F635" s="129" t="s">
        <v>975</v>
      </c>
      <c r="G635" s="146" t="s">
        <v>752</v>
      </c>
      <c r="H635" s="60">
        <v>32067739</v>
      </c>
      <c r="I635" s="10" t="s">
        <v>994</v>
      </c>
      <c r="J635" s="6" t="s">
        <v>995</v>
      </c>
      <c r="K635" s="12">
        <v>13</v>
      </c>
      <c r="L635" s="10" t="s">
        <v>974</v>
      </c>
      <c r="M635" s="18" t="s">
        <v>519</v>
      </c>
    </row>
    <row r="636" spans="2:13" ht="15.9" customHeight="1" x14ac:dyDescent="0.3">
      <c r="B636" s="19" t="s">
        <v>363</v>
      </c>
      <c r="C636" s="11">
        <v>9</v>
      </c>
      <c r="D636" s="12" t="s">
        <v>974</v>
      </c>
      <c r="E636" s="113">
        <v>32045820</v>
      </c>
      <c r="F636" s="129" t="s">
        <v>975</v>
      </c>
      <c r="G636" s="146" t="s">
        <v>752</v>
      </c>
      <c r="H636" s="60">
        <v>32046156</v>
      </c>
      <c r="I636" s="10" t="s">
        <v>984</v>
      </c>
      <c r="J636" s="6" t="s">
        <v>985</v>
      </c>
      <c r="K636" s="12">
        <v>15</v>
      </c>
      <c r="L636" s="12" t="s">
        <v>974</v>
      </c>
      <c r="M636" s="18" t="s">
        <v>602</v>
      </c>
    </row>
    <row r="637" spans="2:13" ht="15.9" customHeight="1" x14ac:dyDescent="0.3">
      <c r="B637" s="19" t="s">
        <v>363</v>
      </c>
      <c r="C637" s="11">
        <v>9</v>
      </c>
      <c r="D637" s="12" t="s">
        <v>974</v>
      </c>
      <c r="E637" s="12">
        <v>32045820</v>
      </c>
      <c r="F637" s="50" t="s">
        <v>975</v>
      </c>
      <c r="G637" s="146" t="s">
        <v>752</v>
      </c>
      <c r="H637" s="60">
        <v>32068002</v>
      </c>
      <c r="I637" s="10" t="s">
        <v>996</v>
      </c>
      <c r="J637" s="6" t="s">
        <v>997</v>
      </c>
      <c r="K637" s="12">
        <v>15</v>
      </c>
      <c r="L637" s="12" t="s">
        <v>974</v>
      </c>
      <c r="M637" s="18" t="s">
        <v>998</v>
      </c>
    </row>
    <row r="638" spans="2:13" ht="15.9" customHeight="1" x14ac:dyDescent="0.3">
      <c r="B638" s="19" t="s">
        <v>363</v>
      </c>
      <c r="C638" s="11">
        <v>9</v>
      </c>
      <c r="D638" s="12" t="s">
        <v>974</v>
      </c>
      <c r="E638" s="12">
        <v>32045820</v>
      </c>
      <c r="F638" s="50" t="s">
        <v>975</v>
      </c>
      <c r="G638" s="147" t="s">
        <v>752</v>
      </c>
      <c r="H638" s="60">
        <v>32044772</v>
      </c>
      <c r="I638" s="10" t="s">
        <v>980</v>
      </c>
      <c r="J638" s="80" t="s">
        <v>61</v>
      </c>
      <c r="K638" s="12">
        <v>15</v>
      </c>
      <c r="L638" s="12" t="s">
        <v>974</v>
      </c>
      <c r="M638" s="18" t="s">
        <v>602</v>
      </c>
    </row>
    <row r="639" spans="2:13" ht="15.9" customHeight="1" x14ac:dyDescent="0.3">
      <c r="B639" s="19" t="s">
        <v>363</v>
      </c>
      <c r="C639" s="11">
        <v>9</v>
      </c>
      <c r="D639" s="12" t="s">
        <v>974</v>
      </c>
      <c r="E639" s="113">
        <v>32045820</v>
      </c>
      <c r="F639" s="129" t="s">
        <v>975</v>
      </c>
      <c r="G639" s="146" t="s">
        <v>752</v>
      </c>
      <c r="H639" s="60">
        <v>32046602</v>
      </c>
      <c r="I639" s="10" t="s">
        <v>989</v>
      </c>
      <c r="J639" s="6" t="s">
        <v>990</v>
      </c>
      <c r="K639" s="12">
        <v>13</v>
      </c>
      <c r="L639" s="10" t="s">
        <v>974</v>
      </c>
      <c r="M639" s="18" t="s">
        <v>937</v>
      </c>
    </row>
    <row r="640" spans="2:13" ht="15.9" customHeight="1" x14ac:dyDescent="0.3">
      <c r="B640" s="19" t="s">
        <v>363</v>
      </c>
      <c r="C640" s="11">
        <v>9</v>
      </c>
      <c r="D640" s="12" t="s">
        <v>974</v>
      </c>
      <c r="E640" s="12">
        <v>32045820</v>
      </c>
      <c r="F640" s="50" t="s">
        <v>975</v>
      </c>
      <c r="G640" s="150" t="s">
        <v>752</v>
      </c>
      <c r="H640" s="60">
        <v>32046584</v>
      </c>
      <c r="I640" s="10" t="s">
        <v>986</v>
      </c>
      <c r="J640" s="10" t="s">
        <v>61</v>
      </c>
      <c r="K640" s="12">
        <v>13</v>
      </c>
      <c r="L640" s="10" t="s">
        <v>974</v>
      </c>
      <c r="M640" s="18" t="s">
        <v>714</v>
      </c>
    </row>
    <row r="641" spans="2:13" ht="15.9" customHeight="1" x14ac:dyDescent="0.3">
      <c r="B641" s="19" t="s">
        <v>363</v>
      </c>
      <c r="C641" s="11">
        <v>9</v>
      </c>
      <c r="D641" s="12" t="s">
        <v>974</v>
      </c>
      <c r="E641" s="12">
        <v>32045820</v>
      </c>
      <c r="F641" s="50" t="s">
        <v>975</v>
      </c>
      <c r="G641" s="147" t="s">
        <v>752</v>
      </c>
      <c r="H641" s="60">
        <v>32044265</v>
      </c>
      <c r="I641" s="10" t="s">
        <v>1005</v>
      </c>
      <c r="J641" s="6" t="s">
        <v>1006</v>
      </c>
      <c r="K641" s="12">
        <v>15</v>
      </c>
      <c r="L641" s="12" t="s">
        <v>974</v>
      </c>
      <c r="M641" s="18" t="s">
        <v>1007</v>
      </c>
    </row>
    <row r="642" spans="2:13" ht="15.9" customHeight="1" x14ac:dyDescent="0.3">
      <c r="B642" s="19" t="s">
        <v>363</v>
      </c>
      <c r="C642" s="20">
        <v>9</v>
      </c>
      <c r="D642" s="21" t="s">
        <v>974</v>
      </c>
      <c r="E642" s="12">
        <v>32045820</v>
      </c>
      <c r="F642" s="52" t="s">
        <v>975</v>
      </c>
      <c r="G642" s="146" t="s">
        <v>752</v>
      </c>
      <c r="H642" s="61">
        <v>32044869</v>
      </c>
      <c r="I642" s="24" t="s">
        <v>981</v>
      </c>
      <c r="J642" s="80" t="s">
        <v>61</v>
      </c>
      <c r="K642" s="12">
        <v>13</v>
      </c>
      <c r="L642" s="24" t="s">
        <v>974</v>
      </c>
      <c r="M642" s="25" t="s">
        <v>651</v>
      </c>
    </row>
    <row r="643" spans="2:13" ht="15.9" customHeight="1" x14ac:dyDescent="0.3">
      <c r="B643" s="19" t="s">
        <v>363</v>
      </c>
      <c r="C643" s="11">
        <v>9</v>
      </c>
      <c r="D643" s="12" t="s">
        <v>974</v>
      </c>
      <c r="E643" s="12">
        <v>32045820</v>
      </c>
      <c r="F643" s="50" t="s">
        <v>975</v>
      </c>
      <c r="G643" s="153" t="s">
        <v>752</v>
      </c>
      <c r="H643" s="60">
        <v>32044009</v>
      </c>
      <c r="I643" s="10" t="s">
        <v>976</v>
      </c>
      <c r="J643" s="6" t="s">
        <v>977</v>
      </c>
      <c r="K643" s="12">
        <v>13</v>
      </c>
      <c r="L643" s="10" t="s">
        <v>974</v>
      </c>
      <c r="M643" s="18" t="s">
        <v>958</v>
      </c>
    </row>
    <row r="644" spans="2:13" ht="15.9" customHeight="1" x14ac:dyDescent="0.3">
      <c r="B644" s="19" t="s">
        <v>363</v>
      </c>
      <c r="C644" s="11">
        <v>9</v>
      </c>
      <c r="D644" s="12" t="s">
        <v>974</v>
      </c>
      <c r="E644" s="12">
        <v>32045820</v>
      </c>
      <c r="F644" s="50" t="s">
        <v>975</v>
      </c>
      <c r="G644" s="146" t="s">
        <v>752</v>
      </c>
      <c r="H644" s="60">
        <v>32061474</v>
      </c>
      <c r="I644" s="10" t="s">
        <v>991</v>
      </c>
      <c r="J644" s="6" t="s">
        <v>992</v>
      </c>
      <c r="K644" s="12">
        <v>13</v>
      </c>
      <c r="L644" s="10" t="s">
        <v>974</v>
      </c>
      <c r="M644" s="18" t="s">
        <v>890</v>
      </c>
    </row>
    <row r="645" spans="2:13" ht="15.9" customHeight="1" x14ac:dyDescent="0.3">
      <c r="B645" s="19" t="s">
        <v>363</v>
      </c>
      <c r="C645" s="11">
        <v>14</v>
      </c>
      <c r="D645" s="12" t="s">
        <v>1343</v>
      </c>
      <c r="E645" s="12">
        <v>32060808</v>
      </c>
      <c r="F645" s="50" t="s">
        <v>1265</v>
      </c>
      <c r="G645" s="153" t="s">
        <v>1267</v>
      </c>
      <c r="H645" s="60">
        <v>32107030</v>
      </c>
      <c r="I645" s="10" t="s">
        <v>1367</v>
      </c>
      <c r="J645" s="6" t="s">
        <v>1368</v>
      </c>
      <c r="K645" s="12">
        <v>12</v>
      </c>
      <c r="L645" s="10" t="s">
        <v>1343</v>
      </c>
      <c r="M645" s="18" t="s">
        <v>1348</v>
      </c>
    </row>
    <row r="646" spans="2:13" ht="15.9" customHeight="1" x14ac:dyDescent="0.3">
      <c r="B646" s="19" t="s">
        <v>363</v>
      </c>
      <c r="C646" s="11">
        <v>14</v>
      </c>
      <c r="D646" s="12" t="s">
        <v>1343</v>
      </c>
      <c r="E646" s="113">
        <v>32060808</v>
      </c>
      <c r="F646" s="129" t="s">
        <v>1265</v>
      </c>
      <c r="G646" s="147" t="s">
        <v>1267</v>
      </c>
      <c r="H646" s="60">
        <v>32046367</v>
      </c>
      <c r="I646" s="10" t="s">
        <v>1364</v>
      </c>
      <c r="J646" s="6" t="s">
        <v>1365</v>
      </c>
      <c r="K646" s="12">
        <v>12</v>
      </c>
      <c r="L646" s="10" t="s">
        <v>1343</v>
      </c>
      <c r="M646" s="18" t="s">
        <v>1366</v>
      </c>
    </row>
    <row r="647" spans="2:13" ht="15.9" customHeight="1" x14ac:dyDescent="0.3">
      <c r="B647" s="19" t="s">
        <v>363</v>
      </c>
      <c r="C647" s="11">
        <v>14</v>
      </c>
      <c r="D647" s="12" t="s">
        <v>1343</v>
      </c>
      <c r="E647" s="113">
        <v>32060808</v>
      </c>
      <c r="F647" s="129" t="s">
        <v>1265</v>
      </c>
      <c r="G647" s="146" t="s">
        <v>1267</v>
      </c>
      <c r="H647" s="60">
        <v>32046352</v>
      </c>
      <c r="I647" s="10" t="s">
        <v>1362</v>
      </c>
      <c r="J647" s="6" t="s">
        <v>1363</v>
      </c>
      <c r="K647" s="12">
        <v>12</v>
      </c>
      <c r="L647" s="10" t="s">
        <v>1343</v>
      </c>
      <c r="M647" s="18" t="s">
        <v>381</v>
      </c>
    </row>
    <row r="648" spans="2:13" ht="15.9" customHeight="1" x14ac:dyDescent="0.3">
      <c r="B648" s="19" t="s">
        <v>363</v>
      </c>
      <c r="C648" s="11">
        <v>14</v>
      </c>
      <c r="D648" s="12" t="s">
        <v>1343</v>
      </c>
      <c r="E648" s="113">
        <v>32060808</v>
      </c>
      <c r="F648" s="129" t="s">
        <v>1265</v>
      </c>
      <c r="G648" s="150" t="s">
        <v>1267</v>
      </c>
      <c r="H648" s="60">
        <v>32148861</v>
      </c>
      <c r="I648" s="10" t="s">
        <v>1360</v>
      </c>
      <c r="J648" s="6" t="s">
        <v>1361</v>
      </c>
      <c r="K648" s="12">
        <v>12</v>
      </c>
      <c r="L648" s="10" t="s">
        <v>1343</v>
      </c>
      <c r="M648" s="18" t="s">
        <v>384</v>
      </c>
    </row>
    <row r="649" spans="2:13" ht="15.9" customHeight="1" x14ac:dyDescent="0.3">
      <c r="B649" s="11" t="s">
        <v>363</v>
      </c>
      <c r="C649" s="11">
        <v>14</v>
      </c>
      <c r="D649" s="12" t="s">
        <v>1343</v>
      </c>
      <c r="E649" s="12">
        <v>32060808</v>
      </c>
      <c r="F649" s="50" t="s">
        <v>1265</v>
      </c>
      <c r="G649" s="147" t="s">
        <v>1267</v>
      </c>
      <c r="H649" s="60">
        <v>32102190</v>
      </c>
      <c r="I649" s="10" t="s">
        <v>1358</v>
      </c>
      <c r="J649" s="6" t="s">
        <v>1359</v>
      </c>
      <c r="K649" s="12">
        <v>12</v>
      </c>
      <c r="L649" s="10" t="s">
        <v>1343</v>
      </c>
      <c r="M649" s="18" t="s">
        <v>372</v>
      </c>
    </row>
    <row r="650" spans="2:13" ht="15.9" customHeight="1" x14ac:dyDescent="0.3">
      <c r="B650" s="19" t="s">
        <v>363</v>
      </c>
      <c r="C650" s="11">
        <v>14</v>
      </c>
      <c r="D650" s="12" t="s">
        <v>1343</v>
      </c>
      <c r="E650" s="113">
        <v>32060808</v>
      </c>
      <c r="F650" s="129" t="s">
        <v>1265</v>
      </c>
      <c r="G650" s="146" t="s">
        <v>1267</v>
      </c>
      <c r="H650" s="60">
        <v>32138049</v>
      </c>
      <c r="I650" s="10" t="s">
        <v>1355</v>
      </c>
      <c r="J650" s="6" t="s">
        <v>1356</v>
      </c>
      <c r="K650" s="12">
        <v>12</v>
      </c>
      <c r="L650" s="10" t="s">
        <v>1343</v>
      </c>
      <c r="M650" s="18" t="s">
        <v>1357</v>
      </c>
    </row>
    <row r="651" spans="2:13" ht="15.9" customHeight="1" x14ac:dyDescent="0.3">
      <c r="B651" s="19" t="s">
        <v>363</v>
      </c>
      <c r="C651" s="11">
        <v>14</v>
      </c>
      <c r="D651" s="12" t="s">
        <v>1343</v>
      </c>
      <c r="E651" s="12">
        <v>32060808</v>
      </c>
      <c r="F651" s="50" t="s">
        <v>1265</v>
      </c>
      <c r="G651" s="150" t="s">
        <v>1267</v>
      </c>
      <c r="H651" s="60">
        <v>32044961</v>
      </c>
      <c r="I651" s="10" t="s">
        <v>1353</v>
      </c>
      <c r="J651" s="6" t="s">
        <v>1354</v>
      </c>
      <c r="K651" s="12">
        <v>12</v>
      </c>
      <c r="L651" s="10" t="s">
        <v>1343</v>
      </c>
      <c r="M651" s="18" t="s">
        <v>372</v>
      </c>
    </row>
    <row r="652" spans="2:13" ht="15.9" customHeight="1" x14ac:dyDescent="0.3">
      <c r="B652" s="19" t="s">
        <v>363</v>
      </c>
      <c r="C652" s="11">
        <v>14</v>
      </c>
      <c r="D652" s="12" t="s">
        <v>1343</v>
      </c>
      <c r="E652" s="12">
        <v>32060808</v>
      </c>
      <c r="F652" s="50" t="s">
        <v>1265</v>
      </c>
      <c r="G652" s="146" t="s">
        <v>1267</v>
      </c>
      <c r="H652" s="60">
        <v>32187990</v>
      </c>
      <c r="I652" s="10" t="s">
        <v>1351</v>
      </c>
      <c r="J652" s="6" t="s">
        <v>1352</v>
      </c>
      <c r="K652" s="12">
        <v>12</v>
      </c>
      <c r="L652" s="10" t="s">
        <v>1343</v>
      </c>
      <c r="M652" s="18" t="s">
        <v>375</v>
      </c>
    </row>
    <row r="653" spans="2:13" ht="15.9" customHeight="1" x14ac:dyDescent="0.3">
      <c r="B653" s="19" t="s">
        <v>363</v>
      </c>
      <c r="C653" s="11">
        <v>14</v>
      </c>
      <c r="D653" s="12" t="s">
        <v>1343</v>
      </c>
      <c r="E653" s="12">
        <v>32060808</v>
      </c>
      <c r="F653" s="50" t="s">
        <v>1265</v>
      </c>
      <c r="G653" s="146" t="s">
        <v>1267</v>
      </c>
      <c r="H653" s="60">
        <v>32045523</v>
      </c>
      <c r="I653" s="10" t="s">
        <v>1349</v>
      </c>
      <c r="J653" s="6" t="s">
        <v>1350</v>
      </c>
      <c r="K653" s="12">
        <v>12</v>
      </c>
      <c r="L653" s="10" t="s">
        <v>1343</v>
      </c>
      <c r="M653" s="18" t="s">
        <v>375</v>
      </c>
    </row>
    <row r="654" spans="2:13" ht="15.9" customHeight="1" x14ac:dyDescent="0.3">
      <c r="B654" s="19" t="s">
        <v>363</v>
      </c>
      <c r="C654" s="11">
        <v>14</v>
      </c>
      <c r="D654" s="12" t="s">
        <v>1343</v>
      </c>
      <c r="E654" s="12">
        <v>32060808</v>
      </c>
      <c r="F654" s="50" t="s">
        <v>1265</v>
      </c>
      <c r="G654" s="146" t="s">
        <v>1267</v>
      </c>
      <c r="H654" s="60">
        <v>32131879</v>
      </c>
      <c r="I654" s="10" t="s">
        <v>1346</v>
      </c>
      <c r="J654" s="6" t="s">
        <v>1347</v>
      </c>
      <c r="K654" s="12">
        <v>12</v>
      </c>
      <c r="L654" s="10" t="s">
        <v>1343</v>
      </c>
      <c r="M654" s="18" t="s">
        <v>1348</v>
      </c>
    </row>
    <row r="655" spans="2:13" ht="15.9" customHeight="1" x14ac:dyDescent="0.3">
      <c r="B655" s="19" t="s">
        <v>363</v>
      </c>
      <c r="C655" s="11">
        <v>14</v>
      </c>
      <c r="D655" s="12" t="s">
        <v>1343</v>
      </c>
      <c r="E655" s="113">
        <v>32060808</v>
      </c>
      <c r="F655" s="129" t="s">
        <v>1265</v>
      </c>
      <c r="G655" s="153" t="s">
        <v>1267</v>
      </c>
      <c r="H655" s="60">
        <v>32136509</v>
      </c>
      <c r="I655" s="10" t="s">
        <v>1344</v>
      </c>
      <c r="J655" s="6" t="s">
        <v>1345</v>
      </c>
      <c r="K655" s="12">
        <v>12</v>
      </c>
      <c r="L655" s="10" t="s">
        <v>1343</v>
      </c>
      <c r="M655" s="18" t="s">
        <v>369</v>
      </c>
    </row>
    <row r="656" spans="2:13" ht="15.9" customHeight="1" x14ac:dyDescent="0.3">
      <c r="B656" s="19" t="s">
        <v>363</v>
      </c>
      <c r="C656" s="20" t="s">
        <v>1464</v>
      </c>
      <c r="D656" s="21" t="s">
        <v>1465</v>
      </c>
      <c r="E656" s="63">
        <v>32141851</v>
      </c>
      <c r="F656" s="167" t="s">
        <v>2355</v>
      </c>
      <c r="G656" s="147" t="s">
        <v>607</v>
      </c>
      <c r="H656" s="61">
        <v>32044553</v>
      </c>
      <c r="I656" s="142" t="s">
        <v>1471</v>
      </c>
      <c r="J656" s="6" t="s">
        <v>1472</v>
      </c>
      <c r="K656" s="12">
        <v>14</v>
      </c>
      <c r="L656" s="24" t="s">
        <v>1465</v>
      </c>
      <c r="M656" s="25" t="s">
        <v>378</v>
      </c>
    </row>
    <row r="657" spans="2:13" ht="15.9" customHeight="1" x14ac:dyDescent="0.3">
      <c r="B657" s="19" t="s">
        <v>363</v>
      </c>
      <c r="C657" s="11" t="s">
        <v>1464</v>
      </c>
      <c r="D657" s="12" t="s">
        <v>1465</v>
      </c>
      <c r="E657" s="63">
        <v>32141851</v>
      </c>
      <c r="F657" s="165" t="s">
        <v>2355</v>
      </c>
      <c r="G657" s="146" t="s">
        <v>607</v>
      </c>
      <c r="H657" s="60">
        <v>32046209</v>
      </c>
      <c r="I657" s="10" t="s">
        <v>1473</v>
      </c>
      <c r="J657" s="6" t="s">
        <v>1474</v>
      </c>
      <c r="K657" s="12">
        <v>14</v>
      </c>
      <c r="L657" s="10" t="s">
        <v>1465</v>
      </c>
      <c r="M657" s="18" t="s">
        <v>384</v>
      </c>
    </row>
    <row r="658" spans="2:13" ht="15.9" customHeight="1" x14ac:dyDescent="0.3">
      <c r="B658" s="19" t="s">
        <v>363</v>
      </c>
      <c r="C658" s="11" t="s">
        <v>1464</v>
      </c>
      <c r="D658" s="12" t="s">
        <v>1465</v>
      </c>
      <c r="E658" s="63">
        <v>32141851</v>
      </c>
      <c r="F658" s="165" t="s">
        <v>2355</v>
      </c>
      <c r="G658" s="153" t="s">
        <v>607</v>
      </c>
      <c r="H658" s="60">
        <v>32044871</v>
      </c>
      <c r="I658" s="10" t="s">
        <v>1475</v>
      </c>
      <c r="J658" s="6" t="s">
        <v>1476</v>
      </c>
      <c r="K658" s="12">
        <v>14</v>
      </c>
      <c r="L658" s="10" t="s">
        <v>1465</v>
      </c>
      <c r="M658" s="18" t="s">
        <v>1451</v>
      </c>
    </row>
    <row r="659" spans="2:13" ht="15.9" customHeight="1" x14ac:dyDescent="0.3">
      <c r="B659" s="11" t="s">
        <v>363</v>
      </c>
      <c r="C659" s="11" t="s">
        <v>1464</v>
      </c>
      <c r="D659" s="12" t="s">
        <v>1465</v>
      </c>
      <c r="E659" s="189">
        <v>32141851</v>
      </c>
      <c r="F659" s="163" t="s">
        <v>2355</v>
      </c>
      <c r="G659" s="146" t="s">
        <v>607</v>
      </c>
      <c r="H659" s="60">
        <v>32045621</v>
      </c>
      <c r="I659" s="10" t="s">
        <v>1477</v>
      </c>
      <c r="J659" s="6" t="s">
        <v>1478</v>
      </c>
      <c r="K659" s="12">
        <v>14</v>
      </c>
      <c r="L659" s="10" t="s">
        <v>1465</v>
      </c>
      <c r="M659" s="18" t="s">
        <v>1479</v>
      </c>
    </row>
    <row r="660" spans="2:13" ht="15.9" customHeight="1" x14ac:dyDescent="0.3">
      <c r="B660" s="19" t="s">
        <v>363</v>
      </c>
      <c r="C660" s="11" t="s">
        <v>1486</v>
      </c>
      <c r="D660" s="12" t="s">
        <v>1465</v>
      </c>
      <c r="E660" s="63">
        <v>32141851</v>
      </c>
      <c r="F660" s="165" t="s">
        <v>2355</v>
      </c>
      <c r="G660" s="150" t="s">
        <v>607</v>
      </c>
      <c r="H660" s="60">
        <v>32199797</v>
      </c>
      <c r="I660" s="10" t="s">
        <v>674</v>
      </c>
      <c r="J660" s="143" t="s">
        <v>675</v>
      </c>
      <c r="K660" s="12">
        <v>14</v>
      </c>
      <c r="L660" s="10" t="s">
        <v>1465</v>
      </c>
      <c r="M660" s="18" t="s">
        <v>676</v>
      </c>
    </row>
    <row r="661" spans="2:13" ht="15.9" customHeight="1" x14ac:dyDescent="0.3">
      <c r="B661" s="19" t="s">
        <v>363</v>
      </c>
      <c r="C661" s="11" t="s">
        <v>1464</v>
      </c>
      <c r="D661" s="12" t="s">
        <v>1465</v>
      </c>
      <c r="E661" s="63">
        <v>32141851</v>
      </c>
      <c r="F661" s="165" t="s">
        <v>2355</v>
      </c>
      <c r="G661" s="146" t="s">
        <v>607</v>
      </c>
      <c r="H661" s="60">
        <v>32044454</v>
      </c>
      <c r="I661" s="10" t="s">
        <v>1480</v>
      </c>
      <c r="J661" s="6" t="s">
        <v>1481</v>
      </c>
      <c r="K661" s="12">
        <v>16</v>
      </c>
      <c r="L661" s="12" t="s">
        <v>1465</v>
      </c>
      <c r="M661" s="18" t="s">
        <v>530</v>
      </c>
    </row>
    <row r="662" spans="2:13" ht="15.9" customHeight="1" x14ac:dyDescent="0.3">
      <c r="B662" s="19" t="s">
        <v>363</v>
      </c>
      <c r="C662" s="11" t="s">
        <v>1464</v>
      </c>
      <c r="D662" s="12" t="s">
        <v>1465</v>
      </c>
      <c r="E662" s="94">
        <v>32046005</v>
      </c>
      <c r="F662" s="166" t="s">
        <v>2355</v>
      </c>
      <c r="G662" s="146" t="s">
        <v>516</v>
      </c>
      <c r="H662" s="60">
        <v>32132603</v>
      </c>
      <c r="I662" s="10" t="s">
        <v>1482</v>
      </c>
      <c r="J662" s="6" t="s">
        <v>1483</v>
      </c>
      <c r="K662" s="12">
        <v>14</v>
      </c>
      <c r="L662" s="10" t="s">
        <v>1465</v>
      </c>
      <c r="M662" s="18" t="s">
        <v>1447</v>
      </c>
    </row>
    <row r="663" spans="2:13" ht="15.9" customHeight="1" x14ac:dyDescent="0.3">
      <c r="B663" s="19" t="s">
        <v>363</v>
      </c>
      <c r="C663" s="11" t="s">
        <v>1464</v>
      </c>
      <c r="D663" s="12" t="s">
        <v>1465</v>
      </c>
      <c r="E663" s="94">
        <v>32046005</v>
      </c>
      <c r="F663" s="166" t="s">
        <v>2355</v>
      </c>
      <c r="G663" s="146" t="s">
        <v>516</v>
      </c>
      <c r="H663" s="60">
        <v>32149603</v>
      </c>
      <c r="I663" s="10" t="s">
        <v>1484</v>
      </c>
      <c r="J663" s="154" t="s">
        <v>1485</v>
      </c>
      <c r="K663" s="12">
        <v>14</v>
      </c>
      <c r="L663" s="10" t="s">
        <v>1465</v>
      </c>
      <c r="M663" s="18" t="s">
        <v>1454</v>
      </c>
    </row>
    <row r="664" spans="2:13" ht="15.9" customHeight="1" x14ac:dyDescent="0.3">
      <c r="B664" s="19" t="s">
        <v>363</v>
      </c>
      <c r="C664" s="11" t="s">
        <v>1486</v>
      </c>
      <c r="D664" s="12" t="s">
        <v>1465</v>
      </c>
      <c r="E664" s="112">
        <v>32046005</v>
      </c>
      <c r="F664" s="165" t="s">
        <v>2355</v>
      </c>
      <c r="G664" s="146" t="s">
        <v>516</v>
      </c>
      <c r="H664" s="60">
        <v>32198294</v>
      </c>
      <c r="I664" s="10" t="s">
        <v>1487</v>
      </c>
      <c r="J664" s="6" t="s">
        <v>1488</v>
      </c>
      <c r="K664" s="12">
        <v>14</v>
      </c>
      <c r="L664" s="10" t="s">
        <v>1465</v>
      </c>
      <c r="M664" s="18" t="s">
        <v>481</v>
      </c>
    </row>
    <row r="665" spans="2:13" ht="15.9" customHeight="1" x14ac:dyDescent="0.3">
      <c r="B665" s="19" t="s">
        <v>363</v>
      </c>
      <c r="C665" s="11" t="s">
        <v>1464</v>
      </c>
      <c r="D665" s="12" t="s">
        <v>1465</v>
      </c>
      <c r="E665" s="112">
        <v>32046005</v>
      </c>
      <c r="F665" s="165" t="s">
        <v>2355</v>
      </c>
      <c r="G665" s="146" t="s">
        <v>516</v>
      </c>
      <c r="H665" s="60">
        <v>32107323</v>
      </c>
      <c r="I665" s="10" t="s">
        <v>1489</v>
      </c>
      <c r="J665" s="143" t="s">
        <v>1490</v>
      </c>
      <c r="K665" s="12">
        <v>14</v>
      </c>
      <c r="L665" s="12" t="s">
        <v>1465</v>
      </c>
      <c r="M665" s="18" t="s">
        <v>1491</v>
      </c>
    </row>
    <row r="666" spans="2:13" ht="15.9" customHeight="1" x14ac:dyDescent="0.3">
      <c r="B666" s="19" t="s">
        <v>363</v>
      </c>
      <c r="C666" s="11" t="s">
        <v>1464</v>
      </c>
      <c r="D666" s="12" t="s">
        <v>1465</v>
      </c>
      <c r="E666" s="112">
        <v>32046005</v>
      </c>
      <c r="F666" s="165" t="s">
        <v>2355</v>
      </c>
      <c r="G666" s="146" t="s">
        <v>516</v>
      </c>
      <c r="H666" s="60">
        <v>32149609</v>
      </c>
      <c r="I666" s="10" t="s">
        <v>1492</v>
      </c>
      <c r="J666" s="6" t="s">
        <v>1493</v>
      </c>
      <c r="K666" s="12">
        <v>14</v>
      </c>
      <c r="L666" s="10" t="s">
        <v>1465</v>
      </c>
      <c r="M666" s="18" t="s">
        <v>1444</v>
      </c>
    </row>
    <row r="667" spans="2:13" ht="15.9" customHeight="1" x14ac:dyDescent="0.3">
      <c r="B667" s="19" t="s">
        <v>363</v>
      </c>
      <c r="C667" s="11" t="s">
        <v>1464</v>
      </c>
      <c r="D667" s="12" t="s">
        <v>1465</v>
      </c>
      <c r="E667" s="112">
        <v>32046005</v>
      </c>
      <c r="F667" s="165" t="s">
        <v>2355</v>
      </c>
      <c r="G667" s="146" t="s">
        <v>516</v>
      </c>
      <c r="H667" s="60">
        <v>32148616</v>
      </c>
      <c r="I667" s="10" t="s">
        <v>1494</v>
      </c>
      <c r="J667" s="6" t="s">
        <v>1495</v>
      </c>
      <c r="K667" s="12">
        <v>14</v>
      </c>
      <c r="L667" s="10" t="s">
        <v>1465</v>
      </c>
      <c r="M667" s="18" t="s">
        <v>369</v>
      </c>
    </row>
    <row r="668" spans="2:13" ht="15.9" customHeight="1" x14ac:dyDescent="0.3">
      <c r="B668" s="19" t="s">
        <v>363</v>
      </c>
      <c r="C668" s="11" t="s">
        <v>1464</v>
      </c>
      <c r="D668" s="12" t="s">
        <v>1465</v>
      </c>
      <c r="E668" s="112">
        <v>32046005</v>
      </c>
      <c r="F668" s="165" t="s">
        <v>2355</v>
      </c>
      <c r="G668" s="146" t="s">
        <v>516</v>
      </c>
      <c r="H668" s="60">
        <v>32132174</v>
      </c>
      <c r="I668" s="10" t="s">
        <v>1496</v>
      </c>
      <c r="J668" s="6" t="s">
        <v>1497</v>
      </c>
      <c r="K668" s="12">
        <v>14</v>
      </c>
      <c r="L668" s="10" t="s">
        <v>1465</v>
      </c>
      <c r="M668" s="18" t="s">
        <v>381</v>
      </c>
    </row>
    <row r="669" spans="2:13" ht="15.9" customHeight="1" x14ac:dyDescent="0.3">
      <c r="B669" s="19" t="s">
        <v>363</v>
      </c>
      <c r="C669" s="11" t="s">
        <v>1464</v>
      </c>
      <c r="D669" s="12" t="s">
        <v>1465</v>
      </c>
      <c r="E669" s="94">
        <v>32046005</v>
      </c>
      <c r="F669" s="166" t="s">
        <v>2355</v>
      </c>
      <c r="G669" s="153" t="s">
        <v>516</v>
      </c>
      <c r="H669" s="60">
        <v>32045535</v>
      </c>
      <c r="I669" s="10" t="s">
        <v>1498</v>
      </c>
      <c r="J669" s="143" t="s">
        <v>1499</v>
      </c>
      <c r="K669" s="12">
        <v>14</v>
      </c>
      <c r="L669" s="10" t="s">
        <v>1465</v>
      </c>
      <c r="M669" s="18" t="s">
        <v>375</v>
      </c>
    </row>
    <row r="670" spans="2:13" ht="15.9" customHeight="1" x14ac:dyDescent="0.3">
      <c r="B670" s="19" t="s">
        <v>363</v>
      </c>
      <c r="C670" s="11" t="s">
        <v>1464</v>
      </c>
      <c r="D670" s="12" t="s">
        <v>1465</v>
      </c>
      <c r="E670" s="112">
        <v>32046005</v>
      </c>
      <c r="F670" s="165" t="s">
        <v>2355</v>
      </c>
      <c r="G670" s="146" t="s">
        <v>516</v>
      </c>
      <c r="H670" s="60">
        <v>32060942</v>
      </c>
      <c r="I670" s="32" t="s">
        <v>1500</v>
      </c>
      <c r="J670" s="6" t="s">
        <v>1501</v>
      </c>
      <c r="K670" s="12">
        <v>14</v>
      </c>
      <c r="L670" s="10" t="s">
        <v>1465</v>
      </c>
      <c r="M670" s="18" t="s">
        <v>372</v>
      </c>
    </row>
    <row r="671" spans="2:13" ht="15.9" customHeight="1" x14ac:dyDescent="0.3">
      <c r="B671" s="19" t="s">
        <v>263</v>
      </c>
      <c r="C671" s="20"/>
      <c r="D671" s="21" t="s">
        <v>291</v>
      </c>
      <c r="E671" s="14">
        <v>32145498</v>
      </c>
      <c r="F671" s="79" t="s">
        <v>292</v>
      </c>
      <c r="G671" s="146" t="s">
        <v>293</v>
      </c>
      <c r="H671" s="61">
        <v>32043900</v>
      </c>
      <c r="I671" s="24" t="s">
        <v>294</v>
      </c>
      <c r="J671" s="6" t="s">
        <v>295</v>
      </c>
      <c r="K671" s="12">
        <v>12</v>
      </c>
      <c r="L671" s="21" t="s">
        <v>291</v>
      </c>
      <c r="M671" s="52" t="s">
        <v>179</v>
      </c>
    </row>
    <row r="672" spans="2:13" ht="15.9" customHeight="1" x14ac:dyDescent="0.3">
      <c r="B672" s="19" t="s">
        <v>263</v>
      </c>
      <c r="C672" s="11"/>
      <c r="D672" s="12" t="s">
        <v>291</v>
      </c>
      <c r="E672" s="14">
        <v>32145498</v>
      </c>
      <c r="F672" s="67" t="s">
        <v>292</v>
      </c>
      <c r="G672" s="147" t="s">
        <v>293</v>
      </c>
      <c r="H672" s="60">
        <v>32044316</v>
      </c>
      <c r="I672" s="10" t="s">
        <v>296</v>
      </c>
      <c r="J672" s="6" t="s">
        <v>297</v>
      </c>
      <c r="K672" s="12">
        <v>12</v>
      </c>
      <c r="L672" s="12" t="s">
        <v>291</v>
      </c>
      <c r="M672" s="50" t="s">
        <v>44</v>
      </c>
    </row>
    <row r="673" spans="2:13" ht="15.9" customHeight="1" x14ac:dyDescent="0.3">
      <c r="B673" s="19" t="s">
        <v>263</v>
      </c>
      <c r="C673" s="11"/>
      <c r="D673" s="12" t="s">
        <v>291</v>
      </c>
      <c r="E673" s="14">
        <v>32145498</v>
      </c>
      <c r="F673" s="67" t="s">
        <v>292</v>
      </c>
      <c r="G673" s="146" t="s">
        <v>293</v>
      </c>
      <c r="H673" s="60">
        <v>32173442</v>
      </c>
      <c r="I673" s="10" t="s">
        <v>298</v>
      </c>
      <c r="J673" s="6" t="s">
        <v>299</v>
      </c>
      <c r="K673" s="12">
        <v>12</v>
      </c>
      <c r="L673" s="12" t="s">
        <v>291</v>
      </c>
      <c r="M673" s="50" t="s">
        <v>38</v>
      </c>
    </row>
    <row r="674" spans="2:13" ht="15.9" customHeight="1" x14ac:dyDescent="0.3">
      <c r="B674" s="19" t="s">
        <v>263</v>
      </c>
      <c r="C674" s="11"/>
      <c r="D674" s="12" t="s">
        <v>291</v>
      </c>
      <c r="E674" s="120">
        <v>32145498</v>
      </c>
      <c r="F674" s="130" t="s">
        <v>292</v>
      </c>
      <c r="G674" s="150" t="s">
        <v>293</v>
      </c>
      <c r="H674" s="60">
        <v>32045495</v>
      </c>
      <c r="I674" s="10" t="s">
        <v>292</v>
      </c>
      <c r="J674" s="143" t="s">
        <v>293</v>
      </c>
      <c r="K674" s="12">
        <v>12</v>
      </c>
      <c r="L674" s="12" t="s">
        <v>291</v>
      </c>
      <c r="M674" s="50" t="s">
        <v>35</v>
      </c>
    </row>
    <row r="675" spans="2:13" ht="15.9" customHeight="1" x14ac:dyDescent="0.3">
      <c r="B675" s="19" t="s">
        <v>263</v>
      </c>
      <c r="C675" s="11"/>
      <c r="D675" s="12" t="s">
        <v>291</v>
      </c>
      <c r="E675" s="14">
        <v>32145498</v>
      </c>
      <c r="F675" s="67" t="s">
        <v>292</v>
      </c>
      <c r="G675" s="146" t="s">
        <v>293</v>
      </c>
      <c r="H675" s="60">
        <v>32149490</v>
      </c>
      <c r="I675" s="10" t="s">
        <v>300</v>
      </c>
      <c r="J675" s="143" t="s">
        <v>301</v>
      </c>
      <c r="K675" s="12">
        <v>12</v>
      </c>
      <c r="L675" s="12" t="s">
        <v>291</v>
      </c>
      <c r="M675" s="50" t="s">
        <v>38</v>
      </c>
    </row>
    <row r="676" spans="2:13" ht="15.9" customHeight="1" x14ac:dyDescent="0.3">
      <c r="B676" s="19" t="s">
        <v>263</v>
      </c>
      <c r="C676" s="11"/>
      <c r="D676" s="12" t="s">
        <v>291</v>
      </c>
      <c r="E676" s="120">
        <v>32145498</v>
      </c>
      <c r="F676" s="130" t="s">
        <v>292</v>
      </c>
      <c r="G676" s="147" t="s">
        <v>293</v>
      </c>
      <c r="H676" s="60">
        <v>32092747</v>
      </c>
      <c r="I676" s="10" t="s">
        <v>302</v>
      </c>
      <c r="J676" s="6" t="s">
        <v>303</v>
      </c>
      <c r="K676" s="12">
        <v>12</v>
      </c>
      <c r="L676" s="12" t="s">
        <v>291</v>
      </c>
      <c r="M676" s="50" t="s">
        <v>179</v>
      </c>
    </row>
    <row r="677" spans="2:13" ht="15.9" customHeight="1" x14ac:dyDescent="0.3">
      <c r="B677" s="19" t="s">
        <v>263</v>
      </c>
      <c r="C677" s="11"/>
      <c r="D677" s="12" t="s">
        <v>291</v>
      </c>
      <c r="E677" s="14">
        <v>32145498</v>
      </c>
      <c r="F677" s="67" t="s">
        <v>292</v>
      </c>
      <c r="G677" s="146" t="s">
        <v>293</v>
      </c>
      <c r="H677" s="60">
        <v>32173435</v>
      </c>
      <c r="I677" s="10" t="s">
        <v>304</v>
      </c>
      <c r="J677" s="6" t="s">
        <v>305</v>
      </c>
      <c r="K677" s="12">
        <v>12</v>
      </c>
      <c r="L677" s="12" t="s">
        <v>291</v>
      </c>
      <c r="M677" s="50" t="s">
        <v>47</v>
      </c>
    </row>
    <row r="678" spans="2:13" ht="15.9" customHeight="1" x14ac:dyDescent="0.3">
      <c r="B678" s="19" t="s">
        <v>263</v>
      </c>
      <c r="C678" s="11"/>
      <c r="D678" s="12" t="s">
        <v>291</v>
      </c>
      <c r="E678" s="120">
        <v>32145498</v>
      </c>
      <c r="F678" s="130" t="s">
        <v>292</v>
      </c>
      <c r="G678" s="150" t="s">
        <v>293</v>
      </c>
      <c r="H678" s="60">
        <v>32145333</v>
      </c>
      <c r="I678" s="10" t="s">
        <v>306</v>
      </c>
      <c r="J678" s="6" t="s">
        <v>307</v>
      </c>
      <c r="K678" s="12">
        <v>12</v>
      </c>
      <c r="L678" s="12" t="s">
        <v>291</v>
      </c>
      <c r="M678" s="50" t="s">
        <v>41</v>
      </c>
    </row>
    <row r="679" spans="2:13" ht="15.9" customHeight="1" x14ac:dyDescent="0.3">
      <c r="B679" s="19" t="s">
        <v>263</v>
      </c>
      <c r="C679" s="11"/>
      <c r="D679" s="12" t="s">
        <v>291</v>
      </c>
      <c r="E679" s="14">
        <v>32145498</v>
      </c>
      <c r="F679" s="67" t="s">
        <v>292</v>
      </c>
      <c r="G679" s="146" t="s">
        <v>293</v>
      </c>
      <c r="H679" s="60">
        <v>32199772</v>
      </c>
      <c r="I679" s="10" t="s">
        <v>308</v>
      </c>
      <c r="J679" s="6" t="s">
        <v>309</v>
      </c>
      <c r="K679" s="12">
        <v>12</v>
      </c>
      <c r="L679" s="12" t="s">
        <v>291</v>
      </c>
      <c r="M679" s="50" t="s">
        <v>35</v>
      </c>
    </row>
    <row r="680" spans="2:13" ht="15.9" customHeight="1" x14ac:dyDescent="0.3">
      <c r="B680" s="19" t="s">
        <v>263</v>
      </c>
      <c r="C680" s="11"/>
      <c r="D680" s="12" t="s">
        <v>291</v>
      </c>
      <c r="E680" s="120">
        <v>32145498</v>
      </c>
      <c r="F680" s="130" t="s">
        <v>292</v>
      </c>
      <c r="G680" s="146" t="s">
        <v>293</v>
      </c>
      <c r="H680" s="60">
        <v>32045469</v>
      </c>
      <c r="I680" s="10" t="s">
        <v>310</v>
      </c>
      <c r="J680" s="80" t="s">
        <v>311</v>
      </c>
      <c r="K680" s="12">
        <v>12</v>
      </c>
      <c r="L680" s="12" t="s">
        <v>291</v>
      </c>
      <c r="M680" s="50" t="s">
        <v>41</v>
      </c>
    </row>
    <row r="681" spans="2:13" ht="15.9" customHeight="1" x14ac:dyDescent="0.3">
      <c r="B681" s="19" t="s">
        <v>363</v>
      </c>
      <c r="C681" s="11">
        <v>12</v>
      </c>
      <c r="D681" s="12" t="s">
        <v>1215</v>
      </c>
      <c r="E681" s="113">
        <v>32156051</v>
      </c>
      <c r="F681" s="129" t="s">
        <v>2352</v>
      </c>
      <c r="G681" s="146" t="s">
        <v>1053</v>
      </c>
      <c r="H681" s="60">
        <v>32045140</v>
      </c>
      <c r="I681" s="10" t="s">
        <v>1225</v>
      </c>
      <c r="J681" s="28" t="s">
        <v>1226</v>
      </c>
      <c r="K681" s="12">
        <v>11</v>
      </c>
      <c r="L681" s="10" t="s">
        <v>1215</v>
      </c>
      <c r="M681" s="18" t="s">
        <v>1074</v>
      </c>
    </row>
    <row r="682" spans="2:13" ht="15.9" customHeight="1" x14ac:dyDescent="0.3">
      <c r="B682" s="19" t="s">
        <v>363</v>
      </c>
      <c r="C682" s="11">
        <v>12</v>
      </c>
      <c r="D682" s="12" t="s">
        <v>1215</v>
      </c>
      <c r="E682" s="12">
        <v>32156051</v>
      </c>
      <c r="F682" s="50" t="s">
        <v>2352</v>
      </c>
      <c r="G682" s="146" t="s">
        <v>1053</v>
      </c>
      <c r="H682" s="60">
        <v>32046657</v>
      </c>
      <c r="I682" s="10" t="s">
        <v>1227</v>
      </c>
      <c r="J682" s="6" t="s">
        <v>1228</v>
      </c>
      <c r="K682" s="12">
        <v>11</v>
      </c>
      <c r="L682" s="10" t="s">
        <v>1215</v>
      </c>
      <c r="M682" s="18" t="s">
        <v>705</v>
      </c>
    </row>
    <row r="683" spans="2:13" ht="15.9" customHeight="1" x14ac:dyDescent="0.3">
      <c r="B683" s="19" t="s">
        <v>363</v>
      </c>
      <c r="C683" s="11">
        <v>12</v>
      </c>
      <c r="D683" s="12" t="s">
        <v>1215</v>
      </c>
      <c r="E683" s="113">
        <v>32156051</v>
      </c>
      <c r="F683" s="129" t="s">
        <v>2352</v>
      </c>
      <c r="G683" s="146" t="s">
        <v>1053</v>
      </c>
      <c r="H683" s="60">
        <v>32043920</v>
      </c>
      <c r="I683" s="10" t="s">
        <v>1216</v>
      </c>
      <c r="J683" s="6" t="s">
        <v>1217</v>
      </c>
      <c r="K683" s="12">
        <v>11</v>
      </c>
      <c r="L683" s="10" t="s">
        <v>1215</v>
      </c>
      <c r="M683" s="18" t="s">
        <v>461</v>
      </c>
    </row>
    <row r="684" spans="2:13" ht="15.9" customHeight="1" x14ac:dyDescent="0.3">
      <c r="B684" s="19" t="s">
        <v>363</v>
      </c>
      <c r="C684" s="11">
        <v>12</v>
      </c>
      <c r="D684" s="12" t="s">
        <v>1215</v>
      </c>
      <c r="E684" s="12">
        <v>32156051</v>
      </c>
      <c r="F684" s="50" t="s">
        <v>2352</v>
      </c>
      <c r="G684" s="146" t="s">
        <v>1053</v>
      </c>
      <c r="H684" s="60">
        <v>32044164</v>
      </c>
      <c r="I684" s="10" t="s">
        <v>1220</v>
      </c>
      <c r="J684" s="154" t="s">
        <v>1221</v>
      </c>
      <c r="K684" s="12">
        <v>11</v>
      </c>
      <c r="L684" s="10" t="s">
        <v>1215</v>
      </c>
      <c r="M684" s="18" t="s">
        <v>1069</v>
      </c>
    </row>
    <row r="685" spans="2:13" ht="15.9" customHeight="1" x14ac:dyDescent="0.3">
      <c r="B685" s="19" t="s">
        <v>363</v>
      </c>
      <c r="C685" s="11">
        <v>12</v>
      </c>
      <c r="D685" s="12" t="s">
        <v>1215</v>
      </c>
      <c r="E685" s="113">
        <v>32156051</v>
      </c>
      <c r="F685" s="129" t="s">
        <v>2352</v>
      </c>
      <c r="G685" s="146" t="s">
        <v>1053</v>
      </c>
      <c r="H685" s="60">
        <v>32044644</v>
      </c>
      <c r="I685" s="10" t="s">
        <v>1222</v>
      </c>
      <c r="J685" s="80" t="s">
        <v>61</v>
      </c>
      <c r="K685" s="12">
        <v>11</v>
      </c>
      <c r="L685" s="10" t="s">
        <v>1215</v>
      </c>
      <c r="M685" s="18" t="s">
        <v>711</v>
      </c>
    </row>
    <row r="686" spans="2:13" ht="15.9" customHeight="1" x14ac:dyDescent="0.3">
      <c r="B686" s="19" t="s">
        <v>363</v>
      </c>
      <c r="C686" s="11">
        <v>12</v>
      </c>
      <c r="D686" s="12" t="s">
        <v>1215</v>
      </c>
      <c r="E686" s="113">
        <v>32156051</v>
      </c>
      <c r="F686" s="129" t="s">
        <v>2352</v>
      </c>
      <c r="G686" s="147" t="s">
        <v>1053</v>
      </c>
      <c r="H686" s="60">
        <v>32044852</v>
      </c>
      <c r="I686" s="10" t="s">
        <v>1223</v>
      </c>
      <c r="J686" s="6" t="s">
        <v>1224</v>
      </c>
      <c r="K686" s="12">
        <v>11</v>
      </c>
      <c r="L686" s="10" t="s">
        <v>1215</v>
      </c>
      <c r="M686" s="18" t="s">
        <v>453</v>
      </c>
    </row>
    <row r="687" spans="2:13" ht="15.9" customHeight="1" x14ac:dyDescent="0.3">
      <c r="B687" s="19" t="s">
        <v>363</v>
      </c>
      <c r="C687" s="20">
        <v>12</v>
      </c>
      <c r="D687" s="21" t="s">
        <v>1215</v>
      </c>
      <c r="E687" s="12">
        <v>32156051</v>
      </c>
      <c r="F687" s="52" t="s">
        <v>2352</v>
      </c>
      <c r="G687" s="146" t="s">
        <v>1053</v>
      </c>
      <c r="H687" s="61">
        <v>32106989</v>
      </c>
      <c r="I687" s="24" t="s">
        <v>1229</v>
      </c>
      <c r="J687" s="6" t="s">
        <v>1230</v>
      </c>
      <c r="K687" s="12">
        <v>11</v>
      </c>
      <c r="L687" s="24" t="s">
        <v>1215</v>
      </c>
      <c r="M687" s="25" t="s">
        <v>447</v>
      </c>
    </row>
    <row r="688" spans="2:13" ht="15.9" customHeight="1" x14ac:dyDescent="0.3">
      <c r="B688" s="19" t="s">
        <v>363</v>
      </c>
      <c r="C688" s="11">
        <v>12</v>
      </c>
      <c r="D688" s="12" t="s">
        <v>1215</v>
      </c>
      <c r="E688" s="12">
        <v>32156051</v>
      </c>
      <c r="F688" s="50" t="s">
        <v>2352</v>
      </c>
      <c r="G688" s="150" t="s">
        <v>1053</v>
      </c>
      <c r="H688" s="60">
        <v>32132186</v>
      </c>
      <c r="I688" s="10" t="s">
        <v>1232</v>
      </c>
      <c r="J688" s="6" t="s">
        <v>1233</v>
      </c>
      <c r="K688" s="12">
        <v>11</v>
      </c>
      <c r="L688" s="10" t="s">
        <v>1215</v>
      </c>
      <c r="M688" s="18" t="s">
        <v>1077</v>
      </c>
    </row>
    <row r="689" spans="2:13" ht="15.9" customHeight="1" x14ac:dyDescent="0.3">
      <c r="B689" s="19" t="s">
        <v>363</v>
      </c>
      <c r="C689" s="11">
        <v>12</v>
      </c>
      <c r="D689" s="12" t="s">
        <v>1215</v>
      </c>
      <c r="E689" s="12">
        <v>32156051</v>
      </c>
      <c r="F689" s="50" t="s">
        <v>2352</v>
      </c>
      <c r="G689" s="146" t="s">
        <v>1053</v>
      </c>
      <c r="H689" s="60">
        <v>32044051</v>
      </c>
      <c r="I689" s="10" t="s">
        <v>1218</v>
      </c>
      <c r="J689" s="6" t="s">
        <v>1219</v>
      </c>
      <c r="K689" s="12">
        <v>11</v>
      </c>
      <c r="L689" s="10" t="s">
        <v>1215</v>
      </c>
      <c r="M689" s="18" t="s">
        <v>456</v>
      </c>
    </row>
    <row r="690" spans="2:13" ht="15.9" customHeight="1" x14ac:dyDescent="0.3">
      <c r="B690" s="19" t="s">
        <v>363</v>
      </c>
      <c r="C690" s="11">
        <v>12</v>
      </c>
      <c r="D690" s="12" t="s">
        <v>1215</v>
      </c>
      <c r="E690" s="113">
        <v>32156051</v>
      </c>
      <c r="F690" s="129" t="s">
        <v>2352</v>
      </c>
      <c r="G690" s="146" t="s">
        <v>1053</v>
      </c>
      <c r="H690" s="60">
        <v>32132193</v>
      </c>
      <c r="I690" s="10" t="s">
        <v>1234</v>
      </c>
      <c r="J690" s="143" t="s">
        <v>1235</v>
      </c>
      <c r="K690" s="12">
        <v>11</v>
      </c>
      <c r="L690" s="10" t="s">
        <v>1215</v>
      </c>
      <c r="M690" s="18" t="s">
        <v>1056</v>
      </c>
    </row>
    <row r="691" spans="2:13" ht="15.9" customHeight="1" x14ac:dyDescent="0.3">
      <c r="B691" s="185" t="s">
        <v>263</v>
      </c>
      <c r="C691" s="10"/>
      <c r="D691" s="26" t="s">
        <v>312</v>
      </c>
      <c r="E691" s="16">
        <v>32045378</v>
      </c>
      <c r="F691" s="193" t="s">
        <v>313</v>
      </c>
      <c r="G691" s="146" t="s">
        <v>314</v>
      </c>
      <c r="H691" s="72">
        <v>32044783</v>
      </c>
      <c r="I691" s="10" t="s">
        <v>315</v>
      </c>
      <c r="J691" s="6" t="s">
        <v>316</v>
      </c>
      <c r="K691" s="12">
        <v>8</v>
      </c>
      <c r="L691" s="26" t="s">
        <v>312</v>
      </c>
      <c r="M691" s="18" t="s">
        <v>56</v>
      </c>
    </row>
    <row r="692" spans="2:13" ht="15.9" customHeight="1" x14ac:dyDescent="0.3">
      <c r="B692" s="185" t="s">
        <v>263</v>
      </c>
      <c r="C692" s="10"/>
      <c r="D692" s="26" t="s">
        <v>312</v>
      </c>
      <c r="E692" s="16">
        <v>32045378</v>
      </c>
      <c r="F692" s="193" t="s">
        <v>313</v>
      </c>
      <c r="G692" s="153" t="s">
        <v>314</v>
      </c>
      <c r="H692" s="72">
        <v>32044892</v>
      </c>
      <c r="I692" s="10" t="s">
        <v>317</v>
      </c>
      <c r="J692" s="28" t="s">
        <v>318</v>
      </c>
      <c r="K692" s="12">
        <v>8</v>
      </c>
      <c r="L692" s="26" t="s">
        <v>312</v>
      </c>
      <c r="M692" s="18" t="s">
        <v>56</v>
      </c>
    </row>
    <row r="693" spans="2:13" ht="15.9" customHeight="1" x14ac:dyDescent="0.3">
      <c r="B693" s="185" t="s">
        <v>263</v>
      </c>
      <c r="C693" s="10"/>
      <c r="D693" s="26" t="s">
        <v>312</v>
      </c>
      <c r="E693" s="16">
        <v>32045378</v>
      </c>
      <c r="F693" s="193" t="s">
        <v>313</v>
      </c>
      <c r="G693" s="146" t="s">
        <v>314</v>
      </c>
      <c r="H693" s="72">
        <v>32209454</v>
      </c>
      <c r="I693" s="10" t="s">
        <v>2430</v>
      </c>
      <c r="J693" s="6" t="s">
        <v>320</v>
      </c>
      <c r="K693" s="12">
        <v>8</v>
      </c>
      <c r="L693" s="26" t="s">
        <v>312</v>
      </c>
      <c r="M693" s="18" t="s">
        <v>38</v>
      </c>
    </row>
    <row r="694" spans="2:13" ht="15.9" customHeight="1" x14ac:dyDescent="0.3">
      <c r="B694" s="185" t="s">
        <v>263</v>
      </c>
      <c r="C694" s="10"/>
      <c r="D694" s="26" t="s">
        <v>312</v>
      </c>
      <c r="E694" s="16">
        <v>32045378</v>
      </c>
      <c r="F694" s="193" t="s">
        <v>313</v>
      </c>
      <c r="G694" s="146" t="s">
        <v>314</v>
      </c>
      <c r="H694" s="72">
        <v>32046259</v>
      </c>
      <c r="I694" s="10" t="s">
        <v>321</v>
      </c>
      <c r="J694" s="6" t="s">
        <v>322</v>
      </c>
      <c r="K694" s="12">
        <v>8</v>
      </c>
      <c r="L694" s="26" t="s">
        <v>312</v>
      </c>
      <c r="M694" s="18" t="s">
        <v>47</v>
      </c>
    </row>
    <row r="695" spans="2:13" ht="15.9" customHeight="1" x14ac:dyDescent="0.3">
      <c r="B695" s="185" t="s">
        <v>263</v>
      </c>
      <c r="C695" s="10"/>
      <c r="D695" s="26" t="s">
        <v>312</v>
      </c>
      <c r="E695" s="16">
        <v>32045378</v>
      </c>
      <c r="F695" s="193" t="s">
        <v>313</v>
      </c>
      <c r="G695" s="153" t="s">
        <v>314</v>
      </c>
      <c r="H695" s="72">
        <v>32045572</v>
      </c>
      <c r="I695" s="10" t="s">
        <v>324</v>
      </c>
      <c r="J695" s="6" t="s">
        <v>325</v>
      </c>
      <c r="K695" s="12">
        <v>8</v>
      </c>
      <c r="L695" s="26" t="s">
        <v>312</v>
      </c>
      <c r="M695" s="18" t="s">
        <v>44</v>
      </c>
    </row>
    <row r="696" spans="2:13" ht="15.9" customHeight="1" x14ac:dyDescent="0.3">
      <c r="B696" s="185" t="s">
        <v>263</v>
      </c>
      <c r="C696" s="10"/>
      <c r="D696" s="26" t="s">
        <v>312</v>
      </c>
      <c r="E696" s="123">
        <v>32045378</v>
      </c>
      <c r="F696" s="196" t="s">
        <v>313</v>
      </c>
      <c r="G696" s="146" t="s">
        <v>314</v>
      </c>
      <c r="H696" s="72">
        <v>32045438</v>
      </c>
      <c r="I696" s="10" t="s">
        <v>326</v>
      </c>
      <c r="J696" s="143" t="s">
        <v>327</v>
      </c>
      <c r="K696" s="12">
        <v>8</v>
      </c>
      <c r="L696" s="26" t="s">
        <v>312</v>
      </c>
      <c r="M696" s="18" t="s">
        <v>35</v>
      </c>
    </row>
    <row r="697" spans="2:13" ht="15.9" customHeight="1" x14ac:dyDescent="0.3">
      <c r="B697" s="185" t="s">
        <v>263</v>
      </c>
      <c r="C697" s="10"/>
      <c r="D697" s="26" t="s">
        <v>312</v>
      </c>
      <c r="E697" s="16">
        <v>32045378</v>
      </c>
      <c r="F697" s="193" t="s">
        <v>313</v>
      </c>
      <c r="G697" s="146" t="s">
        <v>314</v>
      </c>
      <c r="H697" s="72">
        <v>32044845</v>
      </c>
      <c r="I697" s="10" t="s">
        <v>2329</v>
      </c>
      <c r="J697" s="80" t="s">
        <v>61</v>
      </c>
      <c r="K697" s="12">
        <v>8</v>
      </c>
      <c r="L697" s="26" t="s">
        <v>312</v>
      </c>
      <c r="M697" s="18" t="s">
        <v>41</v>
      </c>
    </row>
    <row r="698" spans="2:13" ht="15.9" customHeight="1" x14ac:dyDescent="0.3">
      <c r="B698" s="185" t="s">
        <v>263</v>
      </c>
      <c r="C698" s="10"/>
      <c r="D698" s="26" t="s">
        <v>312</v>
      </c>
      <c r="E698" s="16">
        <v>32045378</v>
      </c>
      <c r="F698" s="193" t="s">
        <v>313</v>
      </c>
      <c r="G698" s="146" t="s">
        <v>314</v>
      </c>
      <c r="H698" s="72">
        <v>32204264</v>
      </c>
      <c r="I698" s="10" t="s">
        <v>328</v>
      </c>
      <c r="J698" s="143" t="s">
        <v>329</v>
      </c>
      <c r="K698" s="12">
        <v>8</v>
      </c>
      <c r="L698" s="26" t="s">
        <v>312</v>
      </c>
      <c r="M698" s="18" t="s">
        <v>179</v>
      </c>
    </row>
    <row r="699" spans="2:13" ht="15.9" customHeight="1" x14ac:dyDescent="0.3">
      <c r="B699" s="19" t="s">
        <v>35</v>
      </c>
      <c r="C699" s="11"/>
      <c r="D699" s="12" t="s">
        <v>1894</v>
      </c>
      <c r="E699" s="94">
        <v>32164996</v>
      </c>
      <c r="F699" s="166" t="s">
        <v>1895</v>
      </c>
      <c r="G699" s="147" t="s">
        <v>1896</v>
      </c>
      <c r="H699" s="60">
        <v>32044273</v>
      </c>
      <c r="I699" s="10" t="s">
        <v>1897</v>
      </c>
      <c r="J699" s="6" t="s">
        <v>1898</v>
      </c>
      <c r="K699" s="12">
        <v>8</v>
      </c>
      <c r="L699" s="12" t="s">
        <v>1894</v>
      </c>
      <c r="M699" s="50" t="s">
        <v>35</v>
      </c>
    </row>
    <row r="700" spans="2:13" ht="15.9" customHeight="1" x14ac:dyDescent="0.3">
      <c r="B700" s="11" t="s">
        <v>35</v>
      </c>
      <c r="C700" s="11"/>
      <c r="D700" s="12" t="s">
        <v>1894</v>
      </c>
      <c r="E700" s="95">
        <v>32164996</v>
      </c>
      <c r="F700" s="163" t="s">
        <v>1895</v>
      </c>
      <c r="G700" s="146" t="s">
        <v>1896</v>
      </c>
      <c r="H700" s="60">
        <v>32044433</v>
      </c>
      <c r="I700" s="10" t="s">
        <v>1899</v>
      </c>
      <c r="J700" s="6" t="s">
        <v>1900</v>
      </c>
      <c r="K700" s="12">
        <v>8</v>
      </c>
      <c r="L700" s="12" t="s">
        <v>1894</v>
      </c>
      <c r="M700" s="50" t="s">
        <v>41</v>
      </c>
    </row>
    <row r="701" spans="2:13" ht="15.9" customHeight="1" x14ac:dyDescent="0.3">
      <c r="B701" s="19" t="s">
        <v>35</v>
      </c>
      <c r="C701" s="11"/>
      <c r="D701" s="12" t="s">
        <v>1894</v>
      </c>
      <c r="E701" s="94">
        <v>32164996</v>
      </c>
      <c r="F701" s="166" t="s">
        <v>1895</v>
      </c>
      <c r="G701" s="150" t="s">
        <v>1896</v>
      </c>
      <c r="H701" s="60">
        <v>32043851</v>
      </c>
      <c r="I701" s="10" t="s">
        <v>1901</v>
      </c>
      <c r="J701" s="6" t="s">
        <v>1902</v>
      </c>
      <c r="K701" s="12">
        <v>8</v>
      </c>
      <c r="L701" s="12" t="s">
        <v>1894</v>
      </c>
      <c r="M701" s="50" t="s">
        <v>56</v>
      </c>
    </row>
    <row r="702" spans="2:13" ht="15.9" customHeight="1" x14ac:dyDescent="0.3">
      <c r="B702" s="19" t="s">
        <v>35</v>
      </c>
      <c r="C702" s="20"/>
      <c r="D702" s="21" t="s">
        <v>1894</v>
      </c>
      <c r="E702" s="112">
        <v>32164996</v>
      </c>
      <c r="F702" s="167" t="s">
        <v>1895</v>
      </c>
      <c r="G702" s="146" t="s">
        <v>1896</v>
      </c>
      <c r="H702" s="61">
        <v>32044204</v>
      </c>
      <c r="I702" s="24" t="s">
        <v>1903</v>
      </c>
      <c r="J702" s="45" t="s">
        <v>1904</v>
      </c>
      <c r="K702" s="12">
        <v>8</v>
      </c>
      <c r="L702" s="21" t="s">
        <v>1894</v>
      </c>
      <c r="M702" s="52" t="s">
        <v>179</v>
      </c>
    </row>
    <row r="703" spans="2:13" ht="15.9" customHeight="1" x14ac:dyDescent="0.3">
      <c r="B703" s="19" t="s">
        <v>35</v>
      </c>
      <c r="C703" s="11"/>
      <c r="D703" s="12" t="s">
        <v>1894</v>
      </c>
      <c r="E703" s="94">
        <v>32164996</v>
      </c>
      <c r="F703" s="166" t="s">
        <v>1895</v>
      </c>
      <c r="G703" s="146" t="s">
        <v>1896</v>
      </c>
      <c r="H703" s="60">
        <v>32045864</v>
      </c>
      <c r="I703" s="10" t="s">
        <v>1905</v>
      </c>
      <c r="J703" s="143" t="s">
        <v>1906</v>
      </c>
      <c r="K703" s="12">
        <v>8</v>
      </c>
      <c r="L703" s="12" t="s">
        <v>1894</v>
      </c>
      <c r="M703" s="50" t="s">
        <v>38</v>
      </c>
    </row>
    <row r="704" spans="2:13" ht="15.9" customHeight="1" x14ac:dyDescent="0.3">
      <c r="B704" s="19" t="s">
        <v>35</v>
      </c>
      <c r="C704" s="11"/>
      <c r="D704" s="12" t="s">
        <v>1894</v>
      </c>
      <c r="E704" s="112">
        <v>32164996</v>
      </c>
      <c r="F704" s="165" t="s">
        <v>1895</v>
      </c>
      <c r="G704" s="146" t="s">
        <v>1896</v>
      </c>
      <c r="H704" s="60">
        <v>32044888</v>
      </c>
      <c r="I704" s="10" t="s">
        <v>1907</v>
      </c>
      <c r="J704" s="6" t="s">
        <v>1908</v>
      </c>
      <c r="K704" s="12">
        <v>8</v>
      </c>
      <c r="L704" s="12" t="s">
        <v>1894</v>
      </c>
      <c r="M704" s="50" t="s">
        <v>44</v>
      </c>
    </row>
    <row r="705" spans="2:13" ht="15.9" customHeight="1" x14ac:dyDescent="0.3">
      <c r="B705" s="19" t="s">
        <v>35</v>
      </c>
      <c r="C705" s="11"/>
      <c r="D705" s="12" t="s">
        <v>1894</v>
      </c>
      <c r="E705" s="112">
        <v>32164996</v>
      </c>
      <c r="F705" s="165" t="s">
        <v>1895</v>
      </c>
      <c r="G705" s="146" t="s">
        <v>1896</v>
      </c>
      <c r="H705" s="60">
        <v>32044303</v>
      </c>
      <c r="I705" s="10" t="s">
        <v>1909</v>
      </c>
      <c r="J705" s="28" t="s">
        <v>1910</v>
      </c>
      <c r="K705" s="12">
        <v>8</v>
      </c>
      <c r="L705" s="12" t="s">
        <v>1894</v>
      </c>
      <c r="M705" s="50" t="s">
        <v>47</v>
      </c>
    </row>
    <row r="706" spans="2:13" ht="15.9" customHeight="1" x14ac:dyDescent="0.3">
      <c r="B706" s="19" t="s">
        <v>35</v>
      </c>
      <c r="C706" s="11"/>
      <c r="D706" s="12" t="s">
        <v>1894</v>
      </c>
      <c r="E706" s="94">
        <v>32164996</v>
      </c>
      <c r="F706" s="166" t="s">
        <v>1895</v>
      </c>
      <c r="G706" s="146" t="s">
        <v>1896</v>
      </c>
      <c r="H706" s="60">
        <v>32045880</v>
      </c>
      <c r="I706" s="10" t="s">
        <v>2330</v>
      </c>
      <c r="J706" s="6" t="s">
        <v>2331</v>
      </c>
      <c r="K706" s="12">
        <v>8</v>
      </c>
      <c r="L706" s="12" t="s">
        <v>1894</v>
      </c>
      <c r="M706" s="50" t="s">
        <v>38</v>
      </c>
    </row>
    <row r="707" spans="2:13" ht="15.9" customHeight="1" x14ac:dyDescent="0.3">
      <c r="B707" s="19" t="s">
        <v>363</v>
      </c>
      <c r="C707" s="11">
        <v>13</v>
      </c>
      <c r="D707" s="12" t="s">
        <v>1264</v>
      </c>
      <c r="E707" s="12">
        <v>32060808</v>
      </c>
      <c r="F707" s="50" t="s">
        <v>1265</v>
      </c>
      <c r="G707" s="146" t="s">
        <v>1267</v>
      </c>
      <c r="H707" s="60">
        <v>32044682</v>
      </c>
      <c r="I707" s="10" t="s">
        <v>1272</v>
      </c>
      <c r="J707" s="154" t="s">
        <v>1273</v>
      </c>
      <c r="K707" s="12">
        <v>13</v>
      </c>
      <c r="L707" s="10" t="s">
        <v>1264</v>
      </c>
      <c r="M707" s="18" t="s">
        <v>38</v>
      </c>
    </row>
    <row r="708" spans="2:13" ht="15.9" customHeight="1" x14ac:dyDescent="0.3">
      <c r="B708" s="19" t="s">
        <v>363</v>
      </c>
      <c r="C708" s="11">
        <v>13</v>
      </c>
      <c r="D708" s="12" t="s">
        <v>1264</v>
      </c>
      <c r="E708" s="113">
        <v>32060808</v>
      </c>
      <c r="F708" s="129" t="s">
        <v>1265</v>
      </c>
      <c r="G708" s="146" t="s">
        <v>1267</v>
      </c>
      <c r="H708" s="60">
        <v>32142975</v>
      </c>
      <c r="I708" s="10" t="s">
        <v>1289</v>
      </c>
      <c r="J708" s="143" t="s">
        <v>1290</v>
      </c>
      <c r="K708" s="12">
        <v>13</v>
      </c>
      <c r="L708" s="10" t="s">
        <v>1264</v>
      </c>
      <c r="M708" s="18" t="s">
        <v>35</v>
      </c>
    </row>
    <row r="709" spans="2:13" ht="15.9" customHeight="1" x14ac:dyDescent="0.3">
      <c r="B709" s="19" t="s">
        <v>363</v>
      </c>
      <c r="C709" s="11">
        <v>13</v>
      </c>
      <c r="D709" s="12" t="s">
        <v>1264</v>
      </c>
      <c r="E709" s="113">
        <v>32060808</v>
      </c>
      <c r="F709" s="129" t="s">
        <v>1265</v>
      </c>
      <c r="G709" s="153" t="s">
        <v>1267</v>
      </c>
      <c r="H709" s="60">
        <v>32138052</v>
      </c>
      <c r="I709" s="10" t="s">
        <v>1282</v>
      </c>
      <c r="J709" s="6" t="s">
        <v>1283</v>
      </c>
      <c r="K709" s="12">
        <v>13</v>
      </c>
      <c r="L709" s="10" t="s">
        <v>1264</v>
      </c>
      <c r="M709" s="18" t="s">
        <v>47</v>
      </c>
    </row>
    <row r="710" spans="2:13" ht="15.9" customHeight="1" x14ac:dyDescent="0.3">
      <c r="B710" s="19" t="s">
        <v>363</v>
      </c>
      <c r="C710" s="11">
        <v>13</v>
      </c>
      <c r="D710" s="12" t="s">
        <v>1264</v>
      </c>
      <c r="E710" s="12">
        <v>32060808</v>
      </c>
      <c r="F710" s="50" t="s">
        <v>1265</v>
      </c>
      <c r="G710" s="146" t="s">
        <v>1267</v>
      </c>
      <c r="H710" s="60">
        <v>32046268</v>
      </c>
      <c r="I710" s="10" t="s">
        <v>1278</v>
      </c>
      <c r="J710" s="6" t="s">
        <v>1279</v>
      </c>
      <c r="K710" s="12">
        <v>13</v>
      </c>
      <c r="L710" s="10" t="s">
        <v>1264</v>
      </c>
      <c r="M710" s="18" t="s">
        <v>179</v>
      </c>
    </row>
    <row r="711" spans="2:13" ht="15.9" customHeight="1" x14ac:dyDescent="0.3">
      <c r="B711" s="19" t="s">
        <v>363</v>
      </c>
      <c r="C711" s="11">
        <v>13</v>
      </c>
      <c r="D711" s="12" t="s">
        <v>1264</v>
      </c>
      <c r="E711" s="12">
        <v>32060808</v>
      </c>
      <c r="F711" s="50" t="s">
        <v>1265</v>
      </c>
      <c r="G711" s="146" t="s">
        <v>1267</v>
      </c>
      <c r="H711" s="60">
        <v>32140577</v>
      </c>
      <c r="I711" s="10" t="s">
        <v>1284</v>
      </c>
      <c r="J711" s="6" t="s">
        <v>1285</v>
      </c>
      <c r="K711" s="12">
        <v>13</v>
      </c>
      <c r="L711" s="10" t="s">
        <v>1264</v>
      </c>
      <c r="M711" s="18" t="s">
        <v>41</v>
      </c>
    </row>
    <row r="712" spans="2:13" ht="15.9" customHeight="1" x14ac:dyDescent="0.3">
      <c r="B712" s="19" t="s">
        <v>363</v>
      </c>
      <c r="C712" s="11">
        <v>13</v>
      </c>
      <c r="D712" s="12" t="s">
        <v>1264</v>
      </c>
      <c r="E712" s="113">
        <v>32060808</v>
      </c>
      <c r="F712" s="129" t="s">
        <v>1265</v>
      </c>
      <c r="G712" s="146" t="s">
        <v>1267</v>
      </c>
      <c r="H712" s="60">
        <v>32043911</v>
      </c>
      <c r="I712" s="10" t="s">
        <v>2431</v>
      </c>
      <c r="J712" s="6" t="s">
        <v>2704</v>
      </c>
      <c r="K712" s="12">
        <v>13</v>
      </c>
      <c r="L712" s="10" t="s">
        <v>1264</v>
      </c>
      <c r="M712" s="18" t="s">
        <v>179</v>
      </c>
    </row>
    <row r="713" spans="2:13" ht="15.9" customHeight="1" x14ac:dyDescent="0.3">
      <c r="B713" s="19" t="s">
        <v>363</v>
      </c>
      <c r="C713" s="11">
        <v>13</v>
      </c>
      <c r="D713" s="12" t="s">
        <v>1264</v>
      </c>
      <c r="E713" s="12">
        <v>32060808</v>
      </c>
      <c r="F713" s="50" t="s">
        <v>1265</v>
      </c>
      <c r="G713" s="146" t="s">
        <v>1267</v>
      </c>
      <c r="H713" s="60">
        <v>32045180</v>
      </c>
      <c r="I713" s="10" t="s">
        <v>1274</v>
      </c>
      <c r="J713" s="6" t="s">
        <v>1275</v>
      </c>
      <c r="K713" s="12">
        <v>13</v>
      </c>
      <c r="L713" s="10" t="s">
        <v>1264</v>
      </c>
      <c r="M713" s="18" t="s">
        <v>35</v>
      </c>
    </row>
    <row r="714" spans="2:13" ht="15.9" customHeight="1" x14ac:dyDescent="0.3">
      <c r="B714" s="19" t="s">
        <v>363</v>
      </c>
      <c r="C714" s="11">
        <v>13</v>
      </c>
      <c r="D714" s="12" t="s">
        <v>1264</v>
      </c>
      <c r="E714" s="113">
        <v>32060808</v>
      </c>
      <c r="F714" s="129" t="s">
        <v>1265</v>
      </c>
      <c r="G714" s="146" t="s">
        <v>1267</v>
      </c>
      <c r="H714" s="60">
        <v>32043942</v>
      </c>
      <c r="I714" s="10" t="s">
        <v>1268</v>
      </c>
      <c r="J714" s="154" t="s">
        <v>1269</v>
      </c>
      <c r="K714" s="12">
        <v>13</v>
      </c>
      <c r="L714" s="10" t="s">
        <v>1264</v>
      </c>
      <c r="M714" s="18" t="s">
        <v>47</v>
      </c>
    </row>
    <row r="715" spans="2:13" ht="15.9" customHeight="1" x14ac:dyDescent="0.3">
      <c r="B715" s="19" t="s">
        <v>363</v>
      </c>
      <c r="C715" s="11">
        <v>13</v>
      </c>
      <c r="D715" s="12" t="s">
        <v>1264</v>
      </c>
      <c r="E715" s="12">
        <v>32060808</v>
      </c>
      <c r="F715" s="50" t="s">
        <v>1265</v>
      </c>
      <c r="G715" s="146" t="s">
        <v>1267</v>
      </c>
      <c r="H715" s="60">
        <v>32136709</v>
      </c>
      <c r="I715" s="10" t="s">
        <v>1280</v>
      </c>
      <c r="J715" s="6" t="s">
        <v>1281</v>
      </c>
      <c r="K715" s="12">
        <v>13</v>
      </c>
      <c r="L715" s="10" t="s">
        <v>1264</v>
      </c>
      <c r="M715" s="18" t="s">
        <v>44</v>
      </c>
    </row>
    <row r="716" spans="2:13" ht="15.9" customHeight="1" x14ac:dyDescent="0.3">
      <c r="B716" s="19" t="s">
        <v>363</v>
      </c>
      <c r="C716" s="20">
        <v>13</v>
      </c>
      <c r="D716" s="21" t="s">
        <v>1264</v>
      </c>
      <c r="E716" s="21">
        <v>32060808</v>
      </c>
      <c r="F716" s="52" t="s">
        <v>1265</v>
      </c>
      <c r="G716" s="146" t="s">
        <v>1267</v>
      </c>
      <c r="H716" s="61">
        <v>32202289</v>
      </c>
      <c r="I716" s="24" t="s">
        <v>2432</v>
      </c>
      <c r="J716" s="80" t="s">
        <v>61</v>
      </c>
      <c r="K716" s="12">
        <v>13</v>
      </c>
      <c r="L716" s="24" t="s">
        <v>1264</v>
      </c>
      <c r="M716" s="25" t="s">
        <v>179</v>
      </c>
    </row>
    <row r="717" spans="2:13" ht="15.9" customHeight="1" x14ac:dyDescent="0.3">
      <c r="B717" s="19" t="s">
        <v>363</v>
      </c>
      <c r="C717" s="11">
        <v>13</v>
      </c>
      <c r="D717" s="18" t="s">
        <v>1264</v>
      </c>
      <c r="E717" s="51">
        <v>32060808</v>
      </c>
      <c r="F717" s="98" t="s">
        <v>1265</v>
      </c>
      <c r="G717" s="146" t="s">
        <v>1267</v>
      </c>
      <c r="H717" s="60">
        <v>32044067</v>
      </c>
      <c r="I717" s="10" t="s">
        <v>1270</v>
      </c>
      <c r="J717" s="154" t="s">
        <v>1271</v>
      </c>
      <c r="K717" s="12">
        <v>13</v>
      </c>
      <c r="L717" s="10" t="s">
        <v>1264</v>
      </c>
      <c r="M717" s="18" t="s">
        <v>38</v>
      </c>
    </row>
    <row r="718" spans="2:13" ht="15.9" customHeight="1" x14ac:dyDescent="0.3">
      <c r="B718" s="19" t="s">
        <v>363</v>
      </c>
      <c r="C718" s="11">
        <v>13</v>
      </c>
      <c r="D718" s="18" t="s">
        <v>1264</v>
      </c>
      <c r="E718" s="51">
        <v>32060808</v>
      </c>
      <c r="F718" s="98" t="s">
        <v>1265</v>
      </c>
      <c r="G718" s="147" t="s">
        <v>1267</v>
      </c>
      <c r="H718" s="60">
        <v>32045538</v>
      </c>
      <c r="I718" s="10" t="s">
        <v>1276</v>
      </c>
      <c r="J718" s="6" t="s">
        <v>1277</v>
      </c>
      <c r="K718" s="12">
        <v>13</v>
      </c>
      <c r="L718" s="10" t="s">
        <v>1264</v>
      </c>
      <c r="M718" s="18" t="s">
        <v>44</v>
      </c>
    </row>
    <row r="719" spans="2:13" ht="15.9" customHeight="1" x14ac:dyDescent="0.3">
      <c r="B719" s="19" t="s">
        <v>363</v>
      </c>
      <c r="C719" s="11">
        <v>13</v>
      </c>
      <c r="D719" s="18" t="s">
        <v>1264</v>
      </c>
      <c r="E719" s="51">
        <v>32060808</v>
      </c>
      <c r="F719" s="98" t="s">
        <v>1265</v>
      </c>
      <c r="G719" s="146" t="s">
        <v>1267</v>
      </c>
      <c r="H719" s="60">
        <v>32142965</v>
      </c>
      <c r="I719" s="10" t="s">
        <v>1287</v>
      </c>
      <c r="J719" s="6" t="s">
        <v>1288</v>
      </c>
      <c r="K719" s="12">
        <v>13</v>
      </c>
      <c r="L719" s="10" t="s">
        <v>1264</v>
      </c>
      <c r="M719" s="18" t="s">
        <v>35</v>
      </c>
    </row>
    <row r="720" spans="2:13" ht="15.9" customHeight="1" x14ac:dyDescent="0.3">
      <c r="B720" s="19" t="s">
        <v>1584</v>
      </c>
      <c r="C720" s="11"/>
      <c r="D720" s="186" t="s">
        <v>2357</v>
      </c>
      <c r="E720" s="188">
        <v>32195392</v>
      </c>
      <c r="F720" s="195" t="s">
        <v>1833</v>
      </c>
      <c r="G720" s="150" t="s">
        <v>2705</v>
      </c>
      <c r="H720" s="60"/>
      <c r="I720" s="10"/>
      <c r="J720" s="80"/>
      <c r="K720" s="12"/>
      <c r="L720" s="10"/>
      <c r="M720" s="18"/>
    </row>
    <row r="721" spans="2:13" ht="15.9" customHeight="1" x14ac:dyDescent="0.25">
      <c r="B721" s="11" t="s">
        <v>363</v>
      </c>
      <c r="C721" s="11">
        <v>10</v>
      </c>
      <c r="D721" s="18" t="s">
        <v>1078</v>
      </c>
      <c r="E721" s="128">
        <v>32224365</v>
      </c>
      <c r="F721" s="137" t="s">
        <v>2358</v>
      </c>
      <c r="G721" s="152" t="s">
        <v>51</v>
      </c>
      <c r="H721" s="60">
        <v>32142990</v>
      </c>
      <c r="I721" s="10" t="s">
        <v>2433</v>
      </c>
      <c r="J721" s="143" t="s">
        <v>2706</v>
      </c>
      <c r="K721" s="12">
        <v>10</v>
      </c>
      <c r="L721" s="10" t="s">
        <v>1078</v>
      </c>
      <c r="M721" s="18" t="s">
        <v>1056</v>
      </c>
    </row>
    <row r="722" spans="2:13" ht="15.9" customHeight="1" x14ac:dyDescent="0.25">
      <c r="B722" s="19" t="s">
        <v>363</v>
      </c>
      <c r="C722" s="11">
        <v>10</v>
      </c>
      <c r="D722" s="18" t="s">
        <v>1078</v>
      </c>
      <c r="E722" s="62">
        <v>32224365</v>
      </c>
      <c r="F722" s="99" t="s">
        <v>2358</v>
      </c>
      <c r="G722" s="152" t="s">
        <v>51</v>
      </c>
      <c r="H722" s="60">
        <v>32045447</v>
      </c>
      <c r="I722" s="10" t="s">
        <v>1084</v>
      </c>
      <c r="J722" s="143" t="s">
        <v>1085</v>
      </c>
      <c r="K722" s="12">
        <v>10</v>
      </c>
      <c r="L722" s="10" t="s">
        <v>1078</v>
      </c>
      <c r="M722" s="18" t="s">
        <v>456</v>
      </c>
    </row>
    <row r="723" spans="2:13" ht="15.9" customHeight="1" x14ac:dyDescent="0.25">
      <c r="B723" s="19" t="s">
        <v>363</v>
      </c>
      <c r="C723" s="11">
        <v>10</v>
      </c>
      <c r="D723" s="18" t="s">
        <v>1078</v>
      </c>
      <c r="E723" s="118">
        <v>32224365</v>
      </c>
      <c r="F723" s="132" t="s">
        <v>2358</v>
      </c>
      <c r="G723" s="152" t="s">
        <v>51</v>
      </c>
      <c r="H723" s="60">
        <v>32044026</v>
      </c>
      <c r="I723" s="10" t="s">
        <v>1080</v>
      </c>
      <c r="J723" s="80" t="s">
        <v>61</v>
      </c>
      <c r="K723" s="12">
        <v>10</v>
      </c>
      <c r="L723" s="10" t="s">
        <v>1078</v>
      </c>
      <c r="M723" s="18" t="s">
        <v>447</v>
      </c>
    </row>
    <row r="724" spans="2:13" ht="15.9" customHeight="1" x14ac:dyDescent="0.25">
      <c r="B724" s="19" t="s">
        <v>363</v>
      </c>
      <c r="C724" s="11">
        <v>10</v>
      </c>
      <c r="D724" s="12" t="s">
        <v>1078</v>
      </c>
      <c r="E724" s="190">
        <v>32224365</v>
      </c>
      <c r="F724" s="198" t="s">
        <v>2358</v>
      </c>
      <c r="G724" s="152" t="s">
        <v>51</v>
      </c>
      <c r="H724" s="60">
        <v>32142776</v>
      </c>
      <c r="I724" s="10" t="s">
        <v>1090</v>
      </c>
      <c r="J724" s="143" t="s">
        <v>950</v>
      </c>
      <c r="K724" s="12">
        <v>10</v>
      </c>
      <c r="L724" s="10" t="s">
        <v>1078</v>
      </c>
      <c r="M724" s="18" t="s">
        <v>711</v>
      </c>
    </row>
    <row r="725" spans="2:13" ht="15.9" customHeight="1" x14ac:dyDescent="0.3">
      <c r="B725" s="19" t="s">
        <v>363</v>
      </c>
      <c r="C725" s="11">
        <v>10</v>
      </c>
      <c r="D725" s="12" t="s">
        <v>1078</v>
      </c>
      <c r="E725" s="94">
        <v>32155926</v>
      </c>
      <c r="F725" s="166" t="s">
        <v>2346</v>
      </c>
      <c r="G725" s="146" t="s">
        <v>1081</v>
      </c>
      <c r="H725" s="60">
        <v>32142784</v>
      </c>
      <c r="I725" s="10" t="s">
        <v>1091</v>
      </c>
      <c r="J725" s="154" t="s">
        <v>1092</v>
      </c>
      <c r="K725" s="12">
        <v>10</v>
      </c>
      <c r="L725" s="10" t="s">
        <v>1078</v>
      </c>
      <c r="M725" s="18" t="s">
        <v>1077</v>
      </c>
    </row>
    <row r="726" spans="2:13" ht="15.9" customHeight="1" x14ac:dyDescent="0.3">
      <c r="B726" s="11" t="s">
        <v>363</v>
      </c>
      <c r="C726" s="11">
        <v>10</v>
      </c>
      <c r="D726" s="12" t="s">
        <v>1078</v>
      </c>
      <c r="E726" s="95">
        <v>32155926</v>
      </c>
      <c r="F726" s="163" t="s">
        <v>2346</v>
      </c>
      <c r="G726" s="146" t="s">
        <v>1081</v>
      </c>
      <c r="H726" s="60">
        <v>32044280</v>
      </c>
      <c r="I726" s="10" t="s">
        <v>1082</v>
      </c>
      <c r="J726" s="154" t="s">
        <v>1083</v>
      </c>
      <c r="K726" s="12">
        <v>10</v>
      </c>
      <c r="L726" s="10" t="s">
        <v>1078</v>
      </c>
      <c r="M726" s="18" t="s">
        <v>461</v>
      </c>
    </row>
    <row r="727" spans="2:13" ht="15.9" customHeight="1" x14ac:dyDescent="0.3">
      <c r="B727" s="19" t="s">
        <v>363</v>
      </c>
      <c r="C727" s="11">
        <v>10</v>
      </c>
      <c r="D727" s="12" t="s">
        <v>1078</v>
      </c>
      <c r="E727" s="112">
        <v>32155926</v>
      </c>
      <c r="F727" s="167" t="s">
        <v>2346</v>
      </c>
      <c r="G727" s="146" t="s">
        <v>1081</v>
      </c>
      <c r="H727" s="60">
        <v>32149252</v>
      </c>
      <c r="I727" s="10" t="s">
        <v>2434</v>
      </c>
      <c r="J727" s="6" t="s">
        <v>314</v>
      </c>
      <c r="K727" s="12">
        <v>10</v>
      </c>
      <c r="L727" s="10" t="s">
        <v>1078</v>
      </c>
      <c r="M727" s="18" t="s">
        <v>973</v>
      </c>
    </row>
    <row r="728" spans="2:13" ht="15.9" customHeight="1" x14ac:dyDescent="0.3">
      <c r="B728" s="19" t="s">
        <v>363</v>
      </c>
      <c r="C728" s="11">
        <v>10</v>
      </c>
      <c r="D728" s="12" t="s">
        <v>1078</v>
      </c>
      <c r="E728" s="112">
        <v>32155926</v>
      </c>
      <c r="F728" s="167" t="s">
        <v>2346</v>
      </c>
      <c r="G728" s="146" t="s">
        <v>1081</v>
      </c>
      <c r="H728" s="60">
        <v>32046635</v>
      </c>
      <c r="I728" s="10" t="s">
        <v>1088</v>
      </c>
      <c r="J728" s="6" t="s">
        <v>1089</v>
      </c>
      <c r="K728" s="12">
        <v>10</v>
      </c>
      <c r="L728" s="10" t="s">
        <v>1078</v>
      </c>
      <c r="M728" s="18" t="s">
        <v>453</v>
      </c>
    </row>
    <row r="729" spans="2:13" ht="15.9" customHeight="1" x14ac:dyDescent="0.3">
      <c r="B729" s="19" t="s">
        <v>363</v>
      </c>
      <c r="C729" s="11">
        <v>10</v>
      </c>
      <c r="D729" s="12" t="s">
        <v>1078</v>
      </c>
      <c r="E729" s="112">
        <v>32155926</v>
      </c>
      <c r="F729" s="167" t="s">
        <v>2346</v>
      </c>
      <c r="G729" s="146" t="s">
        <v>1081</v>
      </c>
      <c r="H729" s="60">
        <v>32046327</v>
      </c>
      <c r="I729" s="10" t="s">
        <v>1086</v>
      </c>
      <c r="J729" s="154" t="s">
        <v>1087</v>
      </c>
      <c r="K729" s="12">
        <v>10</v>
      </c>
      <c r="L729" s="10" t="s">
        <v>1078</v>
      </c>
      <c r="M729" s="18" t="s">
        <v>1069</v>
      </c>
    </row>
    <row r="730" spans="2:13" ht="15.9" customHeight="1" x14ac:dyDescent="0.3">
      <c r="B730" s="19" t="s">
        <v>1</v>
      </c>
      <c r="C730" s="20" t="s">
        <v>1991</v>
      </c>
      <c r="D730" s="24" t="s">
        <v>10</v>
      </c>
      <c r="E730" s="12">
        <v>32151317</v>
      </c>
      <c r="F730" s="52" t="s">
        <v>11</v>
      </c>
      <c r="G730" s="146" t="s">
        <v>2707</v>
      </c>
      <c r="H730" s="61">
        <v>32144783</v>
      </c>
      <c r="I730" s="142" t="s">
        <v>2045</v>
      </c>
      <c r="J730" s="156" t="s">
        <v>2046</v>
      </c>
      <c r="K730" s="35">
        <v>4</v>
      </c>
      <c r="L730" s="142" t="s">
        <v>10</v>
      </c>
      <c r="M730" s="215" t="s">
        <v>470</v>
      </c>
    </row>
    <row r="731" spans="2:13" ht="15.9" customHeight="1" x14ac:dyDescent="0.3">
      <c r="B731" s="19" t="s">
        <v>1</v>
      </c>
      <c r="C731" s="11" t="s">
        <v>1991</v>
      </c>
      <c r="D731" s="10" t="s">
        <v>10</v>
      </c>
      <c r="E731" s="113">
        <v>32151317</v>
      </c>
      <c r="F731" s="129" t="s">
        <v>11</v>
      </c>
      <c r="G731" s="146" t="s">
        <v>2707</v>
      </c>
      <c r="H731" s="60">
        <v>32044335</v>
      </c>
      <c r="I731" s="32" t="s">
        <v>2047</v>
      </c>
      <c r="J731" s="159" t="s">
        <v>2048</v>
      </c>
      <c r="K731" s="35">
        <v>4</v>
      </c>
      <c r="L731" s="32" t="s">
        <v>10</v>
      </c>
      <c r="M731" s="33" t="s">
        <v>447</v>
      </c>
    </row>
    <row r="732" spans="2:13" ht="15.9" customHeight="1" x14ac:dyDescent="0.3">
      <c r="B732" s="19" t="s">
        <v>1</v>
      </c>
      <c r="C732" s="11" t="s">
        <v>1991</v>
      </c>
      <c r="D732" s="10" t="s">
        <v>10</v>
      </c>
      <c r="E732" s="12">
        <v>32151317</v>
      </c>
      <c r="F732" s="50" t="s">
        <v>11</v>
      </c>
      <c r="G732" s="146" t="s">
        <v>2707</v>
      </c>
      <c r="H732" s="60">
        <v>32045056</v>
      </c>
      <c r="I732" s="32" t="s">
        <v>2049</v>
      </c>
      <c r="J732" s="6" t="s">
        <v>2050</v>
      </c>
      <c r="K732" s="35">
        <v>4</v>
      </c>
      <c r="L732" s="32" t="s">
        <v>10</v>
      </c>
      <c r="M732" s="18" t="s">
        <v>765</v>
      </c>
    </row>
    <row r="733" spans="2:13" ht="15.9" customHeight="1" x14ac:dyDescent="0.3">
      <c r="B733" s="19" t="s">
        <v>1</v>
      </c>
      <c r="C733" s="11" t="s">
        <v>1991</v>
      </c>
      <c r="D733" s="10" t="s">
        <v>10</v>
      </c>
      <c r="E733" s="12">
        <v>32151317</v>
      </c>
      <c r="F733" s="50" t="s">
        <v>11</v>
      </c>
      <c r="G733" s="146" t="s">
        <v>2707</v>
      </c>
      <c r="H733" s="60">
        <v>32045025</v>
      </c>
      <c r="I733" s="75" t="s">
        <v>2435</v>
      </c>
      <c r="J733" s="145" t="s">
        <v>61</v>
      </c>
      <c r="K733" s="12">
        <v>4</v>
      </c>
      <c r="L733" s="10" t="s">
        <v>10</v>
      </c>
      <c r="M733" s="18" t="s">
        <v>2013</v>
      </c>
    </row>
    <row r="734" spans="2:13" ht="15.9" customHeight="1" x14ac:dyDescent="0.3">
      <c r="B734" s="19" t="s">
        <v>363</v>
      </c>
      <c r="C734" s="11">
        <v>14</v>
      </c>
      <c r="D734" s="12" t="s">
        <v>1369</v>
      </c>
      <c r="E734" s="113">
        <v>32143096</v>
      </c>
      <c r="F734" s="129" t="s">
        <v>1237</v>
      </c>
      <c r="G734" s="147" t="s">
        <v>1238</v>
      </c>
      <c r="H734" s="60">
        <v>32044466</v>
      </c>
      <c r="I734" s="10" t="s">
        <v>1390</v>
      </c>
      <c r="J734" s="6" t="s">
        <v>1391</v>
      </c>
      <c r="K734" s="12">
        <v>11</v>
      </c>
      <c r="L734" s="10" t="s">
        <v>1369</v>
      </c>
      <c r="M734" s="18" t="s">
        <v>511</v>
      </c>
    </row>
    <row r="735" spans="2:13" ht="15.9" customHeight="1" x14ac:dyDescent="0.3">
      <c r="B735" s="11" t="s">
        <v>363</v>
      </c>
      <c r="C735" s="11">
        <v>14</v>
      </c>
      <c r="D735" s="12" t="s">
        <v>1369</v>
      </c>
      <c r="E735" s="110">
        <v>32143096</v>
      </c>
      <c r="F735" s="131" t="s">
        <v>1237</v>
      </c>
      <c r="G735" s="146" t="s">
        <v>1238</v>
      </c>
      <c r="H735" s="60">
        <v>32046176</v>
      </c>
      <c r="I735" s="10" t="s">
        <v>1388</v>
      </c>
      <c r="J735" s="6" t="s">
        <v>1389</v>
      </c>
      <c r="K735" s="12">
        <v>11</v>
      </c>
      <c r="L735" s="10" t="s">
        <v>1369</v>
      </c>
      <c r="M735" s="18" t="s">
        <v>779</v>
      </c>
    </row>
    <row r="736" spans="2:13" ht="15.9" customHeight="1" x14ac:dyDescent="0.3">
      <c r="B736" s="19" t="s">
        <v>363</v>
      </c>
      <c r="C736" s="11">
        <v>14</v>
      </c>
      <c r="D736" s="18" t="s">
        <v>1369</v>
      </c>
      <c r="E736" s="51">
        <v>32143096</v>
      </c>
      <c r="F736" s="98" t="s">
        <v>1237</v>
      </c>
      <c r="G736" s="150" t="s">
        <v>1238</v>
      </c>
      <c r="H736" s="60">
        <v>32044998</v>
      </c>
      <c r="I736" s="10" t="s">
        <v>1386</v>
      </c>
      <c r="J736" s="154" t="s">
        <v>1387</v>
      </c>
      <c r="K736" s="12">
        <v>11</v>
      </c>
      <c r="L736" s="10" t="s">
        <v>1369</v>
      </c>
      <c r="M736" s="18" t="s">
        <v>447</v>
      </c>
    </row>
    <row r="737" spans="2:13" ht="15.9" customHeight="1" x14ac:dyDescent="0.3">
      <c r="B737" s="19" t="s">
        <v>363</v>
      </c>
      <c r="C737" s="11">
        <v>14</v>
      </c>
      <c r="D737" s="18" t="s">
        <v>1369</v>
      </c>
      <c r="E737" s="113">
        <v>32143096</v>
      </c>
      <c r="F737" s="129" t="s">
        <v>1237</v>
      </c>
      <c r="G737" s="146" t="s">
        <v>1238</v>
      </c>
      <c r="H737" s="60">
        <v>32046372</v>
      </c>
      <c r="I737" s="10" t="s">
        <v>1383</v>
      </c>
      <c r="J737" s="154" t="s">
        <v>1384</v>
      </c>
      <c r="K737" s="12">
        <v>11</v>
      </c>
      <c r="L737" s="10" t="s">
        <v>1369</v>
      </c>
      <c r="M737" s="18" t="s">
        <v>1385</v>
      </c>
    </row>
    <row r="738" spans="2:13" ht="15.9" customHeight="1" x14ac:dyDescent="0.3">
      <c r="B738" s="19" t="s">
        <v>363</v>
      </c>
      <c r="C738" s="11">
        <v>14</v>
      </c>
      <c r="D738" s="18" t="s">
        <v>1369</v>
      </c>
      <c r="E738" s="51">
        <v>32143096</v>
      </c>
      <c r="F738" s="98" t="s">
        <v>1237</v>
      </c>
      <c r="G738" s="146" t="s">
        <v>1238</v>
      </c>
      <c r="H738" s="60">
        <v>32044462</v>
      </c>
      <c r="I738" s="10" t="s">
        <v>1381</v>
      </c>
      <c r="J738" s="6" t="s">
        <v>1382</v>
      </c>
      <c r="K738" s="12">
        <v>11</v>
      </c>
      <c r="L738" s="10" t="s">
        <v>1369</v>
      </c>
      <c r="M738" s="18" t="s">
        <v>564</v>
      </c>
    </row>
    <row r="739" spans="2:13" ht="15.9" customHeight="1" x14ac:dyDescent="0.3">
      <c r="B739" s="19" t="s">
        <v>363</v>
      </c>
      <c r="C739" s="11">
        <v>14</v>
      </c>
      <c r="D739" s="18" t="s">
        <v>1369</v>
      </c>
      <c r="E739" s="51">
        <v>32143096</v>
      </c>
      <c r="F739" s="98" t="s">
        <v>1237</v>
      </c>
      <c r="G739" s="146" t="s">
        <v>1238</v>
      </c>
      <c r="H739" s="60">
        <v>32148856</v>
      </c>
      <c r="I739" s="10" t="s">
        <v>1379</v>
      </c>
      <c r="J739" s="6" t="s">
        <v>1380</v>
      </c>
      <c r="K739" s="12">
        <v>11</v>
      </c>
      <c r="L739" s="10" t="s">
        <v>1369</v>
      </c>
      <c r="M739" s="18" t="s">
        <v>464</v>
      </c>
    </row>
    <row r="740" spans="2:13" ht="15.9" customHeight="1" x14ac:dyDescent="0.3">
      <c r="B740" s="11" t="s">
        <v>363</v>
      </c>
      <c r="C740" s="11">
        <v>14</v>
      </c>
      <c r="D740" s="12" t="s">
        <v>1369</v>
      </c>
      <c r="E740" s="113">
        <v>32143096</v>
      </c>
      <c r="F740" s="129" t="s">
        <v>1237</v>
      </c>
      <c r="G740" s="146" t="s">
        <v>1238</v>
      </c>
      <c r="H740" s="60">
        <v>32045791</v>
      </c>
      <c r="I740" s="10" t="s">
        <v>1375</v>
      </c>
      <c r="J740" s="6" t="s">
        <v>1376</v>
      </c>
      <c r="K740" s="12">
        <v>11</v>
      </c>
      <c r="L740" s="10" t="s">
        <v>1369</v>
      </c>
      <c r="M740" s="18" t="s">
        <v>461</v>
      </c>
    </row>
    <row r="741" spans="2:13" ht="15.9" customHeight="1" x14ac:dyDescent="0.3">
      <c r="B741" s="19" t="s">
        <v>363</v>
      </c>
      <c r="C741" s="11">
        <v>14</v>
      </c>
      <c r="D741" s="12" t="s">
        <v>1369</v>
      </c>
      <c r="E741" s="113">
        <v>32143096</v>
      </c>
      <c r="F741" s="129" t="s">
        <v>1237</v>
      </c>
      <c r="G741" s="146" t="s">
        <v>1238</v>
      </c>
      <c r="H741" s="60">
        <v>32046340</v>
      </c>
      <c r="I741" s="10" t="s">
        <v>1372</v>
      </c>
      <c r="J741" s="154" t="s">
        <v>1373</v>
      </c>
      <c r="K741" s="12">
        <v>11</v>
      </c>
      <c r="L741" s="10" t="s">
        <v>1369</v>
      </c>
      <c r="M741" s="18" t="s">
        <v>1374</v>
      </c>
    </row>
    <row r="742" spans="2:13" ht="15.9" customHeight="1" x14ac:dyDescent="0.3">
      <c r="B742" s="19" t="s">
        <v>363</v>
      </c>
      <c r="C742" s="20">
        <v>14</v>
      </c>
      <c r="D742" s="21" t="s">
        <v>1369</v>
      </c>
      <c r="E742" s="12">
        <v>32143096</v>
      </c>
      <c r="F742" s="52" t="s">
        <v>1237</v>
      </c>
      <c r="G742" s="146" t="s">
        <v>1238</v>
      </c>
      <c r="H742" s="61">
        <v>32044903</v>
      </c>
      <c r="I742" s="24" t="s">
        <v>1370</v>
      </c>
      <c r="J742" s="156" t="s">
        <v>1371</v>
      </c>
      <c r="K742" s="12">
        <v>11</v>
      </c>
      <c r="L742" s="24" t="s">
        <v>1369</v>
      </c>
      <c r="M742" s="25" t="s">
        <v>453</v>
      </c>
    </row>
    <row r="743" spans="2:13" ht="15.9" customHeight="1" x14ac:dyDescent="0.3">
      <c r="B743" s="19" t="s">
        <v>35</v>
      </c>
      <c r="C743" s="11"/>
      <c r="D743" s="12" t="s">
        <v>1911</v>
      </c>
      <c r="E743" s="14">
        <v>32045053</v>
      </c>
      <c r="F743" s="67" t="s">
        <v>1912</v>
      </c>
      <c r="G743" s="146" t="s">
        <v>1913</v>
      </c>
      <c r="H743" s="60">
        <v>32043834</v>
      </c>
      <c r="I743" s="10" t="s">
        <v>1914</v>
      </c>
      <c r="J743" s="6" t="s">
        <v>1915</v>
      </c>
      <c r="K743" s="12">
        <v>11</v>
      </c>
      <c r="L743" s="12" t="s">
        <v>1911</v>
      </c>
      <c r="M743" s="50" t="s">
        <v>44</v>
      </c>
    </row>
    <row r="744" spans="2:13" ht="15.9" customHeight="1" x14ac:dyDescent="0.3">
      <c r="B744" s="19" t="s">
        <v>35</v>
      </c>
      <c r="C744" s="11"/>
      <c r="D744" s="12" t="s">
        <v>1911</v>
      </c>
      <c r="E744" s="23">
        <v>32045053</v>
      </c>
      <c r="F744" s="67" t="s">
        <v>1912</v>
      </c>
      <c r="G744" s="147" t="s">
        <v>1913</v>
      </c>
      <c r="H744" s="60">
        <v>32045336</v>
      </c>
      <c r="I744" s="10" t="s">
        <v>1916</v>
      </c>
      <c r="J744" s="6" t="s">
        <v>1917</v>
      </c>
      <c r="K744" s="12">
        <v>11</v>
      </c>
      <c r="L744" s="12" t="s">
        <v>1911</v>
      </c>
      <c r="M744" s="50" t="s">
        <v>38</v>
      </c>
    </row>
    <row r="745" spans="2:13" ht="15.9" customHeight="1" x14ac:dyDescent="0.3">
      <c r="B745" s="19" t="s">
        <v>35</v>
      </c>
      <c r="C745" s="11"/>
      <c r="D745" s="18" t="s">
        <v>1911</v>
      </c>
      <c r="E745" s="41">
        <v>32045053</v>
      </c>
      <c r="F745" s="101" t="s">
        <v>1912</v>
      </c>
      <c r="G745" s="146" t="s">
        <v>1913</v>
      </c>
      <c r="H745" s="60">
        <v>32043751</v>
      </c>
      <c r="I745" s="10" t="s">
        <v>1918</v>
      </c>
      <c r="J745" s="6" t="s">
        <v>1919</v>
      </c>
      <c r="K745" s="12">
        <v>11</v>
      </c>
      <c r="L745" s="12" t="s">
        <v>1911</v>
      </c>
      <c r="M745" s="50" t="s">
        <v>179</v>
      </c>
    </row>
    <row r="746" spans="2:13" ht="15.9" customHeight="1" x14ac:dyDescent="0.3">
      <c r="B746" s="19" t="s">
        <v>35</v>
      </c>
      <c r="C746" s="11"/>
      <c r="D746" s="18" t="s">
        <v>1911</v>
      </c>
      <c r="E746" s="41">
        <v>32045053</v>
      </c>
      <c r="F746" s="101" t="s">
        <v>1912</v>
      </c>
      <c r="G746" s="150" t="s">
        <v>1913</v>
      </c>
      <c r="H746" s="105">
        <v>32045705</v>
      </c>
      <c r="I746" s="12" t="s">
        <v>1920</v>
      </c>
      <c r="J746" s="6" t="s">
        <v>1921</v>
      </c>
      <c r="K746" s="12">
        <v>11</v>
      </c>
      <c r="L746" s="12" t="s">
        <v>1911</v>
      </c>
      <c r="M746" s="50" t="s">
        <v>41</v>
      </c>
    </row>
    <row r="747" spans="2:13" ht="15.9" customHeight="1" x14ac:dyDescent="0.3">
      <c r="B747" s="19" t="s">
        <v>35</v>
      </c>
      <c r="C747" s="11"/>
      <c r="D747" s="18" t="s">
        <v>1911</v>
      </c>
      <c r="E747" s="120">
        <v>32045053</v>
      </c>
      <c r="F747" s="130" t="s">
        <v>1912</v>
      </c>
      <c r="G747" s="146" t="s">
        <v>1913</v>
      </c>
      <c r="H747" s="60">
        <v>32043737</v>
      </c>
      <c r="I747" s="10" t="s">
        <v>1922</v>
      </c>
      <c r="J747" s="154" t="s">
        <v>1923</v>
      </c>
      <c r="K747" s="12">
        <v>11</v>
      </c>
      <c r="L747" s="12" t="s">
        <v>1911</v>
      </c>
      <c r="M747" s="50" t="s">
        <v>179</v>
      </c>
    </row>
    <row r="748" spans="2:13" ht="15.9" customHeight="1" x14ac:dyDescent="0.3">
      <c r="B748" s="19" t="s">
        <v>35</v>
      </c>
      <c r="C748" s="11"/>
      <c r="D748" s="18" t="s">
        <v>1911</v>
      </c>
      <c r="E748" s="120">
        <v>32045053</v>
      </c>
      <c r="F748" s="130" t="s">
        <v>1912</v>
      </c>
      <c r="G748" s="146" t="s">
        <v>1913</v>
      </c>
      <c r="H748" s="60">
        <v>32045786</v>
      </c>
      <c r="I748" s="10" t="s">
        <v>1924</v>
      </c>
      <c r="J748" s="154" t="s">
        <v>1925</v>
      </c>
      <c r="K748" s="12">
        <v>11</v>
      </c>
      <c r="L748" s="12" t="s">
        <v>1911</v>
      </c>
      <c r="M748" s="50" t="s">
        <v>35</v>
      </c>
    </row>
    <row r="749" spans="2:13" ht="15.9" customHeight="1" x14ac:dyDescent="0.3">
      <c r="B749" s="19" t="s">
        <v>35</v>
      </c>
      <c r="C749" s="11"/>
      <c r="D749" s="18" t="s">
        <v>1911</v>
      </c>
      <c r="E749" s="120">
        <v>32045053</v>
      </c>
      <c r="F749" s="130" t="s">
        <v>1912</v>
      </c>
      <c r="G749" s="146" t="s">
        <v>1913</v>
      </c>
      <c r="H749" s="60">
        <v>32045497</v>
      </c>
      <c r="I749" s="10" t="s">
        <v>1926</v>
      </c>
      <c r="J749" s="154" t="s">
        <v>1927</v>
      </c>
      <c r="K749" s="12">
        <v>11</v>
      </c>
      <c r="L749" s="12" t="s">
        <v>1911</v>
      </c>
      <c r="M749" s="50" t="s">
        <v>41</v>
      </c>
    </row>
    <row r="750" spans="2:13" ht="15.9" customHeight="1" x14ac:dyDescent="0.3">
      <c r="B750" s="19" t="s">
        <v>35</v>
      </c>
      <c r="C750" s="11"/>
      <c r="D750" s="18" t="s">
        <v>1911</v>
      </c>
      <c r="E750" s="41">
        <v>32045053</v>
      </c>
      <c r="F750" s="101" t="s">
        <v>1912</v>
      </c>
      <c r="G750" s="146" t="s">
        <v>1913</v>
      </c>
      <c r="H750" s="72">
        <v>32149491</v>
      </c>
      <c r="I750" s="10" t="s">
        <v>13</v>
      </c>
      <c r="J750" s="143" t="s">
        <v>2708</v>
      </c>
      <c r="K750" s="12">
        <v>11</v>
      </c>
      <c r="L750" s="12" t="s">
        <v>1911</v>
      </c>
      <c r="M750" s="50" t="s">
        <v>44</v>
      </c>
    </row>
    <row r="751" spans="2:13" ht="15.9" customHeight="1" x14ac:dyDescent="0.3">
      <c r="B751" s="19" t="s">
        <v>35</v>
      </c>
      <c r="C751" s="11"/>
      <c r="D751" s="18" t="s">
        <v>1911</v>
      </c>
      <c r="E751" s="120">
        <v>32045053</v>
      </c>
      <c r="F751" s="130" t="s">
        <v>1912</v>
      </c>
      <c r="G751" s="146" t="s">
        <v>1913</v>
      </c>
      <c r="H751" s="60">
        <v>32094845</v>
      </c>
      <c r="I751" s="10" t="s">
        <v>1928</v>
      </c>
      <c r="J751" s="6" t="s">
        <v>1929</v>
      </c>
      <c r="K751" s="12">
        <v>11</v>
      </c>
      <c r="L751" s="12" t="s">
        <v>1911</v>
      </c>
      <c r="M751" s="50" t="s">
        <v>35</v>
      </c>
    </row>
    <row r="752" spans="2:13" ht="15.9" customHeight="1" x14ac:dyDescent="0.3">
      <c r="B752" s="19" t="s">
        <v>35</v>
      </c>
      <c r="C752" s="11"/>
      <c r="D752" s="18" t="s">
        <v>1911</v>
      </c>
      <c r="E752" s="41">
        <v>32045053</v>
      </c>
      <c r="F752" s="101" t="s">
        <v>1912</v>
      </c>
      <c r="G752" s="146" t="s">
        <v>1913</v>
      </c>
      <c r="H752" s="60">
        <v>32044432</v>
      </c>
      <c r="I752" s="10" t="s">
        <v>1930</v>
      </c>
      <c r="J752" s="6" t="s">
        <v>1931</v>
      </c>
      <c r="K752" s="12">
        <v>11</v>
      </c>
      <c r="L752" s="12" t="s">
        <v>1911</v>
      </c>
      <c r="M752" s="50" t="s">
        <v>38</v>
      </c>
    </row>
    <row r="753" spans="2:13" ht="15.9" customHeight="1" x14ac:dyDescent="0.3">
      <c r="B753" s="19" t="s">
        <v>35</v>
      </c>
      <c r="C753" s="11"/>
      <c r="D753" s="18" t="s">
        <v>1911</v>
      </c>
      <c r="E753" s="120">
        <v>32045053</v>
      </c>
      <c r="F753" s="130" t="s">
        <v>1912</v>
      </c>
      <c r="G753" s="146" t="s">
        <v>1913</v>
      </c>
      <c r="H753" s="60">
        <v>32044261</v>
      </c>
      <c r="I753" s="10" t="s">
        <v>1932</v>
      </c>
      <c r="J753" s="6" t="s">
        <v>1933</v>
      </c>
      <c r="K753" s="12">
        <v>11</v>
      </c>
      <c r="L753" s="12" t="s">
        <v>1911</v>
      </c>
      <c r="M753" s="50" t="s">
        <v>47</v>
      </c>
    </row>
    <row r="754" spans="2:13" ht="15.9" customHeight="1" x14ac:dyDescent="0.25">
      <c r="B754" s="19" t="s">
        <v>363</v>
      </c>
      <c r="C754" s="20">
        <v>10</v>
      </c>
      <c r="D754" s="25" t="s">
        <v>1093</v>
      </c>
      <c r="E754" s="62">
        <v>32224365</v>
      </c>
      <c r="F754" s="99" t="s">
        <v>2358</v>
      </c>
      <c r="G754" s="152" t="s">
        <v>51</v>
      </c>
      <c r="H754" s="61">
        <v>32043930</v>
      </c>
      <c r="I754" s="24" t="s">
        <v>1095</v>
      </c>
      <c r="J754" s="6" t="s">
        <v>1096</v>
      </c>
      <c r="K754" s="12">
        <v>9</v>
      </c>
      <c r="L754" s="24" t="s">
        <v>1093</v>
      </c>
      <c r="M754" s="25" t="s">
        <v>453</v>
      </c>
    </row>
    <row r="755" spans="2:13" ht="15.9" customHeight="1" x14ac:dyDescent="0.3">
      <c r="B755" s="19" t="s">
        <v>363</v>
      </c>
      <c r="C755" s="11">
        <v>10</v>
      </c>
      <c r="D755" s="18" t="s">
        <v>1093</v>
      </c>
      <c r="E755" s="94">
        <v>32096563</v>
      </c>
      <c r="F755" s="166" t="s">
        <v>1094</v>
      </c>
      <c r="G755" s="146" t="s">
        <v>1097</v>
      </c>
      <c r="H755" s="60">
        <v>32046509</v>
      </c>
      <c r="I755" s="10" t="s">
        <v>1108</v>
      </c>
      <c r="J755" s="154" t="s">
        <v>1109</v>
      </c>
      <c r="K755" s="12">
        <v>9</v>
      </c>
      <c r="L755" s="10" t="s">
        <v>1093</v>
      </c>
      <c r="M755" s="18" t="s">
        <v>711</v>
      </c>
    </row>
    <row r="756" spans="2:13" ht="15.9" customHeight="1" x14ac:dyDescent="0.3">
      <c r="B756" s="11" t="s">
        <v>363</v>
      </c>
      <c r="C756" s="11">
        <v>10</v>
      </c>
      <c r="D756" s="18" t="s">
        <v>1093</v>
      </c>
      <c r="E756" s="114">
        <v>32096563</v>
      </c>
      <c r="F756" s="162" t="s">
        <v>1094</v>
      </c>
      <c r="G756" s="146" t="s">
        <v>1097</v>
      </c>
      <c r="H756" s="60">
        <v>32046126</v>
      </c>
      <c r="I756" s="10" t="s">
        <v>1104</v>
      </c>
      <c r="J756" s="143" t="s">
        <v>1105</v>
      </c>
      <c r="K756" s="12">
        <v>9</v>
      </c>
      <c r="L756" s="10" t="s">
        <v>1093</v>
      </c>
      <c r="M756" s="18" t="s">
        <v>461</v>
      </c>
    </row>
    <row r="757" spans="2:13" ht="15.9" customHeight="1" x14ac:dyDescent="0.3">
      <c r="B757" s="19" t="s">
        <v>363</v>
      </c>
      <c r="C757" s="11">
        <v>10</v>
      </c>
      <c r="D757" s="12" t="s">
        <v>1093</v>
      </c>
      <c r="E757" s="122">
        <v>32096563</v>
      </c>
      <c r="F757" s="197" t="s">
        <v>1094</v>
      </c>
      <c r="G757" s="146" t="s">
        <v>1097</v>
      </c>
      <c r="H757" s="60">
        <v>32044861</v>
      </c>
      <c r="I757" s="10" t="s">
        <v>1100</v>
      </c>
      <c r="J757" s="6" t="s">
        <v>1101</v>
      </c>
      <c r="K757" s="12">
        <v>9</v>
      </c>
      <c r="L757" s="10" t="s">
        <v>1093</v>
      </c>
      <c r="M757" s="18" t="s">
        <v>1074</v>
      </c>
    </row>
    <row r="758" spans="2:13" ht="15.9" customHeight="1" x14ac:dyDescent="0.3">
      <c r="B758" s="19" t="s">
        <v>363</v>
      </c>
      <c r="C758" s="11">
        <v>10</v>
      </c>
      <c r="D758" s="12" t="s">
        <v>1093</v>
      </c>
      <c r="E758" s="94">
        <v>32096563</v>
      </c>
      <c r="F758" s="166" t="s">
        <v>1094</v>
      </c>
      <c r="G758" s="146" t="s">
        <v>1097</v>
      </c>
      <c r="H758" s="60">
        <v>32132170</v>
      </c>
      <c r="I758" s="10" t="s">
        <v>1114</v>
      </c>
      <c r="J758" s="154" t="s">
        <v>1115</v>
      </c>
      <c r="K758" s="12">
        <v>9</v>
      </c>
      <c r="L758" s="10" t="s">
        <v>1093</v>
      </c>
      <c r="M758" s="18" t="s">
        <v>973</v>
      </c>
    </row>
    <row r="759" spans="2:13" ht="15.9" customHeight="1" x14ac:dyDescent="0.3">
      <c r="B759" s="19" t="s">
        <v>363</v>
      </c>
      <c r="C759" s="11">
        <v>10</v>
      </c>
      <c r="D759" s="12" t="s">
        <v>1093</v>
      </c>
      <c r="E759" s="94">
        <v>32096563</v>
      </c>
      <c r="F759" s="166" t="s">
        <v>1094</v>
      </c>
      <c r="G759" s="146" t="s">
        <v>1097</v>
      </c>
      <c r="H759" s="60">
        <v>32045995</v>
      </c>
      <c r="I759" s="10" t="s">
        <v>1102</v>
      </c>
      <c r="J759" s="154" t="s">
        <v>1103</v>
      </c>
      <c r="K759" s="12">
        <v>9</v>
      </c>
      <c r="L759" s="10" t="s">
        <v>1093</v>
      </c>
      <c r="M759" s="18" t="s">
        <v>1056</v>
      </c>
    </row>
    <row r="760" spans="2:13" ht="15.9" customHeight="1" x14ac:dyDescent="0.3">
      <c r="B760" s="19" t="s">
        <v>363</v>
      </c>
      <c r="C760" s="11">
        <v>10</v>
      </c>
      <c r="D760" s="12" t="s">
        <v>1093</v>
      </c>
      <c r="E760" s="112">
        <v>32096563</v>
      </c>
      <c r="F760" s="165" t="s">
        <v>1094</v>
      </c>
      <c r="G760" s="146" t="s">
        <v>1097</v>
      </c>
      <c r="H760" s="60">
        <v>32132009</v>
      </c>
      <c r="I760" s="10" t="s">
        <v>1112</v>
      </c>
      <c r="J760" s="154" t="s">
        <v>1113</v>
      </c>
      <c r="K760" s="12">
        <v>9</v>
      </c>
      <c r="L760" s="10" t="s">
        <v>1093</v>
      </c>
      <c r="M760" s="18" t="s">
        <v>1077</v>
      </c>
    </row>
    <row r="761" spans="2:13" ht="15.9" customHeight="1" x14ac:dyDescent="0.3">
      <c r="B761" s="11" t="s">
        <v>363</v>
      </c>
      <c r="C761" s="11">
        <v>10</v>
      </c>
      <c r="D761" s="12" t="s">
        <v>1093</v>
      </c>
      <c r="E761" s="95">
        <v>32096563</v>
      </c>
      <c r="F761" s="163" t="s">
        <v>1094</v>
      </c>
      <c r="G761" s="146" t="s">
        <v>1097</v>
      </c>
      <c r="H761" s="60">
        <v>32043993</v>
      </c>
      <c r="I761" s="10" t="s">
        <v>1098</v>
      </c>
      <c r="J761" s="154" t="s">
        <v>1099</v>
      </c>
      <c r="K761" s="12">
        <v>9</v>
      </c>
      <c r="L761" s="10" t="s">
        <v>1093</v>
      </c>
      <c r="M761" s="18" t="s">
        <v>447</v>
      </c>
    </row>
    <row r="762" spans="2:13" ht="15.9" customHeight="1" x14ac:dyDescent="0.3">
      <c r="B762" s="19" t="s">
        <v>363</v>
      </c>
      <c r="C762" s="11">
        <v>10</v>
      </c>
      <c r="D762" s="12" t="s">
        <v>1093</v>
      </c>
      <c r="E762" s="94">
        <v>32096563</v>
      </c>
      <c r="F762" s="166" t="s">
        <v>1094</v>
      </c>
      <c r="G762" s="146" t="s">
        <v>1097</v>
      </c>
      <c r="H762" s="60">
        <v>32058108</v>
      </c>
      <c r="I762" s="10" t="s">
        <v>1110</v>
      </c>
      <c r="J762" s="28" t="s">
        <v>1111</v>
      </c>
      <c r="K762" s="12">
        <v>9</v>
      </c>
      <c r="L762" s="10" t="s">
        <v>1093</v>
      </c>
      <c r="M762" s="18" t="s">
        <v>456</v>
      </c>
    </row>
    <row r="763" spans="2:13" ht="15.9" customHeight="1" x14ac:dyDescent="0.3">
      <c r="B763" s="19" t="s">
        <v>363</v>
      </c>
      <c r="C763" s="11">
        <v>13</v>
      </c>
      <c r="D763" s="12" t="s">
        <v>1291</v>
      </c>
      <c r="E763" s="113">
        <v>32046695</v>
      </c>
      <c r="F763" s="129" t="s">
        <v>1292</v>
      </c>
      <c r="G763" s="146" t="s">
        <v>1293</v>
      </c>
      <c r="H763" s="60">
        <v>32148864</v>
      </c>
      <c r="I763" s="10" t="s">
        <v>1314</v>
      </c>
      <c r="J763" s="6" t="s">
        <v>1315</v>
      </c>
      <c r="K763" s="12">
        <v>14</v>
      </c>
      <c r="L763" s="10" t="s">
        <v>1291</v>
      </c>
      <c r="M763" s="18" t="s">
        <v>453</v>
      </c>
    </row>
    <row r="764" spans="2:13" ht="15.9" customHeight="1" x14ac:dyDescent="0.3">
      <c r="B764" s="11" t="s">
        <v>363</v>
      </c>
      <c r="C764" s="20">
        <v>13</v>
      </c>
      <c r="D764" s="21" t="s">
        <v>1291</v>
      </c>
      <c r="E764" s="110">
        <v>32046695</v>
      </c>
      <c r="F764" s="131" t="s">
        <v>1292</v>
      </c>
      <c r="G764" s="146" t="s">
        <v>1293</v>
      </c>
      <c r="H764" s="61">
        <v>32046006</v>
      </c>
      <c r="I764" s="24" t="s">
        <v>1304</v>
      </c>
      <c r="J764" s="6" t="s">
        <v>1305</v>
      </c>
      <c r="K764" s="12">
        <v>14</v>
      </c>
      <c r="L764" s="24" t="s">
        <v>1291</v>
      </c>
      <c r="M764" s="25" t="s">
        <v>470</v>
      </c>
    </row>
    <row r="765" spans="2:13" ht="15.9" customHeight="1" x14ac:dyDescent="0.3">
      <c r="B765" s="19" t="s">
        <v>363</v>
      </c>
      <c r="C765" s="11">
        <v>13</v>
      </c>
      <c r="D765" s="12" t="s">
        <v>1291</v>
      </c>
      <c r="E765" s="113">
        <v>32046695</v>
      </c>
      <c r="F765" s="129" t="s">
        <v>1292</v>
      </c>
      <c r="G765" s="146" t="s">
        <v>1293</v>
      </c>
      <c r="H765" s="60">
        <v>32153534</v>
      </c>
      <c r="I765" s="10" t="s">
        <v>1318</v>
      </c>
      <c r="J765" s="154" t="s">
        <v>1319</v>
      </c>
      <c r="K765" s="12">
        <v>14</v>
      </c>
      <c r="L765" s="10" t="s">
        <v>1291</v>
      </c>
      <c r="M765" s="18" t="s">
        <v>779</v>
      </c>
    </row>
    <row r="766" spans="2:13" ht="15.9" customHeight="1" x14ac:dyDescent="0.3">
      <c r="B766" s="19" t="s">
        <v>363</v>
      </c>
      <c r="C766" s="11">
        <v>13</v>
      </c>
      <c r="D766" s="12" t="s">
        <v>1291</v>
      </c>
      <c r="E766" s="12">
        <v>32046695</v>
      </c>
      <c r="F766" s="50" t="s">
        <v>1292</v>
      </c>
      <c r="G766" s="146" t="s">
        <v>1293</v>
      </c>
      <c r="H766" s="60">
        <v>32045585</v>
      </c>
      <c r="I766" s="10" t="s">
        <v>1302</v>
      </c>
      <c r="J766" s="154" t="s">
        <v>1303</v>
      </c>
      <c r="K766" s="12">
        <v>14</v>
      </c>
      <c r="L766" s="10" t="s">
        <v>1291</v>
      </c>
      <c r="M766" s="18" t="s">
        <v>651</v>
      </c>
    </row>
    <row r="767" spans="2:13" ht="15.9" customHeight="1" x14ac:dyDescent="0.3">
      <c r="B767" s="19" t="s">
        <v>363</v>
      </c>
      <c r="C767" s="11">
        <v>13</v>
      </c>
      <c r="D767" s="12" t="s">
        <v>1291</v>
      </c>
      <c r="E767" s="113">
        <v>32046695</v>
      </c>
      <c r="F767" s="129" t="s">
        <v>1292</v>
      </c>
      <c r="G767" s="146" t="s">
        <v>1293</v>
      </c>
      <c r="H767" s="60">
        <v>32108864</v>
      </c>
      <c r="I767" s="10" t="s">
        <v>1310</v>
      </c>
      <c r="J767" s="154" t="s">
        <v>1311</v>
      </c>
      <c r="K767" s="12">
        <v>14</v>
      </c>
      <c r="L767" s="10" t="s">
        <v>1291</v>
      </c>
      <c r="M767" s="18" t="s">
        <v>705</v>
      </c>
    </row>
    <row r="768" spans="2:13" ht="15.9" customHeight="1" x14ac:dyDescent="0.3">
      <c r="B768" s="19" t="s">
        <v>363</v>
      </c>
      <c r="C768" s="11">
        <v>13</v>
      </c>
      <c r="D768" s="12" t="s">
        <v>1291</v>
      </c>
      <c r="E768" s="12">
        <v>32046695</v>
      </c>
      <c r="F768" s="50" t="s">
        <v>1292</v>
      </c>
      <c r="G768" s="146" t="s">
        <v>1293</v>
      </c>
      <c r="H768" s="60">
        <v>32142988</v>
      </c>
      <c r="I768" s="10" t="s">
        <v>1312</v>
      </c>
      <c r="J768" s="6" t="s">
        <v>1313</v>
      </c>
      <c r="K768" s="12">
        <v>14</v>
      </c>
      <c r="L768" s="10" t="s">
        <v>1291</v>
      </c>
      <c r="M768" s="18" t="s">
        <v>456</v>
      </c>
    </row>
    <row r="769" spans="2:13" ht="15.9" customHeight="1" x14ac:dyDescent="0.3">
      <c r="B769" s="19" t="s">
        <v>363</v>
      </c>
      <c r="C769" s="11">
        <v>13</v>
      </c>
      <c r="D769" s="12" t="s">
        <v>1291</v>
      </c>
      <c r="E769" s="12">
        <v>32046695</v>
      </c>
      <c r="F769" s="50" t="s">
        <v>1292</v>
      </c>
      <c r="G769" s="153" t="s">
        <v>1293</v>
      </c>
      <c r="H769" s="60">
        <v>32045021</v>
      </c>
      <c r="I769" s="10" t="s">
        <v>1294</v>
      </c>
      <c r="J769" s="6" t="s">
        <v>1295</v>
      </c>
      <c r="K769" s="12">
        <v>14</v>
      </c>
      <c r="L769" s="10" t="s">
        <v>1291</v>
      </c>
      <c r="M769" s="18" t="s">
        <v>711</v>
      </c>
    </row>
    <row r="770" spans="2:13" ht="15.9" customHeight="1" x14ac:dyDescent="0.3">
      <c r="B770" s="19" t="s">
        <v>363</v>
      </c>
      <c r="C770" s="11">
        <v>13</v>
      </c>
      <c r="D770" s="12" t="s">
        <v>1291</v>
      </c>
      <c r="E770" s="12">
        <v>32046695</v>
      </c>
      <c r="F770" s="50" t="s">
        <v>1292</v>
      </c>
      <c r="G770" s="146" t="s">
        <v>1293</v>
      </c>
      <c r="H770" s="60">
        <v>32045364</v>
      </c>
      <c r="I770" s="10" t="s">
        <v>1301</v>
      </c>
      <c r="J770" s="80" t="s">
        <v>61</v>
      </c>
      <c r="K770" s="12">
        <v>14</v>
      </c>
      <c r="L770" s="10" t="s">
        <v>1291</v>
      </c>
      <c r="M770" s="18" t="s">
        <v>525</v>
      </c>
    </row>
    <row r="771" spans="2:13" ht="15.9" customHeight="1" x14ac:dyDescent="0.3">
      <c r="B771" s="19" t="s">
        <v>363</v>
      </c>
      <c r="C771" s="11">
        <v>13</v>
      </c>
      <c r="D771" s="12" t="s">
        <v>1291</v>
      </c>
      <c r="E771" s="12">
        <v>32046695</v>
      </c>
      <c r="F771" s="50" t="s">
        <v>1292</v>
      </c>
      <c r="G771" s="146" t="s">
        <v>1293</v>
      </c>
      <c r="H771" s="60">
        <v>32045059</v>
      </c>
      <c r="I771" s="10" t="s">
        <v>1296</v>
      </c>
      <c r="J771" s="156" t="s">
        <v>1297</v>
      </c>
      <c r="K771" s="12">
        <v>14</v>
      </c>
      <c r="L771" s="10" t="s">
        <v>1291</v>
      </c>
      <c r="M771" s="18" t="s">
        <v>564</v>
      </c>
    </row>
    <row r="772" spans="2:13" ht="15.9" customHeight="1" x14ac:dyDescent="0.3">
      <c r="B772" s="19" t="s">
        <v>363</v>
      </c>
      <c r="C772" s="11">
        <v>13</v>
      </c>
      <c r="D772" s="12" t="s">
        <v>1291</v>
      </c>
      <c r="E772" s="113">
        <v>32046695</v>
      </c>
      <c r="F772" s="129" t="s">
        <v>1292</v>
      </c>
      <c r="G772" s="146" t="s">
        <v>1293</v>
      </c>
      <c r="H772" s="60">
        <v>32045060</v>
      </c>
      <c r="I772" s="10" t="s">
        <v>1298</v>
      </c>
      <c r="J772" s="154" t="s">
        <v>1299</v>
      </c>
      <c r="K772" s="12">
        <v>14</v>
      </c>
      <c r="L772" s="10" t="s">
        <v>1291</v>
      </c>
      <c r="M772" s="18" t="s">
        <v>1300</v>
      </c>
    </row>
    <row r="773" spans="2:13" ht="15.9" customHeight="1" x14ac:dyDescent="0.3">
      <c r="B773" s="19" t="s">
        <v>363</v>
      </c>
      <c r="C773" s="11">
        <v>13</v>
      </c>
      <c r="D773" s="12" t="s">
        <v>1291</v>
      </c>
      <c r="E773" s="12">
        <v>32046695</v>
      </c>
      <c r="F773" s="50" t="s">
        <v>1292</v>
      </c>
      <c r="G773" s="146" t="s">
        <v>1293</v>
      </c>
      <c r="H773" s="60">
        <v>32046316</v>
      </c>
      <c r="I773" s="10" t="s">
        <v>1306</v>
      </c>
      <c r="J773" s="6" t="s">
        <v>1307</v>
      </c>
      <c r="K773" s="12">
        <v>14</v>
      </c>
      <c r="L773" s="10" t="s">
        <v>1291</v>
      </c>
      <c r="M773" s="18" t="s">
        <v>719</v>
      </c>
    </row>
    <row r="774" spans="2:13" ht="15.9" customHeight="1" x14ac:dyDescent="0.3">
      <c r="B774" s="19" t="s">
        <v>363</v>
      </c>
      <c r="C774" s="20">
        <v>13</v>
      </c>
      <c r="D774" s="21" t="s">
        <v>1291</v>
      </c>
      <c r="E774" s="113">
        <v>32046695</v>
      </c>
      <c r="F774" s="129" t="s">
        <v>1292</v>
      </c>
      <c r="G774" s="146" t="s">
        <v>1293</v>
      </c>
      <c r="H774" s="61">
        <v>32061304</v>
      </c>
      <c r="I774" s="24" t="s">
        <v>1308</v>
      </c>
      <c r="J774" s="45" t="s">
        <v>1309</v>
      </c>
      <c r="K774" s="12">
        <v>14</v>
      </c>
      <c r="L774" s="24" t="s">
        <v>1291</v>
      </c>
      <c r="M774" s="25" t="s">
        <v>1069</v>
      </c>
    </row>
    <row r="775" spans="2:13" ht="15.9" customHeight="1" x14ac:dyDescent="0.3">
      <c r="B775" s="19" t="s">
        <v>363</v>
      </c>
      <c r="C775" s="11">
        <v>13</v>
      </c>
      <c r="D775" s="12" t="s">
        <v>1291</v>
      </c>
      <c r="E775" s="12">
        <v>32046695</v>
      </c>
      <c r="F775" s="50" t="s">
        <v>1292</v>
      </c>
      <c r="G775" s="146" t="s">
        <v>1293</v>
      </c>
      <c r="H775" s="60">
        <v>32149074</v>
      </c>
      <c r="I775" s="10" t="s">
        <v>1316</v>
      </c>
      <c r="J775" s="6" t="s">
        <v>1317</v>
      </c>
      <c r="K775" s="12">
        <v>14</v>
      </c>
      <c r="L775" s="10" t="s">
        <v>1291</v>
      </c>
      <c r="M775" s="18" t="s">
        <v>464</v>
      </c>
    </row>
    <row r="776" spans="2:13" ht="15.9" customHeight="1" x14ac:dyDescent="0.3">
      <c r="B776" s="19" t="s">
        <v>363</v>
      </c>
      <c r="C776" s="11">
        <v>6</v>
      </c>
      <c r="D776" s="12" t="s">
        <v>816</v>
      </c>
      <c r="E776" s="118">
        <v>32147381</v>
      </c>
      <c r="F776" s="132" t="s">
        <v>817</v>
      </c>
      <c r="G776" s="146" t="s">
        <v>818</v>
      </c>
      <c r="H776" s="60">
        <v>32143273</v>
      </c>
      <c r="I776" s="10" t="s">
        <v>839</v>
      </c>
      <c r="J776" s="10" t="s">
        <v>840</v>
      </c>
      <c r="K776" s="12">
        <v>15</v>
      </c>
      <c r="L776" s="10" t="s">
        <v>816</v>
      </c>
      <c r="M776" s="18" t="s">
        <v>467</v>
      </c>
    </row>
    <row r="777" spans="2:13" ht="15.9" customHeight="1" x14ac:dyDescent="0.3">
      <c r="B777" s="19" t="s">
        <v>363</v>
      </c>
      <c r="C777" s="11">
        <v>6</v>
      </c>
      <c r="D777" s="12" t="s">
        <v>816</v>
      </c>
      <c r="E777" s="118">
        <v>32147381</v>
      </c>
      <c r="F777" s="132" t="s">
        <v>817</v>
      </c>
      <c r="G777" s="147" t="s">
        <v>818</v>
      </c>
      <c r="H777" s="60">
        <v>32044705</v>
      </c>
      <c r="I777" s="10" t="s">
        <v>821</v>
      </c>
      <c r="J777" s="6" t="s">
        <v>822</v>
      </c>
      <c r="K777" s="12">
        <v>15</v>
      </c>
      <c r="L777" s="10" t="s">
        <v>816</v>
      </c>
      <c r="M777" s="18" t="s">
        <v>779</v>
      </c>
    </row>
    <row r="778" spans="2:13" ht="15.9" customHeight="1" x14ac:dyDescent="0.3">
      <c r="B778" s="11" t="s">
        <v>363</v>
      </c>
      <c r="C778" s="11">
        <v>6</v>
      </c>
      <c r="D778" s="12" t="s">
        <v>816</v>
      </c>
      <c r="E778" s="118">
        <v>32147381</v>
      </c>
      <c r="F778" s="132" t="s">
        <v>817</v>
      </c>
      <c r="G778" s="146" t="s">
        <v>818</v>
      </c>
      <c r="H778" s="60">
        <v>32171438</v>
      </c>
      <c r="I778" s="10" t="s">
        <v>844</v>
      </c>
      <c r="J778" s="6" t="s">
        <v>845</v>
      </c>
      <c r="K778" s="12">
        <v>15</v>
      </c>
      <c r="L778" s="10" t="s">
        <v>816</v>
      </c>
      <c r="M778" s="18" t="s">
        <v>564</v>
      </c>
    </row>
    <row r="779" spans="2:13" ht="15.9" customHeight="1" x14ac:dyDescent="0.3">
      <c r="B779" s="19" t="s">
        <v>363</v>
      </c>
      <c r="C779" s="11">
        <v>6</v>
      </c>
      <c r="D779" s="12" t="s">
        <v>816</v>
      </c>
      <c r="E779" s="118">
        <v>32147381</v>
      </c>
      <c r="F779" s="132" t="s">
        <v>817</v>
      </c>
      <c r="G779" s="150" t="s">
        <v>818</v>
      </c>
      <c r="H779" s="60">
        <v>32067362</v>
      </c>
      <c r="I779" s="10" t="s">
        <v>833</v>
      </c>
      <c r="J779" s="6" t="s">
        <v>834</v>
      </c>
      <c r="K779" s="12">
        <v>15</v>
      </c>
      <c r="L779" s="10" t="s">
        <v>816</v>
      </c>
      <c r="M779" s="18" t="s">
        <v>461</v>
      </c>
    </row>
    <row r="780" spans="2:13" ht="15.9" customHeight="1" x14ac:dyDescent="0.3">
      <c r="B780" s="19" t="s">
        <v>363</v>
      </c>
      <c r="C780" s="11">
        <v>6</v>
      </c>
      <c r="D780" s="12" t="s">
        <v>816</v>
      </c>
      <c r="E780" s="26">
        <v>32147381</v>
      </c>
      <c r="F780" s="69" t="s">
        <v>817</v>
      </c>
      <c r="G780" s="146" t="s">
        <v>818</v>
      </c>
      <c r="H780" s="60">
        <v>32143044</v>
      </c>
      <c r="I780" s="10" t="s">
        <v>837</v>
      </c>
      <c r="J780" s="6" t="s">
        <v>838</v>
      </c>
      <c r="K780" s="12">
        <v>15</v>
      </c>
      <c r="L780" s="10" t="s">
        <v>816</v>
      </c>
      <c r="M780" s="18" t="s">
        <v>719</v>
      </c>
    </row>
    <row r="781" spans="2:13" ht="15.9" customHeight="1" x14ac:dyDescent="0.3">
      <c r="B781" s="19" t="s">
        <v>363</v>
      </c>
      <c r="C781" s="11">
        <v>6</v>
      </c>
      <c r="D781" s="12" t="s">
        <v>816</v>
      </c>
      <c r="E781" s="26">
        <v>32147381</v>
      </c>
      <c r="F781" s="69" t="s">
        <v>817</v>
      </c>
      <c r="G781" s="146" t="s">
        <v>818</v>
      </c>
      <c r="H781" s="60">
        <v>32202291</v>
      </c>
      <c r="I781" s="10" t="s">
        <v>846</v>
      </c>
      <c r="J781" s="10" t="s">
        <v>61</v>
      </c>
      <c r="K781" s="12">
        <v>15</v>
      </c>
      <c r="L781" s="10" t="s">
        <v>816</v>
      </c>
      <c r="M781" s="18" t="s">
        <v>461</v>
      </c>
    </row>
    <row r="782" spans="2:13" ht="15.9" customHeight="1" x14ac:dyDescent="0.3">
      <c r="B782" s="19" t="s">
        <v>363</v>
      </c>
      <c r="C782" s="11">
        <v>6</v>
      </c>
      <c r="D782" s="12" t="s">
        <v>816</v>
      </c>
      <c r="E782" s="118">
        <v>32147381</v>
      </c>
      <c r="F782" s="132" t="s">
        <v>817</v>
      </c>
      <c r="G782" s="153" t="s">
        <v>818</v>
      </c>
      <c r="H782" s="60">
        <v>32046234</v>
      </c>
      <c r="I782" s="10" t="s">
        <v>829</v>
      </c>
      <c r="J782" s="6" t="s">
        <v>830</v>
      </c>
      <c r="K782" s="12">
        <v>15</v>
      </c>
      <c r="L782" s="10" t="s">
        <v>816</v>
      </c>
      <c r="M782" s="18" t="s">
        <v>447</v>
      </c>
    </row>
    <row r="783" spans="2:13" ht="15.9" customHeight="1" x14ac:dyDescent="0.3">
      <c r="B783" s="11" t="s">
        <v>363</v>
      </c>
      <c r="C783" s="20">
        <v>6</v>
      </c>
      <c r="D783" s="21" t="s">
        <v>816</v>
      </c>
      <c r="E783" s="128">
        <v>32147381</v>
      </c>
      <c r="F783" s="137" t="s">
        <v>817</v>
      </c>
      <c r="G783" s="146" t="s">
        <v>818</v>
      </c>
      <c r="H783" s="61">
        <v>32171437</v>
      </c>
      <c r="I783" s="24" t="s">
        <v>842</v>
      </c>
      <c r="J783" s="6" t="s">
        <v>843</v>
      </c>
      <c r="K783" s="12">
        <v>15</v>
      </c>
      <c r="L783" s="24" t="s">
        <v>816</v>
      </c>
      <c r="M783" s="25" t="s">
        <v>481</v>
      </c>
    </row>
    <row r="784" spans="2:13" ht="15.9" customHeight="1" x14ac:dyDescent="0.3">
      <c r="B784" s="19" t="s">
        <v>363</v>
      </c>
      <c r="C784" s="11">
        <v>6</v>
      </c>
      <c r="D784" s="12" t="s">
        <v>816</v>
      </c>
      <c r="E784" s="26">
        <v>32147381</v>
      </c>
      <c r="F784" s="69" t="s">
        <v>817</v>
      </c>
      <c r="G784" s="150" t="s">
        <v>818</v>
      </c>
      <c r="H784" s="60">
        <v>32045074</v>
      </c>
      <c r="I784" s="10" t="s">
        <v>823</v>
      </c>
      <c r="J784" s="6" t="s">
        <v>824</v>
      </c>
      <c r="K784" s="12">
        <v>15</v>
      </c>
      <c r="L784" s="10" t="s">
        <v>816</v>
      </c>
      <c r="M784" s="18" t="s">
        <v>807</v>
      </c>
    </row>
    <row r="785" spans="2:13" ht="15.9" customHeight="1" x14ac:dyDescent="0.3">
      <c r="B785" s="19" t="s">
        <v>363</v>
      </c>
      <c r="C785" s="11">
        <v>6</v>
      </c>
      <c r="D785" s="12" t="s">
        <v>816</v>
      </c>
      <c r="E785" s="26">
        <v>32147381</v>
      </c>
      <c r="F785" s="69" t="s">
        <v>817</v>
      </c>
      <c r="G785" s="146" t="s">
        <v>818</v>
      </c>
      <c r="H785" s="60">
        <v>32154115</v>
      </c>
      <c r="I785" s="10" t="s">
        <v>841</v>
      </c>
      <c r="J785" s="80" t="s">
        <v>61</v>
      </c>
      <c r="K785" s="12">
        <v>15</v>
      </c>
      <c r="L785" s="10" t="s">
        <v>816</v>
      </c>
      <c r="M785" s="18" t="s">
        <v>456</v>
      </c>
    </row>
    <row r="786" spans="2:13" ht="15.9" customHeight="1" x14ac:dyDescent="0.3">
      <c r="B786" s="19" t="s">
        <v>363</v>
      </c>
      <c r="C786" s="11">
        <v>6</v>
      </c>
      <c r="D786" s="12" t="s">
        <v>816</v>
      </c>
      <c r="E786" s="26">
        <v>32147381</v>
      </c>
      <c r="F786" s="69" t="s">
        <v>817</v>
      </c>
      <c r="G786" s="146" t="s">
        <v>818</v>
      </c>
      <c r="H786" s="60">
        <v>32045584</v>
      </c>
      <c r="I786" s="10" t="s">
        <v>825</v>
      </c>
      <c r="J786" s="6" t="s">
        <v>826</v>
      </c>
      <c r="K786" s="12">
        <v>15</v>
      </c>
      <c r="L786" s="10" t="s">
        <v>816</v>
      </c>
      <c r="M786" s="18" t="s">
        <v>666</v>
      </c>
    </row>
    <row r="787" spans="2:13" ht="15.9" customHeight="1" x14ac:dyDescent="0.3">
      <c r="B787" s="19" t="s">
        <v>363</v>
      </c>
      <c r="C787" s="11">
        <v>6</v>
      </c>
      <c r="D787" s="12" t="s">
        <v>816</v>
      </c>
      <c r="E787" s="118">
        <v>32147381</v>
      </c>
      <c r="F787" s="132" t="s">
        <v>817</v>
      </c>
      <c r="G787" s="146" t="s">
        <v>818</v>
      </c>
      <c r="H787" s="60">
        <v>32046011</v>
      </c>
      <c r="I787" s="10" t="s">
        <v>827</v>
      </c>
      <c r="J787" s="154" t="s">
        <v>828</v>
      </c>
      <c r="K787" s="12">
        <v>15</v>
      </c>
      <c r="L787" s="10" t="s">
        <v>816</v>
      </c>
      <c r="M787" s="18" t="s">
        <v>758</v>
      </c>
    </row>
    <row r="788" spans="2:13" ht="15.9" customHeight="1" x14ac:dyDescent="0.3">
      <c r="B788" s="19" t="s">
        <v>363</v>
      </c>
      <c r="C788" s="11">
        <v>6</v>
      </c>
      <c r="D788" s="12" t="s">
        <v>816</v>
      </c>
      <c r="E788" s="26">
        <v>32147381</v>
      </c>
      <c r="F788" s="69" t="s">
        <v>817</v>
      </c>
      <c r="G788" s="146" t="s">
        <v>818</v>
      </c>
      <c r="H788" s="60">
        <v>32110718</v>
      </c>
      <c r="I788" s="10" t="s">
        <v>835</v>
      </c>
      <c r="J788" s="28" t="s">
        <v>836</v>
      </c>
      <c r="K788" s="12">
        <v>15</v>
      </c>
      <c r="L788" s="10" t="s">
        <v>816</v>
      </c>
      <c r="M788" s="18" t="s">
        <v>765</v>
      </c>
    </row>
    <row r="789" spans="2:13" ht="15.9" customHeight="1" x14ac:dyDescent="0.3">
      <c r="B789" s="19" t="s">
        <v>363</v>
      </c>
      <c r="C789" s="20">
        <v>6</v>
      </c>
      <c r="D789" s="21" t="s">
        <v>816</v>
      </c>
      <c r="E789" s="118">
        <v>32147381</v>
      </c>
      <c r="F789" s="132" t="s">
        <v>817</v>
      </c>
      <c r="G789" s="146" t="s">
        <v>818</v>
      </c>
      <c r="H789" s="61">
        <v>32046441</v>
      </c>
      <c r="I789" s="24" t="s">
        <v>831</v>
      </c>
      <c r="J789" s="6" t="s">
        <v>832</v>
      </c>
      <c r="K789" s="12">
        <v>15</v>
      </c>
      <c r="L789" s="24" t="s">
        <v>816</v>
      </c>
      <c r="M789" s="25" t="s">
        <v>705</v>
      </c>
    </row>
    <row r="790" spans="2:13" ht="15.9" customHeight="1" x14ac:dyDescent="0.3">
      <c r="B790" s="19" t="s">
        <v>363</v>
      </c>
      <c r="C790" s="11">
        <v>6</v>
      </c>
      <c r="D790" s="12" t="s">
        <v>816</v>
      </c>
      <c r="E790" s="26">
        <v>32147381</v>
      </c>
      <c r="F790" s="69" t="s">
        <v>817</v>
      </c>
      <c r="G790" s="146" t="s">
        <v>818</v>
      </c>
      <c r="H790" s="60">
        <v>32044100</v>
      </c>
      <c r="I790" s="10" t="s">
        <v>819</v>
      </c>
      <c r="J790" s="6" t="s">
        <v>820</v>
      </c>
      <c r="K790" s="12">
        <v>15</v>
      </c>
      <c r="L790" s="10" t="s">
        <v>816</v>
      </c>
      <c r="M790" s="18" t="s">
        <v>651</v>
      </c>
    </row>
    <row r="791" spans="2:13" ht="15.9" customHeight="1" x14ac:dyDescent="0.3">
      <c r="B791" s="19" t="s">
        <v>2127</v>
      </c>
      <c r="C791" s="11" t="s">
        <v>2235</v>
      </c>
      <c r="D791" s="12" t="s">
        <v>2264</v>
      </c>
      <c r="E791" s="12">
        <v>32145111</v>
      </c>
      <c r="F791" s="50" t="s">
        <v>2359</v>
      </c>
      <c r="G791" s="146" t="s">
        <v>2709</v>
      </c>
      <c r="H791" s="70">
        <v>32137944</v>
      </c>
      <c r="I791" s="28" t="s">
        <v>2272</v>
      </c>
      <c r="J791" s="6" t="s">
        <v>2710</v>
      </c>
      <c r="K791" s="12">
        <v>7</v>
      </c>
      <c r="L791" s="12" t="s">
        <v>2264</v>
      </c>
      <c r="M791" s="47" t="s">
        <v>47</v>
      </c>
    </row>
    <row r="792" spans="2:13" ht="15.9" customHeight="1" x14ac:dyDescent="0.3">
      <c r="B792" s="19" t="s">
        <v>2127</v>
      </c>
      <c r="C792" s="11" t="s">
        <v>2235</v>
      </c>
      <c r="D792" s="12" t="s">
        <v>2264</v>
      </c>
      <c r="E792" s="12">
        <v>32151318</v>
      </c>
      <c r="F792" s="50" t="s">
        <v>2265</v>
      </c>
      <c r="G792" s="153" t="s">
        <v>2711</v>
      </c>
      <c r="H792" s="70">
        <v>32045518</v>
      </c>
      <c r="I792" s="39" t="s">
        <v>2266</v>
      </c>
      <c r="J792" s="6" t="s">
        <v>2712</v>
      </c>
      <c r="K792" s="12">
        <v>7</v>
      </c>
      <c r="L792" s="12" t="s">
        <v>2264</v>
      </c>
      <c r="M792" s="47" t="s">
        <v>44</v>
      </c>
    </row>
    <row r="793" spans="2:13" ht="15.9" customHeight="1" x14ac:dyDescent="0.3">
      <c r="B793" s="19" t="s">
        <v>2127</v>
      </c>
      <c r="C793" s="11" t="s">
        <v>2235</v>
      </c>
      <c r="D793" s="12" t="s">
        <v>2264</v>
      </c>
      <c r="E793" s="12">
        <v>32151318</v>
      </c>
      <c r="F793" s="50" t="s">
        <v>2265</v>
      </c>
      <c r="G793" s="146" t="s">
        <v>2711</v>
      </c>
      <c r="H793" s="70">
        <v>32044297</v>
      </c>
      <c r="I793" s="39" t="s">
        <v>2269</v>
      </c>
      <c r="J793" s="144" t="s">
        <v>61</v>
      </c>
      <c r="K793" s="12">
        <v>7</v>
      </c>
      <c r="L793" s="12" t="s">
        <v>2264</v>
      </c>
      <c r="M793" s="47" t="s">
        <v>41</v>
      </c>
    </row>
    <row r="794" spans="2:13" ht="15.9" customHeight="1" x14ac:dyDescent="0.3">
      <c r="B794" s="19" t="s">
        <v>2127</v>
      </c>
      <c r="C794" s="11" t="s">
        <v>2235</v>
      </c>
      <c r="D794" s="12" t="s">
        <v>2264</v>
      </c>
      <c r="E794" s="12">
        <v>32151318</v>
      </c>
      <c r="F794" s="50" t="s">
        <v>2265</v>
      </c>
      <c r="G794" s="146" t="s">
        <v>2711</v>
      </c>
      <c r="H794" s="70">
        <v>32045905</v>
      </c>
      <c r="I794" s="39" t="s">
        <v>2267</v>
      </c>
      <c r="J794" s="6" t="s">
        <v>2713</v>
      </c>
      <c r="K794" s="12">
        <v>7</v>
      </c>
      <c r="L794" s="12" t="s">
        <v>2264</v>
      </c>
      <c r="M794" s="47" t="s">
        <v>179</v>
      </c>
    </row>
    <row r="795" spans="2:13" ht="15.9" customHeight="1" x14ac:dyDescent="0.3">
      <c r="B795" s="19" t="s">
        <v>2127</v>
      </c>
      <c r="C795" s="11" t="s">
        <v>2235</v>
      </c>
      <c r="D795" s="12" t="s">
        <v>2264</v>
      </c>
      <c r="E795" s="12">
        <v>32151318</v>
      </c>
      <c r="F795" s="50" t="s">
        <v>2265</v>
      </c>
      <c r="G795" s="153" t="s">
        <v>2711</v>
      </c>
      <c r="H795" s="70">
        <v>32044401</v>
      </c>
      <c r="I795" s="28" t="s">
        <v>2271</v>
      </c>
      <c r="J795" s="6" t="s">
        <v>2714</v>
      </c>
      <c r="K795" s="12">
        <v>7</v>
      </c>
      <c r="L795" s="12" t="s">
        <v>2264</v>
      </c>
      <c r="M795" s="47" t="s">
        <v>47</v>
      </c>
    </row>
    <row r="796" spans="2:13" ht="15.9" customHeight="1" x14ac:dyDescent="0.3">
      <c r="B796" s="19" t="s">
        <v>2127</v>
      </c>
      <c r="C796" s="11" t="s">
        <v>2235</v>
      </c>
      <c r="D796" s="12" t="s">
        <v>2264</v>
      </c>
      <c r="E796" s="113">
        <v>32151318</v>
      </c>
      <c r="F796" s="129" t="s">
        <v>2265</v>
      </c>
      <c r="G796" s="146" t="s">
        <v>2711</v>
      </c>
      <c r="H796" s="70">
        <v>32072230</v>
      </c>
      <c r="I796" s="28" t="s">
        <v>2270</v>
      </c>
      <c r="J796" s="6" t="s">
        <v>2715</v>
      </c>
      <c r="K796" s="12">
        <v>7</v>
      </c>
      <c r="L796" s="12" t="s">
        <v>2264</v>
      </c>
      <c r="M796" s="47" t="s">
        <v>1</v>
      </c>
    </row>
    <row r="797" spans="2:13" ht="15.9" customHeight="1" x14ac:dyDescent="0.3">
      <c r="B797" s="19" t="s">
        <v>2127</v>
      </c>
      <c r="C797" s="11" t="s">
        <v>2235</v>
      </c>
      <c r="D797" s="12" t="s">
        <v>2264</v>
      </c>
      <c r="E797" s="12">
        <v>32151318</v>
      </c>
      <c r="F797" s="50" t="s">
        <v>2265</v>
      </c>
      <c r="G797" s="146" t="s">
        <v>2711</v>
      </c>
      <c r="H797" s="70">
        <v>32146000</v>
      </c>
      <c r="I797" s="39" t="s">
        <v>2277</v>
      </c>
      <c r="J797" s="6" t="s">
        <v>2716</v>
      </c>
      <c r="K797" s="12">
        <v>7</v>
      </c>
      <c r="L797" s="12" t="s">
        <v>2264</v>
      </c>
      <c r="M797" s="47" t="s">
        <v>35</v>
      </c>
    </row>
    <row r="798" spans="2:13" ht="15.9" customHeight="1" x14ac:dyDescent="0.3">
      <c r="B798" s="11" t="s">
        <v>363</v>
      </c>
      <c r="C798" s="11" t="s">
        <v>1502</v>
      </c>
      <c r="D798" s="12" t="s">
        <v>1503</v>
      </c>
      <c r="E798" s="12">
        <v>32044366</v>
      </c>
      <c r="F798" s="50" t="s">
        <v>2360</v>
      </c>
      <c r="G798" s="146" t="s">
        <v>1505</v>
      </c>
      <c r="H798" s="60">
        <v>32132238</v>
      </c>
      <c r="I798" s="10" t="s">
        <v>1519</v>
      </c>
      <c r="J798" s="6" t="s">
        <v>1520</v>
      </c>
      <c r="K798" s="12">
        <v>12</v>
      </c>
      <c r="L798" s="10" t="s">
        <v>1503</v>
      </c>
      <c r="M798" s="18" t="s">
        <v>807</v>
      </c>
    </row>
    <row r="799" spans="2:13" ht="15.9" customHeight="1" x14ac:dyDescent="0.3">
      <c r="B799" s="19" t="s">
        <v>363</v>
      </c>
      <c r="C799" s="11" t="s">
        <v>1502</v>
      </c>
      <c r="D799" s="12" t="s">
        <v>1503</v>
      </c>
      <c r="E799" s="113">
        <v>32044366</v>
      </c>
      <c r="F799" s="129" t="s">
        <v>2360</v>
      </c>
      <c r="G799" s="146" t="s">
        <v>1505</v>
      </c>
      <c r="H799" s="60">
        <v>32046570</v>
      </c>
      <c r="I799" s="10" t="s">
        <v>1515</v>
      </c>
      <c r="J799" s="143" t="s">
        <v>1516</v>
      </c>
      <c r="K799" s="12">
        <v>12</v>
      </c>
      <c r="L799" s="10" t="s">
        <v>1503</v>
      </c>
      <c r="M799" s="18" t="s">
        <v>447</v>
      </c>
    </row>
    <row r="800" spans="2:13" ht="15.9" customHeight="1" x14ac:dyDescent="0.3">
      <c r="B800" s="19" t="s">
        <v>363</v>
      </c>
      <c r="C800" s="11" t="s">
        <v>1502</v>
      </c>
      <c r="D800" s="12" t="s">
        <v>1503</v>
      </c>
      <c r="E800" s="51">
        <v>32044366</v>
      </c>
      <c r="F800" s="98" t="s">
        <v>2360</v>
      </c>
      <c r="G800" s="146" t="s">
        <v>1505</v>
      </c>
      <c r="H800" s="60">
        <v>32139710</v>
      </c>
      <c r="I800" s="10" t="s">
        <v>1521</v>
      </c>
      <c r="J800" s="6" t="s">
        <v>1522</v>
      </c>
      <c r="K800" s="12">
        <v>12</v>
      </c>
      <c r="L800" s="10" t="s">
        <v>1503</v>
      </c>
      <c r="M800" s="18" t="s">
        <v>547</v>
      </c>
    </row>
    <row r="801" spans="2:13" ht="15.9" customHeight="1" x14ac:dyDescent="0.3">
      <c r="B801" s="19" t="s">
        <v>363</v>
      </c>
      <c r="C801" s="20" t="s">
        <v>1502</v>
      </c>
      <c r="D801" s="21" t="s">
        <v>1503</v>
      </c>
      <c r="E801" s="113">
        <v>32044366</v>
      </c>
      <c r="F801" s="129" t="s">
        <v>2360</v>
      </c>
      <c r="G801" s="146" t="s">
        <v>1505</v>
      </c>
      <c r="H801" s="61">
        <v>32044873</v>
      </c>
      <c r="I801" s="24" t="s">
        <v>1510</v>
      </c>
      <c r="J801" s="6" t="s">
        <v>1511</v>
      </c>
      <c r="K801" s="12">
        <v>12</v>
      </c>
      <c r="L801" s="24" t="s">
        <v>1503</v>
      </c>
      <c r="M801" s="25" t="s">
        <v>461</v>
      </c>
    </row>
    <row r="802" spans="2:13" ht="15.9" customHeight="1" x14ac:dyDescent="0.3">
      <c r="B802" s="11" t="s">
        <v>363</v>
      </c>
      <c r="C802" s="11" t="s">
        <v>1502</v>
      </c>
      <c r="D802" s="12" t="s">
        <v>1503</v>
      </c>
      <c r="E802" s="110">
        <v>32044366</v>
      </c>
      <c r="F802" s="131" t="s">
        <v>2360</v>
      </c>
      <c r="G802" s="153" t="s">
        <v>1505</v>
      </c>
      <c r="H802" s="60">
        <v>32046248</v>
      </c>
      <c r="I802" s="10" t="s">
        <v>1512</v>
      </c>
      <c r="J802" s="80" t="s">
        <v>61</v>
      </c>
      <c r="K802" s="12">
        <v>12</v>
      </c>
      <c r="L802" s="10" t="s">
        <v>1503</v>
      </c>
      <c r="M802" s="18" t="s">
        <v>473</v>
      </c>
    </row>
    <row r="803" spans="2:13" ht="15.9" customHeight="1" x14ac:dyDescent="0.3">
      <c r="B803" s="19" t="s">
        <v>363</v>
      </c>
      <c r="C803" s="11" t="s">
        <v>1502</v>
      </c>
      <c r="D803" s="12" t="s">
        <v>1503</v>
      </c>
      <c r="E803" s="113">
        <v>32044366</v>
      </c>
      <c r="F803" s="129" t="s">
        <v>2360</v>
      </c>
      <c r="G803" s="146" t="s">
        <v>1505</v>
      </c>
      <c r="H803" s="60">
        <v>32044082</v>
      </c>
      <c r="I803" s="10" t="s">
        <v>1506</v>
      </c>
      <c r="J803" s="154" t="s">
        <v>1507</v>
      </c>
      <c r="K803" s="12">
        <v>12</v>
      </c>
      <c r="L803" s="10" t="s">
        <v>1503</v>
      </c>
      <c r="M803" s="18" t="s">
        <v>467</v>
      </c>
    </row>
    <row r="804" spans="2:13" ht="15.9" customHeight="1" x14ac:dyDescent="0.3">
      <c r="B804" s="19" t="s">
        <v>363</v>
      </c>
      <c r="C804" s="11" t="s">
        <v>1502</v>
      </c>
      <c r="D804" s="12" t="s">
        <v>1503</v>
      </c>
      <c r="E804" s="51">
        <v>32044366</v>
      </c>
      <c r="F804" s="98" t="s">
        <v>2360</v>
      </c>
      <c r="G804" s="146" t="s">
        <v>1505</v>
      </c>
      <c r="H804" s="60">
        <v>32132050</v>
      </c>
      <c r="I804" s="10" t="s">
        <v>1517</v>
      </c>
      <c r="J804" s="6" t="s">
        <v>1518</v>
      </c>
      <c r="K804" s="12">
        <v>12</v>
      </c>
      <c r="L804" s="10" t="s">
        <v>1503</v>
      </c>
      <c r="M804" s="18" t="s">
        <v>812</v>
      </c>
    </row>
    <row r="805" spans="2:13" ht="15.9" customHeight="1" x14ac:dyDescent="0.3">
      <c r="B805" s="19" t="s">
        <v>363</v>
      </c>
      <c r="C805" s="11" t="s">
        <v>1502</v>
      </c>
      <c r="D805" s="12" t="s">
        <v>1503</v>
      </c>
      <c r="E805" s="51">
        <v>32044366</v>
      </c>
      <c r="F805" s="98" t="s">
        <v>2360</v>
      </c>
      <c r="G805" s="146" t="s">
        <v>1505</v>
      </c>
      <c r="H805" s="60">
        <v>32149250</v>
      </c>
      <c r="I805" s="10" t="s">
        <v>1523</v>
      </c>
      <c r="J805" s="6" t="s">
        <v>1524</v>
      </c>
      <c r="K805" s="12">
        <v>12</v>
      </c>
      <c r="L805" s="10" t="s">
        <v>1503</v>
      </c>
      <c r="M805" s="18" t="s">
        <v>765</v>
      </c>
    </row>
    <row r="806" spans="2:13" ht="15.9" customHeight="1" x14ac:dyDescent="0.3">
      <c r="B806" s="19" t="s">
        <v>363</v>
      </c>
      <c r="C806" s="11" t="s">
        <v>1502</v>
      </c>
      <c r="D806" s="12" t="s">
        <v>1503</v>
      </c>
      <c r="E806" s="113">
        <v>32044366</v>
      </c>
      <c r="F806" s="129" t="s">
        <v>2360</v>
      </c>
      <c r="G806" s="146" t="s">
        <v>1505</v>
      </c>
      <c r="H806" s="60">
        <v>32197895</v>
      </c>
      <c r="I806" s="10" t="s">
        <v>1527</v>
      </c>
      <c r="J806" s="154" t="s">
        <v>1528</v>
      </c>
      <c r="K806" s="12">
        <v>12</v>
      </c>
      <c r="L806" s="10" t="s">
        <v>1503</v>
      </c>
      <c r="M806" s="18" t="s">
        <v>651</v>
      </c>
    </row>
    <row r="807" spans="2:13" ht="15.9" customHeight="1" x14ac:dyDescent="0.3">
      <c r="B807" s="19" t="s">
        <v>363</v>
      </c>
      <c r="C807" s="11" t="s">
        <v>1502</v>
      </c>
      <c r="D807" s="12" t="s">
        <v>1503</v>
      </c>
      <c r="E807" s="51">
        <v>32044366</v>
      </c>
      <c r="F807" s="98" t="s">
        <v>2360</v>
      </c>
      <c r="G807" s="146" t="s">
        <v>1505</v>
      </c>
      <c r="H807" s="60">
        <v>32149861</v>
      </c>
      <c r="I807" s="10" t="s">
        <v>1525</v>
      </c>
      <c r="J807" s="154" t="s">
        <v>1526</v>
      </c>
      <c r="K807" s="12">
        <v>12</v>
      </c>
      <c r="L807" s="10" t="s">
        <v>1503</v>
      </c>
      <c r="M807" s="18" t="s">
        <v>525</v>
      </c>
    </row>
    <row r="808" spans="2:13" ht="15.9" customHeight="1" x14ac:dyDescent="0.3">
      <c r="B808" s="19" t="s">
        <v>363</v>
      </c>
      <c r="C808" s="20" t="s">
        <v>1502</v>
      </c>
      <c r="D808" s="21" t="s">
        <v>1503</v>
      </c>
      <c r="E808" s="12">
        <v>32044366</v>
      </c>
      <c r="F808" s="52" t="s">
        <v>2360</v>
      </c>
      <c r="G808" s="146" t="s">
        <v>1505</v>
      </c>
      <c r="H808" s="61">
        <v>32044094</v>
      </c>
      <c r="I808" s="24" t="s">
        <v>1508</v>
      </c>
      <c r="J808" s="6" t="s">
        <v>1509</v>
      </c>
      <c r="K808" s="12">
        <v>12</v>
      </c>
      <c r="L808" s="24" t="s">
        <v>1503</v>
      </c>
      <c r="M808" s="25" t="s">
        <v>779</v>
      </c>
    </row>
    <row r="809" spans="2:13" ht="15.9" customHeight="1" x14ac:dyDescent="0.3">
      <c r="B809" s="19" t="s">
        <v>363</v>
      </c>
      <c r="C809" s="11" t="s">
        <v>1502</v>
      </c>
      <c r="D809" s="12" t="s">
        <v>1503</v>
      </c>
      <c r="E809" s="12">
        <v>32044366</v>
      </c>
      <c r="F809" s="50" t="s">
        <v>2360</v>
      </c>
      <c r="G809" s="146" t="s">
        <v>1505</v>
      </c>
      <c r="H809" s="60">
        <v>32046391</v>
      </c>
      <c r="I809" s="10" t="s">
        <v>1513</v>
      </c>
      <c r="J809" s="6" t="s">
        <v>1514</v>
      </c>
      <c r="K809" s="12">
        <v>12</v>
      </c>
      <c r="L809" s="10" t="s">
        <v>1503</v>
      </c>
      <c r="M809" s="18" t="s">
        <v>456</v>
      </c>
    </row>
    <row r="810" spans="2:13" ht="15.9" customHeight="1" x14ac:dyDescent="0.3">
      <c r="B810" s="19" t="s">
        <v>363</v>
      </c>
      <c r="C810" s="11">
        <v>1</v>
      </c>
      <c r="D810" s="12" t="s">
        <v>397</v>
      </c>
      <c r="E810" s="63">
        <v>32146001</v>
      </c>
      <c r="F810" s="97" t="s">
        <v>398</v>
      </c>
      <c r="G810" s="146" t="s">
        <v>399</v>
      </c>
      <c r="H810" s="60">
        <v>32046520</v>
      </c>
      <c r="I810" s="10" t="s">
        <v>400</v>
      </c>
      <c r="J810" s="6" t="s">
        <v>401</v>
      </c>
      <c r="K810" s="12">
        <v>6</v>
      </c>
      <c r="L810" s="10" t="s">
        <v>397</v>
      </c>
      <c r="M810" s="18" t="s">
        <v>381</v>
      </c>
    </row>
    <row r="811" spans="2:13" ht="15.9" customHeight="1" x14ac:dyDescent="0.3">
      <c r="B811" s="19" t="s">
        <v>363</v>
      </c>
      <c r="C811" s="11">
        <v>1</v>
      </c>
      <c r="D811" s="12" t="s">
        <v>397</v>
      </c>
      <c r="E811" s="63">
        <v>32146001</v>
      </c>
      <c r="F811" s="97" t="s">
        <v>398</v>
      </c>
      <c r="G811" s="146" t="s">
        <v>399</v>
      </c>
      <c r="H811" s="60">
        <v>32044863</v>
      </c>
      <c r="I811" s="10" t="s">
        <v>402</v>
      </c>
      <c r="J811" s="6" t="s">
        <v>403</v>
      </c>
      <c r="K811" s="12">
        <v>6</v>
      </c>
      <c r="L811" s="10" t="s">
        <v>397</v>
      </c>
      <c r="M811" s="18" t="s">
        <v>369</v>
      </c>
    </row>
    <row r="812" spans="2:13" ht="15.9" customHeight="1" x14ac:dyDescent="0.3">
      <c r="B812" s="19" t="s">
        <v>363</v>
      </c>
      <c r="C812" s="11">
        <v>1</v>
      </c>
      <c r="D812" s="12" t="s">
        <v>397</v>
      </c>
      <c r="E812" s="63">
        <v>32146001</v>
      </c>
      <c r="F812" s="97" t="s">
        <v>398</v>
      </c>
      <c r="G812" s="146" t="s">
        <v>399</v>
      </c>
      <c r="H812" s="60">
        <v>32151053</v>
      </c>
      <c r="I812" s="10" t="s">
        <v>2436</v>
      </c>
      <c r="J812" s="6" t="s">
        <v>2717</v>
      </c>
      <c r="K812" s="12">
        <v>6</v>
      </c>
      <c r="L812" s="10" t="s">
        <v>397</v>
      </c>
      <c r="M812" s="18" t="s">
        <v>378</v>
      </c>
    </row>
    <row r="813" spans="2:13" ht="15.9" customHeight="1" x14ac:dyDescent="0.3">
      <c r="B813" s="19" t="s">
        <v>363</v>
      </c>
      <c r="C813" s="11">
        <v>1</v>
      </c>
      <c r="D813" s="12" t="s">
        <v>397</v>
      </c>
      <c r="E813" s="63">
        <v>32146001</v>
      </c>
      <c r="F813" s="97" t="s">
        <v>398</v>
      </c>
      <c r="G813" s="146" t="s">
        <v>399</v>
      </c>
      <c r="H813" s="60">
        <v>32046582</v>
      </c>
      <c r="I813" s="10" t="s">
        <v>404</v>
      </c>
      <c r="J813" s="143" t="s">
        <v>405</v>
      </c>
      <c r="K813" s="12">
        <v>6</v>
      </c>
      <c r="L813" s="10" t="s">
        <v>397</v>
      </c>
      <c r="M813" s="18" t="s">
        <v>375</v>
      </c>
    </row>
    <row r="814" spans="2:13" ht="15.9" customHeight="1" x14ac:dyDescent="0.3">
      <c r="B814" s="19" t="s">
        <v>363</v>
      </c>
      <c r="C814" s="11">
        <v>1</v>
      </c>
      <c r="D814" s="12" t="s">
        <v>397</v>
      </c>
      <c r="E814" s="63">
        <v>32146001</v>
      </c>
      <c r="F814" s="97" t="s">
        <v>398</v>
      </c>
      <c r="G814" s="146" t="s">
        <v>399</v>
      </c>
      <c r="H814" s="60">
        <v>32045229</v>
      </c>
      <c r="I814" s="10" t="s">
        <v>406</v>
      </c>
      <c r="J814" s="6" t="s">
        <v>407</v>
      </c>
      <c r="K814" s="12">
        <v>6</v>
      </c>
      <c r="L814" s="10" t="s">
        <v>397</v>
      </c>
      <c r="M814" s="18" t="s">
        <v>408</v>
      </c>
    </row>
    <row r="815" spans="2:13" ht="15.9" customHeight="1" x14ac:dyDescent="0.3">
      <c r="B815" s="19" t="s">
        <v>363</v>
      </c>
      <c r="C815" s="11">
        <v>1</v>
      </c>
      <c r="D815" s="12" t="s">
        <v>397</v>
      </c>
      <c r="E815" s="63">
        <v>32146001</v>
      </c>
      <c r="F815" s="97" t="s">
        <v>398</v>
      </c>
      <c r="G815" s="146" t="s">
        <v>399</v>
      </c>
      <c r="H815" s="60">
        <v>32132064</v>
      </c>
      <c r="I815" s="10" t="s">
        <v>409</v>
      </c>
      <c r="J815" s="154" t="s">
        <v>410</v>
      </c>
      <c r="K815" s="12">
        <v>6</v>
      </c>
      <c r="L815" s="10" t="s">
        <v>397</v>
      </c>
      <c r="M815" s="18" t="s">
        <v>372</v>
      </c>
    </row>
    <row r="816" spans="2:13" ht="15.9" customHeight="1" x14ac:dyDescent="0.3">
      <c r="B816" s="185" t="s">
        <v>263</v>
      </c>
      <c r="C816" s="10"/>
      <c r="D816" s="26" t="s">
        <v>330</v>
      </c>
      <c r="E816" s="112">
        <v>32209640</v>
      </c>
      <c r="F816" s="165" t="s">
        <v>331</v>
      </c>
      <c r="G816" s="146" t="s">
        <v>332</v>
      </c>
      <c r="H816" s="72">
        <v>32202297</v>
      </c>
      <c r="I816" s="10" t="s">
        <v>333</v>
      </c>
      <c r="J816" s="6" t="s">
        <v>334</v>
      </c>
      <c r="K816" s="12">
        <v>9</v>
      </c>
      <c r="L816" s="26" t="s">
        <v>330</v>
      </c>
      <c r="M816" s="18" t="s">
        <v>47</v>
      </c>
    </row>
    <row r="817" spans="2:13" ht="15.9" customHeight="1" x14ac:dyDescent="0.3">
      <c r="B817" s="185" t="s">
        <v>263</v>
      </c>
      <c r="C817" s="24"/>
      <c r="D817" s="187" t="s">
        <v>330</v>
      </c>
      <c r="E817" s="112">
        <v>32209640</v>
      </c>
      <c r="F817" s="167" t="s">
        <v>331</v>
      </c>
      <c r="G817" s="146" t="s">
        <v>332</v>
      </c>
      <c r="H817" s="106">
        <v>32044037</v>
      </c>
      <c r="I817" s="24" t="s">
        <v>335</v>
      </c>
      <c r="J817" s="156" t="s">
        <v>336</v>
      </c>
      <c r="K817" s="12">
        <v>9</v>
      </c>
      <c r="L817" s="187" t="s">
        <v>330</v>
      </c>
      <c r="M817" s="25" t="s">
        <v>41</v>
      </c>
    </row>
    <row r="818" spans="2:13" ht="15.9" customHeight="1" x14ac:dyDescent="0.3">
      <c r="B818" s="185" t="s">
        <v>263</v>
      </c>
      <c r="C818" s="10"/>
      <c r="D818" s="26" t="s">
        <v>330</v>
      </c>
      <c r="E818" s="114">
        <v>32209640</v>
      </c>
      <c r="F818" s="162" t="s">
        <v>331</v>
      </c>
      <c r="G818" s="146" t="s">
        <v>332</v>
      </c>
      <c r="H818" s="72">
        <v>32044839</v>
      </c>
      <c r="I818" s="10" t="s">
        <v>337</v>
      </c>
      <c r="J818" s="154" t="s">
        <v>338</v>
      </c>
      <c r="K818" s="12">
        <v>9</v>
      </c>
      <c r="L818" s="26" t="s">
        <v>330</v>
      </c>
      <c r="M818" s="18" t="s">
        <v>56</v>
      </c>
    </row>
    <row r="819" spans="2:13" ht="15.9" customHeight="1" x14ac:dyDescent="0.3">
      <c r="B819" s="185" t="s">
        <v>263</v>
      </c>
      <c r="C819" s="10"/>
      <c r="D819" s="26" t="s">
        <v>330</v>
      </c>
      <c r="E819" s="114">
        <v>32209640</v>
      </c>
      <c r="F819" s="162" t="s">
        <v>331</v>
      </c>
      <c r="G819" s="146" t="s">
        <v>332</v>
      </c>
      <c r="H819" s="72">
        <v>32045510</v>
      </c>
      <c r="I819" s="10" t="s">
        <v>339</v>
      </c>
      <c r="J819" s="6" t="s">
        <v>340</v>
      </c>
      <c r="K819" s="12">
        <v>9</v>
      </c>
      <c r="L819" s="26" t="s">
        <v>330</v>
      </c>
      <c r="M819" s="18" t="s">
        <v>47</v>
      </c>
    </row>
    <row r="820" spans="2:13" ht="15.9" customHeight="1" x14ac:dyDescent="0.3">
      <c r="B820" s="185" t="s">
        <v>263</v>
      </c>
      <c r="C820" s="10"/>
      <c r="D820" s="26" t="s">
        <v>330</v>
      </c>
      <c r="E820" s="114">
        <v>32209640</v>
      </c>
      <c r="F820" s="162" t="s">
        <v>331</v>
      </c>
      <c r="G820" s="146" t="s">
        <v>332</v>
      </c>
      <c r="H820" s="72">
        <v>32045004</v>
      </c>
      <c r="I820" s="10" t="s">
        <v>341</v>
      </c>
      <c r="J820" s="6" t="s">
        <v>342</v>
      </c>
      <c r="K820" s="12">
        <v>9</v>
      </c>
      <c r="L820" s="26" t="s">
        <v>330</v>
      </c>
      <c r="M820" s="18" t="s">
        <v>38</v>
      </c>
    </row>
    <row r="821" spans="2:13" ht="15.9" customHeight="1" x14ac:dyDescent="0.3">
      <c r="B821" s="185" t="s">
        <v>263</v>
      </c>
      <c r="C821" s="10"/>
      <c r="D821" s="26" t="s">
        <v>330</v>
      </c>
      <c r="E821" s="114">
        <v>32209640</v>
      </c>
      <c r="F821" s="162" t="s">
        <v>331</v>
      </c>
      <c r="G821" s="146" t="s">
        <v>332</v>
      </c>
      <c r="H821" s="72">
        <v>32137247</v>
      </c>
      <c r="I821" s="10" t="s">
        <v>343</v>
      </c>
      <c r="J821" s="6" t="s">
        <v>344</v>
      </c>
      <c r="K821" s="12">
        <v>9</v>
      </c>
      <c r="L821" s="26" t="s">
        <v>330</v>
      </c>
      <c r="M821" s="18" t="s">
        <v>47</v>
      </c>
    </row>
    <row r="822" spans="2:13" ht="15.9" customHeight="1" x14ac:dyDescent="0.3">
      <c r="B822" s="185" t="s">
        <v>263</v>
      </c>
      <c r="C822" s="10"/>
      <c r="D822" s="26" t="s">
        <v>330</v>
      </c>
      <c r="E822" s="94">
        <v>32209640</v>
      </c>
      <c r="F822" s="166" t="s">
        <v>331</v>
      </c>
      <c r="G822" s="153" t="s">
        <v>332</v>
      </c>
      <c r="H822" s="72">
        <v>32197427</v>
      </c>
      <c r="I822" s="10" t="s">
        <v>345</v>
      </c>
      <c r="J822" s="80" t="s">
        <v>61</v>
      </c>
      <c r="K822" s="12">
        <v>9</v>
      </c>
      <c r="L822" s="26" t="s">
        <v>330</v>
      </c>
      <c r="M822" s="18" t="s">
        <v>179</v>
      </c>
    </row>
    <row r="823" spans="2:13" ht="15.9" customHeight="1" x14ac:dyDescent="0.3">
      <c r="B823" s="185" t="s">
        <v>263</v>
      </c>
      <c r="C823" s="10"/>
      <c r="D823" s="26" t="s">
        <v>330</v>
      </c>
      <c r="E823" s="94">
        <v>32209640</v>
      </c>
      <c r="F823" s="166" t="s">
        <v>331</v>
      </c>
      <c r="G823" s="153" t="s">
        <v>332</v>
      </c>
      <c r="H823" s="72">
        <v>32209189</v>
      </c>
      <c r="I823" s="10" t="s">
        <v>346</v>
      </c>
      <c r="J823" s="6" t="s">
        <v>347</v>
      </c>
      <c r="K823" s="12">
        <v>9</v>
      </c>
      <c r="L823" s="26" t="s">
        <v>330</v>
      </c>
      <c r="M823" s="18" t="s">
        <v>35</v>
      </c>
    </row>
    <row r="824" spans="2:13" ht="15.9" customHeight="1" x14ac:dyDescent="0.3">
      <c r="B824" s="10" t="s">
        <v>263</v>
      </c>
      <c r="C824" s="10"/>
      <c r="D824" s="26" t="s">
        <v>330</v>
      </c>
      <c r="E824" s="95">
        <v>32209640</v>
      </c>
      <c r="F824" s="163" t="s">
        <v>331</v>
      </c>
      <c r="G824" s="146" t="s">
        <v>332</v>
      </c>
      <c r="H824" s="72">
        <v>32045409</v>
      </c>
      <c r="I824" s="10" t="s">
        <v>348</v>
      </c>
      <c r="J824" s="143" t="s">
        <v>349</v>
      </c>
      <c r="K824" s="12">
        <v>9</v>
      </c>
      <c r="L824" s="26" t="s">
        <v>330</v>
      </c>
      <c r="M824" s="18" t="s">
        <v>44</v>
      </c>
    </row>
    <row r="825" spans="2:13" ht="15.9" customHeight="1" x14ac:dyDescent="0.3">
      <c r="B825" s="11" t="s">
        <v>1584</v>
      </c>
      <c r="C825" s="11" t="s">
        <v>1648</v>
      </c>
      <c r="D825" s="12" t="s">
        <v>2361</v>
      </c>
      <c r="E825" s="51">
        <v>32217529</v>
      </c>
      <c r="F825" s="98" t="s">
        <v>2362</v>
      </c>
      <c r="G825" s="150" t="s">
        <v>1651</v>
      </c>
      <c r="H825" s="60">
        <v>32217092</v>
      </c>
      <c r="I825" s="10" t="s">
        <v>2437</v>
      </c>
      <c r="J825" s="6" t="s">
        <v>2718</v>
      </c>
      <c r="K825" s="12">
        <v>10</v>
      </c>
      <c r="L825" s="12" t="s">
        <v>2361</v>
      </c>
      <c r="M825" s="18" t="s">
        <v>1</v>
      </c>
    </row>
    <row r="826" spans="2:13" ht="15.9" customHeight="1" x14ac:dyDescent="0.3">
      <c r="B826" s="19" t="s">
        <v>1584</v>
      </c>
      <c r="C826" s="11" t="s">
        <v>1648</v>
      </c>
      <c r="D826" s="12" t="s">
        <v>2361</v>
      </c>
      <c r="E826" s="113">
        <v>32217529</v>
      </c>
      <c r="F826" s="129" t="s">
        <v>2362</v>
      </c>
      <c r="G826" s="146" t="s">
        <v>1651</v>
      </c>
      <c r="H826" s="60">
        <v>32044587</v>
      </c>
      <c r="I826" s="10" t="s">
        <v>1824</v>
      </c>
      <c r="J826" s="154" t="s">
        <v>2719</v>
      </c>
      <c r="K826" s="12">
        <v>10</v>
      </c>
      <c r="L826" s="12" t="s">
        <v>2361</v>
      </c>
      <c r="M826" s="18" t="s">
        <v>62</v>
      </c>
    </row>
    <row r="827" spans="2:13" ht="15.9" customHeight="1" x14ac:dyDescent="0.3">
      <c r="B827" s="19" t="s">
        <v>1584</v>
      </c>
      <c r="C827" s="11" t="s">
        <v>1648</v>
      </c>
      <c r="D827" s="12" t="s">
        <v>2361</v>
      </c>
      <c r="E827" s="51">
        <v>32217530</v>
      </c>
      <c r="F827" s="98" t="s">
        <v>2362</v>
      </c>
      <c r="G827" s="146" t="s">
        <v>1651</v>
      </c>
      <c r="H827" s="60">
        <v>32044359</v>
      </c>
      <c r="I827" s="10" t="s">
        <v>1666</v>
      </c>
      <c r="J827" s="154" t="s">
        <v>2720</v>
      </c>
      <c r="K827" s="12">
        <v>10</v>
      </c>
      <c r="L827" s="12" t="s">
        <v>2361</v>
      </c>
      <c r="M827" s="18" t="s">
        <v>260</v>
      </c>
    </row>
    <row r="828" spans="2:13" ht="15.9" customHeight="1" x14ac:dyDescent="0.3">
      <c r="B828" s="19" t="s">
        <v>1584</v>
      </c>
      <c r="C828" s="11" t="s">
        <v>1648</v>
      </c>
      <c r="D828" s="12" t="s">
        <v>2361</v>
      </c>
      <c r="E828" s="51">
        <v>32217529</v>
      </c>
      <c r="F828" s="98" t="s">
        <v>2362</v>
      </c>
      <c r="G828" s="146" t="s">
        <v>1651</v>
      </c>
      <c r="H828" s="60">
        <v>32046276</v>
      </c>
      <c r="I828" s="10" t="s">
        <v>1664</v>
      </c>
      <c r="J828" s="6" t="s">
        <v>2721</v>
      </c>
      <c r="K828" s="12">
        <v>10</v>
      </c>
      <c r="L828" s="12" t="s">
        <v>2361</v>
      </c>
      <c r="M828" s="18" t="s">
        <v>44</v>
      </c>
    </row>
    <row r="829" spans="2:13" ht="15.9" customHeight="1" x14ac:dyDescent="0.3">
      <c r="B829" s="19" t="s">
        <v>1584</v>
      </c>
      <c r="C829" s="20" t="s">
        <v>1648</v>
      </c>
      <c r="D829" s="21" t="s">
        <v>2361</v>
      </c>
      <c r="E829" s="51">
        <v>32217529</v>
      </c>
      <c r="F829" s="98" t="s">
        <v>2362</v>
      </c>
      <c r="G829" s="146" t="s">
        <v>1651</v>
      </c>
      <c r="H829" s="61">
        <v>32057882</v>
      </c>
      <c r="I829" s="24" t="s">
        <v>1661</v>
      </c>
      <c r="J829" s="80" t="s">
        <v>61</v>
      </c>
      <c r="K829" s="12">
        <v>10</v>
      </c>
      <c r="L829" s="21" t="s">
        <v>2361</v>
      </c>
      <c r="M829" s="25" t="s">
        <v>1584</v>
      </c>
    </row>
    <row r="830" spans="2:13" ht="15.9" customHeight="1" x14ac:dyDescent="0.3">
      <c r="B830" s="19" t="s">
        <v>1584</v>
      </c>
      <c r="C830" s="11" t="s">
        <v>1648</v>
      </c>
      <c r="D830" s="12" t="s">
        <v>2361</v>
      </c>
      <c r="E830" s="51">
        <v>32217529</v>
      </c>
      <c r="F830" s="50" t="s">
        <v>2362</v>
      </c>
      <c r="G830" s="146" t="s">
        <v>1651</v>
      </c>
      <c r="H830" s="60">
        <v>32045010</v>
      </c>
      <c r="I830" s="10" t="s">
        <v>2438</v>
      </c>
      <c r="J830" s="80" t="s">
        <v>61</v>
      </c>
      <c r="K830" s="12">
        <v>10</v>
      </c>
      <c r="L830" s="12" t="s">
        <v>2361</v>
      </c>
      <c r="M830" s="18" t="s">
        <v>1</v>
      </c>
    </row>
    <row r="831" spans="2:13" ht="15.9" customHeight="1" x14ac:dyDescent="0.3">
      <c r="B831" s="19" t="s">
        <v>1584</v>
      </c>
      <c r="C831" s="11" t="s">
        <v>1648</v>
      </c>
      <c r="D831" s="12" t="s">
        <v>2361</v>
      </c>
      <c r="E831" s="113">
        <v>32217529</v>
      </c>
      <c r="F831" s="129" t="s">
        <v>2362</v>
      </c>
      <c r="G831" s="153" t="s">
        <v>1651</v>
      </c>
      <c r="H831" s="60">
        <v>32046393</v>
      </c>
      <c r="I831" s="10" t="s">
        <v>2439</v>
      </c>
      <c r="J831" s="80" t="s">
        <v>61</v>
      </c>
      <c r="K831" s="12">
        <v>10</v>
      </c>
      <c r="L831" s="12" t="s">
        <v>2361</v>
      </c>
      <c r="M831" s="18" t="s">
        <v>47</v>
      </c>
    </row>
    <row r="832" spans="2:13" ht="15.9" customHeight="1" x14ac:dyDescent="0.3">
      <c r="B832" s="19" t="s">
        <v>1584</v>
      </c>
      <c r="C832" s="11" t="s">
        <v>1648</v>
      </c>
      <c r="D832" s="12" t="s">
        <v>2361</v>
      </c>
      <c r="E832" s="113">
        <v>32217529</v>
      </c>
      <c r="F832" s="129" t="s">
        <v>2362</v>
      </c>
      <c r="G832" s="153" t="s">
        <v>1651</v>
      </c>
      <c r="H832" s="60">
        <v>32061297</v>
      </c>
      <c r="I832" s="10" t="s">
        <v>2440</v>
      </c>
      <c r="J832" s="6" t="s">
        <v>2722</v>
      </c>
      <c r="K832" s="12">
        <v>10</v>
      </c>
      <c r="L832" s="12" t="s">
        <v>2361</v>
      </c>
      <c r="M832" s="18" t="s">
        <v>35</v>
      </c>
    </row>
    <row r="833" spans="2:13" ht="15.9" customHeight="1" x14ac:dyDescent="0.3">
      <c r="B833" s="19" t="s">
        <v>1584</v>
      </c>
      <c r="C833" s="11" t="s">
        <v>1648</v>
      </c>
      <c r="D833" s="12" t="s">
        <v>2361</v>
      </c>
      <c r="E833" s="51">
        <v>32217529</v>
      </c>
      <c r="F833" s="98" t="s">
        <v>2362</v>
      </c>
      <c r="G833" s="147" t="s">
        <v>1651</v>
      </c>
      <c r="H833" s="60">
        <v>32178734</v>
      </c>
      <c r="I833" s="10" t="s">
        <v>2441</v>
      </c>
      <c r="J833" s="154" t="s">
        <v>2723</v>
      </c>
      <c r="K833" s="12">
        <v>10</v>
      </c>
      <c r="L833" s="12" t="s">
        <v>2361</v>
      </c>
      <c r="M833" s="18" t="s">
        <v>260</v>
      </c>
    </row>
    <row r="834" spans="2:13" ht="15.9" customHeight="1" x14ac:dyDescent="0.3">
      <c r="B834" s="11" t="s">
        <v>28</v>
      </c>
      <c r="C834" s="11" t="s">
        <v>83</v>
      </c>
      <c r="D834" s="12" t="s">
        <v>150</v>
      </c>
      <c r="E834" s="126">
        <v>32052750</v>
      </c>
      <c r="F834" s="202" t="s">
        <v>151</v>
      </c>
      <c r="G834" s="146" t="s">
        <v>152</v>
      </c>
      <c r="H834" s="60">
        <v>32132025</v>
      </c>
      <c r="I834" s="10" t="s">
        <v>154</v>
      </c>
      <c r="J834" s="80" t="s">
        <v>61</v>
      </c>
      <c r="K834" s="12">
        <v>6</v>
      </c>
      <c r="L834" s="12" t="s">
        <v>150</v>
      </c>
      <c r="M834" s="18" t="s">
        <v>72</v>
      </c>
    </row>
    <row r="835" spans="2:13" ht="15.9" customHeight="1" x14ac:dyDescent="0.3">
      <c r="B835" s="19" t="s">
        <v>28</v>
      </c>
      <c r="C835" s="11" t="s">
        <v>83</v>
      </c>
      <c r="D835" s="12" t="s">
        <v>150</v>
      </c>
      <c r="E835" s="64">
        <v>32052750</v>
      </c>
      <c r="F835" s="103" t="s">
        <v>151</v>
      </c>
      <c r="G835" s="150" t="s">
        <v>152</v>
      </c>
      <c r="H835" s="60">
        <v>32144777</v>
      </c>
      <c r="I835" s="10" t="s">
        <v>153</v>
      </c>
      <c r="J835" s="143" t="s">
        <v>155</v>
      </c>
      <c r="K835" s="12">
        <v>6</v>
      </c>
      <c r="L835" s="12" t="s">
        <v>150</v>
      </c>
      <c r="M835" s="18" t="s">
        <v>35</v>
      </c>
    </row>
    <row r="836" spans="2:13" ht="15.9" customHeight="1" x14ac:dyDescent="0.3">
      <c r="B836" s="19" t="s">
        <v>28</v>
      </c>
      <c r="C836" s="11" t="s">
        <v>83</v>
      </c>
      <c r="D836" s="12" t="s">
        <v>150</v>
      </c>
      <c r="E836" s="64">
        <v>32052750</v>
      </c>
      <c r="F836" s="103" t="s">
        <v>151</v>
      </c>
      <c r="G836" s="146" t="s">
        <v>152</v>
      </c>
      <c r="H836" s="60">
        <v>32044760</v>
      </c>
      <c r="I836" s="10" t="s">
        <v>156</v>
      </c>
      <c r="J836" s="154" t="s">
        <v>61</v>
      </c>
      <c r="K836" s="12">
        <v>6</v>
      </c>
      <c r="L836" s="12" t="s">
        <v>150</v>
      </c>
      <c r="M836" s="18" t="s">
        <v>44</v>
      </c>
    </row>
    <row r="837" spans="2:13" ht="15.9" customHeight="1" x14ac:dyDescent="0.3">
      <c r="B837" s="19" t="s">
        <v>28</v>
      </c>
      <c r="C837" s="11" t="s">
        <v>83</v>
      </c>
      <c r="D837" s="12" t="s">
        <v>150</v>
      </c>
      <c r="E837" s="125">
        <v>32052750</v>
      </c>
      <c r="F837" s="136" t="s">
        <v>151</v>
      </c>
      <c r="G837" s="146" t="s">
        <v>152</v>
      </c>
      <c r="H837" s="60">
        <v>32197834</v>
      </c>
      <c r="I837" s="10" t="s">
        <v>157</v>
      </c>
      <c r="J837" s="154" t="s">
        <v>158</v>
      </c>
      <c r="K837" s="12">
        <v>6</v>
      </c>
      <c r="L837" s="12" t="s">
        <v>150</v>
      </c>
      <c r="M837" s="18" t="s">
        <v>47</v>
      </c>
    </row>
    <row r="838" spans="2:13" ht="15.9" customHeight="1" x14ac:dyDescent="0.3">
      <c r="B838" s="19" t="s">
        <v>28</v>
      </c>
      <c r="C838" s="11" t="s">
        <v>83</v>
      </c>
      <c r="D838" s="12" t="s">
        <v>150</v>
      </c>
      <c r="E838" s="64">
        <v>32052750</v>
      </c>
      <c r="F838" s="103" t="s">
        <v>151</v>
      </c>
      <c r="G838" s="146" t="s">
        <v>152</v>
      </c>
      <c r="H838" s="60">
        <v>32044751</v>
      </c>
      <c r="I838" s="10" t="s">
        <v>2334</v>
      </c>
      <c r="J838" s="143" t="s">
        <v>160</v>
      </c>
      <c r="K838" s="12">
        <v>6</v>
      </c>
      <c r="L838" s="12" t="s">
        <v>150</v>
      </c>
      <c r="M838" s="18" t="s">
        <v>38</v>
      </c>
    </row>
    <row r="839" spans="2:13" ht="15.9" customHeight="1" x14ac:dyDescent="0.3">
      <c r="B839" s="19" t="s">
        <v>28</v>
      </c>
      <c r="C839" s="11" t="s">
        <v>83</v>
      </c>
      <c r="D839" s="12" t="s">
        <v>150</v>
      </c>
      <c r="E839" s="64">
        <v>32052750</v>
      </c>
      <c r="F839" s="103" t="s">
        <v>151</v>
      </c>
      <c r="G839" s="146" t="s">
        <v>152</v>
      </c>
      <c r="H839" s="60">
        <v>32045149</v>
      </c>
      <c r="I839" s="10" t="s">
        <v>161</v>
      </c>
      <c r="J839" s="143" t="s">
        <v>162</v>
      </c>
      <c r="K839" s="12">
        <v>6</v>
      </c>
      <c r="L839" s="12" t="s">
        <v>150</v>
      </c>
      <c r="M839" s="18" t="s">
        <v>47</v>
      </c>
    </row>
    <row r="840" spans="2:13" ht="15.9" customHeight="1" x14ac:dyDescent="0.3">
      <c r="B840" s="185" t="s">
        <v>263</v>
      </c>
      <c r="C840" s="24"/>
      <c r="D840" s="187" t="s">
        <v>350</v>
      </c>
      <c r="E840" s="68">
        <v>32044983</v>
      </c>
      <c r="F840" s="102" t="s">
        <v>351</v>
      </c>
      <c r="G840" s="146" t="s">
        <v>352</v>
      </c>
      <c r="H840" s="106">
        <v>32148846</v>
      </c>
      <c r="I840" s="24" t="s">
        <v>353</v>
      </c>
      <c r="J840" s="6" t="s">
        <v>354</v>
      </c>
      <c r="K840" s="12">
        <v>5</v>
      </c>
      <c r="L840" s="187" t="s">
        <v>350</v>
      </c>
      <c r="M840" s="25" t="s">
        <v>44</v>
      </c>
    </row>
    <row r="841" spans="2:13" ht="15.9" customHeight="1" x14ac:dyDescent="0.3">
      <c r="B841" s="185" t="s">
        <v>263</v>
      </c>
      <c r="C841" s="10"/>
      <c r="D841" s="26" t="s">
        <v>350</v>
      </c>
      <c r="E841" s="123">
        <v>32044983</v>
      </c>
      <c r="F841" s="196" t="s">
        <v>351</v>
      </c>
      <c r="G841" s="146" t="s">
        <v>352</v>
      </c>
      <c r="H841" s="72">
        <v>32188007</v>
      </c>
      <c r="I841" s="10" t="s">
        <v>355</v>
      </c>
      <c r="J841" s="154" t="s">
        <v>356</v>
      </c>
      <c r="K841" s="12">
        <v>5</v>
      </c>
      <c r="L841" s="26" t="s">
        <v>350</v>
      </c>
      <c r="M841" s="18" t="s">
        <v>38</v>
      </c>
    </row>
    <row r="842" spans="2:13" ht="15.9" customHeight="1" x14ac:dyDescent="0.3">
      <c r="B842" s="185" t="s">
        <v>263</v>
      </c>
      <c r="C842" s="10"/>
      <c r="D842" s="26" t="s">
        <v>350</v>
      </c>
      <c r="E842" s="123">
        <v>32044983</v>
      </c>
      <c r="F842" s="196" t="s">
        <v>351</v>
      </c>
      <c r="G842" s="146" t="s">
        <v>352</v>
      </c>
      <c r="H842" s="72">
        <v>32132055</v>
      </c>
      <c r="I842" s="10" t="s">
        <v>357</v>
      </c>
      <c r="J842" s="6" t="s">
        <v>358</v>
      </c>
      <c r="K842" s="12">
        <v>5</v>
      </c>
      <c r="L842" s="26" t="s">
        <v>350</v>
      </c>
      <c r="M842" s="18" t="s">
        <v>47</v>
      </c>
    </row>
    <row r="843" spans="2:13" ht="15.9" customHeight="1" x14ac:dyDescent="0.3">
      <c r="B843" s="185" t="s">
        <v>263</v>
      </c>
      <c r="C843" s="10"/>
      <c r="D843" s="26" t="s">
        <v>350</v>
      </c>
      <c r="E843" s="68">
        <v>32044983</v>
      </c>
      <c r="F843" s="102" t="s">
        <v>351</v>
      </c>
      <c r="G843" s="147" t="s">
        <v>352</v>
      </c>
      <c r="H843" s="72">
        <v>32132194</v>
      </c>
      <c r="I843" s="10" t="s">
        <v>359</v>
      </c>
      <c r="J843" s="6" t="s">
        <v>360</v>
      </c>
      <c r="K843" s="12">
        <v>5</v>
      </c>
      <c r="L843" s="26" t="s">
        <v>350</v>
      </c>
      <c r="M843" s="18" t="s">
        <v>41</v>
      </c>
    </row>
    <row r="844" spans="2:13" ht="15.9" customHeight="1" x14ac:dyDescent="0.3">
      <c r="B844" s="185" t="s">
        <v>263</v>
      </c>
      <c r="C844" s="10"/>
      <c r="D844" s="26" t="s">
        <v>350</v>
      </c>
      <c r="E844" s="123">
        <v>32044983</v>
      </c>
      <c r="F844" s="196" t="s">
        <v>351</v>
      </c>
      <c r="G844" s="146" t="s">
        <v>352</v>
      </c>
      <c r="H844" s="72">
        <v>32177483</v>
      </c>
      <c r="I844" s="10" t="s">
        <v>361</v>
      </c>
      <c r="J844" s="6" t="s">
        <v>362</v>
      </c>
      <c r="K844" s="12">
        <v>5</v>
      </c>
      <c r="L844" s="26" t="s">
        <v>350</v>
      </c>
      <c r="M844" s="18" t="s">
        <v>35</v>
      </c>
    </row>
    <row r="845" spans="2:13" ht="15.9" customHeight="1" x14ac:dyDescent="0.3">
      <c r="B845" s="19" t="s">
        <v>28</v>
      </c>
      <c r="C845" s="11"/>
      <c r="D845" s="12" t="s">
        <v>164</v>
      </c>
      <c r="E845" s="120">
        <v>32044762</v>
      </c>
      <c r="F845" s="130" t="s">
        <v>2335</v>
      </c>
      <c r="G845" s="150" t="s">
        <v>166</v>
      </c>
      <c r="H845" s="60">
        <v>32045952</v>
      </c>
      <c r="I845" s="10" t="s">
        <v>167</v>
      </c>
      <c r="J845" s="28" t="s">
        <v>168</v>
      </c>
      <c r="K845" s="12">
        <v>12</v>
      </c>
      <c r="L845" s="12" t="s">
        <v>164</v>
      </c>
      <c r="M845" s="50" t="s">
        <v>47</v>
      </c>
    </row>
    <row r="846" spans="2:13" ht="15.9" customHeight="1" x14ac:dyDescent="0.3">
      <c r="B846" s="19" t="s">
        <v>28</v>
      </c>
      <c r="C846" s="11"/>
      <c r="D846" s="12" t="s">
        <v>164</v>
      </c>
      <c r="E846" s="120">
        <v>32044762</v>
      </c>
      <c r="F846" s="130" t="s">
        <v>2335</v>
      </c>
      <c r="G846" s="153" t="s">
        <v>166</v>
      </c>
      <c r="H846" s="60">
        <v>32044478</v>
      </c>
      <c r="I846" s="10" t="s">
        <v>169</v>
      </c>
      <c r="J846" s="143" t="s">
        <v>170</v>
      </c>
      <c r="K846" s="12">
        <v>12</v>
      </c>
      <c r="L846" s="12" t="s">
        <v>164</v>
      </c>
      <c r="M846" s="50" t="s">
        <v>44</v>
      </c>
    </row>
    <row r="847" spans="2:13" ht="15.9" customHeight="1" x14ac:dyDescent="0.3">
      <c r="B847" s="19" t="s">
        <v>28</v>
      </c>
      <c r="C847" s="11"/>
      <c r="D847" s="12" t="s">
        <v>164</v>
      </c>
      <c r="E847" s="120">
        <v>32044762</v>
      </c>
      <c r="F847" s="130" t="s">
        <v>2335</v>
      </c>
      <c r="G847" s="153" t="s">
        <v>166</v>
      </c>
      <c r="H847" s="60">
        <v>32146005</v>
      </c>
      <c r="I847" s="10" t="s">
        <v>171</v>
      </c>
      <c r="J847" s="154" t="s">
        <v>172</v>
      </c>
      <c r="K847" s="12">
        <v>12</v>
      </c>
      <c r="L847" s="12" t="s">
        <v>164</v>
      </c>
      <c r="M847" s="50" t="s">
        <v>41</v>
      </c>
    </row>
    <row r="848" spans="2:13" ht="15.9" customHeight="1" x14ac:dyDescent="0.3">
      <c r="B848" s="11" t="s">
        <v>28</v>
      </c>
      <c r="C848" s="11"/>
      <c r="D848" s="12" t="s">
        <v>164</v>
      </c>
      <c r="E848" s="14">
        <v>32044762</v>
      </c>
      <c r="F848" s="67" t="s">
        <v>2335</v>
      </c>
      <c r="G848" s="146" t="s">
        <v>166</v>
      </c>
      <c r="H848" s="60">
        <v>32219006</v>
      </c>
      <c r="I848" s="10" t="s">
        <v>173</v>
      </c>
      <c r="J848" s="6" t="s">
        <v>174</v>
      </c>
      <c r="K848" s="12">
        <v>12</v>
      </c>
      <c r="L848" s="12" t="s">
        <v>164</v>
      </c>
      <c r="M848" s="50" t="s">
        <v>44</v>
      </c>
    </row>
    <row r="849" spans="2:13" ht="15.9" customHeight="1" x14ac:dyDescent="0.3">
      <c r="B849" s="19" t="s">
        <v>28</v>
      </c>
      <c r="C849" s="11"/>
      <c r="D849" s="12" t="s">
        <v>164</v>
      </c>
      <c r="E849" s="14">
        <v>32044762</v>
      </c>
      <c r="F849" s="67" t="s">
        <v>2335</v>
      </c>
      <c r="G849" s="150" t="s">
        <v>166</v>
      </c>
      <c r="H849" s="60">
        <v>32199794</v>
      </c>
      <c r="I849" s="10" t="s">
        <v>175</v>
      </c>
      <c r="J849" s="6" t="s">
        <v>176</v>
      </c>
      <c r="K849" s="12">
        <v>12</v>
      </c>
      <c r="L849" s="12" t="s">
        <v>164</v>
      </c>
      <c r="M849" s="50" t="s">
        <v>41</v>
      </c>
    </row>
    <row r="850" spans="2:13" ht="15.9" customHeight="1" x14ac:dyDescent="0.3">
      <c r="B850" s="19" t="s">
        <v>28</v>
      </c>
      <c r="C850" s="11"/>
      <c r="D850" s="12" t="s">
        <v>164</v>
      </c>
      <c r="E850" s="14">
        <v>32044762</v>
      </c>
      <c r="F850" s="67" t="s">
        <v>2335</v>
      </c>
      <c r="G850" s="147" t="s">
        <v>166</v>
      </c>
      <c r="H850" s="60">
        <v>32045043</v>
      </c>
      <c r="I850" s="10" t="s">
        <v>177</v>
      </c>
      <c r="J850" s="28" t="s">
        <v>178</v>
      </c>
      <c r="K850" s="12">
        <v>12</v>
      </c>
      <c r="L850" s="12" t="s">
        <v>164</v>
      </c>
      <c r="M850" s="50" t="s">
        <v>179</v>
      </c>
    </row>
    <row r="851" spans="2:13" ht="15.9" customHeight="1" x14ac:dyDescent="0.3">
      <c r="B851" s="19" t="s">
        <v>28</v>
      </c>
      <c r="C851" s="11"/>
      <c r="D851" s="12" t="s">
        <v>164</v>
      </c>
      <c r="E851" s="120">
        <v>32044762</v>
      </c>
      <c r="F851" s="130" t="s">
        <v>2335</v>
      </c>
      <c r="G851" s="146" t="s">
        <v>166</v>
      </c>
      <c r="H851" s="60">
        <v>32045769</v>
      </c>
      <c r="I851" s="10" t="s">
        <v>180</v>
      </c>
      <c r="J851" s="143" t="s">
        <v>181</v>
      </c>
      <c r="K851" s="12">
        <v>12</v>
      </c>
      <c r="L851" s="12" t="s">
        <v>164</v>
      </c>
      <c r="M851" s="50" t="s">
        <v>35</v>
      </c>
    </row>
    <row r="852" spans="2:13" ht="15.9" customHeight="1" x14ac:dyDescent="0.3">
      <c r="B852" s="19" t="s">
        <v>28</v>
      </c>
      <c r="C852" s="11"/>
      <c r="D852" s="12" t="s">
        <v>164</v>
      </c>
      <c r="E852" s="14">
        <v>32044762</v>
      </c>
      <c r="F852" s="67" t="s">
        <v>2335</v>
      </c>
      <c r="G852" s="150" t="s">
        <v>166</v>
      </c>
      <c r="H852" s="60">
        <v>32044789</v>
      </c>
      <c r="I852" s="10" t="s">
        <v>182</v>
      </c>
      <c r="J852" s="6" t="s">
        <v>183</v>
      </c>
      <c r="K852" s="12">
        <v>12</v>
      </c>
      <c r="L852" s="12" t="s">
        <v>164</v>
      </c>
      <c r="M852" s="50" t="s">
        <v>35</v>
      </c>
    </row>
    <row r="853" spans="2:13" ht="15.9" customHeight="1" x14ac:dyDescent="0.3">
      <c r="B853" s="19" t="s">
        <v>28</v>
      </c>
      <c r="C853" s="20"/>
      <c r="D853" s="21" t="s">
        <v>164</v>
      </c>
      <c r="E853" s="14">
        <v>32044762</v>
      </c>
      <c r="F853" s="67" t="s">
        <v>2335</v>
      </c>
      <c r="G853" s="146" t="s">
        <v>166</v>
      </c>
      <c r="H853" s="61">
        <v>32176714</v>
      </c>
      <c r="I853" s="24" t="s">
        <v>184</v>
      </c>
      <c r="J853" s="156" t="s">
        <v>185</v>
      </c>
      <c r="K853" s="12">
        <v>12</v>
      </c>
      <c r="L853" s="21" t="s">
        <v>164</v>
      </c>
      <c r="M853" s="52" t="s">
        <v>47</v>
      </c>
    </row>
    <row r="854" spans="2:13" ht="15.9" customHeight="1" x14ac:dyDescent="0.3">
      <c r="B854" s="19" t="s">
        <v>28</v>
      </c>
      <c r="C854" s="11"/>
      <c r="D854" s="12" t="s">
        <v>164</v>
      </c>
      <c r="E854" s="120">
        <v>32044762</v>
      </c>
      <c r="F854" s="130" t="s">
        <v>2335</v>
      </c>
      <c r="G854" s="146" t="s">
        <v>166</v>
      </c>
      <c r="H854" s="60">
        <v>32044909</v>
      </c>
      <c r="I854" s="10" t="s">
        <v>186</v>
      </c>
      <c r="J854" s="6" t="s">
        <v>187</v>
      </c>
      <c r="K854" s="12">
        <v>12</v>
      </c>
      <c r="L854" s="12" t="s">
        <v>164</v>
      </c>
      <c r="M854" s="50" t="s">
        <v>44</v>
      </c>
    </row>
    <row r="855" spans="2:13" ht="15.9" customHeight="1" x14ac:dyDescent="0.3">
      <c r="B855" s="19" t="s">
        <v>28</v>
      </c>
      <c r="C855" s="11"/>
      <c r="D855" s="12" t="s">
        <v>164</v>
      </c>
      <c r="E855" s="14">
        <v>32044762</v>
      </c>
      <c r="F855" s="67" t="s">
        <v>2335</v>
      </c>
      <c r="G855" s="146" t="s">
        <v>166</v>
      </c>
      <c r="H855" s="60">
        <v>32045106</v>
      </c>
      <c r="I855" s="10" t="s">
        <v>188</v>
      </c>
      <c r="J855" s="143" t="s">
        <v>189</v>
      </c>
      <c r="K855" s="12">
        <v>12</v>
      </c>
      <c r="L855" s="12" t="s">
        <v>164</v>
      </c>
      <c r="M855" s="50" t="s">
        <v>179</v>
      </c>
    </row>
    <row r="856" spans="2:13" ht="15.9" customHeight="1" x14ac:dyDescent="0.3">
      <c r="B856" s="19" t="s">
        <v>28</v>
      </c>
      <c r="C856" s="11"/>
      <c r="D856" s="12" t="s">
        <v>164</v>
      </c>
      <c r="E856" s="120">
        <v>32044762</v>
      </c>
      <c r="F856" s="130" t="s">
        <v>2335</v>
      </c>
      <c r="G856" s="146" t="s">
        <v>166</v>
      </c>
      <c r="H856" s="60">
        <v>32043804</v>
      </c>
      <c r="I856" s="10" t="s">
        <v>192</v>
      </c>
      <c r="J856" s="154" t="s">
        <v>193</v>
      </c>
      <c r="K856" s="12">
        <v>12</v>
      </c>
      <c r="L856" s="12" t="s">
        <v>164</v>
      </c>
      <c r="M856" s="50" t="s">
        <v>38</v>
      </c>
    </row>
    <row r="857" spans="2:13" ht="15.9" customHeight="1" x14ac:dyDescent="0.3">
      <c r="B857" s="19" t="s">
        <v>28</v>
      </c>
      <c r="C857" s="11"/>
      <c r="D857" s="12" t="s">
        <v>164</v>
      </c>
      <c r="E857" s="120">
        <v>32044762</v>
      </c>
      <c r="F857" s="130" t="s">
        <v>2335</v>
      </c>
      <c r="G857" s="146" t="s">
        <v>166</v>
      </c>
      <c r="H857" s="60">
        <v>32173447</v>
      </c>
      <c r="I857" s="10" t="s">
        <v>194</v>
      </c>
      <c r="J857" s="154" t="s">
        <v>195</v>
      </c>
      <c r="K857" s="12">
        <v>12</v>
      </c>
      <c r="L857" s="12" t="s">
        <v>164</v>
      </c>
      <c r="M857" s="50" t="s">
        <v>38</v>
      </c>
    </row>
    <row r="858" spans="2:13" ht="15.9" customHeight="1" x14ac:dyDescent="0.25">
      <c r="B858" s="11" t="s">
        <v>1584</v>
      </c>
      <c r="C858" s="11" t="s">
        <v>1648</v>
      </c>
      <c r="D858" s="12" t="s">
        <v>2363</v>
      </c>
      <c r="E858" s="112">
        <v>32198469</v>
      </c>
      <c r="F858" s="165" t="s">
        <v>1587</v>
      </c>
      <c r="G858" s="151" t="s">
        <v>51</v>
      </c>
      <c r="H858" s="60">
        <v>32046448</v>
      </c>
      <c r="I858" s="10" t="s">
        <v>2332</v>
      </c>
      <c r="J858" s="6" t="s">
        <v>2724</v>
      </c>
      <c r="K858" s="12">
        <v>9</v>
      </c>
      <c r="L858" s="12" t="s">
        <v>2363</v>
      </c>
      <c r="M858" s="18" t="s">
        <v>1</v>
      </c>
    </row>
    <row r="859" spans="2:13" ht="15.9" customHeight="1" x14ac:dyDescent="0.25">
      <c r="B859" s="19" t="s">
        <v>1584</v>
      </c>
      <c r="C859" s="11" t="s">
        <v>1648</v>
      </c>
      <c r="D859" s="12" t="s">
        <v>2363</v>
      </c>
      <c r="E859" s="94">
        <v>32198469</v>
      </c>
      <c r="F859" s="166" t="s">
        <v>1587</v>
      </c>
      <c r="G859" s="152" t="s">
        <v>51</v>
      </c>
      <c r="H859" s="60">
        <v>32178736</v>
      </c>
      <c r="I859" s="10" t="s">
        <v>2442</v>
      </c>
      <c r="J859" s="143" t="s">
        <v>2725</v>
      </c>
      <c r="K859" s="12">
        <v>9</v>
      </c>
      <c r="L859" s="12" t="s">
        <v>2363</v>
      </c>
      <c r="M859" s="18" t="s">
        <v>62</v>
      </c>
    </row>
    <row r="860" spans="2:13" ht="15.9" customHeight="1" x14ac:dyDescent="0.25">
      <c r="B860" s="19" t="s">
        <v>1584</v>
      </c>
      <c r="C860" s="11" t="s">
        <v>1648</v>
      </c>
      <c r="D860" s="12" t="s">
        <v>2363</v>
      </c>
      <c r="E860" s="94">
        <v>32198469</v>
      </c>
      <c r="F860" s="166" t="s">
        <v>1587</v>
      </c>
      <c r="G860" s="149" t="s">
        <v>51</v>
      </c>
      <c r="H860" s="60">
        <v>32045398</v>
      </c>
      <c r="I860" s="10" t="s">
        <v>2443</v>
      </c>
      <c r="J860" s="80" t="s">
        <v>61</v>
      </c>
      <c r="K860" s="12">
        <v>9</v>
      </c>
      <c r="L860" s="12" t="s">
        <v>2363</v>
      </c>
      <c r="M860" s="18" t="s">
        <v>1584</v>
      </c>
    </row>
    <row r="861" spans="2:13" ht="15.9" customHeight="1" x14ac:dyDescent="0.25">
      <c r="B861" s="19" t="s">
        <v>1584</v>
      </c>
      <c r="C861" s="11" t="s">
        <v>1648</v>
      </c>
      <c r="D861" s="12" t="s">
        <v>2363</v>
      </c>
      <c r="E861" s="94">
        <v>32198469</v>
      </c>
      <c r="F861" s="166" t="s">
        <v>1587</v>
      </c>
      <c r="G861" s="148" t="s">
        <v>51</v>
      </c>
      <c r="H861" s="60">
        <v>32044894</v>
      </c>
      <c r="I861" s="10" t="s">
        <v>2444</v>
      </c>
      <c r="J861" s="6" t="s">
        <v>2726</v>
      </c>
      <c r="K861" s="12">
        <v>9</v>
      </c>
      <c r="L861" s="12" t="s">
        <v>2363</v>
      </c>
      <c r="M861" s="18" t="s">
        <v>35</v>
      </c>
    </row>
    <row r="862" spans="2:13" ht="15.9" customHeight="1" x14ac:dyDescent="0.25">
      <c r="B862" s="11" t="s">
        <v>1584</v>
      </c>
      <c r="C862" s="11" t="s">
        <v>1648</v>
      </c>
      <c r="D862" s="12" t="s">
        <v>2363</v>
      </c>
      <c r="E862" s="95">
        <v>32198469</v>
      </c>
      <c r="F862" s="163" t="s">
        <v>1587</v>
      </c>
      <c r="G862" s="152" t="s">
        <v>51</v>
      </c>
      <c r="H862" s="60">
        <v>32046166</v>
      </c>
      <c r="I862" s="10" t="s">
        <v>1653</v>
      </c>
      <c r="J862" s="28" t="s">
        <v>2727</v>
      </c>
      <c r="K862" s="12">
        <v>9</v>
      </c>
      <c r="L862" s="12" t="s">
        <v>2363</v>
      </c>
      <c r="M862" s="18" t="s">
        <v>260</v>
      </c>
    </row>
    <row r="863" spans="2:13" ht="15.9" customHeight="1" x14ac:dyDescent="0.25">
      <c r="B863" s="19" t="s">
        <v>1584</v>
      </c>
      <c r="C863" s="11" t="s">
        <v>1648</v>
      </c>
      <c r="D863" s="12" t="s">
        <v>2363</v>
      </c>
      <c r="E863" s="94">
        <v>32198469</v>
      </c>
      <c r="F863" s="166" t="s">
        <v>1587</v>
      </c>
      <c r="G863" s="151" t="s">
        <v>51</v>
      </c>
      <c r="H863" s="60">
        <v>32136856</v>
      </c>
      <c r="I863" s="10" t="s">
        <v>2445</v>
      </c>
      <c r="J863" s="6" t="s">
        <v>2728</v>
      </c>
      <c r="K863" s="12">
        <v>9</v>
      </c>
      <c r="L863" s="12" t="s">
        <v>2363</v>
      </c>
      <c r="M863" s="18" t="s">
        <v>44</v>
      </c>
    </row>
    <row r="864" spans="2:13" ht="15.9" customHeight="1" x14ac:dyDescent="0.25">
      <c r="B864" s="19" t="s">
        <v>1584</v>
      </c>
      <c r="C864" s="11" t="s">
        <v>1648</v>
      </c>
      <c r="D864" s="12" t="s">
        <v>2363</v>
      </c>
      <c r="E864" s="112">
        <v>32198469</v>
      </c>
      <c r="F864" s="165" t="s">
        <v>1587</v>
      </c>
      <c r="G864" s="152" t="s">
        <v>51</v>
      </c>
      <c r="H864" s="60">
        <v>32057720</v>
      </c>
      <c r="I864" s="10" t="s">
        <v>2446</v>
      </c>
      <c r="J864" s="154" t="s">
        <v>2729</v>
      </c>
      <c r="K864" s="12">
        <v>9</v>
      </c>
      <c r="L864" s="12" t="s">
        <v>2363</v>
      </c>
      <c r="M864" s="18" t="s">
        <v>47</v>
      </c>
    </row>
    <row r="865" spans="2:13" ht="15.9" customHeight="1" x14ac:dyDescent="0.25">
      <c r="B865" s="19" t="s">
        <v>1584</v>
      </c>
      <c r="C865" s="20" t="s">
        <v>1648</v>
      </c>
      <c r="D865" s="21" t="s">
        <v>2363</v>
      </c>
      <c r="E865" s="112">
        <v>32198469</v>
      </c>
      <c r="F865" s="165" t="s">
        <v>1587</v>
      </c>
      <c r="G865" s="152" t="s">
        <v>51</v>
      </c>
      <c r="H865" s="61">
        <v>32046425</v>
      </c>
      <c r="I865" s="24" t="s">
        <v>2447</v>
      </c>
      <c r="J865" s="6" t="s">
        <v>2730</v>
      </c>
      <c r="K865" s="12">
        <v>9</v>
      </c>
      <c r="L865" s="21" t="s">
        <v>2363</v>
      </c>
      <c r="M865" s="25" t="s">
        <v>35</v>
      </c>
    </row>
    <row r="866" spans="2:13" ht="15.9" customHeight="1" x14ac:dyDescent="0.3">
      <c r="B866" s="19" t="s">
        <v>2127</v>
      </c>
      <c r="C866" s="11" t="s">
        <v>2311</v>
      </c>
      <c r="D866" s="12" t="s">
        <v>2312</v>
      </c>
      <c r="E866" s="113">
        <v>32045081</v>
      </c>
      <c r="F866" s="129" t="s">
        <v>2313</v>
      </c>
      <c r="G866" s="147" t="s">
        <v>2731</v>
      </c>
      <c r="H866" s="70">
        <v>32043846</v>
      </c>
      <c r="I866" s="28" t="s">
        <v>2318</v>
      </c>
      <c r="J866" s="6" t="s">
        <v>2732</v>
      </c>
      <c r="K866" s="12">
        <v>5</v>
      </c>
      <c r="L866" s="12" t="s">
        <v>2312</v>
      </c>
      <c r="M866" s="18" t="s">
        <v>1</v>
      </c>
    </row>
    <row r="867" spans="2:13" ht="15.9" customHeight="1" x14ac:dyDescent="0.3">
      <c r="B867" s="19" t="s">
        <v>2127</v>
      </c>
      <c r="C867" s="11" t="s">
        <v>2311</v>
      </c>
      <c r="D867" s="12" t="s">
        <v>2312</v>
      </c>
      <c r="E867" s="113">
        <v>32045081</v>
      </c>
      <c r="F867" s="129" t="s">
        <v>2313</v>
      </c>
      <c r="G867" s="146" t="s">
        <v>2731</v>
      </c>
      <c r="H867" s="70">
        <v>32045048</v>
      </c>
      <c r="I867" s="28" t="s">
        <v>2317</v>
      </c>
      <c r="J867" s="154" t="s">
        <v>2733</v>
      </c>
      <c r="K867" s="12">
        <v>5</v>
      </c>
      <c r="L867" s="12" t="s">
        <v>2312</v>
      </c>
      <c r="M867" s="18" t="s">
        <v>41</v>
      </c>
    </row>
    <row r="868" spans="2:13" ht="15.9" customHeight="1" x14ac:dyDescent="0.3">
      <c r="B868" s="19" t="s">
        <v>2127</v>
      </c>
      <c r="C868" s="11" t="s">
        <v>2311</v>
      </c>
      <c r="D868" s="12" t="s">
        <v>2312</v>
      </c>
      <c r="E868" s="12">
        <v>32045081</v>
      </c>
      <c r="F868" s="50" t="s">
        <v>2313</v>
      </c>
      <c r="G868" s="153" t="s">
        <v>2731</v>
      </c>
      <c r="H868" s="70">
        <v>32044306</v>
      </c>
      <c r="I868" s="28" t="s">
        <v>2314</v>
      </c>
      <c r="J868" s="6" t="s">
        <v>2734</v>
      </c>
      <c r="K868" s="12">
        <v>5</v>
      </c>
      <c r="L868" s="12" t="s">
        <v>2312</v>
      </c>
      <c r="M868" s="18" t="s">
        <v>44</v>
      </c>
    </row>
    <row r="869" spans="2:13" ht="15.9" customHeight="1" x14ac:dyDescent="0.3">
      <c r="B869" s="19" t="s">
        <v>2127</v>
      </c>
      <c r="C869" s="11" t="s">
        <v>2311</v>
      </c>
      <c r="D869" s="12" t="s">
        <v>2312</v>
      </c>
      <c r="E869" s="113">
        <v>32045081</v>
      </c>
      <c r="F869" s="129" t="s">
        <v>2313</v>
      </c>
      <c r="G869" s="146" t="s">
        <v>2731</v>
      </c>
      <c r="H869" s="70">
        <v>32064462</v>
      </c>
      <c r="I869" s="28" t="s">
        <v>2315</v>
      </c>
      <c r="J869" s="6" t="s">
        <v>2735</v>
      </c>
      <c r="K869" s="12">
        <v>5</v>
      </c>
      <c r="L869" s="12" t="s">
        <v>2312</v>
      </c>
      <c r="M869" s="18" t="s">
        <v>179</v>
      </c>
    </row>
    <row r="870" spans="2:13" ht="15.9" customHeight="1" x14ac:dyDescent="0.3">
      <c r="B870" s="11" t="s">
        <v>2127</v>
      </c>
      <c r="C870" s="11" t="s">
        <v>2311</v>
      </c>
      <c r="D870" s="12" t="s">
        <v>2312</v>
      </c>
      <c r="E870" s="12">
        <v>32045081</v>
      </c>
      <c r="F870" s="50" t="s">
        <v>2313</v>
      </c>
      <c r="G870" s="150" t="s">
        <v>2731</v>
      </c>
      <c r="H870" s="70">
        <v>32043837</v>
      </c>
      <c r="I870" s="28" t="s">
        <v>2316</v>
      </c>
      <c r="J870" s="28" t="s">
        <v>2736</v>
      </c>
      <c r="K870" s="12">
        <v>5</v>
      </c>
      <c r="L870" s="12" t="s">
        <v>2312</v>
      </c>
      <c r="M870" s="18" t="s">
        <v>35</v>
      </c>
    </row>
    <row r="871" spans="2:13" ht="15.9" customHeight="1" x14ac:dyDescent="0.3">
      <c r="B871" s="19" t="s">
        <v>2127</v>
      </c>
      <c r="C871" s="10" t="s">
        <v>2128</v>
      </c>
      <c r="D871" s="12" t="s">
        <v>2153</v>
      </c>
      <c r="E871" s="12">
        <v>32055317</v>
      </c>
      <c r="F871" s="50" t="s">
        <v>2154</v>
      </c>
      <c r="G871" s="150" t="s">
        <v>2737</v>
      </c>
      <c r="H871" s="70">
        <v>32044441</v>
      </c>
      <c r="I871" s="28" t="s">
        <v>2156</v>
      </c>
      <c r="J871" s="6" t="s">
        <v>2738</v>
      </c>
      <c r="K871" s="12">
        <v>6</v>
      </c>
      <c r="L871" s="12" t="s">
        <v>2153</v>
      </c>
      <c r="M871" s="47" t="s">
        <v>44</v>
      </c>
    </row>
    <row r="872" spans="2:13" ht="15.9" customHeight="1" x14ac:dyDescent="0.3">
      <c r="B872" s="19" t="s">
        <v>2127</v>
      </c>
      <c r="C872" s="10" t="s">
        <v>2128</v>
      </c>
      <c r="D872" s="12" t="s">
        <v>2153</v>
      </c>
      <c r="E872" s="12">
        <v>32055317</v>
      </c>
      <c r="F872" s="50" t="s">
        <v>2154</v>
      </c>
      <c r="G872" s="146" t="s">
        <v>2737</v>
      </c>
      <c r="H872" s="70">
        <v>32044825</v>
      </c>
      <c r="I872" s="28" t="s">
        <v>2160</v>
      </c>
      <c r="J872" s="6" t="s">
        <v>2739</v>
      </c>
      <c r="K872" s="12">
        <v>6</v>
      </c>
      <c r="L872" s="12" t="s">
        <v>2153</v>
      </c>
      <c r="M872" s="47" t="s">
        <v>41</v>
      </c>
    </row>
    <row r="873" spans="2:13" ht="15.9" customHeight="1" x14ac:dyDescent="0.3">
      <c r="B873" s="19" t="s">
        <v>2127</v>
      </c>
      <c r="C873" s="10" t="s">
        <v>2128</v>
      </c>
      <c r="D873" s="12" t="s">
        <v>2153</v>
      </c>
      <c r="E873" s="12">
        <v>32055317</v>
      </c>
      <c r="F873" s="50" t="s">
        <v>2154</v>
      </c>
      <c r="G873" s="146" t="s">
        <v>2737</v>
      </c>
      <c r="H873" s="70">
        <v>32044065</v>
      </c>
      <c r="I873" s="28" t="s">
        <v>2161</v>
      </c>
      <c r="J873" s="154" t="s">
        <v>2740</v>
      </c>
      <c r="K873" s="12">
        <v>6</v>
      </c>
      <c r="L873" s="12" t="s">
        <v>2153</v>
      </c>
      <c r="M873" s="47" t="s">
        <v>47</v>
      </c>
    </row>
    <row r="874" spans="2:13" ht="15.9" customHeight="1" x14ac:dyDescent="0.3">
      <c r="B874" s="19" t="s">
        <v>2127</v>
      </c>
      <c r="C874" s="10" t="s">
        <v>2128</v>
      </c>
      <c r="D874" s="12" t="s">
        <v>2153</v>
      </c>
      <c r="E874" s="12">
        <v>32055317</v>
      </c>
      <c r="F874" s="50" t="s">
        <v>2154</v>
      </c>
      <c r="G874" s="146" t="s">
        <v>2737</v>
      </c>
      <c r="H874" s="70">
        <v>32044526</v>
      </c>
      <c r="I874" s="28" t="s">
        <v>2155</v>
      </c>
      <c r="J874" s="154" t="s">
        <v>2741</v>
      </c>
      <c r="K874" s="12">
        <v>6</v>
      </c>
      <c r="L874" s="12" t="s">
        <v>2153</v>
      </c>
      <c r="M874" s="47" t="s">
        <v>179</v>
      </c>
    </row>
    <row r="875" spans="2:13" ht="15.9" customHeight="1" x14ac:dyDescent="0.3">
      <c r="B875" s="19" t="s">
        <v>2127</v>
      </c>
      <c r="C875" s="10" t="s">
        <v>2128</v>
      </c>
      <c r="D875" s="12" t="s">
        <v>2153</v>
      </c>
      <c r="E875" s="12">
        <v>32055317</v>
      </c>
      <c r="F875" s="50" t="s">
        <v>2154</v>
      </c>
      <c r="G875" s="146" t="s">
        <v>2737</v>
      </c>
      <c r="H875" s="70">
        <v>32044223</v>
      </c>
      <c r="I875" s="28" t="s">
        <v>2159</v>
      </c>
      <c r="J875" s="154" t="s">
        <v>2742</v>
      </c>
      <c r="K875" s="12">
        <v>6</v>
      </c>
      <c r="L875" s="12" t="s">
        <v>2153</v>
      </c>
      <c r="M875" s="47" t="s">
        <v>1</v>
      </c>
    </row>
    <row r="876" spans="2:13" ht="15.9" customHeight="1" x14ac:dyDescent="0.3">
      <c r="B876" s="19" t="s">
        <v>2127</v>
      </c>
      <c r="C876" s="10" t="s">
        <v>2128</v>
      </c>
      <c r="D876" s="12" t="s">
        <v>2153</v>
      </c>
      <c r="E876" s="113">
        <v>32055317</v>
      </c>
      <c r="F876" s="129" t="s">
        <v>2154</v>
      </c>
      <c r="G876" s="146" t="s">
        <v>2737</v>
      </c>
      <c r="H876" s="70">
        <v>32149469</v>
      </c>
      <c r="I876" s="28" t="s">
        <v>2158</v>
      </c>
      <c r="J876" s="6" t="s">
        <v>2743</v>
      </c>
      <c r="K876" s="12">
        <v>6</v>
      </c>
      <c r="L876" s="12" t="s">
        <v>2153</v>
      </c>
      <c r="M876" s="47" t="s">
        <v>35</v>
      </c>
    </row>
    <row r="877" spans="2:13" ht="15.9" customHeight="1" x14ac:dyDescent="0.3">
      <c r="B877" s="19" t="s">
        <v>1584</v>
      </c>
      <c r="C877" s="11" t="s">
        <v>1671</v>
      </c>
      <c r="D877" s="12" t="s">
        <v>1672</v>
      </c>
      <c r="E877" s="113">
        <v>32174892</v>
      </c>
      <c r="F877" s="129" t="s">
        <v>1673</v>
      </c>
      <c r="G877" s="146" t="s">
        <v>1674</v>
      </c>
      <c r="H877" s="60">
        <v>32046210</v>
      </c>
      <c r="I877" s="10" t="s">
        <v>1675</v>
      </c>
      <c r="J877" s="143" t="s">
        <v>1676</v>
      </c>
      <c r="K877" s="12">
        <v>6</v>
      </c>
      <c r="L877" s="10" t="s">
        <v>1677</v>
      </c>
      <c r="M877" s="18"/>
    </row>
    <row r="878" spans="2:13" ht="15.9" customHeight="1" x14ac:dyDescent="0.3">
      <c r="B878" s="19" t="s">
        <v>1584</v>
      </c>
      <c r="C878" s="11" t="s">
        <v>1671</v>
      </c>
      <c r="D878" s="12" t="s">
        <v>1672</v>
      </c>
      <c r="E878" s="113">
        <v>32174892</v>
      </c>
      <c r="F878" s="129" t="s">
        <v>1673</v>
      </c>
      <c r="G878" s="146" t="s">
        <v>1674</v>
      </c>
      <c r="H878" s="60">
        <v>32044876</v>
      </c>
      <c r="I878" s="10" t="s">
        <v>1678</v>
      </c>
      <c r="J878" s="6" t="s">
        <v>1679</v>
      </c>
      <c r="K878" s="12">
        <v>6</v>
      </c>
      <c r="L878" s="10" t="s">
        <v>1677</v>
      </c>
      <c r="M878" s="18" t="s">
        <v>217</v>
      </c>
    </row>
    <row r="879" spans="2:13" ht="15.9" customHeight="1" x14ac:dyDescent="0.3">
      <c r="B879" s="19" t="s">
        <v>1584</v>
      </c>
      <c r="C879" s="11" t="s">
        <v>1671</v>
      </c>
      <c r="D879" s="21" t="s">
        <v>1672</v>
      </c>
      <c r="E879" s="113">
        <v>32174892</v>
      </c>
      <c r="F879" s="129" t="s">
        <v>1673</v>
      </c>
      <c r="G879" s="146" t="s">
        <v>1674</v>
      </c>
      <c r="H879" s="61">
        <v>32045800</v>
      </c>
      <c r="I879" s="24" t="s">
        <v>1680</v>
      </c>
      <c r="J879" s="143" t="s">
        <v>1681</v>
      </c>
      <c r="K879" s="12">
        <v>6</v>
      </c>
      <c r="L879" s="24" t="s">
        <v>1677</v>
      </c>
      <c r="M879" s="25" t="s">
        <v>260</v>
      </c>
    </row>
    <row r="880" spans="2:13" ht="15.9" customHeight="1" x14ac:dyDescent="0.3">
      <c r="B880" s="19" t="s">
        <v>1584</v>
      </c>
      <c r="C880" s="11" t="s">
        <v>1671</v>
      </c>
      <c r="D880" s="12" t="s">
        <v>1672</v>
      </c>
      <c r="E880" s="12">
        <v>32174892</v>
      </c>
      <c r="F880" s="50" t="s">
        <v>1673</v>
      </c>
      <c r="G880" s="146" t="s">
        <v>1674</v>
      </c>
      <c r="H880" s="60">
        <v>32045381</v>
      </c>
      <c r="I880" s="10" t="s">
        <v>1682</v>
      </c>
      <c r="J880" s="28" t="s">
        <v>1683</v>
      </c>
      <c r="K880" s="12">
        <v>6</v>
      </c>
      <c r="L880" s="10" t="s">
        <v>1677</v>
      </c>
      <c r="M880" s="18" t="s">
        <v>1684</v>
      </c>
    </row>
    <row r="881" spans="2:13" ht="15.9" customHeight="1" x14ac:dyDescent="0.3">
      <c r="B881" s="19" t="s">
        <v>1584</v>
      </c>
      <c r="C881" s="11" t="s">
        <v>1671</v>
      </c>
      <c r="D881" s="12" t="s">
        <v>1672</v>
      </c>
      <c r="E881" s="12">
        <v>32174892</v>
      </c>
      <c r="F881" s="98" t="s">
        <v>1673</v>
      </c>
      <c r="G881" s="146" t="s">
        <v>1674</v>
      </c>
      <c r="H881" s="60">
        <v>32045992</v>
      </c>
      <c r="I881" s="10" t="s">
        <v>1685</v>
      </c>
      <c r="J881" s="6" t="s">
        <v>1686</v>
      </c>
      <c r="K881" s="12">
        <v>6</v>
      </c>
      <c r="L881" s="10" t="s">
        <v>1677</v>
      </c>
      <c r="M881" s="18" t="s">
        <v>44</v>
      </c>
    </row>
    <row r="882" spans="2:13" ht="15.9" customHeight="1" x14ac:dyDescent="0.3">
      <c r="B882" s="19" t="s">
        <v>1584</v>
      </c>
      <c r="C882" s="11" t="s">
        <v>1671</v>
      </c>
      <c r="D882" s="12" t="s">
        <v>1672</v>
      </c>
      <c r="E882" s="12">
        <v>32174892</v>
      </c>
      <c r="F882" s="98" t="s">
        <v>1673</v>
      </c>
      <c r="G882" s="146" t="s">
        <v>1674</v>
      </c>
      <c r="H882" s="60">
        <v>32229412</v>
      </c>
      <c r="I882" s="10" t="s">
        <v>1687</v>
      </c>
      <c r="J882" s="143" t="s">
        <v>1688</v>
      </c>
      <c r="K882" s="12">
        <v>6</v>
      </c>
      <c r="L882" s="10" t="s">
        <v>1677</v>
      </c>
      <c r="M882" s="18" t="s">
        <v>1610</v>
      </c>
    </row>
    <row r="883" spans="2:13" ht="15.9" customHeight="1" x14ac:dyDescent="0.25">
      <c r="B883" s="19" t="s">
        <v>1584</v>
      </c>
      <c r="C883" s="11" t="s">
        <v>1648</v>
      </c>
      <c r="D883" s="12" t="s">
        <v>1689</v>
      </c>
      <c r="E883" s="113">
        <v>32217868</v>
      </c>
      <c r="F883" s="129" t="s">
        <v>1690</v>
      </c>
      <c r="G883" s="152" t="s">
        <v>51</v>
      </c>
      <c r="H883" s="60">
        <v>32045671</v>
      </c>
      <c r="I883" s="10" t="s">
        <v>2448</v>
      </c>
      <c r="J883" s="6" t="s">
        <v>2744</v>
      </c>
      <c r="K883" s="12">
        <v>14</v>
      </c>
      <c r="L883" s="12" t="s">
        <v>1689</v>
      </c>
      <c r="M883" s="18" t="s">
        <v>1584</v>
      </c>
    </row>
    <row r="884" spans="2:13" ht="15.9" customHeight="1" x14ac:dyDescent="0.25">
      <c r="B884" s="19" t="s">
        <v>1584</v>
      </c>
      <c r="C884" s="11" t="s">
        <v>1648</v>
      </c>
      <c r="D884" s="12" t="s">
        <v>1689</v>
      </c>
      <c r="E884" s="12">
        <v>32217868</v>
      </c>
      <c r="F884" s="98" t="s">
        <v>1690</v>
      </c>
      <c r="G884" s="152" t="s">
        <v>51</v>
      </c>
      <c r="H884" s="60">
        <v>32064019</v>
      </c>
      <c r="I884" s="10" t="s">
        <v>2449</v>
      </c>
      <c r="J884" s="80" t="s">
        <v>61</v>
      </c>
      <c r="K884" s="12">
        <v>14</v>
      </c>
      <c r="L884" s="12" t="s">
        <v>1689</v>
      </c>
      <c r="M884" s="18" t="s">
        <v>260</v>
      </c>
    </row>
    <row r="885" spans="2:13" ht="15.9" customHeight="1" x14ac:dyDescent="0.25">
      <c r="B885" s="19" t="s">
        <v>1584</v>
      </c>
      <c r="C885" s="11" t="s">
        <v>1648</v>
      </c>
      <c r="D885" s="12" t="s">
        <v>1689</v>
      </c>
      <c r="E885" s="12">
        <v>32217868</v>
      </c>
      <c r="F885" s="50" t="s">
        <v>1690</v>
      </c>
      <c r="G885" s="152" t="s">
        <v>51</v>
      </c>
      <c r="H885" s="60">
        <v>32187874</v>
      </c>
      <c r="I885" s="10" t="s">
        <v>1696</v>
      </c>
      <c r="J885" s="143" t="s">
        <v>2745</v>
      </c>
      <c r="K885" s="12">
        <v>14</v>
      </c>
      <c r="L885" s="12" t="s">
        <v>1689</v>
      </c>
      <c r="M885" s="18" t="s">
        <v>62</v>
      </c>
    </row>
    <row r="886" spans="2:13" ht="15.9" customHeight="1" x14ac:dyDescent="0.25">
      <c r="B886" s="19" t="s">
        <v>1584</v>
      </c>
      <c r="C886" s="11" t="s">
        <v>1648</v>
      </c>
      <c r="D886" s="12" t="s">
        <v>1689</v>
      </c>
      <c r="E886" s="12">
        <v>32217868</v>
      </c>
      <c r="F886" s="50" t="s">
        <v>1690</v>
      </c>
      <c r="G886" s="152" t="s">
        <v>51</v>
      </c>
      <c r="H886" s="60">
        <v>32044576</v>
      </c>
      <c r="I886" s="10" t="s">
        <v>1655</v>
      </c>
      <c r="J886" s="143" t="s">
        <v>2746</v>
      </c>
      <c r="K886" s="12">
        <v>14</v>
      </c>
      <c r="L886" s="12" t="s">
        <v>1689</v>
      </c>
      <c r="M886" s="18" t="s">
        <v>1</v>
      </c>
    </row>
    <row r="887" spans="2:13" ht="15.9" customHeight="1" x14ac:dyDescent="0.25">
      <c r="B887" s="19" t="s">
        <v>1584</v>
      </c>
      <c r="C887" s="11" t="s">
        <v>1648</v>
      </c>
      <c r="D887" s="12" t="s">
        <v>1689</v>
      </c>
      <c r="E887" s="12">
        <v>32217868</v>
      </c>
      <c r="F887" s="50" t="s">
        <v>1690</v>
      </c>
      <c r="G887" s="148" t="s">
        <v>51</v>
      </c>
      <c r="H887" s="60">
        <v>32178738</v>
      </c>
      <c r="I887" s="10" t="s">
        <v>2450</v>
      </c>
      <c r="J887" s="6" t="s">
        <v>2747</v>
      </c>
      <c r="K887" s="12">
        <v>14</v>
      </c>
      <c r="L887" s="12" t="s">
        <v>1689</v>
      </c>
      <c r="M887" s="18" t="s">
        <v>44</v>
      </c>
    </row>
    <row r="888" spans="2:13" ht="15.9" customHeight="1" x14ac:dyDescent="0.25">
      <c r="B888" s="19" t="s">
        <v>1584</v>
      </c>
      <c r="C888" s="11" t="s">
        <v>1648</v>
      </c>
      <c r="D888" s="12" t="s">
        <v>1689</v>
      </c>
      <c r="E888" s="12">
        <v>32217868</v>
      </c>
      <c r="F888" s="50" t="s">
        <v>1690</v>
      </c>
      <c r="G888" s="152" t="s">
        <v>51</v>
      </c>
      <c r="H888" s="60">
        <v>32045005</v>
      </c>
      <c r="I888" s="10" t="s">
        <v>1691</v>
      </c>
      <c r="J888" s="6" t="s">
        <v>2748</v>
      </c>
      <c r="K888" s="12">
        <v>14</v>
      </c>
      <c r="L888" s="12" t="s">
        <v>1689</v>
      </c>
      <c r="M888" s="18" t="s">
        <v>62</v>
      </c>
    </row>
    <row r="889" spans="2:13" ht="15.9" customHeight="1" x14ac:dyDescent="0.25">
      <c r="B889" s="19" t="s">
        <v>1584</v>
      </c>
      <c r="C889" s="20" t="s">
        <v>1697</v>
      </c>
      <c r="D889" s="21" t="s">
        <v>1689</v>
      </c>
      <c r="E889" s="12">
        <v>32217868</v>
      </c>
      <c r="F889" s="52" t="s">
        <v>1690</v>
      </c>
      <c r="G889" s="151" t="s">
        <v>51</v>
      </c>
      <c r="H889" s="61">
        <v>32045088</v>
      </c>
      <c r="I889" s="24" t="s">
        <v>2451</v>
      </c>
      <c r="J889" s="6" t="s">
        <v>2749</v>
      </c>
      <c r="K889" s="12">
        <v>14</v>
      </c>
      <c r="L889" s="21" t="s">
        <v>1689</v>
      </c>
      <c r="M889" s="25" t="s">
        <v>44</v>
      </c>
    </row>
    <row r="890" spans="2:13" ht="15.9" customHeight="1" x14ac:dyDescent="0.25">
      <c r="B890" s="11" t="s">
        <v>1584</v>
      </c>
      <c r="C890" s="11" t="s">
        <v>1697</v>
      </c>
      <c r="D890" s="12" t="s">
        <v>1689</v>
      </c>
      <c r="E890" s="12">
        <v>32217868</v>
      </c>
      <c r="F890" s="50" t="s">
        <v>1690</v>
      </c>
      <c r="G890" s="152" t="s">
        <v>51</v>
      </c>
      <c r="H890" s="60">
        <v>32045252</v>
      </c>
      <c r="I890" s="10" t="s">
        <v>2452</v>
      </c>
      <c r="J890" s="143" t="s">
        <v>2750</v>
      </c>
      <c r="K890" s="12">
        <v>14</v>
      </c>
      <c r="L890" s="12" t="s">
        <v>1689</v>
      </c>
      <c r="M890" s="18" t="s">
        <v>44</v>
      </c>
    </row>
    <row r="891" spans="2:13" ht="15.9" customHeight="1" x14ac:dyDescent="0.25">
      <c r="B891" s="11" t="s">
        <v>1584</v>
      </c>
      <c r="C891" s="11" t="s">
        <v>1648</v>
      </c>
      <c r="D891" s="12" t="s">
        <v>1689</v>
      </c>
      <c r="E891" s="110">
        <v>32217868</v>
      </c>
      <c r="F891" s="131" t="s">
        <v>1690</v>
      </c>
      <c r="G891" s="152" t="s">
        <v>51</v>
      </c>
      <c r="H891" s="60">
        <v>32046444</v>
      </c>
      <c r="I891" s="10" t="s">
        <v>2453</v>
      </c>
      <c r="J891" s="6" t="s">
        <v>2751</v>
      </c>
      <c r="K891" s="12">
        <v>14</v>
      </c>
      <c r="L891" s="12" t="s">
        <v>1689</v>
      </c>
      <c r="M891" s="18" t="s">
        <v>35</v>
      </c>
    </row>
    <row r="892" spans="2:13" ht="15.9" customHeight="1" x14ac:dyDescent="0.25">
      <c r="B892" s="19" t="s">
        <v>1584</v>
      </c>
      <c r="C892" s="11" t="s">
        <v>1648</v>
      </c>
      <c r="D892" s="12" t="s">
        <v>1689</v>
      </c>
      <c r="E892" s="113">
        <v>32217868</v>
      </c>
      <c r="F892" s="129" t="s">
        <v>1690</v>
      </c>
      <c r="G892" s="152" t="s">
        <v>51</v>
      </c>
      <c r="H892" s="60">
        <v>32046191</v>
      </c>
      <c r="I892" s="10" t="s">
        <v>2454</v>
      </c>
      <c r="J892" s="154" t="s">
        <v>2752</v>
      </c>
      <c r="K892" s="12">
        <v>14</v>
      </c>
      <c r="L892" s="12" t="s">
        <v>1689</v>
      </c>
      <c r="M892" s="18" t="s">
        <v>260</v>
      </c>
    </row>
    <row r="893" spans="2:13" ht="15.9" customHeight="1" x14ac:dyDescent="0.25">
      <c r="B893" s="19" t="s">
        <v>1584</v>
      </c>
      <c r="C893" s="11" t="s">
        <v>1648</v>
      </c>
      <c r="D893" s="12" t="s">
        <v>1689</v>
      </c>
      <c r="E893" s="12">
        <v>32217868</v>
      </c>
      <c r="F893" s="50" t="s">
        <v>1690</v>
      </c>
      <c r="G893" s="148" t="s">
        <v>51</v>
      </c>
      <c r="H893" s="60">
        <v>32187877</v>
      </c>
      <c r="I893" s="10" t="s">
        <v>2455</v>
      </c>
      <c r="J893" s="154" t="s">
        <v>2753</v>
      </c>
      <c r="K893" s="12">
        <v>14</v>
      </c>
      <c r="L893" s="12" t="s">
        <v>1689</v>
      </c>
      <c r="M893" s="18" t="s">
        <v>47</v>
      </c>
    </row>
    <row r="894" spans="2:13" ht="15.9" customHeight="1" x14ac:dyDescent="0.25">
      <c r="B894" s="11" t="s">
        <v>1584</v>
      </c>
      <c r="C894" s="11" t="s">
        <v>1697</v>
      </c>
      <c r="D894" s="12" t="s">
        <v>1689</v>
      </c>
      <c r="E894" s="110">
        <v>32217868</v>
      </c>
      <c r="F894" s="131" t="s">
        <v>1690</v>
      </c>
      <c r="G894" s="152" t="s">
        <v>51</v>
      </c>
      <c r="H894" s="60">
        <v>32180379</v>
      </c>
      <c r="I894" s="10" t="s">
        <v>2456</v>
      </c>
      <c r="J894" s="6" t="s">
        <v>2754</v>
      </c>
      <c r="K894" s="12">
        <v>14</v>
      </c>
      <c r="L894" s="12" t="s">
        <v>1689</v>
      </c>
      <c r="M894" s="18" t="s">
        <v>35</v>
      </c>
    </row>
    <row r="895" spans="2:13" ht="15.9" customHeight="1" x14ac:dyDescent="0.25">
      <c r="B895" s="19" t="s">
        <v>1584</v>
      </c>
      <c r="C895" s="11" t="s">
        <v>1697</v>
      </c>
      <c r="D895" s="12" t="s">
        <v>1689</v>
      </c>
      <c r="E895" s="12">
        <v>32217868</v>
      </c>
      <c r="F895" s="50" t="s">
        <v>1690</v>
      </c>
      <c r="G895" s="149" t="s">
        <v>51</v>
      </c>
      <c r="H895" s="60">
        <v>32046180</v>
      </c>
      <c r="I895" s="10" t="s">
        <v>2457</v>
      </c>
      <c r="J895" s="154" t="s">
        <v>2755</v>
      </c>
      <c r="K895" s="12">
        <v>14</v>
      </c>
      <c r="L895" s="12" t="s">
        <v>1689</v>
      </c>
      <c r="M895" s="18" t="s">
        <v>47</v>
      </c>
    </row>
    <row r="896" spans="2:13" ht="15.9" customHeight="1" x14ac:dyDescent="0.25">
      <c r="B896" s="11" t="s">
        <v>1584</v>
      </c>
      <c r="C896" s="11" t="s">
        <v>1648</v>
      </c>
      <c r="D896" s="12" t="s">
        <v>1689</v>
      </c>
      <c r="E896" s="12">
        <v>32217868</v>
      </c>
      <c r="F896" s="50" t="s">
        <v>1690</v>
      </c>
      <c r="G896" s="152" t="s">
        <v>51</v>
      </c>
      <c r="H896" s="60">
        <v>32178732</v>
      </c>
      <c r="I896" s="10" t="s">
        <v>2458</v>
      </c>
      <c r="J896" s="6" t="s">
        <v>2756</v>
      </c>
      <c r="K896" s="12">
        <v>14</v>
      </c>
      <c r="L896" s="12" t="s">
        <v>1689</v>
      </c>
      <c r="M896" s="18" t="s">
        <v>44</v>
      </c>
    </row>
    <row r="897" spans="2:13" ht="15.9" customHeight="1" x14ac:dyDescent="0.25">
      <c r="B897" s="19" t="s">
        <v>1584</v>
      </c>
      <c r="C897" s="11" t="s">
        <v>1614</v>
      </c>
      <c r="D897" s="12" t="s">
        <v>1701</v>
      </c>
      <c r="E897" s="112">
        <v>32178853</v>
      </c>
      <c r="F897" s="165" t="s">
        <v>1702</v>
      </c>
      <c r="G897" s="152" t="s">
        <v>51</v>
      </c>
      <c r="H897" s="60">
        <v>32096550</v>
      </c>
      <c r="I897" s="10" t="s">
        <v>1720</v>
      </c>
      <c r="J897" s="143" t="s">
        <v>2757</v>
      </c>
      <c r="K897" s="12">
        <v>20</v>
      </c>
      <c r="L897" s="12" t="s">
        <v>1701</v>
      </c>
      <c r="M897" s="18" t="s">
        <v>62</v>
      </c>
    </row>
    <row r="898" spans="2:13" ht="15.9" customHeight="1" x14ac:dyDescent="0.25">
      <c r="B898" s="19" t="s">
        <v>1584</v>
      </c>
      <c r="C898" s="11" t="s">
        <v>1614</v>
      </c>
      <c r="D898" s="12" t="s">
        <v>1701</v>
      </c>
      <c r="E898" s="112">
        <v>32178853</v>
      </c>
      <c r="F898" s="165" t="s">
        <v>1702</v>
      </c>
      <c r="G898" s="152" t="s">
        <v>51</v>
      </c>
      <c r="H898" s="60">
        <v>32046470</v>
      </c>
      <c r="I898" s="10" t="s">
        <v>1719</v>
      </c>
      <c r="J898" s="143" t="s">
        <v>2758</v>
      </c>
      <c r="K898" s="12">
        <v>20</v>
      </c>
      <c r="L898" s="12" t="s">
        <v>1701</v>
      </c>
      <c r="M898" s="18" t="s">
        <v>260</v>
      </c>
    </row>
    <row r="899" spans="2:13" ht="15.9" customHeight="1" x14ac:dyDescent="0.25">
      <c r="B899" s="19" t="s">
        <v>1584</v>
      </c>
      <c r="C899" s="11" t="s">
        <v>1614</v>
      </c>
      <c r="D899" s="12" t="s">
        <v>1701</v>
      </c>
      <c r="E899" s="112">
        <v>32178853</v>
      </c>
      <c r="F899" s="165" t="s">
        <v>1702</v>
      </c>
      <c r="G899" s="152" t="s">
        <v>51</v>
      </c>
      <c r="H899" s="60">
        <v>32055315</v>
      </c>
      <c r="I899" s="10" t="s">
        <v>1718</v>
      </c>
      <c r="J899" s="6" t="s">
        <v>2759</v>
      </c>
      <c r="K899" s="12">
        <v>20</v>
      </c>
      <c r="L899" s="12" t="s">
        <v>1701</v>
      </c>
      <c r="M899" s="18" t="s">
        <v>1</v>
      </c>
    </row>
    <row r="900" spans="2:13" ht="15.9" customHeight="1" x14ac:dyDescent="0.25">
      <c r="B900" s="19" t="s">
        <v>1584</v>
      </c>
      <c r="C900" s="11" t="s">
        <v>1614</v>
      </c>
      <c r="D900" s="12" t="s">
        <v>1701</v>
      </c>
      <c r="E900" s="112">
        <v>32178853</v>
      </c>
      <c r="F900" s="165" t="s">
        <v>1702</v>
      </c>
      <c r="G900" s="152" t="s">
        <v>51</v>
      </c>
      <c r="H900" s="60">
        <v>32045661</v>
      </c>
      <c r="I900" s="10" t="s">
        <v>1716</v>
      </c>
      <c r="J900" s="6" t="s">
        <v>2760</v>
      </c>
      <c r="K900" s="12">
        <v>20</v>
      </c>
      <c r="L900" s="12" t="s">
        <v>1701</v>
      </c>
      <c r="M900" s="18" t="s">
        <v>62</v>
      </c>
    </row>
    <row r="901" spans="2:13" ht="15.9" customHeight="1" x14ac:dyDescent="0.25">
      <c r="B901" s="19" t="s">
        <v>1584</v>
      </c>
      <c r="C901" s="20" t="s">
        <v>1614</v>
      </c>
      <c r="D901" s="21" t="s">
        <v>1701</v>
      </c>
      <c r="E901" s="94">
        <v>32178853</v>
      </c>
      <c r="F901" s="166" t="s">
        <v>1702</v>
      </c>
      <c r="G901" s="152" t="s">
        <v>51</v>
      </c>
      <c r="H901" s="61">
        <v>32044139</v>
      </c>
      <c r="I901" s="24" t="s">
        <v>1714</v>
      </c>
      <c r="J901" s="6" t="s">
        <v>2761</v>
      </c>
      <c r="K901" s="12">
        <v>20</v>
      </c>
      <c r="L901" s="21" t="s">
        <v>1701</v>
      </c>
      <c r="M901" s="25" t="s">
        <v>260</v>
      </c>
    </row>
    <row r="902" spans="2:13" ht="15.9" customHeight="1" x14ac:dyDescent="0.25">
      <c r="B902" s="19" t="s">
        <v>1584</v>
      </c>
      <c r="C902" s="11" t="s">
        <v>1614</v>
      </c>
      <c r="D902" s="12" t="s">
        <v>1701</v>
      </c>
      <c r="E902" s="94">
        <v>32178853</v>
      </c>
      <c r="F902" s="166" t="s">
        <v>1702</v>
      </c>
      <c r="G902" s="152" t="s">
        <v>51</v>
      </c>
      <c r="H902" s="60">
        <v>32056896</v>
      </c>
      <c r="I902" s="10" t="s">
        <v>1713</v>
      </c>
      <c r="J902" s="6" t="s">
        <v>2762</v>
      </c>
      <c r="K902" s="12">
        <v>20</v>
      </c>
      <c r="L902" s="12" t="s">
        <v>1701</v>
      </c>
      <c r="M902" s="18" t="s">
        <v>44</v>
      </c>
    </row>
    <row r="903" spans="2:13" ht="15.9" customHeight="1" x14ac:dyDescent="0.25">
      <c r="B903" s="19" t="s">
        <v>1584</v>
      </c>
      <c r="C903" s="11" t="s">
        <v>1614</v>
      </c>
      <c r="D903" s="12" t="s">
        <v>1701</v>
      </c>
      <c r="E903" s="94">
        <v>32178853</v>
      </c>
      <c r="F903" s="166" t="s">
        <v>1702</v>
      </c>
      <c r="G903" s="152" t="s">
        <v>51</v>
      </c>
      <c r="H903" s="60">
        <v>32136861</v>
      </c>
      <c r="I903" s="10" t="s">
        <v>1711</v>
      </c>
      <c r="J903" s="6" t="s">
        <v>2763</v>
      </c>
      <c r="K903" s="12">
        <v>20</v>
      </c>
      <c r="L903" s="12" t="s">
        <v>1701</v>
      </c>
      <c r="M903" s="18" t="s">
        <v>44</v>
      </c>
    </row>
    <row r="904" spans="2:13" ht="15.9" customHeight="1" x14ac:dyDescent="0.25">
      <c r="B904" s="11" t="s">
        <v>1584</v>
      </c>
      <c r="C904" s="11" t="s">
        <v>1614</v>
      </c>
      <c r="D904" s="12" t="s">
        <v>1701</v>
      </c>
      <c r="E904" s="95">
        <v>32178853</v>
      </c>
      <c r="F904" s="163" t="s">
        <v>1702</v>
      </c>
      <c r="G904" s="149" t="s">
        <v>51</v>
      </c>
      <c r="H904" s="60">
        <v>32043937</v>
      </c>
      <c r="I904" s="10" t="s">
        <v>1709</v>
      </c>
      <c r="J904" s="143" t="s">
        <v>2764</v>
      </c>
      <c r="K904" s="12">
        <v>20</v>
      </c>
      <c r="L904" s="12" t="s">
        <v>1701</v>
      </c>
      <c r="M904" s="18" t="s">
        <v>47</v>
      </c>
    </row>
    <row r="905" spans="2:13" ht="15.9" customHeight="1" x14ac:dyDescent="0.25">
      <c r="B905" s="11" t="s">
        <v>1584</v>
      </c>
      <c r="C905" s="11" t="s">
        <v>1614</v>
      </c>
      <c r="D905" s="12" t="s">
        <v>1701</v>
      </c>
      <c r="E905" s="112">
        <v>32178853</v>
      </c>
      <c r="F905" s="165" t="s">
        <v>1702</v>
      </c>
      <c r="G905" s="152" t="s">
        <v>51</v>
      </c>
      <c r="H905" s="60">
        <v>32136857</v>
      </c>
      <c r="I905" s="10" t="s">
        <v>1707</v>
      </c>
      <c r="J905" s="6" t="s">
        <v>2765</v>
      </c>
      <c r="K905" s="12">
        <v>20</v>
      </c>
      <c r="L905" s="12" t="s">
        <v>1701</v>
      </c>
      <c r="M905" s="18" t="s">
        <v>62</v>
      </c>
    </row>
    <row r="906" spans="2:13" ht="15.9" customHeight="1" x14ac:dyDescent="0.25">
      <c r="B906" s="19" t="s">
        <v>1584</v>
      </c>
      <c r="C906" s="11" t="s">
        <v>1614</v>
      </c>
      <c r="D906" s="12" t="s">
        <v>1701</v>
      </c>
      <c r="E906" s="112">
        <v>32178853</v>
      </c>
      <c r="F906" s="165" t="s">
        <v>1702</v>
      </c>
      <c r="G906" s="152" t="s">
        <v>51</v>
      </c>
      <c r="H906" s="60">
        <v>32046576</v>
      </c>
      <c r="I906" s="10" t="s">
        <v>2459</v>
      </c>
      <c r="J906" s="6" t="s">
        <v>2766</v>
      </c>
      <c r="K906" s="12">
        <v>20</v>
      </c>
      <c r="L906" s="12" t="s">
        <v>1701</v>
      </c>
      <c r="M906" s="18" t="s">
        <v>35</v>
      </c>
    </row>
    <row r="907" spans="2:13" ht="15.9" customHeight="1" x14ac:dyDescent="0.25">
      <c r="B907" s="19" t="s">
        <v>1584</v>
      </c>
      <c r="C907" s="11" t="s">
        <v>1614</v>
      </c>
      <c r="D907" s="12" t="s">
        <v>1701</v>
      </c>
      <c r="E907" s="112">
        <v>32178853</v>
      </c>
      <c r="F907" s="165" t="s">
        <v>1702</v>
      </c>
      <c r="G907" s="152" t="s">
        <v>51</v>
      </c>
      <c r="H907" s="60">
        <v>32187879</v>
      </c>
      <c r="I907" s="10" t="s">
        <v>2460</v>
      </c>
      <c r="J907" s="6" t="s">
        <v>2767</v>
      </c>
      <c r="K907" s="12">
        <v>20</v>
      </c>
      <c r="L907" s="12" t="s">
        <v>1701</v>
      </c>
      <c r="M907" s="18" t="s">
        <v>260</v>
      </c>
    </row>
    <row r="908" spans="2:13" ht="15.9" customHeight="1" x14ac:dyDescent="0.25">
      <c r="B908" s="11" t="s">
        <v>1584</v>
      </c>
      <c r="C908" s="11" t="s">
        <v>1614</v>
      </c>
      <c r="D908" s="12" t="s">
        <v>1701</v>
      </c>
      <c r="E908" s="95">
        <v>32178853</v>
      </c>
      <c r="F908" s="163" t="s">
        <v>1702</v>
      </c>
      <c r="G908" s="152" t="s">
        <v>51</v>
      </c>
      <c r="H908" s="71">
        <v>32060913</v>
      </c>
      <c r="I908" s="54" t="s">
        <v>2461</v>
      </c>
      <c r="J908" s="155" t="s">
        <v>2768</v>
      </c>
      <c r="K908" s="12">
        <v>20</v>
      </c>
      <c r="L908" s="12" t="s">
        <v>1701</v>
      </c>
      <c r="M908" s="18" t="s">
        <v>260</v>
      </c>
    </row>
    <row r="909" spans="2:13" ht="15.9" customHeight="1" x14ac:dyDescent="0.25">
      <c r="B909" s="19" t="s">
        <v>1584</v>
      </c>
      <c r="C909" s="11" t="s">
        <v>1614</v>
      </c>
      <c r="D909" s="12" t="s">
        <v>1701</v>
      </c>
      <c r="E909" s="94">
        <v>32178853</v>
      </c>
      <c r="F909" s="166" t="s">
        <v>1702</v>
      </c>
      <c r="G909" s="152" t="s">
        <v>51</v>
      </c>
      <c r="H909" s="71">
        <v>32178730</v>
      </c>
      <c r="I909" s="54" t="s">
        <v>2462</v>
      </c>
      <c r="J909" s="6" t="s">
        <v>2769</v>
      </c>
      <c r="K909" s="12">
        <v>20</v>
      </c>
      <c r="L909" s="12" t="s">
        <v>1701</v>
      </c>
      <c r="M909" s="18" t="s">
        <v>1</v>
      </c>
    </row>
    <row r="910" spans="2:13" ht="15.9" customHeight="1" x14ac:dyDescent="0.25">
      <c r="B910" s="19" t="s">
        <v>1584</v>
      </c>
      <c r="C910" s="11" t="s">
        <v>1614</v>
      </c>
      <c r="D910" s="12" t="s">
        <v>1701</v>
      </c>
      <c r="E910" s="94">
        <v>32178853</v>
      </c>
      <c r="F910" s="166" t="s">
        <v>1702</v>
      </c>
      <c r="G910" s="152" t="s">
        <v>51</v>
      </c>
      <c r="H910" s="60">
        <v>32044691</v>
      </c>
      <c r="I910" s="10" t="s">
        <v>2463</v>
      </c>
      <c r="J910" s="6" t="s">
        <v>2770</v>
      </c>
      <c r="K910" s="12">
        <v>20</v>
      </c>
      <c r="L910" s="12" t="s">
        <v>1701</v>
      </c>
      <c r="M910" s="18" t="s">
        <v>44</v>
      </c>
    </row>
    <row r="911" spans="2:13" ht="15.9" customHeight="1" x14ac:dyDescent="0.25">
      <c r="B911" s="19" t="s">
        <v>1584</v>
      </c>
      <c r="C911" s="11" t="s">
        <v>1614</v>
      </c>
      <c r="D911" s="12" t="s">
        <v>1701</v>
      </c>
      <c r="E911" s="94">
        <v>32178853</v>
      </c>
      <c r="F911" s="166" t="s">
        <v>1702</v>
      </c>
      <c r="G911" s="152" t="s">
        <v>51</v>
      </c>
      <c r="H911" s="60">
        <v>32046040</v>
      </c>
      <c r="I911" s="10" t="s">
        <v>2464</v>
      </c>
      <c r="J911" s="6" t="s">
        <v>2771</v>
      </c>
      <c r="K911" s="12">
        <v>20</v>
      </c>
      <c r="L911" s="12" t="s">
        <v>1701</v>
      </c>
      <c r="M911" s="18" t="s">
        <v>1584</v>
      </c>
    </row>
    <row r="912" spans="2:13" ht="15.9" customHeight="1" x14ac:dyDescent="0.25">
      <c r="B912" s="19" t="s">
        <v>1584</v>
      </c>
      <c r="C912" s="11" t="s">
        <v>1614</v>
      </c>
      <c r="D912" s="12" t="s">
        <v>1701</v>
      </c>
      <c r="E912" s="112">
        <v>32178853</v>
      </c>
      <c r="F912" s="165" t="s">
        <v>1702</v>
      </c>
      <c r="G912" s="152" t="s">
        <v>51</v>
      </c>
      <c r="H912" s="60">
        <v>32043912</v>
      </c>
      <c r="I912" s="10" t="s">
        <v>2465</v>
      </c>
      <c r="J912" s="6" t="s">
        <v>2772</v>
      </c>
      <c r="K912" s="12">
        <v>20</v>
      </c>
      <c r="L912" s="12" t="s">
        <v>1701</v>
      </c>
      <c r="M912" s="18" t="s">
        <v>1584</v>
      </c>
    </row>
    <row r="913" spans="2:13" ht="15.9" customHeight="1" x14ac:dyDescent="0.25">
      <c r="B913" s="19" t="s">
        <v>1584</v>
      </c>
      <c r="C913" s="11" t="s">
        <v>1614</v>
      </c>
      <c r="D913" s="12" t="s">
        <v>1701</v>
      </c>
      <c r="E913" s="112">
        <v>32178853</v>
      </c>
      <c r="F913" s="165" t="s">
        <v>1702</v>
      </c>
      <c r="G913" s="152" t="s">
        <v>51</v>
      </c>
      <c r="H913" s="60">
        <v>32044690</v>
      </c>
      <c r="I913" s="10" t="s">
        <v>2466</v>
      </c>
      <c r="J913" s="28" t="s">
        <v>2773</v>
      </c>
      <c r="K913" s="12">
        <v>20</v>
      </c>
      <c r="L913" s="12" t="s">
        <v>1701</v>
      </c>
      <c r="M913" s="18" t="s">
        <v>35</v>
      </c>
    </row>
    <row r="914" spans="2:13" ht="15.9" customHeight="1" x14ac:dyDescent="0.25">
      <c r="B914" s="19" t="s">
        <v>1584</v>
      </c>
      <c r="C914" s="11" t="s">
        <v>1614</v>
      </c>
      <c r="D914" s="12" t="s">
        <v>1701</v>
      </c>
      <c r="E914" s="112">
        <v>32178853</v>
      </c>
      <c r="F914" s="165" t="s">
        <v>1702</v>
      </c>
      <c r="G914" s="148" t="s">
        <v>51</v>
      </c>
      <c r="H914" s="60">
        <v>32056674</v>
      </c>
      <c r="I914" s="10" t="s">
        <v>2467</v>
      </c>
      <c r="J914" s="6" t="s">
        <v>2774</v>
      </c>
      <c r="K914" s="12">
        <v>20</v>
      </c>
      <c r="L914" s="12" t="s">
        <v>1701</v>
      </c>
      <c r="M914" s="18" t="s">
        <v>47</v>
      </c>
    </row>
    <row r="915" spans="2:13" ht="15.9" customHeight="1" x14ac:dyDescent="0.25">
      <c r="B915" s="19" t="s">
        <v>1584</v>
      </c>
      <c r="C915" s="11" t="s">
        <v>1614</v>
      </c>
      <c r="D915" s="21" t="s">
        <v>1701</v>
      </c>
      <c r="E915" s="112">
        <v>32178853</v>
      </c>
      <c r="F915" s="167" t="s">
        <v>1702</v>
      </c>
      <c r="G915" s="148" t="s">
        <v>51</v>
      </c>
      <c r="H915" s="61">
        <v>32044785</v>
      </c>
      <c r="I915" s="10" t="s">
        <v>2468</v>
      </c>
      <c r="J915" s="6" t="s">
        <v>2775</v>
      </c>
      <c r="K915" s="12">
        <v>20</v>
      </c>
      <c r="L915" s="21" t="s">
        <v>1701</v>
      </c>
      <c r="M915" s="25" t="s">
        <v>260</v>
      </c>
    </row>
    <row r="916" spans="2:13" ht="15.9" customHeight="1" x14ac:dyDescent="0.3">
      <c r="B916" s="17" t="s">
        <v>1584</v>
      </c>
      <c r="C916" s="11" t="s">
        <v>1721</v>
      </c>
      <c r="D916" s="12" t="s">
        <v>1722</v>
      </c>
      <c r="E916" s="12">
        <v>32045834</v>
      </c>
      <c r="F916" s="50" t="s">
        <v>1723</v>
      </c>
      <c r="G916" s="146" t="s">
        <v>1724</v>
      </c>
      <c r="H916" s="60">
        <v>32044254</v>
      </c>
      <c r="I916" s="10" t="s">
        <v>1725</v>
      </c>
      <c r="J916" s="154" t="s">
        <v>1726</v>
      </c>
      <c r="K916" s="12">
        <v>7</v>
      </c>
      <c r="L916" s="12" t="s">
        <v>1722</v>
      </c>
      <c r="M916" s="18" t="s">
        <v>1</v>
      </c>
    </row>
    <row r="917" spans="2:13" ht="15.9" customHeight="1" x14ac:dyDescent="0.3">
      <c r="B917" s="175" t="s">
        <v>1584</v>
      </c>
      <c r="C917" s="11" t="s">
        <v>1721</v>
      </c>
      <c r="D917" s="12" t="s">
        <v>1722</v>
      </c>
      <c r="E917" s="12">
        <v>32045834</v>
      </c>
      <c r="F917" s="50" t="s">
        <v>1723</v>
      </c>
      <c r="G917" s="150" t="s">
        <v>1724</v>
      </c>
      <c r="H917" s="60">
        <v>32045834</v>
      </c>
      <c r="I917" s="10" t="s">
        <v>1723</v>
      </c>
      <c r="J917" s="6" t="s">
        <v>1724</v>
      </c>
      <c r="K917" s="12">
        <v>7</v>
      </c>
      <c r="L917" s="12" t="s">
        <v>1722</v>
      </c>
      <c r="M917" s="18" t="s">
        <v>62</v>
      </c>
    </row>
    <row r="918" spans="2:13" ht="15.9" customHeight="1" x14ac:dyDescent="0.3">
      <c r="B918" s="19" t="s">
        <v>1584</v>
      </c>
      <c r="C918" s="11" t="s">
        <v>1721</v>
      </c>
      <c r="D918" s="12" t="s">
        <v>1722</v>
      </c>
      <c r="E918" s="12">
        <v>32045834</v>
      </c>
      <c r="F918" s="50" t="s">
        <v>1723</v>
      </c>
      <c r="G918" s="146" t="s">
        <v>1724</v>
      </c>
      <c r="H918" s="60">
        <v>32045689</v>
      </c>
      <c r="I918" s="10" t="s">
        <v>1727</v>
      </c>
      <c r="J918" s="6" t="s">
        <v>1728</v>
      </c>
      <c r="K918" s="12">
        <v>7</v>
      </c>
      <c r="L918" s="12" t="s">
        <v>1722</v>
      </c>
      <c r="M918" s="18" t="s">
        <v>1584</v>
      </c>
    </row>
    <row r="919" spans="2:13" ht="15.9" customHeight="1" x14ac:dyDescent="0.3">
      <c r="B919" s="19" t="s">
        <v>1584</v>
      </c>
      <c r="C919" s="11" t="s">
        <v>1721</v>
      </c>
      <c r="D919" s="12" t="s">
        <v>1722</v>
      </c>
      <c r="E919" s="113">
        <v>32045834</v>
      </c>
      <c r="F919" s="129" t="s">
        <v>1723</v>
      </c>
      <c r="G919" s="146" t="s">
        <v>1724</v>
      </c>
      <c r="H919" s="60">
        <v>32044362</v>
      </c>
      <c r="I919" s="10" t="s">
        <v>1729</v>
      </c>
      <c r="J919" s="6" t="s">
        <v>1730</v>
      </c>
      <c r="K919" s="12">
        <v>7</v>
      </c>
      <c r="L919" s="12" t="s">
        <v>1722</v>
      </c>
      <c r="M919" s="18" t="s">
        <v>44</v>
      </c>
    </row>
    <row r="920" spans="2:13" ht="15.9" customHeight="1" x14ac:dyDescent="0.3">
      <c r="B920" s="19" t="s">
        <v>1584</v>
      </c>
      <c r="C920" s="11" t="s">
        <v>1721</v>
      </c>
      <c r="D920" s="12" t="s">
        <v>1722</v>
      </c>
      <c r="E920" s="12">
        <v>32045834</v>
      </c>
      <c r="F920" s="50" t="s">
        <v>1723</v>
      </c>
      <c r="G920" s="2" t="s">
        <v>1724</v>
      </c>
      <c r="H920" s="60">
        <v>32044024</v>
      </c>
      <c r="I920" s="10" t="s">
        <v>1731</v>
      </c>
      <c r="J920" s="154" t="s">
        <v>1732</v>
      </c>
      <c r="K920" s="12">
        <v>7</v>
      </c>
      <c r="L920" s="12" t="s">
        <v>1722</v>
      </c>
      <c r="M920" s="18" t="s">
        <v>35</v>
      </c>
    </row>
    <row r="921" spans="2:13" ht="15.9" customHeight="1" x14ac:dyDescent="0.3">
      <c r="B921" s="19" t="s">
        <v>1584</v>
      </c>
      <c r="C921" s="11" t="s">
        <v>1721</v>
      </c>
      <c r="D921" s="12" t="s">
        <v>1722</v>
      </c>
      <c r="E921" s="12">
        <v>32045834</v>
      </c>
      <c r="F921" s="50" t="s">
        <v>1723</v>
      </c>
      <c r="G921" s="146" t="s">
        <v>1724</v>
      </c>
      <c r="H921" s="60">
        <v>32044013</v>
      </c>
      <c r="I921" s="10" t="s">
        <v>2336</v>
      </c>
      <c r="J921" s="154" t="s">
        <v>2337</v>
      </c>
      <c r="K921" s="12">
        <v>7</v>
      </c>
      <c r="L921" s="12" t="s">
        <v>1722</v>
      </c>
      <c r="M921" s="18" t="s">
        <v>47</v>
      </c>
    </row>
    <row r="922" spans="2:13" ht="15.9" customHeight="1" x14ac:dyDescent="0.3">
      <c r="B922" s="19" t="s">
        <v>1584</v>
      </c>
      <c r="C922" s="11" t="s">
        <v>1721</v>
      </c>
      <c r="D922" s="12" t="s">
        <v>1722</v>
      </c>
      <c r="E922" s="113">
        <v>32045834</v>
      </c>
      <c r="F922" s="129" t="s">
        <v>1723</v>
      </c>
      <c r="G922" s="146" t="s">
        <v>1724</v>
      </c>
      <c r="H922" s="60">
        <v>32057497</v>
      </c>
      <c r="I922" s="10" t="s">
        <v>1733</v>
      </c>
      <c r="J922" s="6" t="s">
        <v>1734</v>
      </c>
      <c r="K922" s="12">
        <v>7</v>
      </c>
      <c r="L922" s="12" t="s">
        <v>1722</v>
      </c>
      <c r="M922" s="18" t="s">
        <v>260</v>
      </c>
    </row>
    <row r="923" spans="2:13" ht="15.9" customHeight="1" x14ac:dyDescent="0.3">
      <c r="B923" s="19" t="s">
        <v>2127</v>
      </c>
      <c r="C923" s="11" t="s">
        <v>2182</v>
      </c>
      <c r="D923" s="12" t="s">
        <v>2195</v>
      </c>
      <c r="E923" s="12">
        <v>32149977</v>
      </c>
      <c r="F923" s="50" t="s">
        <v>2196</v>
      </c>
      <c r="G923" s="2" t="s">
        <v>2776</v>
      </c>
      <c r="H923" s="70">
        <v>32043647</v>
      </c>
      <c r="I923" s="39" t="s">
        <v>2198</v>
      </c>
      <c r="J923" s="6" t="s">
        <v>2777</v>
      </c>
      <c r="K923" s="12">
        <v>7</v>
      </c>
      <c r="L923" s="12" t="s">
        <v>2195</v>
      </c>
      <c r="M923" s="47" t="s">
        <v>179</v>
      </c>
    </row>
    <row r="924" spans="2:13" ht="15.9" customHeight="1" x14ac:dyDescent="0.3">
      <c r="B924" s="19" t="s">
        <v>2127</v>
      </c>
      <c r="C924" s="11" t="s">
        <v>2182</v>
      </c>
      <c r="D924" s="12" t="s">
        <v>2195</v>
      </c>
      <c r="E924" s="12">
        <v>32149977</v>
      </c>
      <c r="F924" s="50" t="s">
        <v>2196</v>
      </c>
      <c r="G924" s="146" t="s">
        <v>2776</v>
      </c>
      <c r="H924" s="70">
        <v>32045015</v>
      </c>
      <c r="I924" s="39" t="s">
        <v>2199</v>
      </c>
      <c r="J924" s="154" t="s">
        <v>2778</v>
      </c>
      <c r="K924" s="12">
        <v>7</v>
      </c>
      <c r="L924" s="12" t="s">
        <v>2195</v>
      </c>
      <c r="M924" s="47" t="s">
        <v>44</v>
      </c>
    </row>
    <row r="925" spans="2:13" ht="15.9" customHeight="1" x14ac:dyDescent="0.3">
      <c r="B925" s="19" t="s">
        <v>2127</v>
      </c>
      <c r="C925" s="11" t="s">
        <v>2182</v>
      </c>
      <c r="D925" s="12" t="s">
        <v>2195</v>
      </c>
      <c r="E925" s="113">
        <v>32149977</v>
      </c>
      <c r="F925" s="129" t="s">
        <v>2196</v>
      </c>
      <c r="G925" s="146" t="s">
        <v>2776</v>
      </c>
      <c r="H925" s="70">
        <v>32043723</v>
      </c>
      <c r="I925" s="39" t="s">
        <v>2197</v>
      </c>
      <c r="J925" s="6" t="s">
        <v>2779</v>
      </c>
      <c r="K925" s="12">
        <v>7</v>
      </c>
      <c r="L925" s="12" t="s">
        <v>2195</v>
      </c>
      <c r="M925" s="47" t="s">
        <v>1</v>
      </c>
    </row>
    <row r="926" spans="2:13" ht="15.9" customHeight="1" x14ac:dyDescent="0.3">
      <c r="B926" s="19" t="s">
        <v>2127</v>
      </c>
      <c r="C926" s="11" t="s">
        <v>2182</v>
      </c>
      <c r="D926" s="12" t="s">
        <v>2195</v>
      </c>
      <c r="E926" s="12">
        <v>32149977</v>
      </c>
      <c r="F926" s="50" t="s">
        <v>2196</v>
      </c>
      <c r="G926" s="146" t="s">
        <v>2776</v>
      </c>
      <c r="H926" s="74">
        <v>32045901</v>
      </c>
      <c r="I926" s="39" t="s">
        <v>2201</v>
      </c>
      <c r="J926" s="6" t="s">
        <v>2780</v>
      </c>
      <c r="K926" s="12">
        <v>7</v>
      </c>
      <c r="L926" s="12" t="s">
        <v>2195</v>
      </c>
      <c r="M926" s="47" t="s">
        <v>41</v>
      </c>
    </row>
    <row r="927" spans="2:13" ht="15.9" customHeight="1" x14ac:dyDescent="0.3">
      <c r="B927" s="19" t="s">
        <v>2127</v>
      </c>
      <c r="C927" s="11" t="s">
        <v>2182</v>
      </c>
      <c r="D927" s="12" t="s">
        <v>2195</v>
      </c>
      <c r="E927" s="113">
        <v>32149977</v>
      </c>
      <c r="F927" s="129" t="s">
        <v>2196</v>
      </c>
      <c r="G927" s="146" t="s">
        <v>2776</v>
      </c>
      <c r="H927" s="74">
        <v>32044396</v>
      </c>
      <c r="I927" s="39" t="s">
        <v>2200</v>
      </c>
      <c r="J927" s="6" t="s">
        <v>2781</v>
      </c>
      <c r="K927" s="12">
        <v>7</v>
      </c>
      <c r="L927" s="12" t="s">
        <v>2195</v>
      </c>
      <c r="M927" s="47" t="s">
        <v>35</v>
      </c>
    </row>
    <row r="928" spans="2:13" ht="15.9" customHeight="1" x14ac:dyDescent="0.3">
      <c r="B928" s="19" t="s">
        <v>2127</v>
      </c>
      <c r="C928" s="11" t="s">
        <v>2182</v>
      </c>
      <c r="D928" s="12" t="s">
        <v>2195</v>
      </c>
      <c r="E928" s="113">
        <v>32149977</v>
      </c>
      <c r="F928" s="129" t="s">
        <v>2196</v>
      </c>
      <c r="G928" s="146" t="s">
        <v>2776</v>
      </c>
      <c r="H928" s="70">
        <v>32045045</v>
      </c>
      <c r="I928" s="28" t="s">
        <v>2208</v>
      </c>
      <c r="J928" s="6" t="s">
        <v>2782</v>
      </c>
      <c r="K928" s="12">
        <v>7</v>
      </c>
      <c r="L928" s="12" t="s">
        <v>2195</v>
      </c>
      <c r="M928" s="47" t="s">
        <v>511</v>
      </c>
    </row>
    <row r="929" spans="2:13" ht="15.9" customHeight="1" x14ac:dyDescent="0.3">
      <c r="B929" s="19" t="s">
        <v>2127</v>
      </c>
      <c r="C929" s="11" t="s">
        <v>2182</v>
      </c>
      <c r="D929" s="12" t="s">
        <v>2195</v>
      </c>
      <c r="E929" s="113">
        <v>32149977</v>
      </c>
      <c r="F929" s="129" t="s">
        <v>2196</v>
      </c>
      <c r="G929" s="146" t="s">
        <v>2776</v>
      </c>
      <c r="H929" s="70">
        <v>32044984</v>
      </c>
      <c r="I929" s="28" t="s">
        <v>2207</v>
      </c>
      <c r="J929" s="143" t="s">
        <v>61</v>
      </c>
      <c r="K929" s="12">
        <v>7</v>
      </c>
      <c r="L929" s="12" t="s">
        <v>2195</v>
      </c>
      <c r="M929" s="47" t="s">
        <v>481</v>
      </c>
    </row>
    <row r="930" spans="2:13" ht="15.9" customHeight="1" x14ac:dyDescent="0.3">
      <c r="B930" s="19" t="s">
        <v>2127</v>
      </c>
      <c r="C930" s="11" t="s">
        <v>2235</v>
      </c>
      <c r="D930" s="12" t="s">
        <v>2243</v>
      </c>
      <c r="E930" s="12">
        <v>32145055</v>
      </c>
      <c r="F930" s="50" t="s">
        <v>2244</v>
      </c>
      <c r="G930" s="146" t="s">
        <v>2621</v>
      </c>
      <c r="H930" s="74">
        <v>32043790</v>
      </c>
      <c r="I930" s="28" t="s">
        <v>2246</v>
      </c>
      <c r="J930" s="154" t="s">
        <v>2783</v>
      </c>
      <c r="K930" s="12">
        <v>5</v>
      </c>
      <c r="L930" s="12" t="s">
        <v>2243</v>
      </c>
      <c r="M930" s="18" t="s">
        <v>35</v>
      </c>
    </row>
    <row r="931" spans="2:13" ht="15.9" customHeight="1" x14ac:dyDescent="0.3">
      <c r="B931" s="19" t="s">
        <v>2127</v>
      </c>
      <c r="C931" s="11" t="s">
        <v>2235</v>
      </c>
      <c r="D931" s="12" t="s">
        <v>2243</v>
      </c>
      <c r="E931" s="12">
        <v>32145055</v>
      </c>
      <c r="F931" s="50" t="s">
        <v>2244</v>
      </c>
      <c r="G931" s="146" t="s">
        <v>2621</v>
      </c>
      <c r="H931" s="74">
        <v>32044976</v>
      </c>
      <c r="I931" s="28" t="s">
        <v>2247</v>
      </c>
      <c r="J931" s="6" t="s">
        <v>2784</v>
      </c>
      <c r="K931" s="12">
        <v>5</v>
      </c>
      <c r="L931" s="12" t="s">
        <v>2243</v>
      </c>
      <c r="M931" s="18" t="s">
        <v>47</v>
      </c>
    </row>
    <row r="932" spans="2:13" ht="15.9" customHeight="1" x14ac:dyDescent="0.3">
      <c r="B932" s="19" t="s">
        <v>2127</v>
      </c>
      <c r="C932" s="11" t="s">
        <v>2235</v>
      </c>
      <c r="D932" s="12" t="s">
        <v>2243</v>
      </c>
      <c r="E932" s="12">
        <v>32145055</v>
      </c>
      <c r="F932" s="50" t="s">
        <v>2244</v>
      </c>
      <c r="G932" s="146" t="s">
        <v>2621</v>
      </c>
      <c r="H932" s="74">
        <v>32064464</v>
      </c>
      <c r="I932" s="28" t="s">
        <v>2245</v>
      </c>
      <c r="J932" s="6" t="s">
        <v>2785</v>
      </c>
      <c r="K932" s="12">
        <v>5</v>
      </c>
      <c r="L932" s="12" t="s">
        <v>2243</v>
      </c>
      <c r="M932" s="18" t="s">
        <v>41</v>
      </c>
    </row>
    <row r="933" spans="2:13" ht="15.9" customHeight="1" x14ac:dyDescent="0.3">
      <c r="B933" s="19" t="s">
        <v>2127</v>
      </c>
      <c r="C933" s="11" t="s">
        <v>2235</v>
      </c>
      <c r="D933" s="12" t="s">
        <v>2243</v>
      </c>
      <c r="E933" s="12">
        <v>32145055</v>
      </c>
      <c r="F933" s="50" t="s">
        <v>2244</v>
      </c>
      <c r="G933" s="146" t="s">
        <v>2621</v>
      </c>
      <c r="H933" s="74">
        <v>32045337</v>
      </c>
      <c r="I933" s="28" t="s">
        <v>2260</v>
      </c>
      <c r="J933" s="154" t="s">
        <v>2786</v>
      </c>
      <c r="K933" s="12">
        <v>5</v>
      </c>
      <c r="L933" s="12" t="s">
        <v>2243</v>
      </c>
      <c r="M933" s="18" t="s">
        <v>44</v>
      </c>
    </row>
    <row r="934" spans="2:13" ht="15.9" customHeight="1" x14ac:dyDescent="0.3">
      <c r="B934" s="19" t="s">
        <v>2127</v>
      </c>
      <c r="C934" s="11" t="s">
        <v>2235</v>
      </c>
      <c r="D934" s="12" t="s">
        <v>2243</v>
      </c>
      <c r="E934" s="12">
        <v>32145055</v>
      </c>
      <c r="F934" s="50" t="s">
        <v>2244</v>
      </c>
      <c r="G934" s="146" t="s">
        <v>2621</v>
      </c>
      <c r="H934" s="74">
        <v>32067987</v>
      </c>
      <c r="I934" s="28" t="s">
        <v>2250</v>
      </c>
      <c r="J934" s="6" t="s">
        <v>2787</v>
      </c>
      <c r="K934" s="12">
        <v>5</v>
      </c>
      <c r="L934" s="12" t="s">
        <v>2243</v>
      </c>
      <c r="M934" s="18" t="s">
        <v>179</v>
      </c>
    </row>
    <row r="935" spans="2:13" ht="15.9" customHeight="1" x14ac:dyDescent="0.3">
      <c r="B935" s="19" t="s">
        <v>2127</v>
      </c>
      <c r="C935" s="10" t="s">
        <v>2128</v>
      </c>
      <c r="D935" s="12" t="s">
        <v>2162</v>
      </c>
      <c r="E935" s="94">
        <v>32172000</v>
      </c>
      <c r="F935" s="166" t="s">
        <v>2163</v>
      </c>
      <c r="G935" s="146" t="s">
        <v>2788</v>
      </c>
      <c r="H935" s="70">
        <v>32045706</v>
      </c>
      <c r="I935" s="28" t="s">
        <v>2167</v>
      </c>
      <c r="J935" s="154" t="s">
        <v>2789</v>
      </c>
      <c r="K935" s="12">
        <v>8</v>
      </c>
      <c r="L935" s="12" t="s">
        <v>2162</v>
      </c>
      <c r="M935" s="47" t="s">
        <v>35</v>
      </c>
    </row>
    <row r="936" spans="2:13" ht="27.75" customHeight="1" x14ac:dyDescent="0.3">
      <c r="B936" s="19" t="s">
        <v>2127</v>
      </c>
      <c r="C936" s="10" t="s">
        <v>2128</v>
      </c>
      <c r="D936" s="12" t="s">
        <v>2162</v>
      </c>
      <c r="E936" s="112">
        <v>32172000</v>
      </c>
      <c r="F936" s="165" t="s">
        <v>2163</v>
      </c>
      <c r="G936" s="146" t="s">
        <v>2788</v>
      </c>
      <c r="H936" s="70">
        <v>32043982</v>
      </c>
      <c r="I936" s="28" t="s">
        <v>2166</v>
      </c>
      <c r="J936" s="28" t="s">
        <v>61</v>
      </c>
      <c r="K936" s="12">
        <v>8</v>
      </c>
      <c r="L936" s="12" t="s">
        <v>2162</v>
      </c>
      <c r="M936" s="47" t="s">
        <v>41</v>
      </c>
    </row>
    <row r="937" spans="2:13" ht="15.9" customHeight="1" x14ac:dyDescent="0.3">
      <c r="B937" s="19" t="s">
        <v>2127</v>
      </c>
      <c r="C937" s="10" t="s">
        <v>2128</v>
      </c>
      <c r="D937" s="12" t="s">
        <v>2162</v>
      </c>
      <c r="E937" s="94">
        <v>32172000</v>
      </c>
      <c r="F937" s="166" t="s">
        <v>2163</v>
      </c>
      <c r="G937" s="146" t="s">
        <v>2788</v>
      </c>
      <c r="H937" s="70">
        <v>32044212</v>
      </c>
      <c r="I937" s="28" t="s">
        <v>2170</v>
      </c>
      <c r="J937" s="6" t="s">
        <v>2790</v>
      </c>
      <c r="K937" s="12">
        <v>8</v>
      </c>
      <c r="L937" s="12" t="s">
        <v>2162</v>
      </c>
      <c r="M937" s="47" t="s">
        <v>511</v>
      </c>
    </row>
    <row r="938" spans="2:13" ht="15.9" customHeight="1" x14ac:dyDescent="0.3">
      <c r="B938" s="19" t="s">
        <v>2127</v>
      </c>
      <c r="C938" s="10" t="s">
        <v>2128</v>
      </c>
      <c r="D938" s="12" t="s">
        <v>2162</v>
      </c>
      <c r="E938" s="112">
        <v>32172000</v>
      </c>
      <c r="F938" s="165" t="s">
        <v>2163</v>
      </c>
      <c r="G938" s="146" t="s">
        <v>2788</v>
      </c>
      <c r="H938" s="70">
        <v>32044078</v>
      </c>
      <c r="I938" s="28" t="s">
        <v>2171</v>
      </c>
      <c r="J938" s="154" t="s">
        <v>2791</v>
      </c>
      <c r="K938" s="12">
        <v>8</v>
      </c>
      <c r="L938" s="12" t="s">
        <v>2162</v>
      </c>
      <c r="M938" s="47" t="s">
        <v>779</v>
      </c>
    </row>
    <row r="939" spans="2:13" ht="15.9" customHeight="1" x14ac:dyDescent="0.3">
      <c r="B939" s="19" t="s">
        <v>2127</v>
      </c>
      <c r="C939" s="10" t="s">
        <v>2128</v>
      </c>
      <c r="D939" s="12" t="s">
        <v>2162</v>
      </c>
      <c r="E939" s="112">
        <v>32172000</v>
      </c>
      <c r="F939" s="165" t="s">
        <v>2163</v>
      </c>
      <c r="G939" s="146" t="s">
        <v>2788</v>
      </c>
      <c r="H939" s="70">
        <v>32137942</v>
      </c>
      <c r="I939" s="28" t="s">
        <v>2169</v>
      </c>
      <c r="J939" s="6" t="s">
        <v>2792</v>
      </c>
      <c r="K939" s="12">
        <v>8</v>
      </c>
      <c r="L939" s="12" t="s">
        <v>2162</v>
      </c>
      <c r="M939" s="47" t="s">
        <v>481</v>
      </c>
    </row>
    <row r="940" spans="2:13" ht="15.9" customHeight="1" x14ac:dyDescent="0.3">
      <c r="B940" s="19" t="s">
        <v>2127</v>
      </c>
      <c r="C940" s="10" t="s">
        <v>2128</v>
      </c>
      <c r="D940" s="12" t="s">
        <v>2162</v>
      </c>
      <c r="E940" s="112">
        <v>32172000</v>
      </c>
      <c r="F940" s="165" t="s">
        <v>2163</v>
      </c>
      <c r="G940" s="146" t="s">
        <v>2788</v>
      </c>
      <c r="H940" s="104">
        <v>32043975</v>
      </c>
      <c r="I940" s="212" t="s">
        <v>2165</v>
      </c>
      <c r="J940" s="143" t="s">
        <v>61</v>
      </c>
      <c r="K940" s="12">
        <v>8</v>
      </c>
      <c r="L940" s="12" t="s">
        <v>2162</v>
      </c>
      <c r="M940" s="47" t="s">
        <v>44</v>
      </c>
    </row>
    <row r="941" spans="2:13" ht="15.9" customHeight="1" x14ac:dyDescent="0.3">
      <c r="B941" s="19" t="s">
        <v>2127</v>
      </c>
      <c r="C941" s="10" t="s">
        <v>2128</v>
      </c>
      <c r="D941" s="12" t="s">
        <v>2162</v>
      </c>
      <c r="E941" s="94">
        <v>32172000</v>
      </c>
      <c r="F941" s="166" t="s">
        <v>2163</v>
      </c>
      <c r="G941" s="146" t="s">
        <v>2788</v>
      </c>
      <c r="H941" s="70">
        <v>32045496</v>
      </c>
      <c r="I941" s="28" t="s">
        <v>2168</v>
      </c>
      <c r="J941" s="6" t="s">
        <v>2793</v>
      </c>
      <c r="K941" s="12">
        <v>8</v>
      </c>
      <c r="L941" s="12" t="s">
        <v>2162</v>
      </c>
      <c r="M941" s="47" t="s">
        <v>47</v>
      </c>
    </row>
    <row r="942" spans="2:13" ht="15.9" customHeight="1" x14ac:dyDescent="0.3">
      <c r="B942" s="19" t="s">
        <v>2127</v>
      </c>
      <c r="C942" s="10" t="s">
        <v>2128</v>
      </c>
      <c r="D942" s="12" t="s">
        <v>2162</v>
      </c>
      <c r="E942" s="112">
        <v>32172000</v>
      </c>
      <c r="F942" s="165" t="s">
        <v>2163</v>
      </c>
      <c r="G942" s="2" t="s">
        <v>2788</v>
      </c>
      <c r="H942" s="70">
        <v>32044803</v>
      </c>
      <c r="I942" s="28" t="s">
        <v>2164</v>
      </c>
      <c r="J942" s="6" t="s">
        <v>61</v>
      </c>
      <c r="K942" s="12">
        <v>8</v>
      </c>
      <c r="L942" s="12" t="s">
        <v>2162</v>
      </c>
      <c r="M942" s="47" t="s">
        <v>179</v>
      </c>
    </row>
    <row r="943" spans="2:13" ht="15.9" customHeight="1" x14ac:dyDescent="0.3">
      <c r="B943" s="11" t="s">
        <v>35</v>
      </c>
      <c r="C943" s="11"/>
      <c r="D943" s="12" t="s">
        <v>1934</v>
      </c>
      <c r="E943" s="12">
        <v>32045909</v>
      </c>
      <c r="F943" s="67" t="s">
        <v>1935</v>
      </c>
      <c r="G943" s="146" t="s">
        <v>1936</v>
      </c>
      <c r="H943" s="72">
        <v>32043813</v>
      </c>
      <c r="I943" s="10" t="s">
        <v>1937</v>
      </c>
      <c r="J943" s="154" t="s">
        <v>1938</v>
      </c>
      <c r="K943" s="12">
        <v>7</v>
      </c>
      <c r="L943" s="12" t="s">
        <v>1934</v>
      </c>
      <c r="M943" s="50" t="s">
        <v>179</v>
      </c>
    </row>
    <row r="944" spans="2:13" ht="15.9" customHeight="1" x14ac:dyDescent="0.3">
      <c r="B944" s="11" t="s">
        <v>35</v>
      </c>
      <c r="C944" s="11"/>
      <c r="D944" s="12" t="s">
        <v>1934</v>
      </c>
      <c r="E944" s="12">
        <v>32045909</v>
      </c>
      <c r="F944" s="67" t="s">
        <v>1935</v>
      </c>
      <c r="G944" s="146" t="s">
        <v>1936</v>
      </c>
      <c r="H944" s="72">
        <v>32045837</v>
      </c>
      <c r="I944" s="10" t="s">
        <v>1939</v>
      </c>
      <c r="J944" s="143" t="s">
        <v>1940</v>
      </c>
      <c r="K944" s="12">
        <v>7</v>
      </c>
      <c r="L944" s="12" t="s">
        <v>1934</v>
      </c>
      <c r="M944" s="50" t="s">
        <v>44</v>
      </c>
    </row>
    <row r="945" spans="2:13" ht="15.9" customHeight="1" x14ac:dyDescent="0.3">
      <c r="B945" s="19" t="s">
        <v>35</v>
      </c>
      <c r="C945" s="11"/>
      <c r="D945" s="12" t="s">
        <v>1934</v>
      </c>
      <c r="E945" s="12">
        <v>32045909</v>
      </c>
      <c r="F945" s="67" t="s">
        <v>1935</v>
      </c>
      <c r="G945" s="146" t="s">
        <v>1936</v>
      </c>
      <c r="H945" s="72">
        <v>32044591</v>
      </c>
      <c r="I945" s="10" t="s">
        <v>1941</v>
      </c>
      <c r="J945" s="6" t="s">
        <v>1942</v>
      </c>
      <c r="K945" s="12">
        <v>7</v>
      </c>
      <c r="L945" s="12" t="s">
        <v>1934</v>
      </c>
      <c r="M945" s="50" t="s">
        <v>38</v>
      </c>
    </row>
    <row r="946" spans="2:13" ht="15.9" customHeight="1" x14ac:dyDescent="0.3">
      <c r="B946" s="19" t="s">
        <v>35</v>
      </c>
      <c r="C946" s="11"/>
      <c r="D946" s="12" t="s">
        <v>1934</v>
      </c>
      <c r="E946" s="113">
        <v>32045909</v>
      </c>
      <c r="F946" s="130" t="s">
        <v>1935</v>
      </c>
      <c r="G946" s="2" t="s">
        <v>1936</v>
      </c>
      <c r="H946" s="72">
        <v>32044678</v>
      </c>
      <c r="I946" s="10" t="s">
        <v>1943</v>
      </c>
      <c r="J946" s="154" t="s">
        <v>1944</v>
      </c>
      <c r="K946" s="12">
        <v>7</v>
      </c>
      <c r="L946" s="12" t="s">
        <v>1934</v>
      </c>
      <c r="M946" s="50" t="s">
        <v>47</v>
      </c>
    </row>
    <row r="947" spans="2:13" ht="15.9" customHeight="1" x14ac:dyDescent="0.3">
      <c r="B947" s="19" t="s">
        <v>35</v>
      </c>
      <c r="C947" s="20"/>
      <c r="D947" s="21" t="s">
        <v>1934</v>
      </c>
      <c r="E947" s="12">
        <v>32045909</v>
      </c>
      <c r="F947" s="67" t="s">
        <v>1935</v>
      </c>
      <c r="G947" s="146" t="s">
        <v>1936</v>
      </c>
      <c r="H947" s="106">
        <v>32044323</v>
      </c>
      <c r="I947" s="10" t="s">
        <v>1945</v>
      </c>
      <c r="J947" s="154" t="s">
        <v>1946</v>
      </c>
      <c r="K947" s="12">
        <v>7</v>
      </c>
      <c r="L947" s="21" t="s">
        <v>1934</v>
      </c>
      <c r="M947" s="52" t="s">
        <v>47</v>
      </c>
    </row>
    <row r="948" spans="2:13" ht="15.9" customHeight="1" x14ac:dyDescent="0.3">
      <c r="B948" s="11" t="s">
        <v>35</v>
      </c>
      <c r="C948" s="20"/>
      <c r="D948" s="21" t="s">
        <v>1934</v>
      </c>
      <c r="E948" s="12">
        <v>32045909</v>
      </c>
      <c r="F948" s="67" t="s">
        <v>1935</v>
      </c>
      <c r="G948" s="146" t="s">
        <v>1936</v>
      </c>
      <c r="H948" s="106">
        <v>32044422</v>
      </c>
      <c r="I948" s="10" t="s">
        <v>1947</v>
      </c>
      <c r="J948" s="6" t="s">
        <v>1948</v>
      </c>
      <c r="K948" s="12">
        <v>7</v>
      </c>
      <c r="L948" s="21" t="s">
        <v>1934</v>
      </c>
      <c r="M948" s="52" t="s">
        <v>44</v>
      </c>
    </row>
    <row r="949" spans="2:13" ht="15.9" customHeight="1" x14ac:dyDescent="0.3">
      <c r="B949" s="19" t="s">
        <v>35</v>
      </c>
      <c r="C949" s="20"/>
      <c r="D949" s="21" t="s">
        <v>1934</v>
      </c>
      <c r="E949" s="12">
        <v>32045909</v>
      </c>
      <c r="F949" s="67" t="s">
        <v>1935</v>
      </c>
      <c r="G949" s="146" t="s">
        <v>1936</v>
      </c>
      <c r="H949" s="106">
        <v>32044985</v>
      </c>
      <c r="I949" s="10" t="s">
        <v>1949</v>
      </c>
      <c r="J949" s="154" t="s">
        <v>1950</v>
      </c>
      <c r="K949" s="12">
        <v>7</v>
      </c>
      <c r="L949" s="21" t="s">
        <v>1934</v>
      </c>
      <c r="M949" s="52" t="s">
        <v>179</v>
      </c>
    </row>
    <row r="950" spans="2:13" ht="15.9" customHeight="1" x14ac:dyDescent="0.3">
      <c r="B950" s="19" t="s">
        <v>35</v>
      </c>
      <c r="C950" s="20"/>
      <c r="D950" s="21" t="s">
        <v>1951</v>
      </c>
      <c r="E950" s="12">
        <v>32043787</v>
      </c>
      <c r="F950" s="67" t="s">
        <v>1952</v>
      </c>
      <c r="G950" s="146" t="s">
        <v>1953</v>
      </c>
      <c r="H950" s="182">
        <v>32044566</v>
      </c>
      <c r="I950" s="15" t="s">
        <v>1954</v>
      </c>
      <c r="J950" s="154" t="s">
        <v>1955</v>
      </c>
      <c r="K950" s="12">
        <v>5</v>
      </c>
      <c r="L950" s="21" t="s">
        <v>1951</v>
      </c>
      <c r="M950" s="52" t="s">
        <v>179</v>
      </c>
    </row>
    <row r="951" spans="2:13" ht="15.9" customHeight="1" x14ac:dyDescent="0.3">
      <c r="B951" s="19" t="s">
        <v>35</v>
      </c>
      <c r="C951" s="20"/>
      <c r="D951" s="21" t="s">
        <v>1951</v>
      </c>
      <c r="E951" s="113">
        <v>32043787</v>
      </c>
      <c r="F951" s="130" t="s">
        <v>1952</v>
      </c>
      <c r="G951" s="147" t="s">
        <v>1953</v>
      </c>
      <c r="H951" s="182">
        <v>32043734</v>
      </c>
      <c r="I951" s="15" t="s">
        <v>1956</v>
      </c>
      <c r="J951" s="6" t="s">
        <v>1957</v>
      </c>
      <c r="K951" s="12">
        <v>5</v>
      </c>
      <c r="L951" s="12" t="s">
        <v>1951</v>
      </c>
      <c r="M951" s="52" t="s">
        <v>44</v>
      </c>
    </row>
    <row r="952" spans="2:13" ht="15.9" customHeight="1" x14ac:dyDescent="0.3">
      <c r="B952" s="19" t="s">
        <v>35</v>
      </c>
      <c r="C952" s="20"/>
      <c r="D952" s="21" t="s">
        <v>1951</v>
      </c>
      <c r="E952" s="12">
        <v>32043787</v>
      </c>
      <c r="F952" s="67" t="s">
        <v>1952</v>
      </c>
      <c r="G952" s="146" t="s">
        <v>1953</v>
      </c>
      <c r="H952" s="182">
        <v>32043632</v>
      </c>
      <c r="I952" s="15" t="s">
        <v>1958</v>
      </c>
      <c r="J952" s="6" t="s">
        <v>1959</v>
      </c>
      <c r="K952" s="12">
        <v>5</v>
      </c>
      <c r="L952" s="12" t="s">
        <v>1951</v>
      </c>
      <c r="M952" s="52" t="s">
        <v>38</v>
      </c>
    </row>
    <row r="953" spans="2:13" ht="15.9" customHeight="1" x14ac:dyDescent="0.3">
      <c r="B953" s="19" t="s">
        <v>35</v>
      </c>
      <c r="C953" s="20"/>
      <c r="D953" s="21" t="s">
        <v>1951</v>
      </c>
      <c r="E953" s="12">
        <v>32043787</v>
      </c>
      <c r="F953" s="67" t="s">
        <v>1952</v>
      </c>
      <c r="G953" s="150" t="s">
        <v>1953</v>
      </c>
      <c r="H953" s="106">
        <v>32045514</v>
      </c>
      <c r="I953" s="15" t="s">
        <v>1960</v>
      </c>
      <c r="J953" s="154" t="s">
        <v>1961</v>
      </c>
      <c r="K953" s="12">
        <v>5</v>
      </c>
      <c r="L953" s="12" t="s">
        <v>1951</v>
      </c>
      <c r="M953" s="52" t="s">
        <v>38</v>
      </c>
    </row>
    <row r="954" spans="2:13" ht="15.9" customHeight="1" x14ac:dyDescent="0.3">
      <c r="B954" s="19" t="s">
        <v>35</v>
      </c>
      <c r="C954" s="20"/>
      <c r="D954" s="21" t="s">
        <v>1951</v>
      </c>
      <c r="E954" s="113">
        <v>32043787</v>
      </c>
      <c r="F954" s="130" t="s">
        <v>1952</v>
      </c>
      <c r="G954" s="146" t="s">
        <v>1953</v>
      </c>
      <c r="H954" s="61">
        <v>32197868</v>
      </c>
      <c r="I954" s="10" t="s">
        <v>2469</v>
      </c>
      <c r="J954" s="154" t="s">
        <v>2794</v>
      </c>
      <c r="K954" s="12">
        <v>5</v>
      </c>
      <c r="L954" s="21" t="s">
        <v>1951</v>
      </c>
      <c r="M954" s="52" t="s">
        <v>41</v>
      </c>
    </row>
    <row r="955" spans="2:13" ht="15.9" customHeight="1" x14ac:dyDescent="0.3">
      <c r="B955" s="19" t="s">
        <v>363</v>
      </c>
      <c r="C955" s="20">
        <v>9</v>
      </c>
      <c r="D955" s="21" t="s">
        <v>1003</v>
      </c>
      <c r="E955" s="12">
        <v>32148202</v>
      </c>
      <c r="F955" s="50" t="s">
        <v>1004</v>
      </c>
      <c r="G955" s="146" t="s">
        <v>541</v>
      </c>
      <c r="H955" s="60">
        <v>32046230</v>
      </c>
      <c r="I955" s="34" t="s">
        <v>1021</v>
      </c>
      <c r="J955" s="6" t="s">
        <v>1022</v>
      </c>
      <c r="K955" s="12">
        <v>14</v>
      </c>
      <c r="L955" s="24" t="s">
        <v>1003</v>
      </c>
      <c r="M955" s="25" t="s">
        <v>1023</v>
      </c>
    </row>
    <row r="956" spans="2:13" ht="15.9" customHeight="1" x14ac:dyDescent="0.3">
      <c r="B956" s="19" t="s">
        <v>363</v>
      </c>
      <c r="C956" s="20">
        <v>9</v>
      </c>
      <c r="D956" s="21" t="s">
        <v>1003</v>
      </c>
      <c r="E956" s="113">
        <v>32148202</v>
      </c>
      <c r="F956" s="129" t="s">
        <v>1004</v>
      </c>
      <c r="G956" s="146" t="s">
        <v>541</v>
      </c>
      <c r="H956" s="71">
        <v>32046073</v>
      </c>
      <c r="I956" s="34" t="s">
        <v>1013</v>
      </c>
      <c r="J956" s="6" t="s">
        <v>1014</v>
      </c>
      <c r="K956" s="12">
        <v>14</v>
      </c>
      <c r="L956" s="24" t="s">
        <v>1003</v>
      </c>
      <c r="M956" s="25" t="s">
        <v>544</v>
      </c>
    </row>
    <row r="957" spans="2:13" ht="15.9" customHeight="1" x14ac:dyDescent="0.3">
      <c r="B957" s="19" t="s">
        <v>363</v>
      </c>
      <c r="C957" s="20">
        <v>9</v>
      </c>
      <c r="D957" s="21" t="s">
        <v>1003</v>
      </c>
      <c r="E957" s="113">
        <v>32148202</v>
      </c>
      <c r="F957" s="129" t="s">
        <v>1004</v>
      </c>
      <c r="G957" s="146" t="s">
        <v>541</v>
      </c>
      <c r="H957" s="71">
        <v>32046198</v>
      </c>
      <c r="I957" s="34" t="s">
        <v>1567</v>
      </c>
      <c r="J957" s="80" t="s">
        <v>61</v>
      </c>
      <c r="K957" s="12">
        <v>19</v>
      </c>
      <c r="L957" s="21" t="s">
        <v>1003</v>
      </c>
      <c r="M957" s="25" t="s">
        <v>651</v>
      </c>
    </row>
    <row r="958" spans="2:13" ht="15.9" customHeight="1" x14ac:dyDescent="0.3">
      <c r="B958" s="11" t="s">
        <v>363</v>
      </c>
      <c r="C958" s="20">
        <v>9</v>
      </c>
      <c r="D958" s="21" t="s">
        <v>1003</v>
      </c>
      <c r="E958" s="110">
        <v>32148202</v>
      </c>
      <c r="F958" s="131" t="s">
        <v>1004</v>
      </c>
      <c r="G958" s="146" t="s">
        <v>541</v>
      </c>
      <c r="H958" s="71">
        <v>32044464</v>
      </c>
      <c r="I958" s="34" t="s">
        <v>682</v>
      </c>
      <c r="J958" s="6" t="s">
        <v>683</v>
      </c>
      <c r="K958" s="12">
        <v>14</v>
      </c>
      <c r="L958" s="21" t="s">
        <v>1003</v>
      </c>
      <c r="M958" s="25" t="s">
        <v>684</v>
      </c>
    </row>
    <row r="959" spans="2:13" ht="15.9" customHeight="1" x14ac:dyDescent="0.3">
      <c r="B959" s="19" t="s">
        <v>363</v>
      </c>
      <c r="C959" s="20">
        <v>9</v>
      </c>
      <c r="D959" s="21" t="s">
        <v>1003</v>
      </c>
      <c r="E959" s="12">
        <v>32148202</v>
      </c>
      <c r="F959" s="50" t="s">
        <v>1004</v>
      </c>
      <c r="G959" s="146" t="s">
        <v>541</v>
      </c>
      <c r="H959" s="61">
        <v>32202295</v>
      </c>
      <c r="I959" s="10" t="s">
        <v>2470</v>
      </c>
      <c r="J959" s="80" t="s">
        <v>61</v>
      </c>
      <c r="K959" s="12">
        <v>14</v>
      </c>
      <c r="L959" s="24" t="s">
        <v>1003</v>
      </c>
      <c r="M959" s="25" t="s">
        <v>684</v>
      </c>
    </row>
    <row r="960" spans="2:13" ht="15.9" customHeight="1" x14ac:dyDescent="0.3">
      <c r="B960" s="19" t="s">
        <v>363</v>
      </c>
      <c r="C960" s="11">
        <v>9</v>
      </c>
      <c r="D960" s="12" t="s">
        <v>1003</v>
      </c>
      <c r="E960" s="113">
        <v>32148202</v>
      </c>
      <c r="F960" s="129" t="s">
        <v>1004</v>
      </c>
      <c r="G960" s="146" t="s">
        <v>541</v>
      </c>
      <c r="H960" s="60">
        <v>32045118</v>
      </c>
      <c r="I960" s="10" t="s">
        <v>741</v>
      </c>
      <c r="J960" s="6" t="s">
        <v>742</v>
      </c>
      <c r="K960" s="12">
        <v>14</v>
      </c>
      <c r="L960" s="12" t="s">
        <v>1003</v>
      </c>
      <c r="M960" s="18" t="s">
        <v>564</v>
      </c>
    </row>
    <row r="961" spans="2:13" ht="15.9" customHeight="1" x14ac:dyDescent="0.3">
      <c r="B961" s="19" t="s">
        <v>363</v>
      </c>
      <c r="C961" s="11">
        <v>9</v>
      </c>
      <c r="D961" s="12" t="s">
        <v>1003</v>
      </c>
      <c r="E961" s="12">
        <v>32148202</v>
      </c>
      <c r="F961" s="50" t="s">
        <v>1004</v>
      </c>
      <c r="G961" s="146" t="s">
        <v>541</v>
      </c>
      <c r="H961" s="60">
        <v>32045959</v>
      </c>
      <c r="I961" s="10" t="s">
        <v>1010</v>
      </c>
      <c r="J961" s="154" t="s">
        <v>1011</v>
      </c>
      <c r="K961" s="12">
        <v>14</v>
      </c>
      <c r="L961" s="10" t="s">
        <v>1003</v>
      </c>
      <c r="M961" s="18" t="s">
        <v>1012</v>
      </c>
    </row>
    <row r="962" spans="2:13" ht="15.9" customHeight="1" x14ac:dyDescent="0.3">
      <c r="B962" s="19" t="s">
        <v>363</v>
      </c>
      <c r="C962" s="11">
        <v>9</v>
      </c>
      <c r="D962" s="12" t="s">
        <v>1003</v>
      </c>
      <c r="E962" s="12">
        <v>32148202</v>
      </c>
      <c r="F962" s="50" t="s">
        <v>1004</v>
      </c>
      <c r="G962" s="146" t="s">
        <v>541</v>
      </c>
      <c r="H962" s="60">
        <v>32061941</v>
      </c>
      <c r="I962" s="10" t="s">
        <v>1037</v>
      </c>
      <c r="J962" s="6" t="s">
        <v>1038</v>
      </c>
      <c r="K962" s="12">
        <v>14</v>
      </c>
      <c r="L962" s="12" t="s">
        <v>1003</v>
      </c>
      <c r="M962" s="18" t="s">
        <v>1039</v>
      </c>
    </row>
    <row r="963" spans="2:13" ht="15.9" customHeight="1" x14ac:dyDescent="0.3">
      <c r="B963" s="11" t="s">
        <v>363</v>
      </c>
      <c r="C963" s="11">
        <v>9</v>
      </c>
      <c r="D963" s="12" t="s">
        <v>1003</v>
      </c>
      <c r="E963" s="12">
        <v>32148202</v>
      </c>
      <c r="F963" s="50" t="s">
        <v>1004</v>
      </c>
      <c r="G963" s="146" t="s">
        <v>541</v>
      </c>
      <c r="H963" s="60">
        <v>32046386</v>
      </c>
      <c r="I963" s="10" t="s">
        <v>1024</v>
      </c>
      <c r="J963" s="143" t="s">
        <v>1025</v>
      </c>
      <c r="K963" s="12">
        <v>14</v>
      </c>
      <c r="L963" s="10" t="s">
        <v>1003</v>
      </c>
      <c r="M963" s="18" t="s">
        <v>1026</v>
      </c>
    </row>
    <row r="964" spans="2:13" ht="15.9" customHeight="1" x14ac:dyDescent="0.3">
      <c r="B964" s="11" t="s">
        <v>363</v>
      </c>
      <c r="C964" s="11">
        <v>9</v>
      </c>
      <c r="D964" s="12" t="s">
        <v>1003</v>
      </c>
      <c r="E964" s="110">
        <v>32148202</v>
      </c>
      <c r="F964" s="131" t="s">
        <v>1004</v>
      </c>
      <c r="G964" s="146" t="s">
        <v>541</v>
      </c>
      <c r="H964" s="60">
        <v>32180198</v>
      </c>
      <c r="I964" s="10" t="s">
        <v>1048</v>
      </c>
      <c r="J964" s="154" t="s">
        <v>1049</v>
      </c>
      <c r="K964" s="12">
        <v>14</v>
      </c>
      <c r="L964" s="10" t="s">
        <v>1003</v>
      </c>
      <c r="M964" s="18" t="s">
        <v>1050</v>
      </c>
    </row>
    <row r="965" spans="2:13" ht="15.9" customHeight="1" x14ac:dyDescent="0.3">
      <c r="B965" s="19" t="s">
        <v>363</v>
      </c>
      <c r="C965" s="11">
        <v>9</v>
      </c>
      <c r="D965" s="12" t="s">
        <v>1003</v>
      </c>
      <c r="E965" s="113">
        <v>32148202</v>
      </c>
      <c r="F965" s="129" t="s">
        <v>1004</v>
      </c>
      <c r="G965" s="146" t="s">
        <v>541</v>
      </c>
      <c r="H965" s="60">
        <v>32149860</v>
      </c>
      <c r="I965" s="10" t="s">
        <v>1040</v>
      </c>
      <c r="J965" s="6" t="s">
        <v>1041</v>
      </c>
      <c r="K965" s="12">
        <v>14</v>
      </c>
      <c r="L965" s="10" t="s">
        <v>1003</v>
      </c>
      <c r="M965" s="18" t="s">
        <v>1042</v>
      </c>
    </row>
    <row r="966" spans="2:13" ht="15.9" customHeight="1" x14ac:dyDescent="0.3">
      <c r="B966" s="19" t="s">
        <v>363</v>
      </c>
      <c r="C966" s="11">
        <v>9</v>
      </c>
      <c r="D966" s="12" t="s">
        <v>1003</v>
      </c>
      <c r="E966" s="12">
        <v>32148202</v>
      </c>
      <c r="F966" s="50" t="s">
        <v>1004</v>
      </c>
      <c r="G966" s="146" t="s">
        <v>541</v>
      </c>
      <c r="H966" s="60">
        <v>32046415</v>
      </c>
      <c r="I966" s="10" t="s">
        <v>1030</v>
      </c>
      <c r="J966" s="6" t="s">
        <v>1031</v>
      </c>
      <c r="K966" s="12">
        <v>14</v>
      </c>
      <c r="L966" s="10" t="s">
        <v>1003</v>
      </c>
      <c r="M966" s="18" t="s">
        <v>714</v>
      </c>
    </row>
    <row r="967" spans="2:13" ht="15.9" customHeight="1" x14ac:dyDescent="0.3">
      <c r="B967" s="19" t="s">
        <v>363</v>
      </c>
      <c r="C967" s="11">
        <v>9</v>
      </c>
      <c r="D967" s="12" t="s">
        <v>1003</v>
      </c>
      <c r="E967" s="12">
        <v>32148202</v>
      </c>
      <c r="F967" s="50" t="s">
        <v>1004</v>
      </c>
      <c r="G967" s="146" t="s">
        <v>541</v>
      </c>
      <c r="H967" s="60">
        <v>32145203</v>
      </c>
      <c r="I967" s="10" t="s">
        <v>2471</v>
      </c>
      <c r="J967" s="6" t="s">
        <v>2795</v>
      </c>
      <c r="K967" s="12">
        <v>14</v>
      </c>
      <c r="L967" s="10" t="s">
        <v>1003</v>
      </c>
      <c r="M967" s="18" t="s">
        <v>2013</v>
      </c>
    </row>
    <row r="968" spans="2:13" ht="15.9" customHeight="1" x14ac:dyDescent="0.3">
      <c r="B968" s="19" t="s">
        <v>363</v>
      </c>
      <c r="C968" s="11">
        <v>9</v>
      </c>
      <c r="D968" s="12" t="s">
        <v>1003</v>
      </c>
      <c r="E968" s="113">
        <v>32148202</v>
      </c>
      <c r="F968" s="129" t="s">
        <v>1004</v>
      </c>
      <c r="G968" s="146" t="s">
        <v>541</v>
      </c>
      <c r="H968" s="60">
        <v>32046558</v>
      </c>
      <c r="I968" s="10" t="s">
        <v>1032</v>
      </c>
      <c r="J968" s="6" t="s">
        <v>1033</v>
      </c>
      <c r="K968" s="12">
        <v>14</v>
      </c>
      <c r="L968" s="10" t="s">
        <v>1003</v>
      </c>
      <c r="M968" s="18" t="s">
        <v>461</v>
      </c>
    </row>
    <row r="969" spans="2:13" ht="15.9" customHeight="1" x14ac:dyDescent="0.3">
      <c r="B969" s="19" t="s">
        <v>363</v>
      </c>
      <c r="C969" s="11">
        <v>9</v>
      </c>
      <c r="D969" s="12" t="s">
        <v>1003</v>
      </c>
      <c r="E969" s="12">
        <v>32148202</v>
      </c>
      <c r="F969" s="50" t="s">
        <v>1004</v>
      </c>
      <c r="G969" s="147" t="s">
        <v>541</v>
      </c>
      <c r="H969" s="60">
        <v>32045040</v>
      </c>
      <c r="I969" s="10" t="s">
        <v>1008</v>
      </c>
      <c r="J969" s="6" t="s">
        <v>1009</v>
      </c>
      <c r="K969" s="12">
        <v>14</v>
      </c>
      <c r="L969" s="12" t="s">
        <v>1003</v>
      </c>
      <c r="M969" s="18" t="s">
        <v>714</v>
      </c>
    </row>
    <row r="970" spans="2:13" ht="15.9" customHeight="1" x14ac:dyDescent="0.3">
      <c r="B970" s="11" t="s">
        <v>363</v>
      </c>
      <c r="C970" s="11">
        <v>9</v>
      </c>
      <c r="D970" s="12" t="s">
        <v>1003</v>
      </c>
      <c r="E970" s="110">
        <v>32148202</v>
      </c>
      <c r="F970" s="131" t="s">
        <v>1004</v>
      </c>
      <c r="G970" s="146" t="s">
        <v>541</v>
      </c>
      <c r="H970" s="60">
        <v>32148632</v>
      </c>
      <c r="I970" s="10" t="s">
        <v>1578</v>
      </c>
      <c r="J970" s="10" t="s">
        <v>61</v>
      </c>
      <c r="K970" s="12">
        <v>14</v>
      </c>
      <c r="L970" s="10" t="s">
        <v>1003</v>
      </c>
      <c r="M970" s="18" t="s">
        <v>1579</v>
      </c>
    </row>
    <row r="971" spans="2:13" ht="15.9" customHeight="1" x14ac:dyDescent="0.3">
      <c r="B971" s="19" t="s">
        <v>363</v>
      </c>
      <c r="C971" s="11">
        <v>9</v>
      </c>
      <c r="D971" s="12" t="s">
        <v>1003</v>
      </c>
      <c r="E971" s="12">
        <v>32148202</v>
      </c>
      <c r="F971" s="50" t="s">
        <v>1004</v>
      </c>
      <c r="G971" s="150" t="s">
        <v>541</v>
      </c>
      <c r="H971" s="60">
        <v>32046201</v>
      </c>
      <c r="I971" s="10" t="s">
        <v>1018</v>
      </c>
      <c r="J971" s="28" t="s">
        <v>1019</v>
      </c>
      <c r="K971" s="12">
        <v>14</v>
      </c>
      <c r="L971" s="12" t="s">
        <v>1003</v>
      </c>
      <c r="M971" s="18" t="s">
        <v>1020</v>
      </c>
    </row>
    <row r="972" spans="2:13" ht="15.9" customHeight="1" x14ac:dyDescent="0.3">
      <c r="B972" s="19" t="s">
        <v>363</v>
      </c>
      <c r="C972" s="20">
        <v>9</v>
      </c>
      <c r="D972" s="12" t="s">
        <v>1003</v>
      </c>
      <c r="E972" s="12">
        <v>32148202</v>
      </c>
      <c r="F972" s="52" t="s">
        <v>1004</v>
      </c>
      <c r="G972" s="146" t="s">
        <v>541</v>
      </c>
      <c r="H972" s="61">
        <v>32153095</v>
      </c>
      <c r="I972" s="10" t="s">
        <v>1045</v>
      </c>
      <c r="J972" s="154" t="s">
        <v>1046</v>
      </c>
      <c r="K972" s="12">
        <v>14</v>
      </c>
      <c r="L972" s="10" t="s">
        <v>1003</v>
      </c>
      <c r="M972" s="25" t="s">
        <v>1047</v>
      </c>
    </row>
    <row r="973" spans="2:13" ht="15.9" customHeight="1" x14ac:dyDescent="0.3">
      <c r="B973" s="19" t="s">
        <v>363</v>
      </c>
      <c r="C973" s="11">
        <v>9</v>
      </c>
      <c r="D973" s="12" t="s">
        <v>1003</v>
      </c>
      <c r="E973" s="12">
        <v>32148202</v>
      </c>
      <c r="F973" s="50" t="s">
        <v>1004</v>
      </c>
      <c r="G973" s="146" t="s">
        <v>541</v>
      </c>
      <c r="H973" s="60">
        <v>32046394</v>
      </c>
      <c r="I973" s="10" t="s">
        <v>1027</v>
      </c>
      <c r="J973" s="10" t="s">
        <v>1028</v>
      </c>
      <c r="K973" s="12">
        <v>14</v>
      </c>
      <c r="L973" s="12" t="s">
        <v>1003</v>
      </c>
      <c r="M973" s="18" t="s">
        <v>1029</v>
      </c>
    </row>
    <row r="974" spans="2:13" ht="15.9" customHeight="1" x14ac:dyDescent="0.3">
      <c r="B974" s="19" t="s">
        <v>363</v>
      </c>
      <c r="C974" s="11">
        <v>9</v>
      </c>
      <c r="D974" s="12" t="s">
        <v>1003</v>
      </c>
      <c r="E974" s="12">
        <v>32148202</v>
      </c>
      <c r="F974" s="50" t="s">
        <v>1004</v>
      </c>
      <c r="G974" s="146" t="s">
        <v>541</v>
      </c>
      <c r="H974" s="61">
        <v>32132058</v>
      </c>
      <c r="I974" s="24" t="s">
        <v>542</v>
      </c>
      <c r="J974" s="6" t="s">
        <v>543</v>
      </c>
      <c r="K974" s="12">
        <v>14</v>
      </c>
      <c r="L974" s="12" t="s">
        <v>1003</v>
      </c>
      <c r="M974" s="18" t="s">
        <v>544</v>
      </c>
    </row>
    <row r="975" spans="2:13" ht="15.9" customHeight="1" x14ac:dyDescent="0.3">
      <c r="B975" s="19" t="s">
        <v>363</v>
      </c>
      <c r="C975" s="11">
        <v>9</v>
      </c>
      <c r="D975" s="12" t="s">
        <v>1003</v>
      </c>
      <c r="E975" s="12">
        <v>32148202</v>
      </c>
      <c r="F975" s="50" t="s">
        <v>1004</v>
      </c>
      <c r="G975" s="146" t="s">
        <v>541</v>
      </c>
      <c r="H975" s="60">
        <v>32149877</v>
      </c>
      <c r="I975" s="10" t="s">
        <v>1043</v>
      </c>
      <c r="J975" s="6" t="s">
        <v>1044</v>
      </c>
      <c r="K975" s="12">
        <v>14</v>
      </c>
      <c r="L975" s="10" t="s">
        <v>1003</v>
      </c>
      <c r="M975" s="18" t="s">
        <v>547</v>
      </c>
    </row>
    <row r="976" spans="2:13" ht="15.9" customHeight="1" x14ac:dyDescent="0.3">
      <c r="B976" s="19" t="s">
        <v>363</v>
      </c>
      <c r="C976" s="11">
        <v>9</v>
      </c>
      <c r="D976" s="12" t="s">
        <v>1003</v>
      </c>
      <c r="E976" s="12">
        <v>32148202</v>
      </c>
      <c r="F976" s="50" t="s">
        <v>1004</v>
      </c>
      <c r="G976" s="146" t="s">
        <v>541</v>
      </c>
      <c r="H976" s="60">
        <v>32060919</v>
      </c>
      <c r="I976" s="10" t="s">
        <v>1034</v>
      </c>
      <c r="J976" s="28" t="s">
        <v>1035</v>
      </c>
      <c r="K976" s="12">
        <v>14</v>
      </c>
      <c r="L976" s="10" t="s">
        <v>1003</v>
      </c>
      <c r="M976" s="18" t="s">
        <v>1036</v>
      </c>
    </row>
    <row r="977" spans="2:13" ht="15.9" customHeight="1" x14ac:dyDescent="0.25">
      <c r="B977" s="19" t="s">
        <v>28</v>
      </c>
      <c r="C977" s="11" t="s">
        <v>196</v>
      </c>
      <c r="D977" s="12" t="s">
        <v>197</v>
      </c>
      <c r="E977" s="112">
        <v>32196674</v>
      </c>
      <c r="F977" s="165" t="s">
        <v>198</v>
      </c>
      <c r="G977" s="149" t="s">
        <v>61</v>
      </c>
      <c r="H977" s="60">
        <v>32175115</v>
      </c>
      <c r="I977" s="10" t="s">
        <v>199</v>
      </c>
      <c r="J977" s="154" t="s">
        <v>200</v>
      </c>
      <c r="K977" s="12">
        <v>3</v>
      </c>
      <c r="L977" s="12" t="s">
        <v>197</v>
      </c>
      <c r="M977" s="18" t="s">
        <v>62</v>
      </c>
    </row>
    <row r="978" spans="2:13" ht="15.9" customHeight="1" x14ac:dyDescent="0.25">
      <c r="B978" s="11" t="s">
        <v>28</v>
      </c>
      <c r="C978" s="11" t="s">
        <v>196</v>
      </c>
      <c r="D978" s="12" t="s">
        <v>197</v>
      </c>
      <c r="E978" s="95">
        <v>32196674</v>
      </c>
      <c r="F978" s="163" t="s">
        <v>198</v>
      </c>
      <c r="G978" s="152" t="s">
        <v>61</v>
      </c>
      <c r="H978" s="60">
        <v>32197975</v>
      </c>
      <c r="I978" s="10" t="s">
        <v>201</v>
      </c>
      <c r="J978" s="154" t="s">
        <v>202</v>
      </c>
      <c r="K978" s="12">
        <v>3</v>
      </c>
      <c r="L978" s="12" t="s">
        <v>197</v>
      </c>
      <c r="M978" s="18" t="s">
        <v>47</v>
      </c>
    </row>
    <row r="979" spans="2:13" ht="15.9" customHeight="1" x14ac:dyDescent="0.25">
      <c r="B979" s="19" t="s">
        <v>28</v>
      </c>
      <c r="C979" s="11" t="s">
        <v>196</v>
      </c>
      <c r="D979" s="12" t="s">
        <v>197</v>
      </c>
      <c r="E979" s="112">
        <v>32196674</v>
      </c>
      <c r="F979" s="165" t="s">
        <v>198</v>
      </c>
      <c r="G979" s="151" t="s">
        <v>61</v>
      </c>
      <c r="H979" s="60">
        <v>32183480</v>
      </c>
      <c r="I979" s="13" t="s">
        <v>203</v>
      </c>
      <c r="J979" s="6" t="s">
        <v>204</v>
      </c>
      <c r="K979" s="12">
        <v>3</v>
      </c>
      <c r="L979" s="12" t="s">
        <v>197</v>
      </c>
      <c r="M979" s="18" t="s">
        <v>47</v>
      </c>
    </row>
    <row r="980" spans="2:13" ht="15.9" customHeight="1" x14ac:dyDescent="0.25">
      <c r="B980" s="19" t="s">
        <v>28</v>
      </c>
      <c r="C980" s="20" t="s">
        <v>196</v>
      </c>
      <c r="D980" s="21" t="s">
        <v>197</v>
      </c>
      <c r="E980" s="112">
        <v>32196674</v>
      </c>
      <c r="F980" s="165" t="s">
        <v>198</v>
      </c>
      <c r="G980" s="152" t="s">
        <v>61</v>
      </c>
      <c r="H980" s="61">
        <v>32176720</v>
      </c>
      <c r="I980" s="24" t="s">
        <v>205</v>
      </c>
      <c r="J980" s="6" t="s">
        <v>206</v>
      </c>
      <c r="K980" s="12">
        <v>3</v>
      </c>
      <c r="L980" s="21" t="s">
        <v>197</v>
      </c>
      <c r="M980" s="25" t="s">
        <v>35</v>
      </c>
    </row>
    <row r="981" spans="2:13" ht="15.9" customHeight="1" x14ac:dyDescent="0.25">
      <c r="B981" s="11" t="s">
        <v>28</v>
      </c>
      <c r="C981" s="11" t="s">
        <v>196</v>
      </c>
      <c r="D981" s="12" t="s">
        <v>197</v>
      </c>
      <c r="E981" s="112">
        <v>32196674</v>
      </c>
      <c r="F981" s="165" t="s">
        <v>198</v>
      </c>
      <c r="G981" s="152" t="s">
        <v>61</v>
      </c>
      <c r="H981" s="60">
        <v>32149237</v>
      </c>
      <c r="I981" s="13" t="s">
        <v>207</v>
      </c>
      <c r="J981" s="154" t="s">
        <v>208</v>
      </c>
      <c r="K981" s="12">
        <v>3</v>
      </c>
      <c r="L981" s="12" t="s">
        <v>197</v>
      </c>
      <c r="M981" s="18" t="s">
        <v>56</v>
      </c>
    </row>
    <row r="982" spans="2:13" ht="15.9" customHeight="1" x14ac:dyDescent="0.25">
      <c r="B982" s="19" t="s">
        <v>28</v>
      </c>
      <c r="C982" s="11" t="s">
        <v>196</v>
      </c>
      <c r="D982" s="12" t="s">
        <v>197</v>
      </c>
      <c r="E982" s="112">
        <v>32196674</v>
      </c>
      <c r="F982" s="165" t="s">
        <v>198</v>
      </c>
      <c r="G982" s="152" t="s">
        <v>61</v>
      </c>
      <c r="H982" s="60">
        <v>32181712</v>
      </c>
      <c r="I982" s="13" t="s">
        <v>209</v>
      </c>
      <c r="J982" s="154" t="s">
        <v>210</v>
      </c>
      <c r="K982" s="12">
        <v>3</v>
      </c>
      <c r="L982" s="12" t="s">
        <v>197</v>
      </c>
      <c r="M982" s="18" t="s">
        <v>44</v>
      </c>
    </row>
    <row r="983" spans="2:13" ht="15.9" customHeight="1" x14ac:dyDescent="0.3">
      <c r="B983" s="19" t="s">
        <v>2127</v>
      </c>
      <c r="C983" s="10" t="s">
        <v>2128</v>
      </c>
      <c r="D983" s="12" t="s">
        <v>2172</v>
      </c>
      <c r="E983" s="112">
        <v>32149973</v>
      </c>
      <c r="F983" s="165" t="s">
        <v>2173</v>
      </c>
      <c r="G983" s="146" t="s">
        <v>2796</v>
      </c>
      <c r="H983" s="70">
        <v>32045757</v>
      </c>
      <c r="I983" s="13" t="s">
        <v>2174</v>
      </c>
      <c r="J983" s="6" t="s">
        <v>2797</v>
      </c>
      <c r="K983" s="12">
        <v>7</v>
      </c>
      <c r="L983" s="12" t="s">
        <v>2172</v>
      </c>
      <c r="M983" s="47" t="s">
        <v>179</v>
      </c>
    </row>
    <row r="984" spans="2:13" ht="15.9" customHeight="1" x14ac:dyDescent="0.3">
      <c r="B984" s="19" t="s">
        <v>2127</v>
      </c>
      <c r="C984" s="10" t="s">
        <v>2128</v>
      </c>
      <c r="D984" s="12" t="s">
        <v>2172</v>
      </c>
      <c r="E984" s="112">
        <v>32149973</v>
      </c>
      <c r="F984" s="165" t="s">
        <v>2173</v>
      </c>
      <c r="G984" s="146" t="s">
        <v>2796</v>
      </c>
      <c r="H984" s="70">
        <v>32137941</v>
      </c>
      <c r="I984" s="13" t="s">
        <v>2179</v>
      </c>
      <c r="J984" s="81" t="s">
        <v>61</v>
      </c>
      <c r="K984" s="12">
        <v>7</v>
      </c>
      <c r="L984" s="12" t="s">
        <v>2172</v>
      </c>
      <c r="M984" s="47" t="s">
        <v>1</v>
      </c>
    </row>
    <row r="985" spans="2:13" ht="15.9" customHeight="1" x14ac:dyDescent="0.3">
      <c r="B985" s="19" t="s">
        <v>2127</v>
      </c>
      <c r="C985" s="10" t="s">
        <v>2128</v>
      </c>
      <c r="D985" s="12" t="s">
        <v>2172</v>
      </c>
      <c r="E985" s="94">
        <v>32149973</v>
      </c>
      <c r="F985" s="166" t="s">
        <v>2173</v>
      </c>
      <c r="G985" s="146" t="s">
        <v>2796</v>
      </c>
      <c r="H985" s="70">
        <v>32045870</v>
      </c>
      <c r="I985" s="13" t="s">
        <v>2472</v>
      </c>
      <c r="J985" s="81" t="s">
        <v>61</v>
      </c>
      <c r="K985" s="12">
        <v>7</v>
      </c>
      <c r="L985" s="12" t="s">
        <v>2172</v>
      </c>
      <c r="M985" s="47" t="s">
        <v>47</v>
      </c>
    </row>
    <row r="986" spans="2:13" ht="15.9" customHeight="1" x14ac:dyDescent="0.3">
      <c r="B986" s="19" t="s">
        <v>2127</v>
      </c>
      <c r="C986" s="10" t="s">
        <v>2128</v>
      </c>
      <c r="D986" s="12" t="s">
        <v>2172</v>
      </c>
      <c r="E986" s="112">
        <v>32149973</v>
      </c>
      <c r="F986" s="165" t="s">
        <v>2173</v>
      </c>
      <c r="G986" s="146" t="s">
        <v>2796</v>
      </c>
      <c r="H986" s="70">
        <v>32044189</v>
      </c>
      <c r="I986" s="13" t="s">
        <v>2176</v>
      </c>
      <c r="J986" s="6" t="s">
        <v>2798</v>
      </c>
      <c r="K986" s="12">
        <v>7</v>
      </c>
      <c r="L986" s="12" t="s">
        <v>2172</v>
      </c>
      <c r="M986" s="47" t="s">
        <v>41</v>
      </c>
    </row>
    <row r="987" spans="2:13" ht="15.9" customHeight="1" x14ac:dyDescent="0.3">
      <c r="B987" s="19" t="s">
        <v>2127</v>
      </c>
      <c r="C987" s="10" t="s">
        <v>2128</v>
      </c>
      <c r="D987" s="12" t="s">
        <v>2172</v>
      </c>
      <c r="E987" s="94">
        <v>32149973</v>
      </c>
      <c r="F987" s="166" t="s">
        <v>2173</v>
      </c>
      <c r="G987" s="146" t="s">
        <v>2796</v>
      </c>
      <c r="H987" s="70">
        <v>32149475</v>
      </c>
      <c r="I987" s="13" t="s">
        <v>2178</v>
      </c>
      <c r="J987" s="81" t="s">
        <v>61</v>
      </c>
      <c r="K987" s="12">
        <v>7</v>
      </c>
      <c r="L987" s="12" t="s">
        <v>2172</v>
      </c>
      <c r="M987" s="47" t="s">
        <v>35</v>
      </c>
    </row>
    <row r="988" spans="2:13" ht="15.9" customHeight="1" x14ac:dyDescent="0.3">
      <c r="B988" s="19" t="s">
        <v>2127</v>
      </c>
      <c r="C988" s="10" t="s">
        <v>2128</v>
      </c>
      <c r="D988" s="12" t="s">
        <v>2172</v>
      </c>
      <c r="E988" s="94">
        <v>32149973</v>
      </c>
      <c r="F988" s="166" t="s">
        <v>2173</v>
      </c>
      <c r="G988" s="146" t="s">
        <v>2796</v>
      </c>
      <c r="H988" s="70">
        <v>32044412</v>
      </c>
      <c r="I988" s="13" t="s">
        <v>2180</v>
      </c>
      <c r="J988" s="6" t="s">
        <v>2799</v>
      </c>
      <c r="K988" s="12">
        <v>7</v>
      </c>
      <c r="L988" s="12" t="s">
        <v>2172</v>
      </c>
      <c r="M988" s="47" t="s">
        <v>511</v>
      </c>
    </row>
    <row r="989" spans="2:13" ht="15.9" customHeight="1" x14ac:dyDescent="0.3">
      <c r="B989" s="19" t="s">
        <v>2127</v>
      </c>
      <c r="C989" s="10" t="s">
        <v>2128</v>
      </c>
      <c r="D989" s="12" t="s">
        <v>2172</v>
      </c>
      <c r="E989" s="94">
        <v>32149973</v>
      </c>
      <c r="F989" s="166" t="s">
        <v>2173</v>
      </c>
      <c r="G989" s="2" t="s">
        <v>2796</v>
      </c>
      <c r="H989" s="70">
        <v>32044330</v>
      </c>
      <c r="I989" s="13" t="s">
        <v>2131</v>
      </c>
      <c r="J989" s="6" t="s">
        <v>2800</v>
      </c>
      <c r="K989" s="12">
        <v>7</v>
      </c>
      <c r="L989" s="12" t="s">
        <v>2172</v>
      </c>
      <c r="M989" s="47" t="s">
        <v>44</v>
      </c>
    </row>
    <row r="990" spans="2:13" ht="15.9" customHeight="1" x14ac:dyDescent="0.3">
      <c r="B990" s="19" t="s">
        <v>1584</v>
      </c>
      <c r="C990" s="11" t="s">
        <v>1735</v>
      </c>
      <c r="D990" s="12" t="s">
        <v>2364</v>
      </c>
      <c r="E990" s="115">
        <v>32044224</v>
      </c>
      <c r="F990" s="169" t="s">
        <v>2340</v>
      </c>
      <c r="G990" s="146" t="s">
        <v>1738</v>
      </c>
      <c r="H990" s="60">
        <v>32216902</v>
      </c>
      <c r="I990" s="10" t="s">
        <v>1739</v>
      </c>
      <c r="J990" s="154" t="s">
        <v>1740</v>
      </c>
      <c r="K990" s="12">
        <v>8</v>
      </c>
      <c r="L990" s="12" t="s">
        <v>2364</v>
      </c>
      <c r="M990" s="18" t="s">
        <v>44</v>
      </c>
    </row>
    <row r="991" spans="2:13" ht="15.9" customHeight="1" x14ac:dyDescent="0.3">
      <c r="B991" s="19" t="s">
        <v>1584</v>
      </c>
      <c r="C991" s="11" t="s">
        <v>1735</v>
      </c>
      <c r="D991" s="12" t="s">
        <v>2364</v>
      </c>
      <c r="E991" s="119">
        <v>32044224</v>
      </c>
      <c r="F991" s="168" t="s">
        <v>2340</v>
      </c>
      <c r="G991" s="146" t="s">
        <v>1738</v>
      </c>
      <c r="H991" s="60">
        <v>32180199</v>
      </c>
      <c r="I991" s="10" t="s">
        <v>2338</v>
      </c>
      <c r="J991" s="143" t="s">
        <v>2339</v>
      </c>
      <c r="K991" s="12">
        <v>8</v>
      </c>
      <c r="L991" s="12" t="s">
        <v>2364</v>
      </c>
      <c r="M991" s="18" t="s">
        <v>260</v>
      </c>
    </row>
    <row r="992" spans="2:13" ht="15.9" customHeight="1" x14ac:dyDescent="0.3">
      <c r="B992" s="19" t="s">
        <v>1584</v>
      </c>
      <c r="C992" s="11" t="s">
        <v>1735</v>
      </c>
      <c r="D992" s="12" t="s">
        <v>2364</v>
      </c>
      <c r="E992" s="115">
        <v>32044224</v>
      </c>
      <c r="F992" s="169" t="s">
        <v>2340</v>
      </c>
      <c r="G992" s="146" t="s">
        <v>1738</v>
      </c>
      <c r="H992" s="60">
        <v>32045325</v>
      </c>
      <c r="I992" s="10" t="s">
        <v>1742</v>
      </c>
      <c r="J992" s="6" t="s">
        <v>1743</v>
      </c>
      <c r="K992" s="12">
        <v>8</v>
      </c>
      <c r="L992" s="12" t="s">
        <v>2364</v>
      </c>
      <c r="M992" s="18" t="s">
        <v>1</v>
      </c>
    </row>
    <row r="993" spans="2:13" ht="15.9" customHeight="1" x14ac:dyDescent="0.3">
      <c r="B993" s="19" t="s">
        <v>1584</v>
      </c>
      <c r="C993" s="11" t="s">
        <v>1735</v>
      </c>
      <c r="D993" s="12" t="s">
        <v>2364</v>
      </c>
      <c r="E993" s="119">
        <v>32044224</v>
      </c>
      <c r="F993" s="199" t="s">
        <v>2340</v>
      </c>
      <c r="G993" s="147" t="s">
        <v>1738</v>
      </c>
      <c r="H993" s="60">
        <v>32045068</v>
      </c>
      <c r="I993" s="10" t="s">
        <v>1744</v>
      </c>
      <c r="J993" s="6" t="s">
        <v>1745</v>
      </c>
      <c r="K993" s="12">
        <v>8</v>
      </c>
      <c r="L993" s="12" t="s">
        <v>2364</v>
      </c>
      <c r="M993" s="18" t="s">
        <v>47</v>
      </c>
    </row>
    <row r="994" spans="2:13" ht="15.9" customHeight="1" x14ac:dyDescent="0.3">
      <c r="B994" s="11" t="s">
        <v>1584</v>
      </c>
      <c r="C994" s="11" t="s">
        <v>1735</v>
      </c>
      <c r="D994" s="12" t="s">
        <v>2364</v>
      </c>
      <c r="E994" s="119">
        <v>32044224</v>
      </c>
      <c r="F994" s="168" t="s">
        <v>2340</v>
      </c>
      <c r="G994" s="146" t="s">
        <v>1738</v>
      </c>
      <c r="H994" s="60">
        <v>32046004</v>
      </c>
      <c r="I994" s="10" t="s">
        <v>1746</v>
      </c>
      <c r="J994" s="6" t="s">
        <v>1747</v>
      </c>
      <c r="K994" s="12">
        <v>8</v>
      </c>
      <c r="L994" s="12" t="s">
        <v>2364</v>
      </c>
      <c r="M994" s="18" t="s">
        <v>260</v>
      </c>
    </row>
    <row r="995" spans="2:13" ht="15.9" customHeight="1" x14ac:dyDescent="0.3">
      <c r="B995" s="19" t="s">
        <v>1584</v>
      </c>
      <c r="C995" s="11" t="s">
        <v>1735</v>
      </c>
      <c r="D995" s="12" t="s">
        <v>2364</v>
      </c>
      <c r="E995" s="119">
        <v>32044224</v>
      </c>
      <c r="F995" s="168" t="s">
        <v>2340</v>
      </c>
      <c r="G995" s="150" t="s">
        <v>1738</v>
      </c>
      <c r="H995" s="60">
        <v>32046598</v>
      </c>
      <c r="I995" s="10" t="s">
        <v>1748</v>
      </c>
      <c r="J995" s="6" t="s">
        <v>1749</v>
      </c>
      <c r="K995" s="12">
        <v>8</v>
      </c>
      <c r="L995" s="12" t="s">
        <v>2364</v>
      </c>
      <c r="M995" s="18" t="s">
        <v>62</v>
      </c>
    </row>
    <row r="996" spans="2:13" ht="15.9" customHeight="1" x14ac:dyDescent="0.3">
      <c r="B996" s="19" t="s">
        <v>1584</v>
      </c>
      <c r="C996" s="20" t="s">
        <v>1735</v>
      </c>
      <c r="D996" s="21" t="s">
        <v>2364</v>
      </c>
      <c r="E996" s="115">
        <v>32044224</v>
      </c>
      <c r="F996" s="169" t="s">
        <v>2340</v>
      </c>
      <c r="G996" s="146" t="s">
        <v>1738</v>
      </c>
      <c r="H996" s="61">
        <v>32044358</v>
      </c>
      <c r="I996" s="24" t="s">
        <v>1750</v>
      </c>
      <c r="J996" s="6" t="s">
        <v>1751</v>
      </c>
      <c r="K996" s="12">
        <v>8</v>
      </c>
      <c r="L996" s="21" t="s">
        <v>2364</v>
      </c>
      <c r="M996" s="25" t="s">
        <v>1</v>
      </c>
    </row>
    <row r="997" spans="2:13" ht="15.9" customHeight="1" x14ac:dyDescent="0.3">
      <c r="B997" s="19" t="s">
        <v>1584</v>
      </c>
      <c r="C997" s="11" t="s">
        <v>1735</v>
      </c>
      <c r="D997" s="12" t="s">
        <v>2364</v>
      </c>
      <c r="E997" s="119">
        <v>32044224</v>
      </c>
      <c r="F997" s="168" t="s">
        <v>2340</v>
      </c>
      <c r="G997" s="146" t="s">
        <v>1738</v>
      </c>
      <c r="H997" s="60">
        <v>32046184</v>
      </c>
      <c r="I997" s="10" t="s">
        <v>1752</v>
      </c>
      <c r="J997" s="154" t="s">
        <v>1753</v>
      </c>
      <c r="K997" s="12">
        <v>8</v>
      </c>
      <c r="L997" s="12" t="s">
        <v>2364</v>
      </c>
      <c r="M997" s="18" t="s">
        <v>260</v>
      </c>
    </row>
    <row r="998" spans="2:13" ht="15.9" customHeight="1" x14ac:dyDescent="0.3">
      <c r="B998" s="19" t="s">
        <v>2127</v>
      </c>
      <c r="C998" s="11" t="s">
        <v>2235</v>
      </c>
      <c r="D998" s="12" t="s">
        <v>2236</v>
      </c>
      <c r="E998" s="112">
        <v>32149972</v>
      </c>
      <c r="F998" s="165" t="s">
        <v>2365</v>
      </c>
      <c r="G998" s="146" t="s">
        <v>2801</v>
      </c>
      <c r="H998" s="74">
        <v>32044570</v>
      </c>
      <c r="I998" s="13" t="s">
        <v>2473</v>
      </c>
      <c r="J998" s="81" t="s">
        <v>61</v>
      </c>
      <c r="K998" s="12">
        <v>5</v>
      </c>
      <c r="L998" s="12" t="s">
        <v>2236</v>
      </c>
      <c r="M998" s="47" t="s">
        <v>179</v>
      </c>
    </row>
    <row r="999" spans="2:13" ht="15.9" customHeight="1" x14ac:dyDescent="0.3">
      <c r="B999" s="19" t="s">
        <v>2127</v>
      </c>
      <c r="C999" s="11" t="s">
        <v>2235</v>
      </c>
      <c r="D999" s="12" t="s">
        <v>2236</v>
      </c>
      <c r="E999" s="94">
        <v>32149972</v>
      </c>
      <c r="F999" s="166" t="s">
        <v>2365</v>
      </c>
      <c r="G999" s="2" t="s">
        <v>2801</v>
      </c>
      <c r="H999" s="70">
        <v>32044381</v>
      </c>
      <c r="I999" s="13" t="s">
        <v>2242</v>
      </c>
      <c r="J999" s="28" t="s">
        <v>2802</v>
      </c>
      <c r="K999" s="12">
        <v>5</v>
      </c>
      <c r="L999" s="12" t="s">
        <v>2236</v>
      </c>
      <c r="M999" s="47" t="s">
        <v>47</v>
      </c>
    </row>
    <row r="1000" spans="2:13" ht="15.9" customHeight="1" x14ac:dyDescent="0.3">
      <c r="B1000" s="19" t="s">
        <v>2127</v>
      </c>
      <c r="C1000" s="11" t="s">
        <v>2235</v>
      </c>
      <c r="D1000" s="12" t="s">
        <v>2236</v>
      </c>
      <c r="E1000" s="112">
        <v>32149972</v>
      </c>
      <c r="F1000" s="165" t="s">
        <v>2365</v>
      </c>
      <c r="G1000" s="146" t="s">
        <v>2801</v>
      </c>
      <c r="H1000" s="74">
        <v>32044650</v>
      </c>
      <c r="I1000" s="13" t="s">
        <v>2240</v>
      </c>
      <c r="J1000" s="6" t="s">
        <v>2803</v>
      </c>
      <c r="K1000" s="12">
        <v>5</v>
      </c>
      <c r="L1000" s="12" t="s">
        <v>2236</v>
      </c>
      <c r="M1000" s="47" t="s">
        <v>35</v>
      </c>
    </row>
    <row r="1001" spans="2:13" ht="15.9" customHeight="1" x14ac:dyDescent="0.3">
      <c r="B1001" s="19" t="s">
        <v>2127</v>
      </c>
      <c r="C1001" s="11" t="s">
        <v>2235</v>
      </c>
      <c r="D1001" s="12" t="s">
        <v>2236</v>
      </c>
      <c r="E1001" s="94">
        <v>32149972</v>
      </c>
      <c r="F1001" s="166" t="s">
        <v>2365</v>
      </c>
      <c r="G1001" s="146" t="s">
        <v>2801</v>
      </c>
      <c r="H1001" s="70">
        <v>32146289</v>
      </c>
      <c r="I1001" s="13" t="s">
        <v>2241</v>
      </c>
      <c r="J1001" s="81" t="s">
        <v>61</v>
      </c>
      <c r="K1001" s="12">
        <v>5</v>
      </c>
      <c r="L1001" s="12" t="s">
        <v>2236</v>
      </c>
      <c r="M1001" s="47" t="s">
        <v>41</v>
      </c>
    </row>
    <row r="1002" spans="2:13" ht="15.9" customHeight="1" x14ac:dyDescent="0.3">
      <c r="B1002" s="19" t="s">
        <v>2127</v>
      </c>
      <c r="C1002" s="11" t="s">
        <v>2235</v>
      </c>
      <c r="D1002" s="12" t="s">
        <v>2236</v>
      </c>
      <c r="E1002" s="112">
        <v>32149972</v>
      </c>
      <c r="F1002" s="165" t="s">
        <v>2365</v>
      </c>
      <c r="G1002" s="147" t="s">
        <v>2801</v>
      </c>
      <c r="H1002" s="74">
        <v>32044247</v>
      </c>
      <c r="I1002" s="13" t="s">
        <v>2238</v>
      </c>
      <c r="J1002" s="154" t="s">
        <v>2804</v>
      </c>
      <c r="K1002" s="12">
        <v>5</v>
      </c>
      <c r="L1002" s="12" t="s">
        <v>2236</v>
      </c>
      <c r="M1002" s="47" t="s">
        <v>44</v>
      </c>
    </row>
    <row r="1003" spans="2:13" ht="15.9" customHeight="1" x14ac:dyDescent="0.3">
      <c r="B1003" s="19" t="s">
        <v>35</v>
      </c>
      <c r="C1003" s="11"/>
      <c r="D1003" s="12" t="s">
        <v>1962</v>
      </c>
      <c r="E1003" s="12">
        <v>32045302</v>
      </c>
      <c r="F1003" s="67" t="s">
        <v>1963</v>
      </c>
      <c r="G1003" s="146" t="s">
        <v>1964</v>
      </c>
      <c r="H1003" s="60">
        <v>32045544</v>
      </c>
      <c r="I1003" s="13" t="s">
        <v>1965</v>
      </c>
      <c r="J1003" s="6" t="s">
        <v>1966</v>
      </c>
      <c r="K1003" s="12">
        <v>13</v>
      </c>
      <c r="L1003" s="12" t="s">
        <v>1962</v>
      </c>
      <c r="M1003" s="50" t="s">
        <v>41</v>
      </c>
    </row>
    <row r="1004" spans="2:13" ht="15.9" customHeight="1" x14ac:dyDescent="0.3">
      <c r="B1004" s="19" t="s">
        <v>35</v>
      </c>
      <c r="C1004" s="11"/>
      <c r="D1004" s="12" t="s">
        <v>1962</v>
      </c>
      <c r="E1004" s="12">
        <v>32045302</v>
      </c>
      <c r="F1004" s="67" t="s">
        <v>1963</v>
      </c>
      <c r="G1004" s="150" t="s">
        <v>1964</v>
      </c>
      <c r="H1004" s="60">
        <v>32044266</v>
      </c>
      <c r="I1004" s="13" t="s">
        <v>1967</v>
      </c>
      <c r="J1004" s="154" t="s">
        <v>1968</v>
      </c>
      <c r="K1004" s="12">
        <v>13</v>
      </c>
      <c r="L1004" s="12" t="s">
        <v>1962</v>
      </c>
      <c r="M1004" s="50" t="s">
        <v>179</v>
      </c>
    </row>
    <row r="1005" spans="2:13" ht="15.9" customHeight="1" x14ac:dyDescent="0.3">
      <c r="B1005" s="19" t="s">
        <v>35</v>
      </c>
      <c r="C1005" s="11"/>
      <c r="D1005" s="12" t="s">
        <v>1962</v>
      </c>
      <c r="E1005" s="12">
        <v>32045492</v>
      </c>
      <c r="F1005" s="67" t="s">
        <v>1963</v>
      </c>
      <c r="G1005" s="146" t="s">
        <v>1964</v>
      </c>
      <c r="H1005" s="60">
        <v>32045442</v>
      </c>
      <c r="I1005" s="13" t="s">
        <v>1969</v>
      </c>
      <c r="J1005" s="6" t="s">
        <v>1970</v>
      </c>
      <c r="K1005" s="12">
        <v>13</v>
      </c>
      <c r="L1005" s="12" t="s">
        <v>1962</v>
      </c>
      <c r="M1005" s="50" t="s">
        <v>41</v>
      </c>
    </row>
    <row r="1006" spans="2:13" ht="15.9" customHeight="1" x14ac:dyDescent="0.3">
      <c r="B1006" s="19" t="s">
        <v>35</v>
      </c>
      <c r="C1006" s="11"/>
      <c r="D1006" s="12" t="s">
        <v>1962</v>
      </c>
      <c r="E1006" s="12">
        <v>32045302</v>
      </c>
      <c r="F1006" s="67" t="s">
        <v>1963</v>
      </c>
      <c r="G1006" s="146" t="s">
        <v>1964</v>
      </c>
      <c r="H1006" s="60">
        <v>32045490</v>
      </c>
      <c r="I1006" s="13" t="s">
        <v>1971</v>
      </c>
      <c r="J1006" s="6" t="s">
        <v>1972</v>
      </c>
      <c r="K1006" s="12">
        <v>13</v>
      </c>
      <c r="L1006" s="12" t="s">
        <v>1962</v>
      </c>
      <c r="M1006" s="50" t="s">
        <v>38</v>
      </c>
    </row>
    <row r="1007" spans="2:13" ht="15.9" customHeight="1" x14ac:dyDescent="0.3">
      <c r="B1007" s="19" t="s">
        <v>35</v>
      </c>
      <c r="C1007" s="11"/>
      <c r="D1007" s="12" t="s">
        <v>1962</v>
      </c>
      <c r="E1007" s="12">
        <v>32045881</v>
      </c>
      <c r="F1007" s="67" t="s">
        <v>1963</v>
      </c>
      <c r="G1007" s="146" t="s">
        <v>1964</v>
      </c>
      <c r="H1007" s="60">
        <v>32045840</v>
      </c>
      <c r="I1007" s="13" t="s">
        <v>1973</v>
      </c>
      <c r="J1007" s="6" t="s">
        <v>1974</v>
      </c>
      <c r="K1007" s="12">
        <v>13</v>
      </c>
      <c r="L1007" s="12" t="s">
        <v>1962</v>
      </c>
      <c r="M1007" s="50" t="s">
        <v>179</v>
      </c>
    </row>
    <row r="1008" spans="2:13" ht="15.9" customHeight="1" x14ac:dyDescent="0.3">
      <c r="B1008" s="19" t="s">
        <v>35</v>
      </c>
      <c r="C1008" s="11"/>
      <c r="D1008" s="12" t="s">
        <v>1962</v>
      </c>
      <c r="E1008" s="12">
        <v>32045881</v>
      </c>
      <c r="F1008" s="67" t="s">
        <v>1963</v>
      </c>
      <c r="G1008" s="146" t="s">
        <v>1964</v>
      </c>
      <c r="H1008" s="60">
        <v>32045441</v>
      </c>
      <c r="I1008" s="13" t="s">
        <v>1975</v>
      </c>
      <c r="J1008" s="6" t="s">
        <v>1976</v>
      </c>
      <c r="K1008" s="12">
        <v>13</v>
      </c>
      <c r="L1008" s="12" t="s">
        <v>1962</v>
      </c>
      <c r="M1008" s="50" t="s">
        <v>38</v>
      </c>
    </row>
    <row r="1009" spans="1:13" ht="15.9" customHeight="1" x14ac:dyDescent="0.3">
      <c r="B1009" s="19" t="s">
        <v>35</v>
      </c>
      <c r="C1009" s="20"/>
      <c r="D1009" s="21" t="s">
        <v>1962</v>
      </c>
      <c r="E1009" s="12">
        <v>32045492</v>
      </c>
      <c r="F1009" s="79" t="s">
        <v>1963</v>
      </c>
      <c r="G1009" s="146" t="s">
        <v>1964</v>
      </c>
      <c r="H1009" s="61">
        <v>32132187</v>
      </c>
      <c r="I1009" s="22" t="s">
        <v>1977</v>
      </c>
      <c r="J1009" s="6" t="s">
        <v>1978</v>
      </c>
      <c r="K1009" s="12">
        <v>13</v>
      </c>
      <c r="L1009" s="21" t="s">
        <v>1962</v>
      </c>
      <c r="M1009" s="52" t="s">
        <v>47</v>
      </c>
    </row>
    <row r="1010" spans="1:13" ht="15.9" customHeight="1" x14ac:dyDescent="0.3">
      <c r="B1010" s="11" t="s">
        <v>35</v>
      </c>
      <c r="C1010" s="20"/>
      <c r="D1010" s="21" t="s">
        <v>1962</v>
      </c>
      <c r="E1010" s="12">
        <v>32045881</v>
      </c>
      <c r="F1010" s="79" t="s">
        <v>1963</v>
      </c>
      <c r="G1010" s="146" t="s">
        <v>1964</v>
      </c>
      <c r="H1010" s="61">
        <v>32045491</v>
      </c>
      <c r="I1010" s="55" t="s">
        <v>1979</v>
      </c>
      <c r="J1010" s="6" t="s">
        <v>1980</v>
      </c>
      <c r="K1010" s="12">
        <v>13</v>
      </c>
      <c r="L1010" s="21" t="s">
        <v>1962</v>
      </c>
      <c r="M1010" s="52" t="s">
        <v>44</v>
      </c>
    </row>
    <row r="1011" spans="1:13" ht="15.9" customHeight="1" x14ac:dyDescent="0.3">
      <c r="B1011" s="11" t="s">
        <v>35</v>
      </c>
      <c r="C1011" s="20"/>
      <c r="D1011" s="21" t="s">
        <v>1962</v>
      </c>
      <c r="E1011" s="12">
        <v>32045492</v>
      </c>
      <c r="F1011" s="79" t="s">
        <v>1963</v>
      </c>
      <c r="G1011" s="147" t="s">
        <v>1964</v>
      </c>
      <c r="H1011" s="61">
        <v>32045857</v>
      </c>
      <c r="I1011" s="13" t="s">
        <v>1981</v>
      </c>
      <c r="J1011" s="6" t="s">
        <v>1982</v>
      </c>
      <c r="K1011" s="12">
        <v>13</v>
      </c>
      <c r="L1011" s="21" t="s">
        <v>1962</v>
      </c>
      <c r="M1011" s="50" t="s">
        <v>47</v>
      </c>
    </row>
    <row r="1012" spans="1:13" ht="15.9" customHeight="1" x14ac:dyDescent="0.3">
      <c r="B1012" s="11" t="s">
        <v>35</v>
      </c>
      <c r="C1012" s="20"/>
      <c r="D1012" s="21" t="s">
        <v>1962</v>
      </c>
      <c r="E1012" s="110">
        <v>32045881</v>
      </c>
      <c r="F1012" s="133" t="s">
        <v>1963</v>
      </c>
      <c r="G1012" s="146" t="s">
        <v>1964</v>
      </c>
      <c r="H1012" s="61">
        <v>32045419</v>
      </c>
      <c r="I1012" s="13" t="s">
        <v>1983</v>
      </c>
      <c r="J1012" s="6" t="s">
        <v>1984</v>
      </c>
      <c r="K1012" s="12">
        <v>13</v>
      </c>
      <c r="L1012" s="21" t="s">
        <v>1962</v>
      </c>
      <c r="M1012" s="50" t="s">
        <v>44</v>
      </c>
    </row>
    <row r="1013" spans="1:13" ht="15.9" customHeight="1" x14ac:dyDescent="0.3">
      <c r="B1013" s="11" t="s">
        <v>35</v>
      </c>
      <c r="C1013" s="20"/>
      <c r="D1013" s="21" t="s">
        <v>1962</v>
      </c>
      <c r="E1013" s="113">
        <v>32045881</v>
      </c>
      <c r="F1013" s="130" t="s">
        <v>1963</v>
      </c>
      <c r="G1013" s="150" t="s">
        <v>1964</v>
      </c>
      <c r="H1013" s="61">
        <v>32044798</v>
      </c>
      <c r="I1013" s="13" t="s">
        <v>1985</v>
      </c>
      <c r="J1013" s="6" t="s">
        <v>1986</v>
      </c>
      <c r="K1013" s="12">
        <v>13</v>
      </c>
      <c r="L1013" s="21" t="s">
        <v>1962</v>
      </c>
      <c r="M1013" s="50" t="s">
        <v>38</v>
      </c>
    </row>
    <row r="1014" spans="1:13" ht="15.9" customHeight="1" x14ac:dyDescent="0.3">
      <c r="B1014" s="11" t="s">
        <v>35</v>
      </c>
      <c r="C1014" s="20"/>
      <c r="D1014" s="21" t="s">
        <v>1962</v>
      </c>
      <c r="E1014" s="12">
        <v>32045492</v>
      </c>
      <c r="F1014" s="79" t="s">
        <v>1963</v>
      </c>
      <c r="G1014" s="146" t="s">
        <v>1964</v>
      </c>
      <c r="H1014" s="61">
        <v>32044309</v>
      </c>
      <c r="I1014" s="13" t="s">
        <v>1987</v>
      </c>
      <c r="J1014" s="6" t="s">
        <v>1988</v>
      </c>
      <c r="K1014" s="12">
        <v>13</v>
      </c>
      <c r="L1014" s="21" t="s">
        <v>1962</v>
      </c>
      <c r="M1014" s="50" t="s">
        <v>44</v>
      </c>
    </row>
    <row r="1015" spans="1:13" ht="15.9" customHeight="1" x14ac:dyDescent="0.3">
      <c r="A1015" s="6" t="s">
        <v>1848</v>
      </c>
      <c r="B1015" s="11" t="s">
        <v>35</v>
      </c>
      <c r="C1015" s="20"/>
      <c r="D1015" s="21" t="s">
        <v>1962</v>
      </c>
      <c r="E1015" s="113">
        <v>32045302</v>
      </c>
      <c r="F1015" s="130" t="s">
        <v>1963</v>
      </c>
      <c r="G1015" s="146" t="s">
        <v>1964</v>
      </c>
      <c r="H1015" s="61">
        <v>32044517</v>
      </c>
      <c r="I1015" s="13" t="s">
        <v>1989</v>
      </c>
      <c r="J1015" s="6" t="s">
        <v>1990</v>
      </c>
      <c r="K1015" s="12">
        <v>13</v>
      </c>
      <c r="L1015" s="21" t="s">
        <v>1962</v>
      </c>
      <c r="M1015" s="50" t="s">
        <v>47</v>
      </c>
    </row>
    <row r="1016" spans="1:13" ht="15.9" customHeight="1" x14ac:dyDescent="0.3">
      <c r="B1016" s="11" t="s">
        <v>1584</v>
      </c>
      <c r="C1016" s="20"/>
      <c r="D1016" s="111" t="s">
        <v>2366</v>
      </c>
      <c r="E1016" s="121">
        <v>32223611</v>
      </c>
      <c r="F1016" s="191" t="s">
        <v>2367</v>
      </c>
      <c r="G1016" s="203" t="s">
        <v>2805</v>
      </c>
      <c r="H1016" s="61"/>
      <c r="I1016" s="10"/>
      <c r="J1016" s="10"/>
      <c r="K1016" s="12"/>
      <c r="L1016" s="24"/>
      <c r="M1016" s="18"/>
    </row>
    <row r="1017" spans="1:13" ht="15.9" customHeight="1" x14ac:dyDescent="0.3">
      <c r="B1017" s="11" t="s">
        <v>1584</v>
      </c>
      <c r="C1017" s="20"/>
      <c r="D1017" s="111" t="s">
        <v>1782</v>
      </c>
      <c r="E1017" s="121">
        <v>32214584</v>
      </c>
      <c r="F1017" s="170" t="s">
        <v>1783</v>
      </c>
      <c r="G1017" s="146" t="s">
        <v>2806</v>
      </c>
      <c r="H1017" s="60"/>
      <c r="I1017" s="10"/>
      <c r="J1017" s="80"/>
      <c r="K1017" s="12"/>
      <c r="L1017" s="24"/>
      <c r="M1017" s="18"/>
    </row>
    <row r="1018" spans="1:13" ht="15.9" customHeight="1" x14ac:dyDescent="0.3">
      <c r="B1018" s="11" t="s">
        <v>363</v>
      </c>
      <c r="C1018" s="20" t="s">
        <v>1392</v>
      </c>
      <c r="D1018" s="21" t="s">
        <v>1393</v>
      </c>
      <c r="E1018" s="112">
        <v>32231920</v>
      </c>
      <c r="F1018" s="167" t="s">
        <v>1079</v>
      </c>
      <c r="G1018" s="146" t="s">
        <v>1106</v>
      </c>
      <c r="H1018" s="60">
        <v>32107143</v>
      </c>
      <c r="I1018" s="10" t="s">
        <v>1404</v>
      </c>
      <c r="J1018" s="6" t="s">
        <v>1405</v>
      </c>
      <c r="K1018" s="12">
        <v>14</v>
      </c>
      <c r="L1018" s="24" t="s">
        <v>1393</v>
      </c>
      <c r="M1018" s="18" t="s">
        <v>453</v>
      </c>
    </row>
    <row r="1019" spans="1:13" ht="15.9" customHeight="1" x14ac:dyDescent="0.3">
      <c r="B1019" s="11" t="s">
        <v>363</v>
      </c>
      <c r="C1019" s="20" t="s">
        <v>1392</v>
      </c>
      <c r="D1019" s="21" t="s">
        <v>1393</v>
      </c>
      <c r="E1019" s="94">
        <v>32231920</v>
      </c>
      <c r="F1019" s="166" t="s">
        <v>1079</v>
      </c>
      <c r="G1019" s="146" t="s">
        <v>1106</v>
      </c>
      <c r="H1019" s="60">
        <v>32178729</v>
      </c>
      <c r="I1019" s="10" t="s">
        <v>1414</v>
      </c>
      <c r="J1019" s="6" t="s">
        <v>1415</v>
      </c>
      <c r="K1019" s="12">
        <v>14</v>
      </c>
      <c r="L1019" s="24" t="s">
        <v>1393</v>
      </c>
      <c r="M1019" s="51" t="s">
        <v>461</v>
      </c>
    </row>
    <row r="1020" spans="1:13" ht="15.9" customHeight="1" x14ac:dyDescent="0.3">
      <c r="B1020" s="11" t="s">
        <v>363</v>
      </c>
      <c r="C1020" s="20" t="s">
        <v>1392</v>
      </c>
      <c r="D1020" s="21" t="s">
        <v>1393</v>
      </c>
      <c r="E1020" s="95">
        <v>32231920</v>
      </c>
      <c r="F1020" s="163" t="s">
        <v>1079</v>
      </c>
      <c r="G1020" s="2" t="s">
        <v>1106</v>
      </c>
      <c r="H1020" s="60">
        <v>32045954</v>
      </c>
      <c r="I1020" s="10" t="s">
        <v>2474</v>
      </c>
      <c r="J1020" s="80" t="s">
        <v>61</v>
      </c>
      <c r="K1020" s="12">
        <v>14</v>
      </c>
      <c r="L1020" s="24" t="s">
        <v>1393</v>
      </c>
      <c r="M1020" s="51" t="s">
        <v>705</v>
      </c>
    </row>
    <row r="1021" spans="1:13" ht="15.9" customHeight="1" x14ac:dyDescent="0.3">
      <c r="B1021" s="19" t="s">
        <v>363</v>
      </c>
      <c r="C1021" s="20" t="s">
        <v>1392</v>
      </c>
      <c r="D1021" s="21" t="s">
        <v>1393</v>
      </c>
      <c r="E1021" s="94">
        <v>32231920</v>
      </c>
      <c r="F1021" s="166" t="s">
        <v>1079</v>
      </c>
      <c r="G1021" s="146" t="s">
        <v>1106</v>
      </c>
      <c r="H1021" s="61">
        <v>32067361</v>
      </c>
      <c r="I1021" s="24" t="s">
        <v>1169</v>
      </c>
      <c r="J1021" s="6" t="s">
        <v>1170</v>
      </c>
      <c r="K1021" s="21">
        <v>14</v>
      </c>
      <c r="L1021" s="24" t="s">
        <v>1393</v>
      </c>
      <c r="M1021" s="51" t="s">
        <v>711</v>
      </c>
    </row>
    <row r="1022" spans="1:13" ht="15.9" customHeight="1" x14ac:dyDescent="0.3">
      <c r="B1022" s="17" t="s">
        <v>363</v>
      </c>
      <c r="C1022" s="20" t="s">
        <v>1392</v>
      </c>
      <c r="D1022" s="21" t="s">
        <v>1393</v>
      </c>
      <c r="E1022" s="94">
        <v>32231920</v>
      </c>
      <c r="F1022" s="166" t="s">
        <v>1079</v>
      </c>
      <c r="G1022" s="146" t="s">
        <v>1106</v>
      </c>
      <c r="H1022" s="60">
        <v>32061469</v>
      </c>
      <c r="I1022" s="10" t="s">
        <v>1402</v>
      </c>
      <c r="J1022" s="6" t="s">
        <v>1403</v>
      </c>
      <c r="K1022" s="12">
        <v>14</v>
      </c>
      <c r="L1022" s="24" t="s">
        <v>1393</v>
      </c>
      <c r="M1022" s="51" t="s">
        <v>1069</v>
      </c>
    </row>
    <row r="1023" spans="1:13" ht="15.9" customHeight="1" x14ac:dyDescent="0.3">
      <c r="B1023" s="17" t="s">
        <v>363</v>
      </c>
      <c r="C1023" s="20" t="s">
        <v>1392</v>
      </c>
      <c r="D1023" s="21" t="s">
        <v>1393</v>
      </c>
      <c r="E1023" s="116">
        <v>32231920</v>
      </c>
      <c r="F1023" s="167" t="s">
        <v>1079</v>
      </c>
      <c r="G1023" s="146" t="s">
        <v>1106</v>
      </c>
      <c r="H1023" s="60">
        <v>32188121</v>
      </c>
      <c r="I1023" s="10" t="s">
        <v>1419</v>
      </c>
      <c r="J1023" s="154" t="s">
        <v>1420</v>
      </c>
      <c r="K1023" s="12">
        <v>14</v>
      </c>
      <c r="L1023" s="24" t="s">
        <v>1393</v>
      </c>
      <c r="M1023" s="51" t="s">
        <v>973</v>
      </c>
    </row>
    <row r="1024" spans="1:13" ht="15.9" customHeight="1" x14ac:dyDescent="0.3">
      <c r="B1024" s="17" t="s">
        <v>363</v>
      </c>
      <c r="C1024" s="20" t="s">
        <v>1392</v>
      </c>
      <c r="D1024" s="21" t="s">
        <v>1393</v>
      </c>
      <c r="E1024" s="116">
        <v>32231920</v>
      </c>
      <c r="F1024" s="167" t="s">
        <v>1079</v>
      </c>
      <c r="G1024" s="146" t="s">
        <v>1106</v>
      </c>
      <c r="H1024" s="60">
        <v>32044841</v>
      </c>
      <c r="I1024" s="10" t="s">
        <v>1395</v>
      </c>
      <c r="J1024" s="80" t="s">
        <v>61</v>
      </c>
      <c r="K1024" s="12">
        <v>14</v>
      </c>
      <c r="L1024" s="24" t="s">
        <v>1393</v>
      </c>
      <c r="M1024" s="51" t="s">
        <v>973</v>
      </c>
    </row>
    <row r="1025" spans="2:13" ht="15.9" customHeight="1" x14ac:dyDescent="0.3">
      <c r="B1025" s="17" t="s">
        <v>363</v>
      </c>
      <c r="C1025" s="20" t="s">
        <v>1392</v>
      </c>
      <c r="D1025" s="21" t="s">
        <v>1393</v>
      </c>
      <c r="E1025" s="112">
        <v>32231920</v>
      </c>
      <c r="F1025" s="165" t="s">
        <v>1079</v>
      </c>
      <c r="G1025" s="146" t="s">
        <v>1106</v>
      </c>
      <c r="H1025" s="60">
        <v>32143627</v>
      </c>
      <c r="I1025" s="10" t="s">
        <v>1412</v>
      </c>
      <c r="J1025" s="6" t="s">
        <v>1413</v>
      </c>
      <c r="K1025" s="12">
        <v>14</v>
      </c>
      <c r="L1025" s="10" t="s">
        <v>1393</v>
      </c>
      <c r="M1025" s="51" t="s">
        <v>447</v>
      </c>
    </row>
    <row r="1026" spans="2:13" ht="15.9" customHeight="1" x14ac:dyDescent="0.3">
      <c r="B1026" s="19" t="s">
        <v>363</v>
      </c>
      <c r="C1026" s="20" t="s">
        <v>1392</v>
      </c>
      <c r="D1026" s="21" t="s">
        <v>1393</v>
      </c>
      <c r="E1026" s="112">
        <v>32231920</v>
      </c>
      <c r="F1026" s="165" t="s">
        <v>1079</v>
      </c>
      <c r="G1026" s="146" t="s">
        <v>1106</v>
      </c>
      <c r="H1026" s="61">
        <v>32046218</v>
      </c>
      <c r="I1026" s="24" t="s">
        <v>1400</v>
      </c>
      <c r="J1026" s="6" t="s">
        <v>1401</v>
      </c>
      <c r="K1026" s="21">
        <v>14</v>
      </c>
      <c r="L1026" s="10" t="s">
        <v>1393</v>
      </c>
      <c r="M1026" s="51" t="s">
        <v>564</v>
      </c>
    </row>
    <row r="1027" spans="2:13" ht="15.9" customHeight="1" x14ac:dyDescent="0.3">
      <c r="B1027" s="19" t="s">
        <v>363</v>
      </c>
      <c r="C1027" s="20" t="s">
        <v>1392</v>
      </c>
      <c r="D1027" s="21" t="s">
        <v>1393</v>
      </c>
      <c r="E1027" s="112">
        <v>32231920</v>
      </c>
      <c r="F1027" s="165" t="s">
        <v>1079</v>
      </c>
      <c r="G1027" s="146" t="s">
        <v>1106</v>
      </c>
      <c r="H1027" s="60">
        <v>32132594</v>
      </c>
      <c r="I1027" s="10" t="s">
        <v>1408</v>
      </c>
      <c r="J1027" s="6" t="s">
        <v>1409</v>
      </c>
      <c r="K1027" s="12">
        <v>14</v>
      </c>
      <c r="L1027" s="10" t="s">
        <v>1393</v>
      </c>
      <c r="M1027" s="51" t="s">
        <v>719</v>
      </c>
    </row>
    <row r="1028" spans="2:13" ht="15.9" customHeight="1" x14ac:dyDescent="0.3">
      <c r="B1028" s="19" t="s">
        <v>363</v>
      </c>
      <c r="C1028" s="20" t="s">
        <v>1392</v>
      </c>
      <c r="D1028" s="21" t="s">
        <v>1393</v>
      </c>
      <c r="E1028" s="116">
        <v>32231920</v>
      </c>
      <c r="F1028" s="167" t="s">
        <v>1079</v>
      </c>
      <c r="G1028" s="146" t="s">
        <v>1106</v>
      </c>
      <c r="H1028" s="61">
        <v>32046145</v>
      </c>
      <c r="I1028" s="24" t="s">
        <v>1398</v>
      </c>
      <c r="J1028" s="6" t="s">
        <v>1399</v>
      </c>
      <c r="K1028" s="12">
        <v>14</v>
      </c>
      <c r="L1028" s="24" t="s">
        <v>1393</v>
      </c>
      <c r="M1028" s="51" t="s">
        <v>456</v>
      </c>
    </row>
    <row r="1029" spans="2:13" ht="15.9" customHeight="1" x14ac:dyDescent="0.3">
      <c r="B1029" s="19" t="s">
        <v>363</v>
      </c>
      <c r="C1029" s="20" t="s">
        <v>1392</v>
      </c>
      <c r="D1029" s="21" t="s">
        <v>1393</v>
      </c>
      <c r="E1029" s="116">
        <v>32231920</v>
      </c>
      <c r="F1029" s="167" t="s">
        <v>1079</v>
      </c>
      <c r="G1029" s="146" t="s">
        <v>1106</v>
      </c>
      <c r="H1029" s="60">
        <v>32142771</v>
      </c>
      <c r="I1029" s="10" t="s">
        <v>1410</v>
      </c>
      <c r="J1029" s="6" t="s">
        <v>1411</v>
      </c>
      <c r="K1029" s="12">
        <v>14</v>
      </c>
      <c r="L1029" s="24" t="s">
        <v>1393</v>
      </c>
      <c r="M1029" s="51" t="s">
        <v>1056</v>
      </c>
    </row>
    <row r="1030" spans="2:13" ht="15.9" customHeight="1" x14ac:dyDescent="0.3">
      <c r="B1030" s="11" t="s">
        <v>363</v>
      </c>
      <c r="C1030" s="20" t="s">
        <v>1392</v>
      </c>
      <c r="D1030" s="21" t="s">
        <v>1393</v>
      </c>
      <c r="E1030" s="116">
        <v>32231920</v>
      </c>
      <c r="F1030" s="167" t="s">
        <v>1079</v>
      </c>
      <c r="G1030" s="146" t="s">
        <v>1106</v>
      </c>
      <c r="H1030" s="60">
        <v>32131834</v>
      </c>
      <c r="I1030" s="10" t="s">
        <v>1406</v>
      </c>
      <c r="J1030" s="6" t="s">
        <v>1407</v>
      </c>
      <c r="K1030" s="12">
        <v>14</v>
      </c>
      <c r="L1030" s="24" t="s">
        <v>1393</v>
      </c>
      <c r="M1030" s="51" t="s">
        <v>1074</v>
      </c>
    </row>
    <row r="1031" spans="2:13" ht="15.9" customHeight="1" x14ac:dyDescent="0.3">
      <c r="B1031" s="19" t="s">
        <v>363</v>
      </c>
      <c r="C1031" s="20" t="s">
        <v>1392</v>
      </c>
      <c r="D1031" s="21" t="s">
        <v>1393</v>
      </c>
      <c r="E1031" s="94">
        <v>32231920</v>
      </c>
      <c r="F1031" s="166" t="s">
        <v>1079</v>
      </c>
      <c r="G1031" s="146" t="s">
        <v>1106</v>
      </c>
      <c r="H1031" s="60">
        <v>32045850</v>
      </c>
      <c r="I1031" s="10" t="s">
        <v>1396</v>
      </c>
      <c r="J1031" s="6" t="s">
        <v>1397</v>
      </c>
      <c r="K1031" s="12">
        <v>14</v>
      </c>
      <c r="L1031" s="24" t="s">
        <v>1393</v>
      </c>
      <c r="M1031" s="51" t="s">
        <v>1077</v>
      </c>
    </row>
    <row r="1032" spans="2:13" ht="15.9" customHeight="1" x14ac:dyDescent="0.3">
      <c r="B1032" s="19" t="s">
        <v>2127</v>
      </c>
      <c r="C1032" s="20" t="s">
        <v>2284</v>
      </c>
      <c r="D1032" s="21" t="s">
        <v>2297</v>
      </c>
      <c r="E1032" s="113">
        <v>32045092</v>
      </c>
      <c r="F1032" s="129" t="s">
        <v>2298</v>
      </c>
      <c r="G1032" s="146" t="s">
        <v>2807</v>
      </c>
      <c r="H1032" s="70">
        <v>32043788</v>
      </c>
      <c r="I1032" s="28" t="s">
        <v>2303</v>
      </c>
      <c r="J1032" s="6" t="s">
        <v>2808</v>
      </c>
      <c r="K1032" s="12">
        <v>15</v>
      </c>
      <c r="L1032" s="21" t="s">
        <v>2297</v>
      </c>
      <c r="M1032" s="66" t="s">
        <v>2145</v>
      </c>
    </row>
    <row r="1033" spans="2:13" ht="15.9" customHeight="1" x14ac:dyDescent="0.3">
      <c r="B1033" s="19" t="s">
        <v>2127</v>
      </c>
      <c r="C1033" s="20" t="s">
        <v>2284</v>
      </c>
      <c r="D1033" s="21" t="s">
        <v>2297</v>
      </c>
      <c r="E1033" s="21">
        <v>32045092</v>
      </c>
      <c r="F1033" s="52" t="s">
        <v>2298</v>
      </c>
      <c r="G1033" s="146" t="s">
        <v>2807</v>
      </c>
      <c r="H1033" s="70">
        <v>32149476</v>
      </c>
      <c r="I1033" s="28" t="s">
        <v>2475</v>
      </c>
      <c r="J1033" s="143" t="s">
        <v>61</v>
      </c>
      <c r="K1033" s="12">
        <v>15</v>
      </c>
      <c r="L1033" s="21" t="s">
        <v>2297</v>
      </c>
      <c r="M1033" s="66" t="s">
        <v>179</v>
      </c>
    </row>
    <row r="1034" spans="2:13" ht="15.9" customHeight="1" x14ac:dyDescent="0.3">
      <c r="B1034" s="19" t="s">
        <v>2127</v>
      </c>
      <c r="C1034" s="20" t="s">
        <v>2284</v>
      </c>
      <c r="D1034" s="21" t="s">
        <v>2297</v>
      </c>
      <c r="E1034" s="21">
        <v>32045092</v>
      </c>
      <c r="F1034" s="52" t="s">
        <v>2298</v>
      </c>
      <c r="G1034" s="146" t="s">
        <v>2807</v>
      </c>
      <c r="H1034" s="205">
        <v>32043833</v>
      </c>
      <c r="I1034" s="45" t="s">
        <v>2307</v>
      </c>
      <c r="J1034" s="6" t="s">
        <v>2809</v>
      </c>
      <c r="K1034" s="21">
        <v>15</v>
      </c>
      <c r="L1034" s="21" t="s">
        <v>2297</v>
      </c>
      <c r="M1034" s="66" t="s">
        <v>511</v>
      </c>
    </row>
    <row r="1035" spans="2:13" ht="15.9" customHeight="1" x14ac:dyDescent="0.3">
      <c r="B1035" s="19" t="s">
        <v>2127</v>
      </c>
      <c r="C1035" s="20" t="s">
        <v>2284</v>
      </c>
      <c r="D1035" s="21" t="s">
        <v>2297</v>
      </c>
      <c r="E1035" s="25">
        <v>32045092</v>
      </c>
      <c r="F1035" s="50" t="s">
        <v>2298</v>
      </c>
      <c r="G1035" s="147" t="s">
        <v>2807</v>
      </c>
      <c r="H1035" s="70">
        <v>32044250</v>
      </c>
      <c r="I1035" s="28" t="s">
        <v>2300</v>
      </c>
      <c r="J1035" s="6" t="s">
        <v>2810</v>
      </c>
      <c r="K1035" s="12">
        <v>15</v>
      </c>
      <c r="L1035" s="21" t="s">
        <v>2297</v>
      </c>
      <c r="M1035" s="66" t="s">
        <v>1</v>
      </c>
    </row>
    <row r="1036" spans="2:13" ht="15.9" customHeight="1" x14ac:dyDescent="0.3">
      <c r="B1036" s="19" t="s">
        <v>2127</v>
      </c>
      <c r="C1036" s="20" t="s">
        <v>2284</v>
      </c>
      <c r="D1036" s="21" t="s">
        <v>2297</v>
      </c>
      <c r="E1036" s="113">
        <v>32045092</v>
      </c>
      <c r="F1036" s="192" t="s">
        <v>2298</v>
      </c>
      <c r="G1036" s="146" t="s">
        <v>2807</v>
      </c>
      <c r="H1036" s="70">
        <v>32044190</v>
      </c>
      <c r="I1036" s="28" t="s">
        <v>2306</v>
      </c>
      <c r="J1036" s="6" t="s">
        <v>2811</v>
      </c>
      <c r="K1036" s="12">
        <v>15</v>
      </c>
      <c r="L1036" s="21" t="s">
        <v>2297</v>
      </c>
      <c r="M1036" s="47" t="s">
        <v>35</v>
      </c>
    </row>
    <row r="1037" spans="2:13" ht="15.9" customHeight="1" x14ac:dyDescent="0.3">
      <c r="B1037" s="19" t="s">
        <v>2127</v>
      </c>
      <c r="C1037" s="20" t="s">
        <v>2284</v>
      </c>
      <c r="D1037" s="21" t="s">
        <v>2297</v>
      </c>
      <c r="E1037" s="12">
        <v>32045092</v>
      </c>
      <c r="F1037" s="50" t="s">
        <v>2298</v>
      </c>
      <c r="G1037" s="150" t="s">
        <v>2807</v>
      </c>
      <c r="H1037" s="70">
        <v>32045360</v>
      </c>
      <c r="I1037" s="28" t="s">
        <v>2476</v>
      </c>
      <c r="J1037" s="143" t="s">
        <v>61</v>
      </c>
      <c r="K1037" s="12">
        <v>15</v>
      </c>
      <c r="L1037" s="21" t="s">
        <v>2297</v>
      </c>
      <c r="M1037" s="47" t="s">
        <v>719</v>
      </c>
    </row>
    <row r="1038" spans="2:13" ht="15.9" customHeight="1" x14ac:dyDescent="0.3">
      <c r="B1038" s="19" t="s">
        <v>2127</v>
      </c>
      <c r="C1038" s="20" t="s">
        <v>2284</v>
      </c>
      <c r="D1038" s="21" t="s">
        <v>2297</v>
      </c>
      <c r="E1038" s="12">
        <v>32045092</v>
      </c>
      <c r="F1038" s="50" t="s">
        <v>2298</v>
      </c>
      <c r="G1038" s="146" t="s">
        <v>2807</v>
      </c>
      <c r="H1038" s="70">
        <v>32043828</v>
      </c>
      <c r="I1038" s="28" t="s">
        <v>2305</v>
      </c>
      <c r="J1038" s="6" t="s">
        <v>1356</v>
      </c>
      <c r="K1038" s="12">
        <v>15</v>
      </c>
      <c r="L1038" s="21" t="s">
        <v>2297</v>
      </c>
      <c r="M1038" s="47" t="s">
        <v>779</v>
      </c>
    </row>
    <row r="1039" spans="2:13" ht="15.9" customHeight="1" x14ac:dyDescent="0.3">
      <c r="B1039" s="19" t="s">
        <v>2127</v>
      </c>
      <c r="C1039" s="20" t="s">
        <v>2284</v>
      </c>
      <c r="D1039" s="21" t="s">
        <v>2297</v>
      </c>
      <c r="E1039" s="113">
        <v>32045092</v>
      </c>
      <c r="F1039" s="129" t="s">
        <v>2298</v>
      </c>
      <c r="G1039" s="146" t="s">
        <v>2807</v>
      </c>
      <c r="H1039" s="70">
        <v>32146674</v>
      </c>
      <c r="I1039" s="28" t="s">
        <v>2309</v>
      </c>
      <c r="J1039" s="6" t="s">
        <v>2812</v>
      </c>
      <c r="K1039" s="12">
        <v>15</v>
      </c>
      <c r="L1039" s="21" t="s">
        <v>2297</v>
      </c>
      <c r="M1039" s="47" t="s">
        <v>481</v>
      </c>
    </row>
    <row r="1040" spans="2:13" ht="15.9" customHeight="1" x14ac:dyDescent="0.3">
      <c r="B1040" s="19" t="s">
        <v>2127</v>
      </c>
      <c r="C1040" s="20" t="s">
        <v>2284</v>
      </c>
      <c r="D1040" s="12" t="s">
        <v>2297</v>
      </c>
      <c r="E1040" s="113">
        <v>32045092</v>
      </c>
      <c r="F1040" s="129" t="s">
        <v>2298</v>
      </c>
      <c r="G1040" s="146" t="s">
        <v>2807</v>
      </c>
      <c r="H1040" s="70">
        <v>32044064</v>
      </c>
      <c r="I1040" s="28" t="s">
        <v>2310</v>
      </c>
      <c r="J1040" s="143" t="s">
        <v>2813</v>
      </c>
      <c r="K1040" s="12">
        <v>15</v>
      </c>
      <c r="L1040" s="12" t="s">
        <v>2297</v>
      </c>
      <c r="M1040" s="47" t="s">
        <v>2145</v>
      </c>
    </row>
    <row r="1041" spans="2:13" ht="15.9" customHeight="1" x14ac:dyDescent="0.3">
      <c r="B1041" s="19" t="s">
        <v>2127</v>
      </c>
      <c r="C1041" s="20" t="s">
        <v>2284</v>
      </c>
      <c r="D1041" s="12" t="s">
        <v>2297</v>
      </c>
      <c r="E1041" s="12">
        <v>32045092</v>
      </c>
      <c r="F1041" s="50" t="s">
        <v>2298</v>
      </c>
      <c r="G1041" s="146" t="s">
        <v>2807</v>
      </c>
      <c r="H1041" s="70">
        <v>32045537</v>
      </c>
      <c r="I1041" s="28" t="s">
        <v>2308</v>
      </c>
      <c r="J1041" s="154" t="s">
        <v>2814</v>
      </c>
      <c r="K1041" s="12">
        <v>15</v>
      </c>
      <c r="L1041" s="12" t="s">
        <v>2297</v>
      </c>
      <c r="M1041" s="47" t="s">
        <v>47</v>
      </c>
    </row>
    <row r="1042" spans="2:13" ht="15.9" customHeight="1" x14ac:dyDescent="0.3">
      <c r="B1042" s="19" t="s">
        <v>2127</v>
      </c>
      <c r="C1042" s="20" t="s">
        <v>2284</v>
      </c>
      <c r="D1042" s="12" t="s">
        <v>2297</v>
      </c>
      <c r="E1042" s="21">
        <v>32045092</v>
      </c>
      <c r="F1042" s="52" t="s">
        <v>2298</v>
      </c>
      <c r="G1042" s="146" t="s">
        <v>2807</v>
      </c>
      <c r="H1042" s="70">
        <v>32146288</v>
      </c>
      <c r="I1042" s="28" t="s">
        <v>2302</v>
      </c>
      <c r="J1042" s="6" t="s">
        <v>2815</v>
      </c>
      <c r="K1042" s="12">
        <v>15</v>
      </c>
      <c r="L1042" s="12" t="s">
        <v>2297</v>
      </c>
      <c r="M1042" s="47" t="s">
        <v>461</v>
      </c>
    </row>
    <row r="1043" spans="2:13" ht="15.9" customHeight="1" x14ac:dyDescent="0.3">
      <c r="B1043" s="19" t="s">
        <v>2127</v>
      </c>
      <c r="C1043" s="20" t="s">
        <v>2284</v>
      </c>
      <c r="D1043" s="12" t="s">
        <v>2297</v>
      </c>
      <c r="E1043" s="21">
        <v>32045092</v>
      </c>
      <c r="F1043" s="52" t="s">
        <v>2298</v>
      </c>
      <c r="G1043" s="147" t="s">
        <v>2807</v>
      </c>
      <c r="H1043" s="70">
        <v>32044596</v>
      </c>
      <c r="I1043" s="28" t="s">
        <v>2477</v>
      </c>
      <c r="J1043" s="143" t="s">
        <v>61</v>
      </c>
      <c r="K1043" s="12">
        <v>15</v>
      </c>
      <c r="L1043" s="12" t="s">
        <v>2297</v>
      </c>
      <c r="M1043" s="47" t="s">
        <v>511</v>
      </c>
    </row>
    <row r="1044" spans="2:13" ht="15.9" customHeight="1" x14ac:dyDescent="0.3">
      <c r="B1044" s="19" t="s">
        <v>2127</v>
      </c>
      <c r="C1044" s="11" t="s">
        <v>2284</v>
      </c>
      <c r="D1044" s="18" t="s">
        <v>2297</v>
      </c>
      <c r="E1044" s="51">
        <v>32045092</v>
      </c>
      <c r="F1044" s="98" t="s">
        <v>2298</v>
      </c>
      <c r="G1044" s="146" t="s">
        <v>2807</v>
      </c>
      <c r="H1044" s="205">
        <v>32046064</v>
      </c>
      <c r="I1044" s="45" t="s">
        <v>2299</v>
      </c>
      <c r="J1044" s="6" t="s">
        <v>2816</v>
      </c>
      <c r="K1044" s="12">
        <v>15</v>
      </c>
      <c r="L1044" s="12" t="s">
        <v>2297</v>
      </c>
      <c r="M1044" s="47" t="s">
        <v>41</v>
      </c>
    </row>
    <row r="1045" spans="2:13" ht="15.9" customHeight="1" x14ac:dyDescent="0.3">
      <c r="B1045" s="19" t="s">
        <v>2127</v>
      </c>
      <c r="C1045" s="11" t="s">
        <v>2284</v>
      </c>
      <c r="D1045" s="18" t="s">
        <v>2297</v>
      </c>
      <c r="E1045" s="51">
        <v>32045092</v>
      </c>
      <c r="F1045" s="98" t="s">
        <v>2298</v>
      </c>
      <c r="G1045" s="150" t="s">
        <v>2807</v>
      </c>
      <c r="H1045" s="205">
        <v>32044292</v>
      </c>
      <c r="I1045" s="45" t="s">
        <v>2304</v>
      </c>
      <c r="J1045" s="6" t="s">
        <v>2817</v>
      </c>
      <c r="K1045" s="12">
        <v>15</v>
      </c>
      <c r="L1045" s="12" t="s">
        <v>2297</v>
      </c>
      <c r="M1045" s="47" t="s">
        <v>481</v>
      </c>
    </row>
    <row r="1046" spans="2:13" ht="15.9" customHeight="1" x14ac:dyDescent="0.3">
      <c r="B1046" s="19" t="s">
        <v>2127</v>
      </c>
      <c r="C1046" s="11" t="s">
        <v>2284</v>
      </c>
      <c r="D1046" s="12" t="s">
        <v>2297</v>
      </c>
      <c r="E1046" s="12">
        <v>32045092</v>
      </c>
      <c r="F1046" s="50" t="s">
        <v>2298</v>
      </c>
      <c r="G1046" s="146" t="s">
        <v>2807</v>
      </c>
      <c r="H1046" s="70">
        <v>32045215</v>
      </c>
      <c r="I1046" s="28" t="s">
        <v>2301</v>
      </c>
      <c r="J1046" s="6" t="s">
        <v>2818</v>
      </c>
      <c r="K1046" s="12">
        <v>15</v>
      </c>
      <c r="L1046" s="12" t="s">
        <v>2297</v>
      </c>
      <c r="M1046" s="213" t="s">
        <v>44</v>
      </c>
    </row>
    <row r="1047" spans="2:13" ht="15.9" customHeight="1" x14ac:dyDescent="0.25">
      <c r="B1047" s="19" t="s">
        <v>1584</v>
      </c>
      <c r="C1047" s="11" t="s">
        <v>1589</v>
      </c>
      <c r="D1047" s="12" t="s">
        <v>1754</v>
      </c>
      <c r="E1047" s="94">
        <v>32214649</v>
      </c>
      <c r="F1047" s="166" t="s">
        <v>2368</v>
      </c>
      <c r="G1047" s="149" t="s">
        <v>51</v>
      </c>
      <c r="H1047" s="60">
        <v>32198244</v>
      </c>
      <c r="I1047" s="24" t="s">
        <v>2478</v>
      </c>
      <c r="J1047" s="6" t="s">
        <v>1594</v>
      </c>
      <c r="K1047" s="12">
        <v>9</v>
      </c>
      <c r="L1047" s="12" t="s">
        <v>2574</v>
      </c>
      <c r="M1047" s="25" t="s">
        <v>260</v>
      </c>
    </row>
    <row r="1048" spans="2:13" ht="15.9" customHeight="1" x14ac:dyDescent="0.25">
      <c r="B1048" s="19" t="s">
        <v>1584</v>
      </c>
      <c r="C1048" s="11" t="s">
        <v>1589</v>
      </c>
      <c r="D1048" s="12" t="s">
        <v>1754</v>
      </c>
      <c r="E1048" s="112">
        <v>32214649</v>
      </c>
      <c r="F1048" s="165" t="s">
        <v>2368</v>
      </c>
      <c r="G1048" s="152" t="s">
        <v>51</v>
      </c>
      <c r="H1048" s="61">
        <v>32057886</v>
      </c>
      <c r="I1048" s="24" t="s">
        <v>1760</v>
      </c>
      <c r="J1048" s="80" t="s">
        <v>61</v>
      </c>
      <c r="K1048" s="12">
        <v>9</v>
      </c>
      <c r="L1048" s="12" t="s">
        <v>2574</v>
      </c>
      <c r="M1048" s="18" t="s">
        <v>35</v>
      </c>
    </row>
    <row r="1049" spans="2:13" ht="15.9" customHeight="1" x14ac:dyDescent="0.25">
      <c r="B1049" s="17" t="s">
        <v>1584</v>
      </c>
      <c r="C1049" s="11" t="s">
        <v>1589</v>
      </c>
      <c r="D1049" s="12" t="s">
        <v>1754</v>
      </c>
      <c r="E1049" s="112">
        <v>32214649</v>
      </c>
      <c r="F1049" s="165" t="s">
        <v>2368</v>
      </c>
      <c r="G1049" s="152" t="s">
        <v>51</v>
      </c>
      <c r="H1049" s="60">
        <v>32180383</v>
      </c>
      <c r="I1049" s="10" t="s">
        <v>2479</v>
      </c>
      <c r="J1049" s="10" t="s">
        <v>61</v>
      </c>
      <c r="K1049" s="12">
        <v>9</v>
      </c>
      <c r="L1049" s="12" t="s">
        <v>2574</v>
      </c>
      <c r="M1049" s="18" t="s">
        <v>47</v>
      </c>
    </row>
    <row r="1050" spans="2:13" ht="15.9" customHeight="1" x14ac:dyDescent="0.25">
      <c r="B1050" s="17" t="s">
        <v>1584</v>
      </c>
      <c r="C1050" s="11" t="s">
        <v>1589</v>
      </c>
      <c r="D1050" s="12" t="s">
        <v>1754</v>
      </c>
      <c r="E1050" s="94">
        <v>32214649</v>
      </c>
      <c r="F1050" s="166" t="s">
        <v>2368</v>
      </c>
      <c r="G1050" s="152" t="s">
        <v>51</v>
      </c>
      <c r="H1050" s="60">
        <v>32180190</v>
      </c>
      <c r="I1050" s="10" t="s">
        <v>1758</v>
      </c>
      <c r="J1050" s="6" t="s">
        <v>2819</v>
      </c>
      <c r="K1050" s="12">
        <v>9</v>
      </c>
      <c r="L1050" s="12" t="s">
        <v>2574</v>
      </c>
      <c r="M1050" s="18" t="s">
        <v>1</v>
      </c>
    </row>
    <row r="1051" spans="2:13" ht="15.9" customHeight="1" x14ac:dyDescent="0.25">
      <c r="B1051" s="17" t="s">
        <v>1584</v>
      </c>
      <c r="C1051" s="11" t="s">
        <v>1589</v>
      </c>
      <c r="D1051" s="12" t="s">
        <v>1754</v>
      </c>
      <c r="E1051" s="94">
        <v>32214649</v>
      </c>
      <c r="F1051" s="166" t="s">
        <v>2368</v>
      </c>
      <c r="G1051" s="148" t="s">
        <v>51</v>
      </c>
      <c r="H1051" s="60">
        <v>32142973</v>
      </c>
      <c r="I1051" s="10" t="s">
        <v>2480</v>
      </c>
      <c r="J1051" s="80" t="s">
        <v>61</v>
      </c>
      <c r="K1051" s="12">
        <v>9</v>
      </c>
      <c r="L1051" s="12" t="s">
        <v>2574</v>
      </c>
      <c r="M1051" s="18" t="s">
        <v>44</v>
      </c>
    </row>
    <row r="1052" spans="2:13" ht="15.9" customHeight="1" x14ac:dyDescent="0.25">
      <c r="B1052" s="11" t="s">
        <v>1584</v>
      </c>
      <c r="C1052" s="11" t="s">
        <v>1589</v>
      </c>
      <c r="D1052" s="12" t="s">
        <v>1754</v>
      </c>
      <c r="E1052" s="112">
        <v>32214649</v>
      </c>
      <c r="F1052" s="165" t="s">
        <v>2368</v>
      </c>
      <c r="G1052" s="152" t="s">
        <v>51</v>
      </c>
      <c r="H1052" s="72">
        <v>32044160</v>
      </c>
      <c r="I1052" s="10" t="s">
        <v>2481</v>
      </c>
      <c r="J1052" s="6" t="s">
        <v>2820</v>
      </c>
      <c r="K1052" s="12">
        <v>9</v>
      </c>
      <c r="L1052" s="12" t="s">
        <v>2574</v>
      </c>
      <c r="M1052" s="18" t="s">
        <v>62</v>
      </c>
    </row>
    <row r="1053" spans="2:13" ht="15.9" customHeight="1" x14ac:dyDescent="0.25">
      <c r="B1053" s="11" t="s">
        <v>1584</v>
      </c>
      <c r="C1053" s="11" t="s">
        <v>1589</v>
      </c>
      <c r="D1053" s="12" t="s">
        <v>1754</v>
      </c>
      <c r="E1053" s="112">
        <v>32214649</v>
      </c>
      <c r="F1053" s="165" t="s">
        <v>2368</v>
      </c>
      <c r="G1053" s="151" t="s">
        <v>51</v>
      </c>
      <c r="H1053" s="60">
        <v>32180188</v>
      </c>
      <c r="I1053" s="10" t="s">
        <v>2482</v>
      </c>
      <c r="J1053" s="80" t="s">
        <v>61</v>
      </c>
      <c r="K1053" s="12">
        <v>9</v>
      </c>
      <c r="L1053" s="12" t="s">
        <v>2574</v>
      </c>
      <c r="M1053" s="18" t="s">
        <v>1584</v>
      </c>
    </row>
    <row r="1054" spans="2:13" ht="15.9" customHeight="1" x14ac:dyDescent="0.25">
      <c r="B1054" s="11" t="s">
        <v>1584</v>
      </c>
      <c r="C1054" s="11" t="s">
        <v>1589</v>
      </c>
      <c r="D1054" s="12" t="s">
        <v>1754</v>
      </c>
      <c r="E1054" s="112">
        <v>32214649</v>
      </c>
      <c r="F1054" s="165" t="s">
        <v>2368</v>
      </c>
      <c r="G1054" s="152" t="s">
        <v>51</v>
      </c>
      <c r="H1054" s="60">
        <v>32044057</v>
      </c>
      <c r="I1054" s="10" t="s">
        <v>2483</v>
      </c>
      <c r="J1054" s="10" t="s">
        <v>61</v>
      </c>
      <c r="K1054" s="12">
        <v>9</v>
      </c>
      <c r="L1054" s="12" t="s">
        <v>2574</v>
      </c>
      <c r="M1054" s="18" t="s">
        <v>44</v>
      </c>
    </row>
    <row r="1055" spans="2:13" ht="15.9" customHeight="1" x14ac:dyDescent="0.3">
      <c r="B1055" s="11" t="s">
        <v>2127</v>
      </c>
      <c r="C1055" s="11" t="s">
        <v>2235</v>
      </c>
      <c r="D1055" s="12" t="s">
        <v>2253</v>
      </c>
      <c r="E1055" s="110">
        <v>32145438</v>
      </c>
      <c r="F1055" s="131" t="s">
        <v>2254</v>
      </c>
      <c r="G1055" s="147" t="s">
        <v>2821</v>
      </c>
      <c r="H1055" s="70">
        <v>32044386</v>
      </c>
      <c r="I1055" s="39" t="s">
        <v>2256</v>
      </c>
      <c r="J1055" s="6" t="s">
        <v>2822</v>
      </c>
      <c r="K1055" s="12">
        <v>10</v>
      </c>
      <c r="L1055" s="12" t="s">
        <v>2253</v>
      </c>
      <c r="M1055" s="47" t="s">
        <v>179</v>
      </c>
    </row>
    <row r="1056" spans="2:13" ht="15.9" customHeight="1" x14ac:dyDescent="0.3">
      <c r="B1056" s="11" t="s">
        <v>2127</v>
      </c>
      <c r="C1056" s="11" t="s">
        <v>2235</v>
      </c>
      <c r="D1056" s="12" t="s">
        <v>2253</v>
      </c>
      <c r="E1056" s="110">
        <v>32145438</v>
      </c>
      <c r="F1056" s="131" t="s">
        <v>2254</v>
      </c>
      <c r="G1056" s="146" t="s">
        <v>2821</v>
      </c>
      <c r="H1056" s="70">
        <v>32138750</v>
      </c>
      <c r="I1056" s="28" t="s">
        <v>2262</v>
      </c>
      <c r="J1056" s="6" t="s">
        <v>2823</v>
      </c>
      <c r="K1056" s="12">
        <v>10</v>
      </c>
      <c r="L1056" s="12" t="s">
        <v>2253</v>
      </c>
      <c r="M1056" s="47" t="s">
        <v>481</v>
      </c>
    </row>
    <row r="1057" spans="2:13" ht="15.9" customHeight="1" x14ac:dyDescent="0.3">
      <c r="B1057" s="11" t="s">
        <v>2127</v>
      </c>
      <c r="C1057" s="11" t="s">
        <v>2235</v>
      </c>
      <c r="D1057" s="12" t="s">
        <v>2253</v>
      </c>
      <c r="E1057" s="12">
        <v>32145438</v>
      </c>
      <c r="F1057" s="50" t="s">
        <v>2254</v>
      </c>
      <c r="G1057" s="146" t="s">
        <v>2821</v>
      </c>
      <c r="H1057" s="70">
        <v>32045161</v>
      </c>
      <c r="I1057" s="39" t="s">
        <v>2258</v>
      </c>
      <c r="J1057" s="144" t="s">
        <v>61</v>
      </c>
      <c r="K1057" s="12">
        <v>10</v>
      </c>
      <c r="L1057" s="12" t="s">
        <v>2253</v>
      </c>
      <c r="M1057" s="47" t="s">
        <v>41</v>
      </c>
    </row>
    <row r="1058" spans="2:13" ht="15.9" customHeight="1" x14ac:dyDescent="0.3">
      <c r="B1058" s="11" t="s">
        <v>2127</v>
      </c>
      <c r="C1058" s="11" t="s">
        <v>2235</v>
      </c>
      <c r="D1058" s="12" t="s">
        <v>2253</v>
      </c>
      <c r="E1058" s="12">
        <v>32145438</v>
      </c>
      <c r="F1058" s="50" t="s">
        <v>2254</v>
      </c>
      <c r="G1058" s="150" t="s">
        <v>2821</v>
      </c>
      <c r="H1058" s="30">
        <v>32044054</v>
      </c>
      <c r="I1058" s="28" t="s">
        <v>2261</v>
      </c>
      <c r="J1058" s="6" t="s">
        <v>2824</v>
      </c>
      <c r="K1058" s="12">
        <v>10</v>
      </c>
      <c r="L1058" s="12" t="s">
        <v>2253</v>
      </c>
      <c r="M1058" s="47" t="s">
        <v>779</v>
      </c>
    </row>
    <row r="1059" spans="2:13" ht="15.9" customHeight="1" x14ac:dyDescent="0.3">
      <c r="B1059" s="11" t="s">
        <v>2127</v>
      </c>
      <c r="C1059" s="11" t="s">
        <v>2235</v>
      </c>
      <c r="D1059" s="12" t="s">
        <v>2253</v>
      </c>
      <c r="E1059" s="110">
        <v>32145438</v>
      </c>
      <c r="F1059" s="131" t="s">
        <v>2254</v>
      </c>
      <c r="G1059" s="147" t="s">
        <v>2821</v>
      </c>
      <c r="H1059" s="70">
        <v>32043985</v>
      </c>
      <c r="I1059" s="39" t="s">
        <v>2259</v>
      </c>
      <c r="J1059" s="144" t="s">
        <v>61</v>
      </c>
      <c r="K1059" s="12">
        <v>10</v>
      </c>
      <c r="L1059" s="12" t="s">
        <v>2253</v>
      </c>
      <c r="M1059" s="47" t="s">
        <v>47</v>
      </c>
    </row>
    <row r="1060" spans="2:13" ht="15.9" customHeight="1" x14ac:dyDescent="0.3">
      <c r="B1060" s="11" t="s">
        <v>2127</v>
      </c>
      <c r="C1060" s="11" t="s">
        <v>2235</v>
      </c>
      <c r="D1060" s="12" t="s">
        <v>2253</v>
      </c>
      <c r="E1060" s="110">
        <v>32145438</v>
      </c>
      <c r="F1060" s="131" t="s">
        <v>2254</v>
      </c>
      <c r="G1060" s="146" t="s">
        <v>2821</v>
      </c>
      <c r="H1060" s="70">
        <v>32072163</v>
      </c>
      <c r="I1060" s="39" t="s">
        <v>2257</v>
      </c>
      <c r="J1060" s="6" t="s">
        <v>2825</v>
      </c>
      <c r="K1060" s="12">
        <v>10</v>
      </c>
      <c r="L1060" s="12" t="s">
        <v>2253</v>
      </c>
      <c r="M1060" s="47" t="s">
        <v>44</v>
      </c>
    </row>
    <row r="1061" spans="2:13" ht="15.9" customHeight="1" x14ac:dyDescent="0.3">
      <c r="B1061" s="11" t="s">
        <v>2127</v>
      </c>
      <c r="C1061" s="11" t="s">
        <v>2235</v>
      </c>
      <c r="D1061" s="12" t="s">
        <v>2253</v>
      </c>
      <c r="E1061" s="12">
        <v>32145438</v>
      </c>
      <c r="F1061" s="50" t="s">
        <v>2254</v>
      </c>
      <c r="G1061" s="146" t="s">
        <v>2821</v>
      </c>
      <c r="H1061" s="70">
        <v>32043826</v>
      </c>
      <c r="I1061" s="28" t="s">
        <v>2263</v>
      </c>
      <c r="J1061" s="6" t="s">
        <v>2826</v>
      </c>
      <c r="K1061" s="12">
        <v>10</v>
      </c>
      <c r="L1061" s="12" t="s">
        <v>2253</v>
      </c>
      <c r="M1061" s="47" t="s">
        <v>2145</v>
      </c>
    </row>
    <row r="1062" spans="2:13" ht="15.9" customHeight="1" x14ac:dyDescent="0.3">
      <c r="B1062" s="11" t="s">
        <v>2127</v>
      </c>
      <c r="C1062" s="11" t="s">
        <v>2235</v>
      </c>
      <c r="D1062" s="12" t="s">
        <v>2253</v>
      </c>
      <c r="E1062" s="12">
        <v>32145438</v>
      </c>
      <c r="F1062" s="50" t="s">
        <v>2254</v>
      </c>
      <c r="G1062" s="153" t="s">
        <v>2821</v>
      </c>
      <c r="H1062" s="70">
        <v>32044217</v>
      </c>
      <c r="I1062" s="39" t="s">
        <v>2239</v>
      </c>
      <c r="J1062" s="6" t="s">
        <v>2827</v>
      </c>
      <c r="K1062" s="12">
        <v>10</v>
      </c>
      <c r="L1062" s="12" t="s">
        <v>2253</v>
      </c>
      <c r="M1062" s="47" t="s">
        <v>481</v>
      </c>
    </row>
    <row r="1063" spans="2:13" ht="15.9" customHeight="1" x14ac:dyDescent="0.3">
      <c r="B1063" s="11" t="s">
        <v>2127</v>
      </c>
      <c r="C1063" s="11" t="s">
        <v>2235</v>
      </c>
      <c r="D1063" s="12" t="s">
        <v>2253</v>
      </c>
      <c r="E1063" s="12">
        <v>32145438</v>
      </c>
      <c r="F1063" s="50" t="s">
        <v>2254</v>
      </c>
      <c r="G1063" s="146" t="s">
        <v>2821</v>
      </c>
      <c r="H1063" s="70">
        <v>32045823</v>
      </c>
      <c r="I1063" s="39" t="s">
        <v>2255</v>
      </c>
      <c r="J1063" s="6" t="s">
        <v>2828</v>
      </c>
      <c r="K1063" s="12">
        <v>10</v>
      </c>
      <c r="L1063" s="12" t="s">
        <v>2253</v>
      </c>
      <c r="M1063" s="47" t="s">
        <v>35</v>
      </c>
    </row>
    <row r="1064" spans="2:13" ht="15.9" customHeight="1" x14ac:dyDescent="0.3">
      <c r="B1064" s="11" t="s">
        <v>2127</v>
      </c>
      <c r="C1064" s="11" t="s">
        <v>2235</v>
      </c>
      <c r="D1064" s="12" t="s">
        <v>2253</v>
      </c>
      <c r="E1064" s="12">
        <v>32145438</v>
      </c>
      <c r="F1064" s="50" t="s">
        <v>2254</v>
      </c>
      <c r="G1064" s="146" t="s">
        <v>2821</v>
      </c>
      <c r="H1064" s="70">
        <v>32044357</v>
      </c>
      <c r="I1064" s="39" t="s">
        <v>2279</v>
      </c>
      <c r="J1064" s="6" t="s">
        <v>2829</v>
      </c>
      <c r="K1064" s="12">
        <v>10</v>
      </c>
      <c r="L1064" s="12" t="s">
        <v>2253</v>
      </c>
      <c r="M1064" s="47" t="s">
        <v>1</v>
      </c>
    </row>
    <row r="1065" spans="2:13" ht="15.9" customHeight="1" x14ac:dyDescent="0.3">
      <c r="B1065" s="11" t="s">
        <v>2127</v>
      </c>
      <c r="C1065" s="11" t="s">
        <v>2182</v>
      </c>
      <c r="D1065" s="12" t="s">
        <v>2220</v>
      </c>
      <c r="E1065" s="110">
        <v>32146125</v>
      </c>
      <c r="F1065" s="131" t="s">
        <v>2221</v>
      </c>
      <c r="G1065" s="146" t="s">
        <v>2830</v>
      </c>
      <c r="H1065" s="70">
        <v>32072178</v>
      </c>
      <c r="I1065" s="28" t="s">
        <v>2224</v>
      </c>
      <c r="J1065" s="6" t="s">
        <v>2831</v>
      </c>
      <c r="K1065" s="12">
        <v>5</v>
      </c>
      <c r="L1065" s="12" t="s">
        <v>2220</v>
      </c>
      <c r="M1065" s="18" t="s">
        <v>1</v>
      </c>
    </row>
    <row r="1066" spans="2:13" ht="15.9" customHeight="1" x14ac:dyDescent="0.3">
      <c r="B1066" s="11" t="s">
        <v>2127</v>
      </c>
      <c r="C1066" s="11" t="s">
        <v>2182</v>
      </c>
      <c r="D1066" s="12" t="s">
        <v>2220</v>
      </c>
      <c r="E1066" s="12">
        <v>32146125</v>
      </c>
      <c r="F1066" s="50" t="s">
        <v>2221</v>
      </c>
      <c r="G1066" s="146" t="s">
        <v>2830</v>
      </c>
      <c r="H1066" s="70">
        <v>32044593</v>
      </c>
      <c r="I1066" s="28" t="s">
        <v>2225</v>
      </c>
      <c r="J1066" s="6" t="s">
        <v>2832</v>
      </c>
      <c r="K1066" s="12">
        <v>5</v>
      </c>
      <c r="L1066" s="12" t="s">
        <v>2220</v>
      </c>
      <c r="M1066" s="18" t="s">
        <v>41</v>
      </c>
    </row>
    <row r="1067" spans="2:13" ht="15.9" customHeight="1" x14ac:dyDescent="0.3">
      <c r="B1067" s="11" t="s">
        <v>2127</v>
      </c>
      <c r="C1067" s="11" t="s">
        <v>2182</v>
      </c>
      <c r="D1067" s="12" t="s">
        <v>2220</v>
      </c>
      <c r="E1067" s="110">
        <v>32146125</v>
      </c>
      <c r="F1067" s="131" t="s">
        <v>2221</v>
      </c>
      <c r="G1067" s="146" t="s">
        <v>2830</v>
      </c>
      <c r="H1067" s="70">
        <v>32044718</v>
      </c>
      <c r="I1067" s="28" t="s">
        <v>2226</v>
      </c>
      <c r="J1067" s="6" t="s">
        <v>2833</v>
      </c>
      <c r="K1067" s="12">
        <v>5</v>
      </c>
      <c r="L1067" s="12" t="s">
        <v>2220</v>
      </c>
      <c r="M1067" s="47" t="s">
        <v>2145</v>
      </c>
    </row>
    <row r="1068" spans="2:13" ht="15.9" customHeight="1" x14ac:dyDescent="0.3">
      <c r="B1068" s="11" t="s">
        <v>2127</v>
      </c>
      <c r="C1068" s="11" t="s">
        <v>2182</v>
      </c>
      <c r="D1068" s="12" t="s">
        <v>2220</v>
      </c>
      <c r="E1068" s="12">
        <v>32146125</v>
      </c>
      <c r="F1068" s="50" t="s">
        <v>2221</v>
      </c>
      <c r="G1068" s="150" t="s">
        <v>2830</v>
      </c>
      <c r="H1068" s="70">
        <v>32043984</v>
      </c>
      <c r="I1068" s="28" t="s">
        <v>2223</v>
      </c>
      <c r="J1068" s="6" t="s">
        <v>2834</v>
      </c>
      <c r="K1068" s="12">
        <v>5</v>
      </c>
      <c r="L1068" s="12" t="s">
        <v>2220</v>
      </c>
      <c r="M1068" s="18" t="s">
        <v>44</v>
      </c>
    </row>
    <row r="1069" spans="2:13" ht="15.9" customHeight="1" x14ac:dyDescent="0.3">
      <c r="B1069" s="11" t="s">
        <v>2127</v>
      </c>
      <c r="C1069" s="11" t="s">
        <v>2182</v>
      </c>
      <c r="D1069" s="12" t="s">
        <v>2220</v>
      </c>
      <c r="E1069" s="12">
        <v>32146125</v>
      </c>
      <c r="F1069" s="50" t="s">
        <v>2221</v>
      </c>
      <c r="G1069" s="147" t="s">
        <v>2830</v>
      </c>
      <c r="H1069" s="70">
        <v>32043792</v>
      </c>
      <c r="I1069" s="28" t="s">
        <v>2222</v>
      </c>
      <c r="J1069" s="28" t="s">
        <v>2835</v>
      </c>
      <c r="K1069" s="12">
        <v>5</v>
      </c>
      <c r="L1069" s="12" t="s">
        <v>2220</v>
      </c>
      <c r="M1069" s="18" t="s">
        <v>179</v>
      </c>
    </row>
    <row r="1070" spans="2:13" ht="15.9" customHeight="1" x14ac:dyDescent="0.3">
      <c r="B1070" s="11" t="s">
        <v>1584</v>
      </c>
      <c r="C1070" s="11" t="s">
        <v>1614</v>
      </c>
      <c r="D1070" s="12" t="s">
        <v>1761</v>
      </c>
      <c r="E1070" s="95">
        <v>32155712</v>
      </c>
      <c r="F1070" s="163" t="s">
        <v>1762</v>
      </c>
      <c r="G1070" s="146" t="s">
        <v>1763</v>
      </c>
      <c r="H1070" s="60">
        <v>32197842</v>
      </c>
      <c r="I1070" s="10" t="s">
        <v>2484</v>
      </c>
      <c r="J1070" s="80" t="s">
        <v>61</v>
      </c>
      <c r="K1070" s="12">
        <v>20</v>
      </c>
      <c r="L1070" s="12" t="s">
        <v>1761</v>
      </c>
      <c r="M1070" s="65" t="s">
        <v>369</v>
      </c>
    </row>
    <row r="1071" spans="2:13" ht="15.9" customHeight="1" x14ac:dyDescent="0.3">
      <c r="B1071" s="11" t="s">
        <v>1584</v>
      </c>
      <c r="C1071" s="11" t="s">
        <v>1614</v>
      </c>
      <c r="D1071" s="12" t="s">
        <v>1761</v>
      </c>
      <c r="E1071" s="95">
        <v>32155712</v>
      </c>
      <c r="F1071" s="163" t="s">
        <v>1762</v>
      </c>
      <c r="G1071" s="146" t="s">
        <v>1763</v>
      </c>
      <c r="H1071" s="60">
        <v>32045597</v>
      </c>
      <c r="I1071" s="10" t="s">
        <v>2485</v>
      </c>
      <c r="J1071" s="80" t="s">
        <v>61</v>
      </c>
      <c r="K1071" s="12">
        <v>20</v>
      </c>
      <c r="L1071" s="12" t="s">
        <v>1761</v>
      </c>
      <c r="M1071" s="65" t="s">
        <v>1621</v>
      </c>
    </row>
    <row r="1072" spans="2:13" ht="15.9" customHeight="1" x14ac:dyDescent="0.3">
      <c r="B1072" s="11" t="s">
        <v>1584</v>
      </c>
      <c r="C1072" s="11" t="s">
        <v>1614</v>
      </c>
      <c r="D1072" s="12" t="s">
        <v>1761</v>
      </c>
      <c r="E1072" s="112">
        <v>32155712</v>
      </c>
      <c r="F1072" s="165" t="s">
        <v>1762</v>
      </c>
      <c r="G1072" s="150" t="s">
        <v>1763</v>
      </c>
      <c r="H1072" s="60">
        <v>32180197</v>
      </c>
      <c r="I1072" s="10" t="s">
        <v>1768</v>
      </c>
      <c r="J1072" s="154" t="s">
        <v>2836</v>
      </c>
      <c r="K1072" s="12">
        <v>20</v>
      </c>
      <c r="L1072" s="12" t="s">
        <v>1761</v>
      </c>
      <c r="M1072" s="65" t="s">
        <v>1621</v>
      </c>
    </row>
    <row r="1073" spans="2:13" ht="15.9" customHeight="1" x14ac:dyDescent="0.3">
      <c r="B1073" s="11" t="s">
        <v>1584</v>
      </c>
      <c r="C1073" s="11" t="s">
        <v>1614</v>
      </c>
      <c r="D1073" s="12" t="s">
        <v>1761</v>
      </c>
      <c r="E1073" s="112">
        <v>32155712</v>
      </c>
      <c r="F1073" s="165" t="s">
        <v>1762</v>
      </c>
      <c r="G1073" s="146" t="s">
        <v>1763</v>
      </c>
      <c r="H1073" s="60">
        <v>32046614</v>
      </c>
      <c r="I1073" s="10" t="s">
        <v>1778</v>
      </c>
      <c r="J1073" s="80" t="s">
        <v>61</v>
      </c>
      <c r="K1073" s="12">
        <v>20</v>
      </c>
      <c r="L1073" s="12" t="s">
        <v>1761</v>
      </c>
      <c r="M1073" s="65" t="s">
        <v>1623</v>
      </c>
    </row>
    <row r="1074" spans="2:13" ht="15.9" customHeight="1" x14ac:dyDescent="0.3">
      <c r="B1074" s="11" t="s">
        <v>1584</v>
      </c>
      <c r="C1074" s="11" t="s">
        <v>1614</v>
      </c>
      <c r="D1074" s="12" t="s">
        <v>1761</v>
      </c>
      <c r="E1074" s="112">
        <v>32155712</v>
      </c>
      <c r="F1074" s="165" t="s">
        <v>1762</v>
      </c>
      <c r="G1074" s="147" t="s">
        <v>1763</v>
      </c>
      <c r="H1074" s="60">
        <v>32070294</v>
      </c>
      <c r="I1074" s="10" t="s">
        <v>1771</v>
      </c>
      <c r="J1074" s="6" t="s">
        <v>2837</v>
      </c>
      <c r="K1074" s="12">
        <v>20</v>
      </c>
      <c r="L1074" s="12" t="s">
        <v>1761</v>
      </c>
      <c r="M1074" s="65" t="s">
        <v>1631</v>
      </c>
    </row>
    <row r="1075" spans="2:13" ht="15.9" customHeight="1" x14ac:dyDescent="0.3">
      <c r="B1075" s="11" t="s">
        <v>1584</v>
      </c>
      <c r="C1075" s="11" t="s">
        <v>1614</v>
      </c>
      <c r="D1075" s="12" t="s">
        <v>1761</v>
      </c>
      <c r="E1075" s="112">
        <v>32155712</v>
      </c>
      <c r="F1075" s="165" t="s">
        <v>1762</v>
      </c>
      <c r="G1075" s="146" t="s">
        <v>1763</v>
      </c>
      <c r="H1075" s="60">
        <v>32145199</v>
      </c>
      <c r="I1075" s="10" t="s">
        <v>2486</v>
      </c>
      <c r="J1075" s="6" t="s">
        <v>2838</v>
      </c>
      <c r="K1075" s="12">
        <v>20</v>
      </c>
      <c r="L1075" s="12" t="s">
        <v>1761</v>
      </c>
      <c r="M1075" s="65" t="s">
        <v>1619</v>
      </c>
    </row>
    <row r="1076" spans="2:13" ht="15.9" customHeight="1" x14ac:dyDescent="0.3">
      <c r="B1076" s="11" t="s">
        <v>1584</v>
      </c>
      <c r="C1076" s="11" t="s">
        <v>1614</v>
      </c>
      <c r="D1076" s="12" t="s">
        <v>1761</v>
      </c>
      <c r="E1076" s="95">
        <v>32155712</v>
      </c>
      <c r="F1076" s="163" t="s">
        <v>1762</v>
      </c>
      <c r="G1076" s="153" t="s">
        <v>1763</v>
      </c>
      <c r="H1076" s="60">
        <v>32187986</v>
      </c>
      <c r="I1076" s="10" t="s">
        <v>1780</v>
      </c>
      <c r="J1076" s="10" t="s">
        <v>61</v>
      </c>
      <c r="K1076" s="12">
        <v>20</v>
      </c>
      <c r="L1076" s="12" t="s">
        <v>1761</v>
      </c>
      <c r="M1076" s="65" t="s">
        <v>1629</v>
      </c>
    </row>
    <row r="1077" spans="2:13" ht="15.9" customHeight="1" x14ac:dyDescent="0.3">
      <c r="B1077" s="11" t="s">
        <v>1584</v>
      </c>
      <c r="C1077" s="11" t="s">
        <v>1614</v>
      </c>
      <c r="D1077" s="12" t="s">
        <v>1761</v>
      </c>
      <c r="E1077" s="95">
        <v>32155712</v>
      </c>
      <c r="F1077" s="163" t="s">
        <v>1762</v>
      </c>
      <c r="G1077" s="146" t="s">
        <v>1763</v>
      </c>
      <c r="H1077" s="60">
        <v>32044712</v>
      </c>
      <c r="I1077" s="10" t="s">
        <v>1770</v>
      </c>
      <c r="J1077" s="6" t="s">
        <v>2839</v>
      </c>
      <c r="K1077" s="12">
        <v>20</v>
      </c>
      <c r="L1077" s="12" t="s">
        <v>1761</v>
      </c>
      <c r="M1077" s="65" t="s">
        <v>375</v>
      </c>
    </row>
    <row r="1078" spans="2:13" ht="15.9" customHeight="1" x14ac:dyDescent="0.3">
      <c r="B1078" s="11" t="s">
        <v>1584</v>
      </c>
      <c r="C1078" s="11" t="s">
        <v>1614</v>
      </c>
      <c r="D1078" s="12" t="s">
        <v>1761</v>
      </c>
      <c r="E1078" s="95">
        <v>32155712</v>
      </c>
      <c r="F1078" s="163" t="s">
        <v>1762</v>
      </c>
      <c r="G1078" s="2" t="s">
        <v>1763</v>
      </c>
      <c r="H1078" s="60">
        <v>32044151</v>
      </c>
      <c r="I1078" s="10" t="s">
        <v>1767</v>
      </c>
      <c r="J1078" s="6" t="s">
        <v>2840</v>
      </c>
      <c r="K1078" s="12">
        <v>20</v>
      </c>
      <c r="L1078" s="12" t="s">
        <v>1761</v>
      </c>
      <c r="M1078" s="65" t="s">
        <v>369</v>
      </c>
    </row>
    <row r="1079" spans="2:13" ht="15.9" customHeight="1" x14ac:dyDescent="0.3">
      <c r="B1079" s="11" t="s">
        <v>1584</v>
      </c>
      <c r="C1079" s="11" t="s">
        <v>1614</v>
      </c>
      <c r="D1079" s="12" t="s">
        <v>1761</v>
      </c>
      <c r="E1079" s="95">
        <v>32155712</v>
      </c>
      <c r="F1079" s="163" t="s">
        <v>1762</v>
      </c>
      <c r="G1079" s="146" t="s">
        <v>1763</v>
      </c>
      <c r="H1079" s="60">
        <v>32198248</v>
      </c>
      <c r="I1079" s="10" t="s">
        <v>2487</v>
      </c>
      <c r="J1079" s="28" t="s">
        <v>2841</v>
      </c>
      <c r="K1079" s="12">
        <v>20</v>
      </c>
      <c r="L1079" s="12" t="s">
        <v>1761</v>
      </c>
      <c r="M1079" s="65" t="s">
        <v>1631</v>
      </c>
    </row>
    <row r="1080" spans="2:13" ht="15.9" customHeight="1" x14ac:dyDescent="0.3">
      <c r="B1080" s="11" t="s">
        <v>1584</v>
      </c>
      <c r="C1080" s="11" t="s">
        <v>1614</v>
      </c>
      <c r="D1080" s="12" t="s">
        <v>1761</v>
      </c>
      <c r="E1080" s="95">
        <v>32155712</v>
      </c>
      <c r="F1080" s="163" t="s">
        <v>1762</v>
      </c>
      <c r="G1080" s="146" t="s">
        <v>1763</v>
      </c>
      <c r="H1080" s="60">
        <v>32198261</v>
      </c>
      <c r="I1080" s="10" t="s">
        <v>2488</v>
      </c>
      <c r="J1080" s="80" t="s">
        <v>61</v>
      </c>
      <c r="K1080" s="12">
        <v>20</v>
      </c>
      <c r="L1080" s="12" t="s">
        <v>1761</v>
      </c>
      <c r="M1080" s="65" t="s">
        <v>1623</v>
      </c>
    </row>
    <row r="1081" spans="2:13" ht="15.9" customHeight="1" x14ac:dyDescent="0.3">
      <c r="B1081" s="11" t="s">
        <v>1584</v>
      </c>
      <c r="C1081" s="11" t="s">
        <v>1614</v>
      </c>
      <c r="D1081" s="12" t="s">
        <v>1761</v>
      </c>
      <c r="E1081" s="95">
        <v>32155712</v>
      </c>
      <c r="F1081" s="163" t="s">
        <v>1762</v>
      </c>
      <c r="G1081" s="150" t="s">
        <v>1763</v>
      </c>
      <c r="H1081" s="60">
        <v>32213362</v>
      </c>
      <c r="I1081" s="10" t="s">
        <v>2489</v>
      </c>
      <c r="J1081" s="143" t="s">
        <v>2842</v>
      </c>
      <c r="K1081" s="12">
        <v>20</v>
      </c>
      <c r="L1081" s="12" t="s">
        <v>1761</v>
      </c>
      <c r="M1081" s="65" t="s">
        <v>375</v>
      </c>
    </row>
    <row r="1082" spans="2:13" ht="15.9" customHeight="1" x14ac:dyDescent="0.3">
      <c r="B1082" s="11" t="s">
        <v>1584</v>
      </c>
      <c r="C1082" s="11" t="s">
        <v>1614</v>
      </c>
      <c r="D1082" s="12" t="s">
        <v>1761</v>
      </c>
      <c r="E1082" s="112">
        <v>32155712</v>
      </c>
      <c r="F1082" s="165" t="s">
        <v>1762</v>
      </c>
      <c r="G1082" s="147" t="s">
        <v>1763</v>
      </c>
      <c r="H1082" s="60">
        <v>32046463</v>
      </c>
      <c r="I1082" s="10" t="s">
        <v>1774</v>
      </c>
      <c r="J1082" s="143" t="s">
        <v>2843</v>
      </c>
      <c r="K1082" s="12">
        <v>20</v>
      </c>
      <c r="L1082" s="12" t="s">
        <v>1761</v>
      </c>
      <c r="M1082" s="65" t="s">
        <v>369</v>
      </c>
    </row>
    <row r="1083" spans="2:13" ht="15.9" customHeight="1" x14ac:dyDescent="0.3">
      <c r="B1083" s="11" t="s">
        <v>1584</v>
      </c>
      <c r="C1083" s="11" t="s">
        <v>1614</v>
      </c>
      <c r="D1083" s="12" t="s">
        <v>1761</v>
      </c>
      <c r="E1083" s="95">
        <v>32155712</v>
      </c>
      <c r="F1083" s="163" t="s">
        <v>1762</v>
      </c>
      <c r="G1083" s="146" t="s">
        <v>1763</v>
      </c>
      <c r="H1083" s="60">
        <v>32045437</v>
      </c>
      <c r="I1083" s="10" t="s">
        <v>1764</v>
      </c>
      <c r="J1083" s="6" t="s">
        <v>2844</v>
      </c>
      <c r="K1083" s="12">
        <v>20</v>
      </c>
      <c r="L1083" s="12" t="s">
        <v>1761</v>
      </c>
      <c r="M1083" s="65" t="s">
        <v>1631</v>
      </c>
    </row>
    <row r="1084" spans="2:13" ht="15.9" customHeight="1" x14ac:dyDescent="0.3">
      <c r="B1084" s="11" t="s">
        <v>1584</v>
      </c>
      <c r="C1084" s="11" t="s">
        <v>1614</v>
      </c>
      <c r="D1084" s="12" t="s">
        <v>1761</v>
      </c>
      <c r="E1084" s="95">
        <v>32155712</v>
      </c>
      <c r="F1084" s="163" t="s">
        <v>1762</v>
      </c>
      <c r="G1084" s="2" t="s">
        <v>1763</v>
      </c>
      <c r="H1084" s="60">
        <v>32044480</v>
      </c>
      <c r="I1084" s="10" t="s">
        <v>2490</v>
      </c>
      <c r="J1084" s="6" t="s">
        <v>2845</v>
      </c>
      <c r="K1084" s="12">
        <v>20</v>
      </c>
      <c r="L1084" s="12" t="s">
        <v>1761</v>
      </c>
      <c r="M1084" s="65" t="s">
        <v>1623</v>
      </c>
    </row>
    <row r="1085" spans="2:13" ht="15.9" customHeight="1" x14ac:dyDescent="0.3">
      <c r="B1085" s="11" t="s">
        <v>1584</v>
      </c>
      <c r="C1085" s="11" t="s">
        <v>1614</v>
      </c>
      <c r="D1085" s="12" t="s">
        <v>1761</v>
      </c>
      <c r="E1085" s="95">
        <v>32155712</v>
      </c>
      <c r="F1085" s="163" t="s">
        <v>1762</v>
      </c>
      <c r="G1085" s="146" t="s">
        <v>1763</v>
      </c>
      <c r="H1085" s="60">
        <v>32045488</v>
      </c>
      <c r="I1085" s="10" t="s">
        <v>2491</v>
      </c>
      <c r="J1085" s="28" t="s">
        <v>2846</v>
      </c>
      <c r="K1085" s="12">
        <v>20</v>
      </c>
      <c r="L1085" s="12" t="s">
        <v>1761</v>
      </c>
      <c r="M1085" s="65" t="s">
        <v>1619</v>
      </c>
    </row>
    <row r="1086" spans="2:13" ht="15.9" customHeight="1" x14ac:dyDescent="0.3">
      <c r="B1086" s="11" t="s">
        <v>1584</v>
      </c>
      <c r="C1086" s="11" t="s">
        <v>1614</v>
      </c>
      <c r="D1086" s="12" t="s">
        <v>1761</v>
      </c>
      <c r="E1086" s="112">
        <v>32155712</v>
      </c>
      <c r="F1086" s="165" t="s">
        <v>1762</v>
      </c>
      <c r="G1086" s="147" t="s">
        <v>1763</v>
      </c>
      <c r="H1086" s="60">
        <v>32043972</v>
      </c>
      <c r="I1086" s="10" t="s">
        <v>2492</v>
      </c>
      <c r="J1086" s="80" t="s">
        <v>61</v>
      </c>
      <c r="K1086" s="12">
        <v>20</v>
      </c>
      <c r="L1086" s="12" t="s">
        <v>1761</v>
      </c>
      <c r="M1086" s="65" t="s">
        <v>1629</v>
      </c>
    </row>
    <row r="1087" spans="2:13" ht="15.9" customHeight="1" x14ac:dyDescent="0.3">
      <c r="B1087" s="11" t="s">
        <v>1584</v>
      </c>
      <c r="C1087" s="20" t="s">
        <v>1614</v>
      </c>
      <c r="D1087" s="21" t="s">
        <v>1761</v>
      </c>
      <c r="E1087" s="95">
        <v>32155712</v>
      </c>
      <c r="F1087" s="163" t="s">
        <v>1762</v>
      </c>
      <c r="G1087" s="146" t="s">
        <v>1763</v>
      </c>
      <c r="H1087" s="61">
        <v>32046249</v>
      </c>
      <c r="I1087" s="24" t="s">
        <v>2493</v>
      </c>
      <c r="J1087" s="6" t="s">
        <v>2847</v>
      </c>
      <c r="K1087" s="21">
        <v>20</v>
      </c>
      <c r="L1087" s="21" t="s">
        <v>1761</v>
      </c>
      <c r="M1087" s="83" t="s">
        <v>1629</v>
      </c>
    </row>
    <row r="1088" spans="2:13" ht="15.9" customHeight="1" x14ac:dyDescent="0.3">
      <c r="B1088" s="11" t="s">
        <v>1584</v>
      </c>
      <c r="C1088" s="11" t="s">
        <v>1614</v>
      </c>
      <c r="D1088" s="12" t="s">
        <v>1761</v>
      </c>
      <c r="E1088" s="112">
        <v>32155712</v>
      </c>
      <c r="F1088" s="165" t="s">
        <v>1762</v>
      </c>
      <c r="G1088" s="146" t="s">
        <v>1763</v>
      </c>
      <c r="H1088" s="60">
        <v>32063775</v>
      </c>
      <c r="I1088" s="10" t="s">
        <v>2494</v>
      </c>
      <c r="J1088" s="80" t="s">
        <v>61</v>
      </c>
      <c r="K1088" s="21">
        <v>20</v>
      </c>
      <c r="L1088" s="21" t="s">
        <v>1761</v>
      </c>
      <c r="M1088" s="65" t="s">
        <v>375</v>
      </c>
    </row>
    <row r="1089" spans="2:13" ht="15.9" customHeight="1" x14ac:dyDescent="0.3">
      <c r="B1089" s="11" t="s">
        <v>2053</v>
      </c>
      <c r="C1089" s="11" t="s">
        <v>2060</v>
      </c>
      <c r="D1089" s="12" t="s">
        <v>2110</v>
      </c>
      <c r="E1089" s="112">
        <v>32069642</v>
      </c>
      <c r="F1089" s="165" t="s">
        <v>2111</v>
      </c>
      <c r="G1089" s="150" t="s">
        <v>2112</v>
      </c>
      <c r="H1089" s="60">
        <v>32145467</v>
      </c>
      <c r="I1089" s="10" t="s">
        <v>2113</v>
      </c>
      <c r="J1089" s="6" t="s">
        <v>61</v>
      </c>
      <c r="K1089" s="21">
        <v>7</v>
      </c>
      <c r="L1089" s="21" t="s">
        <v>2110</v>
      </c>
      <c r="M1089" s="18" t="s">
        <v>1803</v>
      </c>
    </row>
    <row r="1090" spans="2:13" ht="15.9" customHeight="1" x14ac:dyDescent="0.3">
      <c r="B1090" s="11" t="s">
        <v>2053</v>
      </c>
      <c r="C1090" s="11" t="s">
        <v>2063</v>
      </c>
      <c r="D1090" s="12" t="s">
        <v>2110</v>
      </c>
      <c r="E1090" s="112">
        <v>32069642</v>
      </c>
      <c r="F1090" s="165" t="s">
        <v>2111</v>
      </c>
      <c r="G1090" s="146" t="s">
        <v>2112</v>
      </c>
      <c r="H1090" s="60">
        <v>32043741</v>
      </c>
      <c r="I1090" s="10" t="s">
        <v>2114</v>
      </c>
      <c r="J1090" s="6" t="s">
        <v>2115</v>
      </c>
      <c r="K1090" s="21">
        <v>7</v>
      </c>
      <c r="L1090" s="21" t="s">
        <v>2110</v>
      </c>
      <c r="M1090" s="18" t="s">
        <v>128</v>
      </c>
    </row>
    <row r="1091" spans="2:13" ht="15.9" customHeight="1" x14ac:dyDescent="0.3">
      <c r="B1091" s="11" t="s">
        <v>2053</v>
      </c>
      <c r="C1091" s="20" t="s">
        <v>2116</v>
      </c>
      <c r="D1091" s="21" t="s">
        <v>2110</v>
      </c>
      <c r="E1091" s="95">
        <v>32069642</v>
      </c>
      <c r="F1091" s="163" t="s">
        <v>2111</v>
      </c>
      <c r="G1091" s="2" t="s">
        <v>2112</v>
      </c>
      <c r="H1091" s="60">
        <v>32043799</v>
      </c>
      <c r="I1091" s="24" t="s">
        <v>2117</v>
      </c>
      <c r="J1091" s="6" t="s">
        <v>2118</v>
      </c>
      <c r="K1091" s="21">
        <v>7</v>
      </c>
      <c r="L1091" s="21" t="s">
        <v>2110</v>
      </c>
      <c r="M1091" s="25" t="s">
        <v>1806</v>
      </c>
    </row>
    <row r="1092" spans="2:13" ht="15.9" customHeight="1" x14ac:dyDescent="0.3">
      <c r="B1092" s="17" t="s">
        <v>2053</v>
      </c>
      <c r="C1092" s="11" t="s">
        <v>2054</v>
      </c>
      <c r="D1092" s="110" t="s">
        <v>2110</v>
      </c>
      <c r="E1092" s="95">
        <v>32069642</v>
      </c>
      <c r="F1092" s="163" t="s">
        <v>2111</v>
      </c>
      <c r="G1092" s="146" t="s">
        <v>2112</v>
      </c>
      <c r="H1092" s="60">
        <v>32043860</v>
      </c>
      <c r="I1092" s="10" t="s">
        <v>2119</v>
      </c>
      <c r="J1092" s="154" t="s">
        <v>2120</v>
      </c>
      <c r="K1092" s="12">
        <v>7</v>
      </c>
      <c r="L1092" s="12" t="s">
        <v>2110</v>
      </c>
      <c r="M1092" s="18" t="s">
        <v>1808</v>
      </c>
    </row>
    <row r="1093" spans="2:13" ht="15.9" customHeight="1" x14ac:dyDescent="0.3">
      <c r="B1093" s="17" t="s">
        <v>2053</v>
      </c>
      <c r="C1093" s="11" t="s">
        <v>2054</v>
      </c>
      <c r="D1093" s="110" t="s">
        <v>2110</v>
      </c>
      <c r="E1093" s="95">
        <v>32069642</v>
      </c>
      <c r="F1093" s="163" t="s">
        <v>2111</v>
      </c>
      <c r="G1093" s="146" t="s">
        <v>2112</v>
      </c>
      <c r="H1093" s="60">
        <v>32045871</v>
      </c>
      <c r="I1093" s="10" t="s">
        <v>2121</v>
      </c>
      <c r="J1093" s="160" t="s">
        <v>2122</v>
      </c>
      <c r="K1093" s="12">
        <v>7</v>
      </c>
      <c r="L1093" s="12" t="s">
        <v>2110</v>
      </c>
      <c r="M1093" s="18" t="s">
        <v>1810</v>
      </c>
    </row>
    <row r="1094" spans="2:13" ht="15.9" customHeight="1" x14ac:dyDescent="0.3">
      <c r="B1094" s="17" t="s">
        <v>2053</v>
      </c>
      <c r="C1094" s="11" t="s">
        <v>2076</v>
      </c>
      <c r="D1094" s="110" t="s">
        <v>2110</v>
      </c>
      <c r="E1094" s="95">
        <v>32069642</v>
      </c>
      <c r="F1094" s="163" t="s">
        <v>2111</v>
      </c>
      <c r="G1094" s="146" t="s">
        <v>2112</v>
      </c>
      <c r="H1094" s="60">
        <v>32043908</v>
      </c>
      <c r="I1094" s="10" t="s">
        <v>2123</v>
      </c>
      <c r="J1094" s="156" t="s">
        <v>2124</v>
      </c>
      <c r="K1094" s="12">
        <v>7</v>
      </c>
      <c r="L1094" s="12" t="s">
        <v>2110</v>
      </c>
      <c r="M1094" s="18" t="s">
        <v>125</v>
      </c>
    </row>
    <row r="1095" spans="2:13" ht="15.9" customHeight="1" x14ac:dyDescent="0.3">
      <c r="B1095" s="17" t="s">
        <v>2053</v>
      </c>
      <c r="C1095" s="11" t="s">
        <v>2076</v>
      </c>
      <c r="D1095" s="110" t="s">
        <v>2110</v>
      </c>
      <c r="E1095" s="95">
        <v>32069642</v>
      </c>
      <c r="F1095" s="163" t="s">
        <v>2111</v>
      </c>
      <c r="G1095" s="147" t="s">
        <v>2112</v>
      </c>
      <c r="H1095" s="60">
        <v>32043916</v>
      </c>
      <c r="I1095" s="10" t="s">
        <v>2125</v>
      </c>
      <c r="J1095" s="160" t="s">
        <v>2126</v>
      </c>
      <c r="K1095" s="12">
        <v>7</v>
      </c>
      <c r="L1095" s="12" t="s">
        <v>2110</v>
      </c>
      <c r="M1095" s="18" t="s">
        <v>1813</v>
      </c>
    </row>
    <row r="1104" spans="2:13" ht="15.9" customHeight="1" x14ac:dyDescent="0.3">
      <c r="D1104" s="174"/>
    </row>
    <row r="1230" spans="10:10" ht="15.9" customHeight="1" x14ac:dyDescent="0.3">
      <c r="J1230" s="6" t="s">
        <v>1999</v>
      </c>
    </row>
  </sheetData>
  <mergeCells count="2046">
    <mergeCell ref="BK1:BR1"/>
    <mergeCell ref="BS1:BZ1"/>
    <mergeCell ref="CA1:CH1"/>
    <mergeCell ref="CI1:CP1"/>
    <mergeCell ref="CQ1:CX1"/>
    <mergeCell ref="CY1:DF1"/>
    <mergeCell ref="O1:V1"/>
    <mergeCell ref="W1:AD1"/>
    <mergeCell ref="AE1:AL1"/>
    <mergeCell ref="AM1:AT1"/>
    <mergeCell ref="AU1:BB1"/>
    <mergeCell ref="BC1:BJ1"/>
    <mergeCell ref="GY1:HF1"/>
    <mergeCell ref="HG1:HN1"/>
    <mergeCell ref="HO1:HV1"/>
    <mergeCell ref="HW1:ID1"/>
    <mergeCell ref="IE1:IL1"/>
    <mergeCell ref="IM1:IT1"/>
    <mergeCell ref="FC1:FJ1"/>
    <mergeCell ref="FK1:FR1"/>
    <mergeCell ref="FS1:FZ1"/>
    <mergeCell ref="GA1:GH1"/>
    <mergeCell ref="GI1:GP1"/>
    <mergeCell ref="GQ1:GX1"/>
    <mergeCell ref="DG1:DN1"/>
    <mergeCell ref="DO1:DV1"/>
    <mergeCell ref="DW1:ED1"/>
    <mergeCell ref="EE1:EL1"/>
    <mergeCell ref="EM1:ET1"/>
    <mergeCell ref="EU1:FB1"/>
    <mergeCell ref="MM1:MT1"/>
    <mergeCell ref="MU1:NB1"/>
    <mergeCell ref="NC1:NJ1"/>
    <mergeCell ref="NK1:NR1"/>
    <mergeCell ref="NS1:NZ1"/>
    <mergeCell ref="OA1:OH1"/>
    <mergeCell ref="KQ1:KX1"/>
    <mergeCell ref="KY1:LF1"/>
    <mergeCell ref="LG1:LN1"/>
    <mergeCell ref="LO1:LV1"/>
    <mergeCell ref="LW1:MD1"/>
    <mergeCell ref="ME1:ML1"/>
    <mergeCell ref="IU1:JB1"/>
    <mergeCell ref="JC1:JJ1"/>
    <mergeCell ref="JK1:JR1"/>
    <mergeCell ref="JS1:JZ1"/>
    <mergeCell ref="KA1:KH1"/>
    <mergeCell ref="KI1:KP1"/>
    <mergeCell ref="SA1:SH1"/>
    <mergeCell ref="SI1:SP1"/>
    <mergeCell ref="SQ1:SX1"/>
    <mergeCell ref="SY1:TF1"/>
    <mergeCell ref="TG1:TN1"/>
    <mergeCell ref="TO1:TV1"/>
    <mergeCell ref="QE1:QL1"/>
    <mergeCell ref="QM1:QT1"/>
    <mergeCell ref="QU1:RB1"/>
    <mergeCell ref="RC1:RJ1"/>
    <mergeCell ref="RK1:RR1"/>
    <mergeCell ref="RS1:RZ1"/>
    <mergeCell ref="OI1:OP1"/>
    <mergeCell ref="OQ1:OX1"/>
    <mergeCell ref="OY1:PF1"/>
    <mergeCell ref="PG1:PN1"/>
    <mergeCell ref="PO1:PV1"/>
    <mergeCell ref="PW1:QD1"/>
    <mergeCell ref="XO1:XV1"/>
    <mergeCell ref="XW1:YD1"/>
    <mergeCell ref="YE1:YL1"/>
    <mergeCell ref="YM1:YT1"/>
    <mergeCell ref="YU1:ZB1"/>
    <mergeCell ref="ZC1:ZJ1"/>
    <mergeCell ref="VS1:VZ1"/>
    <mergeCell ref="WA1:WH1"/>
    <mergeCell ref="WI1:WP1"/>
    <mergeCell ref="WQ1:WX1"/>
    <mergeCell ref="WY1:XF1"/>
    <mergeCell ref="XG1:XN1"/>
    <mergeCell ref="TW1:UD1"/>
    <mergeCell ref="UE1:UL1"/>
    <mergeCell ref="UM1:UT1"/>
    <mergeCell ref="UU1:VB1"/>
    <mergeCell ref="VC1:VJ1"/>
    <mergeCell ref="VK1:VR1"/>
    <mergeCell ref="ADC1:ADJ1"/>
    <mergeCell ref="ADK1:ADR1"/>
    <mergeCell ref="ADS1:ADZ1"/>
    <mergeCell ref="AEA1:AEH1"/>
    <mergeCell ref="AEI1:AEP1"/>
    <mergeCell ref="AEQ1:AEX1"/>
    <mergeCell ref="ABG1:ABN1"/>
    <mergeCell ref="ABO1:ABV1"/>
    <mergeCell ref="ABW1:ACD1"/>
    <mergeCell ref="ACE1:ACL1"/>
    <mergeCell ref="ACM1:ACT1"/>
    <mergeCell ref="ACU1:ADB1"/>
    <mergeCell ref="ZK1:ZR1"/>
    <mergeCell ref="ZS1:ZZ1"/>
    <mergeCell ref="AAA1:AAH1"/>
    <mergeCell ref="AAI1:AAP1"/>
    <mergeCell ref="AAQ1:AAX1"/>
    <mergeCell ref="AAY1:ABF1"/>
    <mergeCell ref="AIQ1:AIX1"/>
    <mergeCell ref="AIY1:AJF1"/>
    <mergeCell ref="AJG1:AJN1"/>
    <mergeCell ref="AJO1:AJV1"/>
    <mergeCell ref="AJW1:AKD1"/>
    <mergeCell ref="AKE1:AKL1"/>
    <mergeCell ref="AGU1:AHB1"/>
    <mergeCell ref="AHC1:AHJ1"/>
    <mergeCell ref="AHK1:AHR1"/>
    <mergeCell ref="AHS1:AHZ1"/>
    <mergeCell ref="AIA1:AIH1"/>
    <mergeCell ref="AII1:AIP1"/>
    <mergeCell ref="AEY1:AFF1"/>
    <mergeCell ref="AFG1:AFN1"/>
    <mergeCell ref="AFO1:AFV1"/>
    <mergeCell ref="AFW1:AGD1"/>
    <mergeCell ref="AGE1:AGL1"/>
    <mergeCell ref="AGM1:AGT1"/>
    <mergeCell ref="AOE1:AOL1"/>
    <mergeCell ref="AOM1:AOT1"/>
    <mergeCell ref="AOU1:APB1"/>
    <mergeCell ref="APC1:APJ1"/>
    <mergeCell ref="APK1:APR1"/>
    <mergeCell ref="APS1:APZ1"/>
    <mergeCell ref="AMI1:AMP1"/>
    <mergeCell ref="AMQ1:AMX1"/>
    <mergeCell ref="AMY1:ANF1"/>
    <mergeCell ref="ANG1:ANN1"/>
    <mergeCell ref="ANO1:ANV1"/>
    <mergeCell ref="ANW1:AOD1"/>
    <mergeCell ref="AKM1:AKT1"/>
    <mergeCell ref="AKU1:ALB1"/>
    <mergeCell ref="ALC1:ALJ1"/>
    <mergeCell ref="ALK1:ALR1"/>
    <mergeCell ref="ALS1:ALZ1"/>
    <mergeCell ref="AMA1:AMH1"/>
    <mergeCell ref="ATS1:ATZ1"/>
    <mergeCell ref="AUA1:AUH1"/>
    <mergeCell ref="AUI1:AUP1"/>
    <mergeCell ref="AUQ1:AUX1"/>
    <mergeCell ref="AUY1:AVF1"/>
    <mergeCell ref="AVG1:AVN1"/>
    <mergeCell ref="ARW1:ASD1"/>
    <mergeCell ref="ASE1:ASL1"/>
    <mergeCell ref="ASM1:AST1"/>
    <mergeCell ref="ASU1:ATB1"/>
    <mergeCell ref="ATC1:ATJ1"/>
    <mergeCell ref="ATK1:ATR1"/>
    <mergeCell ref="AQA1:AQH1"/>
    <mergeCell ref="AQI1:AQP1"/>
    <mergeCell ref="AQQ1:AQX1"/>
    <mergeCell ref="AQY1:ARF1"/>
    <mergeCell ref="ARG1:ARN1"/>
    <mergeCell ref="ARO1:ARV1"/>
    <mergeCell ref="AZG1:AZN1"/>
    <mergeCell ref="AZO1:AZV1"/>
    <mergeCell ref="AZW1:BAD1"/>
    <mergeCell ref="BAE1:BAL1"/>
    <mergeCell ref="BAM1:BAT1"/>
    <mergeCell ref="BAU1:BBB1"/>
    <mergeCell ref="AXK1:AXR1"/>
    <mergeCell ref="AXS1:AXZ1"/>
    <mergeCell ref="AYA1:AYH1"/>
    <mergeCell ref="AYI1:AYP1"/>
    <mergeCell ref="AYQ1:AYX1"/>
    <mergeCell ref="AYY1:AZF1"/>
    <mergeCell ref="AVO1:AVV1"/>
    <mergeCell ref="AVW1:AWD1"/>
    <mergeCell ref="AWE1:AWL1"/>
    <mergeCell ref="AWM1:AWT1"/>
    <mergeCell ref="AWU1:AXB1"/>
    <mergeCell ref="AXC1:AXJ1"/>
    <mergeCell ref="BEU1:BFB1"/>
    <mergeCell ref="BFC1:BFJ1"/>
    <mergeCell ref="BFK1:BFR1"/>
    <mergeCell ref="BFS1:BFZ1"/>
    <mergeCell ref="BGA1:BGH1"/>
    <mergeCell ref="BGI1:BGP1"/>
    <mergeCell ref="BCY1:BDF1"/>
    <mergeCell ref="BDG1:BDN1"/>
    <mergeCell ref="BDO1:BDV1"/>
    <mergeCell ref="BDW1:BED1"/>
    <mergeCell ref="BEE1:BEL1"/>
    <mergeCell ref="BEM1:BET1"/>
    <mergeCell ref="BBC1:BBJ1"/>
    <mergeCell ref="BBK1:BBR1"/>
    <mergeCell ref="BBS1:BBZ1"/>
    <mergeCell ref="BCA1:BCH1"/>
    <mergeCell ref="BCI1:BCP1"/>
    <mergeCell ref="BCQ1:BCX1"/>
    <mergeCell ref="BKI1:BKP1"/>
    <mergeCell ref="BKQ1:BKX1"/>
    <mergeCell ref="BKY1:BLF1"/>
    <mergeCell ref="BLG1:BLN1"/>
    <mergeCell ref="BLO1:BLV1"/>
    <mergeCell ref="BLW1:BMD1"/>
    <mergeCell ref="BIM1:BIT1"/>
    <mergeCell ref="BIU1:BJB1"/>
    <mergeCell ref="BJC1:BJJ1"/>
    <mergeCell ref="BJK1:BJR1"/>
    <mergeCell ref="BJS1:BJZ1"/>
    <mergeCell ref="BKA1:BKH1"/>
    <mergeCell ref="BGQ1:BGX1"/>
    <mergeCell ref="BGY1:BHF1"/>
    <mergeCell ref="BHG1:BHN1"/>
    <mergeCell ref="BHO1:BHV1"/>
    <mergeCell ref="BHW1:BID1"/>
    <mergeCell ref="BIE1:BIL1"/>
    <mergeCell ref="BPW1:BQD1"/>
    <mergeCell ref="BQE1:BQL1"/>
    <mergeCell ref="BQM1:BQT1"/>
    <mergeCell ref="BQU1:BRB1"/>
    <mergeCell ref="BRC1:BRJ1"/>
    <mergeCell ref="BRK1:BRR1"/>
    <mergeCell ref="BOA1:BOH1"/>
    <mergeCell ref="BOI1:BOP1"/>
    <mergeCell ref="BOQ1:BOX1"/>
    <mergeCell ref="BOY1:BPF1"/>
    <mergeCell ref="BPG1:BPN1"/>
    <mergeCell ref="BPO1:BPV1"/>
    <mergeCell ref="BME1:BML1"/>
    <mergeCell ref="BMM1:BMT1"/>
    <mergeCell ref="BMU1:BNB1"/>
    <mergeCell ref="BNC1:BNJ1"/>
    <mergeCell ref="BNK1:BNR1"/>
    <mergeCell ref="BNS1:BNZ1"/>
    <mergeCell ref="BVK1:BVR1"/>
    <mergeCell ref="BVS1:BVZ1"/>
    <mergeCell ref="BWA1:BWH1"/>
    <mergeCell ref="BWI1:BWP1"/>
    <mergeCell ref="BWQ1:BWX1"/>
    <mergeCell ref="BWY1:BXF1"/>
    <mergeCell ref="BTO1:BTV1"/>
    <mergeCell ref="BTW1:BUD1"/>
    <mergeCell ref="BUE1:BUL1"/>
    <mergeCell ref="BUM1:BUT1"/>
    <mergeCell ref="BUU1:BVB1"/>
    <mergeCell ref="BVC1:BVJ1"/>
    <mergeCell ref="BRS1:BRZ1"/>
    <mergeCell ref="BSA1:BSH1"/>
    <mergeCell ref="BSI1:BSP1"/>
    <mergeCell ref="BSQ1:BSX1"/>
    <mergeCell ref="BSY1:BTF1"/>
    <mergeCell ref="BTG1:BTN1"/>
    <mergeCell ref="CAY1:CBF1"/>
    <mergeCell ref="CBG1:CBN1"/>
    <mergeCell ref="CBO1:CBV1"/>
    <mergeCell ref="CBW1:CCD1"/>
    <mergeCell ref="CCE1:CCL1"/>
    <mergeCell ref="CCM1:CCT1"/>
    <mergeCell ref="BZC1:BZJ1"/>
    <mergeCell ref="BZK1:BZR1"/>
    <mergeCell ref="BZS1:BZZ1"/>
    <mergeCell ref="CAA1:CAH1"/>
    <mergeCell ref="CAI1:CAP1"/>
    <mergeCell ref="CAQ1:CAX1"/>
    <mergeCell ref="BXG1:BXN1"/>
    <mergeCell ref="BXO1:BXV1"/>
    <mergeCell ref="BXW1:BYD1"/>
    <mergeCell ref="BYE1:BYL1"/>
    <mergeCell ref="BYM1:BYT1"/>
    <mergeCell ref="BYU1:BZB1"/>
    <mergeCell ref="CGM1:CGT1"/>
    <mergeCell ref="CGU1:CHB1"/>
    <mergeCell ref="CHC1:CHJ1"/>
    <mergeCell ref="CHK1:CHR1"/>
    <mergeCell ref="CHS1:CHZ1"/>
    <mergeCell ref="CIA1:CIH1"/>
    <mergeCell ref="CEQ1:CEX1"/>
    <mergeCell ref="CEY1:CFF1"/>
    <mergeCell ref="CFG1:CFN1"/>
    <mergeCell ref="CFO1:CFV1"/>
    <mergeCell ref="CFW1:CGD1"/>
    <mergeCell ref="CGE1:CGL1"/>
    <mergeCell ref="CCU1:CDB1"/>
    <mergeCell ref="CDC1:CDJ1"/>
    <mergeCell ref="CDK1:CDR1"/>
    <mergeCell ref="CDS1:CDZ1"/>
    <mergeCell ref="CEA1:CEH1"/>
    <mergeCell ref="CEI1:CEP1"/>
    <mergeCell ref="CMA1:CMH1"/>
    <mergeCell ref="CMI1:CMP1"/>
    <mergeCell ref="CMQ1:CMX1"/>
    <mergeCell ref="CMY1:CNF1"/>
    <mergeCell ref="CNG1:CNN1"/>
    <mergeCell ref="CNO1:CNV1"/>
    <mergeCell ref="CKE1:CKL1"/>
    <mergeCell ref="CKM1:CKT1"/>
    <mergeCell ref="CKU1:CLB1"/>
    <mergeCell ref="CLC1:CLJ1"/>
    <mergeCell ref="CLK1:CLR1"/>
    <mergeCell ref="CLS1:CLZ1"/>
    <mergeCell ref="CII1:CIP1"/>
    <mergeCell ref="CIQ1:CIX1"/>
    <mergeCell ref="CIY1:CJF1"/>
    <mergeCell ref="CJG1:CJN1"/>
    <mergeCell ref="CJO1:CJV1"/>
    <mergeCell ref="CJW1:CKD1"/>
    <mergeCell ref="CRO1:CRV1"/>
    <mergeCell ref="CRW1:CSD1"/>
    <mergeCell ref="CSE1:CSL1"/>
    <mergeCell ref="CSM1:CST1"/>
    <mergeCell ref="CSU1:CTB1"/>
    <mergeCell ref="CTC1:CTJ1"/>
    <mergeCell ref="CPS1:CPZ1"/>
    <mergeCell ref="CQA1:CQH1"/>
    <mergeCell ref="CQI1:CQP1"/>
    <mergeCell ref="CQQ1:CQX1"/>
    <mergeCell ref="CQY1:CRF1"/>
    <mergeCell ref="CRG1:CRN1"/>
    <mergeCell ref="CNW1:COD1"/>
    <mergeCell ref="COE1:COL1"/>
    <mergeCell ref="COM1:COT1"/>
    <mergeCell ref="COU1:CPB1"/>
    <mergeCell ref="CPC1:CPJ1"/>
    <mergeCell ref="CPK1:CPR1"/>
    <mergeCell ref="CXC1:CXJ1"/>
    <mergeCell ref="CXK1:CXR1"/>
    <mergeCell ref="CXS1:CXZ1"/>
    <mergeCell ref="CYA1:CYH1"/>
    <mergeCell ref="CYI1:CYP1"/>
    <mergeCell ref="CYQ1:CYX1"/>
    <mergeCell ref="CVG1:CVN1"/>
    <mergeCell ref="CVO1:CVV1"/>
    <mergeCell ref="CVW1:CWD1"/>
    <mergeCell ref="CWE1:CWL1"/>
    <mergeCell ref="CWM1:CWT1"/>
    <mergeCell ref="CWU1:CXB1"/>
    <mergeCell ref="CTK1:CTR1"/>
    <mergeCell ref="CTS1:CTZ1"/>
    <mergeCell ref="CUA1:CUH1"/>
    <mergeCell ref="CUI1:CUP1"/>
    <mergeCell ref="CUQ1:CUX1"/>
    <mergeCell ref="CUY1:CVF1"/>
    <mergeCell ref="DCQ1:DCX1"/>
    <mergeCell ref="DCY1:DDF1"/>
    <mergeCell ref="DDG1:DDN1"/>
    <mergeCell ref="DDO1:DDV1"/>
    <mergeCell ref="DDW1:DED1"/>
    <mergeCell ref="DEE1:DEL1"/>
    <mergeCell ref="DAU1:DBB1"/>
    <mergeCell ref="DBC1:DBJ1"/>
    <mergeCell ref="DBK1:DBR1"/>
    <mergeCell ref="DBS1:DBZ1"/>
    <mergeCell ref="DCA1:DCH1"/>
    <mergeCell ref="DCI1:DCP1"/>
    <mergeCell ref="CYY1:CZF1"/>
    <mergeCell ref="CZG1:CZN1"/>
    <mergeCell ref="CZO1:CZV1"/>
    <mergeCell ref="CZW1:DAD1"/>
    <mergeCell ref="DAE1:DAL1"/>
    <mergeCell ref="DAM1:DAT1"/>
    <mergeCell ref="DIE1:DIL1"/>
    <mergeCell ref="DIM1:DIT1"/>
    <mergeCell ref="DIU1:DJB1"/>
    <mergeCell ref="DJC1:DJJ1"/>
    <mergeCell ref="DJK1:DJR1"/>
    <mergeCell ref="DJS1:DJZ1"/>
    <mergeCell ref="DGI1:DGP1"/>
    <mergeCell ref="DGQ1:DGX1"/>
    <mergeCell ref="DGY1:DHF1"/>
    <mergeCell ref="DHG1:DHN1"/>
    <mergeCell ref="DHO1:DHV1"/>
    <mergeCell ref="DHW1:DID1"/>
    <mergeCell ref="DEM1:DET1"/>
    <mergeCell ref="DEU1:DFB1"/>
    <mergeCell ref="DFC1:DFJ1"/>
    <mergeCell ref="DFK1:DFR1"/>
    <mergeCell ref="DFS1:DFZ1"/>
    <mergeCell ref="DGA1:DGH1"/>
    <mergeCell ref="DNS1:DNZ1"/>
    <mergeCell ref="DOA1:DOH1"/>
    <mergeCell ref="DOI1:DOP1"/>
    <mergeCell ref="DOQ1:DOX1"/>
    <mergeCell ref="DOY1:DPF1"/>
    <mergeCell ref="DPG1:DPN1"/>
    <mergeCell ref="DLW1:DMD1"/>
    <mergeCell ref="DME1:DML1"/>
    <mergeCell ref="DMM1:DMT1"/>
    <mergeCell ref="DMU1:DNB1"/>
    <mergeCell ref="DNC1:DNJ1"/>
    <mergeCell ref="DNK1:DNR1"/>
    <mergeCell ref="DKA1:DKH1"/>
    <mergeCell ref="DKI1:DKP1"/>
    <mergeCell ref="DKQ1:DKX1"/>
    <mergeCell ref="DKY1:DLF1"/>
    <mergeCell ref="DLG1:DLN1"/>
    <mergeCell ref="DLO1:DLV1"/>
    <mergeCell ref="DTG1:DTN1"/>
    <mergeCell ref="DTO1:DTV1"/>
    <mergeCell ref="DTW1:DUD1"/>
    <mergeCell ref="DUE1:DUL1"/>
    <mergeCell ref="DUM1:DUT1"/>
    <mergeCell ref="DUU1:DVB1"/>
    <mergeCell ref="DRK1:DRR1"/>
    <mergeCell ref="DRS1:DRZ1"/>
    <mergeCell ref="DSA1:DSH1"/>
    <mergeCell ref="DSI1:DSP1"/>
    <mergeCell ref="DSQ1:DSX1"/>
    <mergeCell ref="DSY1:DTF1"/>
    <mergeCell ref="DPO1:DPV1"/>
    <mergeCell ref="DPW1:DQD1"/>
    <mergeCell ref="DQE1:DQL1"/>
    <mergeCell ref="DQM1:DQT1"/>
    <mergeCell ref="DQU1:DRB1"/>
    <mergeCell ref="DRC1:DRJ1"/>
    <mergeCell ref="DYU1:DZB1"/>
    <mergeCell ref="DZC1:DZJ1"/>
    <mergeCell ref="DZK1:DZR1"/>
    <mergeCell ref="DZS1:DZZ1"/>
    <mergeCell ref="EAA1:EAH1"/>
    <mergeCell ref="EAI1:EAP1"/>
    <mergeCell ref="DWY1:DXF1"/>
    <mergeCell ref="DXG1:DXN1"/>
    <mergeCell ref="DXO1:DXV1"/>
    <mergeCell ref="DXW1:DYD1"/>
    <mergeCell ref="DYE1:DYL1"/>
    <mergeCell ref="DYM1:DYT1"/>
    <mergeCell ref="DVC1:DVJ1"/>
    <mergeCell ref="DVK1:DVR1"/>
    <mergeCell ref="DVS1:DVZ1"/>
    <mergeCell ref="DWA1:DWH1"/>
    <mergeCell ref="DWI1:DWP1"/>
    <mergeCell ref="DWQ1:DWX1"/>
    <mergeCell ref="EEI1:EEP1"/>
    <mergeCell ref="EEQ1:EEX1"/>
    <mergeCell ref="EEY1:EFF1"/>
    <mergeCell ref="EFG1:EFN1"/>
    <mergeCell ref="EFO1:EFV1"/>
    <mergeCell ref="EFW1:EGD1"/>
    <mergeCell ref="ECM1:ECT1"/>
    <mergeCell ref="ECU1:EDB1"/>
    <mergeCell ref="EDC1:EDJ1"/>
    <mergeCell ref="EDK1:EDR1"/>
    <mergeCell ref="EDS1:EDZ1"/>
    <mergeCell ref="EEA1:EEH1"/>
    <mergeCell ref="EAQ1:EAX1"/>
    <mergeCell ref="EAY1:EBF1"/>
    <mergeCell ref="EBG1:EBN1"/>
    <mergeCell ref="EBO1:EBV1"/>
    <mergeCell ref="EBW1:ECD1"/>
    <mergeCell ref="ECE1:ECL1"/>
    <mergeCell ref="EJW1:EKD1"/>
    <mergeCell ref="EKE1:EKL1"/>
    <mergeCell ref="EKM1:EKT1"/>
    <mergeCell ref="EKU1:ELB1"/>
    <mergeCell ref="ELC1:ELJ1"/>
    <mergeCell ref="ELK1:ELR1"/>
    <mergeCell ref="EIA1:EIH1"/>
    <mergeCell ref="EII1:EIP1"/>
    <mergeCell ref="EIQ1:EIX1"/>
    <mergeCell ref="EIY1:EJF1"/>
    <mergeCell ref="EJG1:EJN1"/>
    <mergeCell ref="EJO1:EJV1"/>
    <mergeCell ref="EGE1:EGL1"/>
    <mergeCell ref="EGM1:EGT1"/>
    <mergeCell ref="EGU1:EHB1"/>
    <mergeCell ref="EHC1:EHJ1"/>
    <mergeCell ref="EHK1:EHR1"/>
    <mergeCell ref="EHS1:EHZ1"/>
    <mergeCell ref="EPK1:EPR1"/>
    <mergeCell ref="EPS1:EPZ1"/>
    <mergeCell ref="EQA1:EQH1"/>
    <mergeCell ref="EQI1:EQP1"/>
    <mergeCell ref="EQQ1:EQX1"/>
    <mergeCell ref="EQY1:ERF1"/>
    <mergeCell ref="ENO1:ENV1"/>
    <mergeCell ref="ENW1:EOD1"/>
    <mergeCell ref="EOE1:EOL1"/>
    <mergeCell ref="EOM1:EOT1"/>
    <mergeCell ref="EOU1:EPB1"/>
    <mergeCell ref="EPC1:EPJ1"/>
    <mergeCell ref="ELS1:ELZ1"/>
    <mergeCell ref="EMA1:EMH1"/>
    <mergeCell ref="EMI1:EMP1"/>
    <mergeCell ref="EMQ1:EMX1"/>
    <mergeCell ref="EMY1:ENF1"/>
    <mergeCell ref="ENG1:ENN1"/>
    <mergeCell ref="EUY1:EVF1"/>
    <mergeCell ref="EVG1:EVN1"/>
    <mergeCell ref="EVO1:EVV1"/>
    <mergeCell ref="EVW1:EWD1"/>
    <mergeCell ref="EWE1:EWL1"/>
    <mergeCell ref="EWM1:EWT1"/>
    <mergeCell ref="ETC1:ETJ1"/>
    <mergeCell ref="ETK1:ETR1"/>
    <mergeCell ref="ETS1:ETZ1"/>
    <mergeCell ref="EUA1:EUH1"/>
    <mergeCell ref="EUI1:EUP1"/>
    <mergeCell ref="EUQ1:EUX1"/>
    <mergeCell ref="ERG1:ERN1"/>
    <mergeCell ref="ERO1:ERV1"/>
    <mergeCell ref="ERW1:ESD1"/>
    <mergeCell ref="ESE1:ESL1"/>
    <mergeCell ref="ESM1:EST1"/>
    <mergeCell ref="ESU1:ETB1"/>
    <mergeCell ref="FAM1:FAT1"/>
    <mergeCell ref="FAU1:FBB1"/>
    <mergeCell ref="FBC1:FBJ1"/>
    <mergeCell ref="FBK1:FBR1"/>
    <mergeCell ref="FBS1:FBZ1"/>
    <mergeCell ref="FCA1:FCH1"/>
    <mergeCell ref="EYQ1:EYX1"/>
    <mergeCell ref="EYY1:EZF1"/>
    <mergeCell ref="EZG1:EZN1"/>
    <mergeCell ref="EZO1:EZV1"/>
    <mergeCell ref="EZW1:FAD1"/>
    <mergeCell ref="FAE1:FAL1"/>
    <mergeCell ref="EWU1:EXB1"/>
    <mergeCell ref="EXC1:EXJ1"/>
    <mergeCell ref="EXK1:EXR1"/>
    <mergeCell ref="EXS1:EXZ1"/>
    <mergeCell ref="EYA1:EYH1"/>
    <mergeCell ref="EYI1:EYP1"/>
    <mergeCell ref="FGA1:FGH1"/>
    <mergeCell ref="FGI1:FGP1"/>
    <mergeCell ref="FGQ1:FGX1"/>
    <mergeCell ref="FGY1:FHF1"/>
    <mergeCell ref="FHG1:FHN1"/>
    <mergeCell ref="FHO1:FHV1"/>
    <mergeCell ref="FEE1:FEL1"/>
    <mergeCell ref="FEM1:FET1"/>
    <mergeCell ref="FEU1:FFB1"/>
    <mergeCell ref="FFC1:FFJ1"/>
    <mergeCell ref="FFK1:FFR1"/>
    <mergeCell ref="FFS1:FFZ1"/>
    <mergeCell ref="FCI1:FCP1"/>
    <mergeCell ref="FCQ1:FCX1"/>
    <mergeCell ref="FCY1:FDF1"/>
    <mergeCell ref="FDG1:FDN1"/>
    <mergeCell ref="FDO1:FDV1"/>
    <mergeCell ref="FDW1:FED1"/>
    <mergeCell ref="FLO1:FLV1"/>
    <mergeCell ref="FLW1:FMD1"/>
    <mergeCell ref="FME1:FML1"/>
    <mergeCell ref="FMM1:FMT1"/>
    <mergeCell ref="FMU1:FNB1"/>
    <mergeCell ref="FNC1:FNJ1"/>
    <mergeCell ref="FJS1:FJZ1"/>
    <mergeCell ref="FKA1:FKH1"/>
    <mergeCell ref="FKI1:FKP1"/>
    <mergeCell ref="FKQ1:FKX1"/>
    <mergeCell ref="FKY1:FLF1"/>
    <mergeCell ref="FLG1:FLN1"/>
    <mergeCell ref="FHW1:FID1"/>
    <mergeCell ref="FIE1:FIL1"/>
    <mergeCell ref="FIM1:FIT1"/>
    <mergeCell ref="FIU1:FJB1"/>
    <mergeCell ref="FJC1:FJJ1"/>
    <mergeCell ref="FJK1:FJR1"/>
    <mergeCell ref="FRC1:FRJ1"/>
    <mergeCell ref="FRK1:FRR1"/>
    <mergeCell ref="FRS1:FRZ1"/>
    <mergeCell ref="FSA1:FSH1"/>
    <mergeCell ref="FSI1:FSP1"/>
    <mergeCell ref="FSQ1:FSX1"/>
    <mergeCell ref="FPG1:FPN1"/>
    <mergeCell ref="FPO1:FPV1"/>
    <mergeCell ref="FPW1:FQD1"/>
    <mergeCell ref="FQE1:FQL1"/>
    <mergeCell ref="FQM1:FQT1"/>
    <mergeCell ref="FQU1:FRB1"/>
    <mergeCell ref="FNK1:FNR1"/>
    <mergeCell ref="FNS1:FNZ1"/>
    <mergeCell ref="FOA1:FOH1"/>
    <mergeCell ref="FOI1:FOP1"/>
    <mergeCell ref="FOQ1:FOX1"/>
    <mergeCell ref="FOY1:FPF1"/>
    <mergeCell ref="FWQ1:FWX1"/>
    <mergeCell ref="FWY1:FXF1"/>
    <mergeCell ref="FXG1:FXN1"/>
    <mergeCell ref="FXO1:FXV1"/>
    <mergeCell ref="FXW1:FYD1"/>
    <mergeCell ref="FYE1:FYL1"/>
    <mergeCell ref="FUU1:FVB1"/>
    <mergeCell ref="FVC1:FVJ1"/>
    <mergeCell ref="FVK1:FVR1"/>
    <mergeCell ref="FVS1:FVZ1"/>
    <mergeCell ref="FWA1:FWH1"/>
    <mergeCell ref="FWI1:FWP1"/>
    <mergeCell ref="FSY1:FTF1"/>
    <mergeCell ref="FTG1:FTN1"/>
    <mergeCell ref="FTO1:FTV1"/>
    <mergeCell ref="FTW1:FUD1"/>
    <mergeCell ref="FUE1:FUL1"/>
    <mergeCell ref="FUM1:FUT1"/>
    <mergeCell ref="GCE1:GCL1"/>
    <mergeCell ref="GCM1:GCT1"/>
    <mergeCell ref="GCU1:GDB1"/>
    <mergeCell ref="GDC1:GDJ1"/>
    <mergeCell ref="GDK1:GDR1"/>
    <mergeCell ref="GDS1:GDZ1"/>
    <mergeCell ref="GAI1:GAP1"/>
    <mergeCell ref="GAQ1:GAX1"/>
    <mergeCell ref="GAY1:GBF1"/>
    <mergeCell ref="GBG1:GBN1"/>
    <mergeCell ref="GBO1:GBV1"/>
    <mergeCell ref="GBW1:GCD1"/>
    <mergeCell ref="FYM1:FYT1"/>
    <mergeCell ref="FYU1:FZB1"/>
    <mergeCell ref="FZC1:FZJ1"/>
    <mergeCell ref="FZK1:FZR1"/>
    <mergeCell ref="FZS1:FZZ1"/>
    <mergeCell ref="GAA1:GAH1"/>
    <mergeCell ref="GHS1:GHZ1"/>
    <mergeCell ref="GIA1:GIH1"/>
    <mergeCell ref="GII1:GIP1"/>
    <mergeCell ref="GIQ1:GIX1"/>
    <mergeCell ref="GIY1:GJF1"/>
    <mergeCell ref="GJG1:GJN1"/>
    <mergeCell ref="GFW1:GGD1"/>
    <mergeCell ref="GGE1:GGL1"/>
    <mergeCell ref="GGM1:GGT1"/>
    <mergeCell ref="GGU1:GHB1"/>
    <mergeCell ref="GHC1:GHJ1"/>
    <mergeCell ref="GHK1:GHR1"/>
    <mergeCell ref="GEA1:GEH1"/>
    <mergeCell ref="GEI1:GEP1"/>
    <mergeCell ref="GEQ1:GEX1"/>
    <mergeCell ref="GEY1:GFF1"/>
    <mergeCell ref="GFG1:GFN1"/>
    <mergeCell ref="GFO1:GFV1"/>
    <mergeCell ref="GNG1:GNN1"/>
    <mergeCell ref="GNO1:GNV1"/>
    <mergeCell ref="GNW1:GOD1"/>
    <mergeCell ref="GOE1:GOL1"/>
    <mergeCell ref="GOM1:GOT1"/>
    <mergeCell ref="GOU1:GPB1"/>
    <mergeCell ref="GLK1:GLR1"/>
    <mergeCell ref="GLS1:GLZ1"/>
    <mergeCell ref="GMA1:GMH1"/>
    <mergeCell ref="GMI1:GMP1"/>
    <mergeCell ref="GMQ1:GMX1"/>
    <mergeCell ref="GMY1:GNF1"/>
    <mergeCell ref="GJO1:GJV1"/>
    <mergeCell ref="GJW1:GKD1"/>
    <mergeCell ref="GKE1:GKL1"/>
    <mergeCell ref="GKM1:GKT1"/>
    <mergeCell ref="GKU1:GLB1"/>
    <mergeCell ref="GLC1:GLJ1"/>
    <mergeCell ref="GSU1:GTB1"/>
    <mergeCell ref="GTC1:GTJ1"/>
    <mergeCell ref="GTK1:GTR1"/>
    <mergeCell ref="GTS1:GTZ1"/>
    <mergeCell ref="GUA1:GUH1"/>
    <mergeCell ref="GUI1:GUP1"/>
    <mergeCell ref="GQY1:GRF1"/>
    <mergeCell ref="GRG1:GRN1"/>
    <mergeCell ref="GRO1:GRV1"/>
    <mergeCell ref="GRW1:GSD1"/>
    <mergeCell ref="GSE1:GSL1"/>
    <mergeCell ref="GSM1:GST1"/>
    <mergeCell ref="GPC1:GPJ1"/>
    <mergeCell ref="GPK1:GPR1"/>
    <mergeCell ref="GPS1:GPZ1"/>
    <mergeCell ref="GQA1:GQH1"/>
    <mergeCell ref="GQI1:GQP1"/>
    <mergeCell ref="GQQ1:GQX1"/>
    <mergeCell ref="GYI1:GYP1"/>
    <mergeCell ref="GYQ1:GYX1"/>
    <mergeCell ref="GYY1:GZF1"/>
    <mergeCell ref="GZG1:GZN1"/>
    <mergeCell ref="GZO1:GZV1"/>
    <mergeCell ref="GZW1:HAD1"/>
    <mergeCell ref="GWM1:GWT1"/>
    <mergeCell ref="GWU1:GXB1"/>
    <mergeCell ref="GXC1:GXJ1"/>
    <mergeCell ref="GXK1:GXR1"/>
    <mergeCell ref="GXS1:GXZ1"/>
    <mergeCell ref="GYA1:GYH1"/>
    <mergeCell ref="GUQ1:GUX1"/>
    <mergeCell ref="GUY1:GVF1"/>
    <mergeCell ref="GVG1:GVN1"/>
    <mergeCell ref="GVO1:GVV1"/>
    <mergeCell ref="GVW1:GWD1"/>
    <mergeCell ref="GWE1:GWL1"/>
    <mergeCell ref="HDW1:HED1"/>
    <mergeCell ref="HEE1:HEL1"/>
    <mergeCell ref="HEM1:HET1"/>
    <mergeCell ref="HEU1:HFB1"/>
    <mergeCell ref="HFC1:HFJ1"/>
    <mergeCell ref="HFK1:HFR1"/>
    <mergeCell ref="HCA1:HCH1"/>
    <mergeCell ref="HCI1:HCP1"/>
    <mergeCell ref="HCQ1:HCX1"/>
    <mergeCell ref="HCY1:HDF1"/>
    <mergeCell ref="HDG1:HDN1"/>
    <mergeCell ref="HDO1:HDV1"/>
    <mergeCell ref="HAE1:HAL1"/>
    <mergeCell ref="HAM1:HAT1"/>
    <mergeCell ref="HAU1:HBB1"/>
    <mergeCell ref="HBC1:HBJ1"/>
    <mergeCell ref="HBK1:HBR1"/>
    <mergeCell ref="HBS1:HBZ1"/>
    <mergeCell ref="HJK1:HJR1"/>
    <mergeCell ref="HJS1:HJZ1"/>
    <mergeCell ref="HKA1:HKH1"/>
    <mergeCell ref="HKI1:HKP1"/>
    <mergeCell ref="HKQ1:HKX1"/>
    <mergeCell ref="HKY1:HLF1"/>
    <mergeCell ref="HHO1:HHV1"/>
    <mergeCell ref="HHW1:HID1"/>
    <mergeCell ref="HIE1:HIL1"/>
    <mergeCell ref="HIM1:HIT1"/>
    <mergeCell ref="HIU1:HJB1"/>
    <mergeCell ref="HJC1:HJJ1"/>
    <mergeCell ref="HFS1:HFZ1"/>
    <mergeCell ref="HGA1:HGH1"/>
    <mergeCell ref="HGI1:HGP1"/>
    <mergeCell ref="HGQ1:HGX1"/>
    <mergeCell ref="HGY1:HHF1"/>
    <mergeCell ref="HHG1:HHN1"/>
    <mergeCell ref="HOY1:HPF1"/>
    <mergeCell ref="HPG1:HPN1"/>
    <mergeCell ref="HPO1:HPV1"/>
    <mergeCell ref="HPW1:HQD1"/>
    <mergeCell ref="HQE1:HQL1"/>
    <mergeCell ref="HQM1:HQT1"/>
    <mergeCell ref="HNC1:HNJ1"/>
    <mergeCell ref="HNK1:HNR1"/>
    <mergeCell ref="HNS1:HNZ1"/>
    <mergeCell ref="HOA1:HOH1"/>
    <mergeCell ref="HOI1:HOP1"/>
    <mergeCell ref="HOQ1:HOX1"/>
    <mergeCell ref="HLG1:HLN1"/>
    <mergeCell ref="HLO1:HLV1"/>
    <mergeCell ref="HLW1:HMD1"/>
    <mergeCell ref="HME1:HML1"/>
    <mergeCell ref="HMM1:HMT1"/>
    <mergeCell ref="HMU1:HNB1"/>
    <mergeCell ref="HUM1:HUT1"/>
    <mergeCell ref="HUU1:HVB1"/>
    <mergeCell ref="HVC1:HVJ1"/>
    <mergeCell ref="HVK1:HVR1"/>
    <mergeCell ref="HVS1:HVZ1"/>
    <mergeCell ref="HWA1:HWH1"/>
    <mergeCell ref="HSQ1:HSX1"/>
    <mergeCell ref="HSY1:HTF1"/>
    <mergeCell ref="HTG1:HTN1"/>
    <mergeCell ref="HTO1:HTV1"/>
    <mergeCell ref="HTW1:HUD1"/>
    <mergeCell ref="HUE1:HUL1"/>
    <mergeCell ref="HQU1:HRB1"/>
    <mergeCell ref="HRC1:HRJ1"/>
    <mergeCell ref="HRK1:HRR1"/>
    <mergeCell ref="HRS1:HRZ1"/>
    <mergeCell ref="HSA1:HSH1"/>
    <mergeCell ref="HSI1:HSP1"/>
    <mergeCell ref="IAA1:IAH1"/>
    <mergeCell ref="IAI1:IAP1"/>
    <mergeCell ref="IAQ1:IAX1"/>
    <mergeCell ref="IAY1:IBF1"/>
    <mergeCell ref="IBG1:IBN1"/>
    <mergeCell ref="IBO1:IBV1"/>
    <mergeCell ref="HYE1:HYL1"/>
    <mergeCell ref="HYM1:HYT1"/>
    <mergeCell ref="HYU1:HZB1"/>
    <mergeCell ref="HZC1:HZJ1"/>
    <mergeCell ref="HZK1:HZR1"/>
    <mergeCell ref="HZS1:HZZ1"/>
    <mergeCell ref="HWI1:HWP1"/>
    <mergeCell ref="HWQ1:HWX1"/>
    <mergeCell ref="HWY1:HXF1"/>
    <mergeCell ref="HXG1:HXN1"/>
    <mergeCell ref="HXO1:HXV1"/>
    <mergeCell ref="HXW1:HYD1"/>
    <mergeCell ref="IFO1:IFV1"/>
    <mergeCell ref="IFW1:IGD1"/>
    <mergeCell ref="IGE1:IGL1"/>
    <mergeCell ref="IGM1:IGT1"/>
    <mergeCell ref="IGU1:IHB1"/>
    <mergeCell ref="IHC1:IHJ1"/>
    <mergeCell ref="IDS1:IDZ1"/>
    <mergeCell ref="IEA1:IEH1"/>
    <mergeCell ref="IEI1:IEP1"/>
    <mergeCell ref="IEQ1:IEX1"/>
    <mergeCell ref="IEY1:IFF1"/>
    <mergeCell ref="IFG1:IFN1"/>
    <mergeCell ref="IBW1:ICD1"/>
    <mergeCell ref="ICE1:ICL1"/>
    <mergeCell ref="ICM1:ICT1"/>
    <mergeCell ref="ICU1:IDB1"/>
    <mergeCell ref="IDC1:IDJ1"/>
    <mergeCell ref="IDK1:IDR1"/>
    <mergeCell ref="ILC1:ILJ1"/>
    <mergeCell ref="ILK1:ILR1"/>
    <mergeCell ref="ILS1:ILZ1"/>
    <mergeCell ref="IMA1:IMH1"/>
    <mergeCell ref="IMI1:IMP1"/>
    <mergeCell ref="IMQ1:IMX1"/>
    <mergeCell ref="IJG1:IJN1"/>
    <mergeCell ref="IJO1:IJV1"/>
    <mergeCell ref="IJW1:IKD1"/>
    <mergeCell ref="IKE1:IKL1"/>
    <mergeCell ref="IKM1:IKT1"/>
    <mergeCell ref="IKU1:ILB1"/>
    <mergeCell ref="IHK1:IHR1"/>
    <mergeCell ref="IHS1:IHZ1"/>
    <mergeCell ref="IIA1:IIH1"/>
    <mergeCell ref="III1:IIP1"/>
    <mergeCell ref="IIQ1:IIX1"/>
    <mergeCell ref="IIY1:IJF1"/>
    <mergeCell ref="IQQ1:IQX1"/>
    <mergeCell ref="IQY1:IRF1"/>
    <mergeCell ref="IRG1:IRN1"/>
    <mergeCell ref="IRO1:IRV1"/>
    <mergeCell ref="IRW1:ISD1"/>
    <mergeCell ref="ISE1:ISL1"/>
    <mergeCell ref="IOU1:IPB1"/>
    <mergeCell ref="IPC1:IPJ1"/>
    <mergeCell ref="IPK1:IPR1"/>
    <mergeCell ref="IPS1:IPZ1"/>
    <mergeCell ref="IQA1:IQH1"/>
    <mergeCell ref="IQI1:IQP1"/>
    <mergeCell ref="IMY1:INF1"/>
    <mergeCell ref="ING1:INN1"/>
    <mergeCell ref="INO1:INV1"/>
    <mergeCell ref="INW1:IOD1"/>
    <mergeCell ref="IOE1:IOL1"/>
    <mergeCell ref="IOM1:IOT1"/>
    <mergeCell ref="IWE1:IWL1"/>
    <mergeCell ref="IWM1:IWT1"/>
    <mergeCell ref="IWU1:IXB1"/>
    <mergeCell ref="IXC1:IXJ1"/>
    <mergeCell ref="IXK1:IXR1"/>
    <mergeCell ref="IXS1:IXZ1"/>
    <mergeCell ref="IUI1:IUP1"/>
    <mergeCell ref="IUQ1:IUX1"/>
    <mergeCell ref="IUY1:IVF1"/>
    <mergeCell ref="IVG1:IVN1"/>
    <mergeCell ref="IVO1:IVV1"/>
    <mergeCell ref="IVW1:IWD1"/>
    <mergeCell ref="ISM1:IST1"/>
    <mergeCell ref="ISU1:ITB1"/>
    <mergeCell ref="ITC1:ITJ1"/>
    <mergeCell ref="ITK1:ITR1"/>
    <mergeCell ref="ITS1:ITZ1"/>
    <mergeCell ref="IUA1:IUH1"/>
    <mergeCell ref="JBS1:JBZ1"/>
    <mergeCell ref="JCA1:JCH1"/>
    <mergeCell ref="JCI1:JCP1"/>
    <mergeCell ref="JCQ1:JCX1"/>
    <mergeCell ref="JCY1:JDF1"/>
    <mergeCell ref="JDG1:JDN1"/>
    <mergeCell ref="IZW1:JAD1"/>
    <mergeCell ref="JAE1:JAL1"/>
    <mergeCell ref="JAM1:JAT1"/>
    <mergeCell ref="JAU1:JBB1"/>
    <mergeCell ref="JBC1:JBJ1"/>
    <mergeCell ref="JBK1:JBR1"/>
    <mergeCell ref="IYA1:IYH1"/>
    <mergeCell ref="IYI1:IYP1"/>
    <mergeCell ref="IYQ1:IYX1"/>
    <mergeCell ref="IYY1:IZF1"/>
    <mergeCell ref="IZG1:IZN1"/>
    <mergeCell ref="IZO1:IZV1"/>
    <mergeCell ref="JHG1:JHN1"/>
    <mergeCell ref="JHO1:JHV1"/>
    <mergeCell ref="JHW1:JID1"/>
    <mergeCell ref="JIE1:JIL1"/>
    <mergeCell ref="JIM1:JIT1"/>
    <mergeCell ref="JIU1:JJB1"/>
    <mergeCell ref="JFK1:JFR1"/>
    <mergeCell ref="JFS1:JFZ1"/>
    <mergeCell ref="JGA1:JGH1"/>
    <mergeCell ref="JGI1:JGP1"/>
    <mergeCell ref="JGQ1:JGX1"/>
    <mergeCell ref="JGY1:JHF1"/>
    <mergeCell ref="JDO1:JDV1"/>
    <mergeCell ref="JDW1:JED1"/>
    <mergeCell ref="JEE1:JEL1"/>
    <mergeCell ref="JEM1:JET1"/>
    <mergeCell ref="JEU1:JFB1"/>
    <mergeCell ref="JFC1:JFJ1"/>
    <mergeCell ref="JMU1:JNB1"/>
    <mergeCell ref="JNC1:JNJ1"/>
    <mergeCell ref="JNK1:JNR1"/>
    <mergeCell ref="JNS1:JNZ1"/>
    <mergeCell ref="JOA1:JOH1"/>
    <mergeCell ref="JOI1:JOP1"/>
    <mergeCell ref="JKY1:JLF1"/>
    <mergeCell ref="JLG1:JLN1"/>
    <mergeCell ref="JLO1:JLV1"/>
    <mergeCell ref="JLW1:JMD1"/>
    <mergeCell ref="JME1:JML1"/>
    <mergeCell ref="JMM1:JMT1"/>
    <mergeCell ref="JJC1:JJJ1"/>
    <mergeCell ref="JJK1:JJR1"/>
    <mergeCell ref="JJS1:JJZ1"/>
    <mergeCell ref="JKA1:JKH1"/>
    <mergeCell ref="JKI1:JKP1"/>
    <mergeCell ref="JKQ1:JKX1"/>
    <mergeCell ref="JSI1:JSP1"/>
    <mergeCell ref="JSQ1:JSX1"/>
    <mergeCell ref="JSY1:JTF1"/>
    <mergeCell ref="JTG1:JTN1"/>
    <mergeCell ref="JTO1:JTV1"/>
    <mergeCell ref="JTW1:JUD1"/>
    <mergeCell ref="JQM1:JQT1"/>
    <mergeCell ref="JQU1:JRB1"/>
    <mergeCell ref="JRC1:JRJ1"/>
    <mergeCell ref="JRK1:JRR1"/>
    <mergeCell ref="JRS1:JRZ1"/>
    <mergeCell ref="JSA1:JSH1"/>
    <mergeCell ref="JOQ1:JOX1"/>
    <mergeCell ref="JOY1:JPF1"/>
    <mergeCell ref="JPG1:JPN1"/>
    <mergeCell ref="JPO1:JPV1"/>
    <mergeCell ref="JPW1:JQD1"/>
    <mergeCell ref="JQE1:JQL1"/>
    <mergeCell ref="JXW1:JYD1"/>
    <mergeCell ref="JYE1:JYL1"/>
    <mergeCell ref="JYM1:JYT1"/>
    <mergeCell ref="JYU1:JZB1"/>
    <mergeCell ref="JZC1:JZJ1"/>
    <mergeCell ref="JZK1:JZR1"/>
    <mergeCell ref="JWA1:JWH1"/>
    <mergeCell ref="JWI1:JWP1"/>
    <mergeCell ref="JWQ1:JWX1"/>
    <mergeCell ref="JWY1:JXF1"/>
    <mergeCell ref="JXG1:JXN1"/>
    <mergeCell ref="JXO1:JXV1"/>
    <mergeCell ref="JUE1:JUL1"/>
    <mergeCell ref="JUM1:JUT1"/>
    <mergeCell ref="JUU1:JVB1"/>
    <mergeCell ref="JVC1:JVJ1"/>
    <mergeCell ref="JVK1:JVR1"/>
    <mergeCell ref="JVS1:JVZ1"/>
    <mergeCell ref="KDK1:KDR1"/>
    <mergeCell ref="KDS1:KDZ1"/>
    <mergeCell ref="KEA1:KEH1"/>
    <mergeCell ref="KEI1:KEP1"/>
    <mergeCell ref="KEQ1:KEX1"/>
    <mergeCell ref="KEY1:KFF1"/>
    <mergeCell ref="KBO1:KBV1"/>
    <mergeCell ref="KBW1:KCD1"/>
    <mergeCell ref="KCE1:KCL1"/>
    <mergeCell ref="KCM1:KCT1"/>
    <mergeCell ref="KCU1:KDB1"/>
    <mergeCell ref="KDC1:KDJ1"/>
    <mergeCell ref="JZS1:JZZ1"/>
    <mergeCell ref="KAA1:KAH1"/>
    <mergeCell ref="KAI1:KAP1"/>
    <mergeCell ref="KAQ1:KAX1"/>
    <mergeCell ref="KAY1:KBF1"/>
    <mergeCell ref="KBG1:KBN1"/>
    <mergeCell ref="KIY1:KJF1"/>
    <mergeCell ref="KJG1:KJN1"/>
    <mergeCell ref="KJO1:KJV1"/>
    <mergeCell ref="KJW1:KKD1"/>
    <mergeCell ref="KKE1:KKL1"/>
    <mergeCell ref="KKM1:KKT1"/>
    <mergeCell ref="KHC1:KHJ1"/>
    <mergeCell ref="KHK1:KHR1"/>
    <mergeCell ref="KHS1:KHZ1"/>
    <mergeCell ref="KIA1:KIH1"/>
    <mergeCell ref="KII1:KIP1"/>
    <mergeCell ref="KIQ1:KIX1"/>
    <mergeCell ref="KFG1:KFN1"/>
    <mergeCell ref="KFO1:KFV1"/>
    <mergeCell ref="KFW1:KGD1"/>
    <mergeCell ref="KGE1:KGL1"/>
    <mergeCell ref="KGM1:KGT1"/>
    <mergeCell ref="KGU1:KHB1"/>
    <mergeCell ref="KOM1:KOT1"/>
    <mergeCell ref="KOU1:KPB1"/>
    <mergeCell ref="KPC1:KPJ1"/>
    <mergeCell ref="KPK1:KPR1"/>
    <mergeCell ref="KPS1:KPZ1"/>
    <mergeCell ref="KQA1:KQH1"/>
    <mergeCell ref="KMQ1:KMX1"/>
    <mergeCell ref="KMY1:KNF1"/>
    <mergeCell ref="KNG1:KNN1"/>
    <mergeCell ref="KNO1:KNV1"/>
    <mergeCell ref="KNW1:KOD1"/>
    <mergeCell ref="KOE1:KOL1"/>
    <mergeCell ref="KKU1:KLB1"/>
    <mergeCell ref="KLC1:KLJ1"/>
    <mergeCell ref="KLK1:KLR1"/>
    <mergeCell ref="KLS1:KLZ1"/>
    <mergeCell ref="KMA1:KMH1"/>
    <mergeCell ref="KMI1:KMP1"/>
    <mergeCell ref="KUA1:KUH1"/>
    <mergeCell ref="KUI1:KUP1"/>
    <mergeCell ref="KUQ1:KUX1"/>
    <mergeCell ref="KUY1:KVF1"/>
    <mergeCell ref="KVG1:KVN1"/>
    <mergeCell ref="KVO1:KVV1"/>
    <mergeCell ref="KSE1:KSL1"/>
    <mergeCell ref="KSM1:KST1"/>
    <mergeCell ref="KSU1:KTB1"/>
    <mergeCell ref="KTC1:KTJ1"/>
    <mergeCell ref="KTK1:KTR1"/>
    <mergeCell ref="KTS1:KTZ1"/>
    <mergeCell ref="KQI1:KQP1"/>
    <mergeCell ref="KQQ1:KQX1"/>
    <mergeCell ref="KQY1:KRF1"/>
    <mergeCell ref="KRG1:KRN1"/>
    <mergeCell ref="KRO1:KRV1"/>
    <mergeCell ref="KRW1:KSD1"/>
    <mergeCell ref="KZO1:KZV1"/>
    <mergeCell ref="KZW1:LAD1"/>
    <mergeCell ref="LAE1:LAL1"/>
    <mergeCell ref="LAM1:LAT1"/>
    <mergeCell ref="LAU1:LBB1"/>
    <mergeCell ref="LBC1:LBJ1"/>
    <mergeCell ref="KXS1:KXZ1"/>
    <mergeCell ref="KYA1:KYH1"/>
    <mergeCell ref="KYI1:KYP1"/>
    <mergeCell ref="KYQ1:KYX1"/>
    <mergeCell ref="KYY1:KZF1"/>
    <mergeCell ref="KZG1:KZN1"/>
    <mergeCell ref="KVW1:KWD1"/>
    <mergeCell ref="KWE1:KWL1"/>
    <mergeCell ref="KWM1:KWT1"/>
    <mergeCell ref="KWU1:KXB1"/>
    <mergeCell ref="KXC1:KXJ1"/>
    <mergeCell ref="KXK1:KXR1"/>
    <mergeCell ref="LFC1:LFJ1"/>
    <mergeCell ref="LFK1:LFR1"/>
    <mergeCell ref="LFS1:LFZ1"/>
    <mergeCell ref="LGA1:LGH1"/>
    <mergeCell ref="LGI1:LGP1"/>
    <mergeCell ref="LGQ1:LGX1"/>
    <mergeCell ref="LDG1:LDN1"/>
    <mergeCell ref="LDO1:LDV1"/>
    <mergeCell ref="LDW1:LED1"/>
    <mergeCell ref="LEE1:LEL1"/>
    <mergeCell ref="LEM1:LET1"/>
    <mergeCell ref="LEU1:LFB1"/>
    <mergeCell ref="LBK1:LBR1"/>
    <mergeCell ref="LBS1:LBZ1"/>
    <mergeCell ref="LCA1:LCH1"/>
    <mergeCell ref="LCI1:LCP1"/>
    <mergeCell ref="LCQ1:LCX1"/>
    <mergeCell ref="LCY1:LDF1"/>
    <mergeCell ref="LKQ1:LKX1"/>
    <mergeCell ref="LKY1:LLF1"/>
    <mergeCell ref="LLG1:LLN1"/>
    <mergeCell ref="LLO1:LLV1"/>
    <mergeCell ref="LLW1:LMD1"/>
    <mergeCell ref="LME1:LML1"/>
    <mergeCell ref="LIU1:LJB1"/>
    <mergeCell ref="LJC1:LJJ1"/>
    <mergeCell ref="LJK1:LJR1"/>
    <mergeCell ref="LJS1:LJZ1"/>
    <mergeCell ref="LKA1:LKH1"/>
    <mergeCell ref="LKI1:LKP1"/>
    <mergeCell ref="LGY1:LHF1"/>
    <mergeCell ref="LHG1:LHN1"/>
    <mergeCell ref="LHO1:LHV1"/>
    <mergeCell ref="LHW1:LID1"/>
    <mergeCell ref="LIE1:LIL1"/>
    <mergeCell ref="LIM1:LIT1"/>
    <mergeCell ref="LQE1:LQL1"/>
    <mergeCell ref="LQM1:LQT1"/>
    <mergeCell ref="LQU1:LRB1"/>
    <mergeCell ref="LRC1:LRJ1"/>
    <mergeCell ref="LRK1:LRR1"/>
    <mergeCell ref="LRS1:LRZ1"/>
    <mergeCell ref="LOI1:LOP1"/>
    <mergeCell ref="LOQ1:LOX1"/>
    <mergeCell ref="LOY1:LPF1"/>
    <mergeCell ref="LPG1:LPN1"/>
    <mergeCell ref="LPO1:LPV1"/>
    <mergeCell ref="LPW1:LQD1"/>
    <mergeCell ref="LMM1:LMT1"/>
    <mergeCell ref="LMU1:LNB1"/>
    <mergeCell ref="LNC1:LNJ1"/>
    <mergeCell ref="LNK1:LNR1"/>
    <mergeCell ref="LNS1:LNZ1"/>
    <mergeCell ref="LOA1:LOH1"/>
    <mergeCell ref="LVS1:LVZ1"/>
    <mergeCell ref="LWA1:LWH1"/>
    <mergeCell ref="LWI1:LWP1"/>
    <mergeCell ref="LWQ1:LWX1"/>
    <mergeCell ref="LWY1:LXF1"/>
    <mergeCell ref="LXG1:LXN1"/>
    <mergeCell ref="LTW1:LUD1"/>
    <mergeCell ref="LUE1:LUL1"/>
    <mergeCell ref="LUM1:LUT1"/>
    <mergeCell ref="LUU1:LVB1"/>
    <mergeCell ref="LVC1:LVJ1"/>
    <mergeCell ref="LVK1:LVR1"/>
    <mergeCell ref="LSA1:LSH1"/>
    <mergeCell ref="LSI1:LSP1"/>
    <mergeCell ref="LSQ1:LSX1"/>
    <mergeCell ref="LSY1:LTF1"/>
    <mergeCell ref="LTG1:LTN1"/>
    <mergeCell ref="LTO1:LTV1"/>
    <mergeCell ref="MBG1:MBN1"/>
    <mergeCell ref="MBO1:MBV1"/>
    <mergeCell ref="MBW1:MCD1"/>
    <mergeCell ref="MCE1:MCL1"/>
    <mergeCell ref="MCM1:MCT1"/>
    <mergeCell ref="MCU1:MDB1"/>
    <mergeCell ref="LZK1:LZR1"/>
    <mergeCell ref="LZS1:LZZ1"/>
    <mergeCell ref="MAA1:MAH1"/>
    <mergeCell ref="MAI1:MAP1"/>
    <mergeCell ref="MAQ1:MAX1"/>
    <mergeCell ref="MAY1:MBF1"/>
    <mergeCell ref="LXO1:LXV1"/>
    <mergeCell ref="LXW1:LYD1"/>
    <mergeCell ref="LYE1:LYL1"/>
    <mergeCell ref="LYM1:LYT1"/>
    <mergeCell ref="LYU1:LZB1"/>
    <mergeCell ref="LZC1:LZJ1"/>
    <mergeCell ref="MGU1:MHB1"/>
    <mergeCell ref="MHC1:MHJ1"/>
    <mergeCell ref="MHK1:MHR1"/>
    <mergeCell ref="MHS1:MHZ1"/>
    <mergeCell ref="MIA1:MIH1"/>
    <mergeCell ref="MII1:MIP1"/>
    <mergeCell ref="MEY1:MFF1"/>
    <mergeCell ref="MFG1:MFN1"/>
    <mergeCell ref="MFO1:MFV1"/>
    <mergeCell ref="MFW1:MGD1"/>
    <mergeCell ref="MGE1:MGL1"/>
    <mergeCell ref="MGM1:MGT1"/>
    <mergeCell ref="MDC1:MDJ1"/>
    <mergeCell ref="MDK1:MDR1"/>
    <mergeCell ref="MDS1:MDZ1"/>
    <mergeCell ref="MEA1:MEH1"/>
    <mergeCell ref="MEI1:MEP1"/>
    <mergeCell ref="MEQ1:MEX1"/>
    <mergeCell ref="MMI1:MMP1"/>
    <mergeCell ref="MMQ1:MMX1"/>
    <mergeCell ref="MMY1:MNF1"/>
    <mergeCell ref="MNG1:MNN1"/>
    <mergeCell ref="MNO1:MNV1"/>
    <mergeCell ref="MNW1:MOD1"/>
    <mergeCell ref="MKM1:MKT1"/>
    <mergeCell ref="MKU1:MLB1"/>
    <mergeCell ref="MLC1:MLJ1"/>
    <mergeCell ref="MLK1:MLR1"/>
    <mergeCell ref="MLS1:MLZ1"/>
    <mergeCell ref="MMA1:MMH1"/>
    <mergeCell ref="MIQ1:MIX1"/>
    <mergeCell ref="MIY1:MJF1"/>
    <mergeCell ref="MJG1:MJN1"/>
    <mergeCell ref="MJO1:MJV1"/>
    <mergeCell ref="MJW1:MKD1"/>
    <mergeCell ref="MKE1:MKL1"/>
    <mergeCell ref="MRW1:MSD1"/>
    <mergeCell ref="MSE1:MSL1"/>
    <mergeCell ref="MSM1:MST1"/>
    <mergeCell ref="MSU1:MTB1"/>
    <mergeCell ref="MTC1:MTJ1"/>
    <mergeCell ref="MTK1:MTR1"/>
    <mergeCell ref="MQA1:MQH1"/>
    <mergeCell ref="MQI1:MQP1"/>
    <mergeCell ref="MQQ1:MQX1"/>
    <mergeCell ref="MQY1:MRF1"/>
    <mergeCell ref="MRG1:MRN1"/>
    <mergeCell ref="MRO1:MRV1"/>
    <mergeCell ref="MOE1:MOL1"/>
    <mergeCell ref="MOM1:MOT1"/>
    <mergeCell ref="MOU1:MPB1"/>
    <mergeCell ref="MPC1:MPJ1"/>
    <mergeCell ref="MPK1:MPR1"/>
    <mergeCell ref="MPS1:MPZ1"/>
    <mergeCell ref="MXK1:MXR1"/>
    <mergeCell ref="MXS1:MXZ1"/>
    <mergeCell ref="MYA1:MYH1"/>
    <mergeCell ref="MYI1:MYP1"/>
    <mergeCell ref="MYQ1:MYX1"/>
    <mergeCell ref="MYY1:MZF1"/>
    <mergeCell ref="MVO1:MVV1"/>
    <mergeCell ref="MVW1:MWD1"/>
    <mergeCell ref="MWE1:MWL1"/>
    <mergeCell ref="MWM1:MWT1"/>
    <mergeCell ref="MWU1:MXB1"/>
    <mergeCell ref="MXC1:MXJ1"/>
    <mergeCell ref="MTS1:MTZ1"/>
    <mergeCell ref="MUA1:MUH1"/>
    <mergeCell ref="MUI1:MUP1"/>
    <mergeCell ref="MUQ1:MUX1"/>
    <mergeCell ref="MUY1:MVF1"/>
    <mergeCell ref="MVG1:MVN1"/>
    <mergeCell ref="NCY1:NDF1"/>
    <mergeCell ref="NDG1:NDN1"/>
    <mergeCell ref="NDO1:NDV1"/>
    <mergeCell ref="NDW1:NED1"/>
    <mergeCell ref="NEE1:NEL1"/>
    <mergeCell ref="NEM1:NET1"/>
    <mergeCell ref="NBC1:NBJ1"/>
    <mergeCell ref="NBK1:NBR1"/>
    <mergeCell ref="NBS1:NBZ1"/>
    <mergeCell ref="NCA1:NCH1"/>
    <mergeCell ref="NCI1:NCP1"/>
    <mergeCell ref="NCQ1:NCX1"/>
    <mergeCell ref="MZG1:MZN1"/>
    <mergeCell ref="MZO1:MZV1"/>
    <mergeCell ref="MZW1:NAD1"/>
    <mergeCell ref="NAE1:NAL1"/>
    <mergeCell ref="NAM1:NAT1"/>
    <mergeCell ref="NAU1:NBB1"/>
    <mergeCell ref="NIM1:NIT1"/>
    <mergeCell ref="NIU1:NJB1"/>
    <mergeCell ref="NJC1:NJJ1"/>
    <mergeCell ref="NJK1:NJR1"/>
    <mergeCell ref="NJS1:NJZ1"/>
    <mergeCell ref="NKA1:NKH1"/>
    <mergeCell ref="NGQ1:NGX1"/>
    <mergeCell ref="NGY1:NHF1"/>
    <mergeCell ref="NHG1:NHN1"/>
    <mergeCell ref="NHO1:NHV1"/>
    <mergeCell ref="NHW1:NID1"/>
    <mergeCell ref="NIE1:NIL1"/>
    <mergeCell ref="NEU1:NFB1"/>
    <mergeCell ref="NFC1:NFJ1"/>
    <mergeCell ref="NFK1:NFR1"/>
    <mergeCell ref="NFS1:NFZ1"/>
    <mergeCell ref="NGA1:NGH1"/>
    <mergeCell ref="NGI1:NGP1"/>
    <mergeCell ref="NOA1:NOH1"/>
    <mergeCell ref="NOI1:NOP1"/>
    <mergeCell ref="NOQ1:NOX1"/>
    <mergeCell ref="NOY1:NPF1"/>
    <mergeCell ref="NPG1:NPN1"/>
    <mergeCell ref="NPO1:NPV1"/>
    <mergeCell ref="NME1:NML1"/>
    <mergeCell ref="NMM1:NMT1"/>
    <mergeCell ref="NMU1:NNB1"/>
    <mergeCell ref="NNC1:NNJ1"/>
    <mergeCell ref="NNK1:NNR1"/>
    <mergeCell ref="NNS1:NNZ1"/>
    <mergeCell ref="NKI1:NKP1"/>
    <mergeCell ref="NKQ1:NKX1"/>
    <mergeCell ref="NKY1:NLF1"/>
    <mergeCell ref="NLG1:NLN1"/>
    <mergeCell ref="NLO1:NLV1"/>
    <mergeCell ref="NLW1:NMD1"/>
    <mergeCell ref="NTO1:NTV1"/>
    <mergeCell ref="NTW1:NUD1"/>
    <mergeCell ref="NUE1:NUL1"/>
    <mergeCell ref="NUM1:NUT1"/>
    <mergeCell ref="NUU1:NVB1"/>
    <mergeCell ref="NVC1:NVJ1"/>
    <mergeCell ref="NRS1:NRZ1"/>
    <mergeCell ref="NSA1:NSH1"/>
    <mergeCell ref="NSI1:NSP1"/>
    <mergeCell ref="NSQ1:NSX1"/>
    <mergeCell ref="NSY1:NTF1"/>
    <mergeCell ref="NTG1:NTN1"/>
    <mergeCell ref="NPW1:NQD1"/>
    <mergeCell ref="NQE1:NQL1"/>
    <mergeCell ref="NQM1:NQT1"/>
    <mergeCell ref="NQU1:NRB1"/>
    <mergeCell ref="NRC1:NRJ1"/>
    <mergeCell ref="NRK1:NRR1"/>
    <mergeCell ref="NZC1:NZJ1"/>
    <mergeCell ref="NZK1:NZR1"/>
    <mergeCell ref="NZS1:NZZ1"/>
    <mergeCell ref="OAA1:OAH1"/>
    <mergeCell ref="OAI1:OAP1"/>
    <mergeCell ref="OAQ1:OAX1"/>
    <mergeCell ref="NXG1:NXN1"/>
    <mergeCell ref="NXO1:NXV1"/>
    <mergeCell ref="NXW1:NYD1"/>
    <mergeCell ref="NYE1:NYL1"/>
    <mergeCell ref="NYM1:NYT1"/>
    <mergeCell ref="NYU1:NZB1"/>
    <mergeCell ref="NVK1:NVR1"/>
    <mergeCell ref="NVS1:NVZ1"/>
    <mergeCell ref="NWA1:NWH1"/>
    <mergeCell ref="NWI1:NWP1"/>
    <mergeCell ref="NWQ1:NWX1"/>
    <mergeCell ref="NWY1:NXF1"/>
    <mergeCell ref="OEQ1:OEX1"/>
    <mergeCell ref="OEY1:OFF1"/>
    <mergeCell ref="OFG1:OFN1"/>
    <mergeCell ref="OFO1:OFV1"/>
    <mergeCell ref="OFW1:OGD1"/>
    <mergeCell ref="OGE1:OGL1"/>
    <mergeCell ref="OCU1:ODB1"/>
    <mergeCell ref="ODC1:ODJ1"/>
    <mergeCell ref="ODK1:ODR1"/>
    <mergeCell ref="ODS1:ODZ1"/>
    <mergeCell ref="OEA1:OEH1"/>
    <mergeCell ref="OEI1:OEP1"/>
    <mergeCell ref="OAY1:OBF1"/>
    <mergeCell ref="OBG1:OBN1"/>
    <mergeCell ref="OBO1:OBV1"/>
    <mergeCell ref="OBW1:OCD1"/>
    <mergeCell ref="OCE1:OCL1"/>
    <mergeCell ref="OCM1:OCT1"/>
    <mergeCell ref="OKE1:OKL1"/>
    <mergeCell ref="OKM1:OKT1"/>
    <mergeCell ref="OKU1:OLB1"/>
    <mergeCell ref="OLC1:OLJ1"/>
    <mergeCell ref="OLK1:OLR1"/>
    <mergeCell ref="OLS1:OLZ1"/>
    <mergeCell ref="OII1:OIP1"/>
    <mergeCell ref="OIQ1:OIX1"/>
    <mergeCell ref="OIY1:OJF1"/>
    <mergeCell ref="OJG1:OJN1"/>
    <mergeCell ref="OJO1:OJV1"/>
    <mergeCell ref="OJW1:OKD1"/>
    <mergeCell ref="OGM1:OGT1"/>
    <mergeCell ref="OGU1:OHB1"/>
    <mergeCell ref="OHC1:OHJ1"/>
    <mergeCell ref="OHK1:OHR1"/>
    <mergeCell ref="OHS1:OHZ1"/>
    <mergeCell ref="OIA1:OIH1"/>
    <mergeCell ref="OPS1:OPZ1"/>
    <mergeCell ref="OQA1:OQH1"/>
    <mergeCell ref="OQI1:OQP1"/>
    <mergeCell ref="OQQ1:OQX1"/>
    <mergeCell ref="OQY1:ORF1"/>
    <mergeCell ref="ORG1:ORN1"/>
    <mergeCell ref="ONW1:OOD1"/>
    <mergeCell ref="OOE1:OOL1"/>
    <mergeCell ref="OOM1:OOT1"/>
    <mergeCell ref="OOU1:OPB1"/>
    <mergeCell ref="OPC1:OPJ1"/>
    <mergeCell ref="OPK1:OPR1"/>
    <mergeCell ref="OMA1:OMH1"/>
    <mergeCell ref="OMI1:OMP1"/>
    <mergeCell ref="OMQ1:OMX1"/>
    <mergeCell ref="OMY1:ONF1"/>
    <mergeCell ref="ONG1:ONN1"/>
    <mergeCell ref="ONO1:ONV1"/>
    <mergeCell ref="OVG1:OVN1"/>
    <mergeCell ref="OVO1:OVV1"/>
    <mergeCell ref="OVW1:OWD1"/>
    <mergeCell ref="OWE1:OWL1"/>
    <mergeCell ref="OWM1:OWT1"/>
    <mergeCell ref="OWU1:OXB1"/>
    <mergeCell ref="OTK1:OTR1"/>
    <mergeCell ref="OTS1:OTZ1"/>
    <mergeCell ref="OUA1:OUH1"/>
    <mergeCell ref="OUI1:OUP1"/>
    <mergeCell ref="OUQ1:OUX1"/>
    <mergeCell ref="OUY1:OVF1"/>
    <mergeCell ref="ORO1:ORV1"/>
    <mergeCell ref="ORW1:OSD1"/>
    <mergeCell ref="OSE1:OSL1"/>
    <mergeCell ref="OSM1:OST1"/>
    <mergeCell ref="OSU1:OTB1"/>
    <mergeCell ref="OTC1:OTJ1"/>
    <mergeCell ref="PAU1:PBB1"/>
    <mergeCell ref="PBC1:PBJ1"/>
    <mergeCell ref="PBK1:PBR1"/>
    <mergeCell ref="PBS1:PBZ1"/>
    <mergeCell ref="PCA1:PCH1"/>
    <mergeCell ref="PCI1:PCP1"/>
    <mergeCell ref="OYY1:OZF1"/>
    <mergeCell ref="OZG1:OZN1"/>
    <mergeCell ref="OZO1:OZV1"/>
    <mergeCell ref="OZW1:PAD1"/>
    <mergeCell ref="PAE1:PAL1"/>
    <mergeCell ref="PAM1:PAT1"/>
    <mergeCell ref="OXC1:OXJ1"/>
    <mergeCell ref="OXK1:OXR1"/>
    <mergeCell ref="OXS1:OXZ1"/>
    <mergeCell ref="OYA1:OYH1"/>
    <mergeCell ref="OYI1:OYP1"/>
    <mergeCell ref="OYQ1:OYX1"/>
    <mergeCell ref="PGI1:PGP1"/>
    <mergeCell ref="PGQ1:PGX1"/>
    <mergeCell ref="PGY1:PHF1"/>
    <mergeCell ref="PHG1:PHN1"/>
    <mergeCell ref="PHO1:PHV1"/>
    <mergeCell ref="PHW1:PID1"/>
    <mergeCell ref="PEM1:PET1"/>
    <mergeCell ref="PEU1:PFB1"/>
    <mergeCell ref="PFC1:PFJ1"/>
    <mergeCell ref="PFK1:PFR1"/>
    <mergeCell ref="PFS1:PFZ1"/>
    <mergeCell ref="PGA1:PGH1"/>
    <mergeCell ref="PCQ1:PCX1"/>
    <mergeCell ref="PCY1:PDF1"/>
    <mergeCell ref="PDG1:PDN1"/>
    <mergeCell ref="PDO1:PDV1"/>
    <mergeCell ref="PDW1:PED1"/>
    <mergeCell ref="PEE1:PEL1"/>
    <mergeCell ref="PLW1:PMD1"/>
    <mergeCell ref="PME1:PML1"/>
    <mergeCell ref="PMM1:PMT1"/>
    <mergeCell ref="PMU1:PNB1"/>
    <mergeCell ref="PNC1:PNJ1"/>
    <mergeCell ref="PNK1:PNR1"/>
    <mergeCell ref="PKA1:PKH1"/>
    <mergeCell ref="PKI1:PKP1"/>
    <mergeCell ref="PKQ1:PKX1"/>
    <mergeCell ref="PKY1:PLF1"/>
    <mergeCell ref="PLG1:PLN1"/>
    <mergeCell ref="PLO1:PLV1"/>
    <mergeCell ref="PIE1:PIL1"/>
    <mergeCell ref="PIM1:PIT1"/>
    <mergeCell ref="PIU1:PJB1"/>
    <mergeCell ref="PJC1:PJJ1"/>
    <mergeCell ref="PJK1:PJR1"/>
    <mergeCell ref="PJS1:PJZ1"/>
    <mergeCell ref="PRK1:PRR1"/>
    <mergeCell ref="PRS1:PRZ1"/>
    <mergeCell ref="PSA1:PSH1"/>
    <mergeCell ref="PSI1:PSP1"/>
    <mergeCell ref="PSQ1:PSX1"/>
    <mergeCell ref="PSY1:PTF1"/>
    <mergeCell ref="PPO1:PPV1"/>
    <mergeCell ref="PPW1:PQD1"/>
    <mergeCell ref="PQE1:PQL1"/>
    <mergeCell ref="PQM1:PQT1"/>
    <mergeCell ref="PQU1:PRB1"/>
    <mergeCell ref="PRC1:PRJ1"/>
    <mergeCell ref="PNS1:PNZ1"/>
    <mergeCell ref="POA1:POH1"/>
    <mergeCell ref="POI1:POP1"/>
    <mergeCell ref="POQ1:POX1"/>
    <mergeCell ref="POY1:PPF1"/>
    <mergeCell ref="PPG1:PPN1"/>
    <mergeCell ref="PWY1:PXF1"/>
    <mergeCell ref="PXG1:PXN1"/>
    <mergeCell ref="PXO1:PXV1"/>
    <mergeCell ref="PXW1:PYD1"/>
    <mergeCell ref="PYE1:PYL1"/>
    <mergeCell ref="PYM1:PYT1"/>
    <mergeCell ref="PVC1:PVJ1"/>
    <mergeCell ref="PVK1:PVR1"/>
    <mergeCell ref="PVS1:PVZ1"/>
    <mergeCell ref="PWA1:PWH1"/>
    <mergeCell ref="PWI1:PWP1"/>
    <mergeCell ref="PWQ1:PWX1"/>
    <mergeCell ref="PTG1:PTN1"/>
    <mergeCell ref="PTO1:PTV1"/>
    <mergeCell ref="PTW1:PUD1"/>
    <mergeCell ref="PUE1:PUL1"/>
    <mergeCell ref="PUM1:PUT1"/>
    <mergeCell ref="PUU1:PVB1"/>
    <mergeCell ref="QCM1:QCT1"/>
    <mergeCell ref="QCU1:QDB1"/>
    <mergeCell ref="QDC1:QDJ1"/>
    <mergeCell ref="QDK1:QDR1"/>
    <mergeCell ref="QDS1:QDZ1"/>
    <mergeCell ref="QEA1:QEH1"/>
    <mergeCell ref="QAQ1:QAX1"/>
    <mergeCell ref="QAY1:QBF1"/>
    <mergeCell ref="QBG1:QBN1"/>
    <mergeCell ref="QBO1:QBV1"/>
    <mergeCell ref="QBW1:QCD1"/>
    <mergeCell ref="QCE1:QCL1"/>
    <mergeCell ref="PYU1:PZB1"/>
    <mergeCell ref="PZC1:PZJ1"/>
    <mergeCell ref="PZK1:PZR1"/>
    <mergeCell ref="PZS1:PZZ1"/>
    <mergeCell ref="QAA1:QAH1"/>
    <mergeCell ref="QAI1:QAP1"/>
    <mergeCell ref="QIA1:QIH1"/>
    <mergeCell ref="QII1:QIP1"/>
    <mergeCell ref="QIQ1:QIX1"/>
    <mergeCell ref="QIY1:QJF1"/>
    <mergeCell ref="QJG1:QJN1"/>
    <mergeCell ref="QJO1:QJV1"/>
    <mergeCell ref="QGE1:QGL1"/>
    <mergeCell ref="QGM1:QGT1"/>
    <mergeCell ref="QGU1:QHB1"/>
    <mergeCell ref="QHC1:QHJ1"/>
    <mergeCell ref="QHK1:QHR1"/>
    <mergeCell ref="QHS1:QHZ1"/>
    <mergeCell ref="QEI1:QEP1"/>
    <mergeCell ref="QEQ1:QEX1"/>
    <mergeCell ref="QEY1:QFF1"/>
    <mergeCell ref="QFG1:QFN1"/>
    <mergeCell ref="QFO1:QFV1"/>
    <mergeCell ref="QFW1:QGD1"/>
    <mergeCell ref="QNO1:QNV1"/>
    <mergeCell ref="QNW1:QOD1"/>
    <mergeCell ref="QOE1:QOL1"/>
    <mergeCell ref="QOM1:QOT1"/>
    <mergeCell ref="QOU1:QPB1"/>
    <mergeCell ref="QPC1:QPJ1"/>
    <mergeCell ref="QLS1:QLZ1"/>
    <mergeCell ref="QMA1:QMH1"/>
    <mergeCell ref="QMI1:QMP1"/>
    <mergeCell ref="QMQ1:QMX1"/>
    <mergeCell ref="QMY1:QNF1"/>
    <mergeCell ref="QNG1:QNN1"/>
    <mergeCell ref="QJW1:QKD1"/>
    <mergeCell ref="QKE1:QKL1"/>
    <mergeCell ref="QKM1:QKT1"/>
    <mergeCell ref="QKU1:QLB1"/>
    <mergeCell ref="QLC1:QLJ1"/>
    <mergeCell ref="QLK1:QLR1"/>
    <mergeCell ref="QTC1:QTJ1"/>
    <mergeCell ref="QTK1:QTR1"/>
    <mergeCell ref="QTS1:QTZ1"/>
    <mergeCell ref="QUA1:QUH1"/>
    <mergeCell ref="QUI1:QUP1"/>
    <mergeCell ref="QUQ1:QUX1"/>
    <mergeCell ref="QRG1:QRN1"/>
    <mergeCell ref="QRO1:QRV1"/>
    <mergeCell ref="QRW1:QSD1"/>
    <mergeCell ref="QSE1:QSL1"/>
    <mergeCell ref="QSM1:QST1"/>
    <mergeCell ref="QSU1:QTB1"/>
    <mergeCell ref="QPK1:QPR1"/>
    <mergeCell ref="QPS1:QPZ1"/>
    <mergeCell ref="QQA1:QQH1"/>
    <mergeCell ref="QQI1:QQP1"/>
    <mergeCell ref="QQQ1:QQX1"/>
    <mergeCell ref="QQY1:QRF1"/>
    <mergeCell ref="QYQ1:QYX1"/>
    <mergeCell ref="QYY1:QZF1"/>
    <mergeCell ref="QZG1:QZN1"/>
    <mergeCell ref="QZO1:QZV1"/>
    <mergeCell ref="QZW1:RAD1"/>
    <mergeCell ref="RAE1:RAL1"/>
    <mergeCell ref="QWU1:QXB1"/>
    <mergeCell ref="QXC1:QXJ1"/>
    <mergeCell ref="QXK1:QXR1"/>
    <mergeCell ref="QXS1:QXZ1"/>
    <mergeCell ref="QYA1:QYH1"/>
    <mergeCell ref="QYI1:QYP1"/>
    <mergeCell ref="QUY1:QVF1"/>
    <mergeCell ref="QVG1:QVN1"/>
    <mergeCell ref="QVO1:QVV1"/>
    <mergeCell ref="QVW1:QWD1"/>
    <mergeCell ref="QWE1:QWL1"/>
    <mergeCell ref="QWM1:QWT1"/>
    <mergeCell ref="REE1:REL1"/>
    <mergeCell ref="REM1:RET1"/>
    <mergeCell ref="REU1:RFB1"/>
    <mergeCell ref="RFC1:RFJ1"/>
    <mergeCell ref="RFK1:RFR1"/>
    <mergeCell ref="RFS1:RFZ1"/>
    <mergeCell ref="RCI1:RCP1"/>
    <mergeCell ref="RCQ1:RCX1"/>
    <mergeCell ref="RCY1:RDF1"/>
    <mergeCell ref="RDG1:RDN1"/>
    <mergeCell ref="RDO1:RDV1"/>
    <mergeCell ref="RDW1:RED1"/>
    <mergeCell ref="RAM1:RAT1"/>
    <mergeCell ref="RAU1:RBB1"/>
    <mergeCell ref="RBC1:RBJ1"/>
    <mergeCell ref="RBK1:RBR1"/>
    <mergeCell ref="RBS1:RBZ1"/>
    <mergeCell ref="RCA1:RCH1"/>
    <mergeCell ref="RJS1:RJZ1"/>
    <mergeCell ref="RKA1:RKH1"/>
    <mergeCell ref="RKI1:RKP1"/>
    <mergeCell ref="RKQ1:RKX1"/>
    <mergeCell ref="RKY1:RLF1"/>
    <mergeCell ref="RLG1:RLN1"/>
    <mergeCell ref="RHW1:RID1"/>
    <mergeCell ref="RIE1:RIL1"/>
    <mergeCell ref="RIM1:RIT1"/>
    <mergeCell ref="RIU1:RJB1"/>
    <mergeCell ref="RJC1:RJJ1"/>
    <mergeCell ref="RJK1:RJR1"/>
    <mergeCell ref="RGA1:RGH1"/>
    <mergeCell ref="RGI1:RGP1"/>
    <mergeCell ref="RGQ1:RGX1"/>
    <mergeCell ref="RGY1:RHF1"/>
    <mergeCell ref="RHG1:RHN1"/>
    <mergeCell ref="RHO1:RHV1"/>
    <mergeCell ref="RPG1:RPN1"/>
    <mergeCell ref="RPO1:RPV1"/>
    <mergeCell ref="RPW1:RQD1"/>
    <mergeCell ref="RQE1:RQL1"/>
    <mergeCell ref="RQM1:RQT1"/>
    <mergeCell ref="RQU1:RRB1"/>
    <mergeCell ref="RNK1:RNR1"/>
    <mergeCell ref="RNS1:RNZ1"/>
    <mergeCell ref="ROA1:ROH1"/>
    <mergeCell ref="ROI1:ROP1"/>
    <mergeCell ref="ROQ1:ROX1"/>
    <mergeCell ref="ROY1:RPF1"/>
    <mergeCell ref="RLO1:RLV1"/>
    <mergeCell ref="RLW1:RMD1"/>
    <mergeCell ref="RME1:RML1"/>
    <mergeCell ref="RMM1:RMT1"/>
    <mergeCell ref="RMU1:RNB1"/>
    <mergeCell ref="RNC1:RNJ1"/>
    <mergeCell ref="RUU1:RVB1"/>
    <mergeCell ref="RVC1:RVJ1"/>
    <mergeCell ref="RVK1:RVR1"/>
    <mergeCell ref="RVS1:RVZ1"/>
    <mergeCell ref="RWA1:RWH1"/>
    <mergeCell ref="RWI1:RWP1"/>
    <mergeCell ref="RSY1:RTF1"/>
    <mergeCell ref="RTG1:RTN1"/>
    <mergeCell ref="RTO1:RTV1"/>
    <mergeCell ref="RTW1:RUD1"/>
    <mergeCell ref="RUE1:RUL1"/>
    <mergeCell ref="RUM1:RUT1"/>
    <mergeCell ref="RRC1:RRJ1"/>
    <mergeCell ref="RRK1:RRR1"/>
    <mergeCell ref="RRS1:RRZ1"/>
    <mergeCell ref="RSA1:RSH1"/>
    <mergeCell ref="RSI1:RSP1"/>
    <mergeCell ref="RSQ1:RSX1"/>
    <mergeCell ref="SAI1:SAP1"/>
    <mergeCell ref="SAQ1:SAX1"/>
    <mergeCell ref="SAY1:SBF1"/>
    <mergeCell ref="SBG1:SBN1"/>
    <mergeCell ref="SBO1:SBV1"/>
    <mergeCell ref="SBW1:SCD1"/>
    <mergeCell ref="RYM1:RYT1"/>
    <mergeCell ref="RYU1:RZB1"/>
    <mergeCell ref="RZC1:RZJ1"/>
    <mergeCell ref="RZK1:RZR1"/>
    <mergeCell ref="RZS1:RZZ1"/>
    <mergeCell ref="SAA1:SAH1"/>
    <mergeCell ref="RWQ1:RWX1"/>
    <mergeCell ref="RWY1:RXF1"/>
    <mergeCell ref="RXG1:RXN1"/>
    <mergeCell ref="RXO1:RXV1"/>
    <mergeCell ref="RXW1:RYD1"/>
    <mergeCell ref="RYE1:RYL1"/>
    <mergeCell ref="SFW1:SGD1"/>
    <mergeCell ref="SGE1:SGL1"/>
    <mergeCell ref="SGM1:SGT1"/>
    <mergeCell ref="SGU1:SHB1"/>
    <mergeCell ref="SHC1:SHJ1"/>
    <mergeCell ref="SHK1:SHR1"/>
    <mergeCell ref="SEA1:SEH1"/>
    <mergeCell ref="SEI1:SEP1"/>
    <mergeCell ref="SEQ1:SEX1"/>
    <mergeCell ref="SEY1:SFF1"/>
    <mergeCell ref="SFG1:SFN1"/>
    <mergeCell ref="SFO1:SFV1"/>
    <mergeCell ref="SCE1:SCL1"/>
    <mergeCell ref="SCM1:SCT1"/>
    <mergeCell ref="SCU1:SDB1"/>
    <mergeCell ref="SDC1:SDJ1"/>
    <mergeCell ref="SDK1:SDR1"/>
    <mergeCell ref="SDS1:SDZ1"/>
    <mergeCell ref="SLK1:SLR1"/>
    <mergeCell ref="SLS1:SLZ1"/>
    <mergeCell ref="SMA1:SMH1"/>
    <mergeCell ref="SMI1:SMP1"/>
    <mergeCell ref="SMQ1:SMX1"/>
    <mergeCell ref="SMY1:SNF1"/>
    <mergeCell ref="SJO1:SJV1"/>
    <mergeCell ref="SJW1:SKD1"/>
    <mergeCell ref="SKE1:SKL1"/>
    <mergeCell ref="SKM1:SKT1"/>
    <mergeCell ref="SKU1:SLB1"/>
    <mergeCell ref="SLC1:SLJ1"/>
    <mergeCell ref="SHS1:SHZ1"/>
    <mergeCell ref="SIA1:SIH1"/>
    <mergeCell ref="SII1:SIP1"/>
    <mergeCell ref="SIQ1:SIX1"/>
    <mergeCell ref="SIY1:SJF1"/>
    <mergeCell ref="SJG1:SJN1"/>
    <mergeCell ref="SQY1:SRF1"/>
    <mergeCell ref="SRG1:SRN1"/>
    <mergeCell ref="SRO1:SRV1"/>
    <mergeCell ref="SRW1:SSD1"/>
    <mergeCell ref="SSE1:SSL1"/>
    <mergeCell ref="SSM1:SST1"/>
    <mergeCell ref="SPC1:SPJ1"/>
    <mergeCell ref="SPK1:SPR1"/>
    <mergeCell ref="SPS1:SPZ1"/>
    <mergeCell ref="SQA1:SQH1"/>
    <mergeCell ref="SQI1:SQP1"/>
    <mergeCell ref="SQQ1:SQX1"/>
    <mergeCell ref="SNG1:SNN1"/>
    <mergeCell ref="SNO1:SNV1"/>
    <mergeCell ref="SNW1:SOD1"/>
    <mergeCell ref="SOE1:SOL1"/>
    <mergeCell ref="SOM1:SOT1"/>
    <mergeCell ref="SOU1:SPB1"/>
    <mergeCell ref="SWM1:SWT1"/>
    <mergeCell ref="SWU1:SXB1"/>
    <mergeCell ref="SXC1:SXJ1"/>
    <mergeCell ref="SXK1:SXR1"/>
    <mergeCell ref="SXS1:SXZ1"/>
    <mergeCell ref="SYA1:SYH1"/>
    <mergeCell ref="SUQ1:SUX1"/>
    <mergeCell ref="SUY1:SVF1"/>
    <mergeCell ref="SVG1:SVN1"/>
    <mergeCell ref="SVO1:SVV1"/>
    <mergeCell ref="SVW1:SWD1"/>
    <mergeCell ref="SWE1:SWL1"/>
    <mergeCell ref="SSU1:STB1"/>
    <mergeCell ref="STC1:STJ1"/>
    <mergeCell ref="STK1:STR1"/>
    <mergeCell ref="STS1:STZ1"/>
    <mergeCell ref="SUA1:SUH1"/>
    <mergeCell ref="SUI1:SUP1"/>
    <mergeCell ref="TCA1:TCH1"/>
    <mergeCell ref="TCI1:TCP1"/>
    <mergeCell ref="TCQ1:TCX1"/>
    <mergeCell ref="TCY1:TDF1"/>
    <mergeCell ref="TDG1:TDN1"/>
    <mergeCell ref="TDO1:TDV1"/>
    <mergeCell ref="TAE1:TAL1"/>
    <mergeCell ref="TAM1:TAT1"/>
    <mergeCell ref="TAU1:TBB1"/>
    <mergeCell ref="TBC1:TBJ1"/>
    <mergeCell ref="TBK1:TBR1"/>
    <mergeCell ref="TBS1:TBZ1"/>
    <mergeCell ref="SYI1:SYP1"/>
    <mergeCell ref="SYQ1:SYX1"/>
    <mergeCell ref="SYY1:SZF1"/>
    <mergeCell ref="SZG1:SZN1"/>
    <mergeCell ref="SZO1:SZV1"/>
    <mergeCell ref="SZW1:TAD1"/>
    <mergeCell ref="THO1:THV1"/>
    <mergeCell ref="THW1:TID1"/>
    <mergeCell ref="TIE1:TIL1"/>
    <mergeCell ref="TIM1:TIT1"/>
    <mergeCell ref="TIU1:TJB1"/>
    <mergeCell ref="TJC1:TJJ1"/>
    <mergeCell ref="TFS1:TFZ1"/>
    <mergeCell ref="TGA1:TGH1"/>
    <mergeCell ref="TGI1:TGP1"/>
    <mergeCell ref="TGQ1:TGX1"/>
    <mergeCell ref="TGY1:THF1"/>
    <mergeCell ref="THG1:THN1"/>
    <mergeCell ref="TDW1:TED1"/>
    <mergeCell ref="TEE1:TEL1"/>
    <mergeCell ref="TEM1:TET1"/>
    <mergeCell ref="TEU1:TFB1"/>
    <mergeCell ref="TFC1:TFJ1"/>
    <mergeCell ref="TFK1:TFR1"/>
    <mergeCell ref="TNC1:TNJ1"/>
    <mergeCell ref="TNK1:TNR1"/>
    <mergeCell ref="TNS1:TNZ1"/>
    <mergeCell ref="TOA1:TOH1"/>
    <mergeCell ref="TOI1:TOP1"/>
    <mergeCell ref="TOQ1:TOX1"/>
    <mergeCell ref="TLG1:TLN1"/>
    <mergeCell ref="TLO1:TLV1"/>
    <mergeCell ref="TLW1:TMD1"/>
    <mergeCell ref="TME1:TML1"/>
    <mergeCell ref="TMM1:TMT1"/>
    <mergeCell ref="TMU1:TNB1"/>
    <mergeCell ref="TJK1:TJR1"/>
    <mergeCell ref="TJS1:TJZ1"/>
    <mergeCell ref="TKA1:TKH1"/>
    <mergeCell ref="TKI1:TKP1"/>
    <mergeCell ref="TKQ1:TKX1"/>
    <mergeCell ref="TKY1:TLF1"/>
    <mergeCell ref="TSQ1:TSX1"/>
    <mergeCell ref="TSY1:TTF1"/>
    <mergeCell ref="TTG1:TTN1"/>
    <mergeCell ref="TTO1:TTV1"/>
    <mergeCell ref="TTW1:TUD1"/>
    <mergeCell ref="TUE1:TUL1"/>
    <mergeCell ref="TQU1:TRB1"/>
    <mergeCell ref="TRC1:TRJ1"/>
    <mergeCell ref="TRK1:TRR1"/>
    <mergeCell ref="TRS1:TRZ1"/>
    <mergeCell ref="TSA1:TSH1"/>
    <mergeCell ref="TSI1:TSP1"/>
    <mergeCell ref="TOY1:TPF1"/>
    <mergeCell ref="TPG1:TPN1"/>
    <mergeCell ref="TPO1:TPV1"/>
    <mergeCell ref="TPW1:TQD1"/>
    <mergeCell ref="TQE1:TQL1"/>
    <mergeCell ref="TQM1:TQT1"/>
    <mergeCell ref="TYE1:TYL1"/>
    <mergeCell ref="TYM1:TYT1"/>
    <mergeCell ref="TYU1:TZB1"/>
    <mergeCell ref="TZC1:TZJ1"/>
    <mergeCell ref="TZK1:TZR1"/>
    <mergeCell ref="TZS1:TZZ1"/>
    <mergeCell ref="TWI1:TWP1"/>
    <mergeCell ref="TWQ1:TWX1"/>
    <mergeCell ref="TWY1:TXF1"/>
    <mergeCell ref="TXG1:TXN1"/>
    <mergeCell ref="TXO1:TXV1"/>
    <mergeCell ref="TXW1:TYD1"/>
    <mergeCell ref="TUM1:TUT1"/>
    <mergeCell ref="TUU1:TVB1"/>
    <mergeCell ref="TVC1:TVJ1"/>
    <mergeCell ref="TVK1:TVR1"/>
    <mergeCell ref="TVS1:TVZ1"/>
    <mergeCell ref="TWA1:TWH1"/>
    <mergeCell ref="UDS1:UDZ1"/>
    <mergeCell ref="UEA1:UEH1"/>
    <mergeCell ref="UEI1:UEP1"/>
    <mergeCell ref="UEQ1:UEX1"/>
    <mergeCell ref="UEY1:UFF1"/>
    <mergeCell ref="UFG1:UFN1"/>
    <mergeCell ref="UBW1:UCD1"/>
    <mergeCell ref="UCE1:UCL1"/>
    <mergeCell ref="UCM1:UCT1"/>
    <mergeCell ref="UCU1:UDB1"/>
    <mergeCell ref="UDC1:UDJ1"/>
    <mergeCell ref="UDK1:UDR1"/>
    <mergeCell ref="UAA1:UAH1"/>
    <mergeCell ref="UAI1:UAP1"/>
    <mergeCell ref="UAQ1:UAX1"/>
    <mergeCell ref="UAY1:UBF1"/>
    <mergeCell ref="UBG1:UBN1"/>
    <mergeCell ref="UBO1:UBV1"/>
    <mergeCell ref="UJG1:UJN1"/>
    <mergeCell ref="UJO1:UJV1"/>
    <mergeCell ref="UJW1:UKD1"/>
    <mergeCell ref="UKE1:UKL1"/>
    <mergeCell ref="UKM1:UKT1"/>
    <mergeCell ref="UKU1:ULB1"/>
    <mergeCell ref="UHK1:UHR1"/>
    <mergeCell ref="UHS1:UHZ1"/>
    <mergeCell ref="UIA1:UIH1"/>
    <mergeCell ref="UII1:UIP1"/>
    <mergeCell ref="UIQ1:UIX1"/>
    <mergeCell ref="UIY1:UJF1"/>
    <mergeCell ref="UFO1:UFV1"/>
    <mergeCell ref="UFW1:UGD1"/>
    <mergeCell ref="UGE1:UGL1"/>
    <mergeCell ref="UGM1:UGT1"/>
    <mergeCell ref="UGU1:UHB1"/>
    <mergeCell ref="UHC1:UHJ1"/>
    <mergeCell ref="UOU1:UPB1"/>
    <mergeCell ref="UPC1:UPJ1"/>
    <mergeCell ref="UPK1:UPR1"/>
    <mergeCell ref="UPS1:UPZ1"/>
    <mergeCell ref="UQA1:UQH1"/>
    <mergeCell ref="UQI1:UQP1"/>
    <mergeCell ref="UMY1:UNF1"/>
    <mergeCell ref="UNG1:UNN1"/>
    <mergeCell ref="UNO1:UNV1"/>
    <mergeCell ref="UNW1:UOD1"/>
    <mergeCell ref="UOE1:UOL1"/>
    <mergeCell ref="UOM1:UOT1"/>
    <mergeCell ref="ULC1:ULJ1"/>
    <mergeCell ref="ULK1:ULR1"/>
    <mergeCell ref="ULS1:ULZ1"/>
    <mergeCell ref="UMA1:UMH1"/>
    <mergeCell ref="UMI1:UMP1"/>
    <mergeCell ref="UMQ1:UMX1"/>
    <mergeCell ref="UUI1:UUP1"/>
    <mergeCell ref="UUQ1:UUX1"/>
    <mergeCell ref="UUY1:UVF1"/>
    <mergeCell ref="UVG1:UVN1"/>
    <mergeCell ref="UVO1:UVV1"/>
    <mergeCell ref="UVW1:UWD1"/>
    <mergeCell ref="USM1:UST1"/>
    <mergeCell ref="USU1:UTB1"/>
    <mergeCell ref="UTC1:UTJ1"/>
    <mergeCell ref="UTK1:UTR1"/>
    <mergeCell ref="UTS1:UTZ1"/>
    <mergeCell ref="UUA1:UUH1"/>
    <mergeCell ref="UQQ1:UQX1"/>
    <mergeCell ref="UQY1:URF1"/>
    <mergeCell ref="URG1:URN1"/>
    <mergeCell ref="URO1:URV1"/>
    <mergeCell ref="URW1:USD1"/>
    <mergeCell ref="USE1:USL1"/>
    <mergeCell ref="UZW1:VAD1"/>
    <mergeCell ref="VAE1:VAL1"/>
    <mergeCell ref="VAM1:VAT1"/>
    <mergeCell ref="VAU1:VBB1"/>
    <mergeCell ref="VBC1:VBJ1"/>
    <mergeCell ref="VBK1:VBR1"/>
    <mergeCell ref="UYA1:UYH1"/>
    <mergeCell ref="UYI1:UYP1"/>
    <mergeCell ref="UYQ1:UYX1"/>
    <mergeCell ref="UYY1:UZF1"/>
    <mergeCell ref="UZG1:UZN1"/>
    <mergeCell ref="UZO1:UZV1"/>
    <mergeCell ref="UWE1:UWL1"/>
    <mergeCell ref="UWM1:UWT1"/>
    <mergeCell ref="UWU1:UXB1"/>
    <mergeCell ref="UXC1:UXJ1"/>
    <mergeCell ref="UXK1:UXR1"/>
    <mergeCell ref="UXS1:UXZ1"/>
    <mergeCell ref="VFK1:VFR1"/>
    <mergeCell ref="VFS1:VFZ1"/>
    <mergeCell ref="VGA1:VGH1"/>
    <mergeCell ref="VGI1:VGP1"/>
    <mergeCell ref="VGQ1:VGX1"/>
    <mergeCell ref="VGY1:VHF1"/>
    <mergeCell ref="VDO1:VDV1"/>
    <mergeCell ref="VDW1:VED1"/>
    <mergeCell ref="VEE1:VEL1"/>
    <mergeCell ref="VEM1:VET1"/>
    <mergeCell ref="VEU1:VFB1"/>
    <mergeCell ref="VFC1:VFJ1"/>
    <mergeCell ref="VBS1:VBZ1"/>
    <mergeCell ref="VCA1:VCH1"/>
    <mergeCell ref="VCI1:VCP1"/>
    <mergeCell ref="VCQ1:VCX1"/>
    <mergeCell ref="VCY1:VDF1"/>
    <mergeCell ref="VDG1:VDN1"/>
    <mergeCell ref="VKY1:VLF1"/>
    <mergeCell ref="VLG1:VLN1"/>
    <mergeCell ref="VLO1:VLV1"/>
    <mergeCell ref="VLW1:VMD1"/>
    <mergeCell ref="VME1:VML1"/>
    <mergeCell ref="VMM1:VMT1"/>
    <mergeCell ref="VJC1:VJJ1"/>
    <mergeCell ref="VJK1:VJR1"/>
    <mergeCell ref="VJS1:VJZ1"/>
    <mergeCell ref="VKA1:VKH1"/>
    <mergeCell ref="VKI1:VKP1"/>
    <mergeCell ref="VKQ1:VKX1"/>
    <mergeCell ref="VHG1:VHN1"/>
    <mergeCell ref="VHO1:VHV1"/>
    <mergeCell ref="VHW1:VID1"/>
    <mergeCell ref="VIE1:VIL1"/>
    <mergeCell ref="VIM1:VIT1"/>
    <mergeCell ref="VIU1:VJB1"/>
    <mergeCell ref="VQM1:VQT1"/>
    <mergeCell ref="VQU1:VRB1"/>
    <mergeCell ref="VRC1:VRJ1"/>
    <mergeCell ref="VRK1:VRR1"/>
    <mergeCell ref="VRS1:VRZ1"/>
    <mergeCell ref="VSA1:VSH1"/>
    <mergeCell ref="VOQ1:VOX1"/>
    <mergeCell ref="VOY1:VPF1"/>
    <mergeCell ref="VPG1:VPN1"/>
    <mergeCell ref="VPO1:VPV1"/>
    <mergeCell ref="VPW1:VQD1"/>
    <mergeCell ref="VQE1:VQL1"/>
    <mergeCell ref="VMU1:VNB1"/>
    <mergeCell ref="VNC1:VNJ1"/>
    <mergeCell ref="VNK1:VNR1"/>
    <mergeCell ref="VNS1:VNZ1"/>
    <mergeCell ref="VOA1:VOH1"/>
    <mergeCell ref="VOI1:VOP1"/>
    <mergeCell ref="VWA1:VWH1"/>
    <mergeCell ref="VWI1:VWP1"/>
    <mergeCell ref="VWQ1:VWX1"/>
    <mergeCell ref="VWY1:VXF1"/>
    <mergeCell ref="VXG1:VXN1"/>
    <mergeCell ref="VXO1:VXV1"/>
    <mergeCell ref="VUE1:VUL1"/>
    <mergeCell ref="VUM1:VUT1"/>
    <mergeCell ref="VUU1:VVB1"/>
    <mergeCell ref="VVC1:VVJ1"/>
    <mergeCell ref="VVK1:VVR1"/>
    <mergeCell ref="VVS1:VVZ1"/>
    <mergeCell ref="VSI1:VSP1"/>
    <mergeCell ref="VSQ1:VSX1"/>
    <mergeCell ref="VSY1:VTF1"/>
    <mergeCell ref="VTG1:VTN1"/>
    <mergeCell ref="VTO1:VTV1"/>
    <mergeCell ref="VTW1:VUD1"/>
    <mergeCell ref="WBO1:WBV1"/>
    <mergeCell ref="WBW1:WCD1"/>
    <mergeCell ref="WCE1:WCL1"/>
    <mergeCell ref="WCM1:WCT1"/>
    <mergeCell ref="WCU1:WDB1"/>
    <mergeCell ref="WDC1:WDJ1"/>
    <mergeCell ref="VZS1:VZZ1"/>
    <mergeCell ref="WAA1:WAH1"/>
    <mergeCell ref="WAI1:WAP1"/>
    <mergeCell ref="WAQ1:WAX1"/>
    <mergeCell ref="WAY1:WBF1"/>
    <mergeCell ref="WBG1:WBN1"/>
    <mergeCell ref="VXW1:VYD1"/>
    <mergeCell ref="VYE1:VYL1"/>
    <mergeCell ref="VYM1:VYT1"/>
    <mergeCell ref="VYU1:VZB1"/>
    <mergeCell ref="VZC1:VZJ1"/>
    <mergeCell ref="VZK1:VZR1"/>
    <mergeCell ref="WHC1:WHJ1"/>
    <mergeCell ref="WHK1:WHR1"/>
    <mergeCell ref="WHS1:WHZ1"/>
    <mergeCell ref="WIA1:WIH1"/>
    <mergeCell ref="WII1:WIP1"/>
    <mergeCell ref="WIQ1:WIX1"/>
    <mergeCell ref="WFG1:WFN1"/>
    <mergeCell ref="WFO1:WFV1"/>
    <mergeCell ref="WFW1:WGD1"/>
    <mergeCell ref="WGE1:WGL1"/>
    <mergeCell ref="WGM1:WGT1"/>
    <mergeCell ref="WGU1:WHB1"/>
    <mergeCell ref="WDK1:WDR1"/>
    <mergeCell ref="WDS1:WDZ1"/>
    <mergeCell ref="WEA1:WEH1"/>
    <mergeCell ref="WEI1:WEP1"/>
    <mergeCell ref="WEQ1:WEX1"/>
    <mergeCell ref="WEY1:WFF1"/>
    <mergeCell ref="WMQ1:WMX1"/>
    <mergeCell ref="WMY1:WNF1"/>
    <mergeCell ref="WNG1:WNN1"/>
    <mergeCell ref="WNO1:WNV1"/>
    <mergeCell ref="WNW1:WOD1"/>
    <mergeCell ref="WOE1:WOL1"/>
    <mergeCell ref="WKU1:WLB1"/>
    <mergeCell ref="WLC1:WLJ1"/>
    <mergeCell ref="WLK1:WLR1"/>
    <mergeCell ref="WLS1:WLZ1"/>
    <mergeCell ref="WMA1:WMH1"/>
    <mergeCell ref="WMI1:WMP1"/>
    <mergeCell ref="WIY1:WJF1"/>
    <mergeCell ref="WJG1:WJN1"/>
    <mergeCell ref="WJO1:WJV1"/>
    <mergeCell ref="WJW1:WKD1"/>
    <mergeCell ref="WKE1:WKL1"/>
    <mergeCell ref="WKM1:WKT1"/>
    <mergeCell ref="WUQ1:WUX1"/>
    <mergeCell ref="WUY1:WVF1"/>
    <mergeCell ref="WVG1:WVN1"/>
    <mergeCell ref="WVO1:WVV1"/>
    <mergeCell ref="WSE1:WSL1"/>
    <mergeCell ref="WSM1:WST1"/>
    <mergeCell ref="WSU1:WTB1"/>
    <mergeCell ref="WTC1:WTJ1"/>
    <mergeCell ref="WTK1:WTR1"/>
    <mergeCell ref="WTS1:WTZ1"/>
    <mergeCell ref="WQI1:WQP1"/>
    <mergeCell ref="WQQ1:WQX1"/>
    <mergeCell ref="WQY1:WRF1"/>
    <mergeCell ref="WRG1:WRN1"/>
    <mergeCell ref="WRO1:WRV1"/>
    <mergeCell ref="WRW1:WSD1"/>
    <mergeCell ref="WOM1:WOT1"/>
    <mergeCell ref="WOU1:WPB1"/>
    <mergeCell ref="WPC1:WPJ1"/>
    <mergeCell ref="WPK1:WPR1"/>
    <mergeCell ref="WPS1:WPZ1"/>
    <mergeCell ref="WQA1:WQH1"/>
    <mergeCell ref="XDG1:XDN1"/>
    <mergeCell ref="XDO1:XDV1"/>
    <mergeCell ref="XDW1:XED1"/>
    <mergeCell ref="XEE1:XEL1"/>
    <mergeCell ref="XEM1:XET1"/>
    <mergeCell ref="B2:K3"/>
    <mergeCell ref="XBK1:XBR1"/>
    <mergeCell ref="XBS1:XBZ1"/>
    <mergeCell ref="XCA1:XCH1"/>
    <mergeCell ref="XCI1:XCP1"/>
    <mergeCell ref="XCQ1:XCX1"/>
    <mergeCell ref="XCY1:XDF1"/>
    <mergeCell ref="WZO1:WZV1"/>
    <mergeCell ref="WZW1:XAD1"/>
    <mergeCell ref="XAE1:XAL1"/>
    <mergeCell ref="XAM1:XAT1"/>
    <mergeCell ref="XAU1:XBB1"/>
    <mergeCell ref="XBC1:XBJ1"/>
    <mergeCell ref="WXS1:WXZ1"/>
    <mergeCell ref="WYA1:WYH1"/>
    <mergeCell ref="WYI1:WYP1"/>
    <mergeCell ref="WYQ1:WYX1"/>
    <mergeCell ref="WYY1:WZF1"/>
    <mergeCell ref="WZG1:WZN1"/>
    <mergeCell ref="WVW1:WWD1"/>
    <mergeCell ref="WWE1:WWL1"/>
    <mergeCell ref="WWM1:WWT1"/>
    <mergeCell ref="WWU1:WXB1"/>
    <mergeCell ref="WXC1:WXJ1"/>
    <mergeCell ref="WXK1:WXR1"/>
    <mergeCell ref="WUA1:WUH1"/>
    <mergeCell ref="WUI1:WUP1"/>
  </mergeCells>
  <pageMargins left="0.7" right="0.7" top="0.75" bottom="0.75" header="0.3" footer="0.3"/>
  <pageSetup scale="10" fitToHeight="0" orientation="landscape"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8B6D7-834D-4AF6-A11E-BC2B94364248}">
  <dimension ref="A1:I1169"/>
  <sheetViews>
    <sheetView workbookViewId="0"/>
  </sheetViews>
  <sheetFormatPr baseColWidth="10" defaultColWidth="11.44140625" defaultRowHeight="14.4" x14ac:dyDescent="0.3"/>
  <cols>
    <col min="3" max="3" width="28.88671875" bestFit="1" customWidth="1"/>
    <col min="4" max="4" width="18.5546875" bestFit="1" customWidth="1"/>
    <col min="5" max="5" width="18.5546875" style="6" customWidth="1"/>
    <col min="6" max="6" width="12.6640625" bestFit="1" customWidth="1"/>
    <col min="7" max="7" width="39.44140625" bestFit="1" customWidth="1"/>
    <col min="9" max="9" width="27.44140625" style="6" bestFit="1" customWidth="1"/>
  </cols>
  <sheetData>
    <row r="1" spans="1:9" x14ac:dyDescent="0.3">
      <c r="A1" s="542" t="s">
        <v>2848</v>
      </c>
      <c r="B1" s="542" t="s">
        <v>2849</v>
      </c>
      <c r="C1" s="542" t="s">
        <v>2850</v>
      </c>
      <c r="D1" s="542" t="s">
        <v>2851</v>
      </c>
      <c r="E1" s="542" t="s">
        <v>2852</v>
      </c>
      <c r="F1" s="554" t="s">
        <v>2853</v>
      </c>
      <c r="G1" s="542" t="s">
        <v>2854</v>
      </c>
      <c r="H1" s="542" t="s">
        <v>2855</v>
      </c>
      <c r="I1" s="542" t="s">
        <v>2856</v>
      </c>
    </row>
    <row r="2" spans="1:9" x14ac:dyDescent="0.3">
      <c r="A2" s="543" t="s">
        <v>2857</v>
      </c>
      <c r="B2" s="543" t="s">
        <v>2858</v>
      </c>
      <c r="C2" s="543" t="s">
        <v>2129</v>
      </c>
      <c r="D2" s="543" t="s">
        <v>2859</v>
      </c>
      <c r="E2" s="6" t="str">
        <f>IFERROR(INDEX(ZACATECAS!$I$7:$I$5000, MATCH(F2*1, ZACATECAS!$H$7:$H$5000, 0)), "-")</f>
        <v>-</v>
      </c>
      <c r="F2" s="553">
        <v>32045873</v>
      </c>
      <c r="G2" s="544" t="s">
        <v>2130</v>
      </c>
      <c r="H2" s="543" t="s">
        <v>2344</v>
      </c>
      <c r="I2" s="6" t="str">
        <f>IFERROR(INDEX(ZACATECAS!$N$7:$N$5000, MATCH($F2, ZACATECAS!$H$7:$H$5000, 0)), "-")</f>
        <v>-</v>
      </c>
    </row>
    <row r="3" spans="1:9" x14ac:dyDescent="0.3">
      <c r="A3" s="543" t="s">
        <v>2857</v>
      </c>
      <c r="B3" s="543" t="s">
        <v>2858</v>
      </c>
      <c r="C3" s="543" t="s">
        <v>2129</v>
      </c>
      <c r="D3" s="543" t="s">
        <v>2859</v>
      </c>
      <c r="E3" s="6" t="str">
        <f>IFERROR(INDEX(ZACATECAS!$I$7:$I$5000, MATCH(F3*1, ZACATECAS!$H$7:$H$5000, 0)), "-")</f>
        <v>ENV 1</v>
      </c>
      <c r="F3" s="553">
        <v>32044330</v>
      </c>
      <c r="G3" s="544" t="s">
        <v>2131</v>
      </c>
      <c r="H3" s="543" t="s">
        <v>2860</v>
      </c>
      <c r="I3" s="6" t="str">
        <f>IFERROR(INDEX(ZACATECAS!$N$7:$N$5000, MATCH($F3, ZACATECAS!$H$7:$H$5000, 0)), "-")</f>
        <v>SEGURIDAD</v>
      </c>
    </row>
    <row r="4" spans="1:9" x14ac:dyDescent="0.3">
      <c r="A4" s="543" t="s">
        <v>2857</v>
      </c>
      <c r="B4" s="543" t="s">
        <v>2858</v>
      </c>
      <c r="C4" s="543" t="s">
        <v>2129</v>
      </c>
      <c r="D4" s="543" t="s">
        <v>2859</v>
      </c>
      <c r="E4" s="6" t="str">
        <f>IFERROR(INDEX(ZACATECAS!$I$7:$I$5000, MATCH(F4*1, ZACATECAS!$H$7:$H$5000, 0)), "-")</f>
        <v>ENV 1</v>
      </c>
      <c r="F4" s="553">
        <v>32045130</v>
      </c>
      <c r="G4" s="546" t="s">
        <v>2132</v>
      </c>
      <c r="H4" s="543" t="s">
        <v>2860</v>
      </c>
      <c r="I4" s="6" t="str">
        <f>IFERROR(INDEX(ZACATECAS!$N$7:$N$5000, MATCH($F4, ZACATECAS!$H$7:$H$5000, 0)), "-")</f>
        <v>GESTION</v>
      </c>
    </row>
    <row r="5" spans="1:9" x14ac:dyDescent="0.3">
      <c r="A5" s="543" t="s">
        <v>2857</v>
      </c>
      <c r="B5" s="543" t="s">
        <v>2858</v>
      </c>
      <c r="C5" s="543" t="s">
        <v>2129</v>
      </c>
      <c r="D5" s="543" t="s">
        <v>2859</v>
      </c>
      <c r="E5" s="6" t="str">
        <f>IFERROR(INDEX(ZACATECAS!$I$7:$I$5000, MATCH(F5*1, ZACATECAS!$H$7:$H$5000, 0)), "-")</f>
        <v>ENV 1</v>
      </c>
      <c r="F5" s="553">
        <v>32045845</v>
      </c>
      <c r="G5" s="546" t="s">
        <v>2133</v>
      </c>
      <c r="H5" s="543" t="s">
        <v>2860</v>
      </c>
      <c r="I5" s="6" t="str">
        <f>IFERROR(INDEX(ZACATECAS!$N$7:$N$5000, MATCH($F5, ZACATECAS!$H$7:$H$5000, 0)), "-")</f>
        <v>MEDIO AMBIENTE</v>
      </c>
    </row>
    <row r="6" spans="1:9" x14ac:dyDescent="0.3">
      <c r="A6" s="543" t="s">
        <v>2857</v>
      </c>
      <c r="B6" s="543" t="s">
        <v>2858</v>
      </c>
      <c r="C6" s="543" t="s">
        <v>2129</v>
      </c>
      <c r="D6" s="543" t="s">
        <v>2859</v>
      </c>
      <c r="E6" s="6" t="str">
        <f>IFERROR(INDEX(ZACATECAS!$I$7:$I$5000, MATCH(F6*1, ZACATECAS!$H$7:$H$5000, 0)), "-")</f>
        <v>ENV 1</v>
      </c>
      <c r="F6" s="553">
        <v>32045921</v>
      </c>
      <c r="G6" s="546" t="s">
        <v>2134</v>
      </c>
      <c r="H6" s="543" t="s">
        <v>2860</v>
      </c>
      <c r="I6" s="6" t="str">
        <f>IFERROR(INDEX(ZACATECAS!$N$7:$N$5000, MATCH($F6, ZACATECAS!$H$7:$H$5000, 0)), "-")</f>
        <v>CALIDAD</v>
      </c>
    </row>
    <row r="7" spans="1:9" x14ac:dyDescent="0.3">
      <c r="A7" s="543" t="s">
        <v>2857</v>
      </c>
      <c r="B7" s="543" t="s">
        <v>2858</v>
      </c>
      <c r="C7" s="543" t="s">
        <v>2129</v>
      </c>
      <c r="D7" s="543" t="s">
        <v>2859</v>
      </c>
      <c r="E7" s="6" t="str">
        <f>IFERROR(INDEX(ZACATECAS!$I$7:$I$5000, MATCH(F7*1, ZACATECAS!$H$7:$H$5000, 0)), "-")</f>
        <v>ENV 1</v>
      </c>
      <c r="F7" s="553">
        <v>32045091</v>
      </c>
      <c r="G7" s="546" t="s">
        <v>2135</v>
      </c>
      <c r="H7" s="543" t="s">
        <v>2860</v>
      </c>
      <c r="I7" s="6" t="str">
        <f>IFERROR(INDEX(ZACATECAS!$N$7:$N$5000, MATCH($F7, ZACATECAS!$H$7:$H$5000, 0)), "-")</f>
        <v>MANTENIMIENTO</v>
      </c>
    </row>
    <row r="8" spans="1:9" x14ac:dyDescent="0.3">
      <c r="A8" s="543" t="s">
        <v>2857</v>
      </c>
      <c r="B8" s="543" t="s">
        <v>2858</v>
      </c>
      <c r="C8" s="543" t="s">
        <v>2129</v>
      </c>
      <c r="D8" s="543" t="s">
        <v>2859</v>
      </c>
      <c r="E8" s="6" t="str">
        <f>IFERROR(INDEX(ZACATECAS!$I$7:$I$5000, MATCH(F8*1, ZACATECAS!$H$7:$H$5000, 0)), "-")</f>
        <v>ENV 1</v>
      </c>
      <c r="F8" s="553">
        <v>32044256</v>
      </c>
      <c r="G8" s="546" t="s">
        <v>2136</v>
      </c>
      <c r="H8" s="543" t="s">
        <v>2860</v>
      </c>
      <c r="I8" s="6" t="str">
        <f>IFERROR(INDEX(ZACATECAS!$N$7:$N$5000, MATCH($F8, ZACATECAS!$H$7:$H$5000, 0)), "-")</f>
        <v>GENTE</v>
      </c>
    </row>
    <row r="9" spans="1:9" x14ac:dyDescent="0.3">
      <c r="A9" s="543" t="s">
        <v>2857</v>
      </c>
      <c r="B9" s="543" t="s">
        <v>2858</v>
      </c>
      <c r="C9" s="543" t="s">
        <v>448</v>
      </c>
      <c r="D9" s="546" t="s">
        <v>2861</v>
      </c>
      <c r="E9" s="6" t="str">
        <f>IFERROR(INDEX(ZACATECAS!$I$7:$I$5000, MATCH(F9*1, ZACATECAS!$H$7:$H$5000, 0)), "-")</f>
        <v>-</v>
      </c>
      <c r="F9" s="553">
        <v>32174381</v>
      </c>
      <c r="G9" s="544" t="s">
        <v>449</v>
      </c>
      <c r="H9" s="543" t="s">
        <v>2344</v>
      </c>
      <c r="I9" s="6" t="str">
        <f>IFERROR(INDEX(ZACATECAS!$N$7:$N$5000, MATCH($F9, ZACATECAS!$H$7:$H$5000, 0)), "-")</f>
        <v>-</v>
      </c>
    </row>
    <row r="10" spans="1:9" x14ac:dyDescent="0.3">
      <c r="A10" s="543" t="s">
        <v>2857</v>
      </c>
      <c r="B10" s="543" t="s">
        <v>2858</v>
      </c>
      <c r="C10" s="543" t="s">
        <v>448</v>
      </c>
      <c r="D10" s="546" t="s">
        <v>2861</v>
      </c>
      <c r="E10" s="6">
        <f>IFERROR(INDEX(ZACATECAS!$I$7:$I$5000, MATCH(F10*1, ZACATECAS!$H$7:$H$5000, 0)), "-")</f>
        <v>3</v>
      </c>
      <c r="F10" s="553">
        <v>32046634</v>
      </c>
      <c r="G10" s="544" t="s">
        <v>451</v>
      </c>
      <c r="H10" s="543" t="s">
        <v>2860</v>
      </c>
      <c r="I10" s="6" t="str">
        <f>IFERROR(INDEX(ZACATECAS!$N$7:$N$5000, MATCH($F10, ZACATECAS!$H$7:$H$5000, 0)), "-")</f>
        <v>CHAMPION GENTE</v>
      </c>
    </row>
    <row r="11" spans="1:9" x14ac:dyDescent="0.3">
      <c r="A11" s="543" t="s">
        <v>2857</v>
      </c>
      <c r="B11" s="543" t="s">
        <v>2858</v>
      </c>
      <c r="C11" s="543" t="s">
        <v>448</v>
      </c>
      <c r="D11" s="546" t="s">
        <v>2861</v>
      </c>
      <c r="E11" s="6">
        <f>IFERROR(INDEX(ZACATECAS!$I$7:$I$5000, MATCH(F11*1, ZACATECAS!$H$7:$H$5000, 0)), "-")</f>
        <v>3</v>
      </c>
      <c r="F11" s="553">
        <v>32198303</v>
      </c>
      <c r="G11" s="544" t="s">
        <v>454</v>
      </c>
      <c r="H11" s="543" t="s">
        <v>2860</v>
      </c>
      <c r="I11" s="6" t="str">
        <f>IFERROR(INDEX(ZACATECAS!$N$7:$N$5000, MATCH($F11, ZACATECAS!$H$7:$H$5000, 0)), "-")</f>
        <v>CHAMPION AMBIENTAL</v>
      </c>
    </row>
    <row r="12" spans="1:9" x14ac:dyDescent="0.3">
      <c r="A12" s="543" t="s">
        <v>2857</v>
      </c>
      <c r="B12" s="543" t="s">
        <v>2858</v>
      </c>
      <c r="C12" s="543" t="s">
        <v>448</v>
      </c>
      <c r="D12" s="546" t="s">
        <v>2861</v>
      </c>
      <c r="E12" s="6">
        <f>IFERROR(INDEX(ZACATECAS!$I$7:$I$5000, MATCH(F12*1, ZACATECAS!$H$7:$H$5000, 0)), "-")</f>
        <v>3</v>
      </c>
      <c r="F12" s="553">
        <v>32045522</v>
      </c>
      <c r="G12" s="544" t="s">
        <v>457</v>
      </c>
      <c r="H12" s="543" t="s">
        <v>2860</v>
      </c>
      <c r="I12" s="6" t="str">
        <f>IFERROR(INDEX(ZACATECAS!$N$7:$N$5000, MATCH($F12, ZACATECAS!$H$7:$H$5000, 0)), "-")</f>
        <v>CHAMPION MANTENIMIENTO</v>
      </c>
    </row>
    <row r="13" spans="1:9" x14ac:dyDescent="0.3">
      <c r="A13" s="543" t="s">
        <v>2857</v>
      </c>
      <c r="B13" s="543" t="s">
        <v>2858</v>
      </c>
      <c r="C13" s="543" t="s">
        <v>448</v>
      </c>
      <c r="D13" s="546" t="s">
        <v>2861</v>
      </c>
      <c r="E13" s="6">
        <f>IFERROR(INDEX(ZACATECAS!$I$7:$I$5000, MATCH(F13*1, ZACATECAS!$H$7:$H$5000, 0)), "-")</f>
        <v>3</v>
      </c>
      <c r="F13" s="553">
        <v>32044830</v>
      </c>
      <c r="G13" s="544" t="s">
        <v>459</v>
      </c>
      <c r="H13" s="543" t="s">
        <v>2860</v>
      </c>
      <c r="I13" s="6" t="str">
        <f>IFERROR(INDEX(ZACATECAS!$N$7:$N$5000, MATCH($F13, ZACATECAS!$H$7:$H$5000, 0)), "-")</f>
        <v>APOYO GENTE</v>
      </c>
    </row>
    <row r="14" spans="1:9" x14ac:dyDescent="0.3">
      <c r="A14" s="543" t="s">
        <v>2857</v>
      </c>
      <c r="B14" s="543" t="s">
        <v>2858</v>
      </c>
      <c r="C14" s="543" t="s">
        <v>448</v>
      </c>
      <c r="D14" s="546" t="s">
        <v>2861</v>
      </c>
      <c r="E14" s="6">
        <f>IFERROR(INDEX(ZACATECAS!$I$7:$I$5000, MATCH(F14*1, ZACATECAS!$H$7:$H$5000, 0)), "-")</f>
        <v>3</v>
      </c>
      <c r="F14" s="553">
        <v>32132584</v>
      </c>
      <c r="G14" s="544" t="s">
        <v>462</v>
      </c>
      <c r="H14" s="543" t="s">
        <v>2860</v>
      </c>
      <c r="I14" s="6" t="str">
        <f>IFERROR(INDEX(ZACATECAS!$N$7:$N$5000, MATCH($F14, ZACATECAS!$H$7:$H$5000, 0)), "-")</f>
        <v>CHAMPION CALIDAD</v>
      </c>
    </row>
    <row r="15" spans="1:9" x14ac:dyDescent="0.3">
      <c r="A15" s="543" t="s">
        <v>2857</v>
      </c>
      <c r="B15" s="543" t="s">
        <v>2858</v>
      </c>
      <c r="C15" s="543" t="s">
        <v>448</v>
      </c>
      <c r="D15" s="546" t="s">
        <v>2861</v>
      </c>
      <c r="E15" s="6">
        <f>IFERROR(INDEX(ZACATECAS!$I$7:$I$5000, MATCH(F15*1, ZACATECAS!$H$7:$H$5000, 0)), "-")</f>
        <v>3</v>
      </c>
      <c r="F15" s="553">
        <v>32065049</v>
      </c>
      <c r="G15" s="544" t="s">
        <v>2371</v>
      </c>
      <c r="H15" s="543" t="s">
        <v>2860</v>
      </c>
      <c r="I15" s="6" t="str">
        <f>IFERROR(INDEX(ZACATECAS!$N$7:$N$5000, MATCH($F15, ZACATECAS!$H$7:$H$5000, 0)), "-")</f>
        <v>CHAMPION GESTION</v>
      </c>
    </row>
    <row r="16" spans="1:9" x14ac:dyDescent="0.3">
      <c r="A16" s="543" t="s">
        <v>2857</v>
      </c>
      <c r="B16" s="543" t="s">
        <v>2858</v>
      </c>
      <c r="C16" s="543" t="s">
        <v>448</v>
      </c>
      <c r="D16" s="546" t="s">
        <v>2861</v>
      </c>
      <c r="E16" s="6">
        <f>IFERROR(INDEX(ZACATECAS!$I$7:$I$5000, MATCH(F16*1, ZACATECAS!$H$7:$H$5000, 0)), "-")</f>
        <v>3</v>
      </c>
      <c r="F16" s="553">
        <v>32143282</v>
      </c>
      <c r="G16" s="544" t="s">
        <v>468</v>
      </c>
      <c r="H16" s="543" t="s">
        <v>2860</v>
      </c>
      <c r="I16" s="6" t="str">
        <f>IFERROR(INDEX(ZACATECAS!$N$7:$N$5000, MATCH($F16, ZACATECAS!$H$7:$H$5000, 0)), "-")</f>
        <v>CHAMPION SEGURIDAD</v>
      </c>
    </row>
    <row r="17" spans="1:9" x14ac:dyDescent="0.3">
      <c r="A17" s="543" t="s">
        <v>2857</v>
      </c>
      <c r="B17" s="543" t="s">
        <v>2858</v>
      </c>
      <c r="C17" s="543" t="s">
        <v>448</v>
      </c>
      <c r="D17" s="546" t="s">
        <v>2861</v>
      </c>
      <c r="E17" s="6">
        <f>IFERROR(INDEX(ZACATECAS!$I$7:$I$5000, MATCH(F17*1, ZACATECAS!$H$7:$H$5000, 0)), "-")</f>
        <v>3</v>
      </c>
      <c r="F17" s="544">
        <v>32046025</v>
      </c>
      <c r="G17" s="544" t="s">
        <v>471</v>
      </c>
      <c r="H17" s="543" t="s">
        <v>2860</v>
      </c>
      <c r="I17" s="6" t="str">
        <f>IFERROR(INDEX(ZACATECAS!$N$7:$N$5000, MATCH($F17, ZACATECAS!$H$7:$H$5000, 0)), "-")</f>
        <v>CHAMPION LOGISTICA</v>
      </c>
    </row>
    <row r="18" spans="1:9" x14ac:dyDescent="0.3">
      <c r="A18" s="543" t="s">
        <v>2857</v>
      </c>
      <c r="B18" s="543" t="s">
        <v>2858</v>
      </c>
      <c r="C18" s="543" t="s">
        <v>2137</v>
      </c>
      <c r="D18" s="543" t="s">
        <v>2859</v>
      </c>
      <c r="E18" s="6" t="str">
        <f>IFERROR(INDEX(ZACATECAS!$I$7:$I$5000, MATCH(F18*1, ZACATECAS!$H$7:$H$5000, 0)), "-")</f>
        <v>-</v>
      </c>
      <c r="F18" s="546">
        <v>32146124</v>
      </c>
      <c r="G18" s="543" t="s">
        <v>2138</v>
      </c>
      <c r="H18" s="543" t="s">
        <v>2344</v>
      </c>
      <c r="I18" s="6" t="str">
        <f>IFERROR(INDEX(ZACATECAS!$N$7:$N$5000, MATCH($F18, ZACATECAS!$H$7:$H$5000, 0)), "-")</f>
        <v>-</v>
      </c>
    </row>
    <row r="19" spans="1:9" x14ac:dyDescent="0.3">
      <c r="A19" s="543" t="s">
        <v>2857</v>
      </c>
      <c r="B19" s="543" t="s">
        <v>2858</v>
      </c>
      <c r="C19" s="543" t="s">
        <v>2137</v>
      </c>
      <c r="D19" s="543" t="s">
        <v>2859</v>
      </c>
      <c r="E19" s="6" t="str">
        <f>IFERROR(INDEX(ZACATECAS!$I$7:$I$5000, MATCH(F19*1, ZACATECAS!$H$7:$H$5000, 0)), "-")</f>
        <v>ENV 1</v>
      </c>
      <c r="F19" s="545">
        <v>32146675</v>
      </c>
      <c r="G19" s="546" t="s">
        <v>2139</v>
      </c>
      <c r="H19" s="543" t="s">
        <v>2860</v>
      </c>
      <c r="I19" s="6" t="str">
        <f>IFERROR(INDEX(ZACATECAS!$N$7:$N$5000, MATCH($F19, ZACATECAS!$H$7:$H$5000, 0)), "-")</f>
        <v>GENTE</v>
      </c>
    </row>
    <row r="20" spans="1:9" x14ac:dyDescent="0.3">
      <c r="A20" s="543" t="s">
        <v>2857</v>
      </c>
      <c r="B20" s="543" t="s">
        <v>2858</v>
      </c>
      <c r="C20" s="543" t="s">
        <v>2137</v>
      </c>
      <c r="D20" s="543" t="s">
        <v>2859</v>
      </c>
      <c r="E20" s="6" t="str">
        <f>IFERROR(INDEX(ZACATECAS!$I$7:$I$5000, MATCH(F20*1, ZACATECAS!$H$7:$H$5000, 0)), "-")</f>
        <v>ENV 1</v>
      </c>
      <c r="F20" s="545">
        <v>32044548</v>
      </c>
      <c r="G20" s="546" t="s">
        <v>2140</v>
      </c>
      <c r="H20" s="543" t="s">
        <v>2860</v>
      </c>
      <c r="I20" s="6" t="str">
        <f>IFERROR(INDEX(ZACATECAS!$N$7:$N$5000, MATCH($F20, ZACATECAS!$H$7:$H$5000, 0)), "-")</f>
        <v>SEGURIDAD</v>
      </c>
    </row>
    <row r="21" spans="1:9" x14ac:dyDescent="0.3">
      <c r="A21" s="543" t="s">
        <v>2857</v>
      </c>
      <c r="B21" s="543" t="s">
        <v>2858</v>
      </c>
      <c r="C21" s="543" t="s">
        <v>2137</v>
      </c>
      <c r="D21" s="543" t="s">
        <v>2859</v>
      </c>
      <c r="E21" s="6" t="str">
        <f>IFERROR(INDEX(ZACATECAS!$I$7:$I$5000, MATCH(F21*1, ZACATECAS!$H$7:$H$5000, 0)), "-")</f>
        <v>ENV 1</v>
      </c>
      <c r="F21" s="545">
        <v>32044763</v>
      </c>
      <c r="G21" s="546" t="s">
        <v>2141</v>
      </c>
      <c r="H21" s="543" t="s">
        <v>2860</v>
      </c>
      <c r="I21" s="6" t="str">
        <f>IFERROR(INDEX(ZACATECAS!$N$7:$N$5000, MATCH($F21, ZACATECAS!$H$7:$H$5000, 0)), "-")</f>
        <v>MANTENIMIENTO</v>
      </c>
    </row>
    <row r="22" spans="1:9" x14ac:dyDescent="0.3">
      <c r="A22" s="543" t="s">
        <v>2857</v>
      </c>
      <c r="B22" s="543" t="s">
        <v>2858</v>
      </c>
      <c r="C22" s="543" t="s">
        <v>2137</v>
      </c>
      <c r="D22" s="543" t="s">
        <v>2859</v>
      </c>
      <c r="E22" s="6" t="str">
        <f>IFERROR(INDEX(ZACATECAS!$I$7:$I$5000, MATCH(F22*1, ZACATECAS!$H$7:$H$5000, 0)), "-")</f>
        <v>ENV 1</v>
      </c>
      <c r="F22" s="545">
        <v>32138750</v>
      </c>
      <c r="G22" s="546" t="s">
        <v>2142</v>
      </c>
      <c r="H22" s="543" t="s">
        <v>2860</v>
      </c>
      <c r="I22" s="6" t="str">
        <f>IFERROR(INDEX(ZACATECAS!$N$7:$N$5000, MATCH($F22, ZACATECAS!$H$7:$H$5000, 0)), "-")</f>
        <v>GESTION</v>
      </c>
    </row>
    <row r="23" spans="1:9" x14ac:dyDescent="0.3">
      <c r="A23" s="543" t="s">
        <v>2857</v>
      </c>
      <c r="B23" s="543" t="s">
        <v>2858</v>
      </c>
      <c r="C23" s="543" t="s">
        <v>2137</v>
      </c>
      <c r="D23" s="543" t="s">
        <v>2859</v>
      </c>
      <c r="E23" s="6" t="str">
        <f>IFERROR(INDEX(ZACATECAS!$I$7:$I$5000, MATCH(F23*1, ZACATECAS!$H$7:$H$5000, 0)), "-")</f>
        <v>ENV 1</v>
      </c>
      <c r="F23" s="545">
        <v>32045259</v>
      </c>
      <c r="G23" s="546" t="s">
        <v>2143</v>
      </c>
      <c r="H23" s="543" t="s">
        <v>2860</v>
      </c>
      <c r="I23" s="6" t="str">
        <f>IFERROR(INDEX(ZACATECAS!$N$7:$N$5000, MATCH($F23, ZACATECAS!$H$7:$H$5000, 0)), "-")</f>
        <v>MEDIO AMBIENTE</v>
      </c>
    </row>
    <row r="24" spans="1:9" x14ac:dyDescent="0.3">
      <c r="A24" s="543" t="s">
        <v>2857</v>
      </c>
      <c r="B24" s="543" t="s">
        <v>2858</v>
      </c>
      <c r="C24" s="543" t="s">
        <v>2137</v>
      </c>
      <c r="D24" s="543" t="s">
        <v>2859</v>
      </c>
      <c r="E24" s="6" t="str">
        <f>IFERROR(INDEX(ZACATECAS!$I$7:$I$5000, MATCH(F24*1, ZACATECAS!$H$7:$H$5000, 0)), "-")</f>
        <v>ENV 1</v>
      </c>
      <c r="F24" s="545">
        <v>32138740</v>
      </c>
      <c r="G24" s="546" t="s">
        <v>2144</v>
      </c>
      <c r="H24" s="543" t="s">
        <v>2860</v>
      </c>
      <c r="I24" s="6" t="str">
        <f>IFERROR(INDEX(ZACATECAS!$N$7:$N$5000, MATCH($F24, ZACATECAS!$H$7:$H$5000, 0)), "-")</f>
        <v>APOYO MEDIO AMBIENTE</v>
      </c>
    </row>
    <row r="25" spans="1:9" x14ac:dyDescent="0.3">
      <c r="A25" s="543" t="s">
        <v>2857</v>
      </c>
      <c r="B25" s="543" t="s">
        <v>2858</v>
      </c>
      <c r="C25" s="543" t="s">
        <v>2137</v>
      </c>
      <c r="D25" s="543" t="s">
        <v>2859</v>
      </c>
      <c r="E25" s="6" t="str">
        <f>IFERROR(INDEX(ZACATECAS!$I$7:$I$5000, MATCH(F25*1, ZACATECAS!$H$7:$H$5000, 0)), "-")</f>
        <v>ENV 1</v>
      </c>
      <c r="F25" s="545">
        <v>32045971</v>
      </c>
      <c r="G25" s="546" t="s">
        <v>2146</v>
      </c>
      <c r="H25" s="543" t="s">
        <v>2860</v>
      </c>
      <c r="I25" s="6" t="str">
        <f>IFERROR(INDEX(ZACATECAS!$N$7:$N$5000, MATCH($F25, ZACATECAS!$H$7:$H$5000, 0)), "-")</f>
        <v>CALIDAD</v>
      </c>
    </row>
    <row r="26" spans="1:9" x14ac:dyDescent="0.3">
      <c r="A26" s="543" t="s">
        <v>2857</v>
      </c>
      <c r="B26" s="543" t="s">
        <v>2858</v>
      </c>
      <c r="C26" s="543" t="s">
        <v>474</v>
      </c>
      <c r="D26" s="546" t="s">
        <v>2861</v>
      </c>
      <c r="E26" s="6" t="str">
        <f>IFERROR(INDEX(ZACATECAS!$I$7:$I$5000, MATCH(F26*1, ZACATECAS!$H$7:$H$5000, 0)), "-")</f>
        <v>-</v>
      </c>
      <c r="F26" s="544">
        <v>32203898</v>
      </c>
      <c r="G26" s="544" t="s">
        <v>475</v>
      </c>
      <c r="H26" s="543" t="s">
        <v>2344</v>
      </c>
      <c r="I26" s="6" t="str">
        <f>IFERROR(INDEX(ZACATECAS!$N$7:$N$5000, MATCH($F26, ZACATECAS!$H$7:$H$5000, 0)), "-")</f>
        <v>-</v>
      </c>
    </row>
    <row r="27" spans="1:9" x14ac:dyDescent="0.3">
      <c r="A27" s="543" t="s">
        <v>2857</v>
      </c>
      <c r="B27" s="543" t="s">
        <v>2858</v>
      </c>
      <c r="C27" s="543" t="s">
        <v>474</v>
      </c>
      <c r="D27" s="546" t="s">
        <v>2861</v>
      </c>
      <c r="E27" s="6">
        <f>IFERROR(INDEX(ZACATECAS!$I$7:$I$5000, MATCH(F27*1, ZACATECAS!$H$7:$H$5000, 0)), "-")</f>
        <v>3</v>
      </c>
      <c r="F27" s="544">
        <v>32202296</v>
      </c>
      <c r="G27" s="544" t="s">
        <v>477</v>
      </c>
      <c r="H27" s="543" t="s">
        <v>2860</v>
      </c>
      <c r="I27" s="6" t="str">
        <f>IFERROR(INDEX(ZACATECAS!$N$7:$N$5000, MATCH($F27, ZACATECAS!$H$7:$H$5000, 0)), "-")</f>
        <v>CHAMPION MANTENIMIENTO</v>
      </c>
    </row>
    <row r="28" spans="1:9" x14ac:dyDescent="0.3">
      <c r="A28" s="543" t="s">
        <v>2857</v>
      </c>
      <c r="B28" s="543" t="s">
        <v>2858</v>
      </c>
      <c r="C28" s="543" t="s">
        <v>474</v>
      </c>
      <c r="D28" s="546" t="s">
        <v>2861</v>
      </c>
      <c r="E28" s="6">
        <f>IFERROR(INDEX(ZACATECAS!$I$7:$I$5000, MATCH(F28*1, ZACATECAS!$H$7:$H$5000, 0)), "-")</f>
        <v>3</v>
      </c>
      <c r="F28" s="544">
        <v>32198295</v>
      </c>
      <c r="G28" s="544" t="s">
        <v>479</v>
      </c>
      <c r="H28" s="543" t="s">
        <v>2860</v>
      </c>
      <c r="I28" s="6" t="str">
        <f>IFERROR(INDEX(ZACATECAS!$N$7:$N$5000, MATCH($F28, ZACATECAS!$H$7:$H$5000, 0)), "-")</f>
        <v>APOYO GESTION</v>
      </c>
    </row>
    <row r="29" spans="1:9" x14ac:dyDescent="0.3">
      <c r="A29" s="543" t="s">
        <v>2857</v>
      </c>
      <c r="B29" s="543" t="s">
        <v>2858</v>
      </c>
      <c r="C29" s="543" t="s">
        <v>474</v>
      </c>
      <c r="D29" s="546" t="s">
        <v>2861</v>
      </c>
      <c r="E29" s="6">
        <f>IFERROR(INDEX(ZACATECAS!$I$7:$I$5000, MATCH(F29*1, ZACATECAS!$H$7:$H$5000, 0)), "-")</f>
        <v>3</v>
      </c>
      <c r="F29" s="544">
        <v>32045487</v>
      </c>
      <c r="G29" s="544" t="s">
        <v>482</v>
      </c>
      <c r="H29" s="543" t="s">
        <v>2860</v>
      </c>
      <c r="I29" s="6" t="str">
        <f>IFERROR(INDEX(ZACATECAS!$N$7:$N$5000, MATCH($F29, ZACATECAS!$H$7:$H$5000, 0)), "-")</f>
        <v>CHAMPION CALIDAD</v>
      </c>
    </row>
    <row r="30" spans="1:9" x14ac:dyDescent="0.3">
      <c r="A30" s="543" t="s">
        <v>2857</v>
      </c>
      <c r="B30" s="543" t="s">
        <v>2858</v>
      </c>
      <c r="C30" s="543" t="s">
        <v>474</v>
      </c>
      <c r="D30" s="546" t="s">
        <v>2861</v>
      </c>
      <c r="E30" s="6">
        <f>IFERROR(INDEX(ZACATECAS!$I$7:$I$5000, MATCH(F30*1, ZACATECAS!$H$7:$H$5000, 0)), "-")</f>
        <v>3</v>
      </c>
      <c r="F30" s="544">
        <v>32045727</v>
      </c>
      <c r="G30" s="544" t="s">
        <v>484</v>
      </c>
      <c r="H30" s="543" t="s">
        <v>2860</v>
      </c>
      <c r="I30" s="6" t="str">
        <f>IFERROR(INDEX(ZACATECAS!$N$7:$N$5000, MATCH($F30, ZACATECAS!$H$7:$H$5000, 0)), "-")</f>
        <v>CHAMPION GENTE</v>
      </c>
    </row>
    <row r="31" spans="1:9" x14ac:dyDescent="0.3">
      <c r="A31" s="543" t="s">
        <v>2857</v>
      </c>
      <c r="B31" s="543" t="s">
        <v>2858</v>
      </c>
      <c r="C31" s="543" t="s">
        <v>474</v>
      </c>
      <c r="D31" s="546" t="s">
        <v>2861</v>
      </c>
      <c r="E31" s="6">
        <f>IFERROR(INDEX(ZACATECAS!$I$7:$I$5000, MATCH(F31*1, ZACATECAS!$H$7:$H$5000, 0)), "-")</f>
        <v>3</v>
      </c>
      <c r="F31" s="544">
        <v>32044673</v>
      </c>
      <c r="G31" s="544" t="s">
        <v>486</v>
      </c>
      <c r="H31" s="543" t="s">
        <v>2860</v>
      </c>
      <c r="I31" s="6" t="str">
        <f>IFERROR(INDEX(ZACATECAS!$N$7:$N$5000, MATCH($F31, ZACATECAS!$H$7:$H$5000, 0)), "-")</f>
        <v>CHAMPION GESTION</v>
      </c>
    </row>
    <row r="32" spans="1:9" x14ac:dyDescent="0.3">
      <c r="A32" s="543" t="s">
        <v>2857</v>
      </c>
      <c r="B32" s="543" t="s">
        <v>2858</v>
      </c>
      <c r="C32" s="543" t="s">
        <v>474</v>
      </c>
      <c r="D32" s="546" t="s">
        <v>2861</v>
      </c>
      <c r="E32" s="6">
        <f>IFERROR(INDEX(ZACATECAS!$I$7:$I$5000, MATCH(F32*1, ZACATECAS!$H$7:$H$5000, 0)), "-")</f>
        <v>3</v>
      </c>
      <c r="F32" s="544">
        <v>32198280</v>
      </c>
      <c r="G32" s="544" t="s">
        <v>488</v>
      </c>
      <c r="H32" s="543" t="s">
        <v>2860</v>
      </c>
      <c r="I32" s="6" t="str">
        <f>IFERROR(INDEX(ZACATECAS!$N$7:$N$5000, MATCH($F32, ZACATECAS!$H$7:$H$5000, 0)), "-")</f>
        <v>CHAMPION SEGURIDAD</v>
      </c>
    </row>
    <row r="33" spans="1:9" x14ac:dyDescent="0.3">
      <c r="A33" s="543" t="s">
        <v>2857</v>
      </c>
      <c r="B33" s="543" t="s">
        <v>2858</v>
      </c>
      <c r="C33" s="543" t="s">
        <v>474</v>
      </c>
      <c r="D33" s="546" t="s">
        <v>2861</v>
      </c>
      <c r="E33" s="6">
        <f>IFERROR(INDEX(ZACATECAS!$I$7:$I$5000, MATCH(F33*1, ZACATECAS!$H$7:$H$5000, 0)), "-")</f>
        <v>3</v>
      </c>
      <c r="F33" s="544">
        <v>32132577</v>
      </c>
      <c r="G33" s="544" t="s">
        <v>490</v>
      </c>
      <c r="H33" s="543" t="s">
        <v>2860</v>
      </c>
      <c r="I33" s="6" t="str">
        <f>IFERROR(INDEX(ZACATECAS!$N$7:$N$5000, MATCH($F33, ZACATECAS!$H$7:$H$5000, 0)), "-")</f>
        <v>CHAMPION LOGISTICA</v>
      </c>
    </row>
    <row r="34" spans="1:9" x14ac:dyDescent="0.3">
      <c r="A34" s="543" t="s">
        <v>2857</v>
      </c>
      <c r="B34" s="543" t="s">
        <v>2858</v>
      </c>
      <c r="C34" s="543" t="s">
        <v>474</v>
      </c>
      <c r="D34" s="546" t="s">
        <v>2861</v>
      </c>
      <c r="E34" s="6">
        <f>IFERROR(INDEX(ZACATECAS!$I$7:$I$5000, MATCH(F34*1, ZACATECAS!$H$7:$H$5000, 0)), "-")</f>
        <v>3</v>
      </c>
      <c r="F34" s="544">
        <v>32066826</v>
      </c>
      <c r="G34" s="544" t="s">
        <v>492</v>
      </c>
      <c r="H34" s="543" t="s">
        <v>2860</v>
      </c>
      <c r="I34" s="6" t="str">
        <f>IFERROR(INDEX(ZACATECAS!$N$7:$N$5000, MATCH($F34, ZACATECAS!$H$7:$H$5000, 0)), "-")</f>
        <v>CHAMPION AMBIENTAL</v>
      </c>
    </row>
    <row r="35" spans="1:9" x14ac:dyDescent="0.3">
      <c r="A35" s="543" t="s">
        <v>2857</v>
      </c>
      <c r="B35" s="543" t="s">
        <v>2858</v>
      </c>
      <c r="C35" s="543" t="s">
        <v>414</v>
      </c>
      <c r="D35" s="546" t="s">
        <v>2861</v>
      </c>
      <c r="E35" s="6" t="str">
        <f>IFERROR(INDEX(ZACATECAS!$I$7:$I$5000, MATCH(F35*1, ZACATECAS!$H$7:$H$5000, 0)), "-")</f>
        <v>-</v>
      </c>
      <c r="F35" s="546">
        <v>32146001</v>
      </c>
      <c r="G35" s="546" t="s">
        <v>398</v>
      </c>
      <c r="H35" s="543" t="s">
        <v>2344</v>
      </c>
      <c r="I35" s="6" t="str">
        <f>IFERROR(INDEX(ZACATECAS!$N$7:$N$5000, MATCH($F35, ZACATECAS!$H$7:$H$5000, 0)), "-")</f>
        <v>-</v>
      </c>
    </row>
    <row r="36" spans="1:9" x14ac:dyDescent="0.3">
      <c r="A36" s="543" t="s">
        <v>2857</v>
      </c>
      <c r="B36" s="543" t="s">
        <v>2858</v>
      </c>
      <c r="C36" s="543" t="s">
        <v>414</v>
      </c>
      <c r="D36" s="546" t="s">
        <v>2861</v>
      </c>
      <c r="E36" s="6">
        <f>IFERROR(INDEX(ZACATECAS!$I$7:$I$5000, MATCH(F36*1, ZACATECAS!$H$7:$H$5000, 0)), "-")</f>
        <v>2</v>
      </c>
      <c r="F36" s="544">
        <v>32044001</v>
      </c>
      <c r="G36" s="544" t="s">
        <v>415</v>
      </c>
      <c r="H36" s="543" t="s">
        <v>2860</v>
      </c>
      <c r="I36" s="6" t="str">
        <f>IFERROR(INDEX(ZACATECAS!$N$7:$N$5000, MATCH($F36, ZACATECAS!$H$7:$H$5000, 0)), "-")</f>
        <v>Champion Calidad</v>
      </c>
    </row>
    <row r="37" spans="1:9" x14ac:dyDescent="0.3">
      <c r="A37" s="543" t="s">
        <v>2857</v>
      </c>
      <c r="B37" s="543" t="s">
        <v>2858</v>
      </c>
      <c r="C37" s="543" t="s">
        <v>414</v>
      </c>
      <c r="D37" s="546" t="s">
        <v>2861</v>
      </c>
      <c r="E37" s="6">
        <f>IFERROR(INDEX(ZACATECAS!$I$7:$I$5000, MATCH(F37*1, ZACATECAS!$H$7:$H$5000, 0)), "-")</f>
        <v>2</v>
      </c>
      <c r="F37" s="544">
        <v>32198288</v>
      </c>
      <c r="G37" s="544" t="s">
        <v>417</v>
      </c>
      <c r="H37" s="543" t="s">
        <v>2860</v>
      </c>
      <c r="I37" s="6" t="str">
        <f>IFERROR(INDEX(ZACATECAS!$N$7:$N$5000, MATCH($F37, ZACATECAS!$H$7:$H$5000, 0)), "-")</f>
        <v>Champion Gente</v>
      </c>
    </row>
    <row r="38" spans="1:9" x14ac:dyDescent="0.3">
      <c r="A38" s="543" t="s">
        <v>2857</v>
      </c>
      <c r="B38" s="543" t="s">
        <v>2858</v>
      </c>
      <c r="C38" s="543" t="s">
        <v>414</v>
      </c>
      <c r="D38" s="546" t="s">
        <v>2861</v>
      </c>
      <c r="E38" s="6">
        <f>IFERROR(INDEX(ZACATECAS!$I$7:$I$5000, MATCH(F38*1, ZACATECAS!$H$7:$H$5000, 0)), "-")</f>
        <v>2</v>
      </c>
      <c r="F38" s="544">
        <v>32046313</v>
      </c>
      <c r="G38" s="544" t="s">
        <v>418</v>
      </c>
      <c r="H38" s="543" t="s">
        <v>2860</v>
      </c>
      <c r="I38" s="6" t="str">
        <f>IFERROR(INDEX(ZACATECAS!$N$7:$N$5000, MATCH($F38, ZACATECAS!$H$7:$H$5000, 0)), "-")</f>
        <v>Champion Gestión</v>
      </c>
    </row>
    <row r="39" spans="1:9" x14ac:dyDescent="0.3">
      <c r="A39" s="543" t="s">
        <v>2857</v>
      </c>
      <c r="B39" s="543" t="s">
        <v>2858</v>
      </c>
      <c r="C39" s="543" t="s">
        <v>414</v>
      </c>
      <c r="D39" s="546" t="s">
        <v>2861</v>
      </c>
      <c r="E39" s="6">
        <f>IFERROR(INDEX(ZACATECAS!$I$7:$I$5000, MATCH(F39*1, ZACATECAS!$H$7:$H$5000, 0)), "-")</f>
        <v>2</v>
      </c>
      <c r="F39" s="544">
        <v>32046028</v>
      </c>
      <c r="G39" s="544" t="s">
        <v>420</v>
      </c>
      <c r="H39" s="543" t="s">
        <v>2860</v>
      </c>
      <c r="I39" s="6" t="str">
        <f>IFERROR(INDEX(ZACATECAS!$N$7:$N$5000, MATCH($F39, ZACATECAS!$H$7:$H$5000, 0)), "-")</f>
        <v>Champion Seguridad</v>
      </c>
    </row>
    <row r="40" spans="1:9" x14ac:dyDescent="0.3">
      <c r="A40" s="543" t="s">
        <v>2857</v>
      </c>
      <c r="B40" s="543" t="s">
        <v>2858</v>
      </c>
      <c r="C40" s="543" t="s">
        <v>414</v>
      </c>
      <c r="D40" s="546" t="s">
        <v>2861</v>
      </c>
      <c r="E40" s="6">
        <f>IFERROR(INDEX(ZACATECAS!$I$7:$I$5000, MATCH(F40*1, ZACATECAS!$H$7:$H$5000, 0)), "-")</f>
        <v>2</v>
      </c>
      <c r="F40" s="544">
        <v>32060923</v>
      </c>
      <c r="G40" s="544" t="s">
        <v>422</v>
      </c>
      <c r="H40" s="543" t="s">
        <v>2860</v>
      </c>
      <c r="I40" s="6" t="str">
        <f>IFERROR(INDEX(ZACATECAS!$N$7:$N$5000, MATCH($F40, ZACATECAS!$H$7:$H$5000, 0)), "-")</f>
        <v>Champion Mantenimiento</v>
      </c>
    </row>
    <row r="41" spans="1:9" x14ac:dyDescent="0.3">
      <c r="A41" s="543" t="s">
        <v>2857</v>
      </c>
      <c r="B41" s="543" t="s">
        <v>2858</v>
      </c>
      <c r="C41" s="543" t="s">
        <v>414</v>
      </c>
      <c r="D41" s="546" t="s">
        <v>2861</v>
      </c>
      <c r="E41" s="6">
        <f>IFERROR(INDEX(ZACATECAS!$I$7:$I$5000, MATCH(F41*1, ZACATECAS!$H$7:$H$5000, 0)), "-")</f>
        <v>2</v>
      </c>
      <c r="F41" s="544">
        <v>32046293</v>
      </c>
      <c r="G41" s="544" t="s">
        <v>424</v>
      </c>
      <c r="H41" s="543" t="s">
        <v>2860</v>
      </c>
      <c r="I41" s="6" t="str">
        <f>IFERROR(INDEX(ZACATECAS!$N$7:$N$5000, MATCH($F41, ZACATECAS!$H$7:$H$5000, 0)), "-")</f>
        <v>Champion Ambiental</v>
      </c>
    </row>
    <row r="42" spans="1:9" x14ac:dyDescent="0.3">
      <c r="A42" s="543" t="s">
        <v>2857</v>
      </c>
      <c r="B42" s="543" t="s">
        <v>2858</v>
      </c>
      <c r="C42" s="543" t="s">
        <v>933</v>
      </c>
      <c r="D42" s="546" t="s">
        <v>2861</v>
      </c>
      <c r="E42" s="6" t="str">
        <f>IFERROR(INDEX(ZACATECAS!$I$7:$I$5000, MATCH(F42*1, ZACATECAS!$H$7:$H$5000, 0)), "-")</f>
        <v>-</v>
      </c>
      <c r="F42" s="544">
        <v>32199121</v>
      </c>
      <c r="G42" s="544" t="s">
        <v>934</v>
      </c>
      <c r="H42" s="543" t="s">
        <v>2344</v>
      </c>
      <c r="I42" s="6" t="str">
        <f>IFERROR(INDEX(ZACATECAS!$N$7:$N$5000, MATCH($F42, ZACATECAS!$H$7:$H$5000, 0)), "-")</f>
        <v>-</v>
      </c>
    </row>
    <row r="43" spans="1:9" x14ac:dyDescent="0.3">
      <c r="A43" s="543" t="s">
        <v>2857</v>
      </c>
      <c r="B43" s="543" t="s">
        <v>2858</v>
      </c>
      <c r="C43" s="543" t="s">
        <v>933</v>
      </c>
      <c r="D43" s="546" t="s">
        <v>2861</v>
      </c>
      <c r="E43" s="6">
        <f>IFERROR(INDEX(ZACATECAS!$I$7:$I$5000, MATCH(F43*1, ZACATECAS!$H$7:$H$5000, 0)), "-")</f>
        <v>9</v>
      </c>
      <c r="F43" s="544">
        <v>32044101</v>
      </c>
      <c r="G43" s="544" t="s">
        <v>935</v>
      </c>
      <c r="H43" s="543" t="s">
        <v>2860</v>
      </c>
      <c r="I43" s="6" t="str">
        <f>IFERROR(INDEX(ZACATECAS!$N$7:$N$5000, MATCH($F43, ZACATECAS!$H$7:$H$5000, 0)), "-")</f>
        <v>CHAMPION DE MANTENIMIENTO</v>
      </c>
    </row>
    <row r="44" spans="1:9" x14ac:dyDescent="0.3">
      <c r="A44" s="543" t="s">
        <v>2857</v>
      </c>
      <c r="B44" s="543" t="s">
        <v>2858</v>
      </c>
      <c r="C44" s="543" t="s">
        <v>933</v>
      </c>
      <c r="D44" s="546" t="s">
        <v>2861</v>
      </c>
      <c r="E44" s="6">
        <f>IFERROR(INDEX(ZACATECAS!$I$7:$I$5000, MATCH(F44*1, ZACATECAS!$H$7:$H$5000, 0)), "-")</f>
        <v>9</v>
      </c>
      <c r="F44" s="544">
        <v>32044601</v>
      </c>
      <c r="G44" s="544" t="s">
        <v>938</v>
      </c>
      <c r="H44" s="543" t="s">
        <v>2860</v>
      </c>
      <c r="I44" s="6" t="str">
        <f>IFERROR(INDEX(ZACATECAS!$N$7:$N$5000, MATCH($F44, ZACATECAS!$H$7:$H$5000, 0)), "-")</f>
        <v>APOYO DE MANTENIMIENTO</v>
      </c>
    </row>
    <row r="45" spans="1:9" x14ac:dyDescent="0.3">
      <c r="A45" s="543" t="s">
        <v>2857</v>
      </c>
      <c r="B45" s="543" t="s">
        <v>2858</v>
      </c>
      <c r="C45" s="543" t="s">
        <v>933</v>
      </c>
      <c r="D45" s="546" t="s">
        <v>2861</v>
      </c>
      <c r="E45" s="6">
        <f>IFERROR(INDEX(ZACATECAS!$I$7:$I$5000, MATCH(F45*1, ZACATECAS!$H$7:$H$5000, 0)), "-")</f>
        <v>9</v>
      </c>
      <c r="F45" s="544">
        <v>32044746</v>
      </c>
      <c r="G45" s="544" t="s">
        <v>940</v>
      </c>
      <c r="H45" s="543" t="s">
        <v>2860</v>
      </c>
      <c r="I45" s="6" t="str">
        <f>IFERROR(INDEX(ZACATECAS!$N$7:$N$5000, MATCH($F45, ZACATECAS!$H$7:$H$5000, 0)), "-")</f>
        <v xml:space="preserve">CHAMPION CALIDAD </v>
      </c>
    </row>
    <row r="46" spans="1:9" x14ac:dyDescent="0.3">
      <c r="A46" s="543" t="s">
        <v>2857</v>
      </c>
      <c r="B46" s="543" t="s">
        <v>2858</v>
      </c>
      <c r="C46" s="543" t="s">
        <v>933</v>
      </c>
      <c r="D46" s="546" t="s">
        <v>2861</v>
      </c>
      <c r="E46" s="6">
        <f>IFERROR(INDEX(ZACATECAS!$I$7:$I$5000, MATCH(F46*1, ZACATECAS!$H$7:$H$5000, 0)), "-")</f>
        <v>9</v>
      </c>
      <c r="F46" s="544">
        <v>32044964</v>
      </c>
      <c r="G46" s="544" t="s">
        <v>942</v>
      </c>
      <c r="H46" s="543" t="s">
        <v>2860</v>
      </c>
      <c r="I46" s="6" t="str">
        <f>IFERROR(INDEX(ZACATECAS!$N$7:$N$5000, MATCH($F46, ZACATECAS!$H$7:$H$5000, 0)), "-")</f>
        <v>APOYO DE GESTIÓN.</v>
      </c>
    </row>
    <row r="47" spans="1:9" x14ac:dyDescent="0.3">
      <c r="A47" s="543" t="s">
        <v>2857</v>
      </c>
      <c r="B47" s="543" t="s">
        <v>2858</v>
      </c>
      <c r="C47" s="543" t="s">
        <v>933</v>
      </c>
      <c r="D47" s="546" t="s">
        <v>2861</v>
      </c>
      <c r="E47" s="6">
        <f>IFERROR(INDEX(ZACATECAS!$I$7:$I$5000, MATCH(F47*1, ZACATECAS!$H$7:$H$5000, 0)), "-")</f>
        <v>9</v>
      </c>
      <c r="F47" s="544">
        <v>32045013</v>
      </c>
      <c r="G47" s="544" t="s">
        <v>945</v>
      </c>
      <c r="H47" s="543" t="s">
        <v>2860</v>
      </c>
      <c r="I47" s="6" t="str">
        <f>IFERROR(INDEX(ZACATECAS!$N$7:$N$5000, MATCH($F47, ZACATECAS!$H$7:$H$5000, 0)), "-")</f>
        <v>APOYO DE AMBIENTAL</v>
      </c>
    </row>
    <row r="48" spans="1:9" x14ac:dyDescent="0.3">
      <c r="A48" s="543" t="s">
        <v>2857</v>
      </c>
      <c r="B48" s="543" t="s">
        <v>2858</v>
      </c>
      <c r="C48" s="543" t="s">
        <v>933</v>
      </c>
      <c r="D48" s="546" t="s">
        <v>2861</v>
      </c>
      <c r="E48" s="6">
        <f>IFERROR(INDEX(ZACATECAS!$I$7:$I$5000, MATCH(F48*1, ZACATECAS!$H$7:$H$5000, 0)), "-")</f>
        <v>9</v>
      </c>
      <c r="F48" s="544">
        <v>32046500</v>
      </c>
      <c r="G48" s="544" t="s">
        <v>947</v>
      </c>
      <c r="H48" s="543" t="s">
        <v>2860</v>
      </c>
      <c r="I48" s="6" t="str">
        <f>IFERROR(INDEX(ZACATECAS!$N$7:$N$5000, MATCH($F48, ZACATECAS!$H$7:$H$5000, 0)), "-")</f>
        <v>CHAMPION DE GESTIÓN</v>
      </c>
    </row>
    <row r="49" spans="1:9" x14ac:dyDescent="0.3">
      <c r="A49" s="543" t="s">
        <v>2857</v>
      </c>
      <c r="B49" s="543" t="s">
        <v>2858</v>
      </c>
      <c r="C49" s="543" t="s">
        <v>933</v>
      </c>
      <c r="D49" s="546" t="s">
        <v>2861</v>
      </c>
      <c r="E49" s="6">
        <f>IFERROR(INDEX(ZACATECAS!$I$7:$I$5000, MATCH(F49*1, ZACATECAS!$H$7:$H$5000, 0)), "-")</f>
        <v>9</v>
      </c>
      <c r="F49" s="544">
        <v>32046535</v>
      </c>
      <c r="G49" s="544" t="s">
        <v>949</v>
      </c>
      <c r="H49" s="543" t="s">
        <v>2860</v>
      </c>
      <c r="I49" s="6" t="str">
        <f>IFERROR(INDEX(ZACATECAS!$N$7:$N$5000, MATCH($F49, ZACATECAS!$H$7:$H$5000, 0)), "-")</f>
        <v xml:space="preserve">CHAMPION DE AMBIENTAL </v>
      </c>
    </row>
    <row r="50" spans="1:9" x14ac:dyDescent="0.3">
      <c r="A50" s="543" t="s">
        <v>2857</v>
      </c>
      <c r="B50" s="543" t="s">
        <v>2858</v>
      </c>
      <c r="C50" s="543" t="s">
        <v>933</v>
      </c>
      <c r="D50" s="546" t="s">
        <v>2861</v>
      </c>
      <c r="E50" s="6">
        <f>IFERROR(INDEX(ZACATECAS!$I$7:$I$5000, MATCH(F50*1, ZACATECAS!$H$7:$H$5000, 0)), "-")</f>
        <v>9</v>
      </c>
      <c r="F50" s="544">
        <v>32046642</v>
      </c>
      <c r="G50" s="544" t="s">
        <v>952</v>
      </c>
      <c r="H50" s="543" t="s">
        <v>2860</v>
      </c>
      <c r="I50" s="6" t="str">
        <f>IFERROR(INDEX(ZACATECAS!$N$7:$N$5000, MATCH($F50, ZACATECAS!$H$7:$H$5000, 0)), "-")</f>
        <v>APOYO DE SEGURIDAD</v>
      </c>
    </row>
    <row r="51" spans="1:9" x14ac:dyDescent="0.3">
      <c r="A51" s="543" t="s">
        <v>2857</v>
      </c>
      <c r="B51" s="543" t="s">
        <v>2858</v>
      </c>
      <c r="C51" s="543" t="s">
        <v>933</v>
      </c>
      <c r="D51" s="546" t="s">
        <v>2861</v>
      </c>
      <c r="E51" s="6">
        <f>IFERROR(INDEX(ZACATECAS!$I$7:$I$5000, MATCH(F51*1, ZACATECAS!$H$7:$H$5000, 0)), "-")</f>
        <v>9</v>
      </c>
      <c r="F51" s="544">
        <v>32136494</v>
      </c>
      <c r="G51" s="544" t="s">
        <v>954</v>
      </c>
      <c r="H51" s="543" t="s">
        <v>2860</v>
      </c>
      <c r="I51" s="6" t="str">
        <f>IFERROR(INDEX(ZACATECAS!$N$7:$N$5000, MATCH($F51, ZACATECAS!$H$7:$H$5000, 0)), "-")</f>
        <v>APOYO CALIDAD</v>
      </c>
    </row>
    <row r="52" spans="1:9" x14ac:dyDescent="0.3">
      <c r="A52" s="543" t="s">
        <v>2857</v>
      </c>
      <c r="B52" s="543" t="s">
        <v>2858</v>
      </c>
      <c r="C52" s="543" t="s">
        <v>933</v>
      </c>
      <c r="D52" s="546" t="s">
        <v>2861</v>
      </c>
      <c r="E52" s="6">
        <f>IFERROR(INDEX(ZACATECAS!$I$7:$I$5000, MATCH(F52*1, ZACATECAS!$H$7:$H$5000, 0)), "-")</f>
        <v>9</v>
      </c>
      <c r="F52" s="544">
        <v>32143306</v>
      </c>
      <c r="G52" s="544" t="s">
        <v>956</v>
      </c>
      <c r="H52" s="543" t="s">
        <v>2860</v>
      </c>
      <c r="I52" s="6" t="str">
        <f>IFERROR(INDEX(ZACATECAS!$N$7:$N$5000, MATCH($F52, ZACATECAS!$H$7:$H$5000, 0)), "-")</f>
        <v>APOYO DE GENTE</v>
      </c>
    </row>
    <row r="53" spans="1:9" x14ac:dyDescent="0.3">
      <c r="A53" s="543" t="s">
        <v>2857</v>
      </c>
      <c r="B53" s="543" t="s">
        <v>2858</v>
      </c>
      <c r="C53" s="543" t="s">
        <v>933</v>
      </c>
      <c r="D53" s="546" t="s">
        <v>2861</v>
      </c>
      <c r="E53" s="6">
        <f>IFERROR(INDEX(ZACATECAS!$I$7:$I$5000, MATCH(F53*1, ZACATECAS!$H$7:$H$5000, 0)), "-")</f>
        <v>9</v>
      </c>
      <c r="F53" s="544">
        <v>32143308</v>
      </c>
      <c r="G53" s="544" t="s">
        <v>959</v>
      </c>
      <c r="H53" s="543" t="s">
        <v>2860</v>
      </c>
      <c r="I53" s="6" t="str">
        <f>IFERROR(INDEX(ZACATECAS!$N$7:$N$5000, MATCH($F53, ZACATECAS!$H$7:$H$5000, 0)), "-")</f>
        <v>CHAMPION DE GENTE</v>
      </c>
    </row>
    <row r="54" spans="1:9" x14ac:dyDescent="0.3">
      <c r="A54" s="543" t="s">
        <v>2857</v>
      </c>
      <c r="B54" s="543" t="s">
        <v>2858</v>
      </c>
      <c r="C54" s="543" t="s">
        <v>933</v>
      </c>
      <c r="D54" s="546" t="s">
        <v>2861</v>
      </c>
      <c r="E54" s="6">
        <f>IFERROR(INDEX(ZACATECAS!$I$7:$I$5000, MATCH(F54*1, ZACATECAS!$H$7:$H$5000, 0)), "-")</f>
        <v>9</v>
      </c>
      <c r="F54" s="544">
        <v>32143605</v>
      </c>
      <c r="G54" s="544" t="s">
        <v>961</v>
      </c>
      <c r="H54" s="543" t="s">
        <v>2860</v>
      </c>
      <c r="I54" s="6" t="str">
        <f>IFERROR(INDEX(ZACATECAS!$N$7:$N$5000, MATCH($F54, ZACATECAS!$H$7:$H$5000, 0)), "-")</f>
        <v>APOYO DE GENTE</v>
      </c>
    </row>
    <row r="55" spans="1:9" x14ac:dyDescent="0.3">
      <c r="A55" s="543" t="s">
        <v>2857</v>
      </c>
      <c r="B55" s="543" t="s">
        <v>2858</v>
      </c>
      <c r="C55" s="543" t="s">
        <v>933</v>
      </c>
      <c r="D55" s="546" t="s">
        <v>2861</v>
      </c>
      <c r="E55" s="6">
        <f>IFERROR(INDEX(ZACATECAS!$I$7:$I$5000, MATCH(F55*1, ZACATECAS!$H$7:$H$5000, 0)), "-")</f>
        <v>9</v>
      </c>
      <c r="F55" s="544">
        <v>32150523</v>
      </c>
      <c r="G55" s="544" t="s">
        <v>963</v>
      </c>
      <c r="H55" s="543" t="s">
        <v>2860</v>
      </c>
      <c r="I55" s="6" t="str">
        <f>IFERROR(INDEX(ZACATECAS!$N$7:$N$5000, MATCH($F55, ZACATECAS!$H$7:$H$5000, 0)), "-")</f>
        <v>APOYO DE AMBIENTAL</v>
      </c>
    </row>
    <row r="56" spans="1:9" x14ac:dyDescent="0.3">
      <c r="A56" s="543" t="s">
        <v>2857</v>
      </c>
      <c r="B56" s="543" t="s">
        <v>2858</v>
      </c>
      <c r="C56" s="543" t="s">
        <v>933</v>
      </c>
      <c r="D56" s="546" t="s">
        <v>2861</v>
      </c>
      <c r="E56" s="6">
        <f>IFERROR(INDEX(ZACATECAS!$I$7:$I$5000, MATCH(F56*1, ZACATECAS!$H$7:$H$5000, 0)), "-")</f>
        <v>9</v>
      </c>
      <c r="F56" s="544">
        <v>32197857</v>
      </c>
      <c r="G56" s="544" t="s">
        <v>964</v>
      </c>
      <c r="H56" s="543" t="s">
        <v>2860</v>
      </c>
      <c r="I56" s="6" t="str">
        <f>IFERROR(INDEX(ZACATECAS!$N$7:$N$5000, MATCH($F56, ZACATECAS!$H$7:$H$5000, 0)), "-")</f>
        <v>APOYO GESTIÓN</v>
      </c>
    </row>
    <row r="57" spans="1:9" x14ac:dyDescent="0.3">
      <c r="A57" s="543" t="s">
        <v>2857</v>
      </c>
      <c r="B57" s="543" t="s">
        <v>2858</v>
      </c>
      <c r="C57" s="543" t="s">
        <v>933</v>
      </c>
      <c r="D57" s="546" t="s">
        <v>2861</v>
      </c>
      <c r="E57" s="6">
        <f>IFERROR(INDEX(ZACATECAS!$I$7:$I$5000, MATCH(F57*1, ZACATECAS!$H$7:$H$5000, 0)), "-")</f>
        <v>9</v>
      </c>
      <c r="F57" s="544">
        <v>32202287</v>
      </c>
      <c r="G57" s="544" t="s">
        <v>967</v>
      </c>
      <c r="H57" s="543" t="s">
        <v>2860</v>
      </c>
      <c r="I57" s="6" t="str">
        <f>IFERROR(INDEX(ZACATECAS!$N$7:$N$5000, MATCH($F57, ZACATECAS!$H$7:$H$5000, 0)), "-")</f>
        <v xml:space="preserve">CHAMPION DE SEGURIDAD </v>
      </c>
    </row>
    <row r="58" spans="1:9" x14ac:dyDescent="0.3">
      <c r="A58" s="543" t="s">
        <v>2857</v>
      </c>
      <c r="B58" s="543" t="s">
        <v>2858</v>
      </c>
      <c r="C58" s="543" t="s">
        <v>2055</v>
      </c>
      <c r="D58" s="543" t="s">
        <v>2862</v>
      </c>
      <c r="E58" s="6" t="str">
        <f>IFERROR(INDEX(ZACATECAS!$I$7:$I$5000, MATCH(F58*1, ZACATECAS!$H$7:$H$5000, 0)), "-")</f>
        <v>-</v>
      </c>
      <c r="F58" s="544">
        <v>32231914</v>
      </c>
      <c r="G58" s="544" t="s">
        <v>2056</v>
      </c>
      <c r="H58" s="543" t="s">
        <v>2344</v>
      </c>
      <c r="I58" s="6" t="str">
        <f>IFERROR(INDEX(ZACATECAS!$N$7:$N$5000, MATCH($F58, ZACATECAS!$H$7:$H$5000, 0)), "-")</f>
        <v>-</v>
      </c>
    </row>
    <row r="59" spans="1:9" x14ac:dyDescent="0.3">
      <c r="A59" s="543" t="s">
        <v>2857</v>
      </c>
      <c r="B59" s="543" t="s">
        <v>2858</v>
      </c>
      <c r="C59" s="543" t="s">
        <v>2055</v>
      </c>
      <c r="D59" s="543" t="s">
        <v>2862</v>
      </c>
      <c r="E59" s="6" t="str">
        <f>IFERROR(INDEX(ZACATECAS!$I$7:$I$5000, MATCH(F59*1, ZACATECAS!$H$7:$H$5000, 0)), "-")</f>
        <v>Calderas AP</v>
      </c>
      <c r="F59" s="544">
        <v>32043974</v>
      </c>
      <c r="G59" s="544" t="s">
        <v>2058</v>
      </c>
      <c r="H59" s="543" t="s">
        <v>2860</v>
      </c>
      <c r="I59" s="6" t="str">
        <f>IFERROR(INDEX(ZACATECAS!$N$7:$N$5000, MATCH($F59, ZACATECAS!$H$7:$H$5000, 0)), "-")</f>
        <v>Logistica</v>
      </c>
    </row>
    <row r="60" spans="1:9" x14ac:dyDescent="0.3">
      <c r="A60" s="543" t="s">
        <v>2857</v>
      </c>
      <c r="B60" s="543" t="s">
        <v>2858</v>
      </c>
      <c r="C60" s="543" t="s">
        <v>2055</v>
      </c>
      <c r="D60" s="543" t="s">
        <v>2862</v>
      </c>
      <c r="E60" s="6" t="str">
        <f>IFERROR(INDEX(ZACATECAS!$I$7:$I$5000, MATCH(F60*1, ZACATECAS!$H$7:$H$5000, 0)), "-")</f>
        <v>Turbinas</v>
      </c>
      <c r="F60" s="544">
        <v>32045558</v>
      </c>
      <c r="G60" s="544" t="s">
        <v>2061</v>
      </c>
      <c r="H60" s="543" t="s">
        <v>2860</v>
      </c>
      <c r="I60" s="6" t="str">
        <f>IFERROR(INDEX(ZACATECAS!$N$7:$N$5000, MATCH($F60, ZACATECAS!$H$7:$H$5000, 0)), "-")</f>
        <v>Gente</v>
      </c>
    </row>
    <row r="61" spans="1:9" x14ac:dyDescent="0.3">
      <c r="A61" s="543" t="s">
        <v>2857</v>
      </c>
      <c r="B61" s="543" t="s">
        <v>2858</v>
      </c>
      <c r="C61" s="543" t="s">
        <v>2055</v>
      </c>
      <c r="D61" s="543" t="s">
        <v>2862</v>
      </c>
      <c r="E61" s="6" t="str">
        <f>IFERROR(INDEX(ZACATECAS!$I$7:$I$5000, MATCH(F61*1, ZACATECAS!$H$7:$H$5000, 0)), "-")</f>
        <v>Refrigeración</v>
      </c>
      <c r="F61" s="544">
        <v>32043847</v>
      </c>
      <c r="G61" s="544" t="s">
        <v>2064</v>
      </c>
      <c r="H61" s="543" t="s">
        <v>2860</v>
      </c>
      <c r="I61" s="6" t="str">
        <f>IFERROR(INDEX(ZACATECAS!$N$7:$N$5000, MATCH($F61, ZACATECAS!$H$7:$H$5000, 0)), "-")</f>
        <v>Ambiental</v>
      </c>
    </row>
    <row r="62" spans="1:9" x14ac:dyDescent="0.3">
      <c r="A62" s="543" t="s">
        <v>2857</v>
      </c>
      <c r="B62" s="543" t="s">
        <v>2858</v>
      </c>
      <c r="C62" s="543" t="s">
        <v>2055</v>
      </c>
      <c r="D62" s="543" t="s">
        <v>2862</v>
      </c>
      <c r="E62" s="6" t="str">
        <f>IFERROR(INDEX(ZACATECAS!$I$7:$I$5000, MATCH(F62*1, ZACATECAS!$H$7:$H$5000, 0)), "-")</f>
        <v>Calderas BP</v>
      </c>
      <c r="F62" s="544">
        <v>32044410</v>
      </c>
      <c r="G62" s="544" t="s">
        <v>2067</v>
      </c>
      <c r="H62" s="543" t="s">
        <v>2860</v>
      </c>
      <c r="I62" s="6" t="str">
        <f>IFERROR(INDEX(ZACATECAS!$N$7:$N$5000, MATCH($F62, ZACATECAS!$H$7:$H$5000, 0)), "-")</f>
        <v>Mantenimiento</v>
      </c>
    </row>
    <row r="63" spans="1:9" x14ac:dyDescent="0.3">
      <c r="A63" s="543" t="s">
        <v>2857</v>
      </c>
      <c r="B63" s="543" t="s">
        <v>2858</v>
      </c>
      <c r="C63" s="543" t="s">
        <v>2055</v>
      </c>
      <c r="D63" s="543" t="s">
        <v>2862</v>
      </c>
      <c r="E63" s="6" t="str">
        <f>IFERROR(INDEX(ZACATECAS!$I$7:$I$5000, MATCH(F63*1, ZACATECAS!$H$7:$H$5000, 0)), "-")</f>
        <v>Turbinas</v>
      </c>
      <c r="F63" s="544">
        <v>32045543</v>
      </c>
      <c r="G63" s="544" t="s">
        <v>2069</v>
      </c>
      <c r="H63" s="543" t="s">
        <v>2860</v>
      </c>
      <c r="I63" s="6" t="str">
        <f>IFERROR(INDEX(ZACATECAS!$N$7:$N$5000, MATCH($F63, ZACATECAS!$H$7:$H$5000, 0)), "-")</f>
        <v>Seguridad</v>
      </c>
    </row>
    <row r="64" spans="1:9" x14ac:dyDescent="0.3">
      <c r="A64" s="543" t="s">
        <v>2857</v>
      </c>
      <c r="B64" s="543" t="s">
        <v>2858</v>
      </c>
      <c r="C64" s="543" t="s">
        <v>212</v>
      </c>
      <c r="D64" s="543" t="s">
        <v>2863</v>
      </c>
      <c r="E64" s="6" t="str">
        <f>IFERROR(INDEX(ZACATECAS!$I$7:$I$5000, MATCH(F64*1, ZACATECAS!$H$7:$H$5000, 0)), "-")</f>
        <v>-</v>
      </c>
      <c r="F64" s="544">
        <v>32162568</v>
      </c>
      <c r="G64" s="544" t="s">
        <v>213</v>
      </c>
      <c r="H64" s="543" t="s">
        <v>2344</v>
      </c>
      <c r="I64" s="6" t="str">
        <f>IFERROR(INDEX(ZACATECAS!$N$7:$N$5000, MATCH($F64, ZACATECAS!$H$7:$H$5000, 0)), "-")</f>
        <v>-</v>
      </c>
    </row>
    <row r="65" spans="1:9" x14ac:dyDescent="0.3">
      <c r="A65" s="543" t="s">
        <v>2857</v>
      </c>
      <c r="B65" s="543" t="s">
        <v>2858</v>
      </c>
      <c r="C65" s="543" t="s">
        <v>212</v>
      </c>
      <c r="D65" s="543" t="s">
        <v>2863</v>
      </c>
      <c r="E65" s="6" t="str">
        <f>IFERROR(INDEX(ZACATECAS!$I$7:$I$5000, MATCH(F65*1, ZACATECAS!$H$7:$H$5000, 0)), "-")</f>
        <v>ACA</v>
      </c>
      <c r="F65" s="544">
        <v>32096526</v>
      </c>
      <c r="G65" s="544" t="s">
        <v>215</v>
      </c>
      <c r="H65" s="543" t="s">
        <v>2860</v>
      </c>
      <c r="I65" s="6" t="str">
        <f>IFERROR(INDEX(ZACATECAS!$N$7:$N$5000, MATCH($F65, ZACATECAS!$H$7:$H$5000, 0)), "-")</f>
        <v xml:space="preserve">AMBIENTAL </v>
      </c>
    </row>
    <row r="66" spans="1:9" x14ac:dyDescent="0.3">
      <c r="A66" s="543" t="s">
        <v>2857</v>
      </c>
      <c r="B66" s="543" t="s">
        <v>2858</v>
      </c>
      <c r="C66" s="543" t="s">
        <v>212</v>
      </c>
      <c r="D66" s="543" t="s">
        <v>2863</v>
      </c>
      <c r="E66" s="6" t="str">
        <f>IFERROR(INDEX(ZACATECAS!$I$7:$I$5000, MATCH(F66*1, ZACATECAS!$H$7:$H$5000, 0)), "-")</f>
        <v>ACA</v>
      </c>
      <c r="F66" s="544">
        <v>32044377</v>
      </c>
      <c r="G66" s="544" t="s">
        <v>218</v>
      </c>
      <c r="H66" s="543" t="s">
        <v>2860</v>
      </c>
      <c r="I66" s="6" t="str">
        <f>IFERROR(INDEX(ZACATECAS!$N$7:$N$5000, MATCH($F66, ZACATECAS!$H$7:$H$5000, 0)), "-")</f>
        <v>AMBIENTAL Y PEOPLE</v>
      </c>
    </row>
    <row r="67" spans="1:9" x14ac:dyDescent="0.3">
      <c r="A67" s="543" t="s">
        <v>2857</v>
      </c>
      <c r="B67" s="543" t="s">
        <v>2858</v>
      </c>
      <c r="C67" s="543" t="s">
        <v>212</v>
      </c>
      <c r="D67" s="543" t="s">
        <v>2863</v>
      </c>
      <c r="E67" s="6" t="str">
        <f>IFERROR(INDEX(ZACATECAS!$I$7:$I$5000, MATCH(F67*1, ZACATECAS!$H$7:$H$5000, 0)), "-")</f>
        <v>ACA</v>
      </c>
      <c r="F67" s="544">
        <v>32046549</v>
      </c>
      <c r="G67" s="544" t="s">
        <v>221</v>
      </c>
      <c r="H67" s="543" t="s">
        <v>2860</v>
      </c>
      <c r="I67" s="6" t="str">
        <f>IFERROR(INDEX(ZACATECAS!$N$7:$N$5000, MATCH($F67, ZACATECAS!$H$7:$H$5000, 0)), "-")</f>
        <v>APOYO CHAMPION DE AMBIENTAL</v>
      </c>
    </row>
    <row r="68" spans="1:9" x14ac:dyDescent="0.3">
      <c r="A68" s="543" t="s">
        <v>2857</v>
      </c>
      <c r="B68" s="543" t="s">
        <v>2858</v>
      </c>
      <c r="C68" s="543" t="s">
        <v>212</v>
      </c>
      <c r="D68" s="543" t="s">
        <v>2863</v>
      </c>
      <c r="E68" s="6" t="str">
        <f>IFERROR(INDEX(ZACATECAS!$I$7:$I$5000, MATCH(F68*1, ZACATECAS!$H$7:$H$5000, 0)), "-")</f>
        <v>ACA</v>
      </c>
      <c r="F68" s="546">
        <v>32055155</v>
      </c>
      <c r="G68" s="544" t="s">
        <v>224</v>
      </c>
      <c r="H68" s="543" t="s">
        <v>2860</v>
      </c>
      <c r="I68" s="6" t="str">
        <f>IFERROR(INDEX(ZACATECAS!$N$7:$N$5000, MATCH($F68, ZACATECAS!$H$7:$H$5000, 0)), "-")</f>
        <v>APOYO CHAMPION DE AMBIENTAL</v>
      </c>
    </row>
    <row r="69" spans="1:9" x14ac:dyDescent="0.3">
      <c r="A69" s="543" t="s">
        <v>2857</v>
      </c>
      <c r="B69" s="543" t="s">
        <v>2858</v>
      </c>
      <c r="C69" s="543" t="s">
        <v>212</v>
      </c>
      <c r="D69" s="543" t="s">
        <v>2863</v>
      </c>
      <c r="E69" s="6" t="str">
        <f>IFERROR(INDEX(ZACATECAS!$I$7:$I$5000, MATCH(F69*1, ZACATECAS!$H$7:$H$5000, 0)), "-")</f>
        <v>ACA</v>
      </c>
      <c r="F69" s="544">
        <v>32045475</v>
      </c>
      <c r="G69" s="544" t="s">
        <v>226</v>
      </c>
      <c r="H69" s="543" t="s">
        <v>2860</v>
      </c>
      <c r="I69" s="6" t="str">
        <f>IFERROR(INDEX(ZACATECAS!$N$7:$N$5000, MATCH($F69, ZACATECAS!$H$7:$H$5000, 0)), "-")</f>
        <v>APOYO CHAMPION DE CALIDAD</v>
      </c>
    </row>
    <row r="70" spans="1:9" x14ac:dyDescent="0.3">
      <c r="A70" s="543" t="s">
        <v>2857</v>
      </c>
      <c r="B70" s="543" t="s">
        <v>2858</v>
      </c>
      <c r="C70" s="543" t="s">
        <v>212</v>
      </c>
      <c r="D70" s="543" t="s">
        <v>2863</v>
      </c>
      <c r="E70" s="6" t="str">
        <f>IFERROR(INDEX(ZACATECAS!$I$7:$I$5000, MATCH(F70*1, ZACATECAS!$H$7:$H$5000, 0)), "-")</f>
        <v>ACA</v>
      </c>
      <c r="F70" s="544">
        <v>32153661</v>
      </c>
      <c r="G70" s="544" t="s">
        <v>229</v>
      </c>
      <c r="H70" s="543" t="s">
        <v>2860</v>
      </c>
      <c r="I70" s="6" t="str">
        <f>IFERROR(INDEX(ZACATECAS!$N$7:$N$5000, MATCH($F70, ZACATECAS!$H$7:$H$5000, 0)), "-")</f>
        <v>APOYO CHAMPION DE GESTIÓN</v>
      </c>
    </row>
    <row r="71" spans="1:9" x14ac:dyDescent="0.3">
      <c r="A71" s="543" t="s">
        <v>2857</v>
      </c>
      <c r="B71" s="543" t="s">
        <v>2858</v>
      </c>
      <c r="C71" s="543" t="s">
        <v>212</v>
      </c>
      <c r="D71" s="543" t="s">
        <v>2863</v>
      </c>
      <c r="E71" s="6" t="str">
        <f>IFERROR(INDEX(ZACATECAS!$I$7:$I$5000, MATCH(F71*1, ZACATECAS!$H$7:$H$5000, 0)), "-")</f>
        <v>ACA</v>
      </c>
      <c r="F71" s="544">
        <v>32044547</v>
      </c>
      <c r="G71" s="544" t="s">
        <v>232</v>
      </c>
      <c r="H71" s="543" t="s">
        <v>2860</v>
      </c>
      <c r="I71" s="6" t="str">
        <f>IFERROR(INDEX(ZACATECAS!$N$7:$N$5000, MATCH($F71, ZACATECAS!$H$7:$H$5000, 0)), "-")</f>
        <v>APOYO CHAMPION DE LOGISTICA</v>
      </c>
    </row>
    <row r="72" spans="1:9" x14ac:dyDescent="0.3">
      <c r="A72" s="543" t="s">
        <v>2857</v>
      </c>
      <c r="B72" s="543" t="s">
        <v>2858</v>
      </c>
      <c r="C72" s="543" t="s">
        <v>212</v>
      </c>
      <c r="D72" s="543" t="s">
        <v>2863</v>
      </c>
      <c r="E72" s="6" t="str">
        <f>IFERROR(INDEX(ZACATECAS!$I$7:$I$5000, MATCH(F72*1, ZACATECAS!$H$7:$H$5000, 0)), "-")</f>
        <v>ACA</v>
      </c>
      <c r="F72" s="544">
        <v>32044975</v>
      </c>
      <c r="G72" s="544" t="s">
        <v>235</v>
      </c>
      <c r="H72" s="543" t="s">
        <v>2860</v>
      </c>
      <c r="I72" s="6" t="str">
        <f>IFERROR(INDEX(ZACATECAS!$N$7:$N$5000, MATCH($F72, ZACATECAS!$H$7:$H$5000, 0)), "-")</f>
        <v>APOYO CHAMPION DE MANTENIMIENTO</v>
      </c>
    </row>
    <row r="73" spans="1:9" x14ac:dyDescent="0.3">
      <c r="A73" s="543" t="s">
        <v>2857</v>
      </c>
      <c r="B73" s="543" t="s">
        <v>2858</v>
      </c>
      <c r="C73" s="543" t="s">
        <v>212</v>
      </c>
      <c r="D73" s="543" t="s">
        <v>2863</v>
      </c>
      <c r="E73" s="6" t="str">
        <f>IFERROR(INDEX(ZACATECAS!$I$7:$I$5000, MATCH(F73*1, ZACATECAS!$H$7:$H$5000, 0)), "-")</f>
        <v>ACA</v>
      </c>
      <c r="F73" s="544">
        <v>32057722</v>
      </c>
      <c r="G73" s="544" t="s">
        <v>238</v>
      </c>
      <c r="H73" s="543" t="s">
        <v>2860</v>
      </c>
      <c r="I73" s="6" t="str">
        <f>IFERROR(INDEX(ZACATECAS!$N$7:$N$5000, MATCH($F73, ZACATECAS!$H$7:$H$5000, 0)), "-")</f>
        <v>APOYO CHAMPION DE PEOPLE</v>
      </c>
    </row>
    <row r="74" spans="1:9" x14ac:dyDescent="0.3">
      <c r="A74" s="543" t="s">
        <v>2857</v>
      </c>
      <c r="B74" s="543" t="s">
        <v>2858</v>
      </c>
      <c r="C74" s="543" t="s">
        <v>212</v>
      </c>
      <c r="D74" s="543" t="s">
        <v>2863</v>
      </c>
      <c r="E74" s="6" t="str">
        <f>IFERROR(INDEX(ZACATECAS!$I$7:$I$5000, MATCH(F74*1, ZACATECAS!$H$7:$H$5000, 0)), "-")</f>
        <v>ACA</v>
      </c>
      <c r="F74" s="544">
        <v>32061082</v>
      </c>
      <c r="G74" s="544" t="s">
        <v>240</v>
      </c>
      <c r="H74" s="543" t="s">
        <v>2860</v>
      </c>
      <c r="I74" s="6" t="str">
        <f>IFERROR(INDEX(ZACATECAS!$N$7:$N$5000, MATCH($F74, ZACATECAS!$H$7:$H$5000, 0)), "-")</f>
        <v>APOYO CHAMPION DE PEOPLE</v>
      </c>
    </row>
    <row r="75" spans="1:9" x14ac:dyDescent="0.3">
      <c r="A75" s="543" t="s">
        <v>2857</v>
      </c>
      <c r="B75" s="543" t="s">
        <v>2858</v>
      </c>
      <c r="C75" s="543" t="s">
        <v>212</v>
      </c>
      <c r="D75" s="543" t="s">
        <v>2863</v>
      </c>
      <c r="E75" s="6" t="str">
        <f>IFERROR(INDEX(ZACATECAS!$I$7:$I$5000, MATCH(F75*1, ZACATECAS!$H$7:$H$5000, 0)), "-")</f>
        <v>ACA</v>
      </c>
      <c r="F75" s="544">
        <v>32111147</v>
      </c>
      <c r="G75" s="544" t="s">
        <v>242</v>
      </c>
      <c r="H75" s="543" t="s">
        <v>2860</v>
      </c>
      <c r="I75" s="6" t="str">
        <f>IFERROR(INDEX(ZACATECAS!$N$7:$N$5000, MATCH($F75, ZACATECAS!$H$7:$H$5000, 0)), "-")</f>
        <v>APOYO CHAMPION DE SEGURIDAD</v>
      </c>
    </row>
    <row r="76" spans="1:9" x14ac:dyDescent="0.3">
      <c r="A76" s="543" t="s">
        <v>2857</v>
      </c>
      <c r="B76" s="543" t="s">
        <v>2858</v>
      </c>
      <c r="C76" s="543" t="s">
        <v>212</v>
      </c>
      <c r="D76" s="543" t="s">
        <v>2863</v>
      </c>
      <c r="E76" s="6" t="str">
        <f>IFERROR(INDEX(ZACATECAS!$I$7:$I$5000, MATCH(F76*1, ZACATECAS!$H$7:$H$5000, 0)), "-")</f>
        <v>ACA</v>
      </c>
      <c r="F76" s="544">
        <v>32046065</v>
      </c>
      <c r="G76" s="544" t="s">
        <v>245</v>
      </c>
      <c r="H76" s="543" t="s">
        <v>2860</v>
      </c>
      <c r="I76" s="6" t="str">
        <f>IFERROR(INDEX(ZACATECAS!$N$7:$N$5000, MATCH($F76, ZACATECAS!$H$7:$H$5000, 0)), "-")</f>
        <v>CALIDAD</v>
      </c>
    </row>
    <row r="77" spans="1:9" x14ac:dyDescent="0.3">
      <c r="A77" s="543" t="s">
        <v>2857</v>
      </c>
      <c r="B77" s="543" t="s">
        <v>2858</v>
      </c>
      <c r="C77" s="543" t="s">
        <v>212</v>
      </c>
      <c r="D77" s="543" t="s">
        <v>2863</v>
      </c>
      <c r="E77" s="6" t="str">
        <f>IFERROR(INDEX(ZACATECAS!$I$7:$I$5000, MATCH(F77*1, ZACATECAS!$H$7:$H$5000, 0)), "-")</f>
        <v>ACA</v>
      </c>
      <c r="F77" s="544">
        <v>32044927</v>
      </c>
      <c r="G77" s="544" t="s">
        <v>247</v>
      </c>
      <c r="H77" s="543" t="s">
        <v>2860</v>
      </c>
      <c r="I77" s="6" t="str">
        <f>IFERROR(INDEX(ZACATECAS!$N$7:$N$5000, MATCH($F77, ZACATECAS!$H$7:$H$5000, 0)), "-")</f>
        <v>CALIDAD</v>
      </c>
    </row>
    <row r="78" spans="1:9" x14ac:dyDescent="0.3">
      <c r="A78" s="543" t="s">
        <v>2857</v>
      </c>
      <c r="B78" s="543" t="s">
        <v>2858</v>
      </c>
      <c r="C78" s="543" t="s">
        <v>212</v>
      </c>
      <c r="D78" s="543" t="s">
        <v>2863</v>
      </c>
      <c r="E78" s="6" t="str">
        <f>IFERROR(INDEX(ZACATECAS!$I$7:$I$5000, MATCH(F78*1, ZACATECAS!$H$7:$H$5000, 0)), "-")</f>
        <v>ACA</v>
      </c>
      <c r="F78" s="544">
        <v>32054061</v>
      </c>
      <c r="G78" s="544" t="s">
        <v>249</v>
      </c>
      <c r="H78" s="543" t="s">
        <v>2860</v>
      </c>
      <c r="I78" s="6" t="str">
        <f>IFERROR(INDEX(ZACATECAS!$N$7:$N$5000, MATCH($F78, ZACATECAS!$H$7:$H$5000, 0)), "-")</f>
        <v xml:space="preserve">GESTIÓN </v>
      </c>
    </row>
    <row r="79" spans="1:9" x14ac:dyDescent="0.3">
      <c r="A79" s="543" t="s">
        <v>2857</v>
      </c>
      <c r="B79" s="543" t="s">
        <v>2858</v>
      </c>
      <c r="C79" s="543" t="s">
        <v>212</v>
      </c>
      <c r="D79" s="543" t="s">
        <v>2863</v>
      </c>
      <c r="E79" s="6" t="str">
        <f>IFERROR(INDEX(ZACATECAS!$I$7:$I$5000, MATCH(F79*1, ZACATECAS!$H$7:$H$5000, 0)), "-")</f>
        <v>ACA</v>
      </c>
      <c r="F79" s="544">
        <v>32046418</v>
      </c>
      <c r="G79" s="544" t="s">
        <v>251</v>
      </c>
      <c r="H79" s="543" t="s">
        <v>2860</v>
      </c>
      <c r="I79" s="6" t="str">
        <f>IFERROR(INDEX(ZACATECAS!$N$7:$N$5000, MATCH($F79, ZACATECAS!$H$7:$H$5000, 0)), "-")</f>
        <v>LOGÍSTICA Y SEGURIDAD</v>
      </c>
    </row>
    <row r="80" spans="1:9" x14ac:dyDescent="0.3">
      <c r="A80" s="543" t="s">
        <v>2857</v>
      </c>
      <c r="B80" s="543" t="s">
        <v>2858</v>
      </c>
      <c r="C80" s="543" t="s">
        <v>212</v>
      </c>
      <c r="D80" s="543" t="s">
        <v>2863</v>
      </c>
      <c r="E80" s="6" t="str">
        <f>IFERROR(INDEX(ZACATECAS!$I$7:$I$5000, MATCH(F80*1, ZACATECAS!$H$7:$H$5000, 0)), "-")</f>
        <v>ACA</v>
      </c>
      <c r="F80" s="544">
        <v>32044511</v>
      </c>
      <c r="G80" s="544" t="s">
        <v>254</v>
      </c>
      <c r="H80" s="543" t="s">
        <v>2860</v>
      </c>
      <c r="I80" s="6" t="str">
        <f>IFERROR(INDEX(ZACATECAS!$N$7:$N$5000, MATCH($F80, ZACATECAS!$H$7:$H$5000, 0)), "-")</f>
        <v>MANTENIMIENTO</v>
      </c>
    </row>
    <row r="81" spans="1:9" x14ac:dyDescent="0.3">
      <c r="A81" s="543" t="s">
        <v>2857</v>
      </c>
      <c r="B81" s="543" t="s">
        <v>2858</v>
      </c>
      <c r="C81" s="543" t="s">
        <v>212</v>
      </c>
      <c r="D81" s="543" t="s">
        <v>2863</v>
      </c>
      <c r="E81" s="6" t="str">
        <f>IFERROR(INDEX(ZACATECAS!$I$7:$I$5000, MATCH(F81*1, ZACATECAS!$H$7:$H$5000, 0)), "-")</f>
        <v>ACA</v>
      </c>
      <c r="F81" s="544">
        <v>32044484</v>
      </c>
      <c r="G81" s="544" t="s">
        <v>256</v>
      </c>
      <c r="H81" s="543" t="s">
        <v>2860</v>
      </c>
      <c r="I81" s="6" t="str">
        <f>IFERROR(INDEX(ZACATECAS!$N$7:$N$5000, MATCH($F81, ZACATECAS!$H$7:$H$5000, 0)), "-")</f>
        <v>MANTENIMIENTO</v>
      </c>
    </row>
    <row r="82" spans="1:9" x14ac:dyDescent="0.3">
      <c r="A82" s="543" t="s">
        <v>2857</v>
      </c>
      <c r="B82" s="543" t="s">
        <v>2858</v>
      </c>
      <c r="C82" s="543" t="s">
        <v>212</v>
      </c>
      <c r="D82" s="543" t="s">
        <v>2863</v>
      </c>
      <c r="E82" s="6" t="str">
        <f>IFERROR(INDEX(ZACATECAS!$I$7:$I$5000, MATCH(F82*1, ZACATECAS!$H$7:$H$5000, 0)), "-")</f>
        <v>ACA</v>
      </c>
      <c r="F82" s="544">
        <v>32057596</v>
      </c>
      <c r="G82" s="544" t="s">
        <v>258</v>
      </c>
      <c r="H82" s="543" t="s">
        <v>2860</v>
      </c>
      <c r="I82" s="6" t="str">
        <f>IFERROR(INDEX(ZACATECAS!$N$7:$N$5000, MATCH($F82, ZACATECAS!$H$7:$H$5000, 0)), "-")</f>
        <v>PEOPLE</v>
      </c>
    </row>
    <row r="83" spans="1:9" x14ac:dyDescent="0.3">
      <c r="A83" s="543" t="s">
        <v>2857</v>
      </c>
      <c r="B83" s="543" t="s">
        <v>2858</v>
      </c>
      <c r="C83" s="543" t="s">
        <v>212</v>
      </c>
      <c r="D83" s="543" t="s">
        <v>2863</v>
      </c>
      <c r="E83" s="6" t="str">
        <f>IFERROR(INDEX(ZACATECAS!$I$7:$I$5000, MATCH(F83*1, ZACATECAS!$H$7:$H$5000, 0)), "-")</f>
        <v>ACA</v>
      </c>
      <c r="F83" s="546">
        <v>32045500</v>
      </c>
      <c r="G83" s="544" t="s">
        <v>261</v>
      </c>
      <c r="H83" s="543" t="s">
        <v>2860</v>
      </c>
      <c r="I83" s="6" t="str">
        <f>IFERROR(INDEX(ZACATECAS!$N$7:$N$5000, MATCH($F83, ZACATECAS!$H$7:$H$5000, 0)), "-")</f>
        <v>SEGURIDAD</v>
      </c>
    </row>
    <row r="84" spans="1:9" x14ac:dyDescent="0.3">
      <c r="A84" s="543" t="s">
        <v>2857</v>
      </c>
      <c r="B84" s="543" t="s">
        <v>2858</v>
      </c>
      <c r="C84" s="543" t="s">
        <v>426</v>
      </c>
      <c r="D84" s="543" t="s">
        <v>2861</v>
      </c>
      <c r="E84" s="6" t="str">
        <f>IFERROR(INDEX(ZACATECAS!$I$7:$I$5000, MATCH(F84*1, ZACATECAS!$H$7:$H$5000, 0)), "-")</f>
        <v>-</v>
      </c>
      <c r="F84" s="544">
        <v>32147380</v>
      </c>
      <c r="G84" s="544" t="s">
        <v>386</v>
      </c>
      <c r="H84" s="543" t="s">
        <v>2344</v>
      </c>
      <c r="I84" s="6" t="str">
        <f>IFERROR(INDEX(ZACATECAS!$N$7:$N$5000, MATCH($F84, ZACATECAS!$H$7:$H$5000, 0)), "-")</f>
        <v>-</v>
      </c>
    </row>
    <row r="85" spans="1:9" x14ac:dyDescent="0.3">
      <c r="A85" s="543" t="s">
        <v>2857</v>
      </c>
      <c r="B85" s="543" t="s">
        <v>2858</v>
      </c>
      <c r="C85" s="543" t="s">
        <v>426</v>
      </c>
      <c r="D85" s="546" t="s">
        <v>2861</v>
      </c>
      <c r="E85" s="6">
        <f>IFERROR(INDEX(ZACATECAS!$I$7:$I$5000, MATCH(F85*1, ZACATECAS!$H$7:$H$5000, 0)), "-")</f>
        <v>2</v>
      </c>
      <c r="F85" s="544">
        <v>32044113</v>
      </c>
      <c r="G85" s="544" t="s">
        <v>427</v>
      </c>
      <c r="H85" s="543" t="s">
        <v>2860</v>
      </c>
      <c r="I85" s="6" t="str">
        <f>IFERROR(INDEX(ZACATECAS!$N$7:$N$5000, MATCH($F85, ZACATECAS!$H$7:$H$5000, 0)), "-")</f>
        <v>Champion Ambiental</v>
      </c>
    </row>
    <row r="86" spans="1:9" x14ac:dyDescent="0.3">
      <c r="A86" s="543" t="s">
        <v>2857</v>
      </c>
      <c r="B86" s="543" t="s">
        <v>2858</v>
      </c>
      <c r="C86" s="543" t="s">
        <v>426</v>
      </c>
      <c r="D86" s="546" t="s">
        <v>2861</v>
      </c>
      <c r="E86" s="6">
        <f>IFERROR(INDEX(ZACATECAS!$I$7:$I$5000, MATCH(F86*1, ZACATECAS!$H$7:$H$5000, 0)), "-")</f>
        <v>2</v>
      </c>
      <c r="F86" s="544">
        <v>32143041</v>
      </c>
      <c r="G86" s="544" t="s">
        <v>429</v>
      </c>
      <c r="H86" s="543" t="s">
        <v>2860</v>
      </c>
      <c r="I86" s="6" t="str">
        <f>IFERROR(INDEX(ZACATECAS!$N$7:$N$5000, MATCH($F86, ZACATECAS!$H$7:$H$5000, 0)), "-")</f>
        <v>Champion Mantenimiento</v>
      </c>
    </row>
    <row r="87" spans="1:9" x14ac:dyDescent="0.3">
      <c r="A87" s="543" t="s">
        <v>2857</v>
      </c>
      <c r="B87" s="543" t="s">
        <v>2858</v>
      </c>
      <c r="C87" s="543" t="s">
        <v>426</v>
      </c>
      <c r="D87" s="546" t="s">
        <v>2861</v>
      </c>
      <c r="E87" s="6">
        <f>IFERROR(INDEX(ZACATECAS!$I$7:$I$5000, MATCH(F87*1, ZACATECAS!$H$7:$H$5000, 0)), "-")</f>
        <v>2</v>
      </c>
      <c r="F87" s="544">
        <v>32148618</v>
      </c>
      <c r="G87" s="544" t="s">
        <v>430</v>
      </c>
      <c r="H87" s="543" t="s">
        <v>2860</v>
      </c>
      <c r="I87" s="6" t="str">
        <f>IFERROR(INDEX(ZACATECAS!$N$7:$N$5000, MATCH($F87, ZACATECAS!$H$7:$H$5000, 0)), "-")</f>
        <v>Champion Seguridad</v>
      </c>
    </row>
    <row r="88" spans="1:9" x14ac:dyDescent="0.3">
      <c r="A88" s="543" t="s">
        <v>2857</v>
      </c>
      <c r="B88" s="543" t="s">
        <v>2858</v>
      </c>
      <c r="C88" s="543" t="s">
        <v>426</v>
      </c>
      <c r="D88" s="546" t="s">
        <v>2861</v>
      </c>
      <c r="E88" s="6">
        <f>IFERROR(INDEX(ZACATECAS!$I$7:$I$5000, MATCH(F88*1, ZACATECAS!$H$7:$H$5000, 0)), "-")</f>
        <v>2</v>
      </c>
      <c r="F88" s="544">
        <v>32044609</v>
      </c>
      <c r="G88" s="544" t="s">
        <v>431</v>
      </c>
      <c r="H88" s="543" t="s">
        <v>2860</v>
      </c>
      <c r="I88" s="6" t="str">
        <f>IFERROR(INDEX(ZACATECAS!$N$7:$N$5000, MATCH($F88, ZACATECAS!$H$7:$H$5000, 0)), "-")</f>
        <v>Champion Calidad</v>
      </c>
    </row>
    <row r="89" spans="1:9" x14ac:dyDescent="0.3">
      <c r="A89" s="543" t="s">
        <v>2857</v>
      </c>
      <c r="B89" s="543" t="s">
        <v>2858</v>
      </c>
      <c r="C89" s="543" t="s">
        <v>426</v>
      </c>
      <c r="D89" s="546" t="s">
        <v>2861</v>
      </c>
      <c r="E89" s="6">
        <f>IFERROR(INDEX(ZACATECAS!$I$7:$I$5000, MATCH(F89*1, ZACATECAS!$H$7:$H$5000, 0)), "-")</f>
        <v>2</v>
      </c>
      <c r="F89" s="544">
        <v>32188131</v>
      </c>
      <c r="G89" s="544" t="s">
        <v>433</v>
      </c>
      <c r="H89" s="543" t="s">
        <v>2860</v>
      </c>
      <c r="I89" s="6" t="str">
        <f>IFERROR(INDEX(ZACATECAS!$N$7:$N$5000, MATCH($F89, ZACATECAS!$H$7:$H$5000, 0)), "-")</f>
        <v>Champion Gente</v>
      </c>
    </row>
    <row r="90" spans="1:9" x14ac:dyDescent="0.3">
      <c r="A90" s="543" t="s">
        <v>2857</v>
      </c>
      <c r="B90" s="543" t="s">
        <v>2858</v>
      </c>
      <c r="C90" s="543" t="s">
        <v>4</v>
      </c>
      <c r="D90" s="543" t="s">
        <v>2864</v>
      </c>
      <c r="E90" s="6" t="str">
        <f>IFERROR(INDEX(ZACATECAS!$I$7:$I$5000, MATCH(F90*1, ZACATECAS!$H$7:$H$5000, 0)), "-")</f>
        <v>-</v>
      </c>
      <c r="F90" s="544">
        <v>32110715</v>
      </c>
      <c r="G90" s="544" t="s">
        <v>1992</v>
      </c>
      <c r="H90" s="543" t="s">
        <v>2344</v>
      </c>
      <c r="I90" s="6" t="str">
        <f>IFERROR(INDEX(ZACATECAS!$N$7:$N$5000, MATCH($F90, ZACATECAS!$H$7:$H$5000, 0)), "-")</f>
        <v>-</v>
      </c>
    </row>
    <row r="91" spans="1:9" x14ac:dyDescent="0.3">
      <c r="A91" s="543" t="s">
        <v>2857</v>
      </c>
      <c r="B91" s="543" t="s">
        <v>2858</v>
      </c>
      <c r="C91" s="543" t="s">
        <v>4</v>
      </c>
      <c r="D91" s="543" t="s">
        <v>2864</v>
      </c>
      <c r="E91" s="6" t="str">
        <f>IFERROR(INDEX(ZACATECAS!$I$7:$I$5000, MATCH(F91*1, ZACATECAS!$H$7:$H$5000, 0)), "-")</f>
        <v>TRATOS DE AGUA</v>
      </c>
      <c r="F91" s="544">
        <v>32043758</v>
      </c>
      <c r="G91" s="544" t="s">
        <v>1994</v>
      </c>
      <c r="H91" s="543" t="s">
        <v>2860</v>
      </c>
      <c r="I91" s="6" t="str">
        <f>IFERROR(INDEX(ZACATECAS!$N$7:$N$5000, MATCH($F91, ZACATECAS!$H$7:$H$5000, 0)), "-")</f>
        <v>CHAMPION AMBIENTAL</v>
      </c>
    </row>
    <row r="92" spans="1:9" x14ac:dyDescent="0.3">
      <c r="A92" s="543" t="s">
        <v>2857</v>
      </c>
      <c r="B92" s="543" t="s">
        <v>2858</v>
      </c>
      <c r="C92" s="543" t="s">
        <v>4</v>
      </c>
      <c r="D92" s="543" t="s">
        <v>2864</v>
      </c>
      <c r="E92" s="6" t="str">
        <f>IFERROR(INDEX(ZACATECAS!$I$7:$I$5000, MATCH(F92*1, ZACATECAS!$H$7:$H$5000, 0)), "-")</f>
        <v>TRATOS DE AGUA</v>
      </c>
      <c r="F92" s="544">
        <v>32045388</v>
      </c>
      <c r="G92" s="544" t="s">
        <v>1996</v>
      </c>
      <c r="H92" s="543" t="s">
        <v>2860</v>
      </c>
      <c r="I92" s="6" t="str">
        <f>IFERROR(INDEX(ZACATECAS!$N$7:$N$5000, MATCH($F92, ZACATECAS!$H$7:$H$5000, 0)), "-")</f>
        <v>CHAMPION CALIDAD</v>
      </c>
    </row>
    <row r="93" spans="1:9" x14ac:dyDescent="0.3">
      <c r="A93" s="543" t="s">
        <v>2857</v>
      </c>
      <c r="B93" s="543" t="s">
        <v>2858</v>
      </c>
      <c r="C93" s="543" t="s">
        <v>4</v>
      </c>
      <c r="D93" s="543" t="s">
        <v>2864</v>
      </c>
      <c r="E93" s="6" t="str">
        <f>IFERROR(INDEX(ZACATECAS!$I$7:$I$5000, MATCH(F93*1, ZACATECAS!$H$7:$H$5000, 0)), "-")</f>
        <v>TRATOS DE AGUA</v>
      </c>
      <c r="F93" s="544">
        <v>32045383</v>
      </c>
      <c r="G93" s="544" t="s">
        <v>1998</v>
      </c>
      <c r="H93" s="543" t="s">
        <v>2860</v>
      </c>
      <c r="I93" s="6" t="str">
        <f>IFERROR(INDEX(ZACATECAS!$N$7:$N$5000, MATCH($F93, ZACATECAS!$H$7:$H$5000, 0)), "-")</f>
        <v>CHAMPION SEGURIDAD</v>
      </c>
    </row>
    <row r="94" spans="1:9" x14ac:dyDescent="0.3">
      <c r="A94" s="543" t="s">
        <v>2857</v>
      </c>
      <c r="B94" s="543" t="s">
        <v>2858</v>
      </c>
      <c r="C94" s="543" t="s">
        <v>4</v>
      </c>
      <c r="D94" s="543" t="s">
        <v>2864</v>
      </c>
      <c r="E94" s="6" t="str">
        <f>IFERROR(INDEX(ZACATECAS!$I$7:$I$5000, MATCH(F94*1, ZACATECAS!$H$7:$H$5000, 0)), "-")</f>
        <v>TRATOS DE AGUA</v>
      </c>
      <c r="F94" s="544">
        <v>32045143</v>
      </c>
      <c r="G94" s="544" t="s">
        <v>2000</v>
      </c>
      <c r="H94" s="543" t="s">
        <v>2860</v>
      </c>
      <c r="I94" s="6" t="str">
        <f>IFERROR(INDEX(ZACATECAS!$N$7:$N$5000, MATCH($F94, ZACATECAS!$H$7:$H$5000, 0)), "-")</f>
        <v>CHAMPION MANTENIMIENTO</v>
      </c>
    </row>
    <row r="95" spans="1:9" x14ac:dyDescent="0.3">
      <c r="A95" s="543" t="s">
        <v>2857</v>
      </c>
      <c r="B95" s="543" t="s">
        <v>2858</v>
      </c>
      <c r="C95" s="543" t="s">
        <v>1236</v>
      </c>
      <c r="D95" s="546" t="s">
        <v>2861</v>
      </c>
      <c r="E95" s="6" t="str">
        <f>IFERROR(INDEX(ZACATECAS!$I$7:$I$5000, MATCH(F95*1, ZACATECAS!$H$7:$H$5000, 0)), "-")</f>
        <v>-</v>
      </c>
      <c r="F95" s="544">
        <v>32143096</v>
      </c>
      <c r="G95" s="544" t="s">
        <v>2522</v>
      </c>
      <c r="H95" s="543" t="s">
        <v>2344</v>
      </c>
      <c r="I95" s="6" t="str">
        <f>IFERROR(INDEX(ZACATECAS!$N$7:$N$5000, MATCH($F95, ZACATECAS!$H$7:$H$5000, 0)), "-")</f>
        <v>-</v>
      </c>
    </row>
    <row r="96" spans="1:9" x14ac:dyDescent="0.3">
      <c r="A96" s="543" t="s">
        <v>2857</v>
      </c>
      <c r="B96" s="543" t="s">
        <v>2858</v>
      </c>
      <c r="C96" s="543" t="s">
        <v>1236</v>
      </c>
      <c r="D96" s="546" t="s">
        <v>2861</v>
      </c>
      <c r="E96" s="6">
        <f>IFERROR(INDEX(ZACATECAS!$I$7:$I$5000, MATCH(F96*1, ZACATECAS!$H$7:$H$5000, 0)), "-")</f>
        <v>13</v>
      </c>
      <c r="F96" s="544">
        <v>32044243</v>
      </c>
      <c r="G96" s="544" t="s">
        <v>1239</v>
      </c>
      <c r="H96" s="543" t="s">
        <v>2860</v>
      </c>
      <c r="I96" s="6" t="str">
        <f>IFERROR(INDEX(ZACATECAS!$N$7:$N$5000, MATCH($F96, ZACATECAS!$H$7:$H$5000, 0)), "-")</f>
        <v>APOYO GESTION</v>
      </c>
    </row>
    <row r="97" spans="1:9" x14ac:dyDescent="0.3">
      <c r="A97" s="543" t="s">
        <v>2857</v>
      </c>
      <c r="B97" s="543" t="s">
        <v>2858</v>
      </c>
      <c r="C97" s="543" t="s">
        <v>1236</v>
      </c>
      <c r="D97" s="546" t="s">
        <v>2861</v>
      </c>
      <c r="E97" s="6">
        <f>IFERROR(INDEX(ZACATECAS!$I$7:$I$5000, MATCH(F97*1, ZACATECAS!$H$7:$H$5000, 0)), "-")</f>
        <v>13</v>
      </c>
      <c r="F97" s="544">
        <v>32044487</v>
      </c>
      <c r="G97" s="544" t="s">
        <v>1241</v>
      </c>
      <c r="H97" s="543" t="s">
        <v>2860</v>
      </c>
      <c r="I97" s="6" t="str">
        <f>IFERROR(INDEX(ZACATECAS!$N$7:$N$5000, MATCH($F97, ZACATECAS!$H$7:$H$5000, 0)), "-")</f>
        <v>APOYO CALIDAD</v>
      </c>
    </row>
    <row r="98" spans="1:9" x14ac:dyDescent="0.3">
      <c r="A98" s="543" t="s">
        <v>2857</v>
      </c>
      <c r="B98" s="543" t="s">
        <v>2858</v>
      </c>
      <c r="C98" s="543" t="s">
        <v>1236</v>
      </c>
      <c r="D98" s="546" t="s">
        <v>2861</v>
      </c>
      <c r="E98" s="6">
        <f>IFERROR(INDEX(ZACATECAS!$I$7:$I$5000, MATCH(F98*1, ZACATECAS!$H$7:$H$5000, 0)), "-")</f>
        <v>13</v>
      </c>
      <c r="F98" s="544">
        <v>32044722</v>
      </c>
      <c r="G98" s="544" t="s">
        <v>1243</v>
      </c>
      <c r="H98" s="543" t="s">
        <v>2860</v>
      </c>
      <c r="I98" s="6" t="str">
        <f>IFERROR(INDEX(ZACATECAS!$N$7:$N$5000, MATCH($F98, ZACATECAS!$H$7:$H$5000, 0)), "-")</f>
        <v xml:space="preserve">APOYO GENTE </v>
      </c>
    </row>
    <row r="99" spans="1:9" x14ac:dyDescent="0.3">
      <c r="A99" s="543" t="s">
        <v>2857</v>
      </c>
      <c r="B99" s="543" t="s">
        <v>2858</v>
      </c>
      <c r="C99" s="543" t="s">
        <v>1236</v>
      </c>
      <c r="D99" s="546" t="s">
        <v>2861</v>
      </c>
      <c r="E99" s="6">
        <f>IFERROR(INDEX(ZACATECAS!$I$7:$I$5000, MATCH(F99*1, ZACATECAS!$H$7:$H$5000, 0)), "-")</f>
        <v>13</v>
      </c>
      <c r="F99" s="544">
        <v>32044993</v>
      </c>
      <c r="G99" s="544" t="s">
        <v>1246</v>
      </c>
      <c r="H99" s="543" t="s">
        <v>2860</v>
      </c>
      <c r="I99" s="6" t="str">
        <f>IFERROR(INDEX(ZACATECAS!$N$7:$N$5000, MATCH($F99, ZACATECAS!$H$7:$H$5000, 0)), "-")</f>
        <v>CHAMPION GENTE</v>
      </c>
    </row>
    <row r="100" spans="1:9" x14ac:dyDescent="0.3">
      <c r="A100" s="543" t="s">
        <v>2857</v>
      </c>
      <c r="B100" s="543" t="s">
        <v>2858</v>
      </c>
      <c r="C100" s="543" t="s">
        <v>1236</v>
      </c>
      <c r="D100" s="546" t="s">
        <v>2861</v>
      </c>
      <c r="E100" s="6">
        <f>IFERROR(INDEX(ZACATECAS!$I$7:$I$5000, MATCH(F100*1, ZACATECAS!$H$7:$H$5000, 0)), "-")</f>
        <v>13</v>
      </c>
      <c r="F100" s="544">
        <v>32045601</v>
      </c>
      <c r="G100" s="544" t="s">
        <v>1248</v>
      </c>
      <c r="H100" s="543" t="s">
        <v>2860</v>
      </c>
      <c r="I100" s="6" t="str">
        <f>IFERROR(INDEX(ZACATECAS!$N$7:$N$5000, MATCH($F100, ZACATECAS!$H$7:$H$5000, 0)), "-")</f>
        <v>CHAMPION MANTENIMIENTO</v>
      </c>
    </row>
    <row r="101" spans="1:9" x14ac:dyDescent="0.3">
      <c r="A101" s="543" t="s">
        <v>2857</v>
      </c>
      <c r="B101" s="543" t="s">
        <v>2858</v>
      </c>
      <c r="C101" s="543" t="s">
        <v>1236</v>
      </c>
      <c r="D101" s="546" t="s">
        <v>2861</v>
      </c>
      <c r="E101" s="6">
        <f>IFERROR(INDEX(ZACATECAS!$I$7:$I$5000, MATCH(F101*1, ZACATECAS!$H$7:$H$5000, 0)), "-")</f>
        <v>13</v>
      </c>
      <c r="F101" s="544">
        <v>32045798</v>
      </c>
      <c r="G101" s="544" t="s">
        <v>1250</v>
      </c>
      <c r="H101" s="543" t="s">
        <v>2860</v>
      </c>
      <c r="I101" s="6" t="str">
        <f>IFERROR(INDEX(ZACATECAS!$N$7:$N$5000, MATCH($F101, ZACATECAS!$H$7:$H$5000, 0)), "-")</f>
        <v>APOYO SEGURIDAD</v>
      </c>
    </row>
    <row r="102" spans="1:9" x14ac:dyDescent="0.3">
      <c r="A102" s="543" t="s">
        <v>2857</v>
      </c>
      <c r="B102" s="543" t="s">
        <v>2858</v>
      </c>
      <c r="C102" s="543" t="s">
        <v>1236</v>
      </c>
      <c r="D102" s="546" t="s">
        <v>2861</v>
      </c>
      <c r="E102" s="6">
        <f>IFERROR(INDEX(ZACATECAS!$I$7:$I$5000, MATCH(F102*1, ZACATECAS!$H$7:$H$5000, 0)), "-")</f>
        <v>13</v>
      </c>
      <c r="F102" s="544">
        <v>32067154</v>
      </c>
      <c r="G102" s="544" t="s">
        <v>1252</v>
      </c>
      <c r="H102" s="543" t="s">
        <v>2860</v>
      </c>
      <c r="I102" s="6" t="str">
        <f>IFERROR(INDEX(ZACATECAS!$N$7:$N$5000, MATCH($F102, ZACATECAS!$H$7:$H$5000, 0)), "-")</f>
        <v>APOYO AMBIENTAL</v>
      </c>
    </row>
    <row r="103" spans="1:9" x14ac:dyDescent="0.3">
      <c r="A103" s="543" t="s">
        <v>2857</v>
      </c>
      <c r="B103" s="543" t="s">
        <v>2858</v>
      </c>
      <c r="C103" s="543" t="s">
        <v>1236</v>
      </c>
      <c r="D103" s="546" t="s">
        <v>2861</v>
      </c>
      <c r="E103" s="6">
        <f>IFERROR(INDEX(ZACATECAS!$I$7:$I$5000, MATCH(F103*1, ZACATECAS!$H$7:$H$5000, 0)), "-")</f>
        <v>13</v>
      </c>
      <c r="F103" s="544">
        <v>32111144</v>
      </c>
      <c r="G103" s="544" t="s">
        <v>1254</v>
      </c>
      <c r="H103" s="543" t="s">
        <v>2860</v>
      </c>
      <c r="I103" s="6" t="str">
        <f>IFERROR(INDEX(ZACATECAS!$N$7:$N$5000, MATCH($F103, ZACATECAS!$H$7:$H$5000, 0)), "-")</f>
        <v>GESTION</v>
      </c>
    </row>
    <row r="104" spans="1:9" x14ac:dyDescent="0.3">
      <c r="A104" s="543" t="s">
        <v>2857</v>
      </c>
      <c r="B104" s="543" t="s">
        <v>2858</v>
      </c>
      <c r="C104" s="543" t="s">
        <v>1236</v>
      </c>
      <c r="D104" s="546" t="s">
        <v>2861</v>
      </c>
      <c r="E104" s="6">
        <f>IFERROR(INDEX(ZACATECAS!$I$7:$I$5000, MATCH(F104*1, ZACATECAS!$H$7:$H$5000, 0)), "-")</f>
        <v>13</v>
      </c>
      <c r="F104" s="544">
        <v>32132047</v>
      </c>
      <c r="G104" s="544" t="s">
        <v>1256</v>
      </c>
      <c r="H104" s="543" t="s">
        <v>2860</v>
      </c>
      <c r="I104" s="6" t="str">
        <f>IFERROR(INDEX(ZACATECAS!$N$7:$N$5000, MATCH($F104, ZACATECAS!$H$7:$H$5000, 0)), "-")</f>
        <v>APOYO MANTENIMIENTO</v>
      </c>
    </row>
    <row r="105" spans="1:9" x14ac:dyDescent="0.3">
      <c r="A105" s="543" t="s">
        <v>2857</v>
      </c>
      <c r="B105" s="543" t="s">
        <v>2858</v>
      </c>
      <c r="C105" s="543" t="s">
        <v>1236</v>
      </c>
      <c r="D105" s="546" t="s">
        <v>2861</v>
      </c>
      <c r="E105" s="6">
        <f>IFERROR(INDEX(ZACATECAS!$I$7:$I$5000, MATCH(F105*1, ZACATECAS!$H$7:$H$5000, 0)), "-")</f>
        <v>13</v>
      </c>
      <c r="F105" s="544">
        <v>32132604</v>
      </c>
      <c r="G105" s="544" t="s">
        <v>1258</v>
      </c>
      <c r="H105" s="543" t="s">
        <v>2860</v>
      </c>
      <c r="I105" s="6" t="str">
        <f>IFERROR(INDEX(ZACATECAS!$N$7:$N$5000, MATCH($F105, ZACATECAS!$H$7:$H$5000, 0)), "-")</f>
        <v>CHAMPION CALIDAD</v>
      </c>
    </row>
    <row r="106" spans="1:9" x14ac:dyDescent="0.3">
      <c r="A106" s="543" t="s">
        <v>2857</v>
      </c>
      <c r="B106" s="543" t="s">
        <v>2858</v>
      </c>
      <c r="C106" s="543" t="s">
        <v>1236</v>
      </c>
      <c r="D106" s="546" t="s">
        <v>2861</v>
      </c>
      <c r="E106" s="6">
        <f>IFERROR(INDEX(ZACATECAS!$I$7:$I$5000, MATCH(F106*1, ZACATECAS!$H$7:$H$5000, 0)), "-")</f>
        <v>13</v>
      </c>
      <c r="F106" s="544">
        <v>32186050</v>
      </c>
      <c r="G106" s="544" t="s">
        <v>1260</v>
      </c>
      <c r="H106" s="543" t="s">
        <v>2860</v>
      </c>
      <c r="I106" s="6" t="str">
        <f>IFERROR(INDEX(ZACATECAS!$N$7:$N$5000, MATCH($F106, ZACATECAS!$H$7:$H$5000, 0)), "-")</f>
        <v>CHAMPION AMBIENTAL</v>
      </c>
    </row>
    <row r="107" spans="1:9" x14ac:dyDescent="0.3">
      <c r="A107" s="543" t="s">
        <v>2857</v>
      </c>
      <c r="B107" s="543" t="s">
        <v>2858</v>
      </c>
      <c r="C107" s="543" t="s">
        <v>1236</v>
      </c>
      <c r="D107" s="546" t="s">
        <v>2861</v>
      </c>
      <c r="E107" s="6">
        <f>IFERROR(INDEX(ZACATECAS!$I$7:$I$5000, MATCH(F107*1, ZACATECAS!$H$7:$H$5000, 0)), "-")</f>
        <v>13</v>
      </c>
      <c r="F107" s="544">
        <v>32197873</v>
      </c>
      <c r="G107" s="544" t="s">
        <v>1262</v>
      </c>
      <c r="H107" s="543" t="s">
        <v>2860</v>
      </c>
      <c r="I107" s="6" t="str">
        <f>IFERROR(INDEX(ZACATECAS!$N$7:$N$5000, MATCH($F107, ZACATECAS!$H$7:$H$5000, 0)), "-")</f>
        <v>APOYO SEGURIDAD</v>
      </c>
    </row>
    <row r="108" spans="1:9" x14ac:dyDescent="0.3">
      <c r="A108" s="543" t="s">
        <v>2857</v>
      </c>
      <c r="B108" s="543" t="s">
        <v>2858</v>
      </c>
      <c r="C108" s="543" t="s">
        <v>514</v>
      </c>
      <c r="D108" s="546" t="s">
        <v>2861</v>
      </c>
      <c r="E108" s="6" t="str">
        <f>IFERROR(INDEX(ZACATECAS!$I$7:$I$5000, MATCH(F108*1, ZACATECAS!$H$7:$H$5000, 0)), "-")</f>
        <v>-</v>
      </c>
      <c r="F108" s="544">
        <v>32148105</v>
      </c>
      <c r="G108" s="544" t="s">
        <v>515</v>
      </c>
      <c r="H108" s="543" t="s">
        <v>2344</v>
      </c>
      <c r="I108" s="6" t="str">
        <f>IFERROR(INDEX(ZACATECAS!$N$7:$N$5000, MATCH($F108, ZACATECAS!$H$7:$H$5000, 0)), "-")</f>
        <v>-</v>
      </c>
    </row>
    <row r="109" spans="1:9" x14ac:dyDescent="0.3">
      <c r="A109" s="543" t="s">
        <v>2857</v>
      </c>
      <c r="B109" s="543" t="s">
        <v>2858</v>
      </c>
      <c r="C109" s="543" t="s">
        <v>514</v>
      </c>
      <c r="D109" s="546" t="s">
        <v>2861</v>
      </c>
      <c r="E109" s="6">
        <f>IFERROR(INDEX(ZACATECAS!$I$7:$I$5000, MATCH(F109*1, ZACATECAS!$H$7:$H$5000, 0)), "-")</f>
        <v>4</v>
      </c>
      <c r="F109" s="544">
        <v>32044684</v>
      </c>
      <c r="G109" s="544" t="s">
        <v>517</v>
      </c>
      <c r="H109" s="543" t="s">
        <v>2860</v>
      </c>
      <c r="I109" s="6" t="str">
        <f>IFERROR(INDEX(ZACATECAS!$N$7:$N$5000, MATCH($F109, ZACATECAS!$H$7:$H$5000, 0)), "-")</f>
        <v>CHAMPION DE LOGISTICA</v>
      </c>
    </row>
    <row r="110" spans="1:9" x14ac:dyDescent="0.3">
      <c r="A110" s="543" t="s">
        <v>2857</v>
      </c>
      <c r="B110" s="543" t="s">
        <v>2858</v>
      </c>
      <c r="C110" s="543" t="s">
        <v>514</v>
      </c>
      <c r="D110" s="546" t="s">
        <v>2861</v>
      </c>
      <c r="E110" s="6">
        <f>IFERROR(INDEX(ZACATECAS!$I$7:$I$5000, MATCH(F110*1, ZACATECAS!$H$7:$H$5000, 0)), "-")</f>
        <v>4</v>
      </c>
      <c r="F110" s="544">
        <v>32046030</v>
      </c>
      <c r="G110" s="544" t="s">
        <v>528</v>
      </c>
      <c r="H110" s="543" t="s">
        <v>2860</v>
      </c>
      <c r="I110" s="6" t="str">
        <f>IFERROR(INDEX(ZACATECAS!$N$7:$N$5000, MATCH($F110, ZACATECAS!$H$7:$H$5000, 0)), "-")</f>
        <v>CHAMPION DE AMBIENTAL</v>
      </c>
    </row>
    <row r="111" spans="1:9" x14ac:dyDescent="0.3">
      <c r="A111" s="543" t="s">
        <v>2857</v>
      </c>
      <c r="B111" s="543" t="s">
        <v>2858</v>
      </c>
      <c r="C111" s="543" t="s">
        <v>514</v>
      </c>
      <c r="D111" s="546" t="s">
        <v>2861</v>
      </c>
      <c r="E111" s="6">
        <f>IFERROR(INDEX(ZACATECAS!$I$7:$I$5000, MATCH(F111*1, ZACATECAS!$H$7:$H$5000, 0)), "-")</f>
        <v>4</v>
      </c>
      <c r="F111" s="544">
        <v>32071028</v>
      </c>
      <c r="G111" s="544" t="s">
        <v>537</v>
      </c>
      <c r="H111" s="543" t="s">
        <v>2860</v>
      </c>
      <c r="I111" s="6" t="str">
        <f>IFERROR(INDEX(ZACATECAS!$N$7:$N$5000, MATCH($F111, ZACATECAS!$H$7:$H$5000, 0)), "-")</f>
        <v>CHAMPION MANTENIMIENTO</v>
      </c>
    </row>
    <row r="112" spans="1:9" x14ac:dyDescent="0.3">
      <c r="A112" s="543" t="s">
        <v>2857</v>
      </c>
      <c r="B112" s="543" t="s">
        <v>2858</v>
      </c>
      <c r="C112" s="543" t="s">
        <v>514</v>
      </c>
      <c r="D112" s="546" t="s">
        <v>2861</v>
      </c>
      <c r="E112" s="6">
        <f>IFERROR(INDEX(ZACATECAS!$I$7:$I$5000, MATCH(F112*1, ZACATECAS!$H$7:$H$5000, 0)), "-")</f>
        <v>4</v>
      </c>
      <c r="F112" s="544">
        <v>32132058</v>
      </c>
      <c r="G112" s="544" t="s">
        <v>542</v>
      </c>
      <c r="H112" s="543" t="s">
        <v>2860</v>
      </c>
      <c r="I112" s="6" t="str">
        <f>IFERROR(INDEX(ZACATECAS!$N$7:$N$5000, MATCH($F112, ZACATECAS!$H$7:$H$5000, 0)), "-")</f>
        <v xml:space="preserve">APOYO MANTENIMIENTO </v>
      </c>
    </row>
    <row r="113" spans="1:9" x14ac:dyDescent="0.3">
      <c r="A113" s="543" t="s">
        <v>2857</v>
      </c>
      <c r="B113" s="543" t="s">
        <v>2858</v>
      </c>
      <c r="C113" s="543" t="s">
        <v>514</v>
      </c>
      <c r="D113" s="546" t="s">
        <v>2861</v>
      </c>
      <c r="E113" s="6">
        <f>IFERROR(INDEX(ZACATECAS!$I$7:$I$5000, MATCH(F113*1, ZACATECAS!$H$7:$H$5000, 0)), "-")</f>
        <v>4</v>
      </c>
      <c r="F113" s="544">
        <v>32142779</v>
      </c>
      <c r="G113" s="544" t="s">
        <v>545</v>
      </c>
      <c r="H113" s="543" t="s">
        <v>2860</v>
      </c>
      <c r="I113" s="6" t="str">
        <f>IFERROR(INDEX(ZACATECAS!$N$7:$N$5000, MATCH($F113, ZACATECAS!$H$7:$H$5000, 0)), "-")</f>
        <v xml:space="preserve">CHAMPION DE GENTE </v>
      </c>
    </row>
    <row r="114" spans="1:9" x14ac:dyDescent="0.3">
      <c r="A114" s="543" t="s">
        <v>2857</v>
      </c>
      <c r="B114" s="543" t="s">
        <v>2858</v>
      </c>
      <c r="C114" s="543" t="s">
        <v>364</v>
      </c>
      <c r="D114" s="546" t="s">
        <v>2861</v>
      </c>
      <c r="E114" s="6" t="str">
        <f>IFERROR(INDEX(ZACATECAS!$I$7:$I$5000, MATCH(F114*1, ZACATECAS!$H$7:$H$5000, 0)), "-")</f>
        <v>-</v>
      </c>
      <c r="F114" s="544">
        <v>32046689</v>
      </c>
      <c r="G114" s="544" t="s">
        <v>365</v>
      </c>
      <c r="H114" s="543" t="s">
        <v>2344</v>
      </c>
      <c r="I114" s="6" t="str">
        <f>IFERROR(INDEX(ZACATECAS!$N$7:$N$5000, MATCH($F114, ZACATECAS!$H$7:$H$5000, 0)), "-")</f>
        <v>-</v>
      </c>
    </row>
    <row r="115" spans="1:9" x14ac:dyDescent="0.3">
      <c r="A115" s="543" t="s">
        <v>2857</v>
      </c>
      <c r="B115" s="543" t="s">
        <v>2858</v>
      </c>
      <c r="C115" s="543" t="s">
        <v>364</v>
      </c>
      <c r="D115" s="546" t="s">
        <v>2861</v>
      </c>
      <c r="E115" s="6">
        <f>IFERROR(INDEX(ZACATECAS!$I$7:$I$5000, MATCH(F115*1, ZACATECAS!$H$7:$H$5000, 0)), "-")</f>
        <v>1</v>
      </c>
      <c r="F115" s="544">
        <v>32067736</v>
      </c>
      <c r="G115" s="544" t="s">
        <v>367</v>
      </c>
      <c r="H115" s="543" t="s">
        <v>2860</v>
      </c>
      <c r="I115" s="6" t="str">
        <f>IFERROR(INDEX(ZACATECAS!$N$7:$N$5000, MATCH($F115, ZACATECAS!$H$7:$H$5000, 0)), "-")</f>
        <v>Champion Calidad</v>
      </c>
    </row>
    <row r="116" spans="1:9" x14ac:dyDescent="0.3">
      <c r="A116" s="543" t="s">
        <v>2857</v>
      </c>
      <c r="B116" s="543" t="s">
        <v>2858</v>
      </c>
      <c r="C116" s="543" t="s">
        <v>364</v>
      </c>
      <c r="D116" s="546" t="s">
        <v>2861</v>
      </c>
      <c r="E116" s="6">
        <f>IFERROR(INDEX(ZACATECAS!$I$7:$I$5000, MATCH(F116*1, ZACATECAS!$H$7:$H$5000, 0)), "-")</f>
        <v>1</v>
      </c>
      <c r="F116" s="544">
        <v>32046175</v>
      </c>
      <c r="G116" s="544" t="s">
        <v>370</v>
      </c>
      <c r="H116" s="543" t="s">
        <v>2860</v>
      </c>
      <c r="I116" s="6" t="str">
        <f>IFERROR(INDEX(ZACATECAS!$N$7:$N$5000, MATCH($F116, ZACATECAS!$H$7:$H$5000, 0)), "-")</f>
        <v>Champion Mantenimiento</v>
      </c>
    </row>
    <row r="117" spans="1:9" x14ac:dyDescent="0.3">
      <c r="A117" s="543" t="s">
        <v>2857</v>
      </c>
      <c r="B117" s="543" t="s">
        <v>2858</v>
      </c>
      <c r="C117" s="543" t="s">
        <v>364</v>
      </c>
      <c r="D117" s="546" t="s">
        <v>2861</v>
      </c>
      <c r="E117" s="6">
        <f>IFERROR(INDEX(ZACATECAS!$I$7:$I$5000, MATCH(F117*1, ZACATECAS!$H$7:$H$5000, 0)), "-")</f>
        <v>1</v>
      </c>
      <c r="F117" s="544">
        <v>32046354</v>
      </c>
      <c r="G117" s="544" t="s">
        <v>373</v>
      </c>
      <c r="H117" s="543" t="s">
        <v>2860</v>
      </c>
      <c r="I117" s="6" t="str">
        <f>IFERROR(INDEX(ZACATECAS!$N$7:$N$5000, MATCH($F117, ZACATECAS!$H$7:$H$5000, 0)), "-")</f>
        <v>Champion Gestión</v>
      </c>
    </row>
    <row r="118" spans="1:9" x14ac:dyDescent="0.3">
      <c r="A118" s="543" t="s">
        <v>2857</v>
      </c>
      <c r="B118" s="543" t="s">
        <v>2858</v>
      </c>
      <c r="C118" s="543" t="s">
        <v>364</v>
      </c>
      <c r="D118" s="546" t="s">
        <v>2861</v>
      </c>
      <c r="E118" s="6">
        <f>IFERROR(INDEX(ZACATECAS!$I$7:$I$5000, MATCH(F118*1, ZACATECAS!$H$7:$H$5000, 0)), "-")</f>
        <v>1</v>
      </c>
      <c r="F118" s="544">
        <v>32136855</v>
      </c>
      <c r="G118" s="544" t="s">
        <v>376</v>
      </c>
      <c r="H118" s="543" t="s">
        <v>2860</v>
      </c>
      <c r="I118" s="6" t="str">
        <f>IFERROR(INDEX(ZACATECAS!$N$7:$N$5000, MATCH($F118, ZACATECAS!$H$7:$H$5000, 0)), "-")</f>
        <v>Champion Seguridad</v>
      </c>
    </row>
    <row r="119" spans="1:9" x14ac:dyDescent="0.3">
      <c r="A119" s="543" t="s">
        <v>2857</v>
      </c>
      <c r="B119" s="543" t="s">
        <v>2858</v>
      </c>
      <c r="C119" s="543" t="s">
        <v>364</v>
      </c>
      <c r="D119" s="546" t="s">
        <v>2861</v>
      </c>
      <c r="E119" s="6">
        <f>IFERROR(INDEX(ZACATECAS!$I$7:$I$5000, MATCH(F119*1, ZACATECAS!$H$7:$H$5000, 0)), "-")</f>
        <v>1</v>
      </c>
      <c r="F119" s="544">
        <v>32057054</v>
      </c>
      <c r="G119" s="544" t="s">
        <v>379</v>
      </c>
      <c r="H119" s="543" t="s">
        <v>2860</v>
      </c>
      <c r="I119" s="6" t="str">
        <f>IFERROR(INDEX(ZACATECAS!$N$7:$N$5000, MATCH($F119, ZACATECAS!$H$7:$H$5000, 0)), "-")</f>
        <v>Champion Ambiental</v>
      </c>
    </row>
    <row r="120" spans="1:9" x14ac:dyDescent="0.3">
      <c r="A120" s="543" t="s">
        <v>2857</v>
      </c>
      <c r="B120" s="543" t="s">
        <v>2858</v>
      </c>
      <c r="C120" s="543" t="s">
        <v>364</v>
      </c>
      <c r="D120" s="546" t="s">
        <v>2861</v>
      </c>
      <c r="E120" s="6">
        <f>IFERROR(INDEX(ZACATECAS!$I$7:$I$5000, MATCH(F120*1, ZACATECAS!$H$7:$H$5000, 0)), "-")</f>
        <v>1</v>
      </c>
      <c r="F120" s="544">
        <v>32046253</v>
      </c>
      <c r="G120" s="544" t="s">
        <v>382</v>
      </c>
      <c r="H120" s="543" t="s">
        <v>2860</v>
      </c>
      <c r="I120" s="6" t="str">
        <f>IFERROR(INDEX(ZACATECAS!$N$7:$N$5000, MATCH($F120, ZACATECAS!$H$7:$H$5000, 0)), "-")</f>
        <v>Champion Gente</v>
      </c>
    </row>
    <row r="121" spans="1:9" x14ac:dyDescent="0.3">
      <c r="A121" s="543" t="s">
        <v>2857</v>
      </c>
      <c r="B121" s="543" t="s">
        <v>2858</v>
      </c>
      <c r="C121" s="543" t="s">
        <v>640</v>
      </c>
      <c r="D121" s="546" t="s">
        <v>2861</v>
      </c>
      <c r="E121" s="6" t="str">
        <f>IFERROR(INDEX(ZACATECAS!$I$7:$I$5000, MATCH(F121*1, ZACATECAS!$H$7:$H$5000, 0)), "-")</f>
        <v>-</v>
      </c>
      <c r="F121" s="544">
        <v>32147380</v>
      </c>
      <c r="G121" s="544" t="s">
        <v>606</v>
      </c>
      <c r="H121" s="543" t="s">
        <v>2344</v>
      </c>
      <c r="I121" s="6" t="str">
        <f>IFERROR(INDEX(ZACATECAS!$N$7:$N$5000, MATCH($F121, ZACATECAS!$H$7:$H$5000, 0)), "-")</f>
        <v>-</v>
      </c>
    </row>
    <row r="122" spans="1:9" x14ac:dyDescent="0.3">
      <c r="A122" s="543" t="s">
        <v>2857</v>
      </c>
      <c r="B122" s="543" t="s">
        <v>2858</v>
      </c>
      <c r="C122" s="543" t="s">
        <v>640</v>
      </c>
      <c r="D122" s="546" t="s">
        <v>2861</v>
      </c>
      <c r="E122" s="6">
        <f>IFERROR(INDEX(ZACATECAS!$I$7:$I$5000, MATCH(F122*1, ZACATECAS!$H$7:$H$5000, 0)), "-")</f>
        <v>5</v>
      </c>
      <c r="F122" s="544">
        <v>32044721</v>
      </c>
      <c r="G122" s="544" t="s">
        <v>641</v>
      </c>
      <c r="H122" s="543" t="s">
        <v>2860</v>
      </c>
      <c r="I122" s="6" t="str">
        <f>IFERROR(INDEX(ZACATECAS!$N$7:$N$5000, MATCH($F122, ZACATECAS!$H$7:$H$5000, 0)), "-")</f>
        <v xml:space="preserve">APOYO DE CHAMPION SEGURIDAD </v>
      </c>
    </row>
    <row r="123" spans="1:9" x14ac:dyDescent="0.3">
      <c r="A123" s="543" t="s">
        <v>2857</v>
      </c>
      <c r="B123" s="543" t="s">
        <v>2858</v>
      </c>
      <c r="C123" s="543" t="s">
        <v>640</v>
      </c>
      <c r="D123" s="546" t="s">
        <v>2861</v>
      </c>
      <c r="E123" s="6">
        <f>IFERROR(INDEX(ZACATECAS!$I$7:$I$5000, MATCH(F123*1, ZACATECAS!$H$7:$H$5000, 0)), "-")</f>
        <v>5</v>
      </c>
      <c r="F123" s="544">
        <v>32044733</v>
      </c>
      <c r="G123" s="544" t="s">
        <v>643</v>
      </c>
      <c r="H123" s="543" t="s">
        <v>2860</v>
      </c>
      <c r="I123" s="6" t="str">
        <f>IFERROR(INDEX(ZACATECAS!$N$7:$N$5000, MATCH($F123, ZACATECAS!$H$7:$H$5000, 0)), "-")</f>
        <v xml:space="preserve">APOYO DE CHAMPION AMBIENTAL </v>
      </c>
    </row>
    <row r="124" spans="1:9" x14ac:dyDescent="0.3">
      <c r="A124" s="543" t="s">
        <v>2857</v>
      </c>
      <c r="B124" s="543" t="s">
        <v>2858</v>
      </c>
      <c r="C124" s="543" t="s">
        <v>640</v>
      </c>
      <c r="D124" s="546" t="s">
        <v>2861</v>
      </c>
      <c r="E124" s="6">
        <f>IFERROR(INDEX(ZACATECAS!$I$7:$I$5000, MATCH(F124*1, ZACATECAS!$H$7:$H$5000, 0)), "-")</f>
        <v>5</v>
      </c>
      <c r="F124" s="544">
        <v>32044741</v>
      </c>
      <c r="G124" s="544" t="s">
        <v>645</v>
      </c>
      <c r="H124" s="543" t="s">
        <v>2860</v>
      </c>
      <c r="I124" s="6" t="str">
        <f>IFERROR(INDEX(ZACATECAS!$N$7:$N$5000, MATCH($F124, ZACATECAS!$H$7:$H$5000, 0)), "-")</f>
        <v xml:space="preserve">APOYO DE CHAMPION GENTE </v>
      </c>
    </row>
    <row r="125" spans="1:9" x14ac:dyDescent="0.3">
      <c r="A125" s="543" t="s">
        <v>2857</v>
      </c>
      <c r="B125" s="543" t="s">
        <v>2858</v>
      </c>
      <c r="C125" s="543" t="s">
        <v>640</v>
      </c>
      <c r="D125" s="546" t="s">
        <v>2861</v>
      </c>
      <c r="E125" s="6">
        <f>IFERROR(INDEX(ZACATECAS!$I$7:$I$5000, MATCH(F125*1, ZACATECAS!$H$7:$H$5000, 0)), "-")</f>
        <v>5</v>
      </c>
      <c r="F125" s="544">
        <v>32045011</v>
      </c>
      <c r="G125" s="546" t="s">
        <v>647</v>
      </c>
      <c r="H125" s="543" t="s">
        <v>2860</v>
      </c>
      <c r="I125" s="6" t="str">
        <f>IFERROR(INDEX(ZACATECAS!$N$7:$N$5000, MATCH($F125, ZACATECAS!$H$7:$H$5000, 0)), "-")</f>
        <v xml:space="preserve">CHAMPION DE GESTION </v>
      </c>
    </row>
    <row r="126" spans="1:9" x14ac:dyDescent="0.3">
      <c r="A126" s="543" t="s">
        <v>2857</v>
      </c>
      <c r="B126" s="543" t="s">
        <v>2858</v>
      </c>
      <c r="C126" s="543" t="s">
        <v>640</v>
      </c>
      <c r="D126" s="546" t="s">
        <v>2861</v>
      </c>
      <c r="E126" s="6">
        <f>IFERROR(INDEX(ZACATECAS!$I$7:$I$5000, MATCH(F126*1, ZACATECAS!$H$7:$H$5000, 0)), "-")</f>
        <v>5</v>
      </c>
      <c r="F126" s="544">
        <v>32045202</v>
      </c>
      <c r="G126" s="544" t="s">
        <v>650</v>
      </c>
      <c r="H126" s="543" t="s">
        <v>2860</v>
      </c>
      <c r="I126" s="6" t="str">
        <f>IFERROR(INDEX(ZACATECAS!$N$7:$N$5000, MATCH($F126, ZACATECAS!$H$7:$H$5000, 0)), "-")</f>
        <v>APOYO DE SEGURIDAD</v>
      </c>
    </row>
    <row r="127" spans="1:9" x14ac:dyDescent="0.3">
      <c r="A127" s="543" t="s">
        <v>2857</v>
      </c>
      <c r="B127" s="543" t="s">
        <v>2858</v>
      </c>
      <c r="C127" s="543" t="s">
        <v>640</v>
      </c>
      <c r="D127" s="546" t="s">
        <v>2861</v>
      </c>
      <c r="E127" s="6">
        <f>IFERROR(INDEX(ZACATECAS!$I$7:$I$5000, MATCH(F127*1, ZACATECAS!$H$7:$H$5000, 0)), "-")</f>
        <v>5</v>
      </c>
      <c r="F127" s="544">
        <v>32045693</v>
      </c>
      <c r="G127" s="544" t="s">
        <v>652</v>
      </c>
      <c r="H127" s="543" t="s">
        <v>2860</v>
      </c>
      <c r="I127" s="6" t="str">
        <f>IFERROR(INDEX(ZACATECAS!$N$7:$N$5000, MATCH($F127, ZACATECAS!$H$7:$H$5000, 0)), "-")</f>
        <v>CHAMPION SEGURIDAD</v>
      </c>
    </row>
    <row r="128" spans="1:9" x14ac:dyDescent="0.3">
      <c r="A128" s="543" t="s">
        <v>2857</v>
      </c>
      <c r="B128" s="543" t="s">
        <v>2858</v>
      </c>
      <c r="C128" s="543" t="s">
        <v>640</v>
      </c>
      <c r="D128" s="546" t="s">
        <v>2861</v>
      </c>
      <c r="E128" s="6">
        <f>IFERROR(INDEX(ZACATECAS!$I$7:$I$5000, MATCH(F128*1, ZACATECAS!$H$7:$H$5000, 0)), "-")</f>
        <v>5</v>
      </c>
      <c r="F128" s="544">
        <v>32046547</v>
      </c>
      <c r="G128" s="544" t="s">
        <v>653</v>
      </c>
      <c r="H128" s="543" t="s">
        <v>2860</v>
      </c>
      <c r="I128" s="6" t="str">
        <f>IFERROR(INDEX(ZACATECAS!$N$7:$N$5000, MATCH($F128, ZACATECAS!$H$7:$H$5000, 0)), "-")</f>
        <v>CHAMPION AMBIENTAL</v>
      </c>
    </row>
    <row r="129" spans="1:9" x14ac:dyDescent="0.3">
      <c r="A129" s="543" t="s">
        <v>2857</v>
      </c>
      <c r="B129" s="543" t="s">
        <v>2858</v>
      </c>
      <c r="C129" s="543" t="s">
        <v>640</v>
      </c>
      <c r="D129" s="546" t="s">
        <v>2861</v>
      </c>
      <c r="E129" s="6">
        <f>IFERROR(INDEX(ZACATECAS!$I$7:$I$5000, MATCH(F129*1, ZACATECAS!$H$7:$H$5000, 0)), "-")</f>
        <v>5</v>
      </c>
      <c r="F129" s="544">
        <v>32060917</v>
      </c>
      <c r="G129" s="544" t="s">
        <v>655</v>
      </c>
      <c r="H129" s="543" t="s">
        <v>2860</v>
      </c>
      <c r="I129" s="6" t="str">
        <f>IFERROR(INDEX(ZACATECAS!$N$7:$N$5000, MATCH($F129, ZACATECAS!$H$7:$H$5000, 0)), "-")</f>
        <v>APOYO DE MANTENIMIENTO</v>
      </c>
    </row>
    <row r="130" spans="1:9" x14ac:dyDescent="0.3">
      <c r="A130" s="543" t="s">
        <v>2857</v>
      </c>
      <c r="B130" s="543" t="s">
        <v>2858</v>
      </c>
      <c r="C130" s="543" t="s">
        <v>640</v>
      </c>
      <c r="D130" s="546" t="s">
        <v>2861</v>
      </c>
      <c r="E130" s="6">
        <f>IFERROR(INDEX(ZACATECAS!$I$7:$I$5000, MATCH(F130*1, ZACATECAS!$H$7:$H$5000, 0)), "-")</f>
        <v>5</v>
      </c>
      <c r="F130" s="544">
        <v>32067182</v>
      </c>
      <c r="G130" s="544" t="s">
        <v>657</v>
      </c>
      <c r="H130" s="543" t="s">
        <v>2860</v>
      </c>
      <c r="I130" s="6" t="str">
        <f>IFERROR(INDEX(ZACATECAS!$N$7:$N$5000, MATCH($F130, ZACATECAS!$H$7:$H$5000, 0)), "-")</f>
        <v xml:space="preserve">APOYO  DE GESTION </v>
      </c>
    </row>
    <row r="131" spans="1:9" x14ac:dyDescent="0.3">
      <c r="A131" s="543" t="s">
        <v>2857</v>
      </c>
      <c r="B131" s="543" t="s">
        <v>2858</v>
      </c>
      <c r="C131" s="543" t="s">
        <v>640</v>
      </c>
      <c r="D131" s="546" t="s">
        <v>2861</v>
      </c>
      <c r="E131" s="6">
        <f>IFERROR(INDEX(ZACATECAS!$I$7:$I$5000, MATCH(F131*1, ZACATECAS!$H$7:$H$5000, 0)), "-")</f>
        <v>5</v>
      </c>
      <c r="F131" s="544">
        <v>32096528</v>
      </c>
      <c r="G131" s="544" t="s">
        <v>660</v>
      </c>
      <c r="H131" s="543" t="s">
        <v>2860</v>
      </c>
      <c r="I131" s="6" t="str">
        <f>IFERROR(INDEX(ZACATECAS!$N$7:$N$5000, MATCH($F131, ZACATECAS!$H$7:$H$5000, 0)), "-")</f>
        <v>APOYO SEGURIDAD</v>
      </c>
    </row>
    <row r="132" spans="1:9" x14ac:dyDescent="0.3">
      <c r="A132" s="543" t="s">
        <v>2857</v>
      </c>
      <c r="B132" s="543" t="s">
        <v>2858</v>
      </c>
      <c r="C132" s="543" t="s">
        <v>640</v>
      </c>
      <c r="D132" s="546" t="s">
        <v>2861</v>
      </c>
      <c r="E132" s="6">
        <f>IFERROR(INDEX(ZACATECAS!$I$7:$I$5000, MATCH(F132*1, ZACATECAS!$H$7:$H$5000, 0)), "-")</f>
        <v>5</v>
      </c>
      <c r="F132" s="544">
        <v>32096559</v>
      </c>
      <c r="G132" s="546" t="s">
        <v>662</v>
      </c>
      <c r="H132" s="543" t="s">
        <v>2860</v>
      </c>
      <c r="I132" s="6" t="str">
        <f>IFERROR(INDEX(ZACATECAS!$N$7:$N$5000, MATCH($F132, ZACATECAS!$H$7:$H$5000, 0)), "-")</f>
        <v>CHAMPION DE LOGISTICA</v>
      </c>
    </row>
    <row r="133" spans="1:9" x14ac:dyDescent="0.3">
      <c r="A133" s="543" t="s">
        <v>2857</v>
      </c>
      <c r="B133" s="543" t="s">
        <v>2858</v>
      </c>
      <c r="C133" s="543" t="s">
        <v>640</v>
      </c>
      <c r="D133" s="546" t="s">
        <v>2861</v>
      </c>
      <c r="E133" s="6">
        <f>IFERROR(INDEX(ZACATECAS!$I$7:$I$5000, MATCH(F133*1, ZACATECAS!$H$7:$H$5000, 0)), "-")</f>
        <v>5</v>
      </c>
      <c r="F133" s="544">
        <v>32142777</v>
      </c>
      <c r="G133" s="544" t="s">
        <v>664</v>
      </c>
      <c r="H133" s="543" t="s">
        <v>2860</v>
      </c>
      <c r="I133" s="6" t="str">
        <f>IFERROR(INDEX(ZACATECAS!$N$7:$N$5000, MATCH($F133, ZACATECAS!$H$7:$H$5000, 0)), "-")</f>
        <v>APOYO DE CALIDAD</v>
      </c>
    </row>
    <row r="134" spans="1:9" x14ac:dyDescent="0.3">
      <c r="A134" s="543" t="s">
        <v>2857</v>
      </c>
      <c r="B134" s="543" t="s">
        <v>2858</v>
      </c>
      <c r="C134" s="543" t="s">
        <v>640</v>
      </c>
      <c r="D134" s="546" t="s">
        <v>2861</v>
      </c>
      <c r="E134" s="6">
        <f>IFERROR(INDEX(ZACATECAS!$I$7:$I$5000, MATCH(F134*1, ZACATECAS!$H$7:$H$5000, 0)), "-")</f>
        <v>5</v>
      </c>
      <c r="F134" s="544">
        <v>32143289</v>
      </c>
      <c r="G134" s="544" t="s">
        <v>667</v>
      </c>
      <c r="H134" s="543" t="s">
        <v>2860</v>
      </c>
      <c r="I134" s="6" t="str">
        <f>IFERROR(INDEX(ZACATECAS!$N$7:$N$5000, MATCH($F134, ZACATECAS!$H$7:$H$5000, 0)), "-")</f>
        <v xml:space="preserve">CHAMPION MANTENIMIENTO </v>
      </c>
    </row>
    <row r="135" spans="1:9" x14ac:dyDescent="0.3">
      <c r="A135" s="543" t="s">
        <v>2857</v>
      </c>
      <c r="B135" s="543" t="s">
        <v>2858</v>
      </c>
      <c r="C135" s="543" t="s">
        <v>640</v>
      </c>
      <c r="D135" s="546" t="s">
        <v>2861</v>
      </c>
      <c r="E135" s="6">
        <f>IFERROR(INDEX(ZACATECAS!$I$7:$I$5000, MATCH(F135*1, ZACATECAS!$H$7:$H$5000, 0)), "-")</f>
        <v>5</v>
      </c>
      <c r="F135" s="544">
        <v>32143307</v>
      </c>
      <c r="G135" s="544" t="s">
        <v>669</v>
      </c>
      <c r="H135" s="543" t="s">
        <v>2860</v>
      </c>
      <c r="I135" s="6" t="str">
        <f>IFERROR(INDEX(ZACATECAS!$N$7:$N$5000, MATCH($F135, ZACATECAS!$H$7:$H$5000, 0)), "-")</f>
        <v xml:space="preserve">APOYO DE CHAMPION DE LOGISTICA </v>
      </c>
    </row>
    <row r="136" spans="1:9" x14ac:dyDescent="0.3">
      <c r="A136" s="543" t="s">
        <v>2857</v>
      </c>
      <c r="B136" s="543" t="s">
        <v>2858</v>
      </c>
      <c r="C136" s="543" t="s">
        <v>640</v>
      </c>
      <c r="D136" s="546" t="s">
        <v>2861</v>
      </c>
      <c r="E136" s="6">
        <f>IFERROR(INDEX(ZACATECAS!$I$7:$I$5000, MATCH(F136*1, ZACATECAS!$H$7:$H$5000, 0)), "-")</f>
        <v>5</v>
      </c>
      <c r="F136" s="544">
        <v>32149610</v>
      </c>
      <c r="G136" s="544" t="s">
        <v>671</v>
      </c>
      <c r="H136" s="543" t="s">
        <v>2860</v>
      </c>
      <c r="I136" s="6" t="str">
        <f>IFERROR(INDEX(ZACATECAS!$N$7:$N$5000, MATCH($F136, ZACATECAS!$H$7:$H$5000, 0)), "-")</f>
        <v xml:space="preserve">APOYO DE CHAMPION MANTENIMIENTO </v>
      </c>
    </row>
    <row r="137" spans="1:9" x14ac:dyDescent="0.3">
      <c r="A137" s="543" t="s">
        <v>2857</v>
      </c>
      <c r="B137" s="543" t="s">
        <v>2858</v>
      </c>
      <c r="C137" s="543" t="s">
        <v>1116</v>
      </c>
      <c r="D137" s="546" t="s">
        <v>2861</v>
      </c>
      <c r="E137" s="6" t="str">
        <f>IFERROR(INDEX(ZACATECAS!$I$7:$I$5000, MATCH(F137*1, ZACATECAS!$H$7:$H$5000, 0)), "-")</f>
        <v>-</v>
      </c>
      <c r="F137" s="544">
        <v>32231920</v>
      </c>
      <c r="G137" s="544" t="s">
        <v>1079</v>
      </c>
      <c r="H137" s="543" t="s">
        <v>2344</v>
      </c>
      <c r="I137" s="6" t="str">
        <f>IFERROR(INDEX(ZACATECAS!$N$7:$N$5000, MATCH($F137, ZACATECAS!$H$7:$H$5000, 0)), "-")</f>
        <v>-</v>
      </c>
    </row>
    <row r="138" spans="1:9" x14ac:dyDescent="0.3">
      <c r="A138" s="543" t="s">
        <v>2857</v>
      </c>
      <c r="B138" s="543" t="s">
        <v>2858</v>
      </c>
      <c r="C138" s="543" t="s">
        <v>1116</v>
      </c>
      <c r="D138" s="546" t="s">
        <v>2861</v>
      </c>
      <c r="E138" s="6">
        <f>IFERROR(INDEX(ZACATECAS!$I$7:$I$5000, MATCH(F138*1, ZACATECAS!$H$7:$H$5000, 0)), "-")</f>
        <v>11</v>
      </c>
      <c r="F138" s="544">
        <v>32044172</v>
      </c>
      <c r="G138" s="544" t="s">
        <v>1117</v>
      </c>
      <c r="H138" s="543" t="s">
        <v>2860</v>
      </c>
      <c r="I138" s="6" t="str">
        <f>IFERROR(INDEX(ZACATECAS!$N$7:$N$5000, MATCH($F138, ZACATECAS!$H$7:$H$5000, 0)), "-")</f>
        <v xml:space="preserve">APOYO SEGURIDAD </v>
      </c>
    </row>
    <row r="139" spans="1:9" x14ac:dyDescent="0.3">
      <c r="A139" s="543" t="s">
        <v>2857</v>
      </c>
      <c r="B139" s="543" t="s">
        <v>2858</v>
      </c>
      <c r="C139" s="543" t="s">
        <v>1116</v>
      </c>
      <c r="D139" s="546" t="s">
        <v>2861</v>
      </c>
      <c r="E139" s="6">
        <f>IFERROR(INDEX(ZACATECAS!$I$7:$I$5000, MATCH(F139*1, ZACATECAS!$H$7:$H$5000, 0)), "-")</f>
        <v>11</v>
      </c>
      <c r="F139" s="544">
        <v>32044809</v>
      </c>
      <c r="G139" s="544" t="s">
        <v>1119</v>
      </c>
      <c r="H139" s="543" t="s">
        <v>2860</v>
      </c>
      <c r="I139" s="6" t="str">
        <f>IFERROR(INDEX(ZACATECAS!$N$7:$N$5000, MATCH($F139, ZACATECAS!$H$7:$H$5000, 0)), "-")</f>
        <v>CHAMPION AMBIENTAL</v>
      </c>
    </row>
    <row r="140" spans="1:9" x14ac:dyDescent="0.3">
      <c r="A140" s="543" t="s">
        <v>2857</v>
      </c>
      <c r="B140" s="543" t="s">
        <v>2858</v>
      </c>
      <c r="C140" s="543" t="s">
        <v>1116</v>
      </c>
      <c r="D140" s="546" t="s">
        <v>2861</v>
      </c>
      <c r="E140" s="6">
        <f>IFERROR(INDEX(ZACATECAS!$I$7:$I$5000, MATCH(F140*1, ZACATECAS!$H$7:$H$5000, 0)), "-")</f>
        <v>11</v>
      </c>
      <c r="F140" s="544">
        <v>32045052</v>
      </c>
      <c r="G140" s="544" t="s">
        <v>1121</v>
      </c>
      <c r="H140" s="543" t="s">
        <v>2860</v>
      </c>
      <c r="I140" s="6" t="str">
        <f>IFERROR(INDEX(ZACATECAS!$N$7:$N$5000, MATCH($F140, ZACATECAS!$H$7:$H$5000, 0)), "-")</f>
        <v>CHAMPION DE GESTION</v>
      </c>
    </row>
    <row r="141" spans="1:9" x14ac:dyDescent="0.3">
      <c r="A141" s="543" t="s">
        <v>2857</v>
      </c>
      <c r="B141" s="543" t="s">
        <v>2858</v>
      </c>
      <c r="C141" s="543" t="s">
        <v>1116</v>
      </c>
      <c r="D141" s="546" t="s">
        <v>2861</v>
      </c>
      <c r="E141" s="6">
        <f>IFERROR(INDEX(ZACATECAS!$I$7:$I$5000, MATCH(F141*1, ZACATECAS!$H$7:$H$5000, 0)), "-")</f>
        <v>11</v>
      </c>
      <c r="F141" s="544">
        <v>32045219</v>
      </c>
      <c r="G141" s="544" t="s">
        <v>1123</v>
      </c>
      <c r="H141" s="543" t="s">
        <v>2860</v>
      </c>
      <c r="I141" s="6" t="str">
        <f>IFERROR(INDEX(ZACATECAS!$N$7:$N$5000, MATCH($F141, ZACATECAS!$H$7:$H$5000, 0)), "-")</f>
        <v>APOYO GENTE</v>
      </c>
    </row>
    <row r="142" spans="1:9" x14ac:dyDescent="0.3">
      <c r="A142" s="543" t="s">
        <v>2857</v>
      </c>
      <c r="B142" s="543" t="s">
        <v>2858</v>
      </c>
      <c r="C142" s="543" t="s">
        <v>1116</v>
      </c>
      <c r="D142" s="546" t="s">
        <v>2861</v>
      </c>
      <c r="E142" s="6">
        <f>IFERROR(INDEX(ZACATECAS!$I$7:$I$5000, MATCH(F142*1, ZACATECAS!$H$7:$H$5000, 0)), "-")</f>
        <v>11</v>
      </c>
      <c r="F142" s="544">
        <v>32046009</v>
      </c>
      <c r="G142" s="544" t="s">
        <v>1125</v>
      </c>
      <c r="H142" s="543" t="s">
        <v>2860</v>
      </c>
      <c r="I142" s="6" t="str">
        <f>IFERROR(INDEX(ZACATECAS!$N$7:$N$5000, MATCH($F142, ZACATECAS!$H$7:$H$5000, 0)), "-")</f>
        <v>APOYO DE GESTION</v>
      </c>
    </row>
    <row r="143" spans="1:9" x14ac:dyDescent="0.3">
      <c r="A143" s="543" t="s">
        <v>2857</v>
      </c>
      <c r="B143" s="543" t="s">
        <v>2858</v>
      </c>
      <c r="C143" s="543" t="s">
        <v>1116</v>
      </c>
      <c r="D143" s="546" t="s">
        <v>2861</v>
      </c>
      <c r="E143" s="6">
        <f>IFERROR(INDEX(ZACATECAS!$I$7:$I$5000, MATCH(F143*1, ZACATECAS!$H$7:$H$5000, 0)), "-")</f>
        <v>11</v>
      </c>
      <c r="F143" s="544">
        <v>32046022</v>
      </c>
      <c r="G143" s="544" t="s">
        <v>1127</v>
      </c>
      <c r="H143" s="543" t="s">
        <v>2860</v>
      </c>
      <c r="I143" s="6" t="str">
        <f>IFERROR(INDEX(ZACATECAS!$N$7:$N$5000, MATCH($F143, ZACATECAS!$H$7:$H$5000, 0)), "-")</f>
        <v>CHAMPION MANTENIMIENTO</v>
      </c>
    </row>
    <row r="144" spans="1:9" x14ac:dyDescent="0.3">
      <c r="A144" s="543" t="s">
        <v>2857</v>
      </c>
      <c r="B144" s="543" t="s">
        <v>2858</v>
      </c>
      <c r="C144" s="543" t="s">
        <v>1116</v>
      </c>
      <c r="D144" s="546" t="s">
        <v>2861</v>
      </c>
      <c r="E144" s="6">
        <f>IFERROR(INDEX(ZACATECAS!$I$7:$I$5000, MATCH(F144*1, ZACATECAS!$H$7:$H$5000, 0)), "-")</f>
        <v>11</v>
      </c>
      <c r="F144" s="544">
        <v>32046379</v>
      </c>
      <c r="G144" s="544" t="s">
        <v>1129</v>
      </c>
      <c r="H144" s="543" t="s">
        <v>2860</v>
      </c>
      <c r="I144" s="6" t="str">
        <f>IFERROR(INDEX(ZACATECAS!$N$7:$N$5000, MATCH($F144, ZACATECAS!$H$7:$H$5000, 0)), "-")</f>
        <v>CHAMPION GENTE</v>
      </c>
    </row>
    <row r="145" spans="1:9" x14ac:dyDescent="0.3">
      <c r="A145" s="543" t="s">
        <v>2857</v>
      </c>
      <c r="B145" s="543" t="s">
        <v>2858</v>
      </c>
      <c r="C145" s="543" t="s">
        <v>1116</v>
      </c>
      <c r="D145" s="546" t="s">
        <v>2861</v>
      </c>
      <c r="E145" s="6">
        <f>IFERROR(INDEX(ZACATECAS!$I$7:$I$5000, MATCH(F145*1, ZACATECAS!$H$7:$H$5000, 0)), "-")</f>
        <v>11</v>
      </c>
      <c r="F145" s="544">
        <v>32132226</v>
      </c>
      <c r="G145" s="544" t="s">
        <v>1131</v>
      </c>
      <c r="H145" s="543" t="s">
        <v>2860</v>
      </c>
      <c r="I145" s="6" t="str">
        <f>IFERROR(INDEX(ZACATECAS!$N$7:$N$5000, MATCH($F145, ZACATECAS!$H$7:$H$5000, 0)), "-")</f>
        <v xml:space="preserve">CHAMPION SEGURIDAD </v>
      </c>
    </row>
    <row r="146" spans="1:9" x14ac:dyDescent="0.3">
      <c r="A146" s="543" t="s">
        <v>2857</v>
      </c>
      <c r="B146" s="543" t="s">
        <v>2858</v>
      </c>
      <c r="C146" s="543" t="s">
        <v>1116</v>
      </c>
      <c r="D146" s="546" t="s">
        <v>2861</v>
      </c>
      <c r="E146" s="6">
        <f>IFERROR(INDEX(ZACATECAS!$I$7:$I$5000, MATCH(F146*1, ZACATECAS!$H$7:$H$5000, 0)), "-")</f>
        <v>11</v>
      </c>
      <c r="F146" s="544">
        <v>32138048</v>
      </c>
      <c r="G146" s="544" t="s">
        <v>1133</v>
      </c>
      <c r="H146" s="543" t="s">
        <v>2860</v>
      </c>
      <c r="I146" s="6" t="str">
        <f>IFERROR(INDEX(ZACATECAS!$N$7:$N$5000, MATCH($F146, ZACATECAS!$H$7:$H$5000, 0)), "-")</f>
        <v>CHAMPION  CALIDAD</v>
      </c>
    </row>
    <row r="147" spans="1:9" x14ac:dyDescent="0.3">
      <c r="A147" s="543" t="s">
        <v>2857</v>
      </c>
      <c r="B147" s="543" t="s">
        <v>2858</v>
      </c>
      <c r="C147" s="543" t="s">
        <v>1116</v>
      </c>
      <c r="D147" s="546" t="s">
        <v>2861</v>
      </c>
      <c r="E147" s="6">
        <f>IFERROR(INDEX(ZACATECAS!$I$7:$I$5000, MATCH(F147*1, ZACATECAS!$H$7:$H$5000, 0)), "-")</f>
        <v>11</v>
      </c>
      <c r="F147" s="544">
        <v>32148858</v>
      </c>
      <c r="G147" s="544" t="s">
        <v>1135</v>
      </c>
      <c r="H147" s="543" t="s">
        <v>2860</v>
      </c>
      <c r="I147" s="6" t="str">
        <f>IFERROR(INDEX(ZACATECAS!$N$7:$N$5000, MATCH($F147, ZACATECAS!$H$7:$H$5000, 0)), "-")</f>
        <v>CHAMPION  LOGISTICA</v>
      </c>
    </row>
    <row r="148" spans="1:9" x14ac:dyDescent="0.3">
      <c r="A148" s="543" t="s">
        <v>2857</v>
      </c>
      <c r="B148" s="543" t="s">
        <v>2858</v>
      </c>
      <c r="C148" s="543" t="s">
        <v>264</v>
      </c>
      <c r="D148" s="546" t="s">
        <v>2865</v>
      </c>
      <c r="E148" s="6" t="str">
        <f>IFERROR(INDEX(ZACATECAS!$I$7:$I$5000, MATCH(F148*1, ZACATECAS!$H$7:$H$5000, 0)), "-")</f>
        <v>-</v>
      </c>
      <c r="F148" s="546">
        <v>32231912</v>
      </c>
      <c r="G148" s="546" t="s">
        <v>265</v>
      </c>
      <c r="H148" s="543" t="s">
        <v>2344</v>
      </c>
      <c r="I148" s="6" t="str">
        <f>IFERROR(INDEX(ZACATECAS!$N$7:$N$5000, MATCH($F148, ZACATECAS!$H$7:$H$5000, 0)), "-")</f>
        <v>-</v>
      </c>
    </row>
    <row r="149" spans="1:9" x14ac:dyDescent="0.3">
      <c r="A149" s="543" t="s">
        <v>2857</v>
      </c>
      <c r="B149" s="543" t="s">
        <v>2858</v>
      </c>
      <c r="C149" s="543" t="s">
        <v>264</v>
      </c>
      <c r="D149" s="546" t="s">
        <v>2865</v>
      </c>
      <c r="E149" s="6">
        <f>IFERROR(INDEX(ZACATECAS!$I$7:$I$5000, MATCH(F149*1, ZACATECAS!$H$7:$H$5000, 0)), "-")</f>
        <v>0</v>
      </c>
      <c r="F149" s="544">
        <v>32102191</v>
      </c>
      <c r="G149" s="544" t="s">
        <v>267</v>
      </c>
      <c r="H149" s="543" t="s">
        <v>2860</v>
      </c>
      <c r="I149" s="6" t="str">
        <f>IFERROR(INDEX(ZACATECAS!$N$7:$N$5000, MATCH($F149, ZACATECAS!$H$7:$H$5000, 0)), "-")</f>
        <v>MANTENIMIENTO</v>
      </c>
    </row>
    <row r="150" spans="1:9" x14ac:dyDescent="0.3">
      <c r="A150" s="543" t="s">
        <v>2857</v>
      </c>
      <c r="B150" s="543" t="s">
        <v>2858</v>
      </c>
      <c r="C150" s="543" t="s">
        <v>264</v>
      </c>
      <c r="D150" s="546" t="s">
        <v>2865</v>
      </c>
      <c r="E150" s="6">
        <f>IFERROR(INDEX(ZACATECAS!$I$7:$I$5000, MATCH(F150*1, ZACATECAS!$H$7:$H$5000, 0)), "-")</f>
        <v>0</v>
      </c>
      <c r="F150" s="544">
        <v>32222225</v>
      </c>
      <c r="G150" s="544" t="s">
        <v>269</v>
      </c>
      <c r="H150" s="543" t="s">
        <v>2860</v>
      </c>
      <c r="I150" s="6" t="str">
        <f>IFERROR(INDEX(ZACATECAS!$N$7:$N$5000, MATCH($F150, ZACATECAS!$H$7:$H$5000, 0)), "-")</f>
        <v>CALIDAD</v>
      </c>
    </row>
    <row r="151" spans="1:9" x14ac:dyDescent="0.3">
      <c r="A151" s="543" t="s">
        <v>2857</v>
      </c>
      <c r="B151" s="543" t="s">
        <v>2858</v>
      </c>
      <c r="C151" s="543" t="s">
        <v>264</v>
      </c>
      <c r="D151" s="546" t="s">
        <v>2865</v>
      </c>
      <c r="E151" s="6">
        <f>IFERROR(INDEX(ZACATECAS!$I$7:$I$5000, MATCH(F151*1, ZACATECAS!$H$7:$H$5000, 0)), "-")</f>
        <v>0</v>
      </c>
      <c r="F151" s="544">
        <v>32222227</v>
      </c>
      <c r="G151" s="544" t="s">
        <v>271</v>
      </c>
      <c r="H151" s="543" t="s">
        <v>2860</v>
      </c>
      <c r="I151" s="6" t="str">
        <f>IFERROR(INDEX(ZACATECAS!$N$7:$N$5000, MATCH($F151, ZACATECAS!$H$7:$H$5000, 0)), "-")</f>
        <v>SEGURIDAD</v>
      </c>
    </row>
    <row r="152" spans="1:9" x14ac:dyDescent="0.3">
      <c r="A152" s="543" t="s">
        <v>2857</v>
      </c>
      <c r="B152" s="543" t="s">
        <v>2858</v>
      </c>
      <c r="C152" s="543" t="s">
        <v>264</v>
      </c>
      <c r="D152" s="546" t="s">
        <v>2865</v>
      </c>
      <c r="E152" s="6">
        <f>IFERROR(INDEX(ZACATECAS!$I$7:$I$5000, MATCH(F152*1, ZACATECAS!$H$7:$H$5000, 0)), "-")</f>
        <v>0</v>
      </c>
      <c r="F152" s="544">
        <v>32044502</v>
      </c>
      <c r="G152" s="544" t="s">
        <v>275</v>
      </c>
      <c r="H152" s="543" t="s">
        <v>2860</v>
      </c>
      <c r="I152" s="6" t="str">
        <f>IFERROR(INDEX(ZACATECAS!$N$7:$N$5000, MATCH($F152, ZACATECAS!$H$7:$H$5000, 0)), "-")</f>
        <v>LOGISTICA</v>
      </c>
    </row>
    <row r="153" spans="1:9" x14ac:dyDescent="0.3">
      <c r="A153" s="543" t="s">
        <v>2857</v>
      </c>
      <c r="B153" s="543" t="s">
        <v>2858</v>
      </c>
      <c r="C153" s="543" t="s">
        <v>2866</v>
      </c>
      <c r="D153" s="546" t="s">
        <v>2862</v>
      </c>
      <c r="E153" s="6" t="str">
        <f>IFERROR(INDEX(ZACATECAS!$I$7:$I$5000, MATCH(F153*1, ZACATECAS!$H$7:$H$5000, 0)), "-")</f>
        <v>-</v>
      </c>
      <c r="F153" s="544">
        <v>32217652</v>
      </c>
      <c r="G153" s="544" t="s">
        <v>2072</v>
      </c>
      <c r="H153" s="543" t="s">
        <v>2344</v>
      </c>
      <c r="I153" s="6" t="str">
        <f>IFERROR(INDEX(ZACATECAS!$N$7:$N$5000, MATCH($F153, ZACATECAS!$H$7:$H$5000, 0)), "-")</f>
        <v>-</v>
      </c>
    </row>
    <row r="154" spans="1:9" x14ac:dyDescent="0.3">
      <c r="A154" s="543" t="s">
        <v>2857</v>
      </c>
      <c r="B154" s="543" t="s">
        <v>2858</v>
      </c>
      <c r="C154" s="543" t="s">
        <v>2866</v>
      </c>
      <c r="D154" s="546" t="s">
        <v>2862</v>
      </c>
      <c r="E154" s="6" t="str">
        <f>IFERROR(INDEX(ZACATECAS!$I$7:$I$5000, MATCH(F154*1, ZACATECAS!$H$7:$H$5000, 0)), "-")</f>
        <v>Calderas AP</v>
      </c>
      <c r="F154" s="544">
        <v>32072210</v>
      </c>
      <c r="G154" s="544" t="s">
        <v>2074</v>
      </c>
      <c r="H154" s="543" t="s">
        <v>2860</v>
      </c>
      <c r="I154" s="6" t="str">
        <f>IFERROR(INDEX(ZACATECAS!$N$7:$N$5000, MATCH($F154, ZACATECAS!$H$7:$H$5000, 0)), "-")</f>
        <v>Gestión</v>
      </c>
    </row>
    <row r="155" spans="1:9" x14ac:dyDescent="0.3">
      <c r="A155" s="543" t="s">
        <v>2857</v>
      </c>
      <c r="B155" s="543" t="s">
        <v>2858</v>
      </c>
      <c r="C155" s="543" t="s">
        <v>2866</v>
      </c>
      <c r="D155" s="546" t="s">
        <v>2862</v>
      </c>
      <c r="E155" s="6" t="str">
        <f>IFERROR(INDEX(ZACATECAS!$I$7:$I$5000, MATCH(F155*1, ZACATECAS!$H$7:$H$5000, 0)), "-")</f>
        <v>CO2</v>
      </c>
      <c r="F155" s="544">
        <v>32224379</v>
      </c>
      <c r="G155" s="544" t="s">
        <v>2077</v>
      </c>
      <c r="H155" s="543" t="s">
        <v>2860</v>
      </c>
      <c r="I155" s="6" t="str">
        <f>IFERROR(INDEX(ZACATECAS!$N$7:$N$5000, MATCH($F155, ZACATECAS!$H$7:$H$5000, 0)), "-")</f>
        <v>Gestión</v>
      </c>
    </row>
    <row r="156" spans="1:9" x14ac:dyDescent="0.3">
      <c r="A156" s="543" t="s">
        <v>2857</v>
      </c>
      <c r="B156" s="543" t="s">
        <v>2858</v>
      </c>
      <c r="C156" s="543" t="s">
        <v>2866</v>
      </c>
      <c r="D156" s="546" t="s">
        <v>2862</v>
      </c>
      <c r="E156" s="6" t="str">
        <f>IFERROR(INDEX(ZACATECAS!$I$7:$I$5000, MATCH(F156*1, ZACATECAS!$H$7:$H$5000, 0)), "-")</f>
        <v xml:space="preserve">Refrigeración </v>
      </c>
      <c r="F156" s="544">
        <v>32045559</v>
      </c>
      <c r="G156" s="544" t="s">
        <v>2079</v>
      </c>
      <c r="H156" s="543" t="s">
        <v>2860</v>
      </c>
      <c r="I156" s="6" t="str">
        <f>IFERROR(INDEX(ZACATECAS!$N$7:$N$5000, MATCH($F156, ZACATECAS!$H$7:$H$5000, 0)), "-")</f>
        <v>Calidad</v>
      </c>
    </row>
    <row r="157" spans="1:9" x14ac:dyDescent="0.3">
      <c r="A157" s="543" t="s">
        <v>2857</v>
      </c>
      <c r="B157" s="543" t="s">
        <v>2858</v>
      </c>
      <c r="C157" s="543" t="s">
        <v>2866</v>
      </c>
      <c r="D157" s="546" t="s">
        <v>2862</v>
      </c>
      <c r="E157" s="6" t="str">
        <f>IFERROR(INDEX(ZACATECAS!$I$7:$I$5000, MATCH(F157*1, ZACATECAS!$H$7:$H$5000, 0)), "-")</f>
        <v>Sistema de aíre</v>
      </c>
      <c r="F157" s="544">
        <v>32043914</v>
      </c>
      <c r="G157" s="544" t="s">
        <v>2082</v>
      </c>
      <c r="H157" s="543" t="s">
        <v>2860</v>
      </c>
      <c r="I157" s="6" t="str">
        <f>IFERROR(INDEX(ZACATECAS!$N$7:$N$5000, MATCH($F157, ZACATECAS!$H$7:$H$5000, 0)), "-")</f>
        <v>Logistica</v>
      </c>
    </row>
    <row r="158" spans="1:9" x14ac:dyDescent="0.3">
      <c r="A158" s="543" t="s">
        <v>2857</v>
      </c>
      <c r="B158" s="543" t="s">
        <v>2858</v>
      </c>
      <c r="C158" s="543" t="s">
        <v>2866</v>
      </c>
      <c r="D158" s="546" t="s">
        <v>2862</v>
      </c>
      <c r="E158" s="6" t="str">
        <f>IFERROR(INDEX(ZACATECAS!$I$7:$I$5000, MATCH(F158*1, ZACATECAS!$H$7:$H$5000, 0)), "-")</f>
        <v>Calderas BP</v>
      </c>
      <c r="F158" s="544">
        <v>32044817</v>
      </c>
      <c r="G158" s="544" t="s">
        <v>2084</v>
      </c>
      <c r="H158" s="543" t="s">
        <v>2860</v>
      </c>
      <c r="I158" s="6" t="str">
        <f>IFERROR(INDEX(ZACATECAS!$N$7:$N$5000, MATCH($F158, ZACATECAS!$H$7:$H$5000, 0)), "-")</f>
        <v>Seguridad</v>
      </c>
    </row>
    <row r="159" spans="1:9" x14ac:dyDescent="0.3">
      <c r="A159" s="543" t="s">
        <v>2857</v>
      </c>
      <c r="B159" s="543" t="s">
        <v>2858</v>
      </c>
      <c r="C159" s="543" t="s">
        <v>2866</v>
      </c>
      <c r="D159" s="543" t="s">
        <v>2862</v>
      </c>
      <c r="E159" s="6" t="str">
        <f>IFERROR(INDEX(ZACATECAS!$I$7:$I$5000, MATCH(F159*1, ZACATECAS!$H$7:$H$5000, 0)), "-")</f>
        <v>Turbinas</v>
      </c>
      <c r="F159" s="546">
        <v>32155923</v>
      </c>
      <c r="G159" s="546" t="s">
        <v>2086</v>
      </c>
      <c r="H159" s="543" t="s">
        <v>2860</v>
      </c>
      <c r="I159" s="6" t="str">
        <f>IFERROR(INDEX(ZACATECAS!$N$7:$N$5000, MATCH($F159, ZACATECAS!$H$7:$H$5000, 0)), "-")</f>
        <v>Ambiental</v>
      </c>
    </row>
    <row r="160" spans="1:9" x14ac:dyDescent="0.3">
      <c r="A160" s="543" t="s">
        <v>2857</v>
      </c>
      <c r="B160" s="543" t="s">
        <v>2858</v>
      </c>
      <c r="C160" s="543" t="s">
        <v>2866</v>
      </c>
      <c r="D160" s="543" t="s">
        <v>2862</v>
      </c>
      <c r="E160" s="6" t="str">
        <f>IFERROR(INDEX(ZACATECAS!$I$7:$I$5000, MATCH(F160*1, ZACATECAS!$H$7:$H$5000, 0)), "-")</f>
        <v>Turbinas</v>
      </c>
      <c r="F160" s="544">
        <v>32043736</v>
      </c>
      <c r="G160" s="544" t="s">
        <v>2088</v>
      </c>
      <c r="H160" s="543" t="s">
        <v>2860</v>
      </c>
      <c r="I160" s="6" t="str">
        <f>IFERROR(INDEX(ZACATECAS!$N$7:$N$5000, MATCH($F160, ZACATECAS!$H$7:$H$5000, 0)), "-")</f>
        <v>Gente</v>
      </c>
    </row>
    <row r="161" spans="1:9" x14ac:dyDescent="0.3">
      <c r="A161" s="543" t="s">
        <v>2857</v>
      </c>
      <c r="B161" s="543" t="s">
        <v>2858</v>
      </c>
      <c r="C161" s="543" t="s">
        <v>2210</v>
      </c>
      <c r="D161" s="543" t="s">
        <v>2859</v>
      </c>
      <c r="E161" s="6" t="str">
        <f>IFERROR(INDEX(ZACATECAS!$I$7:$I$5000, MATCH(F161*1, ZACATECAS!$H$7:$H$5000, 0)), "-")</f>
        <v>-</v>
      </c>
      <c r="F161" s="544">
        <v>32068308</v>
      </c>
      <c r="G161" s="544" t="s">
        <v>2211</v>
      </c>
      <c r="H161" s="543" t="s">
        <v>2344</v>
      </c>
      <c r="I161" s="6" t="str">
        <f>IFERROR(INDEX(ZACATECAS!$N$7:$N$5000, MATCH($F161, ZACATECAS!$H$7:$H$5000, 0)), "-")</f>
        <v>-</v>
      </c>
    </row>
    <row r="162" spans="1:9" x14ac:dyDescent="0.3">
      <c r="A162" s="543" t="s">
        <v>2857</v>
      </c>
      <c r="B162" s="543" t="s">
        <v>2858</v>
      </c>
      <c r="C162" s="543" t="s">
        <v>2210</v>
      </c>
      <c r="D162" s="543" t="s">
        <v>2859</v>
      </c>
      <c r="E162" s="6" t="str">
        <f>IFERROR(INDEX(ZACATECAS!$I$7:$I$5000, MATCH(F162*1, ZACATECAS!$H$7:$H$5000, 0)), "-")</f>
        <v>ENV 2</v>
      </c>
      <c r="F162" s="544">
        <v>32044605</v>
      </c>
      <c r="G162" s="544" t="s">
        <v>2212</v>
      </c>
      <c r="H162" s="543" t="s">
        <v>2860</v>
      </c>
      <c r="I162" s="6" t="str">
        <f>IFERROR(INDEX(ZACATECAS!$N$7:$N$5000, MATCH($F162, ZACATECAS!$H$7:$H$5000, 0)), "-")</f>
        <v>GESTION</v>
      </c>
    </row>
    <row r="163" spans="1:9" x14ac:dyDescent="0.3">
      <c r="A163" s="543" t="s">
        <v>2857</v>
      </c>
      <c r="B163" s="543" t="s">
        <v>2858</v>
      </c>
      <c r="C163" s="543" t="s">
        <v>2210</v>
      </c>
      <c r="D163" s="543" t="s">
        <v>2859</v>
      </c>
      <c r="E163" s="6" t="str">
        <f>IFERROR(INDEX(ZACATECAS!$I$7:$I$5000, MATCH(F163*1, ZACATECAS!$H$7:$H$5000, 0)), "-")</f>
        <v>ENV 2</v>
      </c>
      <c r="F163" s="544">
        <v>32043918</v>
      </c>
      <c r="G163" s="544" t="s">
        <v>2213</v>
      </c>
      <c r="H163" s="543" t="s">
        <v>2860</v>
      </c>
      <c r="I163" s="6" t="str">
        <f>IFERROR(INDEX(ZACATECAS!$N$7:$N$5000, MATCH($F163, ZACATECAS!$H$7:$H$5000, 0)), "-")</f>
        <v>GENTE</v>
      </c>
    </row>
    <row r="164" spans="1:9" x14ac:dyDescent="0.3">
      <c r="A164" s="543" t="s">
        <v>2857</v>
      </c>
      <c r="B164" s="543" t="s">
        <v>2858</v>
      </c>
      <c r="C164" s="543" t="s">
        <v>2210</v>
      </c>
      <c r="D164" s="543" t="s">
        <v>2859</v>
      </c>
      <c r="E164" s="6" t="str">
        <f>IFERROR(INDEX(ZACATECAS!$I$7:$I$5000, MATCH(F164*1, ZACATECAS!$H$7:$H$5000, 0)), "-")</f>
        <v>ENV 2</v>
      </c>
      <c r="F164" s="544">
        <v>32045843</v>
      </c>
      <c r="G164" s="544" t="s">
        <v>2214</v>
      </c>
      <c r="H164" s="543" t="s">
        <v>2860</v>
      </c>
      <c r="I164" s="6" t="str">
        <f>IFERROR(INDEX(ZACATECAS!$N$7:$N$5000, MATCH($F164, ZACATECAS!$H$7:$H$5000, 0)), "-")</f>
        <v>MANTENIMIENTO</v>
      </c>
    </row>
    <row r="165" spans="1:9" x14ac:dyDescent="0.3">
      <c r="A165" s="543" t="s">
        <v>2857</v>
      </c>
      <c r="B165" s="543" t="s">
        <v>2858</v>
      </c>
      <c r="C165" s="543" t="s">
        <v>2210</v>
      </c>
      <c r="D165" s="543" t="s">
        <v>2859</v>
      </c>
      <c r="E165" s="6" t="str">
        <f>IFERROR(INDEX(ZACATECAS!$I$7:$I$5000, MATCH(F165*1, ZACATECAS!$H$7:$H$5000, 0)), "-")</f>
        <v>ENV 2</v>
      </c>
      <c r="F165" s="544">
        <v>32072205</v>
      </c>
      <c r="G165" s="544" t="s">
        <v>2215</v>
      </c>
      <c r="H165" s="543" t="s">
        <v>2860</v>
      </c>
      <c r="I165" s="6" t="str">
        <f>IFERROR(INDEX(ZACATECAS!$N$7:$N$5000, MATCH($F165, ZACATECAS!$H$7:$H$5000, 0)), "-")</f>
        <v>SEGURIDAD</v>
      </c>
    </row>
    <row r="166" spans="1:9" x14ac:dyDescent="0.3">
      <c r="A166" s="543" t="s">
        <v>2857</v>
      </c>
      <c r="B166" s="543" t="s">
        <v>2858</v>
      </c>
      <c r="C166" s="543" t="s">
        <v>2210</v>
      </c>
      <c r="D166" s="543" t="s">
        <v>2859</v>
      </c>
      <c r="E166" s="6" t="str">
        <f>IFERROR(INDEX(ZACATECAS!$I$7:$I$5000, MATCH(F166*1, ZACATECAS!$H$7:$H$5000, 0)), "-")</f>
        <v>ENV 2</v>
      </c>
      <c r="F166" s="546">
        <v>32149265</v>
      </c>
      <c r="G166" s="546" t="s">
        <v>2216</v>
      </c>
      <c r="H166" s="543" t="s">
        <v>2860</v>
      </c>
      <c r="I166" s="6" t="str">
        <f>IFERROR(INDEX(ZACATECAS!$N$7:$N$5000, MATCH($F166, ZACATECAS!$H$7:$H$5000, 0)), "-")</f>
        <v>CALIDAD</v>
      </c>
    </row>
    <row r="167" spans="1:9" x14ac:dyDescent="0.3">
      <c r="A167" s="543" t="s">
        <v>2857</v>
      </c>
      <c r="B167" s="543" t="s">
        <v>2858</v>
      </c>
      <c r="C167" s="543" t="s">
        <v>2210</v>
      </c>
      <c r="D167" s="543" t="s">
        <v>2859</v>
      </c>
      <c r="E167" s="6" t="str">
        <f>IFERROR(INDEX(ZACATECAS!$I$7:$I$5000, MATCH(F167*1, ZACATECAS!$H$7:$H$5000, 0)), "-")</f>
        <v>ENV 2</v>
      </c>
      <c r="F167" s="544">
        <v>32043831</v>
      </c>
      <c r="G167" s="544" t="s">
        <v>2217</v>
      </c>
      <c r="H167" s="543" t="s">
        <v>2860</v>
      </c>
      <c r="I167" s="6" t="str">
        <f>IFERROR(INDEX(ZACATECAS!$N$7:$N$5000, MATCH($F167, ZACATECAS!$H$7:$H$5000, 0)), "-")</f>
        <v>MEDIO AMBIENTE</v>
      </c>
    </row>
    <row r="168" spans="1:9" x14ac:dyDescent="0.3">
      <c r="A168" s="543" t="s">
        <v>2857</v>
      </c>
      <c r="B168" s="543" t="s">
        <v>2858</v>
      </c>
      <c r="C168" s="543" t="s">
        <v>2210</v>
      </c>
      <c r="D168" s="543" t="s">
        <v>2859</v>
      </c>
      <c r="E168" s="6" t="str">
        <f>IFERROR(INDEX(ZACATECAS!$I$7:$I$5000, MATCH(F168*1, ZACATECAS!$H$7:$H$5000, 0)), "-")</f>
        <v>ENV 2</v>
      </c>
      <c r="F168" s="544">
        <v>32045926</v>
      </c>
      <c r="G168" s="544" t="s">
        <v>2218</v>
      </c>
      <c r="H168" s="543" t="s">
        <v>2860</v>
      </c>
      <c r="I168" s="6" t="str">
        <f>IFERROR(INDEX(ZACATECAS!$N$7:$N$5000, MATCH($F168, ZACATECAS!$H$7:$H$5000, 0)), "-")</f>
        <v>APOYO SEGURIDAD</v>
      </c>
    </row>
    <row r="169" spans="1:9" x14ac:dyDescent="0.3">
      <c r="A169" s="543" t="s">
        <v>2857</v>
      </c>
      <c r="B169" s="543" t="s">
        <v>2858</v>
      </c>
      <c r="C169" s="543" t="s">
        <v>2210</v>
      </c>
      <c r="D169" s="543" t="s">
        <v>2859</v>
      </c>
      <c r="E169" s="6" t="str">
        <f>IFERROR(INDEX(ZACATECAS!$I$7:$I$5000, MATCH(F169*1, ZACATECAS!$H$7:$H$5000, 0)), "-")</f>
        <v>ENV 2</v>
      </c>
      <c r="F169" s="544">
        <v>32044693</v>
      </c>
      <c r="G169" s="544" t="s">
        <v>2219</v>
      </c>
      <c r="H169" s="543" t="s">
        <v>2860</v>
      </c>
      <c r="I169" s="6" t="str">
        <f>IFERROR(INDEX(ZACATECAS!$N$7:$N$5000, MATCH($F169, ZACATECAS!$H$7:$H$5000, 0)), "-")</f>
        <v>APOYO GESTION</v>
      </c>
    </row>
    <row r="170" spans="1:9" x14ac:dyDescent="0.3">
      <c r="A170" s="543" t="s">
        <v>2857</v>
      </c>
      <c r="B170" s="543" t="s">
        <v>2858</v>
      </c>
      <c r="C170" s="543" t="s">
        <v>2867</v>
      </c>
      <c r="D170" s="543" t="s">
        <v>2861</v>
      </c>
      <c r="E170" s="6" t="str">
        <f>IFERROR(INDEX(ZACATECAS!$I$7:$I$5000, MATCH(F170*1, ZACATECAS!$H$7:$H$5000, 0)), "-")</f>
        <v>-</v>
      </c>
      <c r="F170" s="544">
        <v>32147381</v>
      </c>
      <c r="G170" s="544" t="s">
        <v>817</v>
      </c>
      <c r="H170" s="543" t="s">
        <v>2344</v>
      </c>
      <c r="I170" s="6" t="str">
        <f>IFERROR(INDEX(ZACATECAS!$N$7:$N$5000, MATCH($F170, ZACATECAS!$H$7:$H$5000, 0)), "-")</f>
        <v>-</v>
      </c>
    </row>
    <row r="171" spans="1:9" x14ac:dyDescent="0.3">
      <c r="A171" s="543" t="s">
        <v>2857</v>
      </c>
      <c r="B171" s="543" t="s">
        <v>2858</v>
      </c>
      <c r="C171" s="543" t="s">
        <v>2867</v>
      </c>
      <c r="D171" s="543" t="s">
        <v>2861</v>
      </c>
      <c r="E171" s="6">
        <f>IFERROR(INDEX(ZACATECAS!$I$7:$I$5000, MATCH(F171*1, ZACATECAS!$H$7:$H$5000, 0)), "-")</f>
        <v>7</v>
      </c>
      <c r="F171" s="544">
        <v>32043822</v>
      </c>
      <c r="G171" s="544" t="s">
        <v>848</v>
      </c>
      <c r="H171" s="543" t="s">
        <v>2860</v>
      </c>
      <c r="I171" s="6" t="str">
        <f>IFERROR(INDEX(ZACATECAS!$N$7:$N$5000, MATCH($F171, ZACATECAS!$H$7:$H$5000, 0)), "-")</f>
        <v>APOYO GENTE</v>
      </c>
    </row>
    <row r="172" spans="1:9" x14ac:dyDescent="0.3">
      <c r="A172" s="543" t="s">
        <v>2857</v>
      </c>
      <c r="B172" s="543" t="s">
        <v>2858</v>
      </c>
      <c r="C172" s="543" t="s">
        <v>2867</v>
      </c>
      <c r="D172" s="543" t="s">
        <v>2861</v>
      </c>
      <c r="E172" s="6">
        <f>IFERROR(INDEX(ZACATECAS!$I$7:$I$5000, MATCH(F172*1, ZACATECAS!$H$7:$H$5000, 0)), "-")</f>
        <v>7</v>
      </c>
      <c r="F172" s="544">
        <v>32043910</v>
      </c>
      <c r="G172" s="544" t="s">
        <v>850</v>
      </c>
      <c r="H172" s="543" t="s">
        <v>2860</v>
      </c>
      <c r="I172" s="6" t="str">
        <f>IFERROR(INDEX(ZACATECAS!$N$7:$N$5000, MATCH($F172, ZACATECAS!$H$7:$H$5000, 0)), "-")</f>
        <v>APOYO DE SEGURIDAD</v>
      </c>
    </row>
    <row r="173" spans="1:9" x14ac:dyDescent="0.3">
      <c r="A173" s="543" t="s">
        <v>2857</v>
      </c>
      <c r="B173" s="543" t="s">
        <v>2858</v>
      </c>
      <c r="C173" s="543" t="s">
        <v>2867</v>
      </c>
      <c r="D173" s="543" t="s">
        <v>2861</v>
      </c>
      <c r="E173" s="6">
        <f>IFERROR(INDEX(ZACATECAS!$I$7:$I$5000, MATCH(F173*1, ZACATECAS!$H$7:$H$5000, 0)), "-")</f>
        <v>7</v>
      </c>
      <c r="F173" s="544">
        <v>32044014</v>
      </c>
      <c r="G173" s="544" t="s">
        <v>852</v>
      </c>
      <c r="H173" s="543" t="s">
        <v>2860</v>
      </c>
      <c r="I173" s="6" t="str">
        <f>IFERROR(INDEX(ZACATECAS!$N$7:$N$5000, MATCH($F173, ZACATECAS!$H$7:$H$5000, 0)), "-")</f>
        <v>CHAMPION GESTIÓN</v>
      </c>
    </row>
    <row r="174" spans="1:9" x14ac:dyDescent="0.3">
      <c r="A174" s="543" t="s">
        <v>2857</v>
      </c>
      <c r="B174" s="543" t="s">
        <v>2858</v>
      </c>
      <c r="C174" s="543" t="s">
        <v>2867</v>
      </c>
      <c r="D174" s="543" t="s">
        <v>2861</v>
      </c>
      <c r="E174" s="6">
        <f>IFERROR(INDEX(ZACATECAS!$I$7:$I$5000, MATCH(F174*1, ZACATECAS!$H$7:$H$5000, 0)), "-")</f>
        <v>7</v>
      </c>
      <c r="F174" s="544">
        <v>32044326</v>
      </c>
      <c r="G174" s="544" t="s">
        <v>853</v>
      </c>
      <c r="H174" s="543" t="s">
        <v>2860</v>
      </c>
      <c r="I174" s="6" t="str">
        <f>IFERROR(INDEX(ZACATECAS!$N$7:$N$5000, MATCH($F174, ZACATECAS!$H$7:$H$5000, 0)), "-")</f>
        <v>APOYO GESTION</v>
      </c>
    </row>
    <row r="175" spans="1:9" x14ac:dyDescent="0.3">
      <c r="A175" s="543" t="s">
        <v>2857</v>
      </c>
      <c r="B175" s="543" t="s">
        <v>2858</v>
      </c>
      <c r="C175" s="543" t="s">
        <v>2867</v>
      </c>
      <c r="D175" s="543" t="s">
        <v>2861</v>
      </c>
      <c r="E175" s="6">
        <f>IFERROR(INDEX(ZACATECAS!$I$7:$I$5000, MATCH(F175*1, ZACATECAS!$H$7:$H$5000, 0)), "-")</f>
        <v>7</v>
      </c>
      <c r="F175" s="546">
        <v>32044451</v>
      </c>
      <c r="G175" s="543" t="s">
        <v>854</v>
      </c>
      <c r="H175" s="543" t="s">
        <v>2860</v>
      </c>
      <c r="I175" s="6" t="str">
        <f>IFERROR(INDEX(ZACATECAS!$N$7:$N$5000, MATCH($F175, ZACATECAS!$H$7:$H$5000, 0)), "-")</f>
        <v>APOYO LOGISTICA</v>
      </c>
    </row>
    <row r="176" spans="1:9" x14ac:dyDescent="0.3">
      <c r="A176" s="543" t="s">
        <v>2857</v>
      </c>
      <c r="B176" s="543" t="s">
        <v>2858</v>
      </c>
      <c r="C176" s="543" t="s">
        <v>2867</v>
      </c>
      <c r="D176" s="543" t="s">
        <v>2861</v>
      </c>
      <c r="E176" s="6">
        <f>IFERROR(INDEX(ZACATECAS!$I$7:$I$5000, MATCH(F176*1, ZACATECAS!$H$7:$H$5000, 0)), "-")</f>
        <v>7</v>
      </c>
      <c r="F176" s="545">
        <v>32045614</v>
      </c>
      <c r="G176" s="545" t="s">
        <v>856</v>
      </c>
      <c r="H176" s="543" t="s">
        <v>2860</v>
      </c>
      <c r="I176" s="6" t="str">
        <f>IFERROR(INDEX(ZACATECAS!$N$7:$N$5000, MATCH($F176, ZACATECAS!$H$7:$H$5000, 0)), "-")</f>
        <v>CHAMPION AMBIENTAL</v>
      </c>
    </row>
    <row r="177" spans="1:9" x14ac:dyDescent="0.3">
      <c r="A177" s="543" t="s">
        <v>2857</v>
      </c>
      <c r="B177" s="543" t="s">
        <v>2858</v>
      </c>
      <c r="C177" s="543" t="s">
        <v>2867</v>
      </c>
      <c r="D177" s="543" t="s">
        <v>2861</v>
      </c>
      <c r="E177" s="6">
        <f>IFERROR(INDEX(ZACATECAS!$I$7:$I$5000, MATCH(F177*1, ZACATECAS!$H$7:$H$5000, 0)), "-")</f>
        <v>7</v>
      </c>
      <c r="F177" s="545">
        <v>32045785</v>
      </c>
      <c r="G177" s="545" t="s">
        <v>857</v>
      </c>
      <c r="H177" s="543" t="s">
        <v>2860</v>
      </c>
      <c r="I177" s="6" t="str">
        <f>IFERROR(INDEX(ZACATECAS!$N$7:$N$5000, MATCH($F177, ZACATECAS!$H$7:$H$5000, 0)), "-")</f>
        <v>CHAMPION GENTE</v>
      </c>
    </row>
    <row r="178" spans="1:9" x14ac:dyDescent="0.3">
      <c r="A178" s="543" t="s">
        <v>2857</v>
      </c>
      <c r="B178" s="543" t="s">
        <v>2858</v>
      </c>
      <c r="C178" s="543" t="s">
        <v>2867</v>
      </c>
      <c r="D178" s="543" t="s">
        <v>2861</v>
      </c>
      <c r="E178" s="6">
        <f>IFERROR(INDEX(ZACATECAS!$I$7:$I$5000, MATCH(F178*1, ZACATECAS!$H$7:$H$5000, 0)), "-")</f>
        <v>7</v>
      </c>
      <c r="F178" s="545">
        <v>32143045</v>
      </c>
      <c r="G178" s="545" t="s">
        <v>859</v>
      </c>
      <c r="H178" s="543" t="s">
        <v>2860</v>
      </c>
      <c r="I178" s="6" t="str">
        <f>IFERROR(INDEX(ZACATECAS!$N$7:$N$5000, MATCH($F178, ZACATECAS!$H$7:$H$5000, 0)), "-")</f>
        <v>CHAMPION CALIDAD</v>
      </c>
    </row>
    <row r="179" spans="1:9" x14ac:dyDescent="0.3">
      <c r="A179" s="543" t="s">
        <v>2857</v>
      </c>
      <c r="B179" s="543" t="s">
        <v>2858</v>
      </c>
      <c r="C179" s="543" t="s">
        <v>2867</v>
      </c>
      <c r="D179" s="543" t="s">
        <v>2861</v>
      </c>
      <c r="E179" s="6">
        <f>IFERROR(INDEX(ZACATECAS!$I$7:$I$5000, MATCH(F179*1, ZACATECAS!$H$7:$H$5000, 0)), "-")</f>
        <v>7</v>
      </c>
      <c r="F179" s="545">
        <v>32143283</v>
      </c>
      <c r="G179" s="545" t="s">
        <v>861</v>
      </c>
      <c r="H179" s="543" t="s">
        <v>2860</v>
      </c>
      <c r="I179" s="6" t="str">
        <f>IFERROR(INDEX(ZACATECAS!$N$7:$N$5000, MATCH($F179, ZACATECAS!$H$7:$H$5000, 0)), "-")</f>
        <v>CHAMPION MANTENIMINETO</v>
      </c>
    </row>
    <row r="180" spans="1:9" x14ac:dyDescent="0.3">
      <c r="A180" s="543" t="s">
        <v>2857</v>
      </c>
      <c r="B180" s="543" t="s">
        <v>2858</v>
      </c>
      <c r="C180" s="543" t="s">
        <v>2867</v>
      </c>
      <c r="D180" s="543" t="s">
        <v>2861</v>
      </c>
      <c r="E180" s="6">
        <f>IFERROR(INDEX(ZACATECAS!$I$7:$I$5000, MATCH(F180*1, ZACATECAS!$H$7:$H$5000, 0)), "-")</f>
        <v>7</v>
      </c>
      <c r="F180" s="544">
        <v>32149065</v>
      </c>
      <c r="G180" s="545" t="s">
        <v>864</v>
      </c>
      <c r="H180" s="543" t="s">
        <v>2860</v>
      </c>
      <c r="I180" s="6" t="str">
        <f>IFERROR(INDEX(ZACATECAS!$N$7:$N$5000, MATCH($F180, ZACATECAS!$H$7:$H$5000, 0)), "-")</f>
        <v>CHAMPION LOGISTICA</v>
      </c>
    </row>
    <row r="181" spans="1:9" x14ac:dyDescent="0.3">
      <c r="A181" s="543" t="s">
        <v>2857</v>
      </c>
      <c r="B181" s="543" t="s">
        <v>2858</v>
      </c>
      <c r="C181" s="543" t="s">
        <v>2867</v>
      </c>
      <c r="D181" s="543" t="s">
        <v>2861</v>
      </c>
      <c r="E181" s="6">
        <f>IFERROR(INDEX(ZACATECAS!$I$7:$I$5000, MATCH(F181*1, ZACATECAS!$H$7:$H$5000, 0)), "-")</f>
        <v>7</v>
      </c>
      <c r="F181" s="545">
        <v>32155886</v>
      </c>
      <c r="G181" s="546" t="s">
        <v>866</v>
      </c>
      <c r="H181" s="543" t="s">
        <v>2860</v>
      </c>
      <c r="I181" s="6" t="str">
        <f>IFERROR(INDEX(ZACATECAS!$N$7:$N$5000, MATCH($F181, ZACATECAS!$H$7:$H$5000, 0)), "-")</f>
        <v>APOYO MANTENIMIENTO</v>
      </c>
    </row>
    <row r="182" spans="1:9" x14ac:dyDescent="0.3">
      <c r="A182" s="543" t="s">
        <v>2857</v>
      </c>
      <c r="B182" s="543" t="s">
        <v>2858</v>
      </c>
      <c r="C182" s="543" t="s">
        <v>2867</v>
      </c>
      <c r="D182" s="543" t="s">
        <v>2861</v>
      </c>
      <c r="E182" s="6">
        <f>IFERROR(INDEX(ZACATECAS!$I$7:$I$5000, MATCH(F182*1, ZACATECAS!$H$7:$H$5000, 0)), "-")</f>
        <v>7</v>
      </c>
      <c r="F182" s="545">
        <v>32155903</v>
      </c>
      <c r="G182" s="546" t="s">
        <v>867</v>
      </c>
      <c r="H182" s="543" t="s">
        <v>2860</v>
      </c>
      <c r="I182" s="6" t="str">
        <f>IFERROR(INDEX(ZACATECAS!$N$7:$N$5000, MATCH($F182, ZACATECAS!$H$7:$H$5000, 0)), "-")</f>
        <v>CHAMPION DE SEGURIDAD</v>
      </c>
    </row>
    <row r="183" spans="1:9" x14ac:dyDescent="0.3">
      <c r="A183" s="543" t="s">
        <v>2857</v>
      </c>
      <c r="B183" s="543" t="s">
        <v>2858</v>
      </c>
      <c r="C183" s="543" t="s">
        <v>2867</v>
      </c>
      <c r="D183" s="543" t="s">
        <v>2861</v>
      </c>
      <c r="E183" s="6">
        <f>IFERROR(INDEX(ZACATECAS!$I$7:$I$5000, MATCH(F183*1, ZACATECAS!$H$7:$H$5000, 0)), "-")</f>
        <v>7</v>
      </c>
      <c r="F183" s="545">
        <v>32177944</v>
      </c>
      <c r="G183" s="546" t="s">
        <v>869</v>
      </c>
      <c r="H183" s="543" t="s">
        <v>2860</v>
      </c>
      <c r="I183" s="6" t="str">
        <f>IFERROR(INDEX(ZACATECAS!$N$7:$N$5000, MATCH($F183, ZACATECAS!$H$7:$H$5000, 0)), "-")</f>
        <v>APOYO AMBIENTAL</v>
      </c>
    </row>
    <row r="184" spans="1:9" x14ac:dyDescent="0.3">
      <c r="A184" s="543" t="s">
        <v>2857</v>
      </c>
      <c r="B184" s="543" t="s">
        <v>2858</v>
      </c>
      <c r="C184" s="543" t="s">
        <v>2867</v>
      </c>
      <c r="D184" s="546" t="s">
        <v>2861</v>
      </c>
      <c r="E184" s="6">
        <f>IFERROR(INDEX(ZACATECAS!$I$7:$I$5000, MATCH(F184*1, ZACATECAS!$H$7:$H$5000, 0)), "-")</f>
        <v>7</v>
      </c>
      <c r="F184" s="546">
        <v>32197887</v>
      </c>
      <c r="G184" s="546" t="s">
        <v>871</v>
      </c>
      <c r="H184" s="543" t="s">
        <v>2860</v>
      </c>
      <c r="I184" s="6" t="str">
        <f>IFERROR(INDEX(ZACATECAS!$N$7:$N$5000, MATCH($F184, ZACATECAS!$H$7:$H$5000, 0)), "-")</f>
        <v>CHAMPION GESTION</v>
      </c>
    </row>
    <row r="185" spans="1:9" x14ac:dyDescent="0.3">
      <c r="A185" s="543" t="s">
        <v>2857</v>
      </c>
      <c r="B185" s="543" t="s">
        <v>2858</v>
      </c>
      <c r="C185" s="543" t="s">
        <v>2867</v>
      </c>
      <c r="D185" s="546" t="s">
        <v>2861</v>
      </c>
      <c r="E185" s="6">
        <f>IFERROR(INDEX(ZACATECAS!$I$7:$I$5000, MATCH(F185*1, ZACATECAS!$H$7:$H$5000, 0)), "-")</f>
        <v>7</v>
      </c>
      <c r="F185" s="544">
        <v>32197919</v>
      </c>
      <c r="G185" s="544" t="s">
        <v>873</v>
      </c>
      <c r="H185" s="543" t="s">
        <v>2860</v>
      </c>
      <c r="I185" s="6" t="str">
        <f>IFERROR(INDEX(ZACATECAS!$N$7:$N$5000, MATCH($F185, ZACATECAS!$H$7:$H$5000, 0)), "-")</f>
        <v>APOYO AMBIENTAL</v>
      </c>
    </row>
    <row r="186" spans="1:9" x14ac:dyDescent="0.3">
      <c r="A186" s="543" t="s">
        <v>2857</v>
      </c>
      <c r="B186" s="543" t="s">
        <v>2858</v>
      </c>
      <c r="C186" s="543" t="s">
        <v>1869</v>
      </c>
      <c r="D186" s="546" t="s">
        <v>2868</v>
      </c>
      <c r="E186" s="6" t="str">
        <f>IFERROR(INDEX(ZACATECAS!$I$7:$I$5000, MATCH(F186*1, ZACATECAS!$H$7:$H$5000, 0)), "-")</f>
        <v>-</v>
      </c>
      <c r="F186" s="544">
        <v>32172003</v>
      </c>
      <c r="G186" s="544" t="s">
        <v>1870</v>
      </c>
      <c r="H186" s="543" t="s">
        <v>2344</v>
      </c>
      <c r="I186" s="6" t="str">
        <f>IFERROR(INDEX(ZACATECAS!$N$7:$N$5000, MATCH($F186, ZACATECAS!$H$7:$H$5000, 0)), "-")</f>
        <v>-</v>
      </c>
    </row>
    <row r="187" spans="1:9" x14ac:dyDescent="0.3">
      <c r="A187" s="543" t="s">
        <v>2857</v>
      </c>
      <c r="B187" s="543" t="s">
        <v>2858</v>
      </c>
      <c r="C187" s="543" t="s">
        <v>1869</v>
      </c>
      <c r="D187" s="546" t="s">
        <v>2868</v>
      </c>
      <c r="E187" s="6">
        <f>IFERROR(INDEX(ZACATECAS!$I$7:$I$5000, MATCH(F187*1, ZACATECAS!$H$7:$H$5000, 0)), "-")</f>
        <v>0</v>
      </c>
      <c r="F187" s="544">
        <v>32044171</v>
      </c>
      <c r="G187" s="544" t="s">
        <v>1872</v>
      </c>
      <c r="H187" s="543" t="s">
        <v>2860</v>
      </c>
      <c r="I187" s="6" t="str">
        <f>IFERROR(INDEX(ZACATECAS!$N$7:$N$5000, MATCH($F187, ZACATECAS!$H$7:$H$5000, 0)), "-")</f>
        <v>AMBIENTAL</v>
      </c>
    </row>
    <row r="188" spans="1:9" x14ac:dyDescent="0.3">
      <c r="A188" s="543" t="s">
        <v>2857</v>
      </c>
      <c r="B188" s="543" t="s">
        <v>2858</v>
      </c>
      <c r="C188" s="543" t="s">
        <v>1869</v>
      </c>
      <c r="D188" s="546" t="s">
        <v>2868</v>
      </c>
      <c r="E188" s="6">
        <f>IFERROR(INDEX(ZACATECAS!$I$7:$I$5000, MATCH(F188*1, ZACATECAS!$H$7:$H$5000, 0)), "-")</f>
        <v>0</v>
      </c>
      <c r="F188" s="544">
        <v>32222294</v>
      </c>
      <c r="G188" s="544" t="s">
        <v>1874</v>
      </c>
      <c r="H188" s="543" t="s">
        <v>2860</v>
      </c>
      <c r="I188" s="6" t="str">
        <f>IFERROR(INDEX(ZACATECAS!$N$7:$N$5000, MATCH($F188, ZACATECAS!$H$7:$H$5000, 0)), "-")</f>
        <v>CALIDAD</v>
      </c>
    </row>
    <row r="189" spans="1:9" x14ac:dyDescent="0.3">
      <c r="A189" s="543" t="s">
        <v>2857</v>
      </c>
      <c r="B189" s="543" t="s">
        <v>2858</v>
      </c>
      <c r="C189" s="543" t="s">
        <v>1869</v>
      </c>
      <c r="D189" s="546" t="s">
        <v>2868</v>
      </c>
      <c r="E189" s="6">
        <f>IFERROR(INDEX(ZACATECAS!$I$7:$I$5000, MATCH(F189*1, ZACATECAS!$H$7:$H$5000, 0)), "-")</f>
        <v>0</v>
      </c>
      <c r="F189" s="544">
        <v>32173437</v>
      </c>
      <c r="G189" s="544" t="s">
        <v>1876</v>
      </c>
      <c r="H189" s="543" t="s">
        <v>2860</v>
      </c>
      <c r="I189" s="6" t="str">
        <f>IFERROR(INDEX(ZACATECAS!$N$7:$N$5000, MATCH($F189, ZACATECAS!$H$7:$H$5000, 0)), "-")</f>
        <v>AMBIENTAL</v>
      </c>
    </row>
    <row r="190" spans="1:9" x14ac:dyDescent="0.3">
      <c r="A190" s="543" t="s">
        <v>2857</v>
      </c>
      <c r="B190" s="543" t="s">
        <v>2858</v>
      </c>
      <c r="C190" s="543" t="s">
        <v>1869</v>
      </c>
      <c r="D190" s="546" t="s">
        <v>2868</v>
      </c>
      <c r="E190" s="6">
        <f>IFERROR(INDEX(ZACATECAS!$I$7:$I$5000, MATCH(F190*1, ZACATECAS!$H$7:$H$5000, 0)), "-")</f>
        <v>0</v>
      </c>
      <c r="F190" s="544">
        <v>32132176</v>
      </c>
      <c r="G190" s="544" t="s">
        <v>1878</v>
      </c>
      <c r="H190" s="543" t="s">
        <v>2860</v>
      </c>
      <c r="I190" s="6" t="str">
        <f>IFERROR(INDEX(ZACATECAS!$N$7:$N$5000, MATCH($F190, ZACATECAS!$H$7:$H$5000, 0)), "-")</f>
        <v>SEGURIDAD</v>
      </c>
    </row>
    <row r="191" spans="1:9" x14ac:dyDescent="0.3">
      <c r="A191" s="543" t="s">
        <v>2857</v>
      </c>
      <c r="B191" s="543" t="s">
        <v>2858</v>
      </c>
      <c r="C191" s="543" t="s">
        <v>1869</v>
      </c>
      <c r="D191" s="546" t="s">
        <v>2868</v>
      </c>
      <c r="E191" s="6">
        <f>IFERROR(INDEX(ZACATECAS!$I$7:$I$5000, MATCH(F191*1, ZACATECAS!$H$7:$H$5000, 0)), "-")</f>
        <v>0</v>
      </c>
      <c r="F191" s="544">
        <v>32136495</v>
      </c>
      <c r="G191" s="544" t="s">
        <v>1880</v>
      </c>
      <c r="H191" s="543" t="s">
        <v>2860</v>
      </c>
      <c r="I191" s="6" t="str">
        <f>IFERROR(INDEX(ZACATECAS!$N$7:$N$5000, MATCH($F191, ZACATECAS!$H$7:$H$5000, 0)), "-")</f>
        <v>GENTE/GESTION</v>
      </c>
    </row>
    <row r="192" spans="1:9" x14ac:dyDescent="0.3">
      <c r="A192" s="543" t="s">
        <v>2857</v>
      </c>
      <c r="B192" s="543" t="s">
        <v>2858</v>
      </c>
      <c r="C192" s="543" t="s">
        <v>1869</v>
      </c>
      <c r="D192" s="546" t="s">
        <v>2868</v>
      </c>
      <c r="E192" s="6">
        <f>IFERROR(INDEX(ZACATECAS!$I$7:$I$5000, MATCH(F192*1, ZACATECAS!$H$7:$H$5000, 0)), "-")</f>
        <v>0</v>
      </c>
      <c r="F192" s="544">
        <v>32046099</v>
      </c>
      <c r="G192" s="544" t="s">
        <v>1882</v>
      </c>
      <c r="H192" s="543" t="s">
        <v>2860</v>
      </c>
      <c r="I192" s="6" t="str">
        <f>IFERROR(INDEX(ZACATECAS!$N$7:$N$5000, MATCH($F192, ZACATECAS!$H$7:$H$5000, 0)), "-")</f>
        <v>SEGURIDAD</v>
      </c>
    </row>
    <row r="193" spans="1:9" x14ac:dyDescent="0.3">
      <c r="A193" s="543" t="s">
        <v>2857</v>
      </c>
      <c r="B193" s="543" t="s">
        <v>2858</v>
      </c>
      <c r="C193" s="543" t="s">
        <v>1869</v>
      </c>
      <c r="D193" s="546" t="s">
        <v>2868</v>
      </c>
      <c r="E193" s="6">
        <f>IFERROR(INDEX(ZACATECAS!$I$7:$I$5000, MATCH(F193*1, ZACATECAS!$H$7:$H$5000, 0)), "-")</f>
        <v>0</v>
      </c>
      <c r="F193" s="544">
        <v>32043967</v>
      </c>
      <c r="G193" s="544" t="s">
        <v>1884</v>
      </c>
      <c r="H193" s="543" t="s">
        <v>2860</v>
      </c>
      <c r="I193" s="6" t="str">
        <f>IFERROR(INDEX(ZACATECAS!$N$7:$N$5000, MATCH($F193, ZACATECAS!$H$7:$H$5000, 0)), "-")</f>
        <v>MANTENIMIENTO</v>
      </c>
    </row>
    <row r="194" spans="1:9" x14ac:dyDescent="0.3">
      <c r="A194" s="543" t="s">
        <v>2857</v>
      </c>
      <c r="B194" s="543" t="s">
        <v>2858</v>
      </c>
      <c r="C194" s="543" t="s">
        <v>1869</v>
      </c>
      <c r="D194" s="546" t="s">
        <v>2868</v>
      </c>
      <c r="E194" s="6">
        <f>IFERROR(INDEX(ZACATECAS!$I$7:$I$5000, MATCH(F194*1, ZACATECAS!$H$7:$H$5000, 0)), "-")</f>
        <v>0</v>
      </c>
      <c r="F194" s="544">
        <v>32043915</v>
      </c>
      <c r="G194" s="544" t="s">
        <v>1886</v>
      </c>
      <c r="H194" s="543" t="s">
        <v>2860</v>
      </c>
      <c r="I194" s="6" t="str">
        <f>IFERROR(INDEX(ZACATECAS!$N$7:$N$5000, MATCH($F194, ZACATECAS!$H$7:$H$5000, 0)), "-")</f>
        <v>GENTE/GESTION</v>
      </c>
    </row>
    <row r="195" spans="1:9" x14ac:dyDescent="0.3">
      <c r="A195" s="543" t="s">
        <v>2857</v>
      </c>
      <c r="B195" s="543" t="s">
        <v>2858</v>
      </c>
      <c r="C195" s="543" t="s">
        <v>1869</v>
      </c>
      <c r="D195" s="546" t="s">
        <v>2868</v>
      </c>
      <c r="E195" s="6">
        <f>IFERROR(INDEX(ZACATECAS!$I$7:$I$5000, MATCH(F195*1, ZACATECAS!$H$7:$H$5000, 0)), "-")</f>
        <v>0</v>
      </c>
      <c r="F195" s="544">
        <v>32043745</v>
      </c>
      <c r="G195" s="544" t="s">
        <v>1888</v>
      </c>
      <c r="H195" s="543" t="s">
        <v>2860</v>
      </c>
      <c r="I195" s="6" t="str">
        <f>IFERROR(INDEX(ZACATECAS!$N$7:$N$5000, MATCH($F195, ZACATECAS!$H$7:$H$5000, 0)), "-")</f>
        <v>CALIDAD</v>
      </c>
    </row>
    <row r="196" spans="1:9" x14ac:dyDescent="0.3">
      <c r="A196" s="543" t="s">
        <v>2857</v>
      </c>
      <c r="B196" s="543" t="s">
        <v>2858</v>
      </c>
      <c r="C196" s="543" t="s">
        <v>1869</v>
      </c>
      <c r="D196" s="546" t="s">
        <v>2868</v>
      </c>
      <c r="E196" s="6">
        <f>IFERROR(INDEX(ZACATECAS!$I$7:$I$5000, MATCH(F196*1, ZACATECAS!$H$7:$H$5000, 0)), "-")</f>
        <v>0</v>
      </c>
      <c r="F196" s="544">
        <v>32043836</v>
      </c>
      <c r="G196" s="544" t="s">
        <v>1890</v>
      </c>
      <c r="H196" s="543" t="s">
        <v>2860</v>
      </c>
      <c r="I196" s="6" t="str">
        <f>IFERROR(INDEX(ZACATECAS!$N$7:$N$5000, MATCH($F196, ZACATECAS!$H$7:$H$5000, 0)), "-")</f>
        <v>GENTE/GESTION</v>
      </c>
    </row>
    <row r="197" spans="1:9" x14ac:dyDescent="0.3">
      <c r="A197" s="543" t="s">
        <v>2857</v>
      </c>
      <c r="B197" s="543" t="s">
        <v>2858</v>
      </c>
      <c r="C197" s="543" t="s">
        <v>1869</v>
      </c>
      <c r="D197" s="546" t="s">
        <v>2868</v>
      </c>
      <c r="E197" s="6">
        <f>IFERROR(INDEX(ZACATECAS!$I$7:$I$5000, MATCH(F197*1, ZACATECAS!$H$7:$H$5000, 0)), "-")</f>
        <v>0</v>
      </c>
      <c r="F197" s="544">
        <v>32043856</v>
      </c>
      <c r="G197" s="544" t="s">
        <v>1892</v>
      </c>
      <c r="H197" s="543" t="s">
        <v>2860</v>
      </c>
      <c r="I197" s="6" t="str">
        <f>IFERROR(INDEX(ZACATECAS!$N$7:$N$5000, MATCH($F197, ZACATECAS!$H$7:$H$5000, 0)), "-")</f>
        <v>MANTENIMIENTO</v>
      </c>
    </row>
    <row r="198" spans="1:9" x14ac:dyDescent="0.3">
      <c r="A198" s="543" t="s">
        <v>2857</v>
      </c>
      <c r="B198" s="543" t="s">
        <v>2858</v>
      </c>
      <c r="C198" s="543" t="s">
        <v>2273</v>
      </c>
      <c r="D198" s="546" t="s">
        <v>2859</v>
      </c>
      <c r="E198" s="6" t="str">
        <f>IFERROR(INDEX(ZACATECAS!$I$7:$I$5000, MATCH(F198*1, ZACATECAS!$H$7:$H$5000, 0)), "-")</f>
        <v>-</v>
      </c>
      <c r="F198" s="544">
        <v>32044061</v>
      </c>
      <c r="G198" s="544" t="s">
        <v>2274</v>
      </c>
      <c r="H198" s="543" t="s">
        <v>2344</v>
      </c>
      <c r="I198" s="6" t="str">
        <f>IFERROR(INDEX(ZACATECAS!$N$7:$N$5000, MATCH($F198, ZACATECAS!$H$7:$H$5000, 0)), "-")</f>
        <v>-</v>
      </c>
    </row>
    <row r="199" spans="1:9" x14ac:dyDescent="0.3">
      <c r="A199" s="543" t="s">
        <v>2857</v>
      </c>
      <c r="B199" s="543" t="s">
        <v>2858</v>
      </c>
      <c r="C199" s="543" t="s">
        <v>2273</v>
      </c>
      <c r="D199" s="546" t="s">
        <v>2859</v>
      </c>
      <c r="E199" s="6" t="str">
        <f>IFERROR(INDEX(ZACATECAS!$I$7:$I$5000, MATCH(F199*1, ZACATECAS!$H$7:$H$5000, 0)), "-")</f>
        <v>ENV 3</v>
      </c>
      <c r="F199" s="544">
        <v>32043950</v>
      </c>
      <c r="G199" s="544" t="s">
        <v>2275</v>
      </c>
      <c r="H199" s="543" t="s">
        <v>2860</v>
      </c>
      <c r="I199" s="6" t="str">
        <f>IFERROR(INDEX(ZACATECAS!$N$7:$N$5000, MATCH($F199, ZACATECAS!$H$7:$H$5000, 0)), "-")</f>
        <v xml:space="preserve">MEDIO AMBIENTE </v>
      </c>
    </row>
    <row r="200" spans="1:9" x14ac:dyDescent="0.3">
      <c r="A200" s="543" t="s">
        <v>2857</v>
      </c>
      <c r="B200" s="543" t="s">
        <v>2858</v>
      </c>
      <c r="C200" s="543" t="s">
        <v>2273</v>
      </c>
      <c r="D200" s="543" t="s">
        <v>2859</v>
      </c>
      <c r="E200" s="6" t="str">
        <f>IFERROR(INDEX(ZACATECAS!$I$7:$I$5000, MATCH(F200*1, ZACATECAS!$H$7:$H$5000, 0)), "-")</f>
        <v>ENV 3</v>
      </c>
      <c r="F200" s="544">
        <v>32146000</v>
      </c>
      <c r="G200" s="544" t="s">
        <v>2277</v>
      </c>
      <c r="H200" s="543" t="s">
        <v>2860</v>
      </c>
      <c r="I200" s="6" t="str">
        <f>IFERROR(INDEX(ZACATECAS!$N$7:$N$5000, MATCH($F200, ZACATECAS!$H$7:$H$5000, 0)), "-")</f>
        <v>SEGURIDAD</v>
      </c>
    </row>
    <row r="201" spans="1:9" x14ac:dyDescent="0.3">
      <c r="A201" s="543" t="s">
        <v>2857</v>
      </c>
      <c r="B201" s="543" t="s">
        <v>2858</v>
      </c>
      <c r="C201" s="543" t="s">
        <v>2273</v>
      </c>
      <c r="D201" s="543" t="s">
        <v>2859</v>
      </c>
      <c r="E201" s="6" t="str">
        <f>IFERROR(INDEX(ZACATECAS!$I$7:$I$5000, MATCH(F201*1, ZACATECAS!$H$7:$H$5000, 0)), "-")</f>
        <v>ENV 3</v>
      </c>
      <c r="F201" s="544">
        <v>32044814</v>
      </c>
      <c r="G201" s="544" t="s">
        <v>2278</v>
      </c>
      <c r="H201" s="543" t="s">
        <v>2860</v>
      </c>
      <c r="I201" s="6" t="str">
        <f>IFERROR(INDEX(ZACATECAS!$N$7:$N$5000, MATCH($F201, ZACATECAS!$H$7:$H$5000, 0)), "-")</f>
        <v>GESTION</v>
      </c>
    </row>
    <row r="202" spans="1:9" x14ac:dyDescent="0.3">
      <c r="A202" s="543" t="s">
        <v>2857</v>
      </c>
      <c r="B202" s="543" t="s">
        <v>2858</v>
      </c>
      <c r="C202" s="543" t="s">
        <v>2273</v>
      </c>
      <c r="D202" s="543" t="s">
        <v>2859</v>
      </c>
      <c r="E202" s="6" t="str">
        <f>IFERROR(INDEX(ZACATECAS!$I$7:$I$5000, MATCH(F202*1, ZACATECAS!$H$7:$H$5000, 0)), "-")</f>
        <v>ENV 3</v>
      </c>
      <c r="F202" s="546">
        <v>32044357</v>
      </c>
      <c r="G202" s="544" t="s">
        <v>2279</v>
      </c>
      <c r="H202" s="543" t="s">
        <v>2860</v>
      </c>
      <c r="I202" s="6" t="str">
        <f>IFERROR(INDEX(ZACATECAS!$N$7:$N$5000, MATCH($F202, ZACATECAS!$H$7:$H$5000, 0)), "-")</f>
        <v>APOYO MEDIO AMBIENTE</v>
      </c>
    </row>
    <row r="203" spans="1:9" x14ac:dyDescent="0.3">
      <c r="A203" s="543" t="s">
        <v>2857</v>
      </c>
      <c r="B203" s="543" t="s">
        <v>2858</v>
      </c>
      <c r="C203" s="543" t="s">
        <v>2273</v>
      </c>
      <c r="D203" s="543" t="s">
        <v>2859</v>
      </c>
      <c r="E203" s="6" t="str">
        <f>IFERROR(INDEX(ZACATECAS!$I$7:$I$5000, MATCH(F203*1, ZACATECAS!$H$7:$H$5000, 0)), "-")</f>
        <v>ENV 3</v>
      </c>
      <c r="F203" s="544">
        <v>32044072</v>
      </c>
      <c r="G203" s="544" t="s">
        <v>2280</v>
      </c>
      <c r="H203" s="543" t="s">
        <v>2860</v>
      </c>
      <c r="I203" s="6" t="str">
        <f>IFERROR(INDEX(ZACATECAS!$N$7:$N$5000, MATCH($F203, ZACATECAS!$H$7:$H$5000, 0)), "-")</f>
        <v xml:space="preserve">MANTENIMIENTO </v>
      </c>
    </row>
    <row r="204" spans="1:9" x14ac:dyDescent="0.3">
      <c r="A204" s="543" t="s">
        <v>2857</v>
      </c>
      <c r="B204" s="543" t="s">
        <v>2858</v>
      </c>
      <c r="C204" s="543" t="s">
        <v>2273</v>
      </c>
      <c r="D204" s="543" t="s">
        <v>2859</v>
      </c>
      <c r="E204" s="6" t="str">
        <f>IFERROR(INDEX(ZACATECAS!$I$7:$I$5000, MATCH(F204*1, ZACATECAS!$H$7:$H$5000, 0)), "-")</f>
        <v>ENV 3</v>
      </c>
      <c r="F204" s="544">
        <v>32061266</v>
      </c>
      <c r="G204" s="544" t="s">
        <v>2281</v>
      </c>
      <c r="H204" s="543" t="s">
        <v>2860</v>
      </c>
      <c r="I204" s="6" t="str">
        <f>IFERROR(INDEX(ZACATECAS!$N$7:$N$5000, MATCH($F204, ZACATECAS!$H$7:$H$5000, 0)), "-")</f>
        <v>CALIDAD</v>
      </c>
    </row>
    <row r="205" spans="1:9" x14ac:dyDescent="0.3">
      <c r="A205" s="543" t="s">
        <v>2857</v>
      </c>
      <c r="B205" s="543" t="s">
        <v>2858</v>
      </c>
      <c r="C205" s="543" t="s">
        <v>2273</v>
      </c>
      <c r="D205" s="543" t="s">
        <v>2859</v>
      </c>
      <c r="E205" s="6" t="str">
        <f>IFERROR(INDEX(ZACATECAS!$I$7:$I$5000, MATCH(F205*1, ZACATECAS!$H$7:$H$5000, 0)), "-")</f>
        <v>ENV 3</v>
      </c>
      <c r="F205" s="544">
        <v>32146281</v>
      </c>
      <c r="G205" s="544" t="s">
        <v>2282</v>
      </c>
      <c r="H205" s="543" t="s">
        <v>2860</v>
      </c>
      <c r="I205" s="6" t="str">
        <f>IFERROR(INDEX(ZACATECAS!$N$7:$N$5000, MATCH($F205, ZACATECAS!$H$7:$H$5000, 0)), "-")</f>
        <v>GENTE</v>
      </c>
    </row>
    <row r="206" spans="1:9" x14ac:dyDescent="0.3">
      <c r="A206" s="543" t="s">
        <v>2857</v>
      </c>
      <c r="B206" s="543" t="s">
        <v>2858</v>
      </c>
      <c r="C206" s="543" t="s">
        <v>2273</v>
      </c>
      <c r="D206" s="543" t="s">
        <v>2859</v>
      </c>
      <c r="E206" s="6" t="str">
        <f>IFERROR(INDEX(ZACATECAS!$I$7:$I$5000, MATCH(F206*1, ZACATECAS!$H$7:$H$5000, 0)), "-")</f>
        <v>ENV 3</v>
      </c>
      <c r="F206" s="544">
        <v>32045476</v>
      </c>
      <c r="G206" s="544" t="s">
        <v>2283</v>
      </c>
      <c r="H206" s="543" t="s">
        <v>2860</v>
      </c>
      <c r="I206" s="6" t="str">
        <f>IFERROR(INDEX(ZACATECAS!$N$7:$N$5000, MATCH($F206, ZACATECAS!$H$7:$H$5000, 0)), "-")</f>
        <v>APOYO SEGURIDAD</v>
      </c>
    </row>
    <row r="207" spans="1:9" x14ac:dyDescent="0.3">
      <c r="A207" s="543" t="s">
        <v>2857</v>
      </c>
      <c r="B207" s="543" t="s">
        <v>2858</v>
      </c>
      <c r="C207" s="543" t="s">
        <v>1530</v>
      </c>
      <c r="D207" s="543" t="s">
        <v>2861</v>
      </c>
      <c r="E207" s="6" t="str">
        <f>IFERROR(INDEX(ZACATECAS!$I$7:$I$5000, MATCH(F207*1, ZACATECAS!$H$7:$H$5000, 0)), "-")</f>
        <v>-</v>
      </c>
      <c r="F207" s="546">
        <v>32223878</v>
      </c>
      <c r="G207" s="544" t="s">
        <v>1504</v>
      </c>
      <c r="H207" s="543" t="s">
        <v>2344</v>
      </c>
      <c r="I207" s="6" t="str">
        <f>IFERROR(INDEX(ZACATECAS!$N$7:$N$5000, MATCH($F207, ZACATECAS!$H$7:$H$5000, 0)), "-")</f>
        <v>-</v>
      </c>
    </row>
    <row r="208" spans="1:9" x14ac:dyDescent="0.3">
      <c r="A208" s="543" t="s">
        <v>2857</v>
      </c>
      <c r="B208" s="543" t="s">
        <v>2858</v>
      </c>
      <c r="C208" s="543" t="s">
        <v>1530</v>
      </c>
      <c r="D208" s="543" t="s">
        <v>2861</v>
      </c>
      <c r="E208" s="6" t="str">
        <f>IFERROR(INDEX(ZACATECAS!$I$7:$I$5000, MATCH(F208*1, ZACATECAS!$H$7:$H$5000, 0)), "-")</f>
        <v>MIXTO 6-9</v>
      </c>
      <c r="F208" s="544">
        <v>32045186</v>
      </c>
      <c r="G208" s="544" t="s">
        <v>1532</v>
      </c>
      <c r="H208" s="543" t="s">
        <v>2860</v>
      </c>
      <c r="I208" s="6" t="str">
        <f>IFERROR(INDEX(ZACATECAS!$N$7:$N$5000, MATCH($F208, ZACATECAS!$H$7:$H$5000, 0)), "-")</f>
        <v>CHAMPION DE MANTENIMIENTO</v>
      </c>
    </row>
    <row r="209" spans="1:9" x14ac:dyDescent="0.3">
      <c r="A209" s="543" t="s">
        <v>2857</v>
      </c>
      <c r="B209" s="543" t="s">
        <v>2858</v>
      </c>
      <c r="C209" s="543" t="s">
        <v>1530</v>
      </c>
      <c r="D209" s="543" t="s">
        <v>2861</v>
      </c>
      <c r="E209" s="6" t="str">
        <f>IFERROR(INDEX(ZACATECAS!$I$7:$I$5000, MATCH(F209*1, ZACATECAS!$H$7:$H$5000, 0)), "-")</f>
        <v>MIXTO 6-9</v>
      </c>
      <c r="F209" s="544">
        <v>32045625</v>
      </c>
      <c r="G209" s="544" t="s">
        <v>1534</v>
      </c>
      <c r="H209" s="543" t="s">
        <v>2860</v>
      </c>
      <c r="I209" s="6" t="str">
        <f>IFERROR(INDEX(ZACATECAS!$N$7:$N$5000, MATCH($F209, ZACATECAS!$H$7:$H$5000, 0)), "-")</f>
        <v xml:space="preserve">APOYO DE SEGURIDAD </v>
      </c>
    </row>
    <row r="210" spans="1:9" x14ac:dyDescent="0.3">
      <c r="A210" s="543" t="s">
        <v>2857</v>
      </c>
      <c r="B210" s="543" t="s">
        <v>2858</v>
      </c>
      <c r="C210" s="543" t="s">
        <v>1530</v>
      </c>
      <c r="D210" s="543" t="s">
        <v>2861</v>
      </c>
      <c r="E210" s="6" t="str">
        <f>IFERROR(INDEX(ZACATECAS!$I$7:$I$5000, MATCH(F210*1, ZACATECAS!$H$7:$H$5000, 0)), "-")</f>
        <v>MIXTO 6-9</v>
      </c>
      <c r="F210" s="544">
        <v>32045964</v>
      </c>
      <c r="G210" s="544" t="s">
        <v>1536</v>
      </c>
      <c r="H210" s="543" t="s">
        <v>2860</v>
      </c>
      <c r="I210" s="6" t="str">
        <f>IFERROR(INDEX(ZACATECAS!$N$7:$N$5000, MATCH($F210, ZACATECAS!$H$7:$H$5000, 0)), "-")</f>
        <v>APOYO LOGISTICA</v>
      </c>
    </row>
    <row r="211" spans="1:9" x14ac:dyDescent="0.3">
      <c r="A211" s="543" t="s">
        <v>2857</v>
      </c>
      <c r="B211" s="543" t="s">
        <v>2858</v>
      </c>
      <c r="C211" s="543" t="s">
        <v>1530</v>
      </c>
      <c r="D211" s="543" t="s">
        <v>2861</v>
      </c>
      <c r="E211" s="6" t="str">
        <f>IFERROR(INDEX(ZACATECAS!$I$7:$I$5000, MATCH(F211*1, ZACATECAS!$H$7:$H$5000, 0)), "-")</f>
        <v>MIXTO 6-9</v>
      </c>
      <c r="F211" s="544">
        <v>32046048</v>
      </c>
      <c r="G211" s="544" t="s">
        <v>1538</v>
      </c>
      <c r="H211" s="543" t="s">
        <v>2860</v>
      </c>
      <c r="I211" s="6" t="str">
        <f>IFERROR(INDEX(ZACATECAS!$N$7:$N$5000, MATCH($F211, ZACATECAS!$H$7:$H$5000, 0)), "-")</f>
        <v>APOYO AMBIENTAL</v>
      </c>
    </row>
    <row r="212" spans="1:9" x14ac:dyDescent="0.3">
      <c r="A212" s="543" t="s">
        <v>2857</v>
      </c>
      <c r="B212" s="543" t="s">
        <v>2858</v>
      </c>
      <c r="C212" s="543" t="s">
        <v>1530</v>
      </c>
      <c r="D212" s="543" t="s">
        <v>2861</v>
      </c>
      <c r="E212" s="6" t="str">
        <f>IFERROR(INDEX(ZACATECAS!$I$7:$I$5000, MATCH(F212*1, ZACATECAS!$H$7:$H$5000, 0)), "-")</f>
        <v>MIXTO 6-9</v>
      </c>
      <c r="F212" s="546">
        <v>32046494</v>
      </c>
      <c r="G212" s="543" t="s">
        <v>1540</v>
      </c>
      <c r="H212" s="543" t="s">
        <v>2860</v>
      </c>
      <c r="I212" s="6" t="str">
        <f>IFERROR(INDEX(ZACATECAS!$N$7:$N$5000, MATCH($F212, ZACATECAS!$H$7:$H$5000, 0)), "-")</f>
        <v>CHAMPION AMBIENTAL</v>
      </c>
    </row>
    <row r="213" spans="1:9" x14ac:dyDescent="0.3">
      <c r="A213" s="543" t="s">
        <v>2857</v>
      </c>
      <c r="B213" s="543" t="s">
        <v>2858</v>
      </c>
      <c r="C213" s="543" t="s">
        <v>1530</v>
      </c>
      <c r="D213" s="543" t="s">
        <v>2861</v>
      </c>
      <c r="E213" s="6" t="str">
        <f>IFERROR(INDEX(ZACATECAS!$I$7:$I$5000, MATCH(F213*1, ZACATECAS!$H$7:$H$5000, 0)), "-")</f>
        <v>MIXTO 6-9</v>
      </c>
      <c r="F213" s="545">
        <v>32132180</v>
      </c>
      <c r="G213" s="544" t="s">
        <v>1542</v>
      </c>
      <c r="H213" s="543" t="s">
        <v>2860</v>
      </c>
      <c r="I213" s="6" t="str">
        <f>IFERROR(INDEX(ZACATECAS!$N$7:$N$5000, MATCH($F213, ZACATECAS!$H$7:$H$5000, 0)), "-")</f>
        <v>APOYO DE GENTE</v>
      </c>
    </row>
    <row r="214" spans="1:9" x14ac:dyDescent="0.3">
      <c r="A214" s="543" t="s">
        <v>2857</v>
      </c>
      <c r="B214" s="543" t="s">
        <v>2858</v>
      </c>
      <c r="C214" s="543" t="s">
        <v>1530</v>
      </c>
      <c r="D214" s="543" t="s">
        <v>2861</v>
      </c>
      <c r="E214" s="6" t="str">
        <f>IFERROR(INDEX(ZACATECAS!$I$7:$I$5000, MATCH(F214*1, ZACATECAS!$H$7:$H$5000, 0)), "-")</f>
        <v>MIXTO 6-9</v>
      </c>
      <c r="F214" s="545">
        <v>32136718</v>
      </c>
      <c r="G214" s="545" t="s">
        <v>1543</v>
      </c>
      <c r="H214" s="543" t="s">
        <v>2860</v>
      </c>
      <c r="I214" s="6" t="str">
        <f>IFERROR(INDEX(ZACATECAS!$N$7:$N$5000, MATCH($F214, ZACATECAS!$H$7:$H$5000, 0)), "-")</f>
        <v xml:space="preserve">CHAMPION DE SEGURIDAD </v>
      </c>
    </row>
    <row r="215" spans="1:9" x14ac:dyDescent="0.3">
      <c r="A215" s="543" t="s">
        <v>2857</v>
      </c>
      <c r="B215" s="543" t="s">
        <v>2858</v>
      </c>
      <c r="C215" s="543" t="s">
        <v>1530</v>
      </c>
      <c r="D215" s="543" t="s">
        <v>2861</v>
      </c>
      <c r="E215" s="6" t="str">
        <f>IFERROR(INDEX(ZACATECAS!$I$7:$I$5000, MATCH(F215*1, ZACATECAS!$H$7:$H$5000, 0)), "-")</f>
        <v>MIXTO 6-9</v>
      </c>
      <c r="F215" s="545">
        <v>32148867</v>
      </c>
      <c r="G215" s="544" t="s">
        <v>1544</v>
      </c>
      <c r="H215" s="543" t="s">
        <v>2860</v>
      </c>
      <c r="I215" s="6" t="str">
        <f>IFERROR(INDEX(ZACATECAS!$N$7:$N$5000, MATCH($F215, ZACATECAS!$H$7:$H$5000, 0)), "-")</f>
        <v>CHAMPION DE CALIDAD</v>
      </c>
    </row>
    <row r="216" spans="1:9" x14ac:dyDescent="0.3">
      <c r="A216" s="543" t="s">
        <v>2857</v>
      </c>
      <c r="B216" s="543" t="s">
        <v>2858</v>
      </c>
      <c r="C216" s="543" t="s">
        <v>1530</v>
      </c>
      <c r="D216" s="543" t="s">
        <v>2861</v>
      </c>
      <c r="E216" s="6" t="str">
        <f>IFERROR(INDEX(ZACATECAS!$I$7:$I$5000, MATCH(F216*1, ZACATECAS!$H$7:$H$5000, 0)), "-")</f>
        <v>MIXTO 6-9</v>
      </c>
      <c r="F216" s="545">
        <v>32153098</v>
      </c>
      <c r="G216" s="545" t="s">
        <v>1546</v>
      </c>
      <c r="H216" s="543" t="s">
        <v>2860</v>
      </c>
      <c r="I216" s="6" t="str">
        <f>IFERROR(INDEX(ZACATECAS!$N$7:$N$5000, MATCH($F216, ZACATECAS!$H$7:$H$5000, 0)), "-")</f>
        <v>APOYO DE MTTO</v>
      </c>
    </row>
    <row r="217" spans="1:9" x14ac:dyDescent="0.3">
      <c r="A217" s="543" t="s">
        <v>2857</v>
      </c>
      <c r="B217" s="543" t="s">
        <v>2858</v>
      </c>
      <c r="C217" s="543" t="s">
        <v>1530</v>
      </c>
      <c r="D217" s="543" t="s">
        <v>2861</v>
      </c>
      <c r="E217" s="6" t="str">
        <f>IFERROR(INDEX(ZACATECAS!$I$7:$I$5000, MATCH(F217*1, ZACATECAS!$H$7:$H$5000, 0)), "-")</f>
        <v>MIXTO 6-9</v>
      </c>
      <c r="F217" s="545">
        <v>32171442</v>
      </c>
      <c r="G217" s="544" t="s">
        <v>1549</v>
      </c>
      <c r="H217" s="543" t="s">
        <v>2860</v>
      </c>
      <c r="I217" s="6" t="str">
        <f>IFERROR(INDEX(ZACATECAS!$N$7:$N$5000, MATCH($F217, ZACATECAS!$H$7:$H$5000, 0)), "-")</f>
        <v>CHAMPION DE GESTION</v>
      </c>
    </row>
    <row r="218" spans="1:9" x14ac:dyDescent="0.3">
      <c r="A218" s="543" t="s">
        <v>2857</v>
      </c>
      <c r="B218" s="543" t="s">
        <v>2858</v>
      </c>
      <c r="C218" s="543" t="s">
        <v>1530</v>
      </c>
      <c r="D218" s="543" t="s">
        <v>2861</v>
      </c>
      <c r="E218" s="6" t="str">
        <f>IFERROR(INDEX(ZACATECAS!$I$7:$I$5000, MATCH(F218*1, ZACATECAS!$H$7:$H$5000, 0)), "-")</f>
        <v>MIXTO 6-9</v>
      </c>
      <c r="F218" s="545">
        <v>32197853</v>
      </c>
      <c r="G218" s="544" t="s">
        <v>1551</v>
      </c>
      <c r="H218" s="543" t="s">
        <v>2860</v>
      </c>
      <c r="I218" s="6" t="str">
        <f>IFERROR(INDEX(ZACATECAS!$N$7:$N$5000, MATCH($F218, ZACATECAS!$H$7:$H$5000, 0)), "-")</f>
        <v>APOYO DE GESTION</v>
      </c>
    </row>
    <row r="219" spans="1:9" x14ac:dyDescent="0.3">
      <c r="A219" s="543" t="s">
        <v>2857</v>
      </c>
      <c r="B219" s="543" t="s">
        <v>2858</v>
      </c>
      <c r="C219" s="543" t="s">
        <v>1530</v>
      </c>
      <c r="D219" s="543" t="s">
        <v>2861</v>
      </c>
      <c r="E219" s="6" t="str">
        <f>IFERROR(INDEX(ZACATECAS!$I$7:$I$5000, MATCH(F219*1, ZACATECAS!$H$7:$H$5000, 0)), "-")</f>
        <v>MIXTO 6-9</v>
      </c>
      <c r="F219" s="545">
        <v>32197855</v>
      </c>
      <c r="G219" s="546" t="s">
        <v>1553</v>
      </c>
      <c r="H219" s="543" t="s">
        <v>2860</v>
      </c>
      <c r="I219" s="6" t="str">
        <f>IFERROR(INDEX(ZACATECAS!$N$7:$N$5000, MATCH($F219, ZACATECAS!$H$7:$H$5000, 0)), "-")</f>
        <v>APOYO AMBIENTAL</v>
      </c>
    </row>
    <row r="220" spans="1:9" x14ac:dyDescent="0.3">
      <c r="A220" s="543" t="s">
        <v>2857</v>
      </c>
      <c r="B220" s="543" t="s">
        <v>2858</v>
      </c>
      <c r="C220" s="543" t="s">
        <v>1530</v>
      </c>
      <c r="D220" s="543" t="s">
        <v>2861</v>
      </c>
      <c r="E220" s="6" t="str">
        <f>IFERROR(INDEX(ZACATECAS!$I$7:$I$5000, MATCH(F220*1, ZACATECAS!$H$7:$H$5000, 0)), "-")</f>
        <v>MIXTO 6-9</v>
      </c>
      <c r="F220" s="545">
        <v>32197863</v>
      </c>
      <c r="G220" s="546" t="s">
        <v>1555</v>
      </c>
      <c r="H220" s="543" t="s">
        <v>2860</v>
      </c>
      <c r="I220" s="6" t="str">
        <f>IFERROR(INDEX(ZACATECAS!$N$7:$N$5000, MATCH($F220, ZACATECAS!$H$7:$H$5000, 0)), "-")</f>
        <v>APOYO DE GESTION</v>
      </c>
    </row>
    <row r="221" spans="1:9" x14ac:dyDescent="0.3">
      <c r="A221" s="543" t="s">
        <v>2857</v>
      </c>
      <c r="B221" s="543" t="s">
        <v>2858</v>
      </c>
      <c r="C221" s="543" t="s">
        <v>1530</v>
      </c>
      <c r="D221" s="546" t="s">
        <v>2861</v>
      </c>
      <c r="E221" s="6" t="str">
        <f>IFERROR(INDEX(ZACATECAS!$I$7:$I$5000, MATCH(F221*1, ZACATECAS!$H$7:$H$5000, 0)), "-")</f>
        <v>MIXTO 6-9</v>
      </c>
      <c r="F221" s="544">
        <v>32197892</v>
      </c>
      <c r="G221" s="544" t="s">
        <v>1556</v>
      </c>
      <c r="H221" s="543" t="s">
        <v>2860</v>
      </c>
      <c r="I221" s="6" t="str">
        <f>IFERROR(INDEX(ZACATECAS!$N$7:$N$5000, MATCH($F221, ZACATECAS!$H$7:$H$5000, 0)), "-")</f>
        <v>APOYO DE CALIDAD</v>
      </c>
    </row>
    <row r="222" spans="1:9" x14ac:dyDescent="0.3">
      <c r="A222" s="543" t="s">
        <v>2857</v>
      </c>
      <c r="B222" s="543" t="s">
        <v>2858</v>
      </c>
      <c r="C222" s="543" t="s">
        <v>1530</v>
      </c>
      <c r="D222" s="546" t="s">
        <v>2861</v>
      </c>
      <c r="E222" s="6" t="str">
        <f>IFERROR(INDEX(ZACATECAS!$I$7:$I$5000, MATCH(F222*1, ZACATECAS!$H$7:$H$5000, 0)), "-")</f>
        <v>MIXTO 6-9</v>
      </c>
      <c r="F222" s="544">
        <v>32198298</v>
      </c>
      <c r="G222" s="544" t="s">
        <v>1558</v>
      </c>
      <c r="H222" s="543" t="s">
        <v>2860</v>
      </c>
      <c r="I222" s="6" t="str">
        <f>IFERROR(INDEX(ZACATECAS!$N$7:$N$5000, MATCH($F222, ZACATECAS!$H$7:$H$5000, 0)), "-")</f>
        <v>CHAMPION DE GENTE</v>
      </c>
    </row>
    <row r="223" spans="1:9" x14ac:dyDescent="0.3">
      <c r="A223" s="543" t="s">
        <v>2857</v>
      </c>
      <c r="B223" s="543" t="s">
        <v>2858</v>
      </c>
      <c r="C223" s="543" t="s">
        <v>1171</v>
      </c>
      <c r="D223" s="546" t="s">
        <v>2861</v>
      </c>
      <c r="E223" s="6" t="str">
        <f>IFERROR(INDEX(ZACATECAS!$I$7:$I$5000, MATCH(F223*1, ZACATECAS!$H$7:$H$5000, 0)), "-")</f>
        <v>-</v>
      </c>
      <c r="F223" s="544">
        <v>32096563</v>
      </c>
      <c r="G223" s="544" t="s">
        <v>1094</v>
      </c>
      <c r="H223" s="543" t="s">
        <v>2344</v>
      </c>
      <c r="I223" s="6" t="str">
        <f>IFERROR(INDEX(ZACATECAS!$N$7:$N$5000, MATCH($F223, ZACATECAS!$H$7:$H$5000, 0)), "-")</f>
        <v>-</v>
      </c>
    </row>
    <row r="224" spans="1:9" x14ac:dyDescent="0.3">
      <c r="A224" s="543" t="s">
        <v>2857</v>
      </c>
      <c r="B224" s="543" t="s">
        <v>2858</v>
      </c>
      <c r="C224" s="543" t="s">
        <v>1171</v>
      </c>
      <c r="D224" s="546" t="s">
        <v>2861</v>
      </c>
      <c r="E224" s="6">
        <f>IFERROR(INDEX(ZACATECAS!$I$7:$I$5000, MATCH(F224*1, ZACATECAS!$H$7:$H$5000, 0)), "-")</f>
        <v>12</v>
      </c>
      <c r="F224" s="544">
        <v>32043890</v>
      </c>
      <c r="G224" s="544" t="s">
        <v>1172</v>
      </c>
      <c r="H224" s="543" t="s">
        <v>2860</v>
      </c>
      <c r="I224" s="6" t="str">
        <f>IFERROR(INDEX(ZACATECAS!$N$7:$N$5000, MATCH($F224, ZACATECAS!$H$7:$H$5000, 0)), "-")</f>
        <v xml:space="preserve">APOYO SEGURIDAD </v>
      </c>
    </row>
    <row r="225" spans="1:9" x14ac:dyDescent="0.3">
      <c r="A225" s="543" t="s">
        <v>2857</v>
      </c>
      <c r="B225" s="543" t="s">
        <v>2858</v>
      </c>
      <c r="C225" s="543" t="s">
        <v>1171</v>
      </c>
      <c r="D225" s="546" t="s">
        <v>2861</v>
      </c>
      <c r="E225" s="6">
        <f>IFERROR(INDEX(ZACATECAS!$I$7:$I$5000, MATCH(F225*1, ZACATECAS!$H$7:$H$5000, 0)), "-")</f>
        <v>12</v>
      </c>
      <c r="F225" s="544">
        <v>32044156</v>
      </c>
      <c r="G225" s="544" t="s">
        <v>1174</v>
      </c>
      <c r="H225" s="543" t="s">
        <v>2860</v>
      </c>
      <c r="I225" s="6" t="str">
        <f>IFERROR(INDEX(ZACATECAS!$N$7:$N$5000, MATCH($F225, ZACATECAS!$H$7:$H$5000, 0)), "-")</f>
        <v>APOYO CALIDAD</v>
      </c>
    </row>
    <row r="226" spans="1:9" x14ac:dyDescent="0.3">
      <c r="A226" s="543" t="s">
        <v>2857</v>
      </c>
      <c r="B226" s="543" t="s">
        <v>2858</v>
      </c>
      <c r="C226" s="543" t="s">
        <v>1171</v>
      </c>
      <c r="D226" s="546" t="s">
        <v>2861</v>
      </c>
      <c r="E226" s="6">
        <f>IFERROR(INDEX(ZACATECAS!$I$7:$I$5000, MATCH(F226*1, ZACATECAS!$H$7:$H$5000, 0)), "-")</f>
        <v>12</v>
      </c>
      <c r="F226" s="544">
        <v>32044228</v>
      </c>
      <c r="G226" s="544" t="s">
        <v>1176</v>
      </c>
      <c r="H226" s="543" t="s">
        <v>2860</v>
      </c>
      <c r="I226" s="6" t="str">
        <f>IFERROR(INDEX(ZACATECAS!$N$7:$N$5000, MATCH($F226, ZACATECAS!$H$7:$H$5000, 0)), "-")</f>
        <v>CHAMPION  LOGISTICA</v>
      </c>
    </row>
    <row r="227" spans="1:9" x14ac:dyDescent="0.3">
      <c r="A227" s="543" t="s">
        <v>2857</v>
      </c>
      <c r="B227" s="543" t="s">
        <v>2858</v>
      </c>
      <c r="C227" s="543" t="s">
        <v>1171</v>
      </c>
      <c r="D227" s="546" t="s">
        <v>2861</v>
      </c>
      <c r="E227" s="6">
        <f>IFERROR(INDEX(ZACATECAS!$I$7:$I$5000, MATCH(F227*1, ZACATECAS!$H$7:$H$5000, 0)), "-")</f>
        <v>12</v>
      </c>
      <c r="F227" s="544">
        <v>32045179</v>
      </c>
      <c r="G227" s="544" t="s">
        <v>1178</v>
      </c>
      <c r="H227" s="543" t="s">
        <v>2860</v>
      </c>
      <c r="I227" s="6" t="str">
        <f>IFERROR(INDEX(ZACATECAS!$N$7:$N$5000, MATCH($F227, ZACATECAS!$H$7:$H$5000, 0)), "-")</f>
        <v>APOYO AMBIENTAL</v>
      </c>
    </row>
    <row r="228" spans="1:9" x14ac:dyDescent="0.3">
      <c r="A228" s="543" t="s">
        <v>2857</v>
      </c>
      <c r="B228" s="543" t="s">
        <v>2858</v>
      </c>
      <c r="C228" s="543" t="s">
        <v>1171</v>
      </c>
      <c r="D228" s="546" t="s">
        <v>2861</v>
      </c>
      <c r="E228" s="6">
        <f>IFERROR(INDEX(ZACATECAS!$I$7:$I$5000, MATCH(F228*1, ZACATECAS!$H$7:$H$5000, 0)), "-")</f>
        <v>12</v>
      </c>
      <c r="F228" s="544">
        <v>32045392</v>
      </c>
      <c r="G228" s="544" t="s">
        <v>1180</v>
      </c>
      <c r="H228" s="543" t="s">
        <v>2860</v>
      </c>
      <c r="I228" s="6" t="str">
        <f>IFERROR(INDEX(ZACATECAS!$N$7:$N$5000, MATCH($F228, ZACATECAS!$H$7:$H$5000, 0)), "-")</f>
        <v>APOYO GESTION</v>
      </c>
    </row>
    <row r="229" spans="1:9" x14ac:dyDescent="0.3">
      <c r="A229" s="543" t="s">
        <v>2857</v>
      </c>
      <c r="B229" s="543" t="s">
        <v>2858</v>
      </c>
      <c r="C229" s="543" t="s">
        <v>1171</v>
      </c>
      <c r="D229" s="546" t="s">
        <v>2861</v>
      </c>
      <c r="E229" s="6">
        <f>IFERROR(INDEX(ZACATECAS!$I$7:$I$5000, MATCH(F229*1, ZACATECAS!$H$7:$H$5000, 0)), "-")</f>
        <v>12</v>
      </c>
      <c r="F229" s="544">
        <v>32045643</v>
      </c>
      <c r="G229" s="544" t="s">
        <v>1182</v>
      </c>
      <c r="H229" s="543" t="s">
        <v>2860</v>
      </c>
      <c r="I229" s="6" t="str">
        <f>IFERROR(INDEX(ZACATECAS!$N$7:$N$5000, MATCH($F229, ZACATECAS!$H$7:$H$5000, 0)), "-")</f>
        <v>CHAMPION DE GESTION</v>
      </c>
    </row>
    <row r="230" spans="1:9" x14ac:dyDescent="0.3">
      <c r="A230" s="543" t="s">
        <v>2857</v>
      </c>
      <c r="B230" s="543" t="s">
        <v>2858</v>
      </c>
      <c r="C230" s="543" t="s">
        <v>1171</v>
      </c>
      <c r="D230" s="546" t="s">
        <v>2861</v>
      </c>
      <c r="E230" s="6">
        <f>IFERROR(INDEX(ZACATECAS!$I$7:$I$5000, MATCH(F230*1, ZACATECAS!$H$7:$H$5000, 0)), "-")</f>
        <v>12</v>
      </c>
      <c r="F230" s="544">
        <v>32046089</v>
      </c>
      <c r="G230" s="544" t="s">
        <v>1183</v>
      </c>
      <c r="H230" s="543" t="s">
        <v>2860</v>
      </c>
      <c r="I230" s="6" t="str">
        <f>IFERROR(INDEX(ZACATECAS!$N$7:$N$5000, MATCH($F230, ZACATECAS!$H$7:$H$5000, 0)), "-")</f>
        <v>APOYO GENTE</v>
      </c>
    </row>
    <row r="231" spans="1:9" x14ac:dyDescent="0.3">
      <c r="A231" s="543" t="s">
        <v>2857</v>
      </c>
      <c r="B231" s="543" t="s">
        <v>2858</v>
      </c>
      <c r="C231" s="543" t="s">
        <v>1171</v>
      </c>
      <c r="D231" s="546" t="s">
        <v>2861</v>
      </c>
      <c r="E231" s="6">
        <f>IFERROR(INDEX(ZACATECAS!$I$7:$I$5000, MATCH(F231*1, ZACATECAS!$H$7:$H$5000, 0)), "-")</f>
        <v>12</v>
      </c>
      <c r="F231" s="544">
        <v>32046515</v>
      </c>
      <c r="G231" s="544" t="s">
        <v>1185</v>
      </c>
      <c r="H231" s="543" t="s">
        <v>2860</v>
      </c>
      <c r="I231" s="6" t="str">
        <f>IFERROR(INDEX(ZACATECAS!$N$7:$N$5000, MATCH($F231, ZACATECAS!$H$7:$H$5000, 0)), "-")</f>
        <v>CHAMPION AMBIENTAL</v>
      </c>
    </row>
    <row r="232" spans="1:9" x14ac:dyDescent="0.3">
      <c r="A232" s="543" t="s">
        <v>2857</v>
      </c>
      <c r="B232" s="543" t="s">
        <v>2858</v>
      </c>
      <c r="C232" s="543" t="s">
        <v>1171</v>
      </c>
      <c r="D232" s="546" t="s">
        <v>2861</v>
      </c>
      <c r="E232" s="6">
        <f>IFERROR(INDEX(ZACATECAS!$I$7:$I$5000, MATCH(F232*1, ZACATECAS!$H$7:$H$5000, 0)), "-")</f>
        <v>12</v>
      </c>
      <c r="F232" s="544">
        <v>32057876</v>
      </c>
      <c r="G232" s="544" t="s">
        <v>1187</v>
      </c>
      <c r="H232" s="543" t="s">
        <v>2860</v>
      </c>
      <c r="I232" s="6" t="str">
        <f>IFERROR(INDEX(ZACATECAS!$N$7:$N$5000, MATCH($F232, ZACATECAS!$H$7:$H$5000, 0)), "-")</f>
        <v>CHAMPION GENTE</v>
      </c>
    </row>
    <row r="233" spans="1:9" x14ac:dyDescent="0.3">
      <c r="A233" s="543" t="s">
        <v>2857</v>
      </c>
      <c r="B233" s="543" t="s">
        <v>2858</v>
      </c>
      <c r="C233" s="543" t="s">
        <v>1171</v>
      </c>
      <c r="D233" s="546" t="s">
        <v>2861</v>
      </c>
      <c r="E233" s="6">
        <f>IFERROR(INDEX(ZACATECAS!$I$7:$I$5000, MATCH(F233*1, ZACATECAS!$H$7:$H$5000, 0)), "-")</f>
        <v>12</v>
      </c>
      <c r="F233" s="544">
        <v>32108994</v>
      </c>
      <c r="G233" s="544" t="s">
        <v>1189</v>
      </c>
      <c r="H233" s="543" t="s">
        <v>2860</v>
      </c>
      <c r="I233" s="6" t="str">
        <f>IFERROR(INDEX(ZACATECAS!$N$7:$N$5000, MATCH($F233, ZACATECAS!$H$7:$H$5000, 0)), "-")</f>
        <v xml:space="preserve">CHAMPION SEGURIDAD </v>
      </c>
    </row>
    <row r="234" spans="1:9" x14ac:dyDescent="0.3">
      <c r="A234" s="543" t="s">
        <v>2857</v>
      </c>
      <c r="B234" s="543" t="s">
        <v>2858</v>
      </c>
      <c r="C234" s="543" t="s">
        <v>1171</v>
      </c>
      <c r="D234" s="546" t="s">
        <v>2861</v>
      </c>
      <c r="E234" s="6">
        <f>IFERROR(INDEX(ZACATECAS!$I$7:$I$5000, MATCH(F234*1, ZACATECAS!$H$7:$H$5000, 0)), "-")</f>
        <v>12</v>
      </c>
      <c r="F234" s="544">
        <v>32132048</v>
      </c>
      <c r="G234" s="544" t="s">
        <v>1191</v>
      </c>
      <c r="H234" s="543" t="s">
        <v>2860</v>
      </c>
      <c r="I234" s="6" t="str">
        <f>IFERROR(INDEX(ZACATECAS!$N$7:$N$5000, MATCH($F234, ZACATECAS!$H$7:$H$5000, 0)), "-")</f>
        <v>CHAMPION MANTENIMIENTO</v>
      </c>
    </row>
    <row r="235" spans="1:9" x14ac:dyDescent="0.3">
      <c r="A235" s="543" t="s">
        <v>2857</v>
      </c>
      <c r="B235" s="543" t="s">
        <v>2858</v>
      </c>
      <c r="C235" s="543" t="s">
        <v>2248</v>
      </c>
      <c r="D235" s="546" t="s">
        <v>2859</v>
      </c>
      <c r="E235" s="6" t="str">
        <f>IFERROR(INDEX(ZACATECAS!$I$7:$I$5000, MATCH(F235*1, ZACATECAS!$H$7:$H$5000, 0)), "-")</f>
        <v>-</v>
      </c>
      <c r="F235" s="544">
        <v>32145055</v>
      </c>
      <c r="G235" s="544" t="s">
        <v>2244</v>
      </c>
      <c r="H235" s="543" t="s">
        <v>2344</v>
      </c>
      <c r="I235" s="6" t="str">
        <f>IFERROR(INDEX(ZACATECAS!$N$7:$N$5000, MATCH($F235, ZACATECAS!$H$7:$H$5000, 0)), "-")</f>
        <v>-</v>
      </c>
    </row>
    <row r="236" spans="1:9" x14ac:dyDescent="0.3">
      <c r="A236" s="543" t="s">
        <v>2857</v>
      </c>
      <c r="B236" s="543" t="s">
        <v>2858</v>
      </c>
      <c r="C236" s="543" t="s">
        <v>2248</v>
      </c>
      <c r="D236" s="546" t="s">
        <v>2859</v>
      </c>
      <c r="E236" s="6" t="str">
        <f>IFERROR(INDEX(ZACATECAS!$I$7:$I$5000, MATCH(F236*1, ZACATECAS!$H$7:$H$5000, 0)), "-")</f>
        <v>ENV 3</v>
      </c>
      <c r="F236" s="544">
        <v>32044181</v>
      </c>
      <c r="G236" s="544" t="s">
        <v>2249</v>
      </c>
      <c r="H236" s="543" t="s">
        <v>2860</v>
      </c>
      <c r="I236" s="6" t="str">
        <f>IFERROR(INDEX(ZACATECAS!$N$7:$N$5000, MATCH($F236, ZACATECAS!$H$7:$H$5000, 0)), "-")</f>
        <v>GENTE</v>
      </c>
    </row>
    <row r="237" spans="1:9" x14ac:dyDescent="0.3">
      <c r="A237" s="543" t="s">
        <v>2857</v>
      </c>
      <c r="B237" s="543" t="s">
        <v>2858</v>
      </c>
      <c r="C237" s="543" t="s">
        <v>2248</v>
      </c>
      <c r="D237" s="546" t="s">
        <v>2859</v>
      </c>
      <c r="E237" s="6" t="str">
        <f>IFERROR(INDEX(ZACATECAS!$I$7:$I$5000, MATCH(F237*1, ZACATECAS!$H$7:$H$5000, 0)), "-")</f>
        <v>ENV 3</v>
      </c>
      <c r="F237" s="546">
        <v>32067987</v>
      </c>
      <c r="G237" s="546" t="s">
        <v>2250</v>
      </c>
      <c r="H237" s="543" t="s">
        <v>2860</v>
      </c>
      <c r="I237" s="6" t="str">
        <f>IFERROR(INDEX(ZACATECAS!$N$7:$N$5000, MATCH($F237, ZACATECAS!$H$7:$H$5000, 0)), "-")</f>
        <v>GESTION</v>
      </c>
    </row>
    <row r="238" spans="1:9" x14ac:dyDescent="0.3">
      <c r="A238" s="543" t="s">
        <v>2857</v>
      </c>
      <c r="B238" s="543" t="s">
        <v>2858</v>
      </c>
      <c r="C238" s="543" t="s">
        <v>2248</v>
      </c>
      <c r="D238" s="546" t="s">
        <v>2859</v>
      </c>
      <c r="E238" s="6" t="str">
        <f>IFERROR(INDEX(ZACATECAS!$I$7:$I$5000, MATCH(F238*1, ZACATECAS!$H$7:$H$5000, 0)), "-")</f>
        <v>ENV 3</v>
      </c>
      <c r="F238" s="544">
        <v>32045788</v>
      </c>
      <c r="G238" s="544" t="s">
        <v>2251</v>
      </c>
      <c r="H238" s="543" t="s">
        <v>2860</v>
      </c>
      <c r="I238" s="6" t="str">
        <f>IFERROR(INDEX(ZACATECAS!$N$7:$N$5000, MATCH($F238, ZACATECAS!$H$7:$H$5000, 0)), "-")</f>
        <v>MANTENIMIENTO</v>
      </c>
    </row>
    <row r="239" spans="1:9" x14ac:dyDescent="0.3">
      <c r="A239" s="543" t="s">
        <v>2857</v>
      </c>
      <c r="B239" s="543" t="s">
        <v>2858</v>
      </c>
      <c r="C239" s="543" t="s">
        <v>2248</v>
      </c>
      <c r="D239" s="546" t="s">
        <v>2859</v>
      </c>
      <c r="E239" s="6" t="str">
        <f>IFERROR(INDEX(ZACATECAS!$I$7:$I$5000, MATCH(F239*1, ZACATECAS!$H$7:$H$5000, 0)), "-")</f>
        <v>ENV 3</v>
      </c>
      <c r="F239" s="544">
        <v>32043999</v>
      </c>
      <c r="G239" s="544" t="s">
        <v>2252</v>
      </c>
      <c r="H239" s="543" t="s">
        <v>2860</v>
      </c>
      <c r="I239" s="6" t="str">
        <f>IFERROR(INDEX(ZACATECAS!$N$7:$N$5000, MATCH($F239, ZACATECAS!$H$7:$H$5000, 0)), "-")</f>
        <v>SEGURIDAD</v>
      </c>
    </row>
    <row r="240" spans="1:9" x14ac:dyDescent="0.3">
      <c r="A240" s="543" t="s">
        <v>2857</v>
      </c>
      <c r="B240" s="543" t="s">
        <v>2858</v>
      </c>
      <c r="C240" s="543" t="s">
        <v>2227</v>
      </c>
      <c r="D240" s="546" t="s">
        <v>2859</v>
      </c>
      <c r="E240" s="6" t="str">
        <f>IFERROR(INDEX(ZACATECAS!$I$7:$I$5000, MATCH(F240*1, ZACATECAS!$H$7:$H$5000, 0)), "-")</f>
        <v>-</v>
      </c>
      <c r="F240" s="544">
        <v>32172669</v>
      </c>
      <c r="G240" s="544" t="s">
        <v>2228</v>
      </c>
      <c r="H240" s="543" t="s">
        <v>2344</v>
      </c>
      <c r="I240" s="6" t="str">
        <f>IFERROR(INDEX(ZACATECAS!$N$7:$N$5000, MATCH($F240, ZACATECAS!$H$7:$H$5000, 0)), "-")</f>
        <v>-</v>
      </c>
    </row>
    <row r="241" spans="1:9" x14ac:dyDescent="0.3">
      <c r="A241" s="543" t="s">
        <v>2857</v>
      </c>
      <c r="B241" s="543" t="s">
        <v>2858</v>
      </c>
      <c r="C241" s="543" t="s">
        <v>2227</v>
      </c>
      <c r="D241" s="546" t="s">
        <v>2859</v>
      </c>
      <c r="E241" s="6" t="str">
        <f>IFERROR(INDEX(ZACATECAS!$I$7:$I$5000, MATCH(F241*1, ZACATECAS!$H$7:$H$5000, 0)), "-")</f>
        <v>ENV 2</v>
      </c>
      <c r="F241" s="544">
        <v>32045730</v>
      </c>
      <c r="G241" s="544" t="s">
        <v>2229</v>
      </c>
      <c r="H241" s="543" t="s">
        <v>2860</v>
      </c>
      <c r="I241" s="6" t="str">
        <f>IFERROR(INDEX(ZACATECAS!$N$7:$N$5000, MATCH($F241, ZACATECAS!$H$7:$H$5000, 0)), "-")</f>
        <v>GENTE</v>
      </c>
    </row>
    <row r="242" spans="1:9" x14ac:dyDescent="0.3">
      <c r="A242" s="543" t="s">
        <v>2857</v>
      </c>
      <c r="B242" s="543" t="s">
        <v>2858</v>
      </c>
      <c r="C242" s="543" t="s">
        <v>2227</v>
      </c>
      <c r="D242" s="546" t="s">
        <v>2859</v>
      </c>
      <c r="E242" s="6" t="str">
        <f>IFERROR(INDEX(ZACATECAS!$I$7:$I$5000, MATCH(F242*1, ZACATECAS!$H$7:$H$5000, 0)), "-")</f>
        <v>ENV 2</v>
      </c>
      <c r="F242" s="544">
        <v>32044408</v>
      </c>
      <c r="G242" s="544" t="s">
        <v>2230</v>
      </c>
      <c r="H242" s="543" t="s">
        <v>2860</v>
      </c>
      <c r="I242" s="6" t="str">
        <f>IFERROR(INDEX(ZACATECAS!$N$7:$N$5000, MATCH($F242, ZACATECAS!$H$7:$H$5000, 0)), "-")</f>
        <v>GESTION</v>
      </c>
    </row>
    <row r="243" spans="1:9" x14ac:dyDescent="0.3">
      <c r="A243" s="543" t="s">
        <v>2857</v>
      </c>
      <c r="B243" s="543" t="s">
        <v>2858</v>
      </c>
      <c r="C243" s="543" t="s">
        <v>2227</v>
      </c>
      <c r="D243" s="546" t="s">
        <v>2859</v>
      </c>
      <c r="E243" s="6" t="str">
        <f>IFERROR(INDEX(ZACATECAS!$I$7:$I$5000, MATCH(F243*1, ZACATECAS!$H$7:$H$5000, 0)), "-")</f>
        <v>ENV 2</v>
      </c>
      <c r="F243" s="544">
        <v>32044529</v>
      </c>
      <c r="G243" s="544" t="s">
        <v>2231</v>
      </c>
      <c r="H243" s="543" t="s">
        <v>2860</v>
      </c>
      <c r="I243" s="6" t="str">
        <f>IFERROR(INDEX(ZACATECAS!$N$7:$N$5000, MATCH($F243, ZACATECAS!$H$7:$H$5000, 0)), "-")</f>
        <v>SEGURIDAD</v>
      </c>
    </row>
    <row r="244" spans="1:9" x14ac:dyDescent="0.3">
      <c r="A244" s="543" t="s">
        <v>2857</v>
      </c>
      <c r="B244" s="543" t="s">
        <v>2858</v>
      </c>
      <c r="C244" s="543" t="s">
        <v>2227</v>
      </c>
      <c r="D244" s="546" t="s">
        <v>2859</v>
      </c>
      <c r="E244" s="6" t="str">
        <f>IFERROR(INDEX(ZACATECAS!$I$7:$I$5000, MATCH(F244*1, ZACATECAS!$H$7:$H$5000, 0)), "-")</f>
        <v>ENV 2</v>
      </c>
      <c r="F244" s="544">
        <v>32072179</v>
      </c>
      <c r="G244" s="544" t="s">
        <v>2232</v>
      </c>
      <c r="H244" s="543" t="s">
        <v>2860</v>
      </c>
      <c r="I244" s="6" t="str">
        <f>IFERROR(INDEX(ZACATECAS!$N$7:$N$5000, MATCH($F244, ZACATECAS!$H$7:$H$5000, 0)), "-")</f>
        <v>MANTENIMIENTO</v>
      </c>
    </row>
    <row r="245" spans="1:9" x14ac:dyDescent="0.3">
      <c r="A245" s="543" t="s">
        <v>2857</v>
      </c>
      <c r="B245" s="543" t="s">
        <v>2858</v>
      </c>
      <c r="C245" s="543" t="s">
        <v>2227</v>
      </c>
      <c r="D245" s="546" t="s">
        <v>2859</v>
      </c>
      <c r="E245" s="6" t="str">
        <f>IFERROR(INDEX(ZACATECAS!$I$7:$I$5000, MATCH(F245*1, ZACATECAS!$H$7:$H$5000, 0)), "-")</f>
        <v>ENV 2</v>
      </c>
      <c r="F245" s="544">
        <v>32043744</v>
      </c>
      <c r="G245" s="544" t="s">
        <v>2233</v>
      </c>
      <c r="H245" s="543" t="s">
        <v>2860</v>
      </c>
      <c r="I245" s="6" t="str">
        <f>IFERROR(INDEX(ZACATECAS!$N$7:$N$5000, MATCH($F245, ZACATECAS!$H$7:$H$5000, 0)), "-")</f>
        <v>MEDIO AMBIENTE</v>
      </c>
    </row>
    <row r="246" spans="1:9" x14ac:dyDescent="0.3">
      <c r="A246" s="543" t="s">
        <v>2857</v>
      </c>
      <c r="B246" s="543" t="s">
        <v>2858</v>
      </c>
      <c r="C246" s="543" t="s">
        <v>2227</v>
      </c>
      <c r="D246" s="546" t="s">
        <v>2859</v>
      </c>
      <c r="E246" s="6" t="str">
        <f>IFERROR(INDEX(ZACATECAS!$I$7:$I$5000, MATCH(F246*1, ZACATECAS!$H$7:$H$5000, 0)), "-")</f>
        <v>ENV 2</v>
      </c>
      <c r="F246" s="544">
        <v>32146010</v>
      </c>
      <c r="G246" s="544" t="s">
        <v>2234</v>
      </c>
      <c r="H246" s="543" t="s">
        <v>2860</v>
      </c>
      <c r="I246" s="6" t="str">
        <f>IFERROR(INDEX(ZACATECAS!$N$7:$N$5000, MATCH($F246, ZACATECAS!$H$7:$H$5000, 0)), "-")</f>
        <v>APOYO GENTE</v>
      </c>
    </row>
    <row r="247" spans="1:9" x14ac:dyDescent="0.3">
      <c r="A247" s="543" t="s">
        <v>2857</v>
      </c>
      <c r="B247" s="543" t="s">
        <v>2858</v>
      </c>
      <c r="C247" s="543" t="s">
        <v>385</v>
      </c>
      <c r="D247" s="546" t="s">
        <v>2861</v>
      </c>
      <c r="E247" s="6" t="str">
        <f>IFERROR(INDEX(ZACATECAS!$I$7:$I$5000, MATCH(F247*1, ZACATECAS!$H$7:$H$5000, 0)), "-")</f>
        <v>-</v>
      </c>
      <c r="F247" s="544">
        <v>32147380</v>
      </c>
      <c r="G247" s="544" t="s">
        <v>386</v>
      </c>
      <c r="H247" s="543" t="s">
        <v>2344</v>
      </c>
      <c r="I247" s="6" t="str">
        <f>IFERROR(INDEX(ZACATECAS!$N$7:$N$5000, MATCH($F247, ZACATECAS!$H$7:$H$5000, 0)), "-")</f>
        <v>-</v>
      </c>
    </row>
    <row r="248" spans="1:9" x14ac:dyDescent="0.3">
      <c r="A248" s="543" t="s">
        <v>2857</v>
      </c>
      <c r="B248" s="543" t="s">
        <v>2858</v>
      </c>
      <c r="C248" s="543" t="s">
        <v>385</v>
      </c>
      <c r="D248" s="546" t="s">
        <v>2861</v>
      </c>
      <c r="E248" s="6">
        <f>IFERROR(INDEX(ZACATECAS!$I$7:$I$5000, MATCH(F248*1, ZACATECAS!$H$7:$H$5000, 0)), "-")</f>
        <v>1</v>
      </c>
      <c r="F248" s="544">
        <v>32107322</v>
      </c>
      <c r="G248" s="544" t="s">
        <v>387</v>
      </c>
      <c r="H248" s="543" t="s">
        <v>2860</v>
      </c>
      <c r="I248" s="6" t="str">
        <f>IFERROR(INDEX(ZACATECAS!$N$7:$N$5000, MATCH($F248, ZACATECAS!$H$7:$H$5000, 0)), "-")</f>
        <v>Champion Gestión</v>
      </c>
    </row>
    <row r="249" spans="1:9" x14ac:dyDescent="0.3">
      <c r="A249" s="543" t="s">
        <v>2857</v>
      </c>
      <c r="B249" s="543" t="s">
        <v>2858</v>
      </c>
      <c r="C249" s="543" t="s">
        <v>385</v>
      </c>
      <c r="D249" s="543" t="s">
        <v>2861</v>
      </c>
      <c r="E249" s="6">
        <f>IFERROR(INDEX(ZACATECAS!$I$7:$I$5000, MATCH(F249*1, ZACATECAS!$H$7:$H$5000, 0)), "-")</f>
        <v>1</v>
      </c>
      <c r="F249" s="544">
        <v>32046388</v>
      </c>
      <c r="G249" s="544" t="s">
        <v>389</v>
      </c>
      <c r="H249" s="543" t="s">
        <v>2860</v>
      </c>
      <c r="I249" s="6" t="str">
        <f>IFERROR(INDEX(ZACATECAS!$N$7:$N$5000, MATCH($F249, ZACATECAS!$H$7:$H$5000, 0)), "-")</f>
        <v>Champion Ambiental</v>
      </c>
    </row>
    <row r="250" spans="1:9" x14ac:dyDescent="0.3">
      <c r="A250" s="543" t="s">
        <v>2857</v>
      </c>
      <c r="B250" s="543" t="s">
        <v>2858</v>
      </c>
      <c r="C250" s="543" t="s">
        <v>385</v>
      </c>
      <c r="D250" s="543" t="s">
        <v>2861</v>
      </c>
      <c r="E250" s="6">
        <f>IFERROR(INDEX(ZACATECAS!$I$7:$I$5000, MATCH(F250*1, ZACATECAS!$H$7:$H$5000, 0)), "-")</f>
        <v>1</v>
      </c>
      <c r="F250" s="545">
        <v>32046339</v>
      </c>
      <c r="G250" s="546" t="s">
        <v>391</v>
      </c>
      <c r="H250" s="543" t="s">
        <v>2860</v>
      </c>
      <c r="I250" s="6" t="str">
        <f>IFERROR(INDEX(ZACATECAS!$N$7:$N$5000, MATCH($F250, ZACATECAS!$H$7:$H$5000, 0)), "-")</f>
        <v>Champion Seguridad</v>
      </c>
    </row>
    <row r="251" spans="1:9" x14ac:dyDescent="0.3">
      <c r="A251" s="543" t="s">
        <v>2857</v>
      </c>
      <c r="B251" s="543" t="s">
        <v>2858</v>
      </c>
      <c r="C251" s="543" t="s">
        <v>385</v>
      </c>
      <c r="D251" s="543" t="s">
        <v>2861</v>
      </c>
      <c r="E251" s="6">
        <f>IFERROR(INDEX(ZACATECAS!$I$7:$I$5000, MATCH(F251*1, ZACATECAS!$H$7:$H$5000, 0)), "-")</f>
        <v>1</v>
      </c>
      <c r="F251" s="545">
        <v>32131837</v>
      </c>
      <c r="G251" s="546" t="s">
        <v>393</v>
      </c>
      <c r="H251" s="543" t="s">
        <v>2860</v>
      </c>
      <c r="I251" s="6" t="str">
        <f>IFERROR(INDEX(ZACATECAS!$N$7:$N$5000, MATCH($F251, ZACATECAS!$H$7:$H$5000, 0)), "-")</f>
        <v>Champion Mantenimiento</v>
      </c>
    </row>
    <row r="252" spans="1:9" x14ac:dyDescent="0.3">
      <c r="A252" s="543" t="s">
        <v>2857</v>
      </c>
      <c r="B252" s="543" t="s">
        <v>2858</v>
      </c>
      <c r="C252" s="543" t="s">
        <v>385</v>
      </c>
      <c r="D252" s="543" t="s">
        <v>2861</v>
      </c>
      <c r="E252" s="6">
        <f>IFERROR(INDEX(ZACATECAS!$I$7:$I$5000, MATCH(F252*1, ZACATECAS!$H$7:$H$5000, 0)), "-")</f>
        <v>1</v>
      </c>
      <c r="F252" s="545">
        <v>32145468</v>
      </c>
      <c r="G252" s="546" t="s">
        <v>395</v>
      </c>
      <c r="H252" s="543" t="s">
        <v>2860</v>
      </c>
      <c r="I252" s="6" t="str">
        <f>IFERROR(INDEX(ZACATECAS!$N$7:$N$5000, MATCH($F252, ZACATECAS!$H$7:$H$5000, 0)), "-")</f>
        <v>Champion Calidad</v>
      </c>
    </row>
    <row r="253" spans="1:9" x14ac:dyDescent="0.3">
      <c r="A253" s="543" t="s">
        <v>2857</v>
      </c>
      <c r="B253" s="543" t="s">
        <v>2858</v>
      </c>
      <c r="C253" s="543" t="s">
        <v>875</v>
      </c>
      <c r="D253" s="543" t="s">
        <v>2861</v>
      </c>
      <c r="E253" s="6" t="str">
        <f>IFERROR(INDEX(ZACATECAS!$I$7:$I$5000, MATCH(F253*1, ZACATECAS!$H$7:$H$5000, 0)), "-")</f>
        <v>-</v>
      </c>
      <c r="F253" s="545">
        <v>32045977</v>
      </c>
      <c r="G253" s="546" t="s">
        <v>744</v>
      </c>
      <c r="H253" s="543" t="s">
        <v>2344</v>
      </c>
      <c r="I253" s="6" t="str">
        <f>IFERROR(INDEX(ZACATECAS!$N$7:$N$5000, MATCH($F253, ZACATECAS!$H$7:$H$5000, 0)), "-")</f>
        <v>-</v>
      </c>
    </row>
    <row r="254" spans="1:9" x14ac:dyDescent="0.3">
      <c r="A254" s="543" t="s">
        <v>2857</v>
      </c>
      <c r="B254" s="543" t="s">
        <v>2858</v>
      </c>
      <c r="C254" s="543" t="s">
        <v>875</v>
      </c>
      <c r="D254" s="543" t="s">
        <v>2861</v>
      </c>
      <c r="E254" s="6">
        <f>IFERROR(INDEX(ZACATECAS!$I$7:$I$5000, MATCH(F254*1, ZACATECAS!$H$7:$H$5000, 0)), "-")</f>
        <v>7</v>
      </c>
      <c r="F254" s="546">
        <v>32043866</v>
      </c>
      <c r="G254" s="543" t="s">
        <v>876</v>
      </c>
      <c r="H254" s="543" t="s">
        <v>2860</v>
      </c>
      <c r="I254" s="6" t="str">
        <f>IFERROR(INDEX(ZACATECAS!$N$7:$N$5000, MATCH($F254, ZACATECAS!$H$7:$H$5000, 0)), "-")</f>
        <v>CHAMPION AMBIENTAL</v>
      </c>
    </row>
    <row r="255" spans="1:9" x14ac:dyDescent="0.3">
      <c r="A255" s="543" t="s">
        <v>2857</v>
      </c>
      <c r="B255" s="543" t="s">
        <v>2858</v>
      </c>
      <c r="C255" s="543" t="s">
        <v>875</v>
      </c>
      <c r="D255" s="543" t="s">
        <v>2861</v>
      </c>
      <c r="E255" s="6">
        <f>IFERROR(INDEX(ZACATECAS!$I$7:$I$5000, MATCH(F255*1, ZACATECAS!$H$7:$H$5000, 0)), "-")</f>
        <v>7</v>
      </c>
      <c r="F255" s="545">
        <v>32043894</v>
      </c>
      <c r="G255" s="546" t="s">
        <v>878</v>
      </c>
      <c r="H255" s="543" t="s">
        <v>2860</v>
      </c>
      <c r="I255" s="6" t="str">
        <f>IFERROR(INDEX(ZACATECAS!$N$7:$N$5000, MATCH($F255, ZACATECAS!$H$7:$H$5000, 0)), "-")</f>
        <v>CHAMPION GESTION</v>
      </c>
    </row>
    <row r="256" spans="1:9" x14ac:dyDescent="0.3">
      <c r="A256" s="543" t="s">
        <v>2857</v>
      </c>
      <c r="B256" s="543" t="s">
        <v>2858</v>
      </c>
      <c r="C256" s="543" t="s">
        <v>875</v>
      </c>
      <c r="D256" s="543" t="s">
        <v>2861</v>
      </c>
      <c r="E256" s="6">
        <f>IFERROR(INDEX(ZACATECAS!$I$7:$I$5000, MATCH(F256*1, ZACATECAS!$H$7:$H$5000, 0)), "-")</f>
        <v>7</v>
      </c>
      <c r="F256" s="545">
        <v>32044281</v>
      </c>
      <c r="G256" s="546" t="s">
        <v>880</v>
      </c>
      <c r="H256" s="543" t="s">
        <v>2860</v>
      </c>
      <c r="I256" s="6" t="str">
        <f>IFERROR(INDEX(ZACATECAS!$N$7:$N$5000, MATCH($F256, ZACATECAS!$H$7:$H$5000, 0)), "-")</f>
        <v>APOYO DE SEGURIDAD</v>
      </c>
    </row>
    <row r="257" spans="1:9" x14ac:dyDescent="0.3">
      <c r="A257" s="543" t="s">
        <v>2857</v>
      </c>
      <c r="B257" s="543" t="s">
        <v>2858</v>
      </c>
      <c r="C257" s="543" t="s">
        <v>875</v>
      </c>
      <c r="D257" s="543" t="s">
        <v>2861</v>
      </c>
      <c r="E257" s="6">
        <f>IFERROR(INDEX(ZACATECAS!$I$7:$I$5000, MATCH(F257*1, ZACATECAS!$H$7:$H$5000, 0)), "-")</f>
        <v>7</v>
      </c>
      <c r="F257" s="545">
        <v>32044285</v>
      </c>
      <c r="G257" s="545" t="s">
        <v>882</v>
      </c>
      <c r="H257" s="543" t="s">
        <v>2860</v>
      </c>
      <c r="I257" s="6" t="str">
        <f>IFERROR(INDEX(ZACATECAS!$N$7:$N$5000, MATCH($F257, ZACATECAS!$H$7:$H$5000, 0)), "-")</f>
        <v>APOYO CALIDAD</v>
      </c>
    </row>
    <row r="258" spans="1:9" x14ac:dyDescent="0.3">
      <c r="A258" s="543" t="s">
        <v>2857</v>
      </c>
      <c r="B258" s="543" t="s">
        <v>2858</v>
      </c>
      <c r="C258" s="543" t="s">
        <v>875</v>
      </c>
      <c r="D258" s="543" t="s">
        <v>2861</v>
      </c>
      <c r="E258" s="6">
        <f>IFERROR(INDEX(ZACATECAS!$I$7:$I$5000, MATCH(F258*1, ZACATECAS!$H$7:$H$5000, 0)), "-")</f>
        <v>7</v>
      </c>
      <c r="F258" s="545">
        <v>32044618</v>
      </c>
      <c r="G258" s="545" t="s">
        <v>884</v>
      </c>
      <c r="H258" s="543" t="s">
        <v>2860</v>
      </c>
      <c r="I258" s="6" t="str">
        <f>IFERROR(INDEX(ZACATECAS!$N$7:$N$5000, MATCH($F258, ZACATECAS!$H$7:$H$5000, 0)), "-")</f>
        <v>APOYO ENGAGEMENT</v>
      </c>
    </row>
    <row r="259" spans="1:9" x14ac:dyDescent="0.3">
      <c r="A259" s="543" t="s">
        <v>2857</v>
      </c>
      <c r="B259" s="543" t="s">
        <v>2858</v>
      </c>
      <c r="C259" s="543" t="s">
        <v>875</v>
      </c>
      <c r="D259" s="543" t="s">
        <v>2861</v>
      </c>
      <c r="E259" s="6">
        <f>IFERROR(INDEX(ZACATECAS!$I$7:$I$5000, MATCH(F259*1, ZACATECAS!$H$7:$H$5000, 0)), "-")</f>
        <v>7</v>
      </c>
      <c r="F259" s="545">
        <v>32044901</v>
      </c>
      <c r="G259" s="545" t="s">
        <v>887</v>
      </c>
      <c r="H259" s="543" t="s">
        <v>2860</v>
      </c>
      <c r="I259" s="6" t="str">
        <f>IFERROR(INDEX(ZACATECAS!$N$7:$N$5000, MATCH($F259, ZACATECAS!$H$7:$H$5000, 0)), "-")</f>
        <v>APOYO GESTION</v>
      </c>
    </row>
    <row r="260" spans="1:9" x14ac:dyDescent="0.3">
      <c r="A260" s="543" t="s">
        <v>2857</v>
      </c>
      <c r="B260" s="543" t="s">
        <v>2858</v>
      </c>
      <c r="C260" s="543" t="s">
        <v>875</v>
      </c>
      <c r="D260" s="543" t="s">
        <v>2861</v>
      </c>
      <c r="E260" s="6">
        <f>IFERROR(INDEX(ZACATECAS!$I$7:$I$5000, MATCH(F260*1, ZACATECAS!$H$7:$H$5000, 0)), "-")</f>
        <v>7</v>
      </c>
      <c r="F260" s="545">
        <v>32045393</v>
      </c>
      <c r="G260" s="545" t="s">
        <v>888</v>
      </c>
      <c r="H260" s="543" t="s">
        <v>2860</v>
      </c>
      <c r="I260" s="6" t="str">
        <f>IFERROR(INDEX(ZACATECAS!$N$7:$N$5000, MATCH($F260, ZACATECAS!$H$7:$H$5000, 0)), "-")</f>
        <v>CHAMPION DE GENTE</v>
      </c>
    </row>
    <row r="261" spans="1:9" x14ac:dyDescent="0.3">
      <c r="A261" s="543" t="s">
        <v>2857</v>
      </c>
      <c r="B261" s="543" t="s">
        <v>2858</v>
      </c>
      <c r="C261" s="543" t="s">
        <v>875</v>
      </c>
      <c r="D261" s="546" t="s">
        <v>2861</v>
      </c>
      <c r="E261" s="6">
        <f>IFERROR(INDEX(ZACATECAS!$I$7:$I$5000, MATCH(F261*1, ZACATECAS!$H$7:$H$5000, 0)), "-")</f>
        <v>7</v>
      </c>
      <c r="F261" s="544">
        <v>32045740</v>
      </c>
      <c r="G261" s="544" t="s">
        <v>891</v>
      </c>
      <c r="H261" s="543" t="s">
        <v>2860</v>
      </c>
      <c r="I261" s="6" t="str">
        <f>IFERROR(INDEX(ZACATECAS!$N$7:$N$5000, MATCH($F261, ZACATECAS!$H$7:$H$5000, 0)), "-")</f>
        <v>APOYO GESTION</v>
      </c>
    </row>
    <row r="262" spans="1:9" x14ac:dyDescent="0.3">
      <c r="A262" s="543" t="s">
        <v>2857</v>
      </c>
      <c r="B262" s="543" t="s">
        <v>2858</v>
      </c>
      <c r="C262" s="543" t="s">
        <v>875</v>
      </c>
      <c r="D262" s="546" t="s">
        <v>2861</v>
      </c>
      <c r="E262" s="6">
        <f>IFERROR(INDEX(ZACATECAS!$I$7:$I$5000, MATCH(F262*1, ZACATECAS!$H$7:$H$5000, 0)), "-")</f>
        <v>7</v>
      </c>
      <c r="F262" s="544">
        <v>32046346</v>
      </c>
      <c r="G262" s="544" t="s">
        <v>893</v>
      </c>
      <c r="H262" s="543" t="s">
        <v>2860</v>
      </c>
      <c r="I262" s="6" t="str">
        <f>IFERROR(INDEX(ZACATECAS!$N$7:$N$5000, MATCH($F262, ZACATECAS!$H$7:$H$5000, 0)), "-")</f>
        <v>CHAMPION ENGAGEMENT</v>
      </c>
    </row>
    <row r="263" spans="1:9" x14ac:dyDescent="0.3">
      <c r="A263" s="543" t="s">
        <v>2857</v>
      </c>
      <c r="B263" s="543" t="s">
        <v>2858</v>
      </c>
      <c r="C263" s="543" t="s">
        <v>875</v>
      </c>
      <c r="D263" s="546" t="s">
        <v>2861</v>
      </c>
      <c r="E263" s="6">
        <f>IFERROR(INDEX(ZACATECAS!$I$7:$I$5000, MATCH(F263*1, ZACATECAS!$H$7:$H$5000, 0)), "-")</f>
        <v>7</v>
      </c>
      <c r="F263" s="544">
        <v>32046481</v>
      </c>
      <c r="G263" s="544" t="s">
        <v>895</v>
      </c>
      <c r="H263" s="543" t="s">
        <v>2860</v>
      </c>
      <c r="I263" s="6" t="str">
        <f>IFERROR(INDEX(ZACATECAS!$N$7:$N$5000, MATCH($F263, ZACATECAS!$H$7:$H$5000, 0)), "-")</f>
        <v>CHAMPION LOGISTICA</v>
      </c>
    </row>
    <row r="264" spans="1:9" x14ac:dyDescent="0.3">
      <c r="A264" s="543" t="s">
        <v>2857</v>
      </c>
      <c r="B264" s="543" t="s">
        <v>2858</v>
      </c>
      <c r="C264" s="543" t="s">
        <v>875</v>
      </c>
      <c r="D264" s="546" t="s">
        <v>2861</v>
      </c>
      <c r="E264" s="6">
        <f>IFERROR(INDEX(ZACATECAS!$I$7:$I$5000, MATCH(F264*1, ZACATECAS!$H$7:$H$5000, 0)), "-")</f>
        <v>7</v>
      </c>
      <c r="F264" s="544">
        <v>32061461</v>
      </c>
      <c r="G264" s="544" t="s">
        <v>897</v>
      </c>
      <c r="H264" s="543" t="s">
        <v>2860</v>
      </c>
      <c r="I264" s="6" t="str">
        <f>IFERROR(INDEX(ZACATECAS!$N$7:$N$5000, MATCH($F264, ZACATECAS!$H$7:$H$5000, 0)), "-")</f>
        <v>CHAMPION DE GESTIÓN</v>
      </c>
    </row>
    <row r="265" spans="1:9" x14ac:dyDescent="0.3">
      <c r="A265" s="543" t="s">
        <v>2857</v>
      </c>
      <c r="B265" s="543" t="s">
        <v>2858</v>
      </c>
      <c r="C265" s="543" t="s">
        <v>875</v>
      </c>
      <c r="D265" s="546" t="s">
        <v>2861</v>
      </c>
      <c r="E265" s="6">
        <f>IFERROR(INDEX(ZACATECAS!$I$7:$I$5000, MATCH(F265*1, ZACATECAS!$H$7:$H$5000, 0)), "-")</f>
        <v>7</v>
      </c>
      <c r="F265" s="544">
        <v>32177849</v>
      </c>
      <c r="G265" s="544" t="s">
        <v>900</v>
      </c>
      <c r="H265" s="543" t="s">
        <v>2860</v>
      </c>
      <c r="I265" s="6" t="str">
        <f>IFERROR(INDEX(ZACATECAS!$N$7:$N$5000, MATCH($F265, ZACATECAS!$H$7:$H$5000, 0)), "-")</f>
        <v>GENTE</v>
      </c>
    </row>
    <row r="266" spans="1:9" x14ac:dyDescent="0.3">
      <c r="A266" s="543" t="s">
        <v>2857</v>
      </c>
      <c r="B266" s="543" t="s">
        <v>2858</v>
      </c>
      <c r="C266" s="543" t="s">
        <v>875</v>
      </c>
      <c r="D266" s="546" t="s">
        <v>2861</v>
      </c>
      <c r="E266" s="6">
        <f>IFERROR(INDEX(ZACATECAS!$I$7:$I$5000, MATCH(F266*1, ZACATECAS!$H$7:$H$5000, 0)), "-")</f>
        <v>7</v>
      </c>
      <c r="F266" s="544">
        <v>32142977</v>
      </c>
      <c r="G266" s="544" t="s">
        <v>901</v>
      </c>
      <c r="H266" s="543" t="s">
        <v>2860</v>
      </c>
      <c r="I266" s="6" t="str">
        <f>IFERROR(INDEX(ZACATECAS!$N$7:$N$5000, MATCH($F266, ZACATECAS!$H$7:$H$5000, 0)), "-")</f>
        <v>APOYO AMBIENTAL</v>
      </c>
    </row>
    <row r="267" spans="1:9" x14ac:dyDescent="0.3">
      <c r="A267" s="543" t="s">
        <v>2857</v>
      </c>
      <c r="B267" s="543" t="s">
        <v>2858</v>
      </c>
      <c r="C267" s="543" t="s">
        <v>875</v>
      </c>
      <c r="D267" s="546" t="s">
        <v>2861</v>
      </c>
      <c r="E267" s="6">
        <f>IFERROR(INDEX(ZACATECAS!$I$7:$I$5000, MATCH(F267*1, ZACATECAS!$H$7:$H$5000, 0)), "-")</f>
        <v>7</v>
      </c>
      <c r="F267" s="544">
        <v>32148624</v>
      </c>
      <c r="G267" s="544" t="s">
        <v>903</v>
      </c>
      <c r="H267" s="543" t="s">
        <v>2860</v>
      </c>
      <c r="I267" s="6" t="str">
        <f>IFERROR(INDEX(ZACATECAS!$N$7:$N$5000, MATCH($F267, ZACATECAS!$H$7:$H$5000, 0)), "-")</f>
        <v>CHAMPION MANTENIMINETO</v>
      </c>
    </row>
    <row r="268" spans="1:9" x14ac:dyDescent="0.3">
      <c r="A268" s="543" t="s">
        <v>2857</v>
      </c>
      <c r="B268" s="543" t="s">
        <v>2858</v>
      </c>
      <c r="C268" s="543" t="s">
        <v>875</v>
      </c>
      <c r="D268" s="546" t="s">
        <v>2861</v>
      </c>
      <c r="E268" s="6">
        <f>IFERROR(INDEX(ZACATECAS!$I$7:$I$5000, MATCH(F268*1, ZACATECAS!$H$7:$H$5000, 0)), "-")</f>
        <v>7</v>
      </c>
      <c r="F268" s="544">
        <v>32148627</v>
      </c>
      <c r="G268" s="544" t="s">
        <v>905</v>
      </c>
      <c r="H268" s="543" t="s">
        <v>2860</v>
      </c>
      <c r="I268" s="6" t="str">
        <f>IFERROR(INDEX(ZACATECAS!$N$7:$N$5000, MATCH($F268, ZACATECAS!$H$7:$H$5000, 0)), "-")</f>
        <v>CHAMPION SEGURIDAD</v>
      </c>
    </row>
    <row r="269" spans="1:9" x14ac:dyDescent="0.3">
      <c r="A269" s="543" t="s">
        <v>2857</v>
      </c>
      <c r="B269" s="543" t="s">
        <v>2858</v>
      </c>
      <c r="C269" s="543" t="s">
        <v>1736</v>
      </c>
      <c r="D269" s="546" t="s">
        <v>2869</v>
      </c>
      <c r="E269" s="6" t="str">
        <f>IFERROR(INDEX(ZACATECAS!$I$7:$I$5000, MATCH(F269*1, ZACATECAS!$H$7:$H$5000, 0)), "-")</f>
        <v>-</v>
      </c>
      <c r="F269" s="544">
        <v>32225725</v>
      </c>
      <c r="G269" s="544" t="s">
        <v>1737</v>
      </c>
      <c r="H269" s="543" t="s">
        <v>2344</v>
      </c>
      <c r="I269" s="6" t="str">
        <f>IFERROR(INDEX(ZACATECAS!$N$7:$N$5000, MATCH($F269, ZACATECAS!$H$7:$H$5000, 0)), "-")</f>
        <v>-</v>
      </c>
    </row>
    <row r="270" spans="1:9" x14ac:dyDescent="0.3">
      <c r="A270" s="543" t="s">
        <v>2857</v>
      </c>
      <c r="B270" s="543" t="s">
        <v>2858</v>
      </c>
      <c r="C270" s="543" t="s">
        <v>1736</v>
      </c>
      <c r="D270" s="546" t="s">
        <v>2869</v>
      </c>
      <c r="E270" s="6" t="str">
        <f>IFERROR(INDEX(ZACATECAS!$I$7:$I$5000, MATCH(F270*1, ZACATECAS!$H$7:$H$5000, 0)), "-")</f>
        <v>ALTERNO/TAPANCO</v>
      </c>
      <c r="F270" s="544">
        <v>32216902</v>
      </c>
      <c r="G270" s="544" t="s">
        <v>1739</v>
      </c>
      <c r="H270" s="543" t="s">
        <v>2860</v>
      </c>
      <c r="I270" s="6" t="str">
        <f>IFERROR(INDEX(ZACATECAS!$N$7:$N$5000, MATCH($F270, ZACATECAS!$H$7:$H$5000, 0)), "-")</f>
        <v>SEGURIDAD</v>
      </c>
    </row>
    <row r="271" spans="1:9" x14ac:dyDescent="0.3">
      <c r="A271" s="543" t="s">
        <v>2857</v>
      </c>
      <c r="B271" s="543" t="s">
        <v>2858</v>
      </c>
      <c r="C271" s="543" t="s">
        <v>1736</v>
      </c>
      <c r="D271" s="546" t="s">
        <v>2869</v>
      </c>
      <c r="E271" s="6" t="str">
        <f>IFERROR(INDEX(ZACATECAS!$I$7:$I$5000, MATCH(F271*1, ZACATECAS!$H$7:$H$5000, 0)), "-")</f>
        <v>ALTERNO/TAPANCO</v>
      </c>
      <c r="F271" s="544">
        <v>32045325</v>
      </c>
      <c r="G271" s="544" t="s">
        <v>1742</v>
      </c>
      <c r="H271" s="543" t="s">
        <v>2860</v>
      </c>
      <c r="I271" s="6" t="str">
        <f>IFERROR(INDEX(ZACATECAS!$N$7:$N$5000, MATCH($F271, ZACATECAS!$H$7:$H$5000, 0)), "-")</f>
        <v>MEDIO AMBIENTE</v>
      </c>
    </row>
    <row r="272" spans="1:9" x14ac:dyDescent="0.3">
      <c r="A272" s="543" t="s">
        <v>2857</v>
      </c>
      <c r="B272" s="543" t="s">
        <v>2858</v>
      </c>
      <c r="C272" s="543" t="s">
        <v>1736</v>
      </c>
      <c r="D272" s="546" t="s">
        <v>2869</v>
      </c>
      <c r="E272" s="6" t="str">
        <f>IFERROR(INDEX(ZACATECAS!$I$7:$I$5000, MATCH(F272*1, ZACATECAS!$H$7:$H$5000, 0)), "-")</f>
        <v>ALTERNO/TAPANCO</v>
      </c>
      <c r="F272" s="544">
        <v>32045068</v>
      </c>
      <c r="G272" s="544" t="s">
        <v>1744</v>
      </c>
      <c r="H272" s="543" t="s">
        <v>2860</v>
      </c>
      <c r="I272" s="6" t="str">
        <f>IFERROR(INDEX(ZACATECAS!$N$7:$N$5000, MATCH($F272, ZACATECAS!$H$7:$H$5000, 0)), "-")</f>
        <v>CALIDAD</v>
      </c>
    </row>
    <row r="273" spans="1:9" x14ac:dyDescent="0.3">
      <c r="A273" s="543" t="s">
        <v>2857</v>
      </c>
      <c r="B273" s="543" t="s">
        <v>2858</v>
      </c>
      <c r="C273" s="543" t="s">
        <v>1736</v>
      </c>
      <c r="D273" s="546" t="s">
        <v>2869</v>
      </c>
      <c r="E273" s="6" t="str">
        <f>IFERROR(INDEX(ZACATECAS!$I$7:$I$5000, MATCH(F273*1, ZACATECAS!$H$7:$H$5000, 0)), "-")</f>
        <v>ALTERNO/TAPANCO</v>
      </c>
      <c r="F273" s="544">
        <v>32046004</v>
      </c>
      <c r="G273" s="544" t="s">
        <v>1746</v>
      </c>
      <c r="H273" s="543" t="s">
        <v>2860</v>
      </c>
      <c r="I273" s="6" t="str">
        <f>IFERROR(INDEX(ZACATECAS!$N$7:$N$5000, MATCH($F273, ZACATECAS!$H$7:$H$5000, 0)), "-")</f>
        <v>PEOPLE</v>
      </c>
    </row>
    <row r="274" spans="1:9" x14ac:dyDescent="0.3">
      <c r="A274" s="543" t="s">
        <v>2857</v>
      </c>
      <c r="B274" s="543" t="s">
        <v>2858</v>
      </c>
      <c r="C274" s="543" t="s">
        <v>1736</v>
      </c>
      <c r="D274" s="546" t="s">
        <v>2869</v>
      </c>
      <c r="E274" s="6" t="str">
        <f>IFERROR(INDEX(ZACATECAS!$I$7:$I$5000, MATCH(F274*1, ZACATECAS!$H$7:$H$5000, 0)), "-")</f>
        <v>ALTERNO/TAPANCO</v>
      </c>
      <c r="F274" s="544">
        <v>32046598</v>
      </c>
      <c r="G274" s="544" t="s">
        <v>2870</v>
      </c>
      <c r="H274" s="543" t="s">
        <v>2860</v>
      </c>
      <c r="I274" s="6" t="str">
        <f>IFERROR(INDEX(ZACATECAS!$N$7:$N$5000, MATCH($F274, ZACATECAS!$H$7:$H$5000, 0)), "-")</f>
        <v>GESTIÓN</v>
      </c>
    </row>
    <row r="275" spans="1:9" x14ac:dyDescent="0.3">
      <c r="A275" s="543" t="s">
        <v>2857</v>
      </c>
      <c r="B275" s="543" t="s">
        <v>2858</v>
      </c>
      <c r="C275" s="543" t="s">
        <v>1736</v>
      </c>
      <c r="D275" s="546" t="s">
        <v>2869</v>
      </c>
      <c r="E275" s="6" t="str">
        <f>IFERROR(INDEX(ZACATECAS!$I$7:$I$5000, MATCH(F275*1, ZACATECAS!$H$7:$H$5000, 0)), "-")</f>
        <v>ALTERNO/TAPANCO</v>
      </c>
      <c r="F275" s="544">
        <v>32044358</v>
      </c>
      <c r="G275" s="544" t="s">
        <v>2871</v>
      </c>
      <c r="H275" s="543" t="s">
        <v>2860</v>
      </c>
      <c r="I275" s="6" t="str">
        <f>IFERROR(INDEX(ZACATECAS!$N$7:$N$5000, MATCH($F275, ZACATECAS!$H$7:$H$5000, 0)), "-")</f>
        <v>MEDIO AMBIENTE</v>
      </c>
    </row>
    <row r="276" spans="1:9" x14ac:dyDescent="0.3">
      <c r="A276" s="543" t="s">
        <v>2857</v>
      </c>
      <c r="B276" s="543" t="s">
        <v>2858</v>
      </c>
      <c r="C276" s="543" t="s">
        <v>1736</v>
      </c>
      <c r="D276" s="546" t="s">
        <v>2869</v>
      </c>
      <c r="E276" s="6" t="str">
        <f>IFERROR(INDEX(ZACATECAS!$I$7:$I$5000, MATCH(F276*1, ZACATECAS!$H$7:$H$5000, 0)), "-")</f>
        <v>ALTERNO/TAPANCO</v>
      </c>
      <c r="F276" s="544">
        <v>32046184</v>
      </c>
      <c r="G276" s="544" t="s">
        <v>2872</v>
      </c>
      <c r="H276" s="543" t="s">
        <v>2860</v>
      </c>
      <c r="I276" s="6" t="str">
        <f>IFERROR(INDEX(ZACATECAS!$N$7:$N$5000, MATCH($F276, ZACATECAS!$H$7:$H$5000, 0)), "-")</f>
        <v>PEOPLE</v>
      </c>
    </row>
    <row r="277" spans="1:9" x14ac:dyDescent="0.3">
      <c r="A277" s="543" t="s">
        <v>2857</v>
      </c>
      <c r="B277" s="543" t="s">
        <v>2858</v>
      </c>
      <c r="C277" s="543" t="s">
        <v>2147</v>
      </c>
      <c r="D277" s="546" t="s">
        <v>2859</v>
      </c>
      <c r="E277" s="6" t="str">
        <f>IFERROR(INDEX(ZACATECAS!$I$7:$I$5000, MATCH(F277*1, ZACATECAS!$H$7:$H$5000, 0)), "-")</f>
        <v>-</v>
      </c>
      <c r="F277" s="544">
        <v>32151314</v>
      </c>
      <c r="G277" s="544" t="s">
        <v>2148</v>
      </c>
      <c r="H277" s="543" t="s">
        <v>2344</v>
      </c>
      <c r="I277" s="6" t="str">
        <f>IFERROR(INDEX(ZACATECAS!$N$7:$N$5000, MATCH($F277, ZACATECAS!$H$7:$H$5000, 0)), "-")</f>
        <v>-</v>
      </c>
    </row>
    <row r="278" spans="1:9" x14ac:dyDescent="0.3">
      <c r="A278" s="543" t="s">
        <v>2857</v>
      </c>
      <c r="B278" s="543" t="s">
        <v>2858</v>
      </c>
      <c r="C278" s="543" t="s">
        <v>2147</v>
      </c>
      <c r="D278" s="546" t="s">
        <v>2859</v>
      </c>
      <c r="E278" s="6" t="str">
        <f>IFERROR(INDEX(ZACATECAS!$I$7:$I$5000, MATCH(F278*1, ZACATECAS!$H$7:$H$5000, 0)), "-")</f>
        <v>ENV 1</v>
      </c>
      <c r="F278" s="544">
        <v>32044398</v>
      </c>
      <c r="G278" s="544" t="s">
        <v>2149</v>
      </c>
      <c r="H278" s="543" t="s">
        <v>2860</v>
      </c>
      <c r="I278" s="6" t="str">
        <f>IFERROR(INDEX(ZACATECAS!$N$7:$N$5000, MATCH($F278, ZACATECAS!$H$7:$H$5000, 0)), "-")</f>
        <v>GENTE</v>
      </c>
    </row>
    <row r="279" spans="1:9" x14ac:dyDescent="0.3">
      <c r="A279" s="543" t="s">
        <v>2857</v>
      </c>
      <c r="B279" s="543" t="s">
        <v>2858</v>
      </c>
      <c r="C279" s="543" t="s">
        <v>2147</v>
      </c>
      <c r="D279" s="546" t="s">
        <v>2859</v>
      </c>
      <c r="E279" s="6" t="str">
        <f>IFERROR(INDEX(ZACATECAS!$I$7:$I$5000, MATCH(F279*1, ZACATECAS!$H$7:$H$5000, 0)), "-")</f>
        <v>ENV 1</v>
      </c>
      <c r="F279" s="544">
        <v>32044531</v>
      </c>
      <c r="G279" s="544" t="s">
        <v>2150</v>
      </c>
      <c r="H279" s="543" t="s">
        <v>2860</v>
      </c>
      <c r="I279" s="6" t="str">
        <f>IFERROR(INDEX(ZACATECAS!$N$7:$N$5000, MATCH($F279, ZACATECAS!$H$7:$H$5000, 0)), "-")</f>
        <v>SEGURIDAD</v>
      </c>
    </row>
    <row r="280" spans="1:9" x14ac:dyDescent="0.3">
      <c r="A280" s="543" t="s">
        <v>2857</v>
      </c>
      <c r="B280" s="543" t="s">
        <v>2858</v>
      </c>
      <c r="C280" s="543" t="s">
        <v>2147</v>
      </c>
      <c r="D280" s="546" t="s">
        <v>2859</v>
      </c>
      <c r="E280" s="6" t="str">
        <f>IFERROR(INDEX(ZACATECAS!$I$7:$I$5000, MATCH(F280*1, ZACATECAS!$H$7:$H$5000, 0)), "-")</f>
        <v>ENV 1</v>
      </c>
      <c r="F280" s="544">
        <v>32044617</v>
      </c>
      <c r="G280" s="544" t="s">
        <v>2151</v>
      </c>
      <c r="H280" s="543" t="s">
        <v>2860</v>
      </c>
      <c r="I280" s="6" t="str">
        <f>IFERROR(INDEX(ZACATECAS!$N$7:$N$5000, MATCH($F280, ZACATECAS!$H$7:$H$5000, 0)), "-")</f>
        <v>GESTION</v>
      </c>
    </row>
    <row r="281" spans="1:9" x14ac:dyDescent="0.3">
      <c r="A281" s="543" t="s">
        <v>2857</v>
      </c>
      <c r="B281" s="543" t="s">
        <v>2858</v>
      </c>
      <c r="C281" s="543" t="s">
        <v>2147</v>
      </c>
      <c r="D281" s="546" t="s">
        <v>2859</v>
      </c>
      <c r="E281" s="6" t="str">
        <f>IFERROR(INDEX(ZACATECAS!$I$7:$I$5000, MATCH(F281*1, ZACATECAS!$H$7:$H$5000, 0)), "-")</f>
        <v>ENV 1</v>
      </c>
      <c r="F281" s="544">
        <v>32044635</v>
      </c>
      <c r="G281" s="544" t="s">
        <v>2152</v>
      </c>
      <c r="H281" s="543" t="s">
        <v>2860</v>
      </c>
      <c r="I281" s="6" t="str">
        <f>IFERROR(INDEX(ZACATECAS!$N$7:$N$5000, MATCH($F281, ZACATECAS!$H$7:$H$5000, 0)), "-")</f>
        <v>MANTENIMIENTO</v>
      </c>
    </row>
    <row r="282" spans="1:9" x14ac:dyDescent="0.3">
      <c r="A282" s="543" t="s">
        <v>2857</v>
      </c>
      <c r="B282" s="543" t="s">
        <v>2858</v>
      </c>
      <c r="C282" s="543" t="s">
        <v>2183</v>
      </c>
      <c r="D282" s="543" t="s">
        <v>2859</v>
      </c>
      <c r="E282" s="6" t="str">
        <f>IFERROR(INDEX(ZACATECAS!$I$7:$I$5000, MATCH(F282*1, ZACATECAS!$H$7:$H$5000, 0)), "-")</f>
        <v>-</v>
      </c>
      <c r="F282" s="546">
        <v>32172813</v>
      </c>
      <c r="G282" s="546" t="s">
        <v>2184</v>
      </c>
      <c r="H282" s="543" t="s">
        <v>2344</v>
      </c>
      <c r="I282" s="6" t="str">
        <f>IFERROR(INDEX(ZACATECAS!$N$7:$N$5000, MATCH($F282, ZACATECAS!$H$7:$H$5000, 0)), "-")</f>
        <v>-</v>
      </c>
    </row>
    <row r="283" spans="1:9" x14ac:dyDescent="0.3">
      <c r="A283" s="543" t="s">
        <v>2857</v>
      </c>
      <c r="B283" s="543" t="s">
        <v>2858</v>
      </c>
      <c r="C283" s="543" t="s">
        <v>2183</v>
      </c>
      <c r="D283" s="543" t="s">
        <v>2859</v>
      </c>
      <c r="E283" s="6" t="str">
        <f>IFERROR(INDEX(ZACATECAS!$I$7:$I$5000, MATCH(F283*1, ZACATECAS!$H$7:$H$5000, 0)), "-")</f>
        <v>ENV 2</v>
      </c>
      <c r="F283" s="544">
        <v>32045277</v>
      </c>
      <c r="G283" s="544" t="s">
        <v>2185</v>
      </c>
      <c r="H283" s="543" t="s">
        <v>2860</v>
      </c>
      <c r="I283" s="6" t="str">
        <f>IFERROR(INDEX(ZACATECAS!$N$7:$N$5000, MATCH($F283, ZACATECAS!$H$7:$H$5000, 0)), "-")</f>
        <v>MEDIO AMBIENTE</v>
      </c>
    </row>
    <row r="284" spans="1:9" x14ac:dyDescent="0.3">
      <c r="A284" s="543" t="s">
        <v>2857</v>
      </c>
      <c r="B284" s="543" t="s">
        <v>2858</v>
      </c>
      <c r="C284" s="543" t="s">
        <v>2183</v>
      </c>
      <c r="D284" s="543" t="s">
        <v>2859</v>
      </c>
      <c r="E284" s="6" t="str">
        <f>IFERROR(INDEX(ZACATECAS!$I$7:$I$5000, MATCH(F284*1, ZACATECAS!$H$7:$H$5000, 0)), "-")</f>
        <v>ENV 2</v>
      </c>
      <c r="F284" s="544">
        <v>32044339</v>
      </c>
      <c r="G284" s="544" t="s">
        <v>2186</v>
      </c>
      <c r="H284" s="543" t="s">
        <v>2860</v>
      </c>
      <c r="I284" s="6" t="str">
        <f>IFERROR(INDEX(ZACATECAS!$N$7:$N$5000, MATCH($F284, ZACATECAS!$H$7:$H$5000, 0)), "-")</f>
        <v>GESTION</v>
      </c>
    </row>
    <row r="285" spans="1:9" x14ac:dyDescent="0.3">
      <c r="A285" s="543" t="s">
        <v>2857</v>
      </c>
      <c r="B285" s="543" t="s">
        <v>2858</v>
      </c>
      <c r="C285" s="543" t="s">
        <v>2183</v>
      </c>
      <c r="D285" s="543" t="s">
        <v>2859</v>
      </c>
      <c r="E285" s="6" t="str">
        <f>IFERROR(INDEX(ZACATECAS!$I$7:$I$5000, MATCH(F285*1, ZACATECAS!$H$7:$H$5000, 0)), "-")</f>
        <v>ENV 2</v>
      </c>
      <c r="F285" s="544">
        <v>32045129</v>
      </c>
      <c r="G285" s="544" t="s">
        <v>2187</v>
      </c>
      <c r="H285" s="543" t="s">
        <v>2860</v>
      </c>
      <c r="I285" s="6" t="str">
        <f>IFERROR(INDEX(ZACATECAS!$N$7:$N$5000, MATCH($F285, ZACATECAS!$H$7:$H$5000, 0)), "-")</f>
        <v>APOYO SEGURIDAD</v>
      </c>
    </row>
    <row r="286" spans="1:9" x14ac:dyDescent="0.3">
      <c r="A286" s="543" t="s">
        <v>2857</v>
      </c>
      <c r="B286" s="543" t="s">
        <v>2858</v>
      </c>
      <c r="C286" s="543" t="s">
        <v>2183</v>
      </c>
      <c r="D286" s="543" t="s">
        <v>2859</v>
      </c>
      <c r="E286" s="6" t="str">
        <f>IFERROR(INDEX(ZACATECAS!$I$7:$I$5000, MATCH(F286*1, ZACATECAS!$H$7:$H$5000, 0)), "-")</f>
        <v>ENV 2</v>
      </c>
      <c r="F286" s="544">
        <v>32045080</v>
      </c>
      <c r="G286" s="544" t="s">
        <v>2188</v>
      </c>
      <c r="H286" s="543" t="s">
        <v>2860</v>
      </c>
      <c r="I286" s="6" t="str">
        <f>IFERROR(INDEX(ZACATECAS!$N$7:$N$5000, MATCH($F286, ZACATECAS!$H$7:$H$5000, 0)), "-")</f>
        <v>SEGURIDAD</v>
      </c>
    </row>
    <row r="287" spans="1:9" x14ac:dyDescent="0.3">
      <c r="A287" s="543" t="s">
        <v>2857</v>
      </c>
      <c r="B287" s="543" t="s">
        <v>2858</v>
      </c>
      <c r="C287" s="543" t="s">
        <v>2183</v>
      </c>
      <c r="D287" s="543" t="s">
        <v>2859</v>
      </c>
      <c r="E287" s="6" t="str">
        <f>IFERROR(INDEX(ZACATECAS!$I$7:$I$5000, MATCH(F287*1, ZACATECAS!$H$7:$H$5000, 0)), "-")</f>
        <v>ENV 2</v>
      </c>
      <c r="F287" s="544">
        <v>32064463</v>
      </c>
      <c r="G287" s="544" t="s">
        <v>2189</v>
      </c>
      <c r="H287" s="543" t="s">
        <v>2860</v>
      </c>
      <c r="I287" s="6" t="str">
        <f>IFERROR(INDEX(ZACATECAS!$N$7:$N$5000, MATCH($F287, ZACATECAS!$H$7:$H$5000, 0)), "-")</f>
        <v>GENTE</v>
      </c>
    </row>
    <row r="288" spans="1:9" x14ac:dyDescent="0.3">
      <c r="A288" s="543" t="s">
        <v>2857</v>
      </c>
      <c r="B288" s="543" t="s">
        <v>2858</v>
      </c>
      <c r="C288" s="543" t="s">
        <v>2183</v>
      </c>
      <c r="D288" s="543" t="s">
        <v>2859</v>
      </c>
      <c r="E288" s="6" t="str">
        <f>IFERROR(INDEX(ZACATECAS!$I$7:$I$5000, MATCH(F288*1, ZACATECAS!$H$7:$H$5000, 0)), "-")</f>
        <v>ENV 2</v>
      </c>
      <c r="F288" s="544">
        <v>32043976</v>
      </c>
      <c r="G288" s="544" t="s">
        <v>2190</v>
      </c>
      <c r="H288" s="543" t="s">
        <v>2860</v>
      </c>
      <c r="I288" s="6" t="str">
        <f>IFERROR(INDEX(ZACATECAS!$N$7:$N$5000, MATCH($F288, ZACATECAS!$H$7:$H$5000, 0)), "-")</f>
        <v>MANTENIMIENTO</v>
      </c>
    </row>
    <row r="289" spans="1:9" x14ac:dyDescent="0.3">
      <c r="A289" s="543" t="s">
        <v>2857</v>
      </c>
      <c r="B289" s="543" t="s">
        <v>2858</v>
      </c>
      <c r="C289" s="543" t="s">
        <v>2183</v>
      </c>
      <c r="D289" s="543" t="s">
        <v>2859</v>
      </c>
      <c r="E289" s="6" t="str">
        <f>IFERROR(INDEX(ZACATECAS!$I$7:$I$5000, MATCH(F289*1, ZACATECAS!$H$7:$H$5000, 0)), "-")</f>
        <v>ENV 2</v>
      </c>
      <c r="F289" s="544">
        <v>32045421</v>
      </c>
      <c r="G289" s="544" t="s">
        <v>2191</v>
      </c>
      <c r="H289" s="543" t="s">
        <v>2860</v>
      </c>
      <c r="I289" s="6" t="str">
        <f>IFERROR(INDEX(ZACATECAS!$N$7:$N$5000, MATCH($F289, ZACATECAS!$H$7:$H$5000, 0)), "-")</f>
        <v>APOYO MANTENIMIENTO</v>
      </c>
    </row>
    <row r="290" spans="1:9" x14ac:dyDescent="0.3">
      <c r="A290" s="543" t="s">
        <v>2857</v>
      </c>
      <c r="B290" s="543" t="s">
        <v>2858</v>
      </c>
      <c r="C290" s="543" t="s">
        <v>2183</v>
      </c>
      <c r="D290" s="543" t="s">
        <v>2859</v>
      </c>
      <c r="E290" s="6" t="str">
        <f>IFERROR(INDEX(ZACATECAS!$I$7:$I$5000, MATCH(F290*1, ZACATECAS!$H$7:$H$5000, 0)), "-")</f>
        <v>ENV 2</v>
      </c>
      <c r="F290" s="544">
        <v>32061267</v>
      </c>
      <c r="G290" s="544" t="s">
        <v>2192</v>
      </c>
      <c r="H290" s="543" t="s">
        <v>2860</v>
      </c>
      <c r="I290" s="6" t="str">
        <f>IFERROR(INDEX(ZACATECAS!$N$7:$N$5000, MATCH($F290, ZACATECAS!$H$7:$H$5000, 0)), "-")</f>
        <v>APOYO MEDIO AMBIENTE</v>
      </c>
    </row>
    <row r="291" spans="1:9" x14ac:dyDescent="0.3">
      <c r="A291" s="543" t="s">
        <v>2857</v>
      </c>
      <c r="B291" s="543" t="s">
        <v>2858</v>
      </c>
      <c r="C291" s="543" t="s">
        <v>2183</v>
      </c>
      <c r="D291" s="543" t="s">
        <v>2859</v>
      </c>
      <c r="E291" s="6" t="str">
        <f>IFERROR(INDEX(ZACATECAS!$I$7:$I$5000, MATCH(F291*1, ZACATECAS!$H$7:$H$5000, 0)), "-")</f>
        <v>ENV 2</v>
      </c>
      <c r="F291" s="544">
        <v>32045049</v>
      </c>
      <c r="G291" s="544" t="s">
        <v>2193</v>
      </c>
      <c r="H291" s="543" t="s">
        <v>2860</v>
      </c>
      <c r="I291" s="6" t="str">
        <f>IFERROR(INDEX(ZACATECAS!$N$7:$N$5000, MATCH($F291, ZACATECAS!$H$7:$H$5000, 0)), "-")</f>
        <v>APOYO GENTE</v>
      </c>
    </row>
    <row r="292" spans="1:9" x14ac:dyDescent="0.3">
      <c r="A292" s="543" t="s">
        <v>2857</v>
      </c>
      <c r="B292" s="543" t="s">
        <v>2858</v>
      </c>
      <c r="C292" s="543" t="s">
        <v>2183</v>
      </c>
      <c r="D292" s="543" t="s">
        <v>2859</v>
      </c>
      <c r="E292" s="6" t="str">
        <f>IFERROR(INDEX(ZACATECAS!$I$7:$I$5000, MATCH(F292*1, ZACATECAS!$H$7:$H$5000, 0)), "-")</f>
        <v>ENV 2</v>
      </c>
      <c r="F292" s="545">
        <v>32045869</v>
      </c>
      <c r="G292" s="546" t="s">
        <v>2194</v>
      </c>
      <c r="H292" s="543" t="s">
        <v>2860</v>
      </c>
      <c r="I292" s="6" t="str">
        <f>IFERROR(INDEX(ZACATECAS!$N$7:$N$5000, MATCH($F292, ZACATECAS!$H$7:$H$5000, 0)), "-")</f>
        <v>CALIDAD</v>
      </c>
    </row>
    <row r="293" spans="1:9" x14ac:dyDescent="0.3">
      <c r="A293" s="543" t="s">
        <v>2857</v>
      </c>
      <c r="B293" s="543" t="s">
        <v>2858</v>
      </c>
      <c r="C293" s="543" t="s">
        <v>907</v>
      </c>
      <c r="D293" s="543" t="s">
        <v>2861</v>
      </c>
      <c r="E293" s="6" t="str">
        <f>IFERROR(INDEX(ZACATECAS!$I$7:$I$5000, MATCH(F293*1, ZACATECAS!$H$7:$H$5000, 0)), "-")</f>
        <v>-</v>
      </c>
      <c r="F293" s="545">
        <v>32168009</v>
      </c>
      <c r="G293" s="546" t="s">
        <v>781</v>
      </c>
      <c r="H293" s="543" t="s">
        <v>2344</v>
      </c>
      <c r="I293" s="6" t="str">
        <f>IFERROR(INDEX(ZACATECAS!$N$7:$N$5000, MATCH($F293, ZACATECAS!$H$7:$H$5000, 0)), "-")</f>
        <v>-</v>
      </c>
    </row>
    <row r="294" spans="1:9" x14ac:dyDescent="0.3">
      <c r="A294" s="543" t="s">
        <v>2857</v>
      </c>
      <c r="B294" s="543" t="s">
        <v>2858</v>
      </c>
      <c r="C294" s="543" t="s">
        <v>907</v>
      </c>
      <c r="D294" s="543" t="s">
        <v>2861</v>
      </c>
      <c r="E294" s="6">
        <f>IFERROR(INDEX(ZACATECAS!$I$7:$I$5000, MATCH(F294*1, ZACATECAS!$H$7:$H$5000, 0)), "-")</f>
        <v>7</v>
      </c>
      <c r="F294" s="545">
        <v>32043889</v>
      </c>
      <c r="G294" s="546" t="s">
        <v>908</v>
      </c>
      <c r="H294" s="543" t="s">
        <v>2860</v>
      </c>
      <c r="I294" s="6" t="str">
        <f>IFERROR(INDEX(ZACATECAS!$N$7:$N$5000, MATCH($F294, ZACATECAS!$H$7:$H$5000, 0)), "-")</f>
        <v>CHAMPION MANTENIMIENTO</v>
      </c>
    </row>
    <row r="295" spans="1:9" x14ac:dyDescent="0.3">
      <c r="A295" s="543" t="s">
        <v>2857</v>
      </c>
      <c r="B295" s="543" t="s">
        <v>2858</v>
      </c>
      <c r="C295" s="543" t="s">
        <v>907</v>
      </c>
      <c r="D295" s="543" t="s">
        <v>2861</v>
      </c>
      <c r="E295" s="6">
        <f>IFERROR(INDEX(ZACATECAS!$I$7:$I$5000, MATCH(F295*1, ZACATECAS!$H$7:$H$5000, 0)), "-")</f>
        <v>7</v>
      </c>
      <c r="F295" s="544">
        <v>32043978</v>
      </c>
      <c r="G295" s="546" t="s">
        <v>910</v>
      </c>
      <c r="H295" s="543" t="s">
        <v>2860</v>
      </c>
      <c r="I295" s="6" t="str">
        <f>IFERROR(INDEX(ZACATECAS!$N$7:$N$5000, MATCH($F295, ZACATECAS!$H$7:$H$5000, 0)), "-")</f>
        <v>CHAMPION GESTION</v>
      </c>
    </row>
    <row r="296" spans="1:9" x14ac:dyDescent="0.3">
      <c r="A296" s="543" t="s">
        <v>2857</v>
      </c>
      <c r="B296" s="543" t="s">
        <v>2858</v>
      </c>
      <c r="C296" s="543" t="s">
        <v>907</v>
      </c>
      <c r="D296" s="543" t="s">
        <v>2861</v>
      </c>
      <c r="E296" s="6">
        <f>IFERROR(INDEX(ZACATECAS!$I$7:$I$5000, MATCH(F296*1, ZACATECAS!$H$7:$H$5000, 0)), "-")</f>
        <v>7</v>
      </c>
      <c r="F296" s="546">
        <v>32044074</v>
      </c>
      <c r="G296" s="546" t="s">
        <v>911</v>
      </c>
      <c r="H296" s="543" t="s">
        <v>2860</v>
      </c>
      <c r="I296" s="6" t="str">
        <f>IFERROR(INDEX(ZACATECAS!$N$7:$N$5000, MATCH($F296, ZACATECAS!$H$7:$H$5000, 0)), "-")</f>
        <v>APOYO AMBIENTAL</v>
      </c>
    </row>
    <row r="297" spans="1:9" x14ac:dyDescent="0.3">
      <c r="A297" s="543" t="s">
        <v>2857</v>
      </c>
      <c r="B297" s="543" t="s">
        <v>2858</v>
      </c>
      <c r="C297" s="543" t="s">
        <v>907</v>
      </c>
      <c r="D297" s="543" t="s">
        <v>2861</v>
      </c>
      <c r="E297" s="6">
        <f>IFERROR(INDEX(ZACATECAS!$I$7:$I$5000, MATCH(F297*1, ZACATECAS!$H$7:$H$5000, 0)), "-")</f>
        <v>7</v>
      </c>
      <c r="F297" s="545">
        <v>32044167</v>
      </c>
      <c r="G297" s="546" t="s">
        <v>912</v>
      </c>
      <c r="H297" s="543" t="s">
        <v>2860</v>
      </c>
      <c r="I297" s="6" t="str">
        <f>IFERROR(INDEX(ZACATECAS!$N$7:$N$5000, MATCH($F297, ZACATECAS!$H$7:$H$5000, 0)), "-")</f>
        <v>APOYO GESTION</v>
      </c>
    </row>
    <row r="298" spans="1:9" x14ac:dyDescent="0.3">
      <c r="A298" s="543" t="s">
        <v>2857</v>
      </c>
      <c r="B298" s="543" t="s">
        <v>2858</v>
      </c>
      <c r="C298" s="543" t="s">
        <v>907</v>
      </c>
      <c r="D298" s="543" t="s">
        <v>2861</v>
      </c>
      <c r="E298" s="6">
        <f>IFERROR(INDEX(ZACATECAS!$I$7:$I$5000, MATCH(F298*1, ZACATECAS!$H$7:$H$5000, 0)), "-")</f>
        <v>7</v>
      </c>
      <c r="F298" s="546">
        <v>32044169</v>
      </c>
      <c r="G298" s="546" t="s">
        <v>914</v>
      </c>
      <c r="H298" s="543" t="s">
        <v>2860</v>
      </c>
      <c r="I298" s="6" t="str">
        <f>IFERROR(INDEX(ZACATECAS!$N$7:$N$5000, MATCH($F298, ZACATECAS!$H$7:$H$5000, 0)), "-")</f>
        <v>CHAMPIONS ENGAMENT</v>
      </c>
    </row>
    <row r="299" spans="1:9" x14ac:dyDescent="0.3">
      <c r="A299" s="543" t="s">
        <v>2857</v>
      </c>
      <c r="B299" s="543" t="s">
        <v>2858</v>
      </c>
      <c r="C299" s="543" t="s">
        <v>907</v>
      </c>
      <c r="D299" s="543" t="s">
        <v>2861</v>
      </c>
      <c r="E299" s="6">
        <f>IFERROR(INDEX(ZACATECAS!$I$7:$I$5000, MATCH(F299*1, ZACATECAS!$H$7:$H$5000, 0)), "-")</f>
        <v>7</v>
      </c>
      <c r="F299" s="545">
        <v>32046401</v>
      </c>
      <c r="G299" s="546" t="s">
        <v>916</v>
      </c>
      <c r="H299" s="543" t="s">
        <v>2860</v>
      </c>
      <c r="I299" s="6" t="str">
        <f>IFERROR(INDEX(ZACATECAS!$N$7:$N$5000, MATCH($F299, ZACATECAS!$H$7:$H$5000, 0)), "-")</f>
        <v>CHAMPION DE CALIDAD</v>
      </c>
    </row>
    <row r="300" spans="1:9" x14ac:dyDescent="0.3">
      <c r="A300" s="543" t="s">
        <v>2857</v>
      </c>
      <c r="B300" s="543" t="s">
        <v>2858</v>
      </c>
      <c r="C300" s="543" t="s">
        <v>907</v>
      </c>
      <c r="D300" s="543" t="s">
        <v>2861</v>
      </c>
      <c r="E300" s="6">
        <f>IFERROR(INDEX(ZACATECAS!$I$7:$I$5000, MATCH(F300*1, ZACATECAS!$H$7:$H$5000, 0)), "-")</f>
        <v>7</v>
      </c>
      <c r="F300" s="545">
        <v>32046414</v>
      </c>
      <c r="G300" s="546" t="s">
        <v>918</v>
      </c>
      <c r="H300" s="543" t="s">
        <v>2860</v>
      </c>
      <c r="I300" s="6" t="str">
        <f>IFERROR(INDEX(ZACATECAS!$N$7:$N$5000, MATCH($F300, ZACATECAS!$H$7:$H$5000, 0)), "-")</f>
        <v>APOYO DE SEGURIDAD</v>
      </c>
    </row>
    <row r="301" spans="1:9" x14ac:dyDescent="0.3">
      <c r="A301" s="543" t="s">
        <v>2857</v>
      </c>
      <c r="B301" s="543" t="s">
        <v>2858</v>
      </c>
      <c r="C301" s="543" t="s">
        <v>907</v>
      </c>
      <c r="D301" s="543" t="s">
        <v>2861</v>
      </c>
      <c r="E301" s="6">
        <f>IFERROR(INDEX(ZACATECAS!$I$7:$I$5000, MATCH(F301*1, ZACATECAS!$H$7:$H$5000, 0)), "-")</f>
        <v>7</v>
      </c>
      <c r="F301" s="545">
        <v>32046478</v>
      </c>
      <c r="G301" s="546" t="s">
        <v>920</v>
      </c>
      <c r="H301" s="543" t="s">
        <v>2860</v>
      </c>
      <c r="I301" s="6" t="str">
        <f>IFERROR(INDEX(ZACATECAS!$N$7:$N$5000, MATCH($F301, ZACATECAS!$H$7:$H$5000, 0)), "-")</f>
        <v>CHAMPION DE SEGURIDAD</v>
      </c>
    </row>
    <row r="302" spans="1:9" x14ac:dyDescent="0.3">
      <c r="A302" s="543" t="s">
        <v>2857</v>
      </c>
      <c r="B302" s="543" t="s">
        <v>2858</v>
      </c>
      <c r="C302" s="543" t="s">
        <v>907</v>
      </c>
      <c r="D302" s="543" t="s">
        <v>2861</v>
      </c>
      <c r="E302" s="6">
        <f>IFERROR(INDEX(ZACATECAS!$I$7:$I$5000, MATCH(F302*1, ZACATECAS!$H$7:$H$5000, 0)), "-")</f>
        <v>7</v>
      </c>
      <c r="F302" s="545">
        <v>32067174</v>
      </c>
      <c r="G302" s="546" t="s">
        <v>921</v>
      </c>
      <c r="H302" s="543" t="s">
        <v>2860</v>
      </c>
      <c r="I302" s="6" t="str">
        <f>IFERROR(INDEX(ZACATECAS!$N$7:$N$5000, MATCH($F302, ZACATECAS!$H$7:$H$5000, 0)), "-")</f>
        <v>CHAMPION LOGISTICA</v>
      </c>
    </row>
    <row r="303" spans="1:9" x14ac:dyDescent="0.3">
      <c r="A303" s="543" t="s">
        <v>2857</v>
      </c>
      <c r="B303" s="543" t="s">
        <v>2858</v>
      </c>
      <c r="C303" s="543" t="s">
        <v>907</v>
      </c>
      <c r="D303" s="543" t="s">
        <v>2861</v>
      </c>
      <c r="E303" s="6">
        <f>IFERROR(INDEX(ZACATECAS!$I$7:$I$5000, MATCH(F303*1, ZACATECAS!$H$7:$H$5000, 0)), "-")</f>
        <v>7</v>
      </c>
      <c r="F303" s="545">
        <v>32067183</v>
      </c>
      <c r="G303" s="546" t="s">
        <v>922</v>
      </c>
      <c r="H303" s="543" t="s">
        <v>2860</v>
      </c>
      <c r="I303" s="6" t="str">
        <f>IFERROR(INDEX(ZACATECAS!$N$7:$N$5000, MATCH($F303, ZACATECAS!$H$7:$H$5000, 0)), "-")</f>
        <v>APOYO ENGAGEMENT</v>
      </c>
    </row>
    <row r="304" spans="1:9" x14ac:dyDescent="0.3">
      <c r="A304" s="543" t="s">
        <v>2857</v>
      </c>
      <c r="B304" s="543" t="s">
        <v>2858</v>
      </c>
      <c r="C304" s="543" t="s">
        <v>907</v>
      </c>
      <c r="D304" s="543" t="s">
        <v>2861</v>
      </c>
      <c r="E304" s="6">
        <f>IFERROR(INDEX(ZACATECAS!$I$7:$I$5000, MATCH(F304*1, ZACATECAS!$H$7:$H$5000, 0)), "-")</f>
        <v>7</v>
      </c>
      <c r="F304" s="545">
        <v>32072429</v>
      </c>
      <c r="G304" s="546" t="s">
        <v>924</v>
      </c>
      <c r="H304" s="543" t="s">
        <v>2860</v>
      </c>
      <c r="I304" s="6" t="str">
        <f>IFERROR(INDEX(ZACATECAS!$N$7:$N$5000, MATCH($F304, ZACATECAS!$H$7:$H$5000, 0)), "-")</f>
        <v>APOYO GESTION</v>
      </c>
    </row>
    <row r="305" spans="1:9" x14ac:dyDescent="0.3">
      <c r="A305" s="543" t="s">
        <v>2857</v>
      </c>
      <c r="B305" s="543" t="s">
        <v>2858</v>
      </c>
      <c r="C305" s="543" t="s">
        <v>907</v>
      </c>
      <c r="D305" s="543" t="s">
        <v>2861</v>
      </c>
      <c r="E305" s="6">
        <f>IFERROR(INDEX(ZACATECAS!$I$7:$I$5000, MATCH(F305*1, ZACATECAS!$H$7:$H$5000, 0)), "-")</f>
        <v>7</v>
      </c>
      <c r="F305" s="545">
        <v>32132056</v>
      </c>
      <c r="G305" s="546" t="s">
        <v>926</v>
      </c>
      <c r="H305" s="543" t="s">
        <v>2860</v>
      </c>
      <c r="I305" s="6" t="str">
        <f>IFERROR(INDEX(ZACATECAS!$N$7:$N$5000, MATCH($F305, ZACATECAS!$H$7:$H$5000, 0)), "-")</f>
        <v>CHAMPION AMBIENTAL</v>
      </c>
    </row>
    <row r="306" spans="1:9" x14ac:dyDescent="0.3">
      <c r="A306" s="543" t="s">
        <v>2857</v>
      </c>
      <c r="B306" s="543" t="s">
        <v>2858</v>
      </c>
      <c r="C306" s="543" t="s">
        <v>907</v>
      </c>
      <c r="D306" s="543" t="s">
        <v>2861</v>
      </c>
      <c r="E306" s="6">
        <f>IFERROR(INDEX(ZACATECAS!$I$7:$I$5000, MATCH(F306*1, ZACATECAS!$H$7:$H$5000, 0)), "-")</f>
        <v>7</v>
      </c>
      <c r="F306" s="545">
        <v>32143691</v>
      </c>
      <c r="G306" s="546" t="s">
        <v>928</v>
      </c>
      <c r="H306" s="543" t="s">
        <v>2860</v>
      </c>
      <c r="I306" s="6" t="str">
        <f>IFERROR(INDEX(ZACATECAS!$N$7:$N$5000, MATCH($F306, ZACATECAS!$H$7:$H$5000, 0)), "-")</f>
        <v>APOYO CALIDAD</v>
      </c>
    </row>
    <row r="307" spans="1:9" x14ac:dyDescent="0.3">
      <c r="A307" s="543" t="s">
        <v>2857</v>
      </c>
      <c r="B307" s="543" t="s">
        <v>2858</v>
      </c>
      <c r="C307" s="543" t="s">
        <v>907</v>
      </c>
      <c r="D307" s="546" t="s">
        <v>2861</v>
      </c>
      <c r="E307" s="6">
        <f>IFERROR(INDEX(ZACATECAS!$I$7:$I$5000, MATCH(F307*1, ZACATECAS!$H$7:$H$5000, 0)), "-")</f>
        <v>7</v>
      </c>
      <c r="F307" s="544">
        <v>32145330</v>
      </c>
      <c r="G307" s="544" t="s">
        <v>930</v>
      </c>
      <c r="H307" s="543" t="s">
        <v>2860</v>
      </c>
      <c r="I307" s="6" t="str">
        <f>IFERROR(INDEX(ZACATECAS!$N$7:$N$5000, MATCH($F307, ZACATECAS!$H$7:$H$5000, 0)), "-")</f>
        <v>APOYO MANTENIMIENTO</v>
      </c>
    </row>
    <row r="308" spans="1:9" x14ac:dyDescent="0.3">
      <c r="A308" s="543" t="s">
        <v>2857</v>
      </c>
      <c r="B308" s="543" t="s">
        <v>2858</v>
      </c>
      <c r="C308" s="543" t="s">
        <v>907</v>
      </c>
      <c r="D308" s="546" t="s">
        <v>2861</v>
      </c>
      <c r="E308" s="6">
        <f>IFERROR(INDEX(ZACATECAS!$I$7:$I$5000, MATCH(F308*1, ZACATECAS!$H$7:$H$5000, 0)), "-")</f>
        <v>7</v>
      </c>
      <c r="F308" s="544">
        <v>32187989</v>
      </c>
      <c r="G308" s="544" t="s">
        <v>931</v>
      </c>
      <c r="H308" s="543" t="s">
        <v>2860</v>
      </c>
      <c r="I308" s="6" t="str">
        <f>IFERROR(INDEX(ZACATECAS!$N$7:$N$5000, MATCH($F308, ZACATECAS!$H$7:$H$5000, 0)), "-")</f>
        <v>CHAMPIONS LOGISTICA</v>
      </c>
    </row>
    <row r="309" spans="1:9" x14ac:dyDescent="0.3">
      <c r="A309" s="543" t="s">
        <v>2857</v>
      </c>
      <c r="B309" s="543" t="s">
        <v>2858</v>
      </c>
      <c r="C309" s="543" t="s">
        <v>1590</v>
      </c>
      <c r="D309" s="546" t="s">
        <v>2869</v>
      </c>
      <c r="E309" s="6" t="str">
        <f>IFERROR(INDEX(ZACATECAS!$I$7:$I$5000, MATCH(F309*1, ZACATECAS!$H$7:$H$5000, 0)), "-")</f>
        <v>-</v>
      </c>
      <c r="F309" s="544">
        <v>32173125</v>
      </c>
      <c r="G309" s="544" t="s">
        <v>1591</v>
      </c>
      <c r="H309" s="543" t="s">
        <v>2344</v>
      </c>
      <c r="I309" s="6" t="str">
        <f>IFERROR(INDEX(ZACATECAS!$N$7:$N$5000, MATCH($F309, ZACATECAS!$H$7:$H$5000, 0)), "-")</f>
        <v>-</v>
      </c>
    </row>
    <row r="310" spans="1:9" x14ac:dyDescent="0.3">
      <c r="A310" s="543" t="s">
        <v>2857</v>
      </c>
      <c r="B310" s="543" t="s">
        <v>2858</v>
      </c>
      <c r="C310" s="543" t="s">
        <v>1590</v>
      </c>
      <c r="D310" s="546" t="s">
        <v>2869</v>
      </c>
      <c r="E310" s="6" t="str">
        <f>IFERROR(INDEX(ZACATECAS!$I$7:$I$5000, MATCH(F310*1, ZACATECAS!$H$7:$H$5000, 0)), "-")</f>
        <v xml:space="preserve">ALMACEN ALTERNO </v>
      </c>
      <c r="F310" s="544">
        <v>32198244</v>
      </c>
      <c r="G310" s="544" t="s">
        <v>1593</v>
      </c>
      <c r="H310" s="543" t="s">
        <v>2860</v>
      </c>
      <c r="I310" s="6" t="str">
        <f>IFERROR(INDEX(ZACATECAS!$N$7:$N$5000, MATCH($F310, ZACATECAS!$H$7:$H$5000, 0)), "-")</f>
        <v>CALIDAD</v>
      </c>
    </row>
    <row r="311" spans="1:9" x14ac:dyDescent="0.3">
      <c r="A311" s="543" t="s">
        <v>2857</v>
      </c>
      <c r="B311" s="543" t="s">
        <v>2858</v>
      </c>
      <c r="C311" s="543" t="s">
        <v>1590</v>
      </c>
      <c r="D311" s="546" t="s">
        <v>2869</v>
      </c>
      <c r="E311" s="6" t="str">
        <f>IFERROR(INDEX(ZACATECAS!$I$7:$I$5000, MATCH(F311*1, ZACATECAS!$H$7:$H$5000, 0)), "-")</f>
        <v xml:space="preserve">ALMACEN ALTERNO </v>
      </c>
      <c r="F311" s="544">
        <v>32198252</v>
      </c>
      <c r="G311" s="544" t="s">
        <v>1595</v>
      </c>
      <c r="H311" s="543" t="s">
        <v>2860</v>
      </c>
      <c r="I311" s="6" t="str">
        <f>IFERROR(INDEX(ZACATECAS!$N$7:$N$5000, MATCH($F311, ZACATECAS!$H$7:$H$5000, 0)), "-")</f>
        <v>MANTENIMIENTO</v>
      </c>
    </row>
    <row r="312" spans="1:9" x14ac:dyDescent="0.3">
      <c r="A312" s="543" t="s">
        <v>2857</v>
      </c>
      <c r="B312" s="543" t="s">
        <v>2858</v>
      </c>
      <c r="C312" s="543" t="s">
        <v>1590</v>
      </c>
      <c r="D312" s="546" t="s">
        <v>2869</v>
      </c>
      <c r="E312" s="6" t="str">
        <f>IFERROR(INDEX(ZACATECAS!$I$7:$I$5000, MATCH(F312*1, ZACATECAS!$H$7:$H$5000, 0)), "-")</f>
        <v xml:space="preserve">ALMACEN ALTERNO </v>
      </c>
      <c r="F312" s="544">
        <v>32197852</v>
      </c>
      <c r="G312" s="544" t="s">
        <v>1596</v>
      </c>
      <c r="H312" s="543" t="s">
        <v>2860</v>
      </c>
      <c r="I312" s="6" t="str">
        <f>IFERROR(INDEX(ZACATECAS!$N$7:$N$5000, MATCH($F312, ZACATECAS!$H$7:$H$5000, 0)), "-")</f>
        <v>SEGURIDAD</v>
      </c>
    </row>
    <row r="313" spans="1:9" x14ac:dyDescent="0.3">
      <c r="A313" s="543" t="s">
        <v>2857</v>
      </c>
      <c r="B313" s="543" t="s">
        <v>2858</v>
      </c>
      <c r="C313" s="543" t="s">
        <v>1590</v>
      </c>
      <c r="D313" s="546" t="s">
        <v>2869</v>
      </c>
      <c r="E313" s="6" t="str">
        <f>IFERROR(INDEX(ZACATECAS!$I$7:$I$5000, MATCH(F313*1, ZACATECAS!$H$7:$H$5000, 0)), "-")</f>
        <v xml:space="preserve">ALMACEN ALTERNO </v>
      </c>
      <c r="F313" s="544">
        <v>32198260</v>
      </c>
      <c r="G313" s="544" t="s">
        <v>1598</v>
      </c>
      <c r="H313" s="543" t="s">
        <v>2860</v>
      </c>
      <c r="I313" s="6" t="str">
        <f>IFERROR(INDEX(ZACATECAS!$N$7:$N$5000, MATCH($F313, ZACATECAS!$H$7:$H$5000, 0)), "-")</f>
        <v>PEOPLE</v>
      </c>
    </row>
    <row r="314" spans="1:9" x14ac:dyDescent="0.3">
      <c r="A314" s="543" t="s">
        <v>2857</v>
      </c>
      <c r="B314" s="543" t="s">
        <v>2858</v>
      </c>
      <c r="C314" s="543" t="s">
        <v>1051</v>
      </c>
      <c r="D314" s="546" t="s">
        <v>2861</v>
      </c>
      <c r="E314" s="6" t="str">
        <f>IFERROR(INDEX(ZACATECAS!$I$7:$I$5000, MATCH(F314*1, ZACATECAS!$H$7:$H$5000, 0)), "-")</f>
        <v>-</v>
      </c>
      <c r="F314" s="544">
        <v>32231001</v>
      </c>
      <c r="G314" s="544" t="s">
        <v>1052</v>
      </c>
      <c r="H314" s="543" t="s">
        <v>2344</v>
      </c>
      <c r="I314" s="6" t="str">
        <f>IFERROR(INDEX(ZACATECAS!$N$7:$N$5000, MATCH($F314, ZACATECAS!$H$7:$H$5000, 0)), "-")</f>
        <v>-</v>
      </c>
    </row>
    <row r="315" spans="1:9" x14ac:dyDescent="0.3">
      <c r="A315" s="543" t="s">
        <v>2857</v>
      </c>
      <c r="B315" s="543" t="s">
        <v>2858</v>
      </c>
      <c r="C315" s="543" t="s">
        <v>1051</v>
      </c>
      <c r="D315" s="546" t="s">
        <v>2861</v>
      </c>
      <c r="E315" s="6">
        <f>IFERROR(INDEX(ZACATECAS!$I$7:$I$5000, MATCH(F315*1, ZACATECAS!$H$7:$H$5000, 0)), "-")</f>
        <v>10</v>
      </c>
      <c r="F315" s="544">
        <v>32044475</v>
      </c>
      <c r="G315" s="544" t="s">
        <v>1054</v>
      </c>
      <c r="H315" s="543" t="s">
        <v>2860</v>
      </c>
      <c r="I315" s="6" t="str">
        <f>IFERROR(INDEX(ZACATECAS!$N$7:$N$5000, MATCH($F315, ZACATECAS!$H$7:$H$5000, 0)), "-")</f>
        <v>CHAMPION  CALIDAD</v>
      </c>
    </row>
    <row r="316" spans="1:9" x14ac:dyDescent="0.3">
      <c r="A316" s="543" t="s">
        <v>2857</v>
      </c>
      <c r="B316" s="543" t="s">
        <v>2858</v>
      </c>
      <c r="C316" s="543" t="s">
        <v>1051</v>
      </c>
      <c r="D316" s="546" t="s">
        <v>2861</v>
      </c>
      <c r="E316" s="6">
        <f>IFERROR(INDEX(ZACATECAS!$I$7:$I$5000, MATCH(F316*1, ZACATECAS!$H$7:$H$5000, 0)), "-")</f>
        <v>10</v>
      </c>
      <c r="F316" s="544">
        <v>32044881</v>
      </c>
      <c r="G316" s="544" t="s">
        <v>1057</v>
      </c>
      <c r="H316" s="543" t="s">
        <v>2860</v>
      </c>
      <c r="I316" s="6" t="str">
        <f>IFERROR(INDEX(ZACATECAS!$N$7:$N$5000, MATCH($F316, ZACATECAS!$H$7:$H$5000, 0)), "-")</f>
        <v>APOYO DE GESTION</v>
      </c>
    </row>
    <row r="317" spans="1:9" x14ac:dyDescent="0.3">
      <c r="A317" s="543" t="s">
        <v>2857</v>
      </c>
      <c r="B317" s="543" t="s">
        <v>2858</v>
      </c>
      <c r="C317" s="543" t="s">
        <v>1051</v>
      </c>
      <c r="D317" s="546" t="s">
        <v>2861</v>
      </c>
      <c r="E317" s="6">
        <f>IFERROR(INDEX(ZACATECAS!$I$7:$I$5000, MATCH(F317*1, ZACATECAS!$H$7:$H$5000, 0)), "-")</f>
        <v>10</v>
      </c>
      <c r="F317" s="544">
        <v>32046256</v>
      </c>
      <c r="G317" s="544" t="s">
        <v>1059</v>
      </c>
      <c r="H317" s="543" t="s">
        <v>2860</v>
      </c>
      <c r="I317" s="6" t="str">
        <f>IFERROR(INDEX(ZACATECAS!$N$7:$N$5000, MATCH($F317, ZACATECAS!$H$7:$H$5000, 0)), "-")</f>
        <v>CHAMPION MANTENIMIENTO</v>
      </c>
    </row>
    <row r="318" spans="1:9" x14ac:dyDescent="0.3">
      <c r="A318" s="543" t="s">
        <v>2857</v>
      </c>
      <c r="B318" s="543" t="s">
        <v>2858</v>
      </c>
      <c r="C318" s="543" t="s">
        <v>1051</v>
      </c>
      <c r="D318" s="546" t="s">
        <v>2861</v>
      </c>
      <c r="E318" s="6">
        <f>IFERROR(INDEX(ZACATECAS!$I$7:$I$5000, MATCH(F318*1, ZACATECAS!$H$7:$H$5000, 0)), "-")</f>
        <v>10</v>
      </c>
      <c r="F318" s="544">
        <v>32046338</v>
      </c>
      <c r="G318" s="544" t="s">
        <v>1061</v>
      </c>
      <c r="H318" s="543" t="s">
        <v>2860</v>
      </c>
      <c r="I318" s="6" t="str">
        <f>IFERROR(INDEX(ZACATECAS!$N$7:$N$5000, MATCH($F318, ZACATECAS!$H$7:$H$5000, 0)), "-")</f>
        <v>APOYO GENTE</v>
      </c>
    </row>
    <row r="319" spans="1:9" x14ac:dyDescent="0.3">
      <c r="A319" s="543" t="s">
        <v>2857</v>
      </c>
      <c r="B319" s="543" t="s">
        <v>2858</v>
      </c>
      <c r="C319" s="543" t="s">
        <v>1051</v>
      </c>
      <c r="D319" s="546" t="s">
        <v>2861</v>
      </c>
      <c r="E319" s="6">
        <f>IFERROR(INDEX(ZACATECAS!$I$7:$I$5000, MATCH(F319*1, ZACATECAS!$H$7:$H$5000, 0)), "-")</f>
        <v>10</v>
      </c>
      <c r="F319" s="544">
        <v>32058105</v>
      </c>
      <c r="G319" s="544" t="s">
        <v>1063</v>
      </c>
      <c r="H319" s="543" t="s">
        <v>2860</v>
      </c>
      <c r="I319" s="6" t="str">
        <f>IFERROR(INDEX(ZACATECAS!$N$7:$N$5000, MATCH($F319, ZACATECAS!$H$7:$H$5000, 0)), "-")</f>
        <v>CHAMPION DE GESTION</v>
      </c>
    </row>
    <row r="320" spans="1:9" x14ac:dyDescent="0.3">
      <c r="A320" s="543" t="s">
        <v>2857</v>
      </c>
      <c r="B320" s="543" t="s">
        <v>2858</v>
      </c>
      <c r="C320" s="543" t="s">
        <v>1051</v>
      </c>
      <c r="D320" s="546" t="s">
        <v>2861</v>
      </c>
      <c r="E320" s="6">
        <f>IFERROR(INDEX(ZACATECAS!$I$7:$I$5000, MATCH(F320*1, ZACATECAS!$H$7:$H$5000, 0)), "-")</f>
        <v>10</v>
      </c>
      <c r="F320" s="544">
        <v>32059341</v>
      </c>
      <c r="G320" s="544" t="s">
        <v>1065</v>
      </c>
      <c r="H320" s="543" t="s">
        <v>2860</v>
      </c>
      <c r="I320" s="6" t="str">
        <f>IFERROR(INDEX(ZACATECAS!$N$7:$N$5000, MATCH($F320, ZACATECAS!$H$7:$H$5000, 0)), "-")</f>
        <v>CHAMPION GENTE</v>
      </c>
    </row>
    <row r="321" spans="1:9" x14ac:dyDescent="0.3">
      <c r="A321" s="543" t="s">
        <v>2857</v>
      </c>
      <c r="B321" s="543" t="s">
        <v>2858</v>
      </c>
      <c r="C321" s="543" t="s">
        <v>1051</v>
      </c>
      <c r="D321" s="546" t="s">
        <v>2861</v>
      </c>
      <c r="E321" s="6">
        <f>IFERROR(INDEX(ZACATECAS!$I$7:$I$5000, MATCH(F321*1, ZACATECAS!$H$7:$H$5000, 0)), "-")</f>
        <v>10</v>
      </c>
      <c r="F321" s="544">
        <v>32132224</v>
      </c>
      <c r="G321" s="544" t="s">
        <v>1067</v>
      </c>
      <c r="H321" s="543" t="s">
        <v>2860</v>
      </c>
      <c r="I321" s="6" t="str">
        <f>IFERROR(INDEX(ZACATECAS!$N$7:$N$5000, MATCH($F321, ZACATECAS!$H$7:$H$5000, 0)), "-")</f>
        <v>CHAMPION  LOGISTICA</v>
      </c>
    </row>
    <row r="322" spans="1:9" x14ac:dyDescent="0.3">
      <c r="A322" s="543" t="s">
        <v>2857</v>
      </c>
      <c r="B322" s="543" t="s">
        <v>2858</v>
      </c>
      <c r="C322" s="543" t="s">
        <v>1051</v>
      </c>
      <c r="D322" s="546" t="s">
        <v>2861</v>
      </c>
      <c r="E322" s="6">
        <f>IFERROR(INDEX(ZACATECAS!$I$7:$I$5000, MATCH(F322*1, ZACATECAS!$H$7:$H$5000, 0)), "-")</f>
        <v>10</v>
      </c>
      <c r="F322" s="544">
        <v>32143043</v>
      </c>
      <c r="G322" s="544" t="s">
        <v>1070</v>
      </c>
      <c r="H322" s="543" t="s">
        <v>2860</v>
      </c>
      <c r="I322" s="6" t="str">
        <f>IFERROR(INDEX(ZACATECAS!$N$7:$N$5000, MATCH($F322, ZACATECAS!$H$7:$H$5000, 0)), "-")</f>
        <v>CHAMPION AMBIENTAL</v>
      </c>
    </row>
    <row r="323" spans="1:9" x14ac:dyDescent="0.3">
      <c r="A323" s="543" t="s">
        <v>2857</v>
      </c>
      <c r="B323" s="543" t="s">
        <v>2858</v>
      </c>
      <c r="C323" s="543" t="s">
        <v>1051</v>
      </c>
      <c r="D323" s="543" t="s">
        <v>2861</v>
      </c>
      <c r="E323" s="6">
        <f>IFERROR(INDEX(ZACATECAS!$I$7:$I$5000, MATCH(F323*1, ZACATECAS!$H$7:$H$5000, 0)), "-")</f>
        <v>10</v>
      </c>
      <c r="F323" s="546">
        <v>32144347</v>
      </c>
      <c r="G323" s="546" t="s">
        <v>1072</v>
      </c>
      <c r="H323" s="543" t="s">
        <v>2860</v>
      </c>
      <c r="I323" s="6" t="str">
        <f>IFERROR(INDEX(ZACATECAS!$N$7:$N$5000, MATCH($F323, ZACATECAS!$H$7:$H$5000, 0)), "-")</f>
        <v xml:space="preserve">APOYO SEGURIDAD </v>
      </c>
    </row>
    <row r="324" spans="1:9" x14ac:dyDescent="0.3">
      <c r="A324" s="543" t="s">
        <v>2857</v>
      </c>
      <c r="B324" s="543" t="s">
        <v>2858</v>
      </c>
      <c r="C324" s="543" t="s">
        <v>1051</v>
      </c>
      <c r="D324" s="543" t="s">
        <v>2861</v>
      </c>
      <c r="E324" s="6">
        <f>IFERROR(INDEX(ZACATECAS!$I$7:$I$5000, MATCH(F324*1, ZACATECAS!$H$7:$H$5000, 0)), "-")</f>
        <v>10</v>
      </c>
      <c r="F324" s="544">
        <v>32149078</v>
      </c>
      <c r="G324" s="544" t="s">
        <v>1075</v>
      </c>
      <c r="H324" s="543" t="s">
        <v>2860</v>
      </c>
      <c r="I324" s="6" t="str">
        <f>IFERROR(INDEX(ZACATECAS!$N$7:$N$5000, MATCH($F324, ZACATECAS!$H$7:$H$5000, 0)), "-")</f>
        <v xml:space="preserve">CHAMPION SEGURIDAD </v>
      </c>
    </row>
    <row r="325" spans="1:9" x14ac:dyDescent="0.3">
      <c r="A325" s="543" t="s">
        <v>2857</v>
      </c>
      <c r="B325" s="543" t="s">
        <v>2858</v>
      </c>
      <c r="C325" s="543" t="s">
        <v>6</v>
      </c>
      <c r="D325" s="543" t="s">
        <v>2864</v>
      </c>
      <c r="E325" s="6" t="str">
        <f>IFERROR(INDEX(ZACATECAS!$I$7:$I$5000, MATCH(F325*1, ZACATECAS!$H$7:$H$5000, 0)), "-")</f>
        <v>-</v>
      </c>
      <c r="F325" s="544">
        <v>32045105</v>
      </c>
      <c r="G325" s="544" t="s">
        <v>7</v>
      </c>
      <c r="H325" s="543" t="s">
        <v>2344</v>
      </c>
      <c r="I325" s="6" t="str">
        <f>IFERROR(INDEX(ZACATECAS!$N$7:$N$5000, MATCH($F325, ZACATECAS!$H$7:$H$5000, 0)), "-")</f>
        <v>-</v>
      </c>
    </row>
    <row r="326" spans="1:9" x14ac:dyDescent="0.3">
      <c r="A326" s="543" t="s">
        <v>2857</v>
      </c>
      <c r="B326" s="543" t="s">
        <v>2858</v>
      </c>
      <c r="C326" s="543" t="s">
        <v>6</v>
      </c>
      <c r="D326" s="543" t="s">
        <v>2864</v>
      </c>
      <c r="E326" s="6" t="str">
        <f>IFERROR(INDEX(ZACATECAS!$I$7:$I$5000, MATCH(F326*1, ZACATECAS!$H$7:$H$5000, 0)), "-")</f>
        <v>TRATOS DE AGUA</v>
      </c>
      <c r="F326" s="544">
        <v>32150508</v>
      </c>
      <c r="G326" s="544" t="s">
        <v>2003</v>
      </c>
      <c r="H326" s="543" t="s">
        <v>2860</v>
      </c>
      <c r="I326" s="6" t="str">
        <f>IFERROR(INDEX(ZACATECAS!$N$7:$N$5000, MATCH($F326, ZACATECAS!$H$7:$H$5000, 0)), "-")</f>
        <v>CHAMPION MANTENIMIENTO</v>
      </c>
    </row>
    <row r="327" spans="1:9" x14ac:dyDescent="0.3">
      <c r="A327" s="543" t="s">
        <v>2857</v>
      </c>
      <c r="B327" s="543" t="s">
        <v>2858</v>
      </c>
      <c r="C327" s="543" t="s">
        <v>6</v>
      </c>
      <c r="D327" s="543" t="s">
        <v>2864</v>
      </c>
      <c r="E327" s="6" t="str">
        <f>IFERROR(INDEX(ZACATECAS!$I$7:$I$5000, MATCH(F327*1, ZACATECAS!$H$7:$H$5000, 0)), "-")</f>
        <v>TRATOS DE AGUA</v>
      </c>
      <c r="F327" s="544">
        <v>32045391</v>
      </c>
      <c r="G327" s="544" t="s">
        <v>2005</v>
      </c>
      <c r="H327" s="543" t="s">
        <v>2860</v>
      </c>
      <c r="I327" s="6" t="str">
        <f>IFERROR(INDEX(ZACATECAS!$N$7:$N$5000, MATCH($F327, ZACATECAS!$H$7:$H$5000, 0)), "-")</f>
        <v>CHAMPION SEGURIDAD</v>
      </c>
    </row>
    <row r="328" spans="1:9" x14ac:dyDescent="0.3">
      <c r="A328" s="543" t="s">
        <v>2857</v>
      </c>
      <c r="B328" s="543" t="s">
        <v>2858</v>
      </c>
      <c r="C328" s="543" t="s">
        <v>6</v>
      </c>
      <c r="D328" s="546" t="s">
        <v>2864</v>
      </c>
      <c r="E328" s="6" t="str">
        <f>IFERROR(INDEX(ZACATECAS!$I$7:$I$5000, MATCH(F328*1, ZACATECAS!$H$7:$H$5000, 0)), "-")</f>
        <v>TRATOS DE AGUA</v>
      </c>
      <c r="F328" s="546">
        <v>32044248</v>
      </c>
      <c r="G328" s="546" t="s">
        <v>2007</v>
      </c>
      <c r="H328" s="543" t="s">
        <v>2860</v>
      </c>
      <c r="I328" s="6" t="str">
        <f>IFERROR(INDEX(ZACATECAS!$N$7:$N$5000, MATCH($F328, ZACATECAS!$H$7:$H$5000, 0)), "-")</f>
        <v>CHAMPION CALIDAD</v>
      </c>
    </row>
    <row r="329" spans="1:9" x14ac:dyDescent="0.3">
      <c r="A329" s="543" t="s">
        <v>2857</v>
      </c>
      <c r="B329" s="543" t="s">
        <v>2858</v>
      </c>
      <c r="C329" s="543" t="s">
        <v>6</v>
      </c>
      <c r="D329" s="546" t="s">
        <v>2864</v>
      </c>
      <c r="E329" s="6" t="str">
        <f>IFERROR(INDEX(ZACATECAS!$I$7:$I$5000, MATCH(F329*1, ZACATECAS!$H$7:$H$5000, 0)), "-")</f>
        <v>TRATOS DE AGUA</v>
      </c>
      <c r="F329" s="544">
        <v>32043716</v>
      </c>
      <c r="G329" s="544" t="s">
        <v>2009</v>
      </c>
      <c r="H329" s="543" t="s">
        <v>2860</v>
      </c>
      <c r="I329" s="6" t="str">
        <f>IFERROR(INDEX(ZACATECAS!$N$7:$N$5000, MATCH($F329, ZACATECAS!$H$7:$H$5000, 0)), "-")</f>
        <v>CHAMPION GESTION</v>
      </c>
    </row>
    <row r="330" spans="1:9" x14ac:dyDescent="0.3">
      <c r="A330" s="543" t="s">
        <v>2857</v>
      </c>
      <c r="B330" s="543" t="s">
        <v>2858</v>
      </c>
      <c r="C330" s="543" t="s">
        <v>6</v>
      </c>
      <c r="D330" s="546" t="s">
        <v>2864</v>
      </c>
      <c r="E330" s="6" t="str">
        <f>IFERROR(INDEX(ZACATECAS!$I$7:$I$5000, MATCH(F330*1, ZACATECAS!$H$7:$H$5000, 0)), "-")</f>
        <v>TRATOS DE AGUA</v>
      </c>
      <c r="F330" s="544">
        <v>32144782</v>
      </c>
      <c r="G330" s="544" t="s">
        <v>2011</v>
      </c>
      <c r="H330" s="543" t="s">
        <v>2860</v>
      </c>
      <c r="I330" s="6" t="str">
        <f>IFERROR(INDEX(ZACATECAS!$N$7:$N$5000, MATCH($F330, ZACATECAS!$H$7:$H$5000, 0)), "-")</f>
        <v xml:space="preserve">CHAMPION AMBIENTAL </v>
      </c>
    </row>
    <row r="331" spans="1:9" x14ac:dyDescent="0.3">
      <c r="A331" s="543" t="s">
        <v>2857</v>
      </c>
      <c r="B331" s="543" t="s">
        <v>2858</v>
      </c>
      <c r="C331" s="543" t="s">
        <v>557</v>
      </c>
      <c r="D331" s="546" t="s">
        <v>2861</v>
      </c>
      <c r="E331" s="6" t="str">
        <f>IFERROR(INDEX(ZACATECAS!$I$7:$I$5000, MATCH(F331*1, ZACATECAS!$H$7:$H$5000, 0)), "-")</f>
        <v>-</v>
      </c>
      <c r="F331" s="544">
        <v>32046005</v>
      </c>
      <c r="G331" s="544" t="s">
        <v>558</v>
      </c>
      <c r="H331" s="543" t="s">
        <v>2344</v>
      </c>
      <c r="I331" s="6" t="str">
        <f>IFERROR(INDEX(ZACATECAS!$N$7:$N$5000, MATCH($F331, ZACATECAS!$H$7:$H$5000, 0)), "-")</f>
        <v>-</v>
      </c>
    </row>
    <row r="332" spans="1:9" x14ac:dyDescent="0.3">
      <c r="A332" s="543" t="s">
        <v>2857</v>
      </c>
      <c r="B332" s="543" t="s">
        <v>2858</v>
      </c>
      <c r="C332" s="543" t="s">
        <v>557</v>
      </c>
      <c r="D332" s="546" t="s">
        <v>2861</v>
      </c>
      <c r="E332" s="6">
        <f>IFERROR(INDEX(ZACATECAS!$I$7:$I$5000, MATCH(F332*1, ZACATECAS!$H$7:$H$5000, 0)), "-")</f>
        <v>4</v>
      </c>
      <c r="F332" s="544">
        <v>32044615</v>
      </c>
      <c r="G332" s="544" t="s">
        <v>562</v>
      </c>
      <c r="H332" s="543" t="s">
        <v>2860</v>
      </c>
      <c r="I332" s="6" t="str">
        <f>IFERROR(INDEX(ZACATECAS!$N$7:$N$5000, MATCH($F332, ZACATECAS!$H$7:$H$5000, 0)), "-")</f>
        <v>APOYO AMBIENTAL</v>
      </c>
    </row>
    <row r="333" spans="1:9" x14ac:dyDescent="0.3">
      <c r="A333" s="543" t="s">
        <v>2857</v>
      </c>
      <c r="B333" s="543" t="s">
        <v>2858</v>
      </c>
      <c r="C333" s="543" t="s">
        <v>557</v>
      </c>
      <c r="D333" s="546" t="s">
        <v>2861</v>
      </c>
      <c r="E333" s="6">
        <f>IFERROR(INDEX(ZACATECAS!$I$7:$I$5000, MATCH(F333*1, ZACATECAS!$H$7:$H$5000, 0)), "-")</f>
        <v>4</v>
      </c>
      <c r="F333" s="544">
        <v>32045344</v>
      </c>
      <c r="G333" s="544" t="s">
        <v>566</v>
      </c>
      <c r="H333" s="543" t="s">
        <v>2860</v>
      </c>
      <c r="I333" s="6" t="str">
        <f>IFERROR(INDEX(ZACATECAS!$N$7:$N$5000, MATCH($F333, ZACATECAS!$H$7:$H$5000, 0)), "-")</f>
        <v>CHAMPION DE CALIDAD.</v>
      </c>
    </row>
    <row r="334" spans="1:9" x14ac:dyDescent="0.3">
      <c r="A334" s="543" t="s">
        <v>2857</v>
      </c>
      <c r="B334" s="543" t="s">
        <v>2858</v>
      </c>
      <c r="C334" s="543" t="s">
        <v>557</v>
      </c>
      <c r="D334" s="546" t="s">
        <v>2861</v>
      </c>
      <c r="E334" s="6">
        <f>IFERROR(INDEX(ZACATECAS!$I$7:$I$5000, MATCH(F334*1, ZACATECAS!$H$7:$H$5000, 0)), "-")</f>
        <v>4</v>
      </c>
      <c r="F334" s="544">
        <v>32045613</v>
      </c>
      <c r="G334" s="544" t="s">
        <v>569</v>
      </c>
      <c r="H334" s="543" t="s">
        <v>2860</v>
      </c>
      <c r="I334" s="6" t="str">
        <f>IFERROR(INDEX(ZACATECAS!$N$7:$N$5000, MATCH($F334, ZACATECAS!$H$7:$H$5000, 0)), "-")</f>
        <v xml:space="preserve">APOYO CHAMPION DE GESTION </v>
      </c>
    </row>
    <row r="335" spans="1:9" x14ac:dyDescent="0.3">
      <c r="A335" s="543" t="s">
        <v>2857</v>
      </c>
      <c r="B335" s="543" t="s">
        <v>2858</v>
      </c>
      <c r="C335" s="543" t="s">
        <v>557</v>
      </c>
      <c r="D335" s="546" t="s">
        <v>2861</v>
      </c>
      <c r="E335" s="6">
        <f>IFERROR(INDEX(ZACATECAS!$I$7:$I$5000, MATCH(F335*1, ZACATECAS!$H$7:$H$5000, 0)), "-")</f>
        <v>4</v>
      </c>
      <c r="F335" s="544">
        <v>32045807</v>
      </c>
      <c r="G335" s="544" t="s">
        <v>572</v>
      </c>
      <c r="H335" s="543" t="s">
        <v>2860</v>
      </c>
      <c r="I335" s="6" t="str">
        <f>IFERROR(INDEX(ZACATECAS!$N$7:$N$5000, MATCH($F335, ZACATECAS!$H$7:$H$5000, 0)), "-")</f>
        <v>CHAMPION AMBIENTAL</v>
      </c>
    </row>
    <row r="336" spans="1:9" x14ac:dyDescent="0.3">
      <c r="A336" s="543" t="s">
        <v>2857</v>
      </c>
      <c r="B336" s="543" t="s">
        <v>2858</v>
      </c>
      <c r="C336" s="543" t="s">
        <v>557</v>
      </c>
      <c r="D336" s="546" t="s">
        <v>2861</v>
      </c>
      <c r="E336" s="6">
        <f>IFERROR(INDEX(ZACATECAS!$I$7:$I$5000, MATCH(F336*1, ZACATECAS!$H$7:$H$5000, 0)), "-")</f>
        <v>4</v>
      </c>
      <c r="F336" s="544">
        <v>32046155</v>
      </c>
      <c r="G336" s="544" t="s">
        <v>574</v>
      </c>
      <c r="H336" s="543" t="s">
        <v>2860</v>
      </c>
      <c r="I336" s="6" t="str">
        <f>IFERROR(INDEX(ZACATECAS!$N$7:$N$5000, MATCH($F336, ZACATECAS!$H$7:$H$5000, 0)), "-")</f>
        <v>CHAMPION SEGURIDAD</v>
      </c>
    </row>
    <row r="337" spans="1:9" x14ac:dyDescent="0.3">
      <c r="A337" s="543" t="s">
        <v>2857</v>
      </c>
      <c r="B337" s="543" t="s">
        <v>2858</v>
      </c>
      <c r="C337" s="543" t="s">
        <v>557</v>
      </c>
      <c r="D337" s="546" t="s">
        <v>2861</v>
      </c>
      <c r="E337" s="6">
        <f>IFERROR(INDEX(ZACATECAS!$I$7:$I$5000, MATCH(F337*1, ZACATECAS!$H$7:$H$5000, 0)), "-")</f>
        <v>4</v>
      </c>
      <c r="F337" s="544">
        <v>32046353</v>
      </c>
      <c r="G337" s="544" t="s">
        <v>576</v>
      </c>
      <c r="H337" s="543" t="s">
        <v>2860</v>
      </c>
      <c r="I337" s="6" t="str">
        <f>IFERROR(INDEX(ZACATECAS!$N$7:$N$5000, MATCH($F337, ZACATECAS!$H$7:$H$5000, 0)), "-")</f>
        <v xml:space="preserve">APOYO DE CHAMPION SEGURIDAD </v>
      </c>
    </row>
    <row r="338" spans="1:9" x14ac:dyDescent="0.3">
      <c r="A338" s="543" t="s">
        <v>2857</v>
      </c>
      <c r="B338" s="543" t="s">
        <v>2858</v>
      </c>
      <c r="C338" s="543" t="s">
        <v>557</v>
      </c>
      <c r="D338" s="546" t="s">
        <v>2861</v>
      </c>
      <c r="E338" s="6">
        <f>IFERROR(INDEX(ZACATECAS!$I$7:$I$5000, MATCH(F338*1, ZACATECAS!$H$7:$H$5000, 0)), "-")</f>
        <v>4</v>
      </c>
      <c r="F338" s="544">
        <v>32067003</v>
      </c>
      <c r="G338" s="544" t="s">
        <v>579</v>
      </c>
      <c r="H338" s="543" t="s">
        <v>2860</v>
      </c>
      <c r="I338" s="6" t="str">
        <f>IFERROR(INDEX(ZACATECAS!$N$7:$N$5000, MATCH($F338, ZACATECAS!$H$7:$H$5000, 0)), "-")</f>
        <v xml:space="preserve">CHAMPION CALIDAD </v>
      </c>
    </row>
    <row r="339" spans="1:9" x14ac:dyDescent="0.3">
      <c r="A339" s="543" t="s">
        <v>2857</v>
      </c>
      <c r="B339" s="543" t="s">
        <v>2858</v>
      </c>
      <c r="C339" s="543" t="s">
        <v>557</v>
      </c>
      <c r="D339" s="543" t="s">
        <v>2861</v>
      </c>
      <c r="E339" s="6">
        <f>IFERROR(INDEX(ZACATECAS!$I$7:$I$5000, MATCH(F339*1, ZACATECAS!$H$7:$H$5000, 0)), "-")</f>
        <v>4</v>
      </c>
      <c r="F339" s="544">
        <v>32132045</v>
      </c>
      <c r="G339" s="544" t="s">
        <v>582</v>
      </c>
      <c r="H339" s="543" t="s">
        <v>2860</v>
      </c>
      <c r="I339" s="6" t="str">
        <f>IFERROR(INDEX(ZACATECAS!$N$7:$N$5000, MATCH($F339, ZACATECAS!$H$7:$H$5000, 0)), "-")</f>
        <v>APOYO DE CHAMPION CALIDAD</v>
      </c>
    </row>
    <row r="340" spans="1:9" x14ac:dyDescent="0.3">
      <c r="A340" s="543" t="s">
        <v>2857</v>
      </c>
      <c r="B340" s="543" t="s">
        <v>2858</v>
      </c>
      <c r="C340" s="543" t="s">
        <v>557</v>
      </c>
      <c r="D340" s="543" t="s">
        <v>2861</v>
      </c>
      <c r="E340" s="6">
        <f>IFERROR(INDEX(ZACATECAS!$I$7:$I$5000, MATCH(F340*1, ZACATECAS!$H$7:$H$5000, 0)), "-")</f>
        <v>4</v>
      </c>
      <c r="F340" s="544">
        <v>32132237</v>
      </c>
      <c r="G340" s="544" t="s">
        <v>585</v>
      </c>
      <c r="H340" s="543" t="s">
        <v>2860</v>
      </c>
      <c r="I340" s="6" t="str">
        <f>IFERROR(INDEX(ZACATECAS!$N$7:$N$5000, MATCH($F340, ZACATECAS!$H$7:$H$5000, 0)), "-")</f>
        <v xml:space="preserve">APOYO DE CHAMPION MANTENIMIENTO </v>
      </c>
    </row>
    <row r="341" spans="1:9" x14ac:dyDescent="0.3">
      <c r="A341" s="543" t="s">
        <v>2857</v>
      </c>
      <c r="B341" s="543" t="s">
        <v>2858</v>
      </c>
      <c r="C341" s="543" t="s">
        <v>557</v>
      </c>
      <c r="D341" s="543" t="s">
        <v>2861</v>
      </c>
      <c r="E341" s="6">
        <f>IFERROR(INDEX(ZACATECAS!$I$7:$I$5000, MATCH(F341*1, ZACATECAS!$H$7:$H$5000, 0)), "-")</f>
        <v>4</v>
      </c>
      <c r="F341" s="544">
        <v>32143281</v>
      </c>
      <c r="G341" s="544" t="s">
        <v>588</v>
      </c>
      <c r="H341" s="543" t="s">
        <v>2860</v>
      </c>
      <c r="I341" s="6" t="str">
        <f>IFERROR(INDEX(ZACATECAS!$N$7:$N$5000, MATCH($F341, ZACATECAS!$H$7:$H$5000, 0)), "-")</f>
        <v xml:space="preserve">APOYO DE CHAMPION AMBIENTAL </v>
      </c>
    </row>
    <row r="342" spans="1:9" x14ac:dyDescent="0.3">
      <c r="A342" s="543" t="s">
        <v>2857</v>
      </c>
      <c r="B342" s="543" t="s">
        <v>2858</v>
      </c>
      <c r="C342" s="543" t="s">
        <v>557</v>
      </c>
      <c r="D342" s="543" t="s">
        <v>2861</v>
      </c>
      <c r="E342" s="6">
        <f>IFERROR(INDEX(ZACATECAS!$I$7:$I$5000, MATCH(F342*1, ZACATECAS!$H$7:$H$5000, 0)), "-")</f>
        <v>4</v>
      </c>
      <c r="F342" s="544">
        <v>32143287</v>
      </c>
      <c r="G342" s="544" t="s">
        <v>591</v>
      </c>
      <c r="H342" s="543" t="s">
        <v>2860</v>
      </c>
      <c r="I342" s="6" t="str">
        <f>IFERROR(INDEX(ZACATECAS!$N$7:$N$5000, MATCH($F342, ZACATECAS!$H$7:$H$5000, 0)), "-")</f>
        <v xml:space="preserve">CHAMPION MANTENIMIENTO </v>
      </c>
    </row>
    <row r="343" spans="1:9" x14ac:dyDescent="0.3">
      <c r="A343" s="543" t="s">
        <v>2857</v>
      </c>
      <c r="B343" s="543" t="s">
        <v>2858</v>
      </c>
      <c r="C343" s="543" t="s">
        <v>557</v>
      </c>
      <c r="D343" s="543" t="s">
        <v>2861</v>
      </c>
      <c r="E343" s="6">
        <f>IFERROR(INDEX(ZACATECAS!$I$7:$I$5000, MATCH(F343*1, ZACATECAS!$H$7:$H$5000, 0)), "-")</f>
        <v>4</v>
      </c>
      <c r="F343" s="544">
        <v>32143290</v>
      </c>
      <c r="G343" s="544" t="s">
        <v>594</v>
      </c>
      <c r="H343" s="543" t="s">
        <v>2860</v>
      </c>
      <c r="I343" s="6" t="str">
        <f>IFERROR(INDEX(ZACATECAS!$N$7:$N$5000, MATCH($F343, ZACATECAS!$H$7:$H$5000, 0)), "-")</f>
        <v xml:space="preserve">CHAMPION GESTION </v>
      </c>
    </row>
    <row r="344" spans="1:9" x14ac:dyDescent="0.3">
      <c r="A344" s="543" t="s">
        <v>2857</v>
      </c>
      <c r="B344" s="543" t="s">
        <v>2858</v>
      </c>
      <c r="C344" s="543" t="s">
        <v>557</v>
      </c>
      <c r="D344" s="543" t="s">
        <v>2861</v>
      </c>
      <c r="E344" s="6">
        <f>IFERROR(INDEX(ZACATECAS!$I$7:$I$5000, MATCH(F344*1, ZACATECAS!$H$7:$H$5000, 0)), "-")</f>
        <v>4</v>
      </c>
      <c r="F344" s="544">
        <v>32143658</v>
      </c>
      <c r="G344" s="544" t="s">
        <v>597</v>
      </c>
      <c r="H344" s="543" t="s">
        <v>2860</v>
      </c>
      <c r="I344" s="6" t="str">
        <f>IFERROR(INDEX(ZACATECAS!$N$7:$N$5000, MATCH($F344, ZACATECAS!$H$7:$H$5000, 0)), "-")</f>
        <v xml:space="preserve">APOYO DE CHAMPION GENTE </v>
      </c>
    </row>
    <row r="345" spans="1:9" x14ac:dyDescent="0.3">
      <c r="A345" s="543" t="s">
        <v>2857</v>
      </c>
      <c r="B345" s="543" t="s">
        <v>2858</v>
      </c>
      <c r="C345" s="543" t="s">
        <v>557</v>
      </c>
      <c r="D345" s="546" t="s">
        <v>2861</v>
      </c>
      <c r="E345" s="6">
        <f>IFERROR(INDEX(ZACATECAS!$I$7:$I$5000, MATCH(F345*1, ZACATECAS!$H$7:$H$5000, 0)), "-")</f>
        <v>4</v>
      </c>
      <c r="F345" s="544">
        <v>32148612</v>
      </c>
      <c r="G345" s="544" t="s">
        <v>600</v>
      </c>
      <c r="H345" s="543" t="s">
        <v>2860</v>
      </c>
      <c r="I345" s="6" t="str">
        <f>IFERROR(INDEX(ZACATECAS!$N$7:$N$5000, MATCH($F345, ZACATECAS!$H$7:$H$5000, 0)), "-")</f>
        <v>APOYO DE LOGISTICA</v>
      </c>
    </row>
    <row r="346" spans="1:9" x14ac:dyDescent="0.3">
      <c r="A346" s="543" t="s">
        <v>2857</v>
      </c>
      <c r="B346" s="543" t="s">
        <v>2858</v>
      </c>
      <c r="C346" s="543" t="s">
        <v>557</v>
      </c>
      <c r="D346" s="546" t="s">
        <v>2861</v>
      </c>
      <c r="E346" s="6">
        <f>IFERROR(INDEX(ZACATECAS!$I$7:$I$5000, MATCH(F346*1, ZACATECAS!$H$7:$H$5000, 0)), "-")</f>
        <v>4</v>
      </c>
      <c r="F346" s="544">
        <v>32180204</v>
      </c>
      <c r="G346" s="544" t="s">
        <v>603</v>
      </c>
      <c r="H346" s="543" t="s">
        <v>2860</v>
      </c>
      <c r="I346" s="6" t="str">
        <f>IFERROR(INDEX(ZACATECAS!$N$7:$N$5000, MATCH($F346, ZACATECAS!$H$7:$H$5000, 0)), "-")</f>
        <v>APOYO DE LOGISTICA</v>
      </c>
    </row>
    <row r="347" spans="1:9" x14ac:dyDescent="0.3">
      <c r="A347" s="543" t="s">
        <v>2857</v>
      </c>
      <c r="B347" s="543" t="s">
        <v>2858</v>
      </c>
      <c r="C347" s="543" t="s">
        <v>1601</v>
      </c>
      <c r="D347" s="546" t="s">
        <v>2869</v>
      </c>
      <c r="E347" s="6" t="str">
        <f>IFERROR(INDEX(ZACATECAS!$I$7:$I$5000, MATCH(F347*1, ZACATECAS!$H$7:$H$5000, 0)), "-")</f>
        <v>-</v>
      </c>
      <c r="F347" s="544">
        <v>32043728</v>
      </c>
      <c r="G347" s="544" t="s">
        <v>1602</v>
      </c>
      <c r="H347" s="543" t="s">
        <v>2344</v>
      </c>
      <c r="I347" s="6" t="str">
        <f>IFERROR(INDEX(ZACATECAS!$N$7:$N$5000, MATCH($F347, ZACATECAS!$H$7:$H$5000, 0)), "-")</f>
        <v>-</v>
      </c>
    </row>
    <row r="348" spans="1:9" x14ac:dyDescent="0.3">
      <c r="A348" s="543" t="s">
        <v>2857</v>
      </c>
      <c r="B348" s="543" t="s">
        <v>2858</v>
      </c>
      <c r="C348" s="543" t="s">
        <v>1601</v>
      </c>
      <c r="D348" s="546" t="s">
        <v>2869</v>
      </c>
      <c r="E348" s="6" t="str">
        <f>IFERROR(INDEX(ZACATECAS!$I$7:$I$5000, MATCH(F348*1, ZACATECAS!$H$7:$H$5000, 0)), "-")</f>
        <v xml:space="preserve">EXPORTACION </v>
      </c>
      <c r="F348" s="544">
        <v>32216501</v>
      </c>
      <c r="G348" s="544" t="s">
        <v>1604</v>
      </c>
      <c r="H348" s="543" t="s">
        <v>2860</v>
      </c>
      <c r="I348" s="6" t="str">
        <f>IFERROR(INDEX(ZACATECAS!$N$7:$N$5000, MATCH($F348, ZACATECAS!$H$7:$H$5000, 0)), "-")</f>
        <v>CALIDAD</v>
      </c>
    </row>
    <row r="349" spans="1:9" x14ac:dyDescent="0.3">
      <c r="A349" s="543" t="s">
        <v>2857</v>
      </c>
      <c r="B349" s="543" t="s">
        <v>2858</v>
      </c>
      <c r="C349" s="543" t="s">
        <v>1601</v>
      </c>
      <c r="D349" s="546" t="s">
        <v>2869</v>
      </c>
      <c r="E349" s="6" t="str">
        <f>IFERROR(INDEX(ZACATECAS!$I$7:$I$5000, MATCH(F349*1, ZACATECAS!$H$7:$H$5000, 0)), "-")</f>
        <v xml:space="preserve">EXPORTACION </v>
      </c>
      <c r="F349" s="544">
        <v>32210326</v>
      </c>
      <c r="G349" s="544" t="s">
        <v>1605</v>
      </c>
      <c r="H349" s="543" t="s">
        <v>2860</v>
      </c>
      <c r="I349" s="6" t="str">
        <f>IFERROR(INDEX(ZACATECAS!$N$7:$N$5000, MATCH($F349, ZACATECAS!$H$7:$H$5000, 0)), "-")</f>
        <v>MANTENIMIENTO</v>
      </c>
    </row>
    <row r="350" spans="1:9" x14ac:dyDescent="0.3">
      <c r="A350" s="543" t="s">
        <v>2857</v>
      </c>
      <c r="B350" s="543" t="s">
        <v>2858</v>
      </c>
      <c r="C350" s="543" t="s">
        <v>1601</v>
      </c>
      <c r="D350" s="546" t="s">
        <v>2869</v>
      </c>
      <c r="E350" s="6" t="str">
        <f>IFERROR(INDEX(ZACATECAS!$I$7:$I$5000, MATCH(F350*1, ZACATECAS!$H$7:$H$5000, 0)), "-")</f>
        <v xml:space="preserve">EXPORTACION </v>
      </c>
      <c r="F350" s="544">
        <v>32045650</v>
      </c>
      <c r="G350" s="544" t="s">
        <v>1606</v>
      </c>
      <c r="H350" s="543" t="s">
        <v>2860</v>
      </c>
      <c r="I350" s="6" t="str">
        <f>IFERROR(INDEX(ZACATECAS!$N$7:$N$5000, MATCH($F350, ZACATECAS!$H$7:$H$5000, 0)), "-")</f>
        <v>MEDIO AMBIENTE</v>
      </c>
    </row>
    <row r="351" spans="1:9" x14ac:dyDescent="0.3">
      <c r="A351" s="543" t="s">
        <v>2857</v>
      </c>
      <c r="B351" s="543" t="s">
        <v>2858</v>
      </c>
      <c r="C351" s="543" t="s">
        <v>1601</v>
      </c>
      <c r="D351" s="546" t="s">
        <v>2869</v>
      </c>
      <c r="E351" s="6" t="str">
        <f>IFERROR(INDEX(ZACATECAS!$I$7:$I$5000, MATCH(F351*1, ZACATECAS!$H$7:$H$5000, 0)), "-")</f>
        <v xml:space="preserve">EXPORTACION </v>
      </c>
      <c r="F351" s="544">
        <v>32045830</v>
      </c>
      <c r="G351" s="544" t="s">
        <v>1607</v>
      </c>
      <c r="H351" s="543" t="s">
        <v>2860</v>
      </c>
      <c r="I351" s="6" t="str">
        <f>IFERROR(INDEX(ZACATECAS!$N$7:$N$5000, MATCH($F351, ZACATECAS!$H$7:$H$5000, 0)), "-")</f>
        <v>SEGURIDAD</v>
      </c>
    </row>
    <row r="352" spans="1:9" x14ac:dyDescent="0.3">
      <c r="A352" s="543" t="s">
        <v>2857</v>
      </c>
      <c r="B352" s="543" t="s">
        <v>2858</v>
      </c>
      <c r="C352" s="543" t="s">
        <v>1601</v>
      </c>
      <c r="D352" s="546" t="s">
        <v>2869</v>
      </c>
      <c r="E352" s="6" t="str">
        <f>IFERROR(INDEX(ZACATECAS!$I$7:$I$5000, MATCH(F352*1, ZACATECAS!$H$7:$H$5000, 0)), "-")</f>
        <v xml:space="preserve">EXPORTACION </v>
      </c>
      <c r="F352" s="544">
        <v>32218618</v>
      </c>
      <c r="G352" s="544" t="s">
        <v>1608</v>
      </c>
      <c r="H352" s="543" t="s">
        <v>2860</v>
      </c>
      <c r="I352" s="6" t="str">
        <f>IFERROR(INDEX(ZACATECAS!$N$7:$N$5000, MATCH($F352, ZACATECAS!$H$7:$H$5000, 0)), "-")</f>
        <v>SEGURIDAD</v>
      </c>
    </row>
    <row r="353" spans="1:9" x14ac:dyDescent="0.3">
      <c r="A353" s="543" t="s">
        <v>2857</v>
      </c>
      <c r="B353" s="543" t="s">
        <v>2858</v>
      </c>
      <c r="C353" s="543" t="s">
        <v>1601</v>
      </c>
      <c r="D353" s="546" t="s">
        <v>2869</v>
      </c>
      <c r="E353" s="6" t="str">
        <f>IFERROR(INDEX(ZACATECAS!$I$7:$I$5000, MATCH(F353*1, ZACATECAS!$H$7:$H$5000, 0)), "-")</f>
        <v xml:space="preserve">EXPORTACION </v>
      </c>
      <c r="F353" s="544">
        <v>32211557</v>
      </c>
      <c r="G353" s="544" t="s">
        <v>1609</v>
      </c>
      <c r="H353" s="543" t="s">
        <v>2860</v>
      </c>
      <c r="I353" s="6" t="str">
        <f>IFERROR(INDEX(ZACATECAS!$N$7:$N$5000, MATCH($F353, ZACATECAS!$H$7:$H$5000, 0)), "-")</f>
        <v xml:space="preserve">GESTION </v>
      </c>
    </row>
    <row r="354" spans="1:9" x14ac:dyDescent="0.3">
      <c r="A354" s="543" t="s">
        <v>2857</v>
      </c>
      <c r="B354" s="543" t="s">
        <v>2858</v>
      </c>
      <c r="C354" s="543" t="s">
        <v>1601</v>
      </c>
      <c r="D354" s="546" t="s">
        <v>2869</v>
      </c>
      <c r="E354" s="6" t="str">
        <f>IFERROR(INDEX(ZACATECAS!$I$7:$I$5000, MATCH(F354*1, ZACATECAS!$H$7:$H$5000, 0)), "-")</f>
        <v xml:space="preserve">EXPORTACION </v>
      </c>
      <c r="F354" s="544">
        <v>32045688</v>
      </c>
      <c r="G354" s="544" t="s">
        <v>1611</v>
      </c>
      <c r="H354" s="543" t="s">
        <v>2860</v>
      </c>
      <c r="I354" s="6" t="str">
        <f>IFERROR(INDEX(ZACATECAS!$N$7:$N$5000, MATCH($F354, ZACATECAS!$H$7:$H$5000, 0)), "-")</f>
        <v>LOGISTICA</v>
      </c>
    </row>
    <row r="355" spans="1:9" x14ac:dyDescent="0.3">
      <c r="A355" s="543" t="s">
        <v>2857</v>
      </c>
      <c r="B355" s="543" t="s">
        <v>2858</v>
      </c>
      <c r="C355" s="543" t="s">
        <v>1601</v>
      </c>
      <c r="D355" s="546" t="s">
        <v>2869</v>
      </c>
      <c r="E355" s="6" t="str">
        <f>IFERROR(INDEX(ZACATECAS!$I$7:$I$5000, MATCH(F355*1, ZACATECAS!$H$7:$H$5000, 0)), "-")</f>
        <v xml:space="preserve">EXPORTACION </v>
      </c>
      <c r="F355" s="544">
        <v>32072461</v>
      </c>
      <c r="G355" s="544" t="s">
        <v>1612</v>
      </c>
      <c r="H355" s="543" t="s">
        <v>2860</v>
      </c>
      <c r="I355" s="6" t="str">
        <f>IFERROR(INDEX(ZACATECAS!$N$7:$N$5000, MATCH($F355, ZACATECAS!$H$7:$H$5000, 0)), "-")</f>
        <v>PEOPLE</v>
      </c>
    </row>
    <row r="356" spans="1:9" x14ac:dyDescent="0.3">
      <c r="A356" s="543" t="s">
        <v>2857</v>
      </c>
      <c r="B356" s="543" t="s">
        <v>2858</v>
      </c>
      <c r="C356" s="543" t="s">
        <v>1601</v>
      </c>
      <c r="D356" s="546" t="s">
        <v>2869</v>
      </c>
      <c r="E356" s="6" t="str">
        <f>IFERROR(INDEX(ZACATECAS!$I$7:$I$5000, MATCH(F356*1, ZACATECAS!$H$7:$H$5000, 0)), "-")</f>
        <v xml:space="preserve">EXPORTACION </v>
      </c>
      <c r="F356" s="544">
        <v>32227735</v>
      </c>
      <c r="G356" s="544" t="s">
        <v>1613</v>
      </c>
      <c r="H356" s="543" t="s">
        <v>2860</v>
      </c>
      <c r="I356" s="6" t="str">
        <f>IFERROR(INDEX(ZACATECAS!$N$7:$N$5000, MATCH($F356, ZACATECAS!$H$7:$H$5000, 0)), "-")</f>
        <v>LOGISTICA</v>
      </c>
    </row>
    <row r="357" spans="1:9" x14ac:dyDescent="0.3">
      <c r="A357" s="543" t="s">
        <v>2857</v>
      </c>
      <c r="B357" s="543" t="s">
        <v>2858</v>
      </c>
      <c r="C357" s="543" t="s">
        <v>1320</v>
      </c>
      <c r="D357" s="546" t="s">
        <v>2861</v>
      </c>
      <c r="E357" s="6" t="str">
        <f>IFERROR(INDEX(ZACATECAS!$I$7:$I$5000, MATCH(F357*1, ZACATECAS!$H$7:$H$5000, 0)), "-")</f>
        <v>-</v>
      </c>
      <c r="F357" s="544">
        <v>32046695</v>
      </c>
      <c r="G357" s="544" t="s">
        <v>1292</v>
      </c>
      <c r="H357" s="543" t="s">
        <v>2344</v>
      </c>
      <c r="I357" s="6" t="str">
        <f>IFERROR(INDEX(ZACATECAS!$N$7:$N$5000, MATCH($F357, ZACATECAS!$H$7:$H$5000, 0)), "-")</f>
        <v>-</v>
      </c>
    </row>
    <row r="358" spans="1:9" x14ac:dyDescent="0.3">
      <c r="A358" s="543" t="s">
        <v>2857</v>
      </c>
      <c r="B358" s="543" t="s">
        <v>2858</v>
      </c>
      <c r="C358" s="543" t="s">
        <v>1320</v>
      </c>
      <c r="D358" s="546" t="s">
        <v>2861</v>
      </c>
      <c r="E358" s="6">
        <f>IFERROR(INDEX(ZACATECAS!$I$7:$I$5000, MATCH(F358*1, ZACATECAS!$H$7:$H$5000, 0)), "-")</f>
        <v>14</v>
      </c>
      <c r="F358" s="544">
        <v>32202290</v>
      </c>
      <c r="G358" s="544" t="s">
        <v>1321</v>
      </c>
      <c r="H358" s="543" t="s">
        <v>2860</v>
      </c>
      <c r="I358" s="6" t="str">
        <f>IFERROR(INDEX(ZACATECAS!$N$7:$N$5000, MATCH($F358, ZACATECAS!$H$7:$H$5000, 0)), "-")</f>
        <v>CHAMPION CALIDAD</v>
      </c>
    </row>
    <row r="359" spans="1:9" x14ac:dyDescent="0.3">
      <c r="A359" s="543" t="s">
        <v>2857</v>
      </c>
      <c r="B359" s="543" t="s">
        <v>2858</v>
      </c>
      <c r="C359" s="543" t="s">
        <v>1320</v>
      </c>
      <c r="D359" s="546" t="s">
        <v>2861</v>
      </c>
      <c r="E359" s="6">
        <f>IFERROR(INDEX(ZACATECAS!$I$7:$I$5000, MATCH(F359*1, ZACATECAS!$H$7:$H$5000, 0)), "-")</f>
        <v>14</v>
      </c>
      <c r="F359" s="544">
        <v>32132234</v>
      </c>
      <c r="G359" s="544" t="s">
        <v>1323</v>
      </c>
      <c r="H359" s="543" t="s">
        <v>2860</v>
      </c>
      <c r="I359" s="6" t="str">
        <f>IFERROR(INDEX(ZACATECAS!$N$7:$N$5000, MATCH($F359, ZACATECAS!$H$7:$H$5000, 0)), "-")</f>
        <v>CHAMPION AMBIENTAL</v>
      </c>
    </row>
    <row r="360" spans="1:9" x14ac:dyDescent="0.3">
      <c r="A360" s="543" t="s">
        <v>2857</v>
      </c>
      <c r="B360" s="543" t="s">
        <v>2858</v>
      </c>
      <c r="C360" s="543" t="s">
        <v>1320</v>
      </c>
      <c r="D360" s="546" t="s">
        <v>2861</v>
      </c>
      <c r="E360" s="6">
        <f>IFERROR(INDEX(ZACATECAS!$I$7:$I$5000, MATCH(F360*1, ZACATECAS!$H$7:$H$5000, 0)), "-")</f>
        <v>14</v>
      </c>
      <c r="F360" s="544">
        <v>32046080</v>
      </c>
      <c r="G360" s="544" t="s">
        <v>1325</v>
      </c>
      <c r="H360" s="543" t="s">
        <v>2860</v>
      </c>
      <c r="I360" s="6" t="str">
        <f>IFERROR(INDEX(ZACATECAS!$N$7:$N$5000, MATCH($F360, ZACATECAS!$H$7:$H$5000, 0)), "-")</f>
        <v>CHAMPION SEGURIDAD</v>
      </c>
    </row>
    <row r="361" spans="1:9" x14ac:dyDescent="0.3">
      <c r="A361" s="543" t="s">
        <v>2857</v>
      </c>
      <c r="B361" s="543" t="s">
        <v>2858</v>
      </c>
      <c r="C361" s="543" t="s">
        <v>1320</v>
      </c>
      <c r="D361" s="546" t="s">
        <v>2861</v>
      </c>
      <c r="E361" s="6">
        <f>IFERROR(INDEX(ZACATECAS!$I$7:$I$5000, MATCH(F361*1, ZACATECAS!$H$7:$H$5000, 0)), "-")</f>
        <v>14</v>
      </c>
      <c r="F361" s="544">
        <v>32044865</v>
      </c>
      <c r="G361" s="544" t="s">
        <v>1327</v>
      </c>
      <c r="H361" s="543" t="s">
        <v>2860</v>
      </c>
      <c r="I361" s="6" t="str">
        <f>IFERROR(INDEX(ZACATECAS!$N$7:$N$5000, MATCH($F361, ZACATECAS!$H$7:$H$5000, 0)), "-")</f>
        <v>APOYO AMBIENTAL</v>
      </c>
    </row>
    <row r="362" spans="1:9" x14ac:dyDescent="0.3">
      <c r="A362" s="543" t="s">
        <v>2857</v>
      </c>
      <c r="B362" s="543" t="s">
        <v>2858</v>
      </c>
      <c r="C362" s="543" t="s">
        <v>1320</v>
      </c>
      <c r="D362" s="546" t="s">
        <v>2861</v>
      </c>
      <c r="E362" s="6">
        <f>IFERROR(INDEX(ZACATECAS!$I$7:$I$5000, MATCH(F362*1, ZACATECAS!$H$7:$H$5000, 0)), "-")</f>
        <v>14</v>
      </c>
      <c r="F362" s="544">
        <v>32045206</v>
      </c>
      <c r="G362" s="544" t="s">
        <v>1329</v>
      </c>
      <c r="H362" s="543" t="s">
        <v>2860</v>
      </c>
      <c r="I362" s="6" t="str">
        <f>IFERROR(INDEX(ZACATECAS!$N$7:$N$5000, MATCH($F362, ZACATECAS!$H$7:$H$5000, 0)), "-")</f>
        <v>CHAMPION GESTION</v>
      </c>
    </row>
    <row r="363" spans="1:9" x14ac:dyDescent="0.3">
      <c r="A363" s="543" t="s">
        <v>2857</v>
      </c>
      <c r="B363" s="543" t="s">
        <v>2858</v>
      </c>
      <c r="C363" s="543" t="s">
        <v>1320</v>
      </c>
      <c r="D363" s="546" t="s">
        <v>2861</v>
      </c>
      <c r="E363" s="6">
        <f>IFERROR(INDEX(ZACATECAS!$I$7:$I$5000, MATCH(F363*1, ZACATECAS!$H$7:$H$5000, 0)), "-")</f>
        <v>14</v>
      </c>
      <c r="F363" s="544">
        <v>32132046</v>
      </c>
      <c r="G363" s="544" t="s">
        <v>1331</v>
      </c>
      <c r="H363" s="543" t="s">
        <v>2860</v>
      </c>
      <c r="I363" s="6" t="str">
        <f>IFERROR(INDEX(ZACATECAS!$N$7:$N$5000, MATCH($F363, ZACATECAS!$H$7:$H$5000, 0)), "-")</f>
        <v>APOYO  GENTE</v>
      </c>
    </row>
    <row r="364" spans="1:9" x14ac:dyDescent="0.3">
      <c r="A364" s="543" t="s">
        <v>2857</v>
      </c>
      <c r="B364" s="543" t="s">
        <v>2858</v>
      </c>
      <c r="C364" s="543" t="s">
        <v>1320</v>
      </c>
      <c r="D364" s="546" t="s">
        <v>2861</v>
      </c>
      <c r="E364" s="6">
        <f>IFERROR(INDEX(ZACATECAS!$I$7:$I$5000, MATCH(F364*1, ZACATECAS!$H$7:$H$5000, 0)), "-")</f>
        <v>14</v>
      </c>
      <c r="F364" s="544">
        <v>32045237</v>
      </c>
      <c r="G364" s="544" t="s">
        <v>1333</v>
      </c>
      <c r="H364" s="543" t="s">
        <v>2860</v>
      </c>
      <c r="I364" s="6" t="str">
        <f>IFERROR(INDEX(ZACATECAS!$N$7:$N$5000, MATCH($F364, ZACATECAS!$H$7:$H$5000, 0)), "-")</f>
        <v>APOYO DE SEGURIDAD</v>
      </c>
    </row>
    <row r="365" spans="1:9" x14ac:dyDescent="0.3">
      <c r="A365" s="543" t="s">
        <v>2857</v>
      </c>
      <c r="B365" s="543" t="s">
        <v>2858</v>
      </c>
      <c r="C365" s="543" t="s">
        <v>1320</v>
      </c>
      <c r="D365" s="546" t="s">
        <v>2861</v>
      </c>
      <c r="E365" s="6">
        <f>IFERROR(INDEX(ZACATECAS!$I$7:$I$5000, MATCH(F365*1, ZACATECAS!$H$7:$H$5000, 0)), "-")</f>
        <v>14</v>
      </c>
      <c r="F365" s="544">
        <v>32046217</v>
      </c>
      <c r="G365" s="544" t="s">
        <v>1335</v>
      </c>
      <c r="H365" s="543" t="s">
        <v>2860</v>
      </c>
      <c r="I365" s="6" t="str">
        <f>IFERROR(INDEX(ZACATECAS!$N$7:$N$5000, MATCH($F365, ZACATECAS!$H$7:$H$5000, 0)), "-")</f>
        <v>APOYO CALIDAD</v>
      </c>
    </row>
    <row r="366" spans="1:9" x14ac:dyDescent="0.3">
      <c r="A366" s="543" t="s">
        <v>2857</v>
      </c>
      <c r="B366" s="543" t="s">
        <v>2858</v>
      </c>
      <c r="C366" s="543" t="s">
        <v>1320</v>
      </c>
      <c r="D366" s="546" t="s">
        <v>2861</v>
      </c>
      <c r="E366" s="6">
        <f>IFERROR(INDEX(ZACATECAS!$I$7:$I$5000, MATCH(F366*1, ZACATECAS!$H$7:$H$5000, 0)), "-")</f>
        <v>14</v>
      </c>
      <c r="F366" s="544">
        <v>32044731</v>
      </c>
      <c r="G366" s="544" t="s">
        <v>1337</v>
      </c>
      <c r="H366" s="543" t="s">
        <v>2860</v>
      </c>
      <c r="I366" s="6" t="str">
        <f>IFERROR(INDEX(ZACATECAS!$N$7:$N$5000, MATCH($F366, ZACATECAS!$H$7:$H$5000, 0)), "-")</f>
        <v>APOYO DE GESTION</v>
      </c>
    </row>
    <row r="367" spans="1:9" x14ac:dyDescent="0.3">
      <c r="A367" s="543" t="s">
        <v>2857</v>
      </c>
      <c r="B367" s="543" t="s">
        <v>2858</v>
      </c>
      <c r="C367" s="543" t="s">
        <v>1320</v>
      </c>
      <c r="D367" s="546" t="s">
        <v>2861</v>
      </c>
      <c r="E367" s="6">
        <f>IFERROR(INDEX(ZACATECAS!$I$7:$I$5000, MATCH(F367*1, ZACATECAS!$H$7:$H$5000, 0)), "-")</f>
        <v>14</v>
      </c>
      <c r="F367" s="544">
        <v>32044729</v>
      </c>
      <c r="G367" s="544" t="s">
        <v>1339</v>
      </c>
      <c r="H367" s="543" t="s">
        <v>2860</v>
      </c>
      <c r="I367" s="6" t="str">
        <f>IFERROR(INDEX(ZACATECAS!$N$7:$N$5000, MATCH($F367, ZACATECAS!$H$7:$H$5000, 0)), "-")</f>
        <v>CHAMPION MANTENIMIENTO</v>
      </c>
    </row>
    <row r="368" spans="1:9" x14ac:dyDescent="0.3">
      <c r="A368" s="543" t="s">
        <v>2857</v>
      </c>
      <c r="B368" s="543" t="s">
        <v>2858</v>
      </c>
      <c r="C368" s="543" t="s">
        <v>1320</v>
      </c>
      <c r="D368" s="546" t="s">
        <v>2861</v>
      </c>
      <c r="E368" s="6">
        <f>IFERROR(INDEX(ZACATECAS!$I$7:$I$5000, MATCH(F368*1, ZACATECAS!$H$7:$H$5000, 0)), "-")</f>
        <v>14</v>
      </c>
      <c r="F368" s="544">
        <v>32044915</v>
      </c>
      <c r="G368" s="544" t="s">
        <v>1341</v>
      </c>
      <c r="H368" s="543" t="s">
        <v>2860</v>
      </c>
      <c r="I368" s="6" t="str">
        <f>IFERROR(INDEX(ZACATECAS!$N$7:$N$5000, MATCH($F368, ZACATECAS!$H$7:$H$5000, 0)), "-")</f>
        <v>CHAMPION  LOGISTICA</v>
      </c>
    </row>
    <row r="369" spans="1:9" x14ac:dyDescent="0.3">
      <c r="A369" s="543" t="s">
        <v>2857</v>
      </c>
      <c r="B369" s="543" t="s">
        <v>2858</v>
      </c>
      <c r="C369" s="543" t="s">
        <v>1615</v>
      </c>
      <c r="D369" s="546" t="s">
        <v>2869</v>
      </c>
      <c r="E369" s="6" t="str">
        <f>IFERROR(INDEX(ZACATECAS!$I$7:$I$5000, MATCH(F369*1, ZACATECAS!$H$7:$H$5000, 0)), "-")</f>
        <v>-</v>
      </c>
      <c r="F369" s="544">
        <v>32199317</v>
      </c>
      <c r="G369" s="544" t="s">
        <v>1616</v>
      </c>
      <c r="H369" s="543" t="s">
        <v>2344</v>
      </c>
      <c r="I369" s="6" t="str">
        <f>IFERROR(INDEX(ZACATECAS!$N$7:$N$5000, MATCH($F369, ZACATECAS!$H$7:$H$5000, 0)), "-")</f>
        <v>-</v>
      </c>
    </row>
    <row r="370" spans="1:9" x14ac:dyDescent="0.3">
      <c r="A370" s="543" t="s">
        <v>2857</v>
      </c>
      <c r="B370" s="543" t="s">
        <v>2858</v>
      </c>
      <c r="C370" s="543" t="s">
        <v>1615</v>
      </c>
      <c r="D370" s="546" t="s">
        <v>2869</v>
      </c>
      <c r="E370" s="6" t="str">
        <f>IFERROR(INDEX(ZACATECAS!$I$7:$I$5000, MATCH(F370*1, ZACATECAS!$H$7:$H$5000, 0)), "-")</f>
        <v>LINEAS</v>
      </c>
      <c r="F370" s="544">
        <v>32064295</v>
      </c>
      <c r="G370" s="544" t="s">
        <v>1618</v>
      </c>
      <c r="H370" s="543" t="s">
        <v>2860</v>
      </c>
      <c r="I370" s="6" t="str">
        <f>IFERROR(INDEX(ZACATECAS!$N$7:$N$5000, MATCH($F370, ZACATECAS!$H$7:$H$5000, 0)), "-")</f>
        <v>Champion de Medio Ambiente</v>
      </c>
    </row>
    <row r="371" spans="1:9" x14ac:dyDescent="0.3">
      <c r="A371" s="543" t="s">
        <v>2857</v>
      </c>
      <c r="B371" s="543" t="s">
        <v>2858</v>
      </c>
      <c r="C371" s="543" t="s">
        <v>1615</v>
      </c>
      <c r="D371" s="546" t="s">
        <v>2869</v>
      </c>
      <c r="E371" s="6" t="str">
        <f>IFERROR(INDEX(ZACATECAS!$I$7:$I$5000, MATCH(F371*1, ZACATECAS!$H$7:$H$5000, 0)), "-")</f>
        <v>LINEAS</v>
      </c>
      <c r="F371" s="544">
        <v>32198224</v>
      </c>
      <c r="G371" s="544" t="s">
        <v>1620</v>
      </c>
      <c r="H371" s="543" t="s">
        <v>2860</v>
      </c>
      <c r="I371" s="6" t="str">
        <f>IFERROR(INDEX(ZACATECAS!$N$7:$N$5000, MATCH($F371, ZACATECAS!$H$7:$H$5000, 0)), "-")</f>
        <v>Champion de People</v>
      </c>
    </row>
    <row r="372" spans="1:9" x14ac:dyDescent="0.3">
      <c r="A372" s="543" t="s">
        <v>2857</v>
      </c>
      <c r="B372" s="543" t="s">
        <v>2858</v>
      </c>
      <c r="C372" s="543" t="s">
        <v>1615</v>
      </c>
      <c r="D372" s="546" t="s">
        <v>2869</v>
      </c>
      <c r="E372" s="6" t="str">
        <f>IFERROR(INDEX(ZACATECAS!$I$7:$I$5000, MATCH(F372*1, ZACATECAS!$H$7:$H$5000, 0)), "-")</f>
        <v>LINEAS</v>
      </c>
      <c r="F372" s="544">
        <v>32046185</v>
      </c>
      <c r="G372" s="544" t="s">
        <v>1622</v>
      </c>
      <c r="H372" s="543" t="s">
        <v>2860</v>
      </c>
      <c r="I372" s="6" t="str">
        <f>IFERROR(INDEX(ZACATECAS!$N$7:$N$5000, MATCH($F372, ZACATECAS!$H$7:$H$5000, 0)), "-")</f>
        <v>Champion de Seguridad</v>
      </c>
    </row>
    <row r="373" spans="1:9" x14ac:dyDescent="0.3">
      <c r="A373" s="543" t="s">
        <v>2857</v>
      </c>
      <c r="B373" s="543" t="s">
        <v>2858</v>
      </c>
      <c r="C373" s="543" t="s">
        <v>1615</v>
      </c>
      <c r="D373" s="546" t="s">
        <v>2869</v>
      </c>
      <c r="E373" s="6" t="str">
        <f>IFERROR(INDEX(ZACATECAS!$I$7:$I$5000, MATCH(F373*1, ZACATECAS!$H$7:$H$5000, 0)), "-")</f>
        <v>LINEAS</v>
      </c>
      <c r="F373" s="544">
        <v>32058883</v>
      </c>
      <c r="G373" s="544" t="s">
        <v>1624</v>
      </c>
      <c r="H373" s="543" t="s">
        <v>2860</v>
      </c>
      <c r="I373" s="6" t="str">
        <f>IFERROR(INDEX(ZACATECAS!$N$7:$N$5000, MATCH($F373, ZACATECAS!$H$7:$H$5000, 0)), "-")</f>
        <v>Champion Gestión</v>
      </c>
    </row>
    <row r="374" spans="1:9" x14ac:dyDescent="0.3">
      <c r="A374" s="543" t="s">
        <v>2857</v>
      </c>
      <c r="B374" s="543" t="s">
        <v>2858</v>
      </c>
      <c r="C374" s="543" t="s">
        <v>1615</v>
      </c>
      <c r="D374" s="543" t="s">
        <v>2869</v>
      </c>
      <c r="E374" s="6" t="str">
        <f>IFERROR(INDEX(ZACATECAS!$I$7:$I$5000, MATCH(F374*1, ZACATECAS!$H$7:$H$5000, 0)), "-")</f>
        <v>LINEAS</v>
      </c>
      <c r="F374" s="544">
        <v>32197843</v>
      </c>
      <c r="G374" s="544" t="s">
        <v>1625</v>
      </c>
      <c r="H374" s="543" t="s">
        <v>2860</v>
      </c>
      <c r="I374" s="6" t="str">
        <f>IFERROR(INDEX(ZACATECAS!$N$7:$N$5000, MATCH($F374, ZACATECAS!$H$7:$H$5000, 0)), "-")</f>
        <v>Champion de Seguridad</v>
      </c>
    </row>
    <row r="375" spans="1:9" x14ac:dyDescent="0.3">
      <c r="A375" s="543" t="s">
        <v>2857</v>
      </c>
      <c r="B375" s="543" t="s">
        <v>2858</v>
      </c>
      <c r="C375" s="543" t="s">
        <v>1615</v>
      </c>
      <c r="D375" s="543" t="s">
        <v>2869</v>
      </c>
      <c r="E375" s="6" t="str">
        <f>IFERROR(INDEX(ZACATECAS!$I$7:$I$5000, MATCH(F375*1, ZACATECAS!$H$7:$H$5000, 0)), "-")</f>
        <v>LINEAS</v>
      </c>
      <c r="F375" s="544">
        <v>32044255</v>
      </c>
      <c r="G375" s="544" t="s">
        <v>1626</v>
      </c>
      <c r="H375" s="543" t="s">
        <v>2860</v>
      </c>
      <c r="I375" s="6" t="str">
        <f>IFERROR(INDEX(ZACATECAS!$N$7:$N$5000, MATCH($F375, ZACATECAS!$H$7:$H$5000, 0)), "-")</f>
        <v>Champion de People</v>
      </c>
    </row>
    <row r="376" spans="1:9" x14ac:dyDescent="0.3">
      <c r="A376" s="543" t="s">
        <v>2857</v>
      </c>
      <c r="B376" s="543" t="s">
        <v>2858</v>
      </c>
      <c r="C376" s="543" t="s">
        <v>1615</v>
      </c>
      <c r="D376" s="543" t="s">
        <v>2869</v>
      </c>
      <c r="E376" s="6" t="str">
        <f>IFERROR(INDEX(ZACATECAS!$I$7:$I$5000, MATCH(F376*1, ZACATECAS!$H$7:$H$5000, 0)), "-")</f>
        <v>LINEAS</v>
      </c>
      <c r="F376" s="544">
        <v>32217098</v>
      </c>
      <c r="G376" s="544" t="s">
        <v>1627</v>
      </c>
      <c r="H376" s="543" t="s">
        <v>2860</v>
      </c>
      <c r="I376" s="6" t="str">
        <f>IFERROR(INDEX(ZACATECAS!$N$7:$N$5000, MATCH($F376, ZACATECAS!$H$7:$H$5000, 0)), "-")</f>
        <v>Champion de People</v>
      </c>
    </row>
    <row r="377" spans="1:9" x14ac:dyDescent="0.3">
      <c r="A377" s="543" t="s">
        <v>2857</v>
      </c>
      <c r="B377" s="543" t="s">
        <v>2858</v>
      </c>
      <c r="C377" s="543" t="s">
        <v>1615</v>
      </c>
      <c r="D377" s="543" t="s">
        <v>2869</v>
      </c>
      <c r="E377" s="6" t="str">
        <f>IFERROR(INDEX(ZACATECAS!$I$7:$I$5000, MATCH(F377*1, ZACATECAS!$H$7:$H$5000, 0)), "-")</f>
        <v>LINEAS</v>
      </c>
      <c r="F377" s="544">
        <v>32055892</v>
      </c>
      <c r="G377" s="544" t="s">
        <v>1628</v>
      </c>
      <c r="H377" s="543" t="s">
        <v>2860</v>
      </c>
      <c r="I377" s="6" t="str">
        <f>IFERROR(INDEX(ZACATECAS!$N$7:$N$5000, MATCH($F377, ZACATECAS!$H$7:$H$5000, 0)), "-")</f>
        <v>Champion de logística</v>
      </c>
    </row>
    <row r="378" spans="1:9" x14ac:dyDescent="0.3">
      <c r="A378" s="543" t="s">
        <v>2857</v>
      </c>
      <c r="B378" s="543" t="s">
        <v>2858</v>
      </c>
      <c r="C378" s="543" t="s">
        <v>1615</v>
      </c>
      <c r="D378" s="543" t="s">
        <v>2869</v>
      </c>
      <c r="E378" s="6" t="str">
        <f>IFERROR(INDEX(ZACATECAS!$I$7:$I$5000, MATCH(F378*1, ZACATECAS!$H$7:$H$5000, 0)), "-")</f>
        <v>LINEAS</v>
      </c>
      <c r="F378" s="544">
        <v>32044062</v>
      </c>
      <c r="G378" s="544" t="s">
        <v>1630</v>
      </c>
      <c r="H378" s="543" t="s">
        <v>2860</v>
      </c>
      <c r="I378" s="6" t="str">
        <f>IFERROR(INDEX(ZACATECAS!$N$7:$N$5000, MATCH($F378, ZACATECAS!$H$7:$H$5000, 0)), "-")</f>
        <v>Champion de Mantenimiento</v>
      </c>
    </row>
    <row r="379" spans="1:9" x14ac:dyDescent="0.3">
      <c r="A379" s="543" t="s">
        <v>2857</v>
      </c>
      <c r="B379" s="543" t="s">
        <v>2858</v>
      </c>
      <c r="C379" s="543" t="s">
        <v>1615</v>
      </c>
      <c r="D379" s="543" t="s">
        <v>2869</v>
      </c>
      <c r="E379" s="6" t="str">
        <f>IFERROR(INDEX(ZACATECAS!$I$7:$I$5000, MATCH(F379*1, ZACATECAS!$H$7:$H$5000, 0)), "-")</f>
        <v>LINEAS</v>
      </c>
      <c r="F379" s="544">
        <v>32046212</v>
      </c>
      <c r="G379" s="544" t="s">
        <v>1632</v>
      </c>
      <c r="H379" s="543" t="s">
        <v>2860</v>
      </c>
      <c r="I379" s="6" t="str">
        <f>IFERROR(INDEX(ZACATECAS!$N$7:$N$5000, MATCH($F379, ZACATECAS!$H$7:$H$5000, 0)), "-")</f>
        <v>Champion Calidad</v>
      </c>
    </row>
    <row r="380" spans="1:9" x14ac:dyDescent="0.3">
      <c r="A380" s="543" t="s">
        <v>2857</v>
      </c>
      <c r="B380" s="543" t="s">
        <v>2858</v>
      </c>
      <c r="C380" s="543" t="s">
        <v>1615</v>
      </c>
      <c r="D380" s="543" t="s">
        <v>2869</v>
      </c>
      <c r="E380" s="6" t="str">
        <f>IFERROR(INDEX(ZACATECAS!$I$7:$I$5000, MATCH(F380*1, ZACATECAS!$H$7:$H$5000, 0)), "-")</f>
        <v>LINEAS</v>
      </c>
      <c r="F380" s="544">
        <v>32044337</v>
      </c>
      <c r="G380" s="544" t="s">
        <v>1633</v>
      </c>
      <c r="H380" s="543" t="s">
        <v>2860</v>
      </c>
      <c r="I380" s="6" t="str">
        <f>IFERROR(INDEX(ZACATECAS!$N$7:$N$5000, MATCH($F380, ZACATECAS!$H$7:$H$5000, 0)), "-")</f>
        <v>Champion Calidad</v>
      </c>
    </row>
    <row r="381" spans="1:9" x14ac:dyDescent="0.3">
      <c r="A381" s="543" t="s">
        <v>2857</v>
      </c>
      <c r="B381" s="543" t="s">
        <v>2858</v>
      </c>
      <c r="C381" s="543" t="s">
        <v>1615</v>
      </c>
      <c r="D381" s="543" t="s">
        <v>2869</v>
      </c>
      <c r="E381" s="6" t="str">
        <f>IFERROR(INDEX(ZACATECAS!$I$7:$I$5000, MATCH(F381*1, ZACATECAS!$H$7:$H$5000, 0)), "-")</f>
        <v>LINEAS</v>
      </c>
      <c r="F381" s="544">
        <v>32046085</v>
      </c>
      <c r="G381" s="544" t="s">
        <v>1634</v>
      </c>
      <c r="H381" s="543" t="s">
        <v>2860</v>
      </c>
      <c r="I381" s="6" t="str">
        <f>IFERROR(INDEX(ZACATECAS!$N$7:$N$5000, MATCH($F381, ZACATECAS!$H$7:$H$5000, 0)), "-")</f>
        <v>Champion Gestión</v>
      </c>
    </row>
    <row r="382" spans="1:9" x14ac:dyDescent="0.3">
      <c r="A382" s="543" t="s">
        <v>2857</v>
      </c>
      <c r="B382" s="543" t="s">
        <v>2858</v>
      </c>
      <c r="C382" s="543" t="s">
        <v>1615</v>
      </c>
      <c r="D382" s="543" t="s">
        <v>2869</v>
      </c>
      <c r="E382" s="6" t="str">
        <f>IFERROR(INDEX(ZACATECAS!$I$7:$I$5000, MATCH(F382*1, ZACATECAS!$H$7:$H$5000, 0)), "-")</f>
        <v>LINEAS</v>
      </c>
      <c r="F382" s="544">
        <v>32045631</v>
      </c>
      <c r="G382" s="544" t="s">
        <v>1635</v>
      </c>
      <c r="H382" s="543" t="s">
        <v>2860</v>
      </c>
      <c r="I382" s="6" t="str">
        <f>IFERROR(INDEX(ZACATECAS!$N$7:$N$5000, MATCH($F382, ZACATECAS!$H$7:$H$5000, 0)), "-")</f>
        <v>Champion de logística</v>
      </c>
    </row>
    <row r="383" spans="1:9" x14ac:dyDescent="0.3">
      <c r="A383" s="543" t="s">
        <v>2857</v>
      </c>
      <c r="B383" s="543" t="s">
        <v>2858</v>
      </c>
      <c r="C383" s="543" t="s">
        <v>1615</v>
      </c>
      <c r="D383" s="543" t="s">
        <v>2869</v>
      </c>
      <c r="E383" s="6" t="str">
        <f>IFERROR(INDEX(ZACATECAS!$I$7:$I$5000, MATCH(F383*1, ZACATECAS!$H$7:$H$5000, 0)), "-")</f>
        <v>LINEAS</v>
      </c>
      <c r="F383" s="544">
        <v>32197851</v>
      </c>
      <c r="G383" s="544" t="s">
        <v>1636</v>
      </c>
      <c r="H383" s="543" t="s">
        <v>2860</v>
      </c>
      <c r="I383" s="6" t="str">
        <f>IFERROR(INDEX(ZACATECAS!$N$7:$N$5000, MATCH($F383, ZACATECAS!$H$7:$H$5000, 0)), "-")</f>
        <v>Champion de Mantenimiento</v>
      </c>
    </row>
    <row r="384" spans="1:9" x14ac:dyDescent="0.3">
      <c r="A384" s="543" t="s">
        <v>2857</v>
      </c>
      <c r="B384" s="543" t="s">
        <v>2858</v>
      </c>
      <c r="C384" s="543" t="s">
        <v>1615</v>
      </c>
      <c r="D384" s="543" t="s">
        <v>2869</v>
      </c>
      <c r="E384" s="6" t="str">
        <f>IFERROR(INDEX(ZACATECAS!$I$7:$I$5000, MATCH(F384*1, ZACATECAS!$H$7:$H$5000, 0)), "-")</f>
        <v>LINEAS</v>
      </c>
      <c r="F384" s="544">
        <v>32045439</v>
      </c>
      <c r="G384" s="544" t="s">
        <v>1637</v>
      </c>
      <c r="H384" s="543" t="s">
        <v>2860</v>
      </c>
      <c r="I384" s="6" t="str">
        <f>IFERROR(INDEX(ZACATECAS!$N$7:$N$5000, MATCH($F384, ZACATECAS!$H$7:$H$5000, 0)), "-")</f>
        <v>Champion de People</v>
      </c>
    </row>
    <row r="385" spans="1:9" x14ac:dyDescent="0.3">
      <c r="A385" s="543" t="s">
        <v>2857</v>
      </c>
      <c r="B385" s="543" t="s">
        <v>2858</v>
      </c>
      <c r="C385" s="543" t="s">
        <v>1615</v>
      </c>
      <c r="D385" s="543" t="s">
        <v>2869</v>
      </c>
      <c r="E385" s="6" t="str">
        <f>IFERROR(INDEX(ZACATECAS!$I$7:$I$5000, MATCH(F385*1, ZACATECAS!$H$7:$H$5000, 0)), "-")</f>
        <v>LINEAS</v>
      </c>
      <c r="F385" s="544">
        <v>32209494</v>
      </c>
      <c r="G385" s="544" t="s">
        <v>1638</v>
      </c>
      <c r="H385" s="543" t="s">
        <v>2860</v>
      </c>
      <c r="I385" s="6" t="str">
        <f>IFERROR(INDEX(ZACATECAS!$N$7:$N$5000, MATCH($F385, ZACATECAS!$H$7:$H$5000, 0)), "-")</f>
        <v>Champion de Medio Ambiente</v>
      </c>
    </row>
    <row r="386" spans="1:9" x14ac:dyDescent="0.3">
      <c r="A386" s="543" t="s">
        <v>2857</v>
      </c>
      <c r="B386" s="547" t="s">
        <v>2858</v>
      </c>
      <c r="C386" s="548" t="s">
        <v>2873</v>
      </c>
      <c r="D386" s="548" t="s">
        <v>2864</v>
      </c>
      <c r="E386" s="6" t="str">
        <f>IFERROR(INDEX(ZACATECAS!$I$7:$I$5000, MATCH(F386*1, ZACATECAS!$H$7:$H$5000, 0)), "-")</f>
        <v>-</v>
      </c>
      <c r="F386" s="543">
        <v>32232970</v>
      </c>
      <c r="G386" s="548" t="s">
        <v>2043</v>
      </c>
      <c r="H386" s="543" t="s">
        <v>2344</v>
      </c>
      <c r="I386" s="6" t="str">
        <f>IFERROR(INDEX(ZACATECAS!$N$7:$N$5000, MATCH($F386, ZACATECAS!$H$7:$H$5000, 0)), "-")</f>
        <v>-</v>
      </c>
    </row>
    <row r="387" spans="1:9" x14ac:dyDescent="0.3">
      <c r="A387" s="543" t="s">
        <v>2857</v>
      </c>
      <c r="B387" s="547" t="s">
        <v>2858</v>
      </c>
      <c r="C387" s="548" t="s">
        <v>2873</v>
      </c>
      <c r="D387" s="548" t="s">
        <v>2864</v>
      </c>
      <c r="E387" s="6" t="str">
        <f>IFERROR(INDEX(ZACATECAS!$I$7:$I$5000, MATCH(F387*1, ZACATECAS!$H$7:$H$5000, 0)), "-")</f>
        <v>TRATOS DE AGUA</v>
      </c>
      <c r="F387" s="543">
        <v>32144783</v>
      </c>
      <c r="G387" s="548" t="s">
        <v>2045</v>
      </c>
      <c r="H387" s="543" t="s">
        <v>2860</v>
      </c>
      <c r="I387" s="6" t="str">
        <f>IFERROR(INDEX(ZACATECAS!$N$7:$N$5000, MATCH($F387, ZACATECAS!$H$7:$H$5000, 0)), "-")</f>
        <v>CHAMPION SEGURIDAD</v>
      </c>
    </row>
    <row r="388" spans="1:9" x14ac:dyDescent="0.3">
      <c r="A388" s="543" t="s">
        <v>2857</v>
      </c>
      <c r="B388" s="547" t="s">
        <v>2858</v>
      </c>
      <c r="C388" s="548" t="s">
        <v>2873</v>
      </c>
      <c r="D388" s="548" t="s">
        <v>2864</v>
      </c>
      <c r="E388" s="6" t="str">
        <f>IFERROR(INDEX(ZACATECAS!$I$7:$I$5000, MATCH(F388*1, ZACATECAS!$H$7:$H$5000, 0)), "-")</f>
        <v>TRATOS DE AGUA</v>
      </c>
      <c r="F388" s="543">
        <v>32044335</v>
      </c>
      <c r="G388" s="548" t="s">
        <v>2047</v>
      </c>
      <c r="H388" s="543" t="s">
        <v>2860</v>
      </c>
      <c r="I388" s="6" t="str">
        <f>IFERROR(INDEX(ZACATECAS!$N$7:$N$5000, MATCH($F388, ZACATECAS!$H$7:$H$5000, 0)), "-")</f>
        <v>CHAMPION AMBIENTAL</v>
      </c>
    </row>
    <row r="389" spans="1:9" x14ac:dyDescent="0.3">
      <c r="A389" s="543" t="s">
        <v>2857</v>
      </c>
      <c r="B389" s="547" t="s">
        <v>2858</v>
      </c>
      <c r="C389" s="548" t="s">
        <v>2873</v>
      </c>
      <c r="D389" s="548" t="s">
        <v>2864</v>
      </c>
      <c r="E389" s="6" t="str">
        <f>IFERROR(INDEX(ZACATECAS!$I$7:$I$5000, MATCH(F389*1, ZACATECAS!$H$7:$H$5000, 0)), "-")</f>
        <v>TRATOS DE AGUA</v>
      </c>
      <c r="F389" s="543">
        <v>32045056</v>
      </c>
      <c r="G389" s="548" t="s">
        <v>2049</v>
      </c>
      <c r="H389" s="543" t="s">
        <v>2860</v>
      </c>
      <c r="I389" s="6" t="str">
        <f>IFERROR(INDEX(ZACATECAS!$N$7:$N$5000, MATCH($F389, ZACATECAS!$H$7:$H$5000, 0)), "-")</f>
        <v>CHAMPION CALIDAD</v>
      </c>
    </row>
    <row r="390" spans="1:9" x14ac:dyDescent="0.3">
      <c r="A390" s="543" t="s">
        <v>2857</v>
      </c>
      <c r="B390" s="547" t="s">
        <v>2858</v>
      </c>
      <c r="C390" s="548" t="s">
        <v>2873</v>
      </c>
      <c r="D390" s="548" t="s">
        <v>2864</v>
      </c>
      <c r="E390" s="6" t="str">
        <f>IFERROR(INDEX(ZACATECAS!$I$7:$I$5000, MATCH(F390*1, ZACATECAS!$H$7:$H$5000, 0)), "-")</f>
        <v>TRATOS DE AGUA</v>
      </c>
      <c r="F390" s="543">
        <v>32045071</v>
      </c>
      <c r="G390" s="548" t="s">
        <v>2051</v>
      </c>
      <c r="H390" s="543" t="s">
        <v>2860</v>
      </c>
      <c r="I390" s="6" t="str">
        <f>IFERROR(INDEX(ZACATECAS!$N$7:$N$5000, MATCH($F390, ZACATECAS!$H$7:$H$5000, 0)), "-")</f>
        <v>CHAMPION MANTENIMIENTO</v>
      </c>
    </row>
    <row r="391" spans="1:9" x14ac:dyDescent="0.3">
      <c r="A391" s="543" t="s">
        <v>2857</v>
      </c>
      <c r="B391" s="543" t="s">
        <v>2858</v>
      </c>
      <c r="C391" s="543" t="s">
        <v>605</v>
      </c>
      <c r="D391" s="543" t="s">
        <v>2861</v>
      </c>
      <c r="E391" s="6" t="str">
        <f>IFERROR(INDEX(ZACATECAS!$I$7:$I$5000, MATCH(F391*1, ZACATECAS!$H$7:$H$5000, 0)), "-")</f>
        <v>-</v>
      </c>
      <c r="F391" s="544">
        <v>32147380</v>
      </c>
      <c r="G391" s="544" t="s">
        <v>606</v>
      </c>
      <c r="H391" s="543" t="s">
        <v>2344</v>
      </c>
      <c r="I391" s="6" t="str">
        <f>IFERROR(INDEX(ZACATECAS!$N$7:$N$5000, MATCH($F391, ZACATECAS!$H$7:$H$5000, 0)), "-")</f>
        <v>-</v>
      </c>
    </row>
    <row r="392" spans="1:9" x14ac:dyDescent="0.3">
      <c r="A392" s="543" t="s">
        <v>2857</v>
      </c>
      <c r="B392" s="543" t="s">
        <v>2858</v>
      </c>
      <c r="C392" s="543" t="s">
        <v>605</v>
      </c>
      <c r="D392" s="543" t="s">
        <v>2861</v>
      </c>
      <c r="E392" s="6">
        <f>IFERROR(INDEX(ZACATECAS!$I$7:$I$5000, MATCH(F392*1, ZACATECAS!$H$7:$H$5000, 0)), "-")</f>
        <v>4</v>
      </c>
      <c r="F392" s="544">
        <v>32044201</v>
      </c>
      <c r="G392" s="544" t="s">
        <v>608</v>
      </c>
      <c r="H392" s="543" t="s">
        <v>2860</v>
      </c>
      <c r="I392" s="6" t="str">
        <f>IFERROR(INDEX(ZACATECAS!$N$7:$N$5000, MATCH($F392, ZACATECAS!$H$7:$H$5000, 0)), "-")</f>
        <v xml:space="preserve">CHAMPION DE GENTE </v>
      </c>
    </row>
    <row r="393" spans="1:9" x14ac:dyDescent="0.3">
      <c r="A393" s="543" t="s">
        <v>2857</v>
      </c>
      <c r="B393" s="543" t="s">
        <v>2858</v>
      </c>
      <c r="C393" s="543" t="s">
        <v>605</v>
      </c>
      <c r="D393" s="543" t="s">
        <v>2861</v>
      </c>
      <c r="E393" s="6">
        <f>IFERROR(INDEX(ZACATECAS!$I$7:$I$5000, MATCH(F393*1, ZACATECAS!$H$7:$H$5000, 0)), "-")</f>
        <v>4</v>
      </c>
      <c r="F393" s="544">
        <v>32044554</v>
      </c>
      <c r="G393" s="544" t="s">
        <v>609</v>
      </c>
      <c r="H393" s="543" t="s">
        <v>2860</v>
      </c>
      <c r="I393" s="6" t="str">
        <f>IFERROR(INDEX(ZACATECAS!$N$7:$N$5000, MATCH($F393, ZACATECAS!$H$7:$H$5000, 0)), "-")</f>
        <v>CHAMPION AMBIENTAL</v>
      </c>
    </row>
    <row r="394" spans="1:9" x14ac:dyDescent="0.3">
      <c r="A394" s="543" t="s">
        <v>2857</v>
      </c>
      <c r="B394" s="543" t="s">
        <v>2858</v>
      </c>
      <c r="C394" s="543" t="s">
        <v>605</v>
      </c>
      <c r="D394" s="543" t="s">
        <v>2861</v>
      </c>
      <c r="E394" s="6">
        <f>IFERROR(INDEX(ZACATECAS!$I$7:$I$5000, MATCH(F394*1, ZACATECAS!$H$7:$H$5000, 0)), "-")</f>
        <v>4</v>
      </c>
      <c r="F394" s="544">
        <v>32044946</v>
      </c>
      <c r="G394" s="544" t="s">
        <v>611</v>
      </c>
      <c r="H394" s="543" t="s">
        <v>2860</v>
      </c>
      <c r="I394" s="6" t="str">
        <f>IFERROR(INDEX(ZACATECAS!$N$7:$N$5000, MATCH($F394, ZACATECAS!$H$7:$H$5000, 0)), "-")</f>
        <v xml:space="preserve">CHAMPION GESTION </v>
      </c>
    </row>
    <row r="395" spans="1:9" x14ac:dyDescent="0.3">
      <c r="A395" s="543" t="s">
        <v>2857</v>
      </c>
      <c r="B395" s="543" t="s">
        <v>2858</v>
      </c>
      <c r="C395" s="543" t="s">
        <v>605</v>
      </c>
      <c r="D395" s="543" t="s">
        <v>2861</v>
      </c>
      <c r="E395" s="6">
        <f>IFERROR(INDEX(ZACATECAS!$I$7:$I$5000, MATCH(F395*1, ZACATECAS!$H$7:$H$5000, 0)), "-")</f>
        <v>4</v>
      </c>
      <c r="F395" s="544">
        <v>32044986</v>
      </c>
      <c r="G395" s="544" t="s">
        <v>613</v>
      </c>
      <c r="H395" s="543" t="s">
        <v>2860</v>
      </c>
      <c r="I395" s="6" t="str">
        <f>IFERROR(INDEX(ZACATECAS!$N$7:$N$5000, MATCH($F395, ZACATECAS!$H$7:$H$5000, 0)), "-")</f>
        <v>CHAMPION SEGURIDAD</v>
      </c>
    </row>
    <row r="396" spans="1:9" x14ac:dyDescent="0.3">
      <c r="A396" s="543" t="s">
        <v>2857</v>
      </c>
      <c r="B396" s="543" t="s">
        <v>2858</v>
      </c>
      <c r="C396" s="543" t="s">
        <v>605</v>
      </c>
      <c r="D396" s="543" t="s">
        <v>2861</v>
      </c>
      <c r="E396" s="6">
        <f>IFERROR(INDEX(ZACATECAS!$I$7:$I$5000, MATCH(F396*1, ZACATECAS!$H$7:$H$5000, 0)), "-")</f>
        <v>4</v>
      </c>
      <c r="F396" s="544">
        <v>32045137</v>
      </c>
      <c r="G396" s="544" t="s">
        <v>615</v>
      </c>
      <c r="H396" s="543" t="s">
        <v>2860</v>
      </c>
      <c r="I396" s="6" t="str">
        <f>IFERROR(INDEX(ZACATECAS!$N$7:$N$5000, MATCH($F396, ZACATECAS!$H$7:$H$5000, 0)), "-")</f>
        <v xml:space="preserve">CHAMPION CALIDAD </v>
      </c>
    </row>
    <row r="397" spans="1:9" x14ac:dyDescent="0.3">
      <c r="A397" s="543" t="s">
        <v>2857</v>
      </c>
      <c r="B397" s="543" t="s">
        <v>2858</v>
      </c>
      <c r="C397" s="543" t="s">
        <v>605</v>
      </c>
      <c r="D397" s="543" t="s">
        <v>2861</v>
      </c>
      <c r="E397" s="6">
        <f>IFERROR(INDEX(ZACATECAS!$I$7:$I$5000, MATCH(F397*1, ZACATECAS!$H$7:$H$5000, 0)), "-")</f>
        <v>4</v>
      </c>
      <c r="F397" s="544">
        <v>32045593</v>
      </c>
      <c r="G397" s="544" t="s">
        <v>617</v>
      </c>
      <c r="H397" s="543" t="s">
        <v>2860</v>
      </c>
      <c r="I397" s="6" t="str">
        <f>IFERROR(INDEX(ZACATECAS!$N$7:$N$5000, MATCH($F397, ZACATECAS!$H$7:$H$5000, 0)), "-")</f>
        <v>APOYO DE MANTENIMIENTO</v>
      </c>
    </row>
    <row r="398" spans="1:9" x14ac:dyDescent="0.3">
      <c r="A398" s="543" t="s">
        <v>2857</v>
      </c>
      <c r="B398" s="543" t="s">
        <v>2858</v>
      </c>
      <c r="C398" s="543" t="s">
        <v>605</v>
      </c>
      <c r="D398" s="543" t="s">
        <v>2861</v>
      </c>
      <c r="E398" s="6">
        <f>IFERROR(INDEX(ZACATECAS!$I$7:$I$5000, MATCH(F398*1, ZACATECAS!$H$7:$H$5000, 0)), "-")</f>
        <v>4</v>
      </c>
      <c r="F398" s="544">
        <v>32045629</v>
      </c>
      <c r="G398" s="544" t="s">
        <v>619</v>
      </c>
      <c r="H398" s="543" t="s">
        <v>2860</v>
      </c>
      <c r="I398" s="6" t="str">
        <f>IFERROR(INDEX(ZACATECAS!$N$7:$N$5000, MATCH($F398, ZACATECAS!$H$7:$H$5000, 0)), "-")</f>
        <v xml:space="preserve">APOYO DE CHAMPION SEGURIDAD </v>
      </c>
    </row>
    <row r="399" spans="1:9" x14ac:dyDescent="0.3">
      <c r="A399" s="543" t="s">
        <v>2857</v>
      </c>
      <c r="B399" s="543" t="s">
        <v>2858</v>
      </c>
      <c r="C399" s="543" t="s">
        <v>605</v>
      </c>
      <c r="D399" s="543" t="s">
        <v>2861</v>
      </c>
      <c r="E399" s="6">
        <f>IFERROR(INDEX(ZACATECAS!$I$7:$I$5000, MATCH(F399*1, ZACATECAS!$H$7:$H$5000, 0)), "-")</f>
        <v>4</v>
      </c>
      <c r="F399" s="544">
        <v>32045731</v>
      </c>
      <c r="G399" s="544" t="s">
        <v>621</v>
      </c>
      <c r="H399" s="543" t="s">
        <v>2860</v>
      </c>
      <c r="I399" s="6" t="str">
        <f>IFERROR(INDEX(ZACATECAS!$N$7:$N$5000, MATCH($F399, ZACATECAS!$H$7:$H$5000, 0)), "-")</f>
        <v xml:space="preserve">APOYO DE CHAMPION DE LOGISTICA </v>
      </c>
    </row>
    <row r="400" spans="1:9" x14ac:dyDescent="0.3">
      <c r="A400" s="543" t="s">
        <v>2857</v>
      </c>
      <c r="B400" s="543" t="s">
        <v>2858</v>
      </c>
      <c r="C400" s="543" t="s">
        <v>605</v>
      </c>
      <c r="D400" s="543" t="s">
        <v>2861</v>
      </c>
      <c r="E400" s="6">
        <f>IFERROR(INDEX(ZACATECAS!$I$7:$I$5000, MATCH(F400*1, ZACATECAS!$H$7:$H$5000, 0)), "-")</f>
        <v>4</v>
      </c>
      <c r="F400" s="544">
        <v>32045754</v>
      </c>
      <c r="G400" s="544" t="s">
        <v>624</v>
      </c>
      <c r="H400" s="543" t="s">
        <v>2860</v>
      </c>
      <c r="I400" s="6" t="str">
        <f>IFERROR(INDEX(ZACATECAS!$N$7:$N$5000, MATCH($F400, ZACATECAS!$H$7:$H$5000, 0)), "-")</f>
        <v>APOYO DE CHAMPION CALIDAD</v>
      </c>
    </row>
    <row r="401" spans="1:9" x14ac:dyDescent="0.3">
      <c r="A401" s="543" t="s">
        <v>2857</v>
      </c>
      <c r="B401" s="543" t="s">
        <v>2858</v>
      </c>
      <c r="C401" s="543" t="s">
        <v>605</v>
      </c>
      <c r="D401" s="546" t="s">
        <v>2861</v>
      </c>
      <c r="E401" s="6">
        <f>IFERROR(INDEX(ZACATECAS!$I$7:$I$5000, MATCH(F401*1, ZACATECAS!$H$7:$H$5000, 0)), "-")</f>
        <v>4</v>
      </c>
      <c r="F401" s="546">
        <v>32045768</v>
      </c>
      <c r="G401" s="546" t="s">
        <v>626</v>
      </c>
      <c r="H401" s="543" t="s">
        <v>2860</v>
      </c>
      <c r="I401" s="6" t="str">
        <f>IFERROR(INDEX(ZACATECAS!$N$7:$N$5000, MATCH($F401, ZACATECAS!$H$7:$H$5000, 0)), "-")</f>
        <v xml:space="preserve">APOYO DE CHAMPION GENTE </v>
      </c>
    </row>
    <row r="402" spans="1:9" x14ac:dyDescent="0.3">
      <c r="A402" s="543" t="s">
        <v>2857</v>
      </c>
      <c r="B402" s="543" t="s">
        <v>2858</v>
      </c>
      <c r="C402" s="543" t="s">
        <v>605</v>
      </c>
      <c r="D402" s="546" t="s">
        <v>2861</v>
      </c>
      <c r="E402" s="6">
        <f>IFERROR(INDEX(ZACATECAS!$I$7:$I$5000, MATCH(F402*1, ZACATECAS!$H$7:$H$5000, 0)), "-")</f>
        <v>4</v>
      </c>
      <c r="F402" s="544">
        <v>32046135</v>
      </c>
      <c r="G402" s="544" t="s">
        <v>628</v>
      </c>
      <c r="H402" s="543" t="s">
        <v>2860</v>
      </c>
      <c r="I402" s="6" t="str">
        <f>IFERROR(INDEX(ZACATECAS!$N$7:$N$5000, MATCH($F402, ZACATECAS!$H$7:$H$5000, 0)), "-")</f>
        <v xml:space="preserve">APOYO DE CHAMPION AMBIENTAL </v>
      </c>
    </row>
    <row r="403" spans="1:9" x14ac:dyDescent="0.3">
      <c r="A403" s="543" t="s">
        <v>2857</v>
      </c>
      <c r="B403" s="543" t="s">
        <v>2858</v>
      </c>
      <c r="C403" s="543" t="s">
        <v>605</v>
      </c>
      <c r="D403" s="546" t="s">
        <v>2861</v>
      </c>
      <c r="E403" s="6">
        <f>IFERROR(INDEX(ZACATECAS!$I$7:$I$5000, MATCH(F403*1, ZACATECAS!$H$7:$H$5000, 0)), "-")</f>
        <v>4</v>
      </c>
      <c r="F403" s="544">
        <v>32046165</v>
      </c>
      <c r="G403" s="544" t="s">
        <v>633</v>
      </c>
      <c r="H403" s="543" t="s">
        <v>2860</v>
      </c>
      <c r="I403" s="6" t="str">
        <f>IFERROR(INDEX(ZACATECAS!$N$7:$N$5000, MATCH($F403, ZACATECAS!$H$7:$H$5000, 0)), "-")</f>
        <v>CHAMPION DE LOGISTICA</v>
      </c>
    </row>
    <row r="404" spans="1:9" x14ac:dyDescent="0.3">
      <c r="A404" s="543" t="s">
        <v>2857</v>
      </c>
      <c r="B404" s="543" t="s">
        <v>2858</v>
      </c>
      <c r="C404" s="543" t="s">
        <v>605</v>
      </c>
      <c r="D404" s="546" t="s">
        <v>2861</v>
      </c>
      <c r="E404" s="6">
        <f>IFERROR(INDEX(ZACATECAS!$I$7:$I$5000, MATCH(F404*1, ZACATECAS!$H$7:$H$5000, 0)), "-")</f>
        <v>4</v>
      </c>
      <c r="F404" s="544">
        <v>32046468</v>
      </c>
      <c r="G404" s="544" t="s">
        <v>635</v>
      </c>
      <c r="H404" s="543" t="s">
        <v>2860</v>
      </c>
      <c r="I404" s="6" t="str">
        <f>IFERROR(INDEX(ZACATECAS!$N$7:$N$5000, MATCH($F404, ZACATECAS!$H$7:$H$5000, 0)), "-")</f>
        <v xml:space="preserve">APOYO DE CHAMPION MANTENIMIENTO </v>
      </c>
    </row>
    <row r="405" spans="1:9" x14ac:dyDescent="0.3">
      <c r="A405" s="543" t="s">
        <v>2857</v>
      </c>
      <c r="B405" s="543" t="s">
        <v>2858</v>
      </c>
      <c r="C405" s="543" t="s">
        <v>605</v>
      </c>
      <c r="D405" s="546" t="s">
        <v>2861</v>
      </c>
      <c r="E405" s="6">
        <f>IFERROR(INDEX(ZACATECAS!$I$7:$I$5000, MATCH(F405*1, ZACATECAS!$H$7:$H$5000, 0)), "-")</f>
        <v>4</v>
      </c>
      <c r="F405" s="544">
        <v>32046511</v>
      </c>
      <c r="G405" s="544" t="s">
        <v>637</v>
      </c>
      <c r="H405" s="543" t="s">
        <v>2860</v>
      </c>
      <c r="I405" s="6" t="str">
        <f>IFERROR(INDEX(ZACATECAS!$N$7:$N$5000, MATCH($F405, ZACATECAS!$H$7:$H$5000, 0)), "-")</f>
        <v xml:space="preserve">APOYO CHAMPION DE GESTION </v>
      </c>
    </row>
    <row r="406" spans="1:9" x14ac:dyDescent="0.3">
      <c r="A406" s="543" t="s">
        <v>2857</v>
      </c>
      <c r="B406" s="543" t="s">
        <v>2858</v>
      </c>
      <c r="C406" s="543" t="s">
        <v>605</v>
      </c>
      <c r="D406" s="546" t="s">
        <v>2861</v>
      </c>
      <c r="E406" s="6">
        <f>IFERROR(INDEX(ZACATECAS!$I$7:$I$5000, MATCH(F406*1, ZACATECAS!$H$7:$H$5000, 0)), "-")</f>
        <v>4</v>
      </c>
      <c r="F406" s="544">
        <v>32063475</v>
      </c>
      <c r="G406" s="544" t="s">
        <v>638</v>
      </c>
      <c r="H406" s="543" t="s">
        <v>2860</v>
      </c>
      <c r="I406" s="6" t="str">
        <f>IFERROR(INDEX(ZACATECAS!$N$7:$N$5000, MATCH($F406, ZACATECAS!$H$7:$H$5000, 0)), "-")</f>
        <v xml:space="preserve">CHAMPION MANTENIMIENTO </v>
      </c>
    </row>
    <row r="407" spans="1:9" x14ac:dyDescent="0.3">
      <c r="A407" s="543" t="s">
        <v>2857</v>
      </c>
      <c r="B407" s="543" t="s">
        <v>2858</v>
      </c>
      <c r="C407" s="543" t="s">
        <v>435</v>
      </c>
      <c r="D407" s="546" t="s">
        <v>2861</v>
      </c>
      <c r="E407" s="6" t="str">
        <f>IFERROR(INDEX(ZACATECAS!$I$7:$I$5000, MATCH(F407*1, ZACATECAS!$H$7:$H$5000, 0)), "-")</f>
        <v>-</v>
      </c>
      <c r="F407" s="544">
        <v>32046689</v>
      </c>
      <c r="G407" s="544" t="s">
        <v>365</v>
      </c>
      <c r="H407" s="543" t="s">
        <v>2344</v>
      </c>
      <c r="I407" s="6" t="str">
        <f>IFERROR(INDEX(ZACATECAS!$N$7:$N$5000, MATCH($F407, ZACATECAS!$H$7:$H$5000, 0)), "-")</f>
        <v>-</v>
      </c>
    </row>
    <row r="408" spans="1:9" x14ac:dyDescent="0.3">
      <c r="A408" s="543" t="s">
        <v>2857</v>
      </c>
      <c r="B408" s="543" t="s">
        <v>2858</v>
      </c>
      <c r="C408" s="543" t="s">
        <v>435</v>
      </c>
      <c r="D408" s="546" t="s">
        <v>2861</v>
      </c>
      <c r="E408" s="6">
        <f>IFERROR(INDEX(ZACATECAS!$I$7:$I$5000, MATCH(F408*1, ZACATECAS!$H$7:$H$5000, 0)), "-")</f>
        <v>2</v>
      </c>
      <c r="F408" s="544">
        <v>32046406</v>
      </c>
      <c r="G408" s="544" t="s">
        <v>436</v>
      </c>
      <c r="H408" s="543" t="s">
        <v>2860</v>
      </c>
      <c r="I408" s="6" t="str">
        <f>IFERROR(INDEX(ZACATECAS!$N$7:$N$5000, MATCH($F408, ZACATECAS!$H$7:$H$5000, 0)), "-")</f>
        <v>Champion Gente</v>
      </c>
    </row>
    <row r="409" spans="1:9" x14ac:dyDescent="0.3">
      <c r="A409" s="543" t="s">
        <v>2857</v>
      </c>
      <c r="B409" s="543" t="s">
        <v>2858</v>
      </c>
      <c r="C409" s="543" t="s">
        <v>435</v>
      </c>
      <c r="D409" s="546" t="s">
        <v>2861</v>
      </c>
      <c r="E409" s="6">
        <f>IFERROR(INDEX(ZACATECAS!$I$7:$I$5000, MATCH(F409*1, ZACATECAS!$H$7:$H$5000, 0)), "-")</f>
        <v>2</v>
      </c>
      <c r="F409" s="544">
        <v>32131821</v>
      </c>
      <c r="G409" s="544" t="s">
        <v>438</v>
      </c>
      <c r="H409" s="543" t="s">
        <v>2860</v>
      </c>
      <c r="I409" s="6" t="str">
        <f>IFERROR(INDEX(ZACATECAS!$N$7:$N$5000, MATCH($F409, ZACATECAS!$H$7:$H$5000, 0)), "-")</f>
        <v>Champion Seguridad</v>
      </c>
    </row>
    <row r="410" spans="1:9" x14ac:dyDescent="0.3">
      <c r="A410" s="543" t="s">
        <v>2857</v>
      </c>
      <c r="B410" s="543" t="s">
        <v>2858</v>
      </c>
      <c r="C410" s="543" t="s">
        <v>435</v>
      </c>
      <c r="D410" s="546" t="s">
        <v>2861</v>
      </c>
      <c r="E410" s="6">
        <f>IFERROR(INDEX(ZACATECAS!$I$7:$I$5000, MATCH(F410*1, ZACATECAS!$H$7:$H$5000, 0)), "-")</f>
        <v>2</v>
      </c>
      <c r="F410" s="544">
        <v>32044448</v>
      </c>
      <c r="G410" s="544" t="s">
        <v>440</v>
      </c>
      <c r="H410" s="543" t="s">
        <v>2860</v>
      </c>
      <c r="I410" s="6" t="str">
        <f>IFERROR(INDEX(ZACATECAS!$N$7:$N$5000, MATCH($F410, ZACATECAS!$H$7:$H$5000, 0)), "-")</f>
        <v>Champion Gestión</v>
      </c>
    </row>
    <row r="411" spans="1:9" x14ac:dyDescent="0.3">
      <c r="A411" s="543" t="s">
        <v>2857</v>
      </c>
      <c r="B411" s="543" t="s">
        <v>2858</v>
      </c>
      <c r="C411" s="543" t="s">
        <v>435</v>
      </c>
      <c r="D411" s="546" t="s">
        <v>2861</v>
      </c>
      <c r="E411" s="6">
        <f>IFERROR(INDEX(ZACATECAS!$I$7:$I$5000, MATCH(F411*1, ZACATECAS!$H$7:$H$5000, 0)), "-")</f>
        <v>2</v>
      </c>
      <c r="F411" s="544">
        <v>32155897</v>
      </c>
      <c r="G411" s="544" t="s">
        <v>442</v>
      </c>
      <c r="H411" s="543" t="s">
        <v>2860</v>
      </c>
      <c r="I411" s="6" t="str">
        <f>IFERROR(INDEX(ZACATECAS!$N$7:$N$5000, MATCH($F411, ZACATECAS!$H$7:$H$5000, 0)), "-")</f>
        <v>CHAMPION MEDIO AMBIENTE</v>
      </c>
    </row>
    <row r="412" spans="1:9" x14ac:dyDescent="0.3">
      <c r="A412" s="543" t="s">
        <v>2857</v>
      </c>
      <c r="B412" s="543" t="s">
        <v>2858</v>
      </c>
      <c r="C412" s="543" t="s">
        <v>435</v>
      </c>
      <c r="D412" s="546" t="s">
        <v>2861</v>
      </c>
      <c r="E412" s="6">
        <f>IFERROR(INDEX(ZACATECAS!$I$7:$I$5000, MATCH(F412*1, ZACATECAS!$H$7:$H$5000, 0)), "-")</f>
        <v>2</v>
      </c>
      <c r="F412" s="544">
        <v>32198267</v>
      </c>
      <c r="G412" s="544" t="s">
        <v>445</v>
      </c>
      <c r="H412" s="543" t="s">
        <v>2860</v>
      </c>
      <c r="I412" s="6" t="str">
        <f>IFERROR(INDEX(ZACATECAS!$N$7:$N$5000, MATCH($F412, ZACATECAS!$H$7:$H$5000, 0)), "-")</f>
        <v>CHAMPION MANTENIMIENTO</v>
      </c>
    </row>
    <row r="413" spans="1:9" x14ac:dyDescent="0.3">
      <c r="A413" s="543" t="s">
        <v>2857</v>
      </c>
      <c r="B413" s="543" t="s">
        <v>2858</v>
      </c>
      <c r="C413" s="543" t="s">
        <v>1137</v>
      </c>
      <c r="D413" s="546" t="s">
        <v>2861</v>
      </c>
      <c r="E413" s="6" t="str">
        <f>IFERROR(INDEX(ZACATECAS!$I$7:$I$5000, MATCH(F413*1, ZACATECAS!$H$7:$H$5000, 0)), "-")</f>
        <v>-</v>
      </c>
      <c r="F413" s="544">
        <v>32231001</v>
      </c>
      <c r="G413" s="544" t="s">
        <v>1052</v>
      </c>
      <c r="H413" s="543" t="s">
        <v>2344</v>
      </c>
      <c r="I413" s="6" t="str">
        <f>IFERROR(INDEX(ZACATECAS!$N$7:$N$5000, MATCH($F413, ZACATECAS!$H$7:$H$5000, 0)), "-")</f>
        <v>-</v>
      </c>
    </row>
    <row r="414" spans="1:9" x14ac:dyDescent="0.3">
      <c r="A414" s="543" t="s">
        <v>2857</v>
      </c>
      <c r="B414" s="543" t="s">
        <v>2858</v>
      </c>
      <c r="C414" s="543" t="s">
        <v>1137</v>
      </c>
      <c r="D414" s="546" t="s">
        <v>2861</v>
      </c>
      <c r="E414" s="6">
        <f>IFERROR(INDEX(ZACATECAS!$I$7:$I$5000, MATCH(F414*1, ZACATECAS!$H$7:$H$5000, 0)), "-")</f>
        <v>11</v>
      </c>
      <c r="F414" s="544">
        <v>32044476</v>
      </c>
      <c r="G414" s="544" t="s">
        <v>1138</v>
      </c>
      <c r="H414" s="543" t="s">
        <v>2860</v>
      </c>
      <c r="I414" s="6" t="str">
        <f>IFERROR(INDEX(ZACATECAS!$N$7:$N$5000, MATCH($F414, ZACATECAS!$H$7:$H$5000, 0)), "-")</f>
        <v>APOYO GESTION</v>
      </c>
    </row>
    <row r="415" spans="1:9" x14ac:dyDescent="0.3">
      <c r="A415" s="543" t="s">
        <v>2857</v>
      </c>
      <c r="B415" s="543" t="s">
        <v>2858</v>
      </c>
      <c r="C415" s="543" t="s">
        <v>1137</v>
      </c>
      <c r="D415" s="546" t="s">
        <v>2861</v>
      </c>
      <c r="E415" s="6">
        <f>IFERROR(INDEX(ZACATECAS!$I$7:$I$5000, MATCH(F415*1, ZACATECAS!$H$7:$H$5000, 0)), "-")</f>
        <v>11</v>
      </c>
      <c r="F415" s="544">
        <v>32044522</v>
      </c>
      <c r="G415" s="544" t="s">
        <v>1140</v>
      </c>
      <c r="H415" s="543" t="s">
        <v>2860</v>
      </c>
      <c r="I415" s="6" t="str">
        <f>IFERROR(INDEX(ZACATECAS!$N$7:$N$5000, MATCH($F415, ZACATECAS!$H$7:$H$5000, 0)), "-")</f>
        <v>CHAMPION  CALIDAD</v>
      </c>
    </row>
    <row r="416" spans="1:9" x14ac:dyDescent="0.3">
      <c r="A416" s="543" t="s">
        <v>2857</v>
      </c>
      <c r="B416" s="543" t="s">
        <v>2858</v>
      </c>
      <c r="C416" s="543" t="s">
        <v>1137</v>
      </c>
      <c r="D416" s="546" t="s">
        <v>2861</v>
      </c>
      <c r="E416" s="6">
        <f>IFERROR(INDEX(ZACATECAS!$I$7:$I$5000, MATCH(F416*1, ZACATECAS!$H$7:$H$5000, 0)), "-")</f>
        <v>11</v>
      </c>
      <c r="F416" s="544">
        <v>32044641</v>
      </c>
      <c r="G416" s="544" t="s">
        <v>1142</v>
      </c>
      <c r="H416" s="543" t="s">
        <v>2860</v>
      </c>
      <c r="I416" s="6" t="str">
        <f>IFERROR(INDEX(ZACATECAS!$N$7:$N$5000, MATCH($F416, ZACATECAS!$H$7:$H$5000, 0)), "-")</f>
        <v>CHAMPION DE GESTION</v>
      </c>
    </row>
    <row r="417" spans="1:9" x14ac:dyDescent="0.3">
      <c r="A417" s="543" t="s">
        <v>2857</v>
      </c>
      <c r="B417" s="543" t="s">
        <v>2858</v>
      </c>
      <c r="C417" s="543" t="s">
        <v>1137</v>
      </c>
      <c r="D417" s="546" t="s">
        <v>2861</v>
      </c>
      <c r="E417" s="6">
        <f>IFERROR(INDEX(ZACATECAS!$I$7:$I$5000, MATCH(F417*1, ZACATECAS!$H$7:$H$5000, 0)), "-")</f>
        <v>11</v>
      </c>
      <c r="F417" s="544">
        <v>32044836</v>
      </c>
      <c r="G417" s="544" t="s">
        <v>1144</v>
      </c>
      <c r="H417" s="543" t="s">
        <v>2860</v>
      </c>
      <c r="I417" s="6" t="str">
        <f>IFERROR(INDEX(ZACATECAS!$N$7:$N$5000, MATCH($F417, ZACATECAS!$H$7:$H$5000, 0)), "-")</f>
        <v>APOYO LOGISTICA</v>
      </c>
    </row>
    <row r="418" spans="1:9" x14ac:dyDescent="0.3">
      <c r="A418" s="543" t="s">
        <v>2857</v>
      </c>
      <c r="B418" s="543" t="s">
        <v>2858</v>
      </c>
      <c r="C418" s="543" t="s">
        <v>1137</v>
      </c>
      <c r="D418" s="546" t="s">
        <v>2861</v>
      </c>
      <c r="E418" s="6">
        <f>IFERROR(INDEX(ZACATECAS!$I$7:$I$5000, MATCH(F418*1, ZACATECAS!$H$7:$H$5000, 0)), "-")</f>
        <v>11</v>
      </c>
      <c r="F418" s="544">
        <v>32057057</v>
      </c>
      <c r="G418" s="546" t="s">
        <v>1146</v>
      </c>
      <c r="H418" s="543" t="s">
        <v>2860</v>
      </c>
      <c r="I418" s="6" t="str">
        <f>IFERROR(INDEX(ZACATECAS!$N$7:$N$5000, MATCH($F418, ZACATECAS!$H$7:$H$5000, 0)), "-")</f>
        <v>CHAMPION  LOGISTICA</v>
      </c>
    </row>
    <row r="419" spans="1:9" x14ac:dyDescent="0.3">
      <c r="A419" s="543" t="s">
        <v>2857</v>
      </c>
      <c r="B419" s="543" t="s">
        <v>2858</v>
      </c>
      <c r="C419" s="543" t="s">
        <v>1137</v>
      </c>
      <c r="D419" s="546" t="s">
        <v>2861</v>
      </c>
      <c r="E419" s="6">
        <f>IFERROR(INDEX(ZACATECAS!$I$7:$I$5000, MATCH(F419*1, ZACATECAS!$H$7:$H$5000, 0)), "-")</f>
        <v>11</v>
      </c>
      <c r="F419" s="544">
        <v>32132018</v>
      </c>
      <c r="G419" s="544" t="s">
        <v>1148</v>
      </c>
      <c r="H419" s="543" t="s">
        <v>2860</v>
      </c>
      <c r="I419" s="6" t="str">
        <f>IFERROR(INDEX(ZACATECAS!$N$7:$N$5000, MATCH($F419, ZACATECAS!$H$7:$H$5000, 0)), "-")</f>
        <v>APOYO GENTE</v>
      </c>
    </row>
    <row r="420" spans="1:9" x14ac:dyDescent="0.3">
      <c r="A420" s="543" t="s">
        <v>2857</v>
      </c>
      <c r="B420" s="543" t="s">
        <v>2858</v>
      </c>
      <c r="C420" s="543" t="s">
        <v>1137</v>
      </c>
      <c r="D420" s="546" t="s">
        <v>2861</v>
      </c>
      <c r="E420" s="6">
        <f>IFERROR(INDEX(ZACATECAS!$I$7:$I$5000, MATCH(F420*1, ZACATECAS!$H$7:$H$5000, 0)), "-")</f>
        <v>11</v>
      </c>
      <c r="F420" s="544">
        <v>32132049</v>
      </c>
      <c r="G420" s="544" t="s">
        <v>1150</v>
      </c>
      <c r="H420" s="543" t="s">
        <v>2860</v>
      </c>
      <c r="I420" s="6" t="str">
        <f>IFERROR(INDEX(ZACATECAS!$N$7:$N$5000, MATCH($F420, ZACATECAS!$H$7:$H$5000, 0)), "-")</f>
        <v>CHAMPION GENTE</v>
      </c>
    </row>
    <row r="421" spans="1:9" x14ac:dyDescent="0.3">
      <c r="A421" s="543" t="s">
        <v>2857</v>
      </c>
      <c r="B421" s="543" t="s">
        <v>2858</v>
      </c>
      <c r="C421" s="543" t="s">
        <v>1137</v>
      </c>
      <c r="D421" s="546" t="s">
        <v>2861</v>
      </c>
      <c r="E421" s="6">
        <f>IFERROR(INDEX(ZACATECAS!$I$7:$I$5000, MATCH(F421*1, ZACATECAS!$H$7:$H$5000, 0)), "-")</f>
        <v>11</v>
      </c>
      <c r="F421" s="544">
        <v>32132181</v>
      </c>
      <c r="G421" s="544" t="s">
        <v>1152</v>
      </c>
      <c r="H421" s="543" t="s">
        <v>2860</v>
      </c>
      <c r="I421" s="6" t="str">
        <f>IFERROR(INDEX(ZACATECAS!$N$7:$N$5000, MATCH($F421, ZACATECAS!$H$7:$H$5000, 0)), "-")</f>
        <v>CHAMPION MANTENIMIENTO</v>
      </c>
    </row>
    <row r="422" spans="1:9" x14ac:dyDescent="0.3">
      <c r="A422" s="543" t="s">
        <v>2857</v>
      </c>
      <c r="B422" s="543" t="s">
        <v>2858</v>
      </c>
      <c r="C422" s="543" t="s">
        <v>1137</v>
      </c>
      <c r="D422" s="546" t="s">
        <v>2861</v>
      </c>
      <c r="E422" s="6">
        <f>IFERROR(INDEX(ZACATECAS!$I$7:$I$5000, MATCH(F422*1, ZACATECAS!$H$7:$H$5000, 0)), "-")</f>
        <v>11</v>
      </c>
      <c r="F422" s="544">
        <v>32132236</v>
      </c>
      <c r="G422" s="544" t="s">
        <v>1154</v>
      </c>
      <c r="H422" s="543" t="s">
        <v>2860</v>
      </c>
      <c r="I422" s="6" t="str">
        <f>IFERROR(INDEX(ZACATECAS!$N$7:$N$5000, MATCH($F422, ZACATECAS!$H$7:$H$5000, 0)), "-")</f>
        <v xml:space="preserve">CHAMPION SEGURIDAD </v>
      </c>
    </row>
    <row r="423" spans="1:9" x14ac:dyDescent="0.3">
      <c r="A423" s="543" t="s">
        <v>2857</v>
      </c>
      <c r="B423" s="543" t="s">
        <v>2858</v>
      </c>
      <c r="C423" s="543" t="s">
        <v>1799</v>
      </c>
      <c r="D423" s="546" t="s">
        <v>2869</v>
      </c>
      <c r="E423" s="6" t="str">
        <f>IFERROR(INDEX(ZACATECAS!$I$7:$I$5000, MATCH(F423*1, ZACATECAS!$H$7:$H$5000, 0)), "-")</f>
        <v>-</v>
      </c>
      <c r="F423" s="544">
        <v>32068459</v>
      </c>
      <c r="G423" s="544" t="s">
        <v>1800</v>
      </c>
      <c r="H423" s="543" t="s">
        <v>2344</v>
      </c>
      <c r="I423" s="6" t="str">
        <f>IFERROR(INDEX(ZACATECAS!$N$7:$N$5000, MATCH($F423, ZACATECAS!$H$7:$H$5000, 0)), "-")</f>
        <v>-</v>
      </c>
    </row>
    <row r="424" spans="1:9" x14ac:dyDescent="0.3">
      <c r="A424" s="543" t="s">
        <v>2857</v>
      </c>
      <c r="B424" s="543" t="s">
        <v>2858</v>
      </c>
      <c r="C424" s="543" t="s">
        <v>1799</v>
      </c>
      <c r="D424" s="546" t="s">
        <v>2869</v>
      </c>
      <c r="E424" s="6" t="str">
        <f>IFERROR(INDEX(ZACATECAS!$I$7:$I$5000, MATCH(F424*1, ZACATECAS!$H$7:$H$5000, 0)), "-")</f>
        <v>ANDENES</v>
      </c>
      <c r="F424" s="544">
        <v>32227660</v>
      </c>
      <c r="G424" s="546" t="s">
        <v>1801</v>
      </c>
      <c r="H424" s="543" t="s">
        <v>2860</v>
      </c>
      <c r="I424" s="6" t="str">
        <f>IFERROR(INDEX(ZACATECAS!$N$7:$N$5000, MATCH($F424, ZACATECAS!$H$7:$H$5000, 0)), "-")</f>
        <v>Seguridad</v>
      </c>
    </row>
    <row r="425" spans="1:9" x14ac:dyDescent="0.3">
      <c r="A425" s="543" t="s">
        <v>2857</v>
      </c>
      <c r="B425" s="543" t="s">
        <v>2858</v>
      </c>
      <c r="C425" s="543" t="s">
        <v>1799</v>
      </c>
      <c r="D425" s="546" t="s">
        <v>2869</v>
      </c>
      <c r="E425" s="6" t="str">
        <f>IFERROR(INDEX(ZACATECAS!$I$7:$I$5000, MATCH(F425*1, ZACATECAS!$H$7:$H$5000, 0)), "-")</f>
        <v>ANDENES</v>
      </c>
      <c r="F425" s="544">
        <v>32046512</v>
      </c>
      <c r="G425" s="544" t="s">
        <v>1804</v>
      </c>
      <c r="H425" s="543" t="s">
        <v>2860</v>
      </c>
      <c r="I425" s="6" t="str">
        <f>IFERROR(INDEX(ZACATECAS!$N$7:$N$5000, MATCH($F425, ZACATECAS!$H$7:$H$5000, 0)), "-")</f>
        <v>Seguridad</v>
      </c>
    </row>
    <row r="426" spans="1:9" x14ac:dyDescent="0.3">
      <c r="A426" s="543" t="s">
        <v>2857</v>
      </c>
      <c r="B426" s="543" t="s">
        <v>2858</v>
      </c>
      <c r="C426" s="543" t="s">
        <v>1799</v>
      </c>
      <c r="D426" s="546" t="s">
        <v>2869</v>
      </c>
      <c r="E426" s="6" t="str">
        <f>IFERROR(INDEX(ZACATECAS!$I$7:$I$5000, MATCH(F426*1, ZACATECAS!$H$7:$H$5000, 0)), "-")</f>
        <v>ANDENES</v>
      </c>
      <c r="F426" s="544">
        <v>32044661</v>
      </c>
      <c r="G426" s="544" t="s">
        <v>1805</v>
      </c>
      <c r="H426" s="543" t="s">
        <v>2860</v>
      </c>
      <c r="I426" s="6" t="str">
        <f>IFERROR(INDEX(ZACATECAS!$N$7:$N$5000, MATCH($F426, ZACATECAS!$H$7:$H$5000, 0)), "-")</f>
        <v>Gestión</v>
      </c>
    </row>
    <row r="427" spans="1:9" x14ac:dyDescent="0.3">
      <c r="A427" s="543" t="s">
        <v>2857</v>
      </c>
      <c r="B427" s="543" t="s">
        <v>2858</v>
      </c>
      <c r="C427" s="543" t="s">
        <v>1799</v>
      </c>
      <c r="D427" s="546" t="s">
        <v>2869</v>
      </c>
      <c r="E427" s="6" t="str">
        <f>IFERROR(INDEX(ZACATECAS!$I$7:$I$5000, MATCH(F427*1, ZACATECAS!$H$7:$H$5000, 0)), "-")</f>
        <v>ANDENES</v>
      </c>
      <c r="F427" s="544">
        <v>32043795</v>
      </c>
      <c r="G427" s="544" t="s">
        <v>1807</v>
      </c>
      <c r="H427" s="543" t="s">
        <v>2860</v>
      </c>
      <c r="I427" s="6" t="str">
        <f>IFERROR(INDEX(ZACATECAS!$N$7:$N$5000, MATCH($F427, ZACATECAS!$H$7:$H$5000, 0)), "-")</f>
        <v>Calidad</v>
      </c>
    </row>
    <row r="428" spans="1:9" x14ac:dyDescent="0.3">
      <c r="A428" s="543" t="s">
        <v>2857</v>
      </c>
      <c r="B428" s="543" t="s">
        <v>2858</v>
      </c>
      <c r="C428" s="543" t="s">
        <v>1799</v>
      </c>
      <c r="D428" s="546" t="s">
        <v>2869</v>
      </c>
      <c r="E428" s="6" t="str">
        <f>IFERROR(INDEX(ZACATECAS!$I$7:$I$5000, MATCH(F428*1, ZACATECAS!$H$7:$H$5000, 0)), "-")</f>
        <v>ANDENES</v>
      </c>
      <c r="F428" s="544">
        <v>32044555</v>
      </c>
      <c r="G428" s="544" t="s">
        <v>1809</v>
      </c>
      <c r="H428" s="543" t="s">
        <v>2860</v>
      </c>
      <c r="I428" s="6" t="str">
        <f>IFERROR(INDEX(ZACATECAS!$N$7:$N$5000, MATCH($F428, ZACATECAS!$H$7:$H$5000, 0)), "-")</f>
        <v>Mantenimiento</v>
      </c>
    </row>
    <row r="429" spans="1:9" x14ac:dyDescent="0.3">
      <c r="A429" s="543" t="s">
        <v>2857</v>
      </c>
      <c r="B429" s="543" t="s">
        <v>2858</v>
      </c>
      <c r="C429" s="543" t="s">
        <v>1799</v>
      </c>
      <c r="D429" s="546" t="s">
        <v>2869</v>
      </c>
      <c r="E429" s="6" t="str">
        <f>IFERROR(INDEX(ZACATECAS!$I$7:$I$5000, MATCH(F429*1, ZACATECAS!$H$7:$H$5000, 0)), "-")</f>
        <v>ANDENES</v>
      </c>
      <c r="F429" s="544">
        <v>32046204</v>
      </c>
      <c r="G429" s="544" t="s">
        <v>1811</v>
      </c>
      <c r="H429" s="543" t="s">
        <v>2860</v>
      </c>
      <c r="I429" s="6" t="str">
        <f>IFERROR(INDEX(ZACATECAS!$N$7:$N$5000, MATCH($F429, ZACATECAS!$H$7:$H$5000, 0)), "-")</f>
        <v>Gente</v>
      </c>
    </row>
    <row r="430" spans="1:9" x14ac:dyDescent="0.3">
      <c r="A430" s="543" t="s">
        <v>2857</v>
      </c>
      <c r="B430" s="543" t="s">
        <v>2858</v>
      </c>
      <c r="C430" s="543" t="s">
        <v>1799</v>
      </c>
      <c r="D430" s="546" t="s">
        <v>2869</v>
      </c>
      <c r="E430" s="6" t="str">
        <f>IFERROR(INDEX(ZACATECAS!$I$7:$I$5000, MATCH(F430*1, ZACATECAS!$H$7:$H$5000, 0)), "-")</f>
        <v>ANDENES</v>
      </c>
      <c r="F430" s="544">
        <v>32045696</v>
      </c>
      <c r="G430" s="544" t="s">
        <v>1812</v>
      </c>
      <c r="H430" s="543" t="s">
        <v>2860</v>
      </c>
      <c r="I430" s="6" t="str">
        <f>IFERROR(INDEX(ZACATECAS!$N$7:$N$5000, MATCH($F430, ZACATECAS!$H$7:$H$5000, 0)), "-")</f>
        <v>Ambiental</v>
      </c>
    </row>
    <row r="431" spans="1:9" x14ac:dyDescent="0.3">
      <c r="A431" s="543" t="s">
        <v>2857</v>
      </c>
      <c r="B431" s="543" t="s">
        <v>2858</v>
      </c>
      <c r="C431" s="543" t="s">
        <v>1799</v>
      </c>
      <c r="D431" s="546" t="s">
        <v>2869</v>
      </c>
      <c r="E431" s="6" t="str">
        <f>IFERROR(INDEX(ZACATECAS!$I$7:$I$5000, MATCH(F431*1, ZACATECAS!$H$7:$H$5000, 0)), "-")</f>
        <v>ANDENES</v>
      </c>
      <c r="F431" s="544">
        <v>32044138</v>
      </c>
      <c r="G431" s="544" t="s">
        <v>1814</v>
      </c>
      <c r="H431" s="543" t="s">
        <v>2860</v>
      </c>
      <c r="I431" s="6" t="str">
        <f>IFERROR(INDEX(ZACATECAS!$N$7:$N$5000, MATCH($F431, ZACATECAS!$H$7:$H$5000, 0)), "-")</f>
        <v xml:space="preserve">Gestión </v>
      </c>
    </row>
    <row r="432" spans="1:9" x14ac:dyDescent="0.3">
      <c r="A432" s="543" t="s">
        <v>2857</v>
      </c>
      <c r="B432" s="543" t="s">
        <v>2858</v>
      </c>
      <c r="C432" s="543" t="s">
        <v>1799</v>
      </c>
      <c r="D432" s="546" t="s">
        <v>2869</v>
      </c>
      <c r="E432" s="6" t="str">
        <f>IFERROR(INDEX(ZACATECAS!$I$7:$I$5000, MATCH(F432*1, ZACATECAS!$H$7:$H$5000, 0)), "-")</f>
        <v>ANDENES</v>
      </c>
      <c r="F432" s="544">
        <v>32045430</v>
      </c>
      <c r="G432" s="544" t="s">
        <v>1816</v>
      </c>
      <c r="H432" s="543" t="s">
        <v>2860</v>
      </c>
      <c r="I432" s="6" t="str">
        <f>IFERROR(INDEX(ZACATECAS!$N$7:$N$5000, MATCH($F432, ZACATECAS!$H$7:$H$5000, 0)), "-")</f>
        <v>People</v>
      </c>
    </row>
    <row r="433" spans="1:9" x14ac:dyDescent="0.3">
      <c r="A433" s="543" t="s">
        <v>2857</v>
      </c>
      <c r="B433" s="543" t="s">
        <v>2858</v>
      </c>
      <c r="C433" s="543" t="s">
        <v>2285</v>
      </c>
      <c r="D433" s="546" t="s">
        <v>2859</v>
      </c>
      <c r="E433" s="6" t="str">
        <f>IFERROR(INDEX(ZACATECAS!$I$7:$I$5000, MATCH(F433*1, ZACATECAS!$H$7:$H$5000, 0)), "-")</f>
        <v>-</v>
      </c>
      <c r="F433" s="544">
        <v>32044913</v>
      </c>
      <c r="G433" s="544" t="s">
        <v>2286</v>
      </c>
      <c r="H433" s="543" t="s">
        <v>2344</v>
      </c>
      <c r="I433" s="6" t="str">
        <f>IFERROR(INDEX(ZACATECAS!$N$7:$N$5000, MATCH($F433, ZACATECAS!$H$7:$H$5000, 0)), "-")</f>
        <v>-</v>
      </c>
    </row>
    <row r="434" spans="1:9" x14ac:dyDescent="0.3">
      <c r="A434" s="543" t="s">
        <v>2857</v>
      </c>
      <c r="B434" s="543" t="s">
        <v>2858</v>
      </c>
      <c r="C434" s="543" t="s">
        <v>2285</v>
      </c>
      <c r="D434" s="543" t="s">
        <v>2859</v>
      </c>
      <c r="E434" s="6" t="str">
        <f>IFERROR(INDEX(ZACATECAS!$I$7:$I$5000, MATCH(F434*1, ZACATECAS!$H$7:$H$5000, 0)), "-")</f>
        <v>TRATOS DE AGUA</v>
      </c>
      <c r="F434" s="546">
        <v>32044248</v>
      </c>
      <c r="G434" s="543" t="s">
        <v>2287</v>
      </c>
      <c r="H434" s="543" t="s">
        <v>2860</v>
      </c>
      <c r="I434" s="6" t="str">
        <f>IFERROR(INDEX(ZACATECAS!$N$7:$N$5000, MATCH($F434, ZACATECAS!$H$7:$H$5000, 0)), "-")</f>
        <v>CHAMPION CALIDAD</v>
      </c>
    </row>
    <row r="435" spans="1:9" x14ac:dyDescent="0.3">
      <c r="A435" s="543" t="s">
        <v>2857</v>
      </c>
      <c r="B435" s="543" t="s">
        <v>2858</v>
      </c>
      <c r="C435" s="543" t="s">
        <v>2285</v>
      </c>
      <c r="D435" s="543" t="s">
        <v>2859</v>
      </c>
      <c r="E435" s="6" t="str">
        <f>IFERROR(INDEX(ZACATECAS!$I$7:$I$5000, MATCH(F435*1, ZACATECAS!$H$7:$H$5000, 0)), "-")</f>
        <v>PCM</v>
      </c>
      <c r="F435" s="545">
        <v>32044491</v>
      </c>
      <c r="G435" s="546" t="s">
        <v>2288</v>
      </c>
      <c r="H435" s="543" t="s">
        <v>2860</v>
      </c>
      <c r="I435" s="6" t="str">
        <f>IFERROR(INDEX(ZACATECAS!$N$7:$N$5000, MATCH($F435, ZACATECAS!$H$7:$H$5000, 0)), "-")</f>
        <v>APOYO GENTE</v>
      </c>
    </row>
    <row r="436" spans="1:9" x14ac:dyDescent="0.3">
      <c r="A436" s="543" t="s">
        <v>2857</v>
      </c>
      <c r="B436" s="543" t="s">
        <v>2858</v>
      </c>
      <c r="C436" s="543" t="s">
        <v>2285</v>
      </c>
      <c r="D436" s="543" t="s">
        <v>2859</v>
      </c>
      <c r="E436" s="6" t="str">
        <f>IFERROR(INDEX(ZACATECAS!$I$7:$I$5000, MATCH(F436*1, ZACATECAS!$H$7:$H$5000, 0)), "-")</f>
        <v>PCM</v>
      </c>
      <c r="F436" s="545">
        <v>32044685</v>
      </c>
      <c r="G436" s="546" t="s">
        <v>2289</v>
      </c>
      <c r="H436" s="543" t="s">
        <v>2860</v>
      </c>
      <c r="I436" s="6" t="str">
        <f>IFERROR(INDEX(ZACATECAS!$N$7:$N$5000, MATCH($F436, ZACATECAS!$H$7:$H$5000, 0)), "-")</f>
        <v>GESTION</v>
      </c>
    </row>
    <row r="437" spans="1:9" x14ac:dyDescent="0.3">
      <c r="A437" s="543" t="s">
        <v>2857</v>
      </c>
      <c r="B437" s="543" t="s">
        <v>2858</v>
      </c>
      <c r="C437" s="543" t="s">
        <v>2285</v>
      </c>
      <c r="D437" s="543" t="s">
        <v>2859</v>
      </c>
      <c r="E437" s="6" t="str">
        <f>IFERROR(INDEX(ZACATECAS!$I$7:$I$5000, MATCH(F437*1, ZACATECAS!$H$7:$H$5000, 0)), "-")</f>
        <v>PCM</v>
      </c>
      <c r="F437" s="545">
        <v>32045217</v>
      </c>
      <c r="G437" s="546" t="s">
        <v>2290</v>
      </c>
      <c r="H437" s="543" t="s">
        <v>2860</v>
      </c>
      <c r="I437" s="6" t="str">
        <f>IFERROR(INDEX(ZACATECAS!$N$7:$N$5000, MATCH($F437, ZACATECAS!$H$7:$H$5000, 0)), "-")</f>
        <v>MEDIO AMBIENTE</v>
      </c>
    </row>
    <row r="438" spans="1:9" x14ac:dyDescent="0.3">
      <c r="A438" s="543" t="s">
        <v>2857</v>
      </c>
      <c r="B438" s="543" t="s">
        <v>2858</v>
      </c>
      <c r="C438" s="543" t="s">
        <v>2285</v>
      </c>
      <c r="D438" s="543" t="s">
        <v>2859</v>
      </c>
      <c r="E438" s="6" t="str">
        <f>IFERROR(INDEX(ZACATECAS!$I$7:$I$5000, MATCH(F438*1, ZACATECAS!$H$7:$H$5000, 0)), "-")</f>
        <v>PCM</v>
      </c>
      <c r="F438" s="545">
        <v>32045883</v>
      </c>
      <c r="G438" s="546" t="s">
        <v>2291</v>
      </c>
      <c r="H438" s="543" t="s">
        <v>2860</v>
      </c>
      <c r="I438" s="6" t="str">
        <f>IFERROR(INDEX(ZACATECAS!$N$7:$N$5000, MATCH($F438, ZACATECAS!$H$7:$H$5000, 0)), "-")</f>
        <v>SEGURIDAD</v>
      </c>
    </row>
    <row r="439" spans="1:9" x14ac:dyDescent="0.3">
      <c r="A439" s="543" t="s">
        <v>2857</v>
      </c>
      <c r="B439" s="543" t="s">
        <v>2858</v>
      </c>
      <c r="C439" s="543" t="s">
        <v>2285</v>
      </c>
      <c r="D439" s="543" t="s">
        <v>2859</v>
      </c>
      <c r="E439" s="6" t="str">
        <f>IFERROR(INDEX(ZACATECAS!$I$7:$I$5000, MATCH(F439*1, ZACATECAS!$H$7:$H$5000, 0)), "-")</f>
        <v>PCM</v>
      </c>
      <c r="F439" s="545">
        <v>32044063</v>
      </c>
      <c r="G439" s="546" t="s">
        <v>2292</v>
      </c>
      <c r="H439" s="543" t="s">
        <v>2860</v>
      </c>
      <c r="I439" s="6" t="str">
        <f>IFERROR(INDEX(ZACATECAS!$N$7:$N$5000, MATCH($F439, ZACATECAS!$H$7:$H$5000, 0)), "-")</f>
        <v>APOYO SEGURIDAD</v>
      </c>
    </row>
    <row r="440" spans="1:9" x14ac:dyDescent="0.3">
      <c r="A440" s="543" t="s">
        <v>2857</v>
      </c>
      <c r="B440" s="543" t="s">
        <v>2858</v>
      </c>
      <c r="C440" s="543" t="s">
        <v>2285</v>
      </c>
      <c r="D440" s="543" t="s">
        <v>2859</v>
      </c>
      <c r="E440" s="6" t="str">
        <f>IFERROR(INDEX(ZACATECAS!$I$7:$I$5000, MATCH(F440*1, ZACATECAS!$H$7:$H$5000, 0)), "-")</f>
        <v>PCM</v>
      </c>
      <c r="F440" s="545">
        <v>32044925</v>
      </c>
      <c r="G440" s="546" t="s">
        <v>2293</v>
      </c>
      <c r="H440" s="543" t="s">
        <v>2860</v>
      </c>
      <c r="I440" s="6" t="str">
        <f>IFERROR(INDEX(ZACATECAS!$N$7:$N$5000, MATCH($F440, ZACATECAS!$H$7:$H$5000, 0)), "-")</f>
        <v>APOYO MEDIO AMBIENTE</v>
      </c>
    </row>
    <row r="441" spans="1:9" x14ac:dyDescent="0.3">
      <c r="A441" s="543" t="s">
        <v>2857</v>
      </c>
      <c r="B441" s="543" t="s">
        <v>2858</v>
      </c>
      <c r="C441" s="543" t="s">
        <v>2285</v>
      </c>
      <c r="D441" s="543" t="s">
        <v>2859</v>
      </c>
      <c r="E441" s="6" t="str">
        <f>IFERROR(INDEX(ZACATECAS!$I$7:$I$5000, MATCH(F441*1, ZACATECAS!$H$7:$H$5000, 0)), "-")</f>
        <v>PCM</v>
      </c>
      <c r="F441" s="545">
        <v>32046050</v>
      </c>
      <c r="G441" s="546" t="s">
        <v>2294</v>
      </c>
      <c r="H441" s="543" t="s">
        <v>2860</v>
      </c>
      <c r="I441" s="6" t="str">
        <f>IFERROR(INDEX(ZACATECAS!$N$7:$N$5000, MATCH($F441, ZACATECAS!$H$7:$H$5000, 0)), "-")</f>
        <v>MANTENIMIENTO</v>
      </c>
    </row>
    <row r="442" spans="1:9" x14ac:dyDescent="0.3">
      <c r="A442" s="543" t="s">
        <v>2857</v>
      </c>
      <c r="B442" s="543" t="s">
        <v>2858</v>
      </c>
      <c r="C442" s="543" t="s">
        <v>2285</v>
      </c>
      <c r="D442" s="543" t="s">
        <v>2859</v>
      </c>
      <c r="E442" s="6" t="str">
        <f>IFERROR(INDEX(ZACATECAS!$I$7:$I$5000, MATCH(F442*1, ZACATECAS!$H$7:$H$5000, 0)), "-")</f>
        <v>PCM</v>
      </c>
      <c r="F442" s="545">
        <v>32044677</v>
      </c>
      <c r="G442" s="546" t="s">
        <v>2295</v>
      </c>
      <c r="H442" s="543" t="s">
        <v>2860</v>
      </c>
      <c r="I442" s="6" t="str">
        <f>IFERROR(INDEX(ZACATECAS!$N$7:$N$5000, MATCH($F442, ZACATECAS!$H$7:$H$5000, 0)), "-")</f>
        <v>CALIDAD</v>
      </c>
    </row>
    <row r="443" spans="1:9" x14ac:dyDescent="0.3">
      <c r="A443" s="543" t="s">
        <v>2857</v>
      </c>
      <c r="B443" s="543" t="s">
        <v>2858</v>
      </c>
      <c r="C443" s="543" t="s">
        <v>2285</v>
      </c>
      <c r="D443" s="543" t="s">
        <v>2859</v>
      </c>
      <c r="E443" s="6" t="str">
        <f>IFERROR(INDEX(ZACATECAS!$I$7:$I$5000, MATCH(F443*1, ZACATECAS!$H$7:$H$5000, 0)), "-")</f>
        <v>PCM</v>
      </c>
      <c r="F443" s="545">
        <v>32043986</v>
      </c>
      <c r="G443" s="546" t="s">
        <v>2296</v>
      </c>
      <c r="H443" s="543" t="s">
        <v>2860</v>
      </c>
      <c r="I443" s="6" t="str">
        <f>IFERROR(INDEX(ZACATECAS!$N$7:$N$5000, MATCH($F443, ZACATECAS!$H$7:$H$5000, 0)), "-")</f>
        <v>APOYO CALIDAD</v>
      </c>
    </row>
    <row r="444" spans="1:9" x14ac:dyDescent="0.3">
      <c r="A444" s="543" t="s">
        <v>2857</v>
      </c>
      <c r="B444" s="543" t="s">
        <v>2858</v>
      </c>
      <c r="C444" s="543" t="s">
        <v>2874</v>
      </c>
      <c r="D444" s="543" t="s">
        <v>2861</v>
      </c>
      <c r="E444" s="6" t="str">
        <f>IFERROR(INDEX(ZACATECAS!$I$7:$I$5000, MATCH(F444*1, ZACATECAS!$H$7:$H$5000, 0)), "-")</f>
        <v>-</v>
      </c>
      <c r="F444" s="545">
        <v>32168008</v>
      </c>
      <c r="G444" s="546" t="s">
        <v>1418</v>
      </c>
      <c r="H444" s="543" t="s">
        <v>2344</v>
      </c>
      <c r="I444" s="6" t="str">
        <f>IFERROR(INDEX(ZACATECAS!$N$7:$N$5000, MATCH($F444, ZACATECAS!$H$7:$H$5000, 0)), "-")</f>
        <v>-</v>
      </c>
    </row>
    <row r="445" spans="1:9" x14ac:dyDescent="0.3">
      <c r="A445" s="543" t="s">
        <v>2857</v>
      </c>
      <c r="B445" s="543" t="s">
        <v>2858</v>
      </c>
      <c r="C445" s="543" t="s">
        <v>2874</v>
      </c>
      <c r="D445" s="546" t="s">
        <v>2861</v>
      </c>
      <c r="E445" s="6" t="str">
        <f>IFERROR(INDEX(ZACATECAS!$I$7:$I$5000, MATCH(F445*1, ZACATECAS!$H$7:$H$5000, 0)), "-")</f>
        <v>MIXTO 1-2</v>
      </c>
      <c r="F445" s="546">
        <v>32188121</v>
      </c>
      <c r="G445" s="546" t="s">
        <v>1419</v>
      </c>
      <c r="H445" s="543" t="s">
        <v>2860</v>
      </c>
      <c r="I445" s="6" t="str">
        <f>IFERROR(INDEX(ZACATECAS!$N$7:$N$5000, MATCH($F445, ZACATECAS!$H$7:$H$5000, 0)), "-")</f>
        <v>CHAMPION DE SEGURIDAD</v>
      </c>
    </row>
    <row r="446" spans="1:9" x14ac:dyDescent="0.3">
      <c r="A446" s="543" t="s">
        <v>2857</v>
      </c>
      <c r="B446" s="543" t="s">
        <v>2858</v>
      </c>
      <c r="C446" s="543" t="s">
        <v>2874</v>
      </c>
      <c r="D446" s="546" t="s">
        <v>2861</v>
      </c>
      <c r="E446" s="6" t="str">
        <f>IFERROR(INDEX(ZACATECAS!$I$7:$I$5000, MATCH(F446*1, ZACATECAS!$H$7:$H$5000, 0)), "-")</f>
        <v>MIXTO 1-2</v>
      </c>
      <c r="F446" s="544">
        <v>32061471</v>
      </c>
      <c r="G446" s="544" t="s">
        <v>1421</v>
      </c>
      <c r="H446" s="543" t="s">
        <v>2860</v>
      </c>
      <c r="I446" s="6" t="str">
        <f>IFERROR(INDEX(ZACATECAS!$N$7:$N$5000, MATCH($F446, ZACATECAS!$H$7:$H$5000, 0)), "-")</f>
        <v>Champion Gente</v>
      </c>
    </row>
    <row r="447" spans="1:9" x14ac:dyDescent="0.3">
      <c r="A447" s="543" t="s">
        <v>2857</v>
      </c>
      <c r="B447" s="543" t="s">
        <v>2858</v>
      </c>
      <c r="C447" s="543" t="s">
        <v>2874</v>
      </c>
      <c r="D447" s="546" t="s">
        <v>2861</v>
      </c>
      <c r="E447" s="6" t="str">
        <f>IFERROR(INDEX(ZACATECAS!$I$7:$I$5000, MATCH(F447*1, ZACATECAS!$H$7:$H$5000, 0)), "-")</f>
        <v>MIXTO 1-2</v>
      </c>
      <c r="F447" s="544">
        <v>32060912</v>
      </c>
      <c r="G447" s="544" t="s">
        <v>1423</v>
      </c>
      <c r="H447" s="543" t="s">
        <v>2860</v>
      </c>
      <c r="I447" s="6" t="str">
        <f>IFERROR(INDEX(ZACATECAS!$N$7:$N$5000, MATCH($F447, ZACATECAS!$H$7:$H$5000, 0)), "-")</f>
        <v>Champion Mantenimiento</v>
      </c>
    </row>
    <row r="448" spans="1:9" x14ac:dyDescent="0.3">
      <c r="A448" s="543" t="s">
        <v>2857</v>
      </c>
      <c r="B448" s="543" t="s">
        <v>2858</v>
      </c>
      <c r="C448" s="543" t="s">
        <v>2874</v>
      </c>
      <c r="D448" s="546" t="s">
        <v>2861</v>
      </c>
      <c r="E448" s="6" t="str">
        <f>IFERROR(INDEX(ZACATECAS!$I$7:$I$5000, MATCH(F448*1, ZACATECAS!$H$7:$H$5000, 0)), "-")</f>
        <v>MIXTO 1-2</v>
      </c>
      <c r="F448" s="544">
        <v>32197846</v>
      </c>
      <c r="G448" s="544" t="s">
        <v>1425</v>
      </c>
      <c r="H448" s="543" t="s">
        <v>2860</v>
      </c>
      <c r="I448" s="6" t="str">
        <f>IFERROR(INDEX(ZACATECAS!$N$7:$N$5000, MATCH($F448, ZACATECAS!$H$7:$H$5000, 0)), "-")</f>
        <v>Apoyo Champion Ambiental</v>
      </c>
    </row>
    <row r="449" spans="1:9" x14ac:dyDescent="0.3">
      <c r="A449" s="543" t="s">
        <v>2857</v>
      </c>
      <c r="B449" s="543" t="s">
        <v>2858</v>
      </c>
      <c r="C449" s="543" t="s">
        <v>2874</v>
      </c>
      <c r="D449" s="546" t="s">
        <v>2861</v>
      </c>
      <c r="E449" s="6" t="str">
        <f>IFERROR(INDEX(ZACATECAS!$I$7:$I$5000, MATCH(F449*1, ZACATECAS!$H$7:$H$5000, 0)), "-")</f>
        <v>MIXTO 1-2</v>
      </c>
      <c r="F449" s="544">
        <v>32067355</v>
      </c>
      <c r="G449" s="544" t="s">
        <v>1427</v>
      </c>
      <c r="H449" s="543" t="s">
        <v>2860</v>
      </c>
      <c r="I449" s="6" t="str">
        <f>IFERROR(INDEX(ZACATECAS!$N$7:$N$5000, MATCH($F449, ZACATECAS!$H$7:$H$5000, 0)), "-")</f>
        <v>Champion Calidad</v>
      </c>
    </row>
    <row r="450" spans="1:9" x14ac:dyDescent="0.3">
      <c r="A450" s="543" t="s">
        <v>2857</v>
      </c>
      <c r="B450" s="543" t="s">
        <v>2858</v>
      </c>
      <c r="C450" s="543" t="s">
        <v>2874</v>
      </c>
      <c r="D450" s="546" t="s">
        <v>2861</v>
      </c>
      <c r="E450" s="6" t="str">
        <f>IFERROR(INDEX(ZACATECAS!$I$7:$I$5000, MATCH(F450*1, ZACATECAS!$H$7:$H$5000, 0)), "-")</f>
        <v>MIXTO 1-2</v>
      </c>
      <c r="F450" s="544">
        <v>32044535</v>
      </c>
      <c r="G450" s="544" t="s">
        <v>1429</v>
      </c>
      <c r="H450" s="543" t="s">
        <v>2860</v>
      </c>
      <c r="I450" s="6" t="str">
        <f>IFERROR(INDEX(ZACATECAS!$N$7:$N$5000, MATCH($F450, ZACATECAS!$H$7:$H$5000, 0)), "-")</f>
        <v>Champion Gestión</v>
      </c>
    </row>
    <row r="451" spans="1:9" x14ac:dyDescent="0.3">
      <c r="A451" s="543" t="s">
        <v>2857</v>
      </c>
      <c r="B451" s="543" t="s">
        <v>2858</v>
      </c>
      <c r="C451" s="543" t="s">
        <v>12</v>
      </c>
      <c r="D451" s="546" t="s">
        <v>2864</v>
      </c>
      <c r="E451" s="6" t="str">
        <f>IFERROR(INDEX(ZACATECAS!$I$7:$I$5000, MATCH(F451*1, ZACATECAS!$H$7:$H$5000, 0)), "-")</f>
        <v>-</v>
      </c>
      <c r="F451" s="544">
        <v>32149491</v>
      </c>
      <c r="G451" s="544" t="s">
        <v>13</v>
      </c>
      <c r="H451" s="543" t="s">
        <v>2344</v>
      </c>
      <c r="I451" s="6" t="str">
        <f>IFERROR(INDEX(ZACATECAS!$N$7:$N$5000, MATCH($F451, ZACATECAS!$H$7:$H$5000, 0)), "-")</f>
        <v>-</v>
      </c>
    </row>
    <row r="452" spans="1:9" x14ac:dyDescent="0.3">
      <c r="A452" s="543" t="s">
        <v>2857</v>
      </c>
      <c r="B452" s="543" t="s">
        <v>2858</v>
      </c>
      <c r="C452" s="543" t="s">
        <v>12</v>
      </c>
      <c r="D452" s="543" t="s">
        <v>2864</v>
      </c>
      <c r="E452" s="6" t="str">
        <f>IFERROR(INDEX(ZACATECAS!$I$7:$I$5000, MATCH(F452*1, ZACATECAS!$H$7:$H$5000, 0)), "-")</f>
        <v>LEVADURA</v>
      </c>
      <c r="F452" s="544">
        <v>32045610</v>
      </c>
      <c r="G452" s="544" t="s">
        <v>2015</v>
      </c>
      <c r="H452" s="543" t="s">
        <v>2860</v>
      </c>
      <c r="I452" s="6" t="str">
        <f>IFERROR(INDEX(ZACATECAS!$N$7:$N$5000, MATCH($F452, ZACATECAS!$H$7:$H$5000, 0)), "-")</f>
        <v>CHAMPION SEGURIDAD</v>
      </c>
    </row>
    <row r="453" spans="1:9" x14ac:dyDescent="0.3">
      <c r="A453" s="543" t="s">
        <v>2857</v>
      </c>
      <c r="B453" s="543" t="s">
        <v>2858</v>
      </c>
      <c r="C453" s="543" t="s">
        <v>12</v>
      </c>
      <c r="D453" s="543" t="s">
        <v>2864</v>
      </c>
      <c r="E453" s="6" t="str">
        <f>IFERROR(INDEX(ZACATECAS!$I$7:$I$5000, MATCH(F453*1, ZACATECAS!$H$7:$H$5000, 0)), "-")</f>
        <v>LEVADURA</v>
      </c>
      <c r="F453" s="544">
        <v>32202308</v>
      </c>
      <c r="G453" s="544" t="s">
        <v>2017</v>
      </c>
      <c r="H453" s="543" t="s">
        <v>2860</v>
      </c>
      <c r="I453" s="6" t="str">
        <f>IFERROR(INDEX(ZACATECAS!$N$7:$N$5000, MATCH($F453, ZACATECAS!$H$7:$H$5000, 0)), "-")</f>
        <v>CHAMPION MANTENIMIENTO</v>
      </c>
    </row>
    <row r="454" spans="1:9" x14ac:dyDescent="0.3">
      <c r="A454" s="543" t="s">
        <v>2857</v>
      </c>
      <c r="B454" s="543" t="s">
        <v>2858</v>
      </c>
      <c r="C454" s="543" t="s">
        <v>12</v>
      </c>
      <c r="D454" s="543" t="s">
        <v>2864</v>
      </c>
      <c r="E454" s="6" t="str">
        <f>IFERROR(INDEX(ZACATECAS!$I$7:$I$5000, MATCH(F454*1, ZACATECAS!$H$7:$H$5000, 0)), "-")</f>
        <v>LEVADURA</v>
      </c>
      <c r="F454" s="544">
        <v>32045120</v>
      </c>
      <c r="G454" s="544" t="s">
        <v>2019</v>
      </c>
      <c r="H454" s="543" t="s">
        <v>2860</v>
      </c>
      <c r="I454" s="6" t="str">
        <f>IFERROR(INDEX(ZACATECAS!$N$7:$N$5000, MATCH($F454, ZACATECAS!$H$7:$H$5000, 0)), "-")</f>
        <v>CHAMPION PEOPLE</v>
      </c>
    </row>
    <row r="455" spans="1:9" x14ac:dyDescent="0.3">
      <c r="A455" s="543" t="s">
        <v>2857</v>
      </c>
      <c r="B455" s="543" t="s">
        <v>2858</v>
      </c>
      <c r="C455" s="543" t="s">
        <v>12</v>
      </c>
      <c r="D455" s="543" t="s">
        <v>2864</v>
      </c>
      <c r="E455" s="6" t="str">
        <f>IFERROR(INDEX(ZACATECAS!$I$7:$I$5000, MATCH(F455*1, ZACATECAS!$H$7:$H$5000, 0)), "-")</f>
        <v>LEVADURA</v>
      </c>
      <c r="F455" s="544">
        <v>32045931</v>
      </c>
      <c r="G455" s="544" t="s">
        <v>2022</v>
      </c>
      <c r="H455" s="543" t="s">
        <v>2860</v>
      </c>
      <c r="I455" s="6" t="str">
        <f>IFERROR(INDEX(ZACATECAS!$N$7:$N$5000, MATCH($F455, ZACATECAS!$H$7:$H$5000, 0)), "-")</f>
        <v>CHAMPION AMBIENTAL/CALIDAD</v>
      </c>
    </row>
    <row r="456" spans="1:9" x14ac:dyDescent="0.3">
      <c r="A456" s="543" t="s">
        <v>2857</v>
      </c>
      <c r="B456" s="543" t="s">
        <v>2858</v>
      </c>
      <c r="C456" s="543" t="s">
        <v>12</v>
      </c>
      <c r="D456" s="543" t="s">
        <v>2864</v>
      </c>
      <c r="E456" s="6" t="str">
        <f>IFERROR(INDEX(ZACATECAS!$I$7:$I$5000, MATCH(F456*1, ZACATECAS!$H$7:$H$5000, 0)), "-")</f>
        <v>LEVADURA</v>
      </c>
      <c r="F456" s="544">
        <v>32044445</v>
      </c>
      <c r="G456" s="544" t="s">
        <v>2025</v>
      </c>
      <c r="H456" s="543" t="s">
        <v>2860</v>
      </c>
      <c r="I456" s="6" t="str">
        <f>IFERROR(INDEX(ZACATECAS!$N$7:$N$5000, MATCH($F456, ZACATECAS!$H$7:$H$5000, 0)), "-")</f>
        <v>CHAMPION LOGISTICA</v>
      </c>
    </row>
    <row r="457" spans="1:9" x14ac:dyDescent="0.3">
      <c r="A457" s="543" t="s">
        <v>2857</v>
      </c>
      <c r="B457" s="543" t="s">
        <v>2858</v>
      </c>
      <c r="C457" s="543" t="s">
        <v>12</v>
      </c>
      <c r="D457" s="543" t="s">
        <v>2864</v>
      </c>
      <c r="E457" s="6" t="str">
        <f>IFERROR(INDEX(ZACATECAS!$I$7:$I$5000, MATCH(F457*1, ZACATECAS!$H$7:$H$5000, 0)), "-")</f>
        <v>LEVADURA</v>
      </c>
      <c r="F457" s="544">
        <v>32045070</v>
      </c>
      <c r="G457" s="544" t="s">
        <v>2027</v>
      </c>
      <c r="H457" s="543" t="s">
        <v>2860</v>
      </c>
      <c r="I457" s="6" t="str">
        <f>IFERROR(INDEX(ZACATECAS!$N$7:$N$5000, MATCH($F457, ZACATECAS!$H$7:$H$5000, 0)), "-")</f>
        <v>CHAMPION CALIDAD</v>
      </c>
    </row>
    <row r="458" spans="1:9" x14ac:dyDescent="0.3">
      <c r="A458" s="543" t="s">
        <v>2857</v>
      </c>
      <c r="B458" s="543" t="s">
        <v>2858</v>
      </c>
      <c r="C458" s="543" t="s">
        <v>12</v>
      </c>
      <c r="D458" s="543" t="s">
        <v>2864</v>
      </c>
      <c r="E458" s="6" t="str">
        <f>IFERROR(INDEX(ZACATECAS!$I$7:$I$5000, MATCH(F458*1, ZACATECAS!$H$7:$H$5000, 0)), "-")</f>
        <v>LEVADURA</v>
      </c>
      <c r="F458" s="544">
        <v>32236750</v>
      </c>
      <c r="G458" s="544" t="s">
        <v>2029</v>
      </c>
      <c r="H458" s="543" t="s">
        <v>2860</v>
      </c>
      <c r="I458" s="6" t="str">
        <f>IFERROR(INDEX(ZACATECAS!$N$7:$N$5000, MATCH($F458, ZACATECAS!$H$7:$H$5000, 0)), "-")</f>
        <v>CHAMPION GESTION</v>
      </c>
    </row>
    <row r="459" spans="1:9" x14ac:dyDescent="0.3">
      <c r="A459" s="543" t="s">
        <v>2857</v>
      </c>
      <c r="B459" s="543" t="s">
        <v>2858</v>
      </c>
      <c r="C459" s="543" t="s">
        <v>1156</v>
      </c>
      <c r="D459" s="543" t="s">
        <v>2861</v>
      </c>
      <c r="E459" s="6" t="str">
        <f>IFERROR(INDEX(ZACATECAS!$I$7:$I$5000, MATCH(F459*1, ZACATECAS!$H$7:$H$5000, 0)), "-")</f>
        <v>-</v>
      </c>
      <c r="F459" s="544">
        <v>32096563</v>
      </c>
      <c r="G459" s="544" t="s">
        <v>1094</v>
      </c>
      <c r="H459" s="543" t="s">
        <v>2344</v>
      </c>
      <c r="I459" s="6" t="str">
        <f>IFERROR(INDEX(ZACATECAS!$N$7:$N$5000, MATCH($F459, ZACATECAS!$H$7:$H$5000, 0)), "-")</f>
        <v>-</v>
      </c>
    </row>
    <row r="460" spans="1:9" x14ac:dyDescent="0.3">
      <c r="A460" s="543" t="s">
        <v>2857</v>
      </c>
      <c r="B460" s="543" t="s">
        <v>2858</v>
      </c>
      <c r="C460" s="543" t="s">
        <v>1156</v>
      </c>
      <c r="D460" s="546" t="s">
        <v>2861</v>
      </c>
      <c r="E460" s="6">
        <f>IFERROR(INDEX(ZACATECAS!$I$7:$I$5000, MATCH(F460*1, ZACATECAS!$H$7:$H$5000, 0)), "-")</f>
        <v>11</v>
      </c>
      <c r="F460" s="546">
        <v>32044327</v>
      </c>
      <c r="G460" s="546" t="s">
        <v>1157</v>
      </c>
      <c r="H460" s="543" t="s">
        <v>2860</v>
      </c>
      <c r="I460" s="6" t="str">
        <f>IFERROR(INDEX(ZACATECAS!$N$7:$N$5000, MATCH($F460, ZACATECAS!$H$7:$H$5000, 0)), "-")</f>
        <v>CHAMPION  LOGISTICA</v>
      </c>
    </row>
    <row r="461" spans="1:9" x14ac:dyDescent="0.3">
      <c r="A461" s="543" t="s">
        <v>2857</v>
      </c>
      <c r="B461" s="543" t="s">
        <v>2858</v>
      </c>
      <c r="C461" s="543" t="s">
        <v>1156</v>
      </c>
      <c r="D461" s="546" t="s">
        <v>2861</v>
      </c>
      <c r="E461" s="6">
        <f>IFERROR(INDEX(ZACATECAS!$I$7:$I$5000, MATCH(F461*1, ZACATECAS!$H$7:$H$5000, 0)), "-")</f>
        <v>11</v>
      </c>
      <c r="F461" s="544">
        <v>32044973</v>
      </c>
      <c r="G461" s="544" t="s">
        <v>1159</v>
      </c>
      <c r="H461" s="543" t="s">
        <v>2860</v>
      </c>
      <c r="I461" s="6" t="str">
        <f>IFERROR(INDEX(ZACATECAS!$N$7:$N$5000, MATCH($F461, ZACATECAS!$H$7:$H$5000, 0)), "-")</f>
        <v>APOYO GESTION</v>
      </c>
    </row>
    <row r="462" spans="1:9" x14ac:dyDescent="0.3">
      <c r="A462" s="543" t="s">
        <v>2857</v>
      </c>
      <c r="B462" s="543" t="s">
        <v>2858</v>
      </c>
      <c r="C462" s="543" t="s">
        <v>1156</v>
      </c>
      <c r="D462" s="546" t="s">
        <v>2861</v>
      </c>
      <c r="E462" s="6">
        <f>IFERROR(INDEX(ZACATECAS!$I$7:$I$5000, MATCH(F462*1, ZACATECAS!$H$7:$H$5000, 0)), "-")</f>
        <v>11</v>
      </c>
      <c r="F462" s="544">
        <v>32045145</v>
      </c>
      <c r="G462" s="544" t="s">
        <v>1161</v>
      </c>
      <c r="H462" s="543" t="s">
        <v>2860</v>
      </c>
      <c r="I462" s="6" t="str">
        <f>IFERROR(INDEX(ZACATECAS!$N$7:$N$5000, MATCH($F462, ZACATECAS!$H$7:$H$5000, 0)), "-")</f>
        <v xml:space="preserve">CHAMPION SEGURIDAD </v>
      </c>
    </row>
    <row r="463" spans="1:9" x14ac:dyDescent="0.3">
      <c r="A463" s="543" t="s">
        <v>2857</v>
      </c>
      <c r="B463" s="543" t="s">
        <v>2858</v>
      </c>
      <c r="C463" s="543" t="s">
        <v>1156</v>
      </c>
      <c r="D463" s="546" t="s">
        <v>2861</v>
      </c>
      <c r="E463" s="6">
        <f>IFERROR(INDEX(ZACATECAS!$I$7:$I$5000, MATCH(F463*1, ZACATECAS!$H$7:$H$5000, 0)), "-")</f>
        <v>11</v>
      </c>
      <c r="F463" s="544">
        <v>32045611</v>
      </c>
      <c r="G463" s="544" t="s">
        <v>1163</v>
      </c>
      <c r="H463" s="543" t="s">
        <v>2860</v>
      </c>
      <c r="I463" s="6" t="str">
        <f>IFERROR(INDEX(ZACATECAS!$N$7:$N$5000, MATCH($F463, ZACATECAS!$H$7:$H$5000, 0)), "-")</f>
        <v>APOYO SEGURIDAD</v>
      </c>
    </row>
    <row r="464" spans="1:9" x14ac:dyDescent="0.3">
      <c r="A464" s="543" t="s">
        <v>2857</v>
      </c>
      <c r="B464" s="543" t="s">
        <v>2858</v>
      </c>
      <c r="C464" s="543" t="s">
        <v>1156</v>
      </c>
      <c r="D464" s="546" t="s">
        <v>2861</v>
      </c>
      <c r="E464" s="6">
        <f>IFERROR(INDEX(ZACATECAS!$I$7:$I$5000, MATCH(F464*1, ZACATECAS!$H$7:$H$5000, 0)), "-")</f>
        <v>11</v>
      </c>
      <c r="F464" s="544">
        <v>32045813</v>
      </c>
      <c r="G464" s="544" t="s">
        <v>1165</v>
      </c>
      <c r="H464" s="543" t="s">
        <v>2860</v>
      </c>
      <c r="I464" s="6" t="str">
        <f>IFERROR(INDEX(ZACATECAS!$N$7:$N$5000, MATCH($F464, ZACATECAS!$H$7:$H$5000, 0)), "-")</f>
        <v>CHAMPION GENTE</v>
      </c>
    </row>
    <row r="465" spans="1:9" x14ac:dyDescent="0.3">
      <c r="A465" s="543" t="s">
        <v>2857</v>
      </c>
      <c r="B465" s="543" t="s">
        <v>2858</v>
      </c>
      <c r="C465" s="543" t="s">
        <v>1156</v>
      </c>
      <c r="D465" s="546" t="s">
        <v>2861</v>
      </c>
      <c r="E465" s="6">
        <f>IFERROR(INDEX(ZACATECAS!$I$7:$I$5000, MATCH(F465*1, ZACATECAS!$H$7:$H$5000, 0)), "-")</f>
        <v>11</v>
      </c>
      <c r="F465" s="544">
        <v>32155922</v>
      </c>
      <c r="G465" s="544" t="s">
        <v>1167</v>
      </c>
      <c r="H465" s="543" t="s">
        <v>2860</v>
      </c>
      <c r="I465" s="6" t="str">
        <f>IFERROR(INDEX(ZACATECAS!$N$7:$N$5000, MATCH($F465, ZACATECAS!$H$7:$H$5000, 0)), "-")</f>
        <v>CHAMPION MANTENIMIENTO</v>
      </c>
    </row>
    <row r="466" spans="1:9" x14ac:dyDescent="0.3">
      <c r="A466" s="543" t="s">
        <v>2857</v>
      </c>
      <c r="B466" s="543" t="s">
        <v>2858</v>
      </c>
      <c r="C466" s="543" t="s">
        <v>1156</v>
      </c>
      <c r="D466" s="546" t="s">
        <v>2861</v>
      </c>
      <c r="E466" s="6">
        <f>IFERROR(INDEX(ZACATECAS!$I$7:$I$5000, MATCH(F466*1, ZACATECAS!$H$7:$H$5000, 0)), "-")</f>
        <v>11</v>
      </c>
      <c r="F466" s="544">
        <v>32067361</v>
      </c>
      <c r="G466" s="544" t="s">
        <v>1169</v>
      </c>
      <c r="H466" s="543" t="s">
        <v>2860</v>
      </c>
      <c r="I466" s="6" t="str">
        <f>IFERROR(INDEX(ZACATECAS!$N$7:$N$5000, MATCH($F466, ZACATECAS!$H$7:$H$5000, 0)), "-")</f>
        <v>CHAMPION DE GESTION</v>
      </c>
    </row>
    <row r="467" spans="1:9" x14ac:dyDescent="0.3">
      <c r="A467" s="543" t="s">
        <v>2857</v>
      </c>
      <c r="B467" s="543" t="s">
        <v>2858</v>
      </c>
      <c r="C467" s="543" t="s">
        <v>673</v>
      </c>
      <c r="D467" s="546" t="s">
        <v>2861</v>
      </c>
      <c r="E467" s="6" t="str">
        <f>IFERROR(INDEX(ZACATECAS!$I$7:$I$5000, MATCH(F467*1, ZACATECAS!$H$7:$H$5000, 0)), "-")</f>
        <v>-</v>
      </c>
      <c r="F467" s="544">
        <v>32148105</v>
      </c>
      <c r="G467" s="544" t="s">
        <v>515</v>
      </c>
      <c r="H467" s="543" t="s">
        <v>2344</v>
      </c>
      <c r="I467" s="6" t="str">
        <f>IFERROR(INDEX(ZACATECAS!$N$7:$N$5000, MATCH($F467, ZACATECAS!$H$7:$H$5000, 0)), "-")</f>
        <v>-</v>
      </c>
    </row>
    <row r="468" spans="1:9" x14ac:dyDescent="0.3">
      <c r="A468" s="543" t="s">
        <v>2857</v>
      </c>
      <c r="B468" s="543" t="s">
        <v>2858</v>
      </c>
      <c r="C468" s="543" t="s">
        <v>673</v>
      </c>
      <c r="D468" s="546" t="s">
        <v>2861</v>
      </c>
      <c r="E468" s="6">
        <f>IFERROR(INDEX(ZACATECAS!$I$7:$I$5000, MATCH(F468*1, ZACATECAS!$H$7:$H$5000, 0)), "-")</f>
        <v>5</v>
      </c>
      <c r="F468" s="544">
        <v>32199797</v>
      </c>
      <c r="G468" s="544" t="s">
        <v>674</v>
      </c>
      <c r="H468" s="543" t="s">
        <v>2860</v>
      </c>
      <c r="I468" s="6" t="str">
        <f>IFERROR(INDEX(ZACATECAS!$N$7:$N$5000, MATCH($F468, ZACATECAS!$H$7:$H$5000, 0)), "-")</f>
        <v>Apoyo a Seguridad</v>
      </c>
    </row>
    <row r="469" spans="1:9" x14ac:dyDescent="0.3">
      <c r="A469" s="543" t="s">
        <v>2857</v>
      </c>
      <c r="B469" s="543" t="s">
        <v>2858</v>
      </c>
      <c r="C469" s="543" t="s">
        <v>673</v>
      </c>
      <c r="D469" s="546" t="s">
        <v>2861</v>
      </c>
      <c r="E469" s="6" t="str">
        <f>IFERROR(INDEX(ZACATECAS!$I$7:$I$5000, MATCH(F469*1, ZACATECAS!$H$7:$H$5000, 0)), "-")</f>
        <v>-</v>
      </c>
      <c r="F469" s="544">
        <v>32148105</v>
      </c>
      <c r="G469" s="544" t="s">
        <v>515</v>
      </c>
      <c r="H469" s="543" t="s">
        <v>2344</v>
      </c>
      <c r="I469" s="6" t="str">
        <f>IFERROR(INDEX(ZACATECAS!$N$7:$N$5000, MATCH($F469, ZACATECAS!$H$7:$H$5000, 0)), "-")</f>
        <v>-</v>
      </c>
    </row>
    <row r="470" spans="1:9" x14ac:dyDescent="0.3">
      <c r="A470" s="543" t="s">
        <v>2857</v>
      </c>
      <c r="B470" s="543" t="s">
        <v>2858</v>
      </c>
      <c r="C470" s="543" t="s">
        <v>673</v>
      </c>
      <c r="D470" s="546" t="s">
        <v>2861</v>
      </c>
      <c r="E470" s="6">
        <f>IFERROR(INDEX(ZACATECAS!$I$7:$I$5000, MATCH(F470*1, ZACATECAS!$H$7:$H$5000, 0)), "-")</f>
        <v>5</v>
      </c>
      <c r="F470" s="544">
        <v>32044086</v>
      </c>
      <c r="G470" s="544" t="s">
        <v>678</v>
      </c>
      <c r="H470" s="543" t="s">
        <v>2860</v>
      </c>
      <c r="I470" s="6" t="str">
        <f>IFERROR(INDEX(ZACATECAS!$N$7:$N$5000, MATCH($F470, ZACATECAS!$H$7:$H$5000, 0)), "-")</f>
        <v xml:space="preserve">CHAMPION DE GENTE </v>
      </c>
    </row>
    <row r="471" spans="1:9" x14ac:dyDescent="0.3">
      <c r="A471" s="543" t="s">
        <v>2857</v>
      </c>
      <c r="B471" s="543" t="s">
        <v>2858</v>
      </c>
      <c r="C471" s="543" t="s">
        <v>673</v>
      </c>
      <c r="D471" s="546" t="s">
        <v>2861</v>
      </c>
      <c r="E471" s="6">
        <f>IFERROR(INDEX(ZACATECAS!$I$7:$I$5000, MATCH(F471*1, ZACATECAS!$H$7:$H$5000, 0)), "-")</f>
        <v>5</v>
      </c>
      <c r="F471" s="544">
        <v>32044307</v>
      </c>
      <c r="G471" s="544" t="s">
        <v>680</v>
      </c>
      <c r="H471" s="543" t="s">
        <v>2860</v>
      </c>
      <c r="I471" s="6" t="str">
        <f>IFERROR(INDEX(ZACATECAS!$N$7:$N$5000, MATCH($F471, ZACATECAS!$H$7:$H$5000, 0)), "-")</f>
        <v xml:space="preserve">CHAMPION GESTION </v>
      </c>
    </row>
    <row r="472" spans="1:9" x14ac:dyDescent="0.3">
      <c r="A472" s="543" t="s">
        <v>2857</v>
      </c>
      <c r="B472" s="543" t="s">
        <v>2858</v>
      </c>
      <c r="C472" s="543" t="s">
        <v>673</v>
      </c>
      <c r="D472" s="546" t="s">
        <v>2861</v>
      </c>
      <c r="E472" s="6">
        <f>IFERROR(INDEX(ZACATECAS!$I$7:$I$5000, MATCH(F472*1, ZACATECAS!$H$7:$H$5000, 0)), "-")</f>
        <v>5</v>
      </c>
      <c r="F472" s="544">
        <v>32044464</v>
      </c>
      <c r="G472" s="544" t="s">
        <v>682</v>
      </c>
      <c r="H472" s="543" t="s">
        <v>2860</v>
      </c>
      <c r="I472" s="6" t="str">
        <f>IFERROR(INDEX(ZACATECAS!$N$7:$N$5000, MATCH($F472, ZACATECAS!$H$7:$H$5000, 0)), "-")</f>
        <v xml:space="preserve">CHAMPION DE CALIDAD </v>
      </c>
    </row>
    <row r="473" spans="1:9" x14ac:dyDescent="0.3">
      <c r="A473" s="543" t="s">
        <v>2857</v>
      </c>
      <c r="B473" s="543" t="s">
        <v>2858</v>
      </c>
      <c r="C473" s="543" t="s">
        <v>673</v>
      </c>
      <c r="D473" s="546" t="s">
        <v>2861</v>
      </c>
      <c r="E473" s="6">
        <f>IFERROR(INDEX(ZACATECAS!$I$7:$I$5000, MATCH(F473*1, ZACATECAS!$H$7:$H$5000, 0)), "-")</f>
        <v>5</v>
      </c>
      <c r="F473" s="544">
        <v>32045397</v>
      </c>
      <c r="G473" s="544" t="s">
        <v>685</v>
      </c>
      <c r="H473" s="543" t="s">
        <v>2860</v>
      </c>
      <c r="I473" s="6" t="str">
        <f>IFERROR(INDEX(ZACATECAS!$N$7:$N$5000, MATCH($F473, ZACATECAS!$H$7:$H$5000, 0)), "-")</f>
        <v>CHAMPION DE LOGISTICA</v>
      </c>
    </row>
    <row r="474" spans="1:9" x14ac:dyDescent="0.3">
      <c r="A474" s="543" t="s">
        <v>2857</v>
      </c>
      <c r="B474" s="543" t="s">
        <v>2858</v>
      </c>
      <c r="C474" s="543" t="s">
        <v>673</v>
      </c>
      <c r="D474" s="546" t="s">
        <v>2861</v>
      </c>
      <c r="E474" s="6">
        <f>IFERROR(INDEX(ZACATECAS!$I$7:$I$5000, MATCH(F474*1, ZACATECAS!$H$7:$H$5000, 0)), "-")</f>
        <v>5</v>
      </c>
      <c r="F474" s="544">
        <v>32045652</v>
      </c>
      <c r="G474" s="544" t="s">
        <v>687</v>
      </c>
      <c r="H474" s="543" t="s">
        <v>2860</v>
      </c>
      <c r="I474" s="6" t="str">
        <f>IFERROR(INDEX(ZACATECAS!$N$7:$N$5000, MATCH($F474, ZACATECAS!$H$7:$H$5000, 0)), "-")</f>
        <v>CHAMPION AMBIENTAL</v>
      </c>
    </row>
    <row r="475" spans="1:9" x14ac:dyDescent="0.3">
      <c r="A475" s="543" t="s">
        <v>2857</v>
      </c>
      <c r="B475" s="543" t="s">
        <v>2858</v>
      </c>
      <c r="C475" s="543" t="s">
        <v>673</v>
      </c>
      <c r="D475" s="546" t="s">
        <v>2861</v>
      </c>
      <c r="E475" s="6">
        <f>IFERROR(INDEX(ZACATECAS!$I$7:$I$5000, MATCH(F475*1, ZACATECAS!$H$7:$H$5000, 0)), "-")</f>
        <v>5</v>
      </c>
      <c r="F475" s="544">
        <v>32046143</v>
      </c>
      <c r="G475" s="544" t="s">
        <v>689</v>
      </c>
      <c r="H475" s="543" t="s">
        <v>2860</v>
      </c>
      <c r="I475" s="6" t="str">
        <f>IFERROR(INDEX(ZACATECAS!$N$7:$N$5000, MATCH($F475, ZACATECAS!$H$7:$H$5000, 0)), "-")</f>
        <v xml:space="preserve">CHAMPION CALIDAD </v>
      </c>
    </row>
    <row r="476" spans="1:9" x14ac:dyDescent="0.3">
      <c r="A476" s="543" t="s">
        <v>2857</v>
      </c>
      <c r="B476" s="543" t="s">
        <v>2858</v>
      </c>
      <c r="C476" s="543" t="s">
        <v>673</v>
      </c>
      <c r="D476" s="546" t="s">
        <v>2861</v>
      </c>
      <c r="E476" s="6">
        <f>IFERROR(INDEX(ZACATECAS!$I$7:$I$5000, MATCH(F476*1, ZACATECAS!$H$7:$H$5000, 0)), "-")</f>
        <v>5</v>
      </c>
      <c r="F476" s="544">
        <v>32046178</v>
      </c>
      <c r="G476" s="544" t="s">
        <v>691</v>
      </c>
      <c r="H476" s="543" t="s">
        <v>2860</v>
      </c>
      <c r="I476" s="6" t="str">
        <f>IFERROR(INDEX(ZACATECAS!$N$7:$N$5000, MATCH($F476, ZACATECAS!$H$7:$H$5000, 0)), "-")</f>
        <v xml:space="preserve">APOYO LOGISTICA </v>
      </c>
    </row>
    <row r="477" spans="1:9" x14ac:dyDescent="0.3">
      <c r="A477" s="543" t="s">
        <v>2857</v>
      </c>
      <c r="B477" s="543" t="s">
        <v>2858</v>
      </c>
      <c r="C477" s="543" t="s">
        <v>673</v>
      </c>
      <c r="D477" s="546" t="s">
        <v>2861</v>
      </c>
      <c r="E477" s="6">
        <f>IFERROR(INDEX(ZACATECAS!$I$7:$I$5000, MATCH(F477*1, ZACATECAS!$H$7:$H$5000, 0)), "-")</f>
        <v>5</v>
      </c>
      <c r="F477" s="544">
        <v>32067738</v>
      </c>
      <c r="G477" s="544" t="s">
        <v>694</v>
      </c>
      <c r="H477" s="543" t="s">
        <v>2860</v>
      </c>
      <c r="I477" s="6" t="str">
        <f>IFERROR(INDEX(ZACATECAS!$N$7:$N$5000, MATCH($F477, ZACATECAS!$H$7:$H$5000, 0)), "-")</f>
        <v xml:space="preserve">APOYO DE CHAMPION DE LOGISTICA </v>
      </c>
    </row>
    <row r="478" spans="1:9" x14ac:dyDescent="0.3">
      <c r="A478" s="543" t="s">
        <v>2857</v>
      </c>
      <c r="B478" s="543" t="s">
        <v>2858</v>
      </c>
      <c r="C478" s="543" t="s">
        <v>673</v>
      </c>
      <c r="D478" s="546" t="s">
        <v>2861</v>
      </c>
      <c r="E478" s="6">
        <f>IFERROR(INDEX(ZACATECAS!$I$7:$I$5000, MATCH(F478*1, ZACATECAS!$H$7:$H$5000, 0)), "-")</f>
        <v>5</v>
      </c>
      <c r="F478" s="544">
        <v>32132022</v>
      </c>
      <c r="G478" s="544" t="s">
        <v>696</v>
      </c>
      <c r="H478" s="543" t="s">
        <v>2860</v>
      </c>
      <c r="I478" s="6" t="str">
        <f>IFERROR(INDEX(ZACATECAS!$N$7:$N$5000, MATCH($F478, ZACATECAS!$H$7:$H$5000, 0)), "-")</f>
        <v xml:space="preserve">APOYO DE CHAMPION GENTE </v>
      </c>
    </row>
    <row r="479" spans="1:9" x14ac:dyDescent="0.3">
      <c r="A479" s="543" t="s">
        <v>2857</v>
      </c>
      <c r="B479" s="543" t="s">
        <v>2858</v>
      </c>
      <c r="C479" s="543" t="s">
        <v>673</v>
      </c>
      <c r="D479" s="546" t="s">
        <v>2861</v>
      </c>
      <c r="E479" s="6">
        <f>IFERROR(INDEX(ZACATECAS!$I$7:$I$5000, MATCH(F479*1, ZACATECAS!$H$7:$H$5000, 0)), "-")</f>
        <v>5</v>
      </c>
      <c r="F479" s="544">
        <v>32139709</v>
      </c>
      <c r="G479" s="544" t="s">
        <v>698</v>
      </c>
      <c r="H479" s="543" t="s">
        <v>2860</v>
      </c>
      <c r="I479" s="6" t="str">
        <f>IFERROR(INDEX(ZACATECAS!$N$7:$N$5000, MATCH($F479, ZACATECAS!$H$7:$H$5000, 0)), "-")</f>
        <v xml:space="preserve">CHAMPION MANTENIMIENTO </v>
      </c>
    </row>
    <row r="480" spans="1:9" x14ac:dyDescent="0.3">
      <c r="A480" s="543" t="s">
        <v>2857</v>
      </c>
      <c r="B480" s="543" t="s">
        <v>2858</v>
      </c>
      <c r="C480" s="543" t="s">
        <v>673</v>
      </c>
      <c r="D480" s="546" t="s">
        <v>2861</v>
      </c>
      <c r="E480" s="6">
        <f>IFERROR(INDEX(ZACATECAS!$I$7:$I$5000, MATCH(F480*1, ZACATECAS!$H$7:$H$5000, 0)), "-")</f>
        <v>5</v>
      </c>
      <c r="F480" s="544">
        <v>32145464</v>
      </c>
      <c r="G480" s="544" t="s">
        <v>700</v>
      </c>
      <c r="H480" s="543" t="s">
        <v>2860</v>
      </c>
      <c r="I480" s="6" t="str">
        <f>IFERROR(INDEX(ZACATECAS!$N$7:$N$5000, MATCH($F480, ZACATECAS!$H$7:$H$5000, 0)), "-")</f>
        <v xml:space="preserve">APOYO DE CHAMPION SEGURIDAD </v>
      </c>
    </row>
    <row r="481" spans="1:9" x14ac:dyDescent="0.3">
      <c r="A481" s="543" t="s">
        <v>2857</v>
      </c>
      <c r="B481" s="543" t="s">
        <v>2858</v>
      </c>
      <c r="C481" s="543" t="s">
        <v>673</v>
      </c>
      <c r="D481" s="546" t="s">
        <v>2861</v>
      </c>
      <c r="E481" s="6">
        <f>IFERROR(INDEX(ZACATECAS!$I$7:$I$5000, MATCH(F481*1, ZACATECAS!$H$7:$H$5000, 0)), "-")</f>
        <v>5</v>
      </c>
      <c r="F481" s="544">
        <v>32150519</v>
      </c>
      <c r="G481" s="544" t="s">
        <v>702</v>
      </c>
      <c r="H481" s="543" t="s">
        <v>2860</v>
      </c>
      <c r="I481" s="6" t="str">
        <f>IFERROR(INDEX(ZACATECAS!$N$7:$N$5000, MATCH($F481, ZACATECAS!$H$7:$H$5000, 0)), "-")</f>
        <v xml:space="preserve">APOYO CHAMPION DE GESTION </v>
      </c>
    </row>
    <row r="482" spans="1:9" x14ac:dyDescent="0.3">
      <c r="A482" s="543" t="s">
        <v>2857</v>
      </c>
      <c r="B482" s="543" t="s">
        <v>2858</v>
      </c>
      <c r="C482" s="543" t="s">
        <v>673</v>
      </c>
      <c r="D482" s="546" t="s">
        <v>2861</v>
      </c>
      <c r="E482" s="6">
        <f>IFERROR(INDEX(ZACATECAS!$I$7:$I$5000, MATCH(F482*1, ZACATECAS!$H$7:$H$5000, 0)), "-")</f>
        <v>5</v>
      </c>
      <c r="F482" s="544">
        <v>32186049</v>
      </c>
      <c r="G482" s="544" t="s">
        <v>704</v>
      </c>
      <c r="H482" s="543" t="s">
        <v>2860</v>
      </c>
      <c r="I482" s="6" t="str">
        <f>IFERROR(INDEX(ZACATECAS!$N$7:$N$5000, MATCH($F482, ZACATECAS!$H$7:$H$5000, 0)), "-")</f>
        <v>APOYO LOGISTICA</v>
      </c>
    </row>
    <row r="483" spans="1:9" x14ac:dyDescent="0.3">
      <c r="A483" s="543" t="s">
        <v>2857</v>
      </c>
      <c r="B483" s="543" t="s">
        <v>2858</v>
      </c>
      <c r="C483" s="543" t="s">
        <v>673</v>
      </c>
      <c r="D483" s="546" t="s">
        <v>2861</v>
      </c>
      <c r="E483" s="6">
        <f>IFERROR(INDEX(ZACATECAS!$I$7:$I$5000, MATCH(F483*1, ZACATECAS!$H$7:$H$5000, 0)), "-")</f>
        <v>5</v>
      </c>
      <c r="F483" s="544">
        <v>32198273</v>
      </c>
      <c r="G483" s="544" t="s">
        <v>706</v>
      </c>
      <c r="H483" s="543" t="s">
        <v>2860</v>
      </c>
      <c r="I483" s="6" t="str">
        <f>IFERROR(INDEX(ZACATECAS!$N$7:$N$5000, MATCH($F483, ZACATECAS!$H$7:$H$5000, 0)), "-")</f>
        <v xml:space="preserve">APOYO DE CHAMPION AMBIENTAL </v>
      </c>
    </row>
    <row r="484" spans="1:9" x14ac:dyDescent="0.3">
      <c r="A484" s="543" t="s">
        <v>2857</v>
      </c>
      <c r="B484" s="543" t="s">
        <v>2858</v>
      </c>
      <c r="C484" s="543" t="s">
        <v>494</v>
      </c>
      <c r="D484" s="546" t="s">
        <v>2861</v>
      </c>
      <c r="E484" s="6" t="str">
        <f>IFERROR(INDEX(ZACATECAS!$I$7:$I$5000, MATCH(F484*1, ZACATECAS!$H$7:$H$5000, 0)), "-")</f>
        <v>-</v>
      </c>
      <c r="F484" s="544">
        <v>32149965</v>
      </c>
      <c r="G484" s="544" t="s">
        <v>495</v>
      </c>
      <c r="H484" s="543" t="s">
        <v>2344</v>
      </c>
      <c r="I484" s="6" t="str">
        <f>IFERROR(INDEX(ZACATECAS!$N$7:$N$5000, MATCH($F484, ZACATECAS!$H$7:$H$5000, 0)), "-")</f>
        <v>-</v>
      </c>
    </row>
    <row r="485" spans="1:9" x14ac:dyDescent="0.3">
      <c r="A485" s="543" t="s">
        <v>2857</v>
      </c>
      <c r="B485" s="543" t="s">
        <v>2858</v>
      </c>
      <c r="C485" s="543" t="s">
        <v>494</v>
      </c>
      <c r="D485" s="546" t="s">
        <v>2861</v>
      </c>
      <c r="E485" s="6">
        <f>IFERROR(INDEX(ZACATECAS!$I$7:$I$5000, MATCH(F485*1, ZACATECAS!$H$7:$H$5000, 0)), "-")</f>
        <v>3</v>
      </c>
      <c r="F485" s="544">
        <v>32043938</v>
      </c>
      <c r="G485" s="544" t="s">
        <v>497</v>
      </c>
      <c r="H485" s="543" t="s">
        <v>2860</v>
      </c>
      <c r="I485" s="6" t="str">
        <f>IFERROR(INDEX(ZACATECAS!$N$7:$N$5000, MATCH($F485, ZACATECAS!$H$7:$H$5000, 0)), "-")</f>
        <v>CHAMPION GESTIÓN</v>
      </c>
    </row>
    <row r="486" spans="1:9" x14ac:dyDescent="0.3">
      <c r="A486" s="543" t="s">
        <v>2857</v>
      </c>
      <c r="B486" s="543" t="s">
        <v>2858</v>
      </c>
      <c r="C486" s="543" t="s">
        <v>494</v>
      </c>
      <c r="D486" s="546" t="s">
        <v>2861</v>
      </c>
      <c r="E486" s="6">
        <f>IFERROR(INDEX(ZACATECAS!$I$7:$I$5000, MATCH(F486*1, ZACATECAS!$H$7:$H$5000, 0)), "-")</f>
        <v>3</v>
      </c>
      <c r="F486" s="544">
        <v>32198302</v>
      </c>
      <c r="G486" s="544" t="s">
        <v>500</v>
      </c>
      <c r="H486" s="543" t="s">
        <v>2860</v>
      </c>
      <c r="I486" s="6" t="str">
        <f>IFERROR(INDEX(ZACATECAS!$N$7:$N$5000, MATCH($F486, ZACATECAS!$H$7:$H$5000, 0)), "-")</f>
        <v>CHAMPION CALIDAD</v>
      </c>
    </row>
    <row r="487" spans="1:9" x14ac:dyDescent="0.3">
      <c r="A487" s="543" t="s">
        <v>2857</v>
      </c>
      <c r="B487" s="543" t="s">
        <v>2858</v>
      </c>
      <c r="C487" s="543" t="s">
        <v>494</v>
      </c>
      <c r="D487" s="546" t="s">
        <v>2861</v>
      </c>
      <c r="E487" s="6">
        <f>IFERROR(INDEX(ZACATECAS!$I$7:$I$5000, MATCH(F487*1, ZACATECAS!$H$7:$H$5000, 0)), "-")</f>
        <v>3</v>
      </c>
      <c r="F487" s="544">
        <v>32198296</v>
      </c>
      <c r="G487" s="544" t="s">
        <v>502</v>
      </c>
      <c r="H487" s="543" t="s">
        <v>2860</v>
      </c>
      <c r="I487" s="6" t="str">
        <f>IFERROR(INDEX(ZACATECAS!$N$7:$N$5000, MATCH($F487, ZACATECAS!$H$7:$H$5000, 0)), "-")</f>
        <v>CHAMPION LOGISTICA</v>
      </c>
    </row>
    <row r="488" spans="1:9" x14ac:dyDescent="0.3">
      <c r="A488" s="543" t="s">
        <v>2857</v>
      </c>
      <c r="B488" s="543" t="s">
        <v>2858</v>
      </c>
      <c r="C488" s="543" t="s">
        <v>494</v>
      </c>
      <c r="D488" s="546" t="s">
        <v>2861</v>
      </c>
      <c r="E488" s="6">
        <f>IFERROR(INDEX(ZACATECAS!$I$7:$I$5000, MATCH(F488*1, ZACATECAS!$H$7:$H$5000, 0)), "-")</f>
        <v>3</v>
      </c>
      <c r="F488" s="544">
        <v>32198290</v>
      </c>
      <c r="G488" s="544" t="s">
        <v>504</v>
      </c>
      <c r="H488" s="543" t="s">
        <v>2860</v>
      </c>
      <c r="I488" s="6" t="str">
        <f>IFERROR(INDEX(ZACATECAS!$N$7:$N$5000, MATCH($F488, ZACATECAS!$H$7:$H$5000, 0)), "-")</f>
        <v>CHAMPION SEGURIDAD</v>
      </c>
    </row>
    <row r="489" spans="1:9" x14ac:dyDescent="0.3">
      <c r="A489" s="543" t="s">
        <v>2857</v>
      </c>
      <c r="B489" s="543" t="s">
        <v>2858</v>
      </c>
      <c r="C489" s="543" t="s">
        <v>494</v>
      </c>
      <c r="D489" s="546" t="s">
        <v>2861</v>
      </c>
      <c r="E489" s="6">
        <f>IFERROR(INDEX(ZACATECAS!$I$7:$I$5000, MATCH(F489*1, ZACATECAS!$H$7:$H$5000, 0)), "-")</f>
        <v>3</v>
      </c>
      <c r="F489" s="544">
        <v>32044283</v>
      </c>
      <c r="G489" s="544" t="s">
        <v>506</v>
      </c>
      <c r="H489" s="543" t="s">
        <v>2860</v>
      </c>
      <c r="I489" s="6" t="str">
        <f>IFERROR(INDEX(ZACATECAS!$N$7:$N$5000, MATCH($F489, ZACATECAS!$H$7:$H$5000, 0)), "-")</f>
        <v>CHAMPION AMBIENTAL</v>
      </c>
    </row>
    <row r="490" spans="1:9" x14ac:dyDescent="0.3">
      <c r="A490" s="543" t="s">
        <v>2857</v>
      </c>
      <c r="B490" s="543" t="s">
        <v>2858</v>
      </c>
      <c r="C490" s="543" t="s">
        <v>494</v>
      </c>
      <c r="D490" s="546" t="s">
        <v>2861</v>
      </c>
      <c r="E490" s="6">
        <f>IFERROR(INDEX(ZACATECAS!$I$7:$I$5000, MATCH(F490*1, ZACATECAS!$H$7:$H$5000, 0)), "-")</f>
        <v>3</v>
      </c>
      <c r="F490" s="544">
        <v>32045054</v>
      </c>
      <c r="G490" s="544" t="s">
        <v>507</v>
      </c>
      <c r="H490" s="543" t="s">
        <v>2860</v>
      </c>
      <c r="I490" s="6" t="str">
        <f>IFERROR(INDEX(ZACATECAS!$N$7:$N$5000, MATCH($F490, ZACATECAS!$H$7:$H$5000, 0)), "-")</f>
        <v>CHAMPION GENTE</v>
      </c>
    </row>
    <row r="491" spans="1:9" x14ac:dyDescent="0.3">
      <c r="A491" s="543" t="s">
        <v>2857</v>
      </c>
      <c r="B491" s="543" t="s">
        <v>2858</v>
      </c>
      <c r="C491" s="543" t="s">
        <v>494</v>
      </c>
      <c r="D491" s="546" t="s">
        <v>2861</v>
      </c>
      <c r="E491" s="6">
        <f>IFERROR(INDEX(ZACATECAS!$I$7:$I$5000, MATCH(F491*1, ZACATECAS!$H$7:$H$5000, 0)), "-")</f>
        <v>3</v>
      </c>
      <c r="F491" s="544">
        <v>32150512</v>
      </c>
      <c r="G491" s="544" t="s">
        <v>509</v>
      </c>
      <c r="H491" s="543" t="s">
        <v>2860</v>
      </c>
      <c r="I491" s="6" t="str">
        <f>IFERROR(INDEX(ZACATECAS!$N$7:$N$5000, MATCH($F491, ZACATECAS!$H$7:$H$5000, 0)), "-")</f>
        <v>APOYO SEGURIDAD</v>
      </c>
    </row>
    <row r="492" spans="1:9" x14ac:dyDescent="0.3">
      <c r="A492" s="543" t="s">
        <v>2857</v>
      </c>
      <c r="B492" s="543" t="s">
        <v>2858</v>
      </c>
      <c r="C492" s="543" t="s">
        <v>494</v>
      </c>
      <c r="D492" s="546" t="s">
        <v>2861</v>
      </c>
      <c r="E492" s="6">
        <f>IFERROR(INDEX(ZACATECAS!$I$7:$I$5000, MATCH(F492*1, ZACATECAS!$H$7:$H$5000, 0)), "-")</f>
        <v>3</v>
      </c>
      <c r="F492" s="544">
        <v>32044951</v>
      </c>
      <c r="G492" s="544" t="s">
        <v>512</v>
      </c>
      <c r="H492" s="543" t="s">
        <v>2860</v>
      </c>
      <c r="I492" s="6" t="str">
        <f>IFERROR(INDEX(ZACATECAS!$N$7:$N$5000, MATCH($F492, ZACATECAS!$H$7:$H$5000, 0)), "-")</f>
        <v>CHAMPION MANTENIMIENTO</v>
      </c>
    </row>
    <row r="493" spans="1:9" x14ac:dyDescent="0.3">
      <c r="A493" s="543" t="s">
        <v>2857</v>
      </c>
      <c r="B493" s="543" t="s">
        <v>2858</v>
      </c>
      <c r="C493" s="543" t="s">
        <v>30</v>
      </c>
      <c r="D493" s="546" t="s">
        <v>2865</v>
      </c>
      <c r="E493" s="6" t="str">
        <f>IFERROR(INDEX(ZACATECAS!$I$7:$I$5000, MATCH(F493*1, ZACATECAS!$H$7:$H$5000, 0)), "-")</f>
        <v>-</v>
      </c>
      <c r="F493" s="544">
        <v>32146684</v>
      </c>
      <c r="G493" s="544" t="s">
        <v>31</v>
      </c>
      <c r="H493" s="543" t="s">
        <v>2344</v>
      </c>
      <c r="I493" s="6" t="str">
        <f>IFERROR(INDEX(ZACATECAS!$N$7:$N$5000, MATCH($F493, ZACATECAS!$H$7:$H$5000, 0)), "-")</f>
        <v>-</v>
      </c>
    </row>
    <row r="494" spans="1:9" x14ac:dyDescent="0.3">
      <c r="A494" s="543" t="s">
        <v>2857</v>
      </c>
      <c r="B494" s="543" t="s">
        <v>2858</v>
      </c>
      <c r="C494" s="543" t="s">
        <v>30</v>
      </c>
      <c r="D494" s="546" t="s">
        <v>2865</v>
      </c>
      <c r="E494" s="6" t="str">
        <f>IFERROR(INDEX(ZACATECAS!$I$7:$I$5000, MATCH(F494*1, ZACATECAS!$H$7:$H$5000, 0)), "-")</f>
        <v>Filtros-Gobierno</v>
      </c>
      <c r="F494" s="544">
        <v>32045134</v>
      </c>
      <c r="G494" s="544" t="s">
        <v>33</v>
      </c>
      <c r="H494" s="543" t="s">
        <v>2860</v>
      </c>
      <c r="I494" s="6" t="str">
        <f>IFERROR(INDEX(ZACATECAS!$N$7:$N$5000, MATCH($F494, ZACATECAS!$H$7:$H$5000, 0)), "-")</f>
        <v>MANTENIMIENTO</v>
      </c>
    </row>
    <row r="495" spans="1:9" x14ac:dyDescent="0.3">
      <c r="A495" s="543" t="s">
        <v>2857</v>
      </c>
      <c r="B495" s="543" t="s">
        <v>2858</v>
      </c>
      <c r="C495" s="543" t="s">
        <v>30</v>
      </c>
      <c r="D495" s="546" t="s">
        <v>2865</v>
      </c>
      <c r="E495" s="6" t="str">
        <f>IFERROR(INDEX(ZACATECAS!$I$7:$I$5000, MATCH(F495*1, ZACATECAS!$H$7:$H$5000, 0)), "-")</f>
        <v>Filtros-Gobierno</v>
      </c>
      <c r="F495" s="544">
        <v>32149605</v>
      </c>
      <c r="G495" s="544" t="s">
        <v>36</v>
      </c>
      <c r="H495" s="543" t="s">
        <v>2860</v>
      </c>
      <c r="I495" s="6" t="str">
        <f>IFERROR(INDEX(ZACATECAS!$N$7:$N$5000, MATCH($F495, ZACATECAS!$H$7:$H$5000, 0)), "-")</f>
        <v>AMBIENTAL</v>
      </c>
    </row>
    <row r="496" spans="1:9" x14ac:dyDescent="0.3">
      <c r="A496" s="543" t="s">
        <v>2857</v>
      </c>
      <c r="B496" s="543" t="s">
        <v>2858</v>
      </c>
      <c r="C496" s="543" t="s">
        <v>30</v>
      </c>
      <c r="D496" s="546" t="s">
        <v>2865</v>
      </c>
      <c r="E496" s="6" t="str">
        <f>IFERROR(INDEX(ZACATECAS!$I$7:$I$5000, MATCH(F496*1, ZACATECAS!$H$7:$H$5000, 0)), "-")</f>
        <v>Filtros-Gobierno</v>
      </c>
      <c r="F496" s="544">
        <v>32157221</v>
      </c>
      <c r="G496" s="544" t="s">
        <v>39</v>
      </c>
      <c r="H496" s="543" t="s">
        <v>2860</v>
      </c>
      <c r="I496" s="6" t="str">
        <f>IFERROR(INDEX(ZACATECAS!$N$7:$N$5000, MATCH($F496, ZACATECAS!$H$7:$H$5000, 0)), "-")</f>
        <v>GENTE</v>
      </c>
    </row>
    <row r="497" spans="1:9" x14ac:dyDescent="0.3">
      <c r="A497" s="543" t="s">
        <v>2857</v>
      </c>
      <c r="B497" s="543" t="s">
        <v>2858</v>
      </c>
      <c r="C497" s="543" t="s">
        <v>30</v>
      </c>
      <c r="D497" s="546" t="s">
        <v>2865</v>
      </c>
      <c r="E497" s="6" t="str">
        <f>IFERROR(INDEX(ZACATECAS!$I$7:$I$5000, MATCH(F497*1, ZACATECAS!$H$7:$H$5000, 0)), "-")</f>
        <v>Filtros-Gobierno</v>
      </c>
      <c r="F497" s="544">
        <v>32045128</v>
      </c>
      <c r="G497" s="544" t="s">
        <v>42</v>
      </c>
      <c r="H497" s="543" t="s">
        <v>2860</v>
      </c>
      <c r="I497" s="6" t="str">
        <f>IFERROR(INDEX(ZACATECAS!$N$7:$N$5000, MATCH($F497, ZACATECAS!$H$7:$H$5000, 0)), "-")</f>
        <v>SEGURIDAD</v>
      </c>
    </row>
    <row r="498" spans="1:9" x14ac:dyDescent="0.3">
      <c r="A498" s="543" t="s">
        <v>2857</v>
      </c>
      <c r="B498" s="543" t="s">
        <v>2858</v>
      </c>
      <c r="C498" s="543" t="s">
        <v>30</v>
      </c>
      <c r="D498" s="546" t="s">
        <v>2865</v>
      </c>
      <c r="E498" s="6" t="str">
        <f>IFERROR(INDEX(ZACATECAS!$I$7:$I$5000, MATCH(F498*1, ZACATECAS!$H$7:$H$5000, 0)), "-")</f>
        <v>Filtros-Gobierno</v>
      </c>
      <c r="F498" s="544">
        <v>32188009</v>
      </c>
      <c r="G498" s="544" t="s">
        <v>45</v>
      </c>
      <c r="H498" s="543" t="s">
        <v>2860</v>
      </c>
      <c r="I498" s="6" t="str">
        <f>IFERROR(INDEX(ZACATECAS!$N$7:$N$5000, MATCH($F498, ZACATECAS!$H$7:$H$5000, 0)), "-")</f>
        <v>CALIDAD</v>
      </c>
    </row>
    <row r="499" spans="1:9" x14ac:dyDescent="0.3">
      <c r="A499" s="543" t="s">
        <v>2857</v>
      </c>
      <c r="B499" s="543" t="s">
        <v>2858</v>
      </c>
      <c r="C499" s="543" t="s">
        <v>49</v>
      </c>
      <c r="D499" s="546" t="s">
        <v>2865</v>
      </c>
      <c r="E499" s="6" t="str">
        <f>IFERROR(INDEX(ZACATECAS!$I$7:$I$5000, MATCH(F499*1, ZACATECAS!$H$7:$H$5000, 0)), "-")</f>
        <v>-</v>
      </c>
      <c r="F499" s="544">
        <v>32186665</v>
      </c>
      <c r="G499" s="544" t="s">
        <v>50</v>
      </c>
      <c r="H499" s="543" t="s">
        <v>2344</v>
      </c>
      <c r="I499" s="6" t="str">
        <f>IFERROR(INDEX(ZACATECAS!$N$7:$N$5000, MATCH($F499, ZACATECAS!$H$7:$H$5000, 0)), "-")</f>
        <v>-</v>
      </c>
    </row>
    <row r="500" spans="1:9" x14ac:dyDescent="0.3">
      <c r="A500" s="543" t="s">
        <v>2857</v>
      </c>
      <c r="B500" s="543" t="s">
        <v>2858</v>
      </c>
      <c r="C500" s="543" t="s">
        <v>49</v>
      </c>
      <c r="D500" s="543" t="s">
        <v>2865</v>
      </c>
      <c r="E500" s="6" t="str">
        <f>IFERROR(INDEX(ZACATECAS!$I$7:$I$5000, MATCH(F500*1, ZACATECAS!$H$7:$H$5000, 0)), "-")</f>
        <v>Mixto</v>
      </c>
      <c r="F500" s="546">
        <v>32222224</v>
      </c>
      <c r="G500" s="546" t="s">
        <v>52</v>
      </c>
      <c r="H500" s="543" t="s">
        <v>2860</v>
      </c>
      <c r="I500" s="6" t="str">
        <f>IFERROR(INDEX(ZACATECAS!$N$7:$N$5000, MATCH($F500, ZACATECAS!$H$7:$H$5000, 0)), "-")</f>
        <v>GENTE</v>
      </c>
    </row>
    <row r="501" spans="1:9" x14ac:dyDescent="0.3">
      <c r="A501" s="543" t="s">
        <v>2857</v>
      </c>
      <c r="B501" s="543" t="s">
        <v>2858</v>
      </c>
      <c r="C501" s="543" t="s">
        <v>49</v>
      </c>
      <c r="D501" s="543" t="s">
        <v>2865</v>
      </c>
      <c r="E501" s="6" t="str">
        <f>IFERROR(INDEX(ZACATECAS!$I$7:$I$5000, MATCH(F501*1, ZACATECAS!$H$7:$H$5000, 0)), "-")</f>
        <v>Mixto</v>
      </c>
      <c r="F501" s="544">
        <v>32149238</v>
      </c>
      <c r="G501" s="544" t="s">
        <v>54</v>
      </c>
      <c r="H501" s="543" t="s">
        <v>2860</v>
      </c>
      <c r="I501" s="6" t="str">
        <f>IFERROR(INDEX(ZACATECAS!$N$7:$N$5000, MATCH($F501, ZACATECAS!$H$7:$H$5000, 0)), "-")</f>
        <v>LOGISTICA</v>
      </c>
    </row>
    <row r="502" spans="1:9" x14ac:dyDescent="0.3">
      <c r="A502" s="543" t="s">
        <v>2857</v>
      </c>
      <c r="B502" s="543" t="s">
        <v>2858</v>
      </c>
      <c r="C502" s="543" t="s">
        <v>49</v>
      </c>
      <c r="D502" s="543" t="s">
        <v>2865</v>
      </c>
      <c r="E502" s="6" t="str">
        <f>IFERROR(INDEX(ZACATECAS!$I$7:$I$5000, MATCH(F502*1, ZACATECAS!$H$7:$H$5000, 0)), "-")</f>
        <v>Mixto</v>
      </c>
      <c r="F502" s="544">
        <v>32209921</v>
      </c>
      <c r="G502" s="544" t="s">
        <v>57</v>
      </c>
      <c r="H502" s="543" t="s">
        <v>2860</v>
      </c>
      <c r="I502" s="6" t="str">
        <f>IFERROR(INDEX(ZACATECAS!$N$7:$N$5000, MATCH($F502, ZACATECAS!$H$7:$H$5000, 0)), "-")</f>
        <v>AMBIENTAL</v>
      </c>
    </row>
    <row r="503" spans="1:9" x14ac:dyDescent="0.3">
      <c r="A503" s="543" t="s">
        <v>2857</v>
      </c>
      <c r="B503" s="543" t="s">
        <v>2858</v>
      </c>
      <c r="C503" s="543" t="s">
        <v>49</v>
      </c>
      <c r="D503" s="543" t="s">
        <v>2865</v>
      </c>
      <c r="E503" s="6" t="str">
        <f>IFERROR(INDEX(ZACATECAS!$I$7:$I$5000, MATCH(F503*1, ZACATECAS!$H$7:$H$5000, 0)), "-")</f>
        <v>Mixto</v>
      </c>
      <c r="F503" s="544">
        <v>32188117</v>
      </c>
      <c r="G503" s="544" t="s">
        <v>60</v>
      </c>
      <c r="H503" s="543" t="s">
        <v>2860</v>
      </c>
      <c r="I503" s="6" t="str">
        <f>IFERROR(INDEX(ZACATECAS!$N$7:$N$5000, MATCH($F503, ZACATECAS!$H$7:$H$5000, 0)), "-")</f>
        <v>GESTIÓN</v>
      </c>
    </row>
    <row r="504" spans="1:9" x14ac:dyDescent="0.3">
      <c r="A504" s="543" t="s">
        <v>2857</v>
      </c>
      <c r="B504" s="543" t="s">
        <v>2858</v>
      </c>
      <c r="C504" s="543" t="s">
        <v>49</v>
      </c>
      <c r="D504" s="543" t="s">
        <v>2865</v>
      </c>
      <c r="E504" s="6" t="str">
        <f>IFERROR(INDEX(ZACATECAS!$I$7:$I$5000, MATCH(F504*1, ZACATECAS!$H$7:$H$5000, 0)), "-")</f>
        <v>Mixto</v>
      </c>
      <c r="F504" s="544">
        <v>32197835</v>
      </c>
      <c r="G504" s="544" t="s">
        <v>63</v>
      </c>
      <c r="H504" s="543" t="s">
        <v>2860</v>
      </c>
      <c r="I504" s="6" t="str">
        <f>IFERROR(INDEX(ZACATECAS!$N$7:$N$5000, MATCH($F504, ZACATECAS!$H$7:$H$5000, 0)), "-")</f>
        <v>MANTENIMIENTO</v>
      </c>
    </row>
    <row r="505" spans="1:9" x14ac:dyDescent="0.3">
      <c r="A505" s="543" t="s">
        <v>2857</v>
      </c>
      <c r="B505" s="543" t="s">
        <v>2858</v>
      </c>
      <c r="C505" s="543" t="s">
        <v>49</v>
      </c>
      <c r="D505" s="543" t="s">
        <v>2865</v>
      </c>
      <c r="E505" s="6" t="str">
        <f>IFERROR(INDEX(ZACATECAS!$I$7:$I$5000, MATCH(F505*1, ZACATECAS!$H$7:$H$5000, 0)), "-")</f>
        <v>Mixto</v>
      </c>
      <c r="F505" s="544">
        <v>32197833</v>
      </c>
      <c r="G505" s="544" t="s">
        <v>65</v>
      </c>
      <c r="H505" s="543" t="s">
        <v>2860</v>
      </c>
      <c r="I505" s="6" t="str">
        <f>IFERROR(INDEX(ZACATECAS!$N$7:$N$5000, MATCH($F505, ZACATECAS!$H$7:$H$5000, 0)), "-")</f>
        <v>CALIDAD</v>
      </c>
    </row>
    <row r="506" spans="1:9" x14ac:dyDescent="0.3">
      <c r="A506" s="543" t="s">
        <v>2857</v>
      </c>
      <c r="B506" s="543" t="s">
        <v>2858</v>
      </c>
      <c r="C506" s="543" t="s">
        <v>67</v>
      </c>
      <c r="D506" s="543" t="s">
        <v>2865</v>
      </c>
      <c r="E506" s="6" t="str">
        <f>IFERROR(INDEX(ZACATECAS!$I$7:$I$5000, MATCH(F506*1, ZACATECAS!$H$7:$H$5000, 0)), "-")</f>
        <v>-</v>
      </c>
      <c r="F506" s="546">
        <v>32045174</v>
      </c>
      <c r="G506" s="546" t="s">
        <v>68</v>
      </c>
      <c r="H506" s="543" t="s">
        <v>2344</v>
      </c>
      <c r="I506" s="6" t="str">
        <f>IFERROR(INDEX(ZACATECAS!$N$7:$N$5000, MATCH($F506, ZACATECAS!$H$7:$H$5000, 0)), "-")</f>
        <v>-</v>
      </c>
    </row>
    <row r="507" spans="1:9" x14ac:dyDescent="0.3">
      <c r="A507" s="543" t="s">
        <v>2857</v>
      </c>
      <c r="B507" s="543" t="s">
        <v>2858</v>
      </c>
      <c r="C507" s="543" t="s">
        <v>67</v>
      </c>
      <c r="D507" s="543" t="s">
        <v>2865</v>
      </c>
      <c r="E507" s="6" t="str">
        <f>IFERROR(INDEX(ZACATECAS!$I$7:$I$5000, MATCH(F507*1, ZACATECAS!$H$7:$H$5000, 0)), "-")</f>
        <v>Filtros-Gobierno</v>
      </c>
      <c r="F507" s="544">
        <v>32043886</v>
      </c>
      <c r="G507" s="544" t="s">
        <v>70</v>
      </c>
      <c r="H507" s="543" t="s">
        <v>2860</v>
      </c>
      <c r="I507" s="6" t="str">
        <f>IFERROR(INDEX(ZACATECAS!$N$7:$N$5000, MATCH($F507, ZACATECAS!$H$7:$H$5000, 0)), "-")</f>
        <v xml:space="preserve">GESTIÓN </v>
      </c>
    </row>
    <row r="508" spans="1:9" x14ac:dyDescent="0.3">
      <c r="A508" s="543" t="s">
        <v>2857</v>
      </c>
      <c r="B508" s="543" t="s">
        <v>2858</v>
      </c>
      <c r="C508" s="543" t="s">
        <v>67</v>
      </c>
      <c r="D508" s="543" t="s">
        <v>2865</v>
      </c>
      <c r="E508" s="6" t="str">
        <f>IFERROR(INDEX(ZACATECAS!$I$7:$I$5000, MATCH(F508*1, ZACATECAS!$H$7:$H$5000, 0)), "-")</f>
        <v>Filtros-Gobierno</v>
      </c>
      <c r="F508" s="544">
        <v>32209922</v>
      </c>
      <c r="G508" s="544" t="s">
        <v>73</v>
      </c>
      <c r="H508" s="543" t="s">
        <v>2860</v>
      </c>
      <c r="I508" s="6" t="str">
        <f>IFERROR(INDEX(ZACATECAS!$N$7:$N$5000, MATCH($F508, ZACATECAS!$H$7:$H$5000, 0)), "-")</f>
        <v>MANTENIMIENTO</v>
      </c>
    </row>
    <row r="509" spans="1:9" x14ac:dyDescent="0.3">
      <c r="A509" s="543" t="s">
        <v>2857</v>
      </c>
      <c r="B509" s="543" t="s">
        <v>2858</v>
      </c>
      <c r="C509" s="543" t="s">
        <v>67</v>
      </c>
      <c r="D509" s="543" t="s">
        <v>2865</v>
      </c>
      <c r="E509" s="6" t="str">
        <f>IFERROR(INDEX(ZACATECAS!$I$7:$I$5000, MATCH(F509*1, ZACATECAS!$H$7:$H$5000, 0)), "-")</f>
        <v>Filtros-Gobierno</v>
      </c>
      <c r="F509" s="544">
        <v>32173446</v>
      </c>
      <c r="G509" s="544" t="s">
        <v>75</v>
      </c>
      <c r="H509" s="543" t="s">
        <v>2860</v>
      </c>
      <c r="I509" s="6" t="str">
        <f>IFERROR(INDEX(ZACATECAS!$N$7:$N$5000, MATCH($F509, ZACATECAS!$H$7:$H$5000, 0)), "-")</f>
        <v>CALIDAD</v>
      </c>
    </row>
    <row r="510" spans="1:9" x14ac:dyDescent="0.3">
      <c r="A510" s="543" t="s">
        <v>2857</v>
      </c>
      <c r="B510" s="543" t="s">
        <v>2858</v>
      </c>
      <c r="C510" s="543" t="s">
        <v>67</v>
      </c>
      <c r="D510" s="543" t="s">
        <v>2865</v>
      </c>
      <c r="E510" s="6" t="str">
        <f>IFERROR(INDEX(ZACATECAS!$I$7:$I$5000, MATCH(F510*1, ZACATECAS!$H$7:$H$5000, 0)), "-")</f>
        <v>Filtros-Gobierno</v>
      </c>
      <c r="F510" s="544">
        <v>32149607</v>
      </c>
      <c r="G510" s="544" t="s">
        <v>77</v>
      </c>
      <c r="H510" s="543" t="s">
        <v>2860</v>
      </c>
      <c r="I510" s="6" t="str">
        <f>IFERROR(INDEX(ZACATECAS!$N$7:$N$5000, MATCH($F510, ZACATECAS!$H$7:$H$5000, 0)), "-")</f>
        <v>SEGURIDAD</v>
      </c>
    </row>
    <row r="511" spans="1:9" x14ac:dyDescent="0.3">
      <c r="A511" s="543" t="s">
        <v>2857</v>
      </c>
      <c r="B511" s="543" t="s">
        <v>2858</v>
      </c>
      <c r="C511" s="543" t="s">
        <v>67</v>
      </c>
      <c r="D511" s="543" t="s">
        <v>2865</v>
      </c>
      <c r="E511" s="6" t="str">
        <f>IFERROR(INDEX(ZACATECAS!$I$7:$I$5000, MATCH(F511*1, ZACATECAS!$H$7:$H$5000, 0)), "-")</f>
        <v>Filtros-Gobierno</v>
      </c>
      <c r="F511" s="544">
        <v>32045076</v>
      </c>
      <c r="G511" s="544" t="s">
        <v>79</v>
      </c>
      <c r="H511" s="543" t="s">
        <v>2860</v>
      </c>
      <c r="I511" s="6" t="str">
        <f>IFERROR(INDEX(ZACATECAS!$N$7:$N$5000, MATCH($F511, ZACATECAS!$H$7:$H$5000, 0)), "-")</f>
        <v>AMBIENTAL</v>
      </c>
    </row>
    <row r="512" spans="1:9" x14ac:dyDescent="0.3">
      <c r="A512" s="543" t="s">
        <v>2857</v>
      </c>
      <c r="B512" s="543" t="s">
        <v>2858</v>
      </c>
      <c r="C512" s="543" t="s">
        <v>67</v>
      </c>
      <c r="D512" s="543" t="s">
        <v>2865</v>
      </c>
      <c r="E512" s="6" t="str">
        <f>IFERROR(INDEX(ZACATECAS!$I$7:$I$5000, MATCH(F512*1, ZACATECAS!$H$7:$H$5000, 0)), "-")</f>
        <v>Filtros-Gobierno</v>
      </c>
      <c r="F512" s="544">
        <v>32222222</v>
      </c>
      <c r="G512" s="544" t="s">
        <v>81</v>
      </c>
      <c r="H512" s="543" t="s">
        <v>2860</v>
      </c>
      <c r="I512" s="6" t="str">
        <f>IFERROR(INDEX(ZACATECAS!$N$7:$N$5000, MATCH($F512, ZACATECAS!$H$7:$H$5000, 0)), "-")</f>
        <v>GENTE</v>
      </c>
    </row>
    <row r="513" spans="1:9" x14ac:dyDescent="0.3">
      <c r="A513" s="543" t="s">
        <v>2857</v>
      </c>
      <c r="B513" s="543" t="s">
        <v>2858</v>
      </c>
      <c r="C513" s="543" t="s">
        <v>743</v>
      </c>
      <c r="D513" s="543" t="s">
        <v>2861</v>
      </c>
      <c r="E513" s="6" t="str">
        <f>IFERROR(INDEX(ZACATECAS!$I$7:$I$5000, MATCH(F513*1, ZACATECAS!$H$7:$H$5000, 0)), "-")</f>
        <v>-</v>
      </c>
      <c r="F513" s="544">
        <v>32045977</v>
      </c>
      <c r="G513" s="544" t="s">
        <v>744</v>
      </c>
      <c r="H513" s="543" t="s">
        <v>2344</v>
      </c>
      <c r="I513" s="6" t="str">
        <f>IFERROR(INDEX(ZACATECAS!$N$7:$N$5000, MATCH($F513, ZACATECAS!$H$7:$H$5000, 0)), "-")</f>
        <v>-</v>
      </c>
    </row>
    <row r="514" spans="1:9" x14ac:dyDescent="0.3">
      <c r="A514" s="543" t="s">
        <v>2857</v>
      </c>
      <c r="B514" s="543" t="s">
        <v>2858</v>
      </c>
      <c r="C514" s="543" t="s">
        <v>743</v>
      </c>
      <c r="D514" s="543" t="s">
        <v>2861</v>
      </c>
      <c r="E514" s="6">
        <f>IFERROR(INDEX(ZACATECAS!$I$7:$I$5000, MATCH(F514*1, ZACATECAS!$H$7:$H$5000, 0)), "-")</f>
        <v>6</v>
      </c>
      <c r="F514" s="544">
        <v>32045310</v>
      </c>
      <c r="G514" s="544" t="s">
        <v>746</v>
      </c>
      <c r="H514" s="543" t="s">
        <v>2860</v>
      </c>
      <c r="I514" s="6" t="str">
        <f>IFERROR(INDEX(ZACATECAS!$N$7:$N$5000, MATCH($F514, ZACATECAS!$H$7:$H$5000, 0)), "-")</f>
        <v>APOYO DE CALIDAD</v>
      </c>
    </row>
    <row r="515" spans="1:9" x14ac:dyDescent="0.3">
      <c r="A515" s="543" t="s">
        <v>2857</v>
      </c>
      <c r="B515" s="543" t="s">
        <v>2858</v>
      </c>
      <c r="C515" s="543" t="s">
        <v>743</v>
      </c>
      <c r="D515" s="543" t="s">
        <v>2861</v>
      </c>
      <c r="E515" s="6">
        <f>IFERROR(INDEX(ZACATECAS!$I$7:$I$5000, MATCH(F515*1, ZACATECAS!$H$7:$H$5000, 0)), "-")</f>
        <v>6</v>
      </c>
      <c r="F515" s="544">
        <v>32045775</v>
      </c>
      <c r="G515" s="544" t="s">
        <v>749</v>
      </c>
      <c r="H515" s="543" t="s">
        <v>2860</v>
      </c>
      <c r="I515" s="6" t="str">
        <f>IFERROR(INDEX(ZACATECAS!$N$7:$N$5000, MATCH($F515, ZACATECAS!$H$7:$H$5000, 0)), "-")</f>
        <v>CHAMPION MANTENIMIENTO.</v>
      </c>
    </row>
    <row r="516" spans="1:9" x14ac:dyDescent="0.3">
      <c r="A516" s="543" t="s">
        <v>2857</v>
      </c>
      <c r="B516" s="543" t="s">
        <v>2858</v>
      </c>
      <c r="C516" s="543" t="s">
        <v>743</v>
      </c>
      <c r="D516" s="543" t="s">
        <v>2861</v>
      </c>
      <c r="E516" s="6">
        <f>IFERROR(INDEX(ZACATECAS!$I$7:$I$5000, MATCH(F516*1, ZACATECAS!$H$7:$H$5000, 0)), "-")</f>
        <v>6</v>
      </c>
      <c r="F516" s="544">
        <v>32046220</v>
      </c>
      <c r="G516" s="544" t="s">
        <v>753</v>
      </c>
      <c r="H516" s="543" t="s">
        <v>2860</v>
      </c>
      <c r="I516" s="6" t="str">
        <f>IFERROR(INDEX(ZACATECAS!$N$7:$N$5000, MATCH($F516, ZACATECAS!$H$7:$H$5000, 0)), "-")</f>
        <v>APOYO DE AMBIENTAL</v>
      </c>
    </row>
    <row r="517" spans="1:9" x14ac:dyDescent="0.3">
      <c r="A517" s="543" t="s">
        <v>2857</v>
      </c>
      <c r="B517" s="543" t="s">
        <v>2858</v>
      </c>
      <c r="C517" s="543" t="s">
        <v>743</v>
      </c>
      <c r="D517" s="543" t="s">
        <v>2861</v>
      </c>
      <c r="E517" s="6">
        <f>IFERROR(INDEX(ZACATECAS!$I$7:$I$5000, MATCH(F517*1, ZACATECAS!$H$7:$H$5000, 0)), "-")</f>
        <v>6</v>
      </c>
      <c r="F517" s="544">
        <v>32070296</v>
      </c>
      <c r="G517" s="544" t="s">
        <v>756</v>
      </c>
      <c r="H517" s="543" t="s">
        <v>2860</v>
      </c>
      <c r="I517" s="6" t="str">
        <f>IFERROR(INDEX(ZACATECAS!$N$7:$N$5000, MATCH($F517, ZACATECAS!$H$7:$H$5000, 0)), "-")</f>
        <v>CHAMPIONS LOGISTICA</v>
      </c>
    </row>
    <row r="518" spans="1:9" x14ac:dyDescent="0.3">
      <c r="A518" s="543" t="s">
        <v>2857</v>
      </c>
      <c r="B518" s="543" t="s">
        <v>2858</v>
      </c>
      <c r="C518" s="543" t="s">
        <v>743</v>
      </c>
      <c r="D518" s="543" t="s">
        <v>2861</v>
      </c>
      <c r="E518" s="6">
        <f>IFERROR(INDEX(ZACATECAS!$I$7:$I$5000, MATCH(F518*1, ZACATECAS!$H$7:$H$5000, 0)), "-")</f>
        <v>6</v>
      </c>
      <c r="F518" s="544">
        <v>32101568</v>
      </c>
      <c r="G518" s="544" t="s">
        <v>759</v>
      </c>
      <c r="H518" s="543" t="s">
        <v>2860</v>
      </c>
      <c r="I518" s="6" t="str">
        <f>IFERROR(INDEX(ZACATECAS!$N$7:$N$5000, MATCH($F518, ZACATECAS!$H$7:$H$5000, 0)), "-")</f>
        <v>APOYO GESTION</v>
      </c>
    </row>
    <row r="519" spans="1:9" x14ac:dyDescent="0.3">
      <c r="A519" s="543" t="s">
        <v>2857</v>
      </c>
      <c r="B519" s="543" t="s">
        <v>2858</v>
      </c>
      <c r="C519" s="543" t="s">
        <v>743</v>
      </c>
      <c r="D519" s="543" t="s">
        <v>2861</v>
      </c>
      <c r="E519" s="6">
        <f>IFERROR(INDEX(ZACATECAS!$I$7:$I$5000, MATCH(F519*1, ZACATECAS!$H$7:$H$5000, 0)), "-")</f>
        <v>6</v>
      </c>
      <c r="F519" s="544">
        <v>32131838</v>
      </c>
      <c r="G519" s="544" t="s">
        <v>761</v>
      </c>
      <c r="H519" s="543" t="s">
        <v>2860</v>
      </c>
      <c r="I519" s="6" t="str">
        <f>IFERROR(INDEX(ZACATECAS!$N$7:$N$5000, MATCH($F519, ZACATECAS!$H$7:$H$5000, 0)), "-")</f>
        <v>CHAMPION MANTENIMIENTO</v>
      </c>
    </row>
    <row r="520" spans="1:9" x14ac:dyDescent="0.3">
      <c r="A520" s="543" t="s">
        <v>2857</v>
      </c>
      <c r="B520" s="543" t="s">
        <v>2858</v>
      </c>
      <c r="C520" s="543" t="s">
        <v>743</v>
      </c>
      <c r="D520" s="546" t="s">
        <v>2861</v>
      </c>
      <c r="E520" s="6">
        <f>IFERROR(INDEX(ZACATECAS!$I$7:$I$5000, MATCH(F520*1, ZACATECAS!$H$7:$H$5000, 0)), "-")</f>
        <v>6</v>
      </c>
      <c r="F520" s="544">
        <v>32132230</v>
      </c>
      <c r="G520" s="544" t="s">
        <v>763</v>
      </c>
      <c r="H520" s="543" t="s">
        <v>2860</v>
      </c>
      <c r="I520" s="6" t="str">
        <f>IFERROR(INDEX(ZACATECAS!$N$7:$N$5000, MATCH($F520, ZACATECAS!$H$7:$H$5000, 0)), "-")</f>
        <v>CHAMPION DE CALIDAD</v>
      </c>
    </row>
    <row r="521" spans="1:9" x14ac:dyDescent="0.3">
      <c r="A521" s="543" t="s">
        <v>2857</v>
      </c>
      <c r="B521" s="543" t="s">
        <v>2858</v>
      </c>
      <c r="C521" s="543" t="s">
        <v>743</v>
      </c>
      <c r="D521" s="546" t="s">
        <v>2861</v>
      </c>
      <c r="E521" s="6">
        <f>IFERROR(INDEX(ZACATECAS!$I$7:$I$5000, MATCH(F521*1, ZACATECAS!$H$7:$H$5000, 0)), "-")</f>
        <v>6</v>
      </c>
      <c r="F521" s="544">
        <v>32139711</v>
      </c>
      <c r="G521" s="544" t="s">
        <v>766</v>
      </c>
      <c r="H521" s="543" t="s">
        <v>2860</v>
      </c>
      <c r="I521" s="6" t="str">
        <f>IFERROR(INDEX(ZACATECAS!$N$7:$N$5000, MATCH($F521, ZACATECAS!$H$7:$H$5000, 0)), "-")</f>
        <v>APOYO DE SEGURIDAD</v>
      </c>
    </row>
    <row r="522" spans="1:9" x14ac:dyDescent="0.3">
      <c r="A522" s="543" t="s">
        <v>2857</v>
      </c>
      <c r="B522" s="543" t="s">
        <v>2858</v>
      </c>
      <c r="C522" s="543" t="s">
        <v>743</v>
      </c>
      <c r="D522" s="546" t="s">
        <v>2861</v>
      </c>
      <c r="E522" s="6">
        <f>IFERROR(INDEX(ZACATECAS!$I$7:$I$5000, MATCH(F522*1, ZACATECAS!$H$7:$H$5000, 0)), "-")</f>
        <v>6</v>
      </c>
      <c r="F522" s="544">
        <v>32142945</v>
      </c>
      <c r="G522" s="544" t="s">
        <v>768</v>
      </c>
      <c r="H522" s="543" t="s">
        <v>2860</v>
      </c>
      <c r="I522" s="6" t="str">
        <f>IFERROR(INDEX(ZACATECAS!$N$7:$N$5000, MATCH($F522, ZACATECAS!$H$7:$H$5000, 0)), "-")</f>
        <v>CHAMPION AMBIENTAL</v>
      </c>
    </row>
    <row r="523" spans="1:9" x14ac:dyDescent="0.3">
      <c r="A523" s="543" t="s">
        <v>2857</v>
      </c>
      <c r="B523" s="543" t="s">
        <v>2858</v>
      </c>
      <c r="C523" s="543" t="s">
        <v>743</v>
      </c>
      <c r="D523" s="546" t="s">
        <v>2861</v>
      </c>
      <c r="E523" s="6">
        <f>IFERROR(INDEX(ZACATECAS!$I$7:$I$5000, MATCH(F523*1, ZACATECAS!$H$7:$H$5000, 0)), "-")</f>
        <v>6</v>
      </c>
      <c r="F523" s="544">
        <v>32143042</v>
      </c>
      <c r="G523" s="544" t="s">
        <v>770</v>
      </c>
      <c r="H523" s="543" t="s">
        <v>2860</v>
      </c>
      <c r="I523" s="6" t="str">
        <f>IFERROR(INDEX(ZACATECAS!$N$7:$N$5000, MATCH($F523, ZACATECAS!$H$7:$H$5000, 0)), "-")</f>
        <v>APOYO LOGISTICA</v>
      </c>
    </row>
    <row r="524" spans="1:9" x14ac:dyDescent="0.3">
      <c r="A524" s="543" t="s">
        <v>2857</v>
      </c>
      <c r="B524" s="543" t="s">
        <v>2858</v>
      </c>
      <c r="C524" s="543" t="s">
        <v>743</v>
      </c>
      <c r="D524" s="546" t="s">
        <v>2861</v>
      </c>
      <c r="E524" s="6">
        <f>IFERROR(INDEX(ZACATECAS!$I$7:$I$5000, MATCH(F524*1, ZACATECAS!$H$7:$H$5000, 0)), "-")</f>
        <v>6</v>
      </c>
      <c r="F524" s="544">
        <v>32171440</v>
      </c>
      <c r="G524" s="544" t="s">
        <v>772</v>
      </c>
      <c r="H524" s="543" t="s">
        <v>2860</v>
      </c>
      <c r="I524" s="6" t="str">
        <f>IFERROR(INDEX(ZACATECAS!$N$7:$N$5000, MATCH($F524, ZACATECAS!$H$7:$H$5000, 0)), "-")</f>
        <v>APOYO CALIDAD</v>
      </c>
    </row>
    <row r="525" spans="1:9" x14ac:dyDescent="0.3">
      <c r="A525" s="543" t="s">
        <v>2857</v>
      </c>
      <c r="B525" s="543" t="s">
        <v>2858</v>
      </c>
      <c r="C525" s="543" t="s">
        <v>743</v>
      </c>
      <c r="D525" s="546" t="s">
        <v>2861</v>
      </c>
      <c r="E525" s="6">
        <f>IFERROR(INDEX(ZACATECAS!$I$7:$I$5000, MATCH(F525*1, ZACATECAS!$H$7:$H$5000, 0)), "-")</f>
        <v>6</v>
      </c>
      <c r="F525" s="544">
        <v>32148626</v>
      </c>
      <c r="G525" s="544" t="s">
        <v>773</v>
      </c>
      <c r="H525" s="543" t="s">
        <v>2860</v>
      </c>
      <c r="I525" s="6" t="str">
        <f>IFERROR(INDEX(ZACATECAS!$N$7:$N$5000, MATCH($F525, ZACATECAS!$H$7:$H$5000, 0)), "-")</f>
        <v>APOYO CALIDAD</v>
      </c>
    </row>
    <row r="526" spans="1:9" x14ac:dyDescent="0.3">
      <c r="A526" s="543" t="s">
        <v>2857</v>
      </c>
      <c r="B526" s="543" t="s">
        <v>2858</v>
      </c>
      <c r="C526" s="543" t="s">
        <v>743</v>
      </c>
      <c r="D526" s="546" t="s">
        <v>2861</v>
      </c>
      <c r="E526" s="6">
        <f>IFERROR(INDEX(ZACATECAS!$I$7:$I$5000, MATCH(F526*1, ZACATECAS!$H$7:$H$5000, 0)), "-")</f>
        <v>6</v>
      </c>
      <c r="F526" s="544">
        <v>32186164</v>
      </c>
      <c r="G526" s="544" t="s">
        <v>775</v>
      </c>
      <c r="H526" s="543" t="s">
        <v>2860</v>
      </c>
      <c r="I526" s="6" t="str">
        <f>IFERROR(INDEX(ZACATECAS!$N$7:$N$5000, MATCH($F526, ZACATECAS!$H$7:$H$5000, 0)), "-")</f>
        <v>CHAMPIONS ENGAMENT</v>
      </c>
    </row>
    <row r="527" spans="1:9" x14ac:dyDescent="0.3">
      <c r="A527" s="543" t="s">
        <v>2857</v>
      </c>
      <c r="B527" s="543" t="s">
        <v>2858</v>
      </c>
      <c r="C527" s="543" t="s">
        <v>743</v>
      </c>
      <c r="D527" s="546" t="s">
        <v>2861</v>
      </c>
      <c r="E527" s="6">
        <f>IFERROR(INDEX(ZACATECAS!$I$7:$I$5000, MATCH(F527*1, ZACATECAS!$H$7:$H$5000, 0)), "-")</f>
        <v>6</v>
      </c>
      <c r="F527" s="544">
        <v>32188125</v>
      </c>
      <c r="G527" s="544" t="s">
        <v>777</v>
      </c>
      <c r="H527" s="543" t="s">
        <v>2860</v>
      </c>
      <c r="I527" s="6" t="str">
        <f>IFERROR(INDEX(ZACATECAS!$N$7:$N$5000, MATCH($F527, ZACATECAS!$H$7:$H$5000, 0)), "-")</f>
        <v>APOYO MANTENIMIENTO</v>
      </c>
    </row>
    <row r="528" spans="1:9" x14ac:dyDescent="0.3">
      <c r="A528" s="543" t="s">
        <v>2857</v>
      </c>
      <c r="B528" s="543" t="s">
        <v>2858</v>
      </c>
      <c r="C528" s="543" t="s">
        <v>277</v>
      </c>
      <c r="D528" s="546" t="s">
        <v>2865</v>
      </c>
      <c r="E528" s="6" t="str">
        <f>IFERROR(INDEX(ZACATECAS!$I$7:$I$5000, MATCH(F528*1, ZACATECAS!$H$7:$H$5000, 0)), "-")</f>
        <v>-</v>
      </c>
      <c r="F528" s="544">
        <v>32174889</v>
      </c>
      <c r="G528" s="544" t="s">
        <v>278</v>
      </c>
      <c r="H528" s="543" t="s">
        <v>2344</v>
      </c>
      <c r="I528" s="6" t="str">
        <f>IFERROR(INDEX(ZACATECAS!$N$7:$N$5000, MATCH($F528, ZACATECAS!$H$7:$H$5000, 0)), "-")</f>
        <v>-</v>
      </c>
    </row>
    <row r="529" spans="1:9" x14ac:dyDescent="0.3">
      <c r="A529" s="543" t="s">
        <v>2857</v>
      </c>
      <c r="B529" s="543" t="s">
        <v>2858</v>
      </c>
      <c r="C529" s="543" t="s">
        <v>277</v>
      </c>
      <c r="D529" s="546" t="s">
        <v>2865</v>
      </c>
      <c r="E529" s="6">
        <f>IFERROR(INDEX(ZACATECAS!$I$7:$I$5000, MATCH(F529*1, ZACATECAS!$H$7:$H$5000, 0)), "-")</f>
        <v>0</v>
      </c>
      <c r="F529" s="544">
        <v>32197423</v>
      </c>
      <c r="G529" s="544" t="s">
        <v>280</v>
      </c>
      <c r="H529" s="543" t="s">
        <v>2860</v>
      </c>
      <c r="I529" s="6" t="str">
        <f>IFERROR(INDEX(ZACATECAS!$N$7:$N$5000, MATCH($F529, ZACATECAS!$H$7:$H$5000, 0)), "-")</f>
        <v>GESTION</v>
      </c>
    </row>
    <row r="530" spans="1:9" x14ac:dyDescent="0.3">
      <c r="A530" s="543" t="s">
        <v>2857</v>
      </c>
      <c r="B530" s="543" t="s">
        <v>2858</v>
      </c>
      <c r="C530" s="543" t="s">
        <v>277</v>
      </c>
      <c r="D530" s="546" t="s">
        <v>2865</v>
      </c>
      <c r="E530" s="6">
        <f>IFERROR(INDEX(ZACATECAS!$I$7:$I$5000, MATCH(F530*1, ZACATECAS!$H$7:$H$5000, 0)), "-")</f>
        <v>0</v>
      </c>
      <c r="F530" s="544">
        <v>32043796</v>
      </c>
      <c r="G530" s="544" t="s">
        <v>282</v>
      </c>
      <c r="H530" s="543" t="s">
        <v>2860</v>
      </c>
      <c r="I530" s="6" t="str">
        <f>IFERROR(INDEX(ZACATECAS!$N$7:$N$5000, MATCH($F530, ZACATECAS!$H$7:$H$5000, 0)), "-")</f>
        <v>MANTENIMIENTO</v>
      </c>
    </row>
    <row r="531" spans="1:9" x14ac:dyDescent="0.3">
      <c r="A531" s="543" t="s">
        <v>2857</v>
      </c>
      <c r="B531" s="543" t="s">
        <v>2858</v>
      </c>
      <c r="C531" s="543" t="s">
        <v>277</v>
      </c>
      <c r="D531" s="546" t="s">
        <v>2865</v>
      </c>
      <c r="E531" s="6">
        <f>IFERROR(INDEX(ZACATECAS!$I$7:$I$5000, MATCH(F531*1, ZACATECAS!$H$7:$H$5000, 0)), "-")</f>
        <v>0</v>
      </c>
      <c r="F531" s="544">
        <v>32148922</v>
      </c>
      <c r="G531" s="544" t="s">
        <v>284</v>
      </c>
      <c r="H531" s="543" t="s">
        <v>2860</v>
      </c>
      <c r="I531" s="6" t="str">
        <f>IFERROR(INDEX(ZACATECAS!$N$7:$N$5000, MATCH($F531, ZACATECAS!$H$7:$H$5000, 0)), "-")</f>
        <v>GENTE</v>
      </c>
    </row>
    <row r="532" spans="1:9" x14ac:dyDescent="0.3">
      <c r="A532" s="543" t="s">
        <v>2857</v>
      </c>
      <c r="B532" s="543" t="s">
        <v>2858</v>
      </c>
      <c r="C532" s="543" t="s">
        <v>277</v>
      </c>
      <c r="D532" s="546" t="s">
        <v>2865</v>
      </c>
      <c r="E532" s="6">
        <f>IFERROR(INDEX(ZACATECAS!$I$7:$I$5000, MATCH(F532*1, ZACATECAS!$H$7:$H$5000, 0)), "-")</f>
        <v>0</v>
      </c>
      <c r="F532" s="544">
        <v>32173445</v>
      </c>
      <c r="G532" s="544" t="s">
        <v>286</v>
      </c>
      <c r="H532" s="543" t="s">
        <v>2860</v>
      </c>
      <c r="I532" s="6" t="str">
        <f>IFERROR(INDEX(ZACATECAS!$N$7:$N$5000, MATCH($F532, ZACATECAS!$H$7:$H$5000, 0)), "-")</f>
        <v>CALIDAD</v>
      </c>
    </row>
    <row r="533" spans="1:9" x14ac:dyDescent="0.3">
      <c r="A533" s="543" t="s">
        <v>2857</v>
      </c>
      <c r="B533" s="543" t="s">
        <v>2858</v>
      </c>
      <c r="C533" s="543" t="s">
        <v>277</v>
      </c>
      <c r="D533" s="546" t="s">
        <v>2865</v>
      </c>
      <c r="E533" s="6">
        <f>IFERROR(INDEX(ZACATECAS!$I$7:$I$5000, MATCH(F533*1, ZACATECAS!$H$7:$H$5000, 0)), "-")</f>
        <v>0</v>
      </c>
      <c r="F533" s="544">
        <v>32044838</v>
      </c>
      <c r="G533" s="544" t="s">
        <v>289</v>
      </c>
      <c r="H533" s="543" t="s">
        <v>2860</v>
      </c>
      <c r="I533" s="6" t="str">
        <f>IFERROR(INDEX(ZACATECAS!$N$7:$N$5000, MATCH($F533, ZACATECAS!$H$7:$H$5000, 0)), "-")</f>
        <v>AMBIENTAL</v>
      </c>
    </row>
    <row r="534" spans="1:9" x14ac:dyDescent="0.3">
      <c r="A534" s="543" t="s">
        <v>2857</v>
      </c>
      <c r="B534" s="543" t="s">
        <v>2858</v>
      </c>
      <c r="C534" s="543" t="s">
        <v>84</v>
      </c>
      <c r="D534" s="546" t="s">
        <v>2865</v>
      </c>
      <c r="E534" s="6" t="str">
        <f>IFERROR(INDEX(ZACATECAS!$I$7:$I$5000, MATCH(F534*1, ZACATECAS!$H$7:$H$5000, 0)), "-")</f>
        <v>-</v>
      </c>
      <c r="F534" s="544">
        <v>32052981</v>
      </c>
      <c r="G534" s="544" t="s">
        <v>85</v>
      </c>
      <c r="H534" s="543" t="s">
        <v>2344</v>
      </c>
      <c r="I534" s="6" t="str">
        <f>IFERROR(INDEX(ZACATECAS!$N$7:$N$5000, MATCH($F534, ZACATECAS!$H$7:$H$5000, 0)), "-")</f>
        <v>-</v>
      </c>
    </row>
    <row r="535" spans="1:9" x14ac:dyDescent="0.3">
      <c r="A535" s="543" t="s">
        <v>2857</v>
      </c>
      <c r="B535" s="543" t="s">
        <v>2858</v>
      </c>
      <c r="C535" s="543" t="s">
        <v>84</v>
      </c>
      <c r="D535" s="543" t="s">
        <v>2865</v>
      </c>
      <c r="E535" s="6" t="str">
        <f>IFERROR(INDEX(ZACATECAS!$I$7:$I$5000, MATCH(F535*1, ZACATECAS!$H$7:$H$5000, 0)), "-")</f>
        <v>Fermentación</v>
      </c>
      <c r="F535" s="546">
        <v>32144776</v>
      </c>
      <c r="G535" s="546" t="s">
        <v>87</v>
      </c>
      <c r="H535" s="543" t="s">
        <v>2860</v>
      </c>
      <c r="I535" s="6" t="str">
        <f>IFERROR(INDEX(ZACATECAS!$N$7:$N$5000, MATCH($F535, ZACATECAS!$H$7:$H$5000, 0)), "-")</f>
        <v>GENTE</v>
      </c>
    </row>
    <row r="536" spans="1:9" x14ac:dyDescent="0.3">
      <c r="A536" s="543" t="s">
        <v>2857</v>
      </c>
      <c r="B536" s="543" t="s">
        <v>2858</v>
      </c>
      <c r="C536" s="543" t="s">
        <v>84</v>
      </c>
      <c r="D536" s="543" t="s">
        <v>2865</v>
      </c>
      <c r="E536" s="6" t="str">
        <f>IFERROR(INDEX(ZACATECAS!$I$7:$I$5000, MATCH(F536*1, ZACATECAS!$H$7:$H$5000, 0)), "-")</f>
        <v>Fermentación</v>
      </c>
      <c r="F536" s="544">
        <v>32196366</v>
      </c>
      <c r="G536" s="544" t="s">
        <v>89</v>
      </c>
      <c r="H536" s="543" t="s">
        <v>2860</v>
      </c>
      <c r="I536" s="6" t="str">
        <f>IFERROR(INDEX(ZACATECAS!$N$7:$N$5000, MATCH($F536, ZACATECAS!$H$7:$H$5000, 0)), "-")</f>
        <v>CALIDAD</v>
      </c>
    </row>
    <row r="537" spans="1:9" x14ac:dyDescent="0.3">
      <c r="A537" s="543" t="s">
        <v>2857</v>
      </c>
      <c r="B537" s="543" t="s">
        <v>2858</v>
      </c>
      <c r="C537" s="543" t="s">
        <v>84</v>
      </c>
      <c r="D537" s="543" t="s">
        <v>2865</v>
      </c>
      <c r="E537" s="6" t="str">
        <f>IFERROR(INDEX(ZACATECAS!$I$7:$I$5000, MATCH(F537*1, ZACATECAS!$H$7:$H$5000, 0)), "-")</f>
        <v>-</v>
      </c>
      <c r="F537" s="544">
        <v>32143661</v>
      </c>
      <c r="G537" s="544" t="s">
        <v>2325</v>
      </c>
      <c r="H537" s="543" t="s">
        <v>2860</v>
      </c>
      <c r="I537" s="6" t="str">
        <f>IFERROR(INDEX(ZACATECAS!$N$7:$N$5000, MATCH($F537, ZACATECAS!$H$7:$H$5000, 0)), "-")</f>
        <v>-</v>
      </c>
    </row>
    <row r="538" spans="1:9" x14ac:dyDescent="0.3">
      <c r="A538" s="543" t="s">
        <v>2857</v>
      </c>
      <c r="B538" s="543" t="s">
        <v>2858</v>
      </c>
      <c r="C538" s="543" t="s">
        <v>84</v>
      </c>
      <c r="D538" s="543" t="s">
        <v>2865</v>
      </c>
      <c r="E538" s="6" t="str">
        <f>IFERROR(INDEX(ZACATECAS!$I$7:$I$5000, MATCH(F538*1, ZACATECAS!$H$7:$H$5000, 0)), "-")</f>
        <v>Fermentación</v>
      </c>
      <c r="F538" s="544">
        <v>32144778</v>
      </c>
      <c r="G538" s="544" t="s">
        <v>91</v>
      </c>
      <c r="H538" s="543" t="s">
        <v>2860</v>
      </c>
      <c r="I538" s="6" t="str">
        <f>IFERROR(INDEX(ZACATECAS!$N$7:$N$5000, MATCH($F538, ZACATECAS!$H$7:$H$5000, 0)), "-")</f>
        <v>AMBIENTAL</v>
      </c>
    </row>
    <row r="539" spans="1:9" x14ac:dyDescent="0.3">
      <c r="A539" s="543" t="s">
        <v>2857</v>
      </c>
      <c r="B539" s="543" t="s">
        <v>2858</v>
      </c>
      <c r="C539" s="543" t="s">
        <v>84</v>
      </c>
      <c r="D539" s="543" t="s">
        <v>2865</v>
      </c>
      <c r="E539" s="6" t="str">
        <f>IFERROR(INDEX(ZACATECAS!$I$7:$I$5000, MATCH(F539*1, ZACATECAS!$H$7:$H$5000, 0)), "-")</f>
        <v>Fermentación</v>
      </c>
      <c r="F539" s="544">
        <v>32045357</v>
      </c>
      <c r="G539" s="544" t="s">
        <v>93</v>
      </c>
      <c r="H539" s="543" t="s">
        <v>2860</v>
      </c>
      <c r="I539" s="6" t="str">
        <f>IFERROR(INDEX(ZACATECAS!$N$7:$N$5000, MATCH($F539, ZACATECAS!$H$7:$H$5000, 0)), "-")</f>
        <v>LOGISTICA</v>
      </c>
    </row>
    <row r="540" spans="1:9" x14ac:dyDescent="0.3">
      <c r="A540" s="543" t="s">
        <v>2857</v>
      </c>
      <c r="B540" s="543" t="s">
        <v>2858</v>
      </c>
      <c r="C540" s="543" t="s">
        <v>84</v>
      </c>
      <c r="D540" s="543" t="s">
        <v>2865</v>
      </c>
      <c r="E540" s="6" t="str">
        <f>IFERROR(INDEX(ZACATECAS!$I$7:$I$5000, MATCH(F540*1, ZACATECAS!$H$7:$H$5000, 0)), "-")</f>
        <v>Fermentación</v>
      </c>
      <c r="F540" s="544">
        <v>32044776</v>
      </c>
      <c r="G540" s="544" t="s">
        <v>94</v>
      </c>
      <c r="H540" s="543" t="s">
        <v>2860</v>
      </c>
      <c r="I540" s="6" t="str">
        <f>IFERROR(INDEX(ZACATECAS!$N$7:$N$5000, MATCH($F540, ZACATECAS!$H$7:$H$5000, 0)), "-")</f>
        <v>GESTIÓN</v>
      </c>
    </row>
    <row r="541" spans="1:9" x14ac:dyDescent="0.3">
      <c r="A541" s="543" t="s">
        <v>2857</v>
      </c>
      <c r="B541" s="543" t="s">
        <v>2858</v>
      </c>
      <c r="C541" s="543" t="s">
        <v>1432</v>
      </c>
      <c r="D541" s="543" t="s">
        <v>2861</v>
      </c>
      <c r="E541" s="6" t="str">
        <f>IFERROR(INDEX(ZACATECAS!$I$7:$I$5000, MATCH(F541*1, ZACATECAS!$H$7:$H$5000, 0)), "-")</f>
        <v>-</v>
      </c>
      <c r="F541" s="544">
        <v>32146685</v>
      </c>
      <c r="G541" s="544" t="s">
        <v>1394</v>
      </c>
      <c r="H541" s="543" t="s">
        <v>2344</v>
      </c>
      <c r="I541" s="6" t="str">
        <f>IFERROR(INDEX(ZACATECAS!$N$7:$N$5000, MATCH($F541, ZACATECAS!$H$7:$H$5000, 0)), "-")</f>
        <v>-</v>
      </c>
    </row>
    <row r="542" spans="1:9" x14ac:dyDescent="0.3">
      <c r="A542" s="543" t="s">
        <v>2857</v>
      </c>
      <c r="B542" s="543" t="s">
        <v>2858</v>
      </c>
      <c r="C542" s="543" t="s">
        <v>1432</v>
      </c>
      <c r="D542" s="543" t="s">
        <v>2861</v>
      </c>
      <c r="E542" s="6" t="str">
        <f>IFERROR(INDEX(ZACATECAS!$I$7:$I$5000, MATCH(F542*1, ZACATECAS!$H$7:$H$5000, 0)), "-")</f>
        <v>MIXTO 13-14</v>
      </c>
      <c r="F542" s="544">
        <v>32044002</v>
      </c>
      <c r="G542" s="544" t="s">
        <v>1434</v>
      </c>
      <c r="H542" s="543" t="s">
        <v>2860</v>
      </c>
      <c r="I542" s="6" t="str">
        <f>IFERROR(INDEX(ZACATECAS!$N$7:$N$5000, MATCH($F542, ZACATECAS!$H$7:$H$5000, 0)), "-")</f>
        <v>Champion Gestión</v>
      </c>
    </row>
    <row r="543" spans="1:9" x14ac:dyDescent="0.3">
      <c r="A543" s="543" t="s">
        <v>2857</v>
      </c>
      <c r="B543" s="543" t="s">
        <v>2858</v>
      </c>
      <c r="C543" s="543" t="s">
        <v>1432</v>
      </c>
      <c r="D543" s="543" t="s">
        <v>2861</v>
      </c>
      <c r="E543" s="6" t="str">
        <f>IFERROR(INDEX(ZACATECAS!$I$7:$I$5000, MATCH(F543*1, ZACATECAS!$H$7:$H$5000, 0)), "-")</f>
        <v>MIXTO 13-14</v>
      </c>
      <c r="F543" s="544">
        <v>32064299</v>
      </c>
      <c r="G543" s="544" t="s">
        <v>1436</v>
      </c>
      <c r="H543" s="543" t="s">
        <v>2860</v>
      </c>
      <c r="I543" s="6" t="str">
        <f>IFERROR(INDEX(ZACATECAS!$N$7:$N$5000, MATCH($F543, ZACATECAS!$H$7:$H$5000, 0)), "-")</f>
        <v>Champion Ambiental</v>
      </c>
    </row>
    <row r="544" spans="1:9" x14ac:dyDescent="0.3">
      <c r="A544" s="543" t="s">
        <v>2857</v>
      </c>
      <c r="B544" s="543" t="s">
        <v>2858</v>
      </c>
      <c r="C544" s="543" t="s">
        <v>1432</v>
      </c>
      <c r="D544" s="543" t="s">
        <v>2861</v>
      </c>
      <c r="E544" s="6" t="str">
        <f>IFERROR(INDEX(ZACATECAS!$I$7:$I$5000, MATCH(F544*1, ZACATECAS!$H$7:$H$5000, 0)), "-")</f>
        <v>MIXTO 13-14</v>
      </c>
      <c r="F544" s="544">
        <v>32045806</v>
      </c>
      <c r="G544" s="544" t="s">
        <v>1438</v>
      </c>
      <c r="H544" s="543" t="s">
        <v>2860</v>
      </c>
      <c r="I544" s="6" t="str">
        <f>IFERROR(INDEX(ZACATECAS!$N$7:$N$5000, MATCH($F544, ZACATECAS!$H$7:$H$5000, 0)), "-")</f>
        <v>Champion Seguridad</v>
      </c>
    </row>
    <row r="545" spans="1:9" x14ac:dyDescent="0.3">
      <c r="A545" s="543" t="s">
        <v>2857</v>
      </c>
      <c r="B545" s="543" t="s">
        <v>2858</v>
      </c>
      <c r="C545" s="543" t="s">
        <v>1432</v>
      </c>
      <c r="D545" s="543" t="s">
        <v>2861</v>
      </c>
      <c r="E545" s="6" t="str">
        <f>IFERROR(INDEX(ZACATECAS!$I$7:$I$5000, MATCH(F545*1, ZACATECAS!$H$7:$H$5000, 0)), "-")</f>
        <v>MIXTO 13-14</v>
      </c>
      <c r="F545" s="544">
        <v>32045507</v>
      </c>
      <c r="G545" s="544" t="s">
        <v>1440</v>
      </c>
      <c r="H545" s="543" t="s">
        <v>2860</v>
      </c>
      <c r="I545" s="6" t="str">
        <f>IFERROR(INDEX(ZACATECAS!$N$7:$N$5000, MATCH($F545, ZACATECAS!$H$7:$H$5000, 0)), "-")</f>
        <v>Champion Mantenimiento</v>
      </c>
    </row>
    <row r="546" spans="1:9" x14ac:dyDescent="0.3">
      <c r="A546" s="543" t="s">
        <v>2857</v>
      </c>
      <c r="B546" s="543" t="s">
        <v>2858</v>
      </c>
      <c r="C546" s="543" t="s">
        <v>1432</v>
      </c>
      <c r="D546" s="543" t="s">
        <v>2861</v>
      </c>
      <c r="E546" s="6" t="str">
        <f>IFERROR(INDEX(ZACATECAS!$I$7:$I$5000, MATCH(F546*1, ZACATECAS!$H$7:$H$5000, 0)), "-")</f>
        <v>MIXTO 13-14</v>
      </c>
      <c r="F546" s="544">
        <v>32143053</v>
      </c>
      <c r="G546" s="544" t="s">
        <v>1442</v>
      </c>
      <c r="H546" s="543" t="s">
        <v>2860</v>
      </c>
      <c r="I546" s="6" t="str">
        <f>IFERROR(INDEX(ZACATECAS!$N$7:$N$5000, MATCH($F546, ZACATECAS!$H$7:$H$5000, 0)), "-")</f>
        <v xml:space="preserve">Apoyo a Mantenimiento </v>
      </c>
    </row>
    <row r="547" spans="1:9" x14ac:dyDescent="0.3">
      <c r="A547" s="543" t="s">
        <v>2857</v>
      </c>
      <c r="B547" s="543" t="s">
        <v>2858</v>
      </c>
      <c r="C547" s="543" t="s">
        <v>1432</v>
      </c>
      <c r="D547" s="543" t="s">
        <v>2861</v>
      </c>
      <c r="E547" s="6" t="str">
        <f>IFERROR(INDEX(ZACATECAS!$I$7:$I$5000, MATCH(F547*1, ZACATECAS!$H$7:$H$5000, 0)), "-")</f>
        <v>MIXTO 13-14</v>
      </c>
      <c r="F547" s="544">
        <v>32132051</v>
      </c>
      <c r="G547" s="544" t="s">
        <v>1445</v>
      </c>
      <c r="H547" s="543" t="s">
        <v>2860</v>
      </c>
      <c r="I547" s="6" t="str">
        <f>IFERROR(INDEX(ZACATECAS!$N$7:$N$5000, MATCH($F547, ZACATECAS!$H$7:$H$5000, 0)), "-")</f>
        <v>Apoyo a Calidad</v>
      </c>
    </row>
    <row r="548" spans="1:9" x14ac:dyDescent="0.3">
      <c r="A548" s="543" t="s">
        <v>2857</v>
      </c>
      <c r="B548" s="543" t="s">
        <v>2858</v>
      </c>
      <c r="C548" s="543" t="s">
        <v>1432</v>
      </c>
      <c r="D548" s="546" t="s">
        <v>2861</v>
      </c>
      <c r="E548" s="6" t="str">
        <f>IFERROR(INDEX(ZACATECAS!$I$7:$I$5000, MATCH(F548*1, ZACATECAS!$H$7:$H$5000, 0)), "-")</f>
        <v>MIXTO 13-14</v>
      </c>
      <c r="F548" s="544">
        <v>32218790</v>
      </c>
      <c r="G548" s="544" t="s">
        <v>1448</v>
      </c>
      <c r="H548" s="543" t="s">
        <v>2860</v>
      </c>
      <c r="I548" s="6" t="str">
        <f>IFERROR(INDEX(ZACATECAS!$N$7:$N$5000, MATCH($F548, ZACATECAS!$H$7:$H$5000, 0)), "-")</f>
        <v>Apoyo a Seguridad</v>
      </c>
    </row>
    <row r="549" spans="1:9" x14ac:dyDescent="0.3">
      <c r="A549" s="543" t="s">
        <v>2857</v>
      </c>
      <c r="B549" s="543" t="s">
        <v>2858</v>
      </c>
      <c r="C549" s="543" t="s">
        <v>1432</v>
      </c>
      <c r="D549" s="546" t="s">
        <v>2861</v>
      </c>
      <c r="E549" s="6" t="str">
        <f>IFERROR(INDEX(ZACATECAS!$I$7:$I$5000, MATCH(F549*1, ZACATECAS!$H$7:$H$5000, 0)), "-")</f>
        <v>MIXTO 13-14</v>
      </c>
      <c r="F549" s="544">
        <v>32046016</v>
      </c>
      <c r="G549" s="544" t="s">
        <v>1449</v>
      </c>
      <c r="H549" s="543" t="s">
        <v>2860</v>
      </c>
      <c r="I549" s="6" t="str">
        <f>IFERROR(INDEX(ZACATECAS!$N$7:$N$5000, MATCH($F549, ZACATECAS!$H$7:$H$5000, 0)), "-")</f>
        <v>Champion Logística</v>
      </c>
    </row>
    <row r="550" spans="1:9" x14ac:dyDescent="0.3">
      <c r="A550" s="543" t="s">
        <v>2857</v>
      </c>
      <c r="B550" s="543" t="s">
        <v>2858</v>
      </c>
      <c r="C550" s="543" t="s">
        <v>1432</v>
      </c>
      <c r="D550" s="546" t="s">
        <v>2861</v>
      </c>
      <c r="E550" s="6" t="str">
        <f>IFERROR(INDEX(ZACATECAS!$I$7:$I$5000, MATCH(F550*1, ZACATECAS!$H$7:$H$5000, 0)), "-")</f>
        <v>MIXTO 13-14</v>
      </c>
      <c r="F550" s="544">
        <v>32143052</v>
      </c>
      <c r="G550" s="544" t="s">
        <v>1452</v>
      </c>
      <c r="H550" s="543" t="s">
        <v>2860</v>
      </c>
      <c r="I550" s="6" t="str">
        <f>IFERROR(INDEX(ZACATECAS!$N$7:$N$5000, MATCH($F550, ZACATECAS!$H$7:$H$5000, 0)), "-")</f>
        <v>Apoyo Gente</v>
      </c>
    </row>
    <row r="551" spans="1:9" x14ac:dyDescent="0.3">
      <c r="A551" s="543" t="s">
        <v>2857</v>
      </c>
      <c r="B551" s="543" t="s">
        <v>2858</v>
      </c>
      <c r="C551" s="543" t="s">
        <v>1432</v>
      </c>
      <c r="D551" s="546" t="s">
        <v>2861</v>
      </c>
      <c r="E551" s="6" t="str">
        <f>IFERROR(INDEX(ZACATECAS!$I$7:$I$5000, MATCH(F551*1, ZACATECAS!$H$7:$H$5000, 0)), "-")</f>
        <v>MIXTO 13-14</v>
      </c>
      <c r="F551" s="544">
        <v>32132587</v>
      </c>
      <c r="G551" s="544" t="s">
        <v>1455</v>
      </c>
      <c r="H551" s="543" t="s">
        <v>2860</v>
      </c>
      <c r="I551" s="6" t="str">
        <f>IFERROR(INDEX(ZACATECAS!$N$7:$N$5000, MATCH($F551, ZACATECAS!$H$7:$H$5000, 0)), "-")</f>
        <v>Champion Calidad</v>
      </c>
    </row>
    <row r="552" spans="1:9" x14ac:dyDescent="0.3">
      <c r="A552" s="543" t="s">
        <v>2857</v>
      </c>
      <c r="B552" s="543" t="s">
        <v>2858</v>
      </c>
      <c r="C552" s="543" t="s">
        <v>1432</v>
      </c>
      <c r="D552" s="546" t="s">
        <v>2861</v>
      </c>
      <c r="E552" s="6" t="str">
        <f>IFERROR(INDEX(ZACATECAS!$I$7:$I$5000, MATCH(F552*1, ZACATECAS!$H$7:$H$5000, 0)), "-")</f>
        <v>MIXTO 13-14</v>
      </c>
      <c r="F552" s="544">
        <v>32044543</v>
      </c>
      <c r="G552" s="544" t="s">
        <v>1457</v>
      </c>
      <c r="H552" s="543" t="s">
        <v>2860</v>
      </c>
      <c r="I552" s="6" t="str">
        <f>IFERROR(INDEX(ZACATECAS!$N$7:$N$5000, MATCH($F552, ZACATECAS!$H$7:$H$5000, 0)), "-")</f>
        <v>Champion Gente</v>
      </c>
    </row>
    <row r="553" spans="1:9" x14ac:dyDescent="0.3">
      <c r="A553" s="543" t="s">
        <v>2857</v>
      </c>
      <c r="B553" s="543" t="s">
        <v>2858</v>
      </c>
      <c r="C553" s="543" t="s">
        <v>1432</v>
      </c>
      <c r="D553" s="546" t="s">
        <v>2861</v>
      </c>
      <c r="E553" s="6" t="str">
        <f>IFERROR(INDEX(ZACATECAS!$I$7:$I$5000, MATCH(F553*1, ZACATECAS!$H$7:$H$5000, 0)), "-")</f>
        <v>MIXTO 13-14</v>
      </c>
      <c r="F553" s="544">
        <v>32197897</v>
      </c>
      <c r="G553" s="544" t="s">
        <v>1459</v>
      </c>
      <c r="H553" s="543" t="s">
        <v>2860</v>
      </c>
      <c r="I553" s="6" t="str">
        <f>IFERROR(INDEX(ZACATECAS!$N$7:$N$5000, MATCH($F553, ZACATECAS!$H$7:$H$5000, 0)), "-")</f>
        <v>Apoyo a Gestion</v>
      </c>
    </row>
    <row r="554" spans="1:9" x14ac:dyDescent="0.3">
      <c r="A554" s="543" t="s">
        <v>2857</v>
      </c>
      <c r="B554" s="543" t="s">
        <v>2858</v>
      </c>
      <c r="C554" s="543" t="s">
        <v>1432</v>
      </c>
      <c r="D554" s="546" t="s">
        <v>2861</v>
      </c>
      <c r="E554" s="6" t="str">
        <f>IFERROR(INDEX(ZACATECAS!$I$7:$I$5000, MATCH(F554*1, ZACATECAS!$H$7:$H$5000, 0)), "-")</f>
        <v>MIXTO 13-14</v>
      </c>
      <c r="F554" s="544">
        <v>32046553</v>
      </c>
      <c r="G554" s="544" t="s">
        <v>1462</v>
      </c>
      <c r="H554" s="543" t="s">
        <v>2860</v>
      </c>
      <c r="I554" s="6" t="str">
        <f>IFERROR(INDEX(ZACATECAS!$N$7:$N$5000, MATCH($F554, ZACATECAS!$H$7:$H$5000, 0)), "-")</f>
        <v>Apoyo a Seguridad</v>
      </c>
    </row>
    <row r="555" spans="1:9" x14ac:dyDescent="0.3">
      <c r="A555" s="543" t="s">
        <v>2857</v>
      </c>
      <c r="B555" s="543" t="s">
        <v>2858</v>
      </c>
      <c r="C555" s="543" t="s">
        <v>1192</v>
      </c>
      <c r="D555" s="546" t="s">
        <v>2861</v>
      </c>
      <c r="E555" s="6" t="str">
        <f>IFERROR(INDEX(ZACATECAS!$I$7:$I$5000, MATCH(F555*1, ZACATECAS!$H$7:$H$5000, 0)), "-")</f>
        <v>-</v>
      </c>
      <c r="F555" s="544">
        <v>32231920</v>
      </c>
      <c r="G555" s="544" t="s">
        <v>1079</v>
      </c>
      <c r="H555" s="543" t="s">
        <v>2344</v>
      </c>
      <c r="I555" s="6" t="str">
        <f>IFERROR(INDEX(ZACATECAS!$N$7:$N$5000, MATCH($F555, ZACATECAS!$H$7:$H$5000, 0)), "-")</f>
        <v>-</v>
      </c>
    </row>
    <row r="556" spans="1:9" x14ac:dyDescent="0.3">
      <c r="A556" s="543" t="s">
        <v>2857</v>
      </c>
      <c r="B556" s="543" t="s">
        <v>2858</v>
      </c>
      <c r="C556" s="543" t="s">
        <v>1192</v>
      </c>
      <c r="D556" s="546" t="s">
        <v>2861</v>
      </c>
      <c r="E556" s="6">
        <f>IFERROR(INDEX(ZACATECAS!$I$7:$I$5000, MATCH(F556*1, ZACATECAS!$H$7:$H$5000, 0)), "-")</f>
        <v>12</v>
      </c>
      <c r="F556" s="544">
        <v>32044075</v>
      </c>
      <c r="G556" s="544" t="s">
        <v>1193</v>
      </c>
      <c r="H556" s="543" t="s">
        <v>2860</v>
      </c>
      <c r="I556" s="6" t="str">
        <f>IFERROR(INDEX(ZACATECAS!$N$7:$N$5000, MATCH($F556, ZACATECAS!$H$7:$H$5000, 0)), "-")</f>
        <v>APOYO AMBIENTAL</v>
      </c>
    </row>
    <row r="557" spans="1:9" x14ac:dyDescent="0.3">
      <c r="A557" s="543" t="s">
        <v>2857</v>
      </c>
      <c r="B557" s="543" t="s">
        <v>2858</v>
      </c>
      <c r="C557" s="543" t="s">
        <v>1192</v>
      </c>
      <c r="D557" s="546" t="s">
        <v>2861</v>
      </c>
      <c r="E557" s="6">
        <f>IFERROR(INDEX(ZACATECAS!$I$7:$I$5000, MATCH(F557*1, ZACATECAS!$H$7:$H$5000, 0)), "-")</f>
        <v>12</v>
      </c>
      <c r="F557" s="544">
        <v>32044370</v>
      </c>
      <c r="G557" s="544" t="s">
        <v>1195</v>
      </c>
      <c r="H557" s="543" t="s">
        <v>2860</v>
      </c>
      <c r="I557" s="6" t="str">
        <f>IFERROR(INDEX(ZACATECAS!$N$7:$N$5000, MATCH($F557, ZACATECAS!$H$7:$H$5000, 0)), "-")</f>
        <v>CHAMPION AMBIENTAL</v>
      </c>
    </row>
    <row r="558" spans="1:9" x14ac:dyDescent="0.3">
      <c r="A558" s="543" t="s">
        <v>2857</v>
      </c>
      <c r="B558" s="543" t="s">
        <v>2858</v>
      </c>
      <c r="C558" s="543" t="s">
        <v>1192</v>
      </c>
      <c r="D558" s="546" t="s">
        <v>2861</v>
      </c>
      <c r="E558" s="6">
        <f>IFERROR(INDEX(ZACATECAS!$I$7:$I$5000, MATCH(F558*1, ZACATECAS!$H$7:$H$5000, 0)), "-")</f>
        <v>12</v>
      </c>
      <c r="F558" s="544">
        <v>32044561</v>
      </c>
      <c r="G558" s="544" t="s">
        <v>1197</v>
      </c>
      <c r="H558" s="543" t="s">
        <v>2860</v>
      </c>
      <c r="I558" s="6" t="str">
        <f>IFERROR(INDEX(ZACATECAS!$N$7:$N$5000, MATCH($F558, ZACATECAS!$H$7:$H$5000, 0)), "-")</f>
        <v>CHAMPION DE GESTION</v>
      </c>
    </row>
    <row r="559" spans="1:9" x14ac:dyDescent="0.3">
      <c r="A559" s="543" t="s">
        <v>2857</v>
      </c>
      <c r="B559" s="543" t="s">
        <v>2858</v>
      </c>
      <c r="C559" s="543" t="s">
        <v>1192</v>
      </c>
      <c r="D559" s="546" t="s">
        <v>2861</v>
      </c>
      <c r="E559" s="6">
        <f>IFERROR(INDEX(ZACATECAS!$I$7:$I$5000, MATCH(F559*1, ZACATECAS!$H$7:$H$5000, 0)), "-")</f>
        <v>12</v>
      </c>
      <c r="F559" s="544">
        <v>32046159</v>
      </c>
      <c r="G559" s="544" t="s">
        <v>1199</v>
      </c>
      <c r="H559" s="543" t="s">
        <v>2860</v>
      </c>
      <c r="I559" s="6" t="str">
        <f>IFERROR(INDEX(ZACATECAS!$N$7:$N$5000, MATCH($F559, ZACATECAS!$H$7:$H$5000, 0)), "-")</f>
        <v>APOYO LOGISTICA</v>
      </c>
    </row>
    <row r="560" spans="1:9" x14ac:dyDescent="0.3">
      <c r="A560" s="543" t="s">
        <v>2857</v>
      </c>
      <c r="B560" s="543" t="s">
        <v>2858</v>
      </c>
      <c r="C560" s="543" t="s">
        <v>1192</v>
      </c>
      <c r="D560" s="546" t="s">
        <v>2861</v>
      </c>
      <c r="E560" s="6">
        <f>IFERROR(INDEX(ZACATECAS!$I$7:$I$5000, MATCH(F560*1, ZACATECAS!$H$7:$H$5000, 0)), "-")</f>
        <v>12</v>
      </c>
      <c r="F560" s="544">
        <v>32046355</v>
      </c>
      <c r="G560" s="544" t="s">
        <v>1201</v>
      </c>
      <c r="H560" s="543" t="s">
        <v>2860</v>
      </c>
      <c r="I560" s="6" t="str">
        <f>IFERROR(INDEX(ZACATECAS!$N$7:$N$5000, MATCH($F560, ZACATECAS!$H$7:$H$5000, 0)), "-")</f>
        <v>APOYO GESTION</v>
      </c>
    </row>
    <row r="561" spans="1:9" x14ac:dyDescent="0.3">
      <c r="A561" s="543" t="s">
        <v>2857</v>
      </c>
      <c r="B561" s="543" t="s">
        <v>2858</v>
      </c>
      <c r="C561" s="543" t="s">
        <v>1192</v>
      </c>
      <c r="D561" s="546" t="s">
        <v>2861</v>
      </c>
      <c r="E561" s="6">
        <f>IFERROR(INDEX(ZACATECAS!$I$7:$I$5000, MATCH(F561*1, ZACATECAS!$H$7:$H$5000, 0)), "-")</f>
        <v>12</v>
      </c>
      <c r="F561" s="544">
        <v>32046569</v>
      </c>
      <c r="G561" s="544" t="s">
        <v>1203</v>
      </c>
      <c r="H561" s="543" t="s">
        <v>2860</v>
      </c>
      <c r="I561" s="6" t="str">
        <f>IFERROR(INDEX(ZACATECAS!$N$7:$N$5000, MATCH($F561, ZACATECAS!$H$7:$H$5000, 0)), "-")</f>
        <v>CHAMPION  LOGISTICA</v>
      </c>
    </row>
    <row r="562" spans="1:9" x14ac:dyDescent="0.3">
      <c r="A562" s="543" t="s">
        <v>2857</v>
      </c>
      <c r="B562" s="543" t="s">
        <v>2858</v>
      </c>
      <c r="C562" s="543" t="s">
        <v>1192</v>
      </c>
      <c r="D562" s="546" t="s">
        <v>2861</v>
      </c>
      <c r="E562" s="6">
        <f>IFERROR(INDEX(ZACATECAS!$I$7:$I$5000, MATCH(F562*1, ZACATECAS!$H$7:$H$5000, 0)), "-")</f>
        <v>12</v>
      </c>
      <c r="F562" s="546">
        <v>32046671</v>
      </c>
      <c r="G562" s="546" t="s">
        <v>1205</v>
      </c>
      <c r="H562" s="543" t="s">
        <v>2860</v>
      </c>
      <c r="I562" s="6" t="str">
        <f>IFERROR(INDEX(ZACATECAS!$N$7:$N$5000, MATCH($F562, ZACATECAS!$H$7:$H$5000, 0)), "-")</f>
        <v>CHAMPION GENTE</v>
      </c>
    </row>
    <row r="563" spans="1:9" x14ac:dyDescent="0.3">
      <c r="A563" s="543" t="s">
        <v>2857</v>
      </c>
      <c r="B563" s="543" t="s">
        <v>2858</v>
      </c>
      <c r="C563" s="543" t="s">
        <v>1192</v>
      </c>
      <c r="D563" s="546" t="s">
        <v>2861</v>
      </c>
      <c r="E563" s="6">
        <f>IFERROR(INDEX(ZACATECAS!$I$7:$I$5000, MATCH(F563*1, ZACATECAS!$H$7:$H$5000, 0)), "-")</f>
        <v>12</v>
      </c>
      <c r="F563" s="544">
        <v>32140576</v>
      </c>
      <c r="G563" s="544" t="s">
        <v>1207</v>
      </c>
      <c r="H563" s="543" t="s">
        <v>2860</v>
      </c>
      <c r="I563" s="6" t="str">
        <f>IFERROR(INDEX(ZACATECAS!$N$7:$N$5000, MATCH($F563, ZACATECAS!$H$7:$H$5000, 0)), "-")</f>
        <v xml:space="preserve">CHAMPION SEGURIDAD </v>
      </c>
    </row>
    <row r="564" spans="1:9" x14ac:dyDescent="0.3">
      <c r="A564" s="543" t="s">
        <v>2857</v>
      </c>
      <c r="B564" s="543" t="s">
        <v>2858</v>
      </c>
      <c r="C564" s="543" t="s">
        <v>1192</v>
      </c>
      <c r="D564" s="546" t="s">
        <v>2861</v>
      </c>
      <c r="E564" s="6">
        <f>IFERROR(INDEX(ZACATECAS!$I$7:$I$5000, MATCH(F564*1, ZACATECAS!$H$7:$H$5000, 0)), "-")</f>
        <v>12</v>
      </c>
      <c r="F564" s="544">
        <v>32143625</v>
      </c>
      <c r="G564" s="544" t="s">
        <v>1209</v>
      </c>
      <c r="H564" s="543" t="s">
        <v>2860</v>
      </c>
      <c r="I564" s="6" t="str">
        <f>IFERROR(INDEX(ZACATECAS!$N$7:$N$5000, MATCH($F564, ZACATECAS!$H$7:$H$5000, 0)), "-")</f>
        <v>CHAMPION MANTENIMIENTO</v>
      </c>
    </row>
    <row r="565" spans="1:9" x14ac:dyDescent="0.3">
      <c r="A565" s="543" t="s">
        <v>2857</v>
      </c>
      <c r="B565" s="543" t="s">
        <v>2858</v>
      </c>
      <c r="C565" s="543" t="s">
        <v>1192</v>
      </c>
      <c r="D565" s="546" t="s">
        <v>2861</v>
      </c>
      <c r="E565" s="6">
        <f>IFERROR(INDEX(ZACATECAS!$I$7:$I$5000, MATCH(F565*1, ZACATECAS!$H$7:$H$5000, 0)), "-")</f>
        <v>12</v>
      </c>
      <c r="F565" s="544">
        <v>32143665</v>
      </c>
      <c r="G565" s="544" t="s">
        <v>1211</v>
      </c>
      <c r="H565" s="543" t="s">
        <v>2860</v>
      </c>
      <c r="I565" s="6" t="str">
        <f>IFERROR(INDEX(ZACATECAS!$N$7:$N$5000, MATCH($F565, ZACATECAS!$H$7:$H$5000, 0)), "-")</f>
        <v>CHAMPION  CALIDAD</v>
      </c>
    </row>
    <row r="566" spans="1:9" x14ac:dyDescent="0.3">
      <c r="A566" s="543" t="s">
        <v>2857</v>
      </c>
      <c r="B566" s="543" t="s">
        <v>2858</v>
      </c>
      <c r="C566" s="543" t="s">
        <v>1192</v>
      </c>
      <c r="D566" s="546" t="s">
        <v>2861</v>
      </c>
      <c r="E566" s="6">
        <f>IFERROR(INDEX(ZACATECAS!$I$7:$I$5000, MATCH(F566*1, ZACATECAS!$H$7:$H$5000, 0)), "-")</f>
        <v>12</v>
      </c>
      <c r="F566" s="544">
        <v>32150657</v>
      </c>
      <c r="G566" s="544" t="s">
        <v>1213</v>
      </c>
      <c r="H566" s="543" t="s">
        <v>2860</v>
      </c>
      <c r="I566" s="6" t="str">
        <f>IFERROR(INDEX(ZACATECAS!$N$7:$N$5000, MATCH($F566, ZACATECAS!$H$7:$H$5000, 0)), "-")</f>
        <v xml:space="preserve">APOYO SEGURIDAD </v>
      </c>
    </row>
    <row r="567" spans="1:9" x14ac:dyDescent="0.3">
      <c r="A567" s="543" t="s">
        <v>2857</v>
      </c>
      <c r="B567" s="543" t="s">
        <v>2858</v>
      </c>
      <c r="C567" s="543" t="s">
        <v>96</v>
      </c>
      <c r="D567" s="546" t="s">
        <v>2865</v>
      </c>
      <c r="E567" s="6" t="str">
        <f>IFERROR(INDEX(ZACATECAS!$I$7:$I$5000, MATCH(F567*1, ZACATECAS!$H$7:$H$5000, 0)), "-")</f>
        <v>-</v>
      </c>
      <c r="F567" s="544">
        <v>32044049</v>
      </c>
      <c r="G567" s="544" t="s">
        <v>97</v>
      </c>
      <c r="H567" s="543" t="s">
        <v>2344</v>
      </c>
      <c r="I567" s="6" t="str">
        <f>IFERROR(INDEX(ZACATECAS!$N$7:$N$5000, MATCH($F567, ZACATECAS!$H$7:$H$5000, 0)), "-")</f>
        <v>-</v>
      </c>
    </row>
    <row r="568" spans="1:9" x14ac:dyDescent="0.3">
      <c r="A568" s="543" t="s">
        <v>2857</v>
      </c>
      <c r="B568" s="543" t="s">
        <v>2858</v>
      </c>
      <c r="C568" s="543" t="s">
        <v>96</v>
      </c>
      <c r="D568" s="546" t="s">
        <v>2865</v>
      </c>
      <c r="E568" s="6" t="str">
        <f>IFERROR(INDEX(ZACATECAS!$I$7:$I$5000, MATCH(F568*1, ZACATECAS!$H$7:$H$5000, 0)), "-")</f>
        <v>Filtros-Gobierno</v>
      </c>
      <c r="F568" s="544">
        <v>32045556</v>
      </c>
      <c r="G568" s="544" t="s">
        <v>99</v>
      </c>
      <c r="H568" s="543" t="s">
        <v>2860</v>
      </c>
      <c r="I568" s="6" t="str">
        <f>IFERROR(INDEX(ZACATECAS!$N$7:$N$5000, MATCH($F568, ZACATECAS!$H$7:$H$5000, 0)), "-")</f>
        <v>AMBIENTAL</v>
      </c>
    </row>
    <row r="569" spans="1:9" x14ac:dyDescent="0.3">
      <c r="A569" s="543" t="s">
        <v>2857</v>
      </c>
      <c r="B569" s="543" t="s">
        <v>2858</v>
      </c>
      <c r="C569" s="543" t="s">
        <v>96</v>
      </c>
      <c r="D569" s="546" t="s">
        <v>2865</v>
      </c>
      <c r="E569" s="6" t="str">
        <f>IFERROR(INDEX(ZACATECAS!$I$7:$I$5000, MATCH(F569*1, ZACATECAS!$H$7:$H$5000, 0)), "-")</f>
        <v>Filtros-Gobierno</v>
      </c>
      <c r="F569" s="544">
        <v>32045410</v>
      </c>
      <c r="G569" s="544" t="s">
        <v>101</v>
      </c>
      <c r="H569" s="543" t="s">
        <v>2860</v>
      </c>
      <c r="I569" s="6" t="str">
        <f>IFERROR(INDEX(ZACATECAS!$N$7:$N$5000, MATCH($F569, ZACATECAS!$H$7:$H$5000, 0)), "-")</f>
        <v>GENTE</v>
      </c>
    </row>
    <row r="570" spans="1:9" x14ac:dyDescent="0.3">
      <c r="A570" s="543" t="s">
        <v>2857</v>
      </c>
      <c r="B570" s="543" t="s">
        <v>2858</v>
      </c>
      <c r="C570" s="543" t="s">
        <v>96</v>
      </c>
      <c r="D570" s="546" t="s">
        <v>2865</v>
      </c>
      <c r="E570" s="6" t="str">
        <f>IFERROR(INDEX(ZACATECAS!$I$7:$I$5000, MATCH(F570*1, ZACATECAS!$H$7:$H$5000, 0)), "-")</f>
        <v>Filtros-Gobierno</v>
      </c>
      <c r="F570" s="544">
        <v>32213349</v>
      </c>
      <c r="G570" s="544" t="s">
        <v>103</v>
      </c>
      <c r="H570" s="543" t="s">
        <v>2860</v>
      </c>
      <c r="I570" s="6" t="str">
        <f>IFERROR(INDEX(ZACATECAS!$N$7:$N$5000, MATCH($F570, ZACATECAS!$H$7:$H$5000, 0)), "-")</f>
        <v>MANTENIMIENTO</v>
      </c>
    </row>
    <row r="571" spans="1:9" x14ac:dyDescent="0.3">
      <c r="A571" s="543" t="s">
        <v>2857</v>
      </c>
      <c r="B571" s="543" t="s">
        <v>2858</v>
      </c>
      <c r="C571" s="543" t="s">
        <v>96</v>
      </c>
      <c r="D571" s="546" t="s">
        <v>2865</v>
      </c>
      <c r="E571" s="6" t="str">
        <f>IFERROR(INDEX(ZACATECAS!$I$7:$I$5000, MATCH(F571*1, ZACATECAS!$H$7:$H$5000, 0)), "-")</f>
        <v>Filtros-Gobierno</v>
      </c>
      <c r="F571" s="544">
        <v>32043849</v>
      </c>
      <c r="G571" s="544" t="s">
        <v>105</v>
      </c>
      <c r="H571" s="543" t="s">
        <v>2860</v>
      </c>
      <c r="I571" s="6" t="str">
        <f>IFERROR(INDEX(ZACATECAS!$N$7:$N$5000, MATCH($F571, ZACATECAS!$H$7:$H$5000, 0)), "-")</f>
        <v>CALIDAD</v>
      </c>
    </row>
    <row r="572" spans="1:9" x14ac:dyDescent="0.3">
      <c r="A572" s="543" t="s">
        <v>2857</v>
      </c>
      <c r="B572" s="543" t="s">
        <v>2858</v>
      </c>
      <c r="C572" s="543" t="s">
        <v>96</v>
      </c>
      <c r="D572" s="543" t="s">
        <v>2865</v>
      </c>
      <c r="E572" s="6" t="str">
        <f>IFERROR(INDEX(ZACATECAS!$I$7:$I$5000, MATCH(F572*1, ZACATECAS!$H$7:$H$5000, 0)), "-")</f>
        <v>Filtros-Gobierno</v>
      </c>
      <c r="F572" s="544">
        <v>32142953</v>
      </c>
      <c r="G572" s="544" t="s">
        <v>107</v>
      </c>
      <c r="H572" s="543" t="s">
        <v>2860</v>
      </c>
      <c r="I572" s="6" t="str">
        <f>IFERROR(INDEX(ZACATECAS!$N$7:$N$5000, MATCH($F572, ZACATECAS!$H$7:$H$5000, 0)), "-")</f>
        <v>LOGISTICA</v>
      </c>
    </row>
    <row r="573" spans="1:9" x14ac:dyDescent="0.3">
      <c r="A573" s="543" t="s">
        <v>2857</v>
      </c>
      <c r="B573" s="543" t="s">
        <v>2858</v>
      </c>
      <c r="C573" s="543" t="s">
        <v>109</v>
      </c>
      <c r="D573" s="543" t="s">
        <v>2865</v>
      </c>
      <c r="E573" s="6" t="str">
        <f>IFERROR(INDEX(ZACATECAS!$I$7:$I$5000, MATCH(F573*1, ZACATECAS!$H$7:$H$5000, 0)), "-")</f>
        <v>-</v>
      </c>
      <c r="F573" s="544">
        <v>32154187</v>
      </c>
      <c r="G573" s="544" t="s">
        <v>110</v>
      </c>
      <c r="H573" s="543" t="s">
        <v>2344</v>
      </c>
      <c r="I573" s="6" t="str">
        <f>IFERROR(INDEX(ZACATECAS!$N$7:$N$5000, MATCH($F573, ZACATECAS!$H$7:$H$5000, 0)), "-")</f>
        <v>-</v>
      </c>
    </row>
    <row r="574" spans="1:9" x14ac:dyDescent="0.3">
      <c r="A574" s="543" t="s">
        <v>2857</v>
      </c>
      <c r="B574" s="543" t="s">
        <v>2858</v>
      </c>
      <c r="C574" s="543" t="s">
        <v>109</v>
      </c>
      <c r="D574" s="543" t="s">
        <v>2865</v>
      </c>
      <c r="E574" s="6" t="str">
        <f>IFERROR(INDEX(ZACATECAS!$I$7:$I$5000, MATCH(F574*1, ZACATECAS!$H$7:$H$5000, 0)), "-")</f>
        <v>Filtros-Gobierno</v>
      </c>
      <c r="F574" s="544">
        <v>32201713</v>
      </c>
      <c r="G574" s="544" t="s">
        <v>112</v>
      </c>
      <c r="H574" s="543" t="s">
        <v>2860</v>
      </c>
      <c r="I574" s="6" t="str">
        <f>IFERROR(INDEX(ZACATECAS!$N$7:$N$5000, MATCH($F574, ZACATECAS!$H$7:$H$5000, 0)), "-")</f>
        <v>CALIDAD</v>
      </c>
    </row>
    <row r="575" spans="1:9" x14ac:dyDescent="0.3">
      <c r="A575" s="543" t="s">
        <v>2857</v>
      </c>
      <c r="B575" s="543" t="s">
        <v>2858</v>
      </c>
      <c r="C575" s="543" t="s">
        <v>109</v>
      </c>
      <c r="D575" s="543" t="s">
        <v>2865</v>
      </c>
      <c r="E575" s="6" t="str">
        <f>IFERROR(INDEX(ZACATECAS!$I$7:$I$5000, MATCH(F575*1, ZACATECAS!$H$7:$H$5000, 0)), "-")</f>
        <v>Filtros-Gobierno</v>
      </c>
      <c r="F575" s="544">
        <v>32045396</v>
      </c>
      <c r="G575" s="544" t="s">
        <v>114</v>
      </c>
      <c r="H575" s="543" t="s">
        <v>2860</v>
      </c>
      <c r="I575" s="6" t="str">
        <f>IFERROR(INDEX(ZACATECAS!$N$7:$N$5000, MATCH($F575, ZACATECAS!$H$7:$H$5000, 0)), "-")</f>
        <v>GENTE</v>
      </c>
    </row>
    <row r="576" spans="1:9" x14ac:dyDescent="0.3">
      <c r="A576" s="543" t="s">
        <v>2857</v>
      </c>
      <c r="B576" s="543" t="s">
        <v>2858</v>
      </c>
      <c r="C576" s="543" t="s">
        <v>109</v>
      </c>
      <c r="D576" s="543" t="s">
        <v>2865</v>
      </c>
      <c r="E576" s="6" t="str">
        <f>IFERROR(INDEX(ZACATECAS!$I$7:$I$5000, MATCH(F576*1, ZACATECAS!$H$7:$H$5000, 0)), "-")</f>
        <v>Filtros-Gobierno</v>
      </c>
      <c r="F576" s="544">
        <v>32201712</v>
      </c>
      <c r="G576" s="544" t="s">
        <v>116</v>
      </c>
      <c r="H576" s="543" t="s">
        <v>2860</v>
      </c>
      <c r="I576" s="6" t="str">
        <f>IFERROR(INDEX(ZACATECAS!$N$7:$N$5000, MATCH($F576, ZACATECAS!$H$7:$H$5000, 0)), "-")</f>
        <v>MANTENIMIENTO</v>
      </c>
    </row>
    <row r="577" spans="1:9" x14ac:dyDescent="0.3">
      <c r="A577" s="543" t="s">
        <v>2857</v>
      </c>
      <c r="B577" s="543" t="s">
        <v>2858</v>
      </c>
      <c r="C577" s="543" t="s">
        <v>109</v>
      </c>
      <c r="D577" s="543" t="s">
        <v>2865</v>
      </c>
      <c r="E577" s="6" t="str">
        <f>IFERROR(INDEX(ZACATECAS!$I$7:$I$5000, MATCH(F577*1, ZACATECAS!$H$7:$H$5000, 0)), "-")</f>
        <v>Filtros-Gobierno</v>
      </c>
      <c r="F577" s="544">
        <v>32043902</v>
      </c>
      <c r="G577" s="544" t="s">
        <v>118</v>
      </c>
      <c r="H577" s="543" t="s">
        <v>2860</v>
      </c>
      <c r="I577" s="6" t="str">
        <f>IFERROR(INDEX(ZACATECAS!$N$7:$N$5000, MATCH($F577, ZACATECAS!$H$7:$H$5000, 0)), "-")</f>
        <v>SEGURIDAD</v>
      </c>
    </row>
    <row r="578" spans="1:9" x14ac:dyDescent="0.3">
      <c r="A578" s="543" t="s">
        <v>2857</v>
      </c>
      <c r="B578" s="543" t="s">
        <v>2858</v>
      </c>
      <c r="C578" s="543" t="s">
        <v>2030</v>
      </c>
      <c r="D578" s="543" t="s">
        <v>2864</v>
      </c>
      <c r="E578" s="6" t="str">
        <f>IFERROR(INDEX(ZACATECAS!$I$7:$I$5000, MATCH(F578*1, ZACATECAS!$H$7:$H$5000, 0)), "-")</f>
        <v>-</v>
      </c>
      <c r="F578" s="544">
        <v>32044637</v>
      </c>
      <c r="G578" s="544" t="s">
        <v>2031</v>
      </c>
      <c r="H578" s="543" t="s">
        <v>2344</v>
      </c>
      <c r="I578" s="6" t="str">
        <f>IFERROR(INDEX(ZACATECAS!$N$7:$N$5000, MATCH($F578, ZACATECAS!$H$7:$H$5000, 0)), "-")</f>
        <v>-</v>
      </c>
    </row>
    <row r="579" spans="1:9" x14ac:dyDescent="0.3">
      <c r="A579" s="543" t="s">
        <v>2857</v>
      </c>
      <c r="B579" s="543" t="s">
        <v>2858</v>
      </c>
      <c r="C579" s="543" t="s">
        <v>2030</v>
      </c>
      <c r="D579" s="543" t="s">
        <v>2864</v>
      </c>
      <c r="E579" s="6" t="str">
        <f>IFERROR(INDEX(ZACATECAS!$I$7:$I$5000, MATCH(F579*1, ZACATECAS!$H$7:$H$5000, 0)), "-")</f>
        <v>TRATOS DE AGUA</v>
      </c>
      <c r="F579" s="544">
        <v>32043794</v>
      </c>
      <c r="G579" s="544" t="s">
        <v>2033</v>
      </c>
      <c r="H579" s="543" t="s">
        <v>2860</v>
      </c>
      <c r="I579" s="6" t="str">
        <f>IFERROR(INDEX(ZACATECAS!$N$7:$N$5000, MATCH($F579, ZACATECAS!$H$7:$H$5000, 0)), "-")</f>
        <v>CHAMPION SEGURIDAD</v>
      </c>
    </row>
    <row r="580" spans="1:9" x14ac:dyDescent="0.3">
      <c r="A580" s="543" t="s">
        <v>2857</v>
      </c>
      <c r="B580" s="543" t="s">
        <v>2858</v>
      </c>
      <c r="C580" s="543" t="s">
        <v>2030</v>
      </c>
      <c r="D580" s="543" t="s">
        <v>2864</v>
      </c>
      <c r="E580" s="6" t="str">
        <f>IFERROR(INDEX(ZACATECAS!$I$7:$I$5000, MATCH(F580*1, ZACATECAS!$H$7:$H$5000, 0)), "-")</f>
        <v>TRATOS DE AGUA</v>
      </c>
      <c r="F580" s="544">
        <v>32181713</v>
      </c>
      <c r="G580" s="544" t="s">
        <v>2035</v>
      </c>
      <c r="H580" s="543" t="s">
        <v>2860</v>
      </c>
      <c r="I580" s="6" t="str">
        <f>IFERROR(INDEX(ZACATECAS!$N$7:$N$5000, MATCH($F580, ZACATECAS!$H$7:$H$5000, 0)), "-")</f>
        <v>CHAMPION AMBIENTAL</v>
      </c>
    </row>
    <row r="581" spans="1:9" x14ac:dyDescent="0.3">
      <c r="A581" s="543" t="s">
        <v>2857</v>
      </c>
      <c r="B581" s="543" t="s">
        <v>2858</v>
      </c>
      <c r="C581" s="543" t="s">
        <v>2030</v>
      </c>
      <c r="D581" s="543" t="s">
        <v>2864</v>
      </c>
      <c r="E581" s="6" t="str">
        <f>IFERROR(INDEX(ZACATECAS!$I$7:$I$5000, MATCH(F581*1, ZACATECAS!$H$7:$H$5000, 0)), "-")</f>
        <v>TRATOS DE AGUA</v>
      </c>
      <c r="F581" s="544">
        <v>32043868</v>
      </c>
      <c r="G581" s="544" t="s">
        <v>2037</v>
      </c>
      <c r="H581" s="543" t="s">
        <v>2860</v>
      </c>
      <c r="I581" s="6" t="str">
        <f>IFERROR(INDEX(ZACATECAS!$N$7:$N$5000, MATCH($F581, ZACATECAS!$H$7:$H$5000, 0)), "-")</f>
        <v>CHAMPION MANTENIMIENTO</v>
      </c>
    </row>
    <row r="582" spans="1:9" x14ac:dyDescent="0.3">
      <c r="A582" s="543" t="s">
        <v>2857</v>
      </c>
      <c r="B582" s="543" t="s">
        <v>2858</v>
      </c>
      <c r="C582" s="543" t="s">
        <v>2030</v>
      </c>
      <c r="D582" s="543" t="s">
        <v>2864</v>
      </c>
      <c r="E582" s="6" t="str">
        <f>IFERROR(INDEX(ZACATECAS!$I$7:$I$5000, MATCH(F582*1, ZACATECAS!$H$7:$H$5000, 0)), "-")</f>
        <v>TRATOS DE AGUA</v>
      </c>
      <c r="F582" s="544">
        <v>32233422</v>
      </c>
      <c r="G582" s="544" t="s">
        <v>2039</v>
      </c>
      <c r="H582" s="543" t="s">
        <v>2860</v>
      </c>
      <c r="I582" s="6" t="str">
        <f>IFERROR(INDEX(ZACATECAS!$N$7:$N$5000, MATCH($F582, ZACATECAS!$H$7:$H$5000, 0)), "-")</f>
        <v>CHAMPION G&amp;G</v>
      </c>
    </row>
    <row r="583" spans="1:9" x14ac:dyDescent="0.3">
      <c r="A583" s="543" t="s">
        <v>2857</v>
      </c>
      <c r="B583" s="543" t="s">
        <v>2858</v>
      </c>
      <c r="C583" s="543" t="s">
        <v>120</v>
      </c>
      <c r="D583" s="543" t="s">
        <v>2865</v>
      </c>
      <c r="E583" s="6" t="str">
        <f>IFERROR(INDEX(ZACATECAS!$I$7:$I$5000, MATCH(F583*1, ZACATECAS!$H$7:$H$5000, 0)), "-")</f>
        <v>-</v>
      </c>
      <c r="F583" s="544">
        <v>32146677</v>
      </c>
      <c r="G583" s="544" t="s">
        <v>121</v>
      </c>
      <c r="H583" s="543" t="s">
        <v>2344</v>
      </c>
      <c r="I583" s="6" t="str">
        <f>IFERROR(INDEX(ZACATECAS!$N$7:$N$5000, MATCH($F583, ZACATECAS!$H$7:$H$5000, 0)), "-")</f>
        <v>-</v>
      </c>
    </row>
    <row r="584" spans="1:9" x14ac:dyDescent="0.3">
      <c r="A584" s="543" t="s">
        <v>2857</v>
      </c>
      <c r="B584" s="543" t="s">
        <v>2858</v>
      </c>
      <c r="C584" s="543" t="s">
        <v>120</v>
      </c>
      <c r="D584" s="543" t="s">
        <v>2865</v>
      </c>
      <c r="E584" s="6" t="str">
        <f>IFERROR(INDEX(ZACATECAS!$I$7:$I$5000, MATCH(F584*1, ZACATECAS!$H$7:$H$5000, 0)), "-")</f>
        <v>Fermentación</v>
      </c>
      <c r="F584" s="544">
        <v>32044036</v>
      </c>
      <c r="G584" s="544" t="s">
        <v>123</v>
      </c>
      <c r="H584" s="543" t="s">
        <v>2860</v>
      </c>
      <c r="I584" s="6" t="str">
        <f>IFERROR(INDEX(ZACATECAS!$N$7:$N$5000, MATCH($F584, ZACATECAS!$H$7:$H$5000, 0)), "-")</f>
        <v>Gente</v>
      </c>
    </row>
    <row r="585" spans="1:9" x14ac:dyDescent="0.3">
      <c r="A585" s="543" t="s">
        <v>2857</v>
      </c>
      <c r="B585" s="543" t="s">
        <v>2858</v>
      </c>
      <c r="C585" s="543" t="s">
        <v>120</v>
      </c>
      <c r="D585" s="543" t="s">
        <v>2865</v>
      </c>
      <c r="E585" s="6" t="str">
        <f>IFERROR(INDEX(ZACATECAS!$I$7:$I$5000, MATCH(F585*1, ZACATECAS!$H$7:$H$5000, 0)), "-")</f>
        <v>Fermentación</v>
      </c>
      <c r="F585" s="544">
        <v>32044447</v>
      </c>
      <c r="G585" s="544" t="s">
        <v>126</v>
      </c>
      <c r="H585" s="543" t="s">
        <v>2860</v>
      </c>
      <c r="I585" s="6" t="str">
        <f>IFERROR(INDEX(ZACATECAS!$N$7:$N$5000, MATCH($F585, ZACATECAS!$H$7:$H$5000, 0)), "-")</f>
        <v>Logistica</v>
      </c>
    </row>
    <row r="586" spans="1:9" x14ac:dyDescent="0.3">
      <c r="A586" s="543" t="s">
        <v>2857</v>
      </c>
      <c r="B586" s="543" t="s">
        <v>2858</v>
      </c>
      <c r="C586" s="543" t="s">
        <v>120</v>
      </c>
      <c r="D586" s="543" t="s">
        <v>2865</v>
      </c>
      <c r="E586" s="6" t="str">
        <f>IFERROR(INDEX(ZACATECAS!$I$7:$I$5000, MATCH(F586*1, ZACATECAS!$H$7:$H$5000, 0)), "-")</f>
        <v>Fermentación</v>
      </c>
      <c r="F586" s="544">
        <v>32044771</v>
      </c>
      <c r="G586" s="544" t="s">
        <v>129</v>
      </c>
      <c r="H586" s="543" t="s">
        <v>2860</v>
      </c>
      <c r="I586" s="6" t="str">
        <f>IFERROR(INDEX(ZACATECAS!$N$7:$N$5000, MATCH($F586, ZACATECAS!$H$7:$H$5000, 0)), "-")</f>
        <v xml:space="preserve">GESTIÓN </v>
      </c>
    </row>
    <row r="587" spans="1:9" x14ac:dyDescent="0.3">
      <c r="A587" s="543" t="s">
        <v>2857</v>
      </c>
      <c r="B587" s="543" t="s">
        <v>2858</v>
      </c>
      <c r="C587" s="543" t="s">
        <v>120</v>
      </c>
      <c r="D587" s="543" t="s">
        <v>2865</v>
      </c>
      <c r="E587" s="6" t="str">
        <f>IFERROR(INDEX(ZACATECAS!$I$7:$I$5000, MATCH(F587*1, ZACATECAS!$H$7:$H$5000, 0)), "-")</f>
        <v>Fermentación</v>
      </c>
      <c r="F587" s="544">
        <v>32213345</v>
      </c>
      <c r="G587" s="544" t="s">
        <v>131</v>
      </c>
      <c r="H587" s="543" t="s">
        <v>2860</v>
      </c>
      <c r="I587" s="6" t="str">
        <f>IFERROR(INDEX(ZACATECAS!$N$7:$N$5000, MATCH($F587, ZACATECAS!$H$7:$H$5000, 0)), "-")</f>
        <v>LOGISTICA</v>
      </c>
    </row>
    <row r="588" spans="1:9" x14ac:dyDescent="0.3">
      <c r="A588" s="543" t="s">
        <v>2857</v>
      </c>
      <c r="B588" s="543" t="s">
        <v>2858</v>
      </c>
      <c r="C588" s="543" t="s">
        <v>120</v>
      </c>
      <c r="D588" s="543" t="s">
        <v>2865</v>
      </c>
      <c r="E588" s="6" t="str">
        <f>IFERROR(INDEX(ZACATECAS!$I$7:$I$5000, MATCH(F588*1, ZACATECAS!$H$7:$H$5000, 0)), "-")</f>
        <v>Fermentación</v>
      </c>
      <c r="F588" s="544">
        <v>32044514</v>
      </c>
      <c r="G588" s="544" t="s">
        <v>133</v>
      </c>
      <c r="H588" s="543" t="s">
        <v>2860</v>
      </c>
      <c r="I588" s="6" t="str">
        <f>IFERROR(INDEX(ZACATECAS!$N$7:$N$5000, MATCH($F588, ZACATECAS!$H$7:$H$5000, 0)), "-")</f>
        <v>MANTENIMIENTO</v>
      </c>
    </row>
    <row r="589" spans="1:9" x14ac:dyDescent="0.3">
      <c r="A589" s="543" t="s">
        <v>2857</v>
      </c>
      <c r="B589" s="543" t="s">
        <v>2858</v>
      </c>
      <c r="C589" s="543" t="s">
        <v>120</v>
      </c>
      <c r="D589" s="543" t="s">
        <v>2865</v>
      </c>
      <c r="E589" s="6" t="str">
        <f>IFERROR(INDEX(ZACATECAS!$I$7:$I$5000, MATCH(F589*1, ZACATECAS!$H$7:$H$5000, 0)), "-")</f>
        <v>Fermentación</v>
      </c>
      <c r="F589" s="544">
        <v>32043880</v>
      </c>
      <c r="G589" s="544" t="s">
        <v>135</v>
      </c>
      <c r="H589" s="543" t="s">
        <v>2860</v>
      </c>
      <c r="I589" s="6" t="str">
        <f>IFERROR(INDEX(ZACATECAS!$N$7:$N$5000, MATCH($F589, ZACATECAS!$H$7:$H$5000, 0)), "-")</f>
        <v>AMBIENTAL</v>
      </c>
    </row>
    <row r="590" spans="1:9" x14ac:dyDescent="0.3">
      <c r="A590" s="543" t="s">
        <v>2857</v>
      </c>
      <c r="B590" s="543" t="s">
        <v>2858</v>
      </c>
      <c r="C590" s="543" t="s">
        <v>120</v>
      </c>
      <c r="D590" s="543" t="s">
        <v>2865</v>
      </c>
      <c r="E590" s="6" t="str">
        <f>IFERROR(INDEX(ZACATECAS!$I$7:$I$5000, MATCH(F590*1, ZACATECAS!$H$7:$H$5000, 0)), "-")</f>
        <v>Fermentación</v>
      </c>
      <c r="F590" s="544">
        <v>32044513</v>
      </c>
      <c r="G590" s="544" t="s">
        <v>137</v>
      </c>
      <c r="H590" s="543" t="s">
        <v>2860</v>
      </c>
      <c r="I590" s="6" t="str">
        <f>IFERROR(INDEX(ZACATECAS!$N$7:$N$5000, MATCH($F590, ZACATECAS!$H$7:$H$5000, 0)), "-")</f>
        <v>SEGURIDAD</v>
      </c>
    </row>
    <row r="591" spans="1:9" x14ac:dyDescent="0.3">
      <c r="A591" s="543" t="s">
        <v>2857</v>
      </c>
      <c r="B591" s="543" t="s">
        <v>2858</v>
      </c>
      <c r="C591" s="543" t="s">
        <v>139</v>
      </c>
      <c r="D591" s="543" t="s">
        <v>2865</v>
      </c>
      <c r="E591" s="6" t="str">
        <f>IFERROR(INDEX(ZACATECAS!$I$7:$I$5000, MATCH(F591*1, ZACATECAS!$H$7:$H$5000, 0)), "-")</f>
        <v>-</v>
      </c>
      <c r="F591" s="546">
        <v>32046063</v>
      </c>
      <c r="G591" s="546" t="s">
        <v>140</v>
      </c>
      <c r="H591" s="543" t="s">
        <v>2344</v>
      </c>
      <c r="I591" s="6" t="str">
        <f>IFERROR(INDEX(ZACATECAS!$N$7:$N$5000, MATCH($F591, ZACATECAS!$H$7:$H$5000, 0)), "-")</f>
        <v>-</v>
      </c>
    </row>
    <row r="592" spans="1:9" x14ac:dyDescent="0.3">
      <c r="A592" s="543" t="s">
        <v>2857</v>
      </c>
      <c r="B592" s="543" t="s">
        <v>2858</v>
      </c>
      <c r="C592" s="543" t="s">
        <v>139</v>
      </c>
      <c r="D592" s="543" t="s">
        <v>2865</v>
      </c>
      <c r="E592" s="6" t="str">
        <f>IFERROR(INDEX(ZACATECAS!$I$7:$I$5000, MATCH(F592*1, ZACATECAS!$H$7:$H$5000, 0)), "-")</f>
        <v>Filtros-Gobierno</v>
      </c>
      <c r="F592" s="544">
        <v>32045574</v>
      </c>
      <c r="G592" s="544" t="s">
        <v>142</v>
      </c>
      <c r="H592" s="543" t="s">
        <v>2860</v>
      </c>
      <c r="I592" s="6" t="str">
        <f>IFERROR(INDEX(ZACATECAS!$N$7:$N$5000, MATCH($F592, ZACATECAS!$H$7:$H$5000, 0)), "-")</f>
        <v>CALIDAD</v>
      </c>
    </row>
    <row r="593" spans="1:9" x14ac:dyDescent="0.3">
      <c r="A593" s="543" t="s">
        <v>2857</v>
      </c>
      <c r="B593" s="543" t="s">
        <v>2858</v>
      </c>
      <c r="C593" s="543" t="s">
        <v>139</v>
      </c>
      <c r="D593" s="543" t="s">
        <v>2865</v>
      </c>
      <c r="E593" s="6" t="str">
        <f>IFERROR(INDEX(ZACATECAS!$I$7:$I$5000, MATCH(F593*1, ZACATECAS!$H$7:$H$5000, 0)), "-")</f>
        <v>Filtros-Gobierno</v>
      </c>
      <c r="F593" s="544">
        <v>32222223</v>
      </c>
      <c r="G593" s="544" t="s">
        <v>144</v>
      </c>
      <c r="H593" s="543" t="s">
        <v>2860</v>
      </c>
      <c r="I593" s="6" t="str">
        <f>IFERROR(INDEX(ZACATECAS!$N$7:$N$5000, MATCH($F593, ZACATECAS!$H$7:$H$5000, 0)), "-")</f>
        <v>MANTENIMIENTO</v>
      </c>
    </row>
    <row r="594" spans="1:9" x14ac:dyDescent="0.3">
      <c r="A594" s="543" t="s">
        <v>2857</v>
      </c>
      <c r="B594" s="543" t="s">
        <v>2858</v>
      </c>
      <c r="C594" s="543" t="s">
        <v>139</v>
      </c>
      <c r="D594" s="543" t="s">
        <v>2865</v>
      </c>
      <c r="E594" s="6" t="str">
        <f>IFERROR(INDEX(ZACATECAS!$I$7:$I$5000, MATCH(F594*1, ZACATECAS!$H$7:$H$5000, 0)), "-")</f>
        <v>Filtros-Gobierno</v>
      </c>
      <c r="F594" s="544">
        <v>32111307</v>
      </c>
      <c r="G594" s="544" t="s">
        <v>146</v>
      </c>
      <c r="H594" s="543" t="s">
        <v>2860</v>
      </c>
      <c r="I594" s="6" t="str">
        <f>IFERROR(INDEX(ZACATECAS!$N$7:$N$5000, MATCH($F594, ZACATECAS!$H$7:$H$5000, 0)), "-")</f>
        <v>SEGURIDAD</v>
      </c>
    </row>
    <row r="595" spans="1:9" x14ac:dyDescent="0.3">
      <c r="A595" s="543" t="s">
        <v>2857</v>
      </c>
      <c r="B595" s="543" t="s">
        <v>2858</v>
      </c>
      <c r="C595" s="543" t="s">
        <v>139</v>
      </c>
      <c r="D595" s="543" t="s">
        <v>2865</v>
      </c>
      <c r="E595" s="6" t="str">
        <f>IFERROR(INDEX(ZACATECAS!$I$7:$I$5000, MATCH(F595*1, ZACATECAS!$H$7:$H$5000, 0)), "-")</f>
        <v>Filtros-Gobierno</v>
      </c>
      <c r="F595" s="544">
        <v>32043891</v>
      </c>
      <c r="G595" s="544" t="s">
        <v>148</v>
      </c>
      <c r="H595" s="543" t="s">
        <v>2860</v>
      </c>
      <c r="I595" s="6" t="str">
        <f>IFERROR(INDEX(ZACATECAS!$N$7:$N$5000, MATCH($F595, ZACATECAS!$H$7:$H$5000, 0)), "-")</f>
        <v>AMBIENTAL</v>
      </c>
    </row>
    <row r="596" spans="1:9" x14ac:dyDescent="0.3">
      <c r="A596" s="543" t="s">
        <v>2857</v>
      </c>
      <c r="B596" s="543" t="s">
        <v>2858</v>
      </c>
      <c r="C596" s="543" t="s">
        <v>1819</v>
      </c>
      <c r="D596" s="543" t="s">
        <v>2869</v>
      </c>
      <c r="E596" s="6" t="str">
        <f>IFERROR(INDEX(ZACATECAS!$I$7:$I$5000, MATCH(F596*1, ZACATECAS!$H$7:$H$5000, 0)), "-")</f>
        <v>-</v>
      </c>
      <c r="F596" s="544">
        <v>32218551</v>
      </c>
      <c r="G596" s="544" t="s">
        <v>1820</v>
      </c>
      <c r="H596" s="543" t="s">
        <v>2344</v>
      </c>
      <c r="I596" s="6" t="str">
        <f>IFERROR(INDEX(ZACATECAS!$N$7:$N$5000, MATCH($F596, ZACATECAS!$H$7:$H$5000, 0)), "-")</f>
        <v>-</v>
      </c>
    </row>
    <row r="597" spans="1:9" x14ac:dyDescent="0.3">
      <c r="A597" s="543" t="s">
        <v>2857</v>
      </c>
      <c r="B597" s="543" t="s">
        <v>2858</v>
      </c>
      <c r="C597" s="543" t="s">
        <v>1819</v>
      </c>
      <c r="D597" s="543" t="s">
        <v>2869</v>
      </c>
      <c r="E597" s="6" t="str">
        <f>IFERROR(INDEX(ZACATECAS!$I$7:$I$5000, MATCH(F597*1, ZACATECAS!$H$7:$H$5000, 0)), "-")</f>
        <v xml:space="preserve">RECEPCION </v>
      </c>
      <c r="F597" s="546">
        <v>32092191</v>
      </c>
      <c r="G597" s="544" t="s">
        <v>1821</v>
      </c>
      <c r="H597" s="543" t="s">
        <v>2860</v>
      </c>
      <c r="I597" s="6" t="str">
        <f>IFERROR(INDEX(ZACATECAS!$N$7:$N$5000, MATCH($F597, ZACATECAS!$H$7:$H$5000, 0)), "-")</f>
        <v>Champion Calidad</v>
      </c>
    </row>
    <row r="598" spans="1:9" x14ac:dyDescent="0.3">
      <c r="A598" s="543" t="s">
        <v>2857</v>
      </c>
      <c r="B598" s="543" t="s">
        <v>2858</v>
      </c>
      <c r="C598" s="543" t="s">
        <v>1819</v>
      </c>
      <c r="D598" s="543" t="s">
        <v>2869</v>
      </c>
      <c r="E598" s="6" t="str">
        <f>IFERROR(INDEX(ZACATECAS!$I$7:$I$5000, MATCH(F598*1, ZACATECAS!$H$7:$H$5000, 0)), "-")</f>
        <v xml:space="preserve">RECEPCION </v>
      </c>
      <c r="F598" s="544">
        <v>32068982</v>
      </c>
      <c r="G598" s="544" t="s">
        <v>1822</v>
      </c>
      <c r="H598" s="543" t="s">
        <v>2860</v>
      </c>
      <c r="I598" s="6" t="str">
        <f>IFERROR(INDEX(ZACATECAS!$N$7:$N$5000, MATCH($F598, ZACATECAS!$H$7:$H$5000, 0)), "-")</f>
        <v>Champion de People</v>
      </c>
    </row>
    <row r="599" spans="1:9" x14ac:dyDescent="0.3">
      <c r="A599" s="543" t="s">
        <v>2857</v>
      </c>
      <c r="B599" s="543" t="s">
        <v>2858</v>
      </c>
      <c r="C599" s="543" t="s">
        <v>1819</v>
      </c>
      <c r="D599" s="543" t="s">
        <v>2869</v>
      </c>
      <c r="E599" s="6" t="str">
        <f>IFERROR(INDEX(ZACATECAS!$I$7:$I$5000, MATCH(F599*1, ZACATECAS!$H$7:$H$5000, 0)), "-")</f>
        <v xml:space="preserve">RECEPCION </v>
      </c>
      <c r="F599" s="544">
        <v>32045738</v>
      </c>
      <c r="G599" s="544" t="s">
        <v>1823</v>
      </c>
      <c r="H599" s="543" t="s">
        <v>2860</v>
      </c>
      <c r="I599" s="6" t="str">
        <f>IFERROR(INDEX(ZACATECAS!$N$7:$N$5000, MATCH($F599, ZACATECAS!$H$7:$H$5000, 0)), "-")</f>
        <v>Champion de People</v>
      </c>
    </row>
    <row r="600" spans="1:9" x14ac:dyDescent="0.3">
      <c r="A600" s="543" t="s">
        <v>2857</v>
      </c>
      <c r="B600" s="543" t="s">
        <v>2858</v>
      </c>
      <c r="C600" s="543" t="s">
        <v>1819</v>
      </c>
      <c r="D600" s="543" t="s">
        <v>2869</v>
      </c>
      <c r="E600" s="6" t="str">
        <f>IFERROR(INDEX(ZACATECAS!$I$7:$I$5000, MATCH(F600*1, ZACATECAS!$H$7:$H$5000, 0)), "-")</f>
        <v xml:space="preserve">RECEPCION </v>
      </c>
      <c r="F600" s="544">
        <v>32044587</v>
      </c>
      <c r="G600" s="544" t="s">
        <v>1824</v>
      </c>
      <c r="H600" s="543" t="s">
        <v>2860</v>
      </c>
      <c r="I600" s="6" t="str">
        <f>IFERROR(INDEX(ZACATECAS!$N$7:$N$5000, MATCH($F600, ZACATECAS!$H$7:$H$5000, 0)), "-")</f>
        <v>Champion de Seguridad</v>
      </c>
    </row>
    <row r="601" spans="1:9" x14ac:dyDescent="0.3">
      <c r="A601" s="543" t="s">
        <v>2857</v>
      </c>
      <c r="B601" s="543" t="s">
        <v>2858</v>
      </c>
      <c r="C601" s="543" t="s">
        <v>1819</v>
      </c>
      <c r="D601" s="543" t="s">
        <v>2869</v>
      </c>
      <c r="E601" s="6" t="str">
        <f>IFERROR(INDEX(ZACATECAS!$I$7:$I$5000, MATCH(F601*1, ZACATECAS!$H$7:$H$5000, 0)), "-")</f>
        <v xml:space="preserve">RECEPCION </v>
      </c>
      <c r="F601" s="544">
        <v>32044948</v>
      </c>
      <c r="G601" s="544" t="s">
        <v>1825</v>
      </c>
      <c r="H601" s="543" t="s">
        <v>2860</v>
      </c>
      <c r="I601" s="6" t="str">
        <f>IFERROR(INDEX(ZACATECAS!$N$7:$N$5000, MATCH($F601, ZACATECAS!$H$7:$H$5000, 0)), "-")</f>
        <v>Champion de Mantenimiento</v>
      </c>
    </row>
    <row r="602" spans="1:9" x14ac:dyDescent="0.3">
      <c r="A602" s="543" t="s">
        <v>2857</v>
      </c>
      <c r="B602" s="543" t="s">
        <v>2858</v>
      </c>
      <c r="C602" s="543" t="s">
        <v>1819</v>
      </c>
      <c r="D602" s="543" t="s">
        <v>2869</v>
      </c>
      <c r="E602" s="6" t="str">
        <f>IFERROR(INDEX(ZACATECAS!$I$7:$I$5000, MATCH(F602*1, ZACATECAS!$H$7:$H$5000, 0)), "-")</f>
        <v xml:space="preserve">RECEPCION </v>
      </c>
      <c r="F602" s="544">
        <v>32046091</v>
      </c>
      <c r="G602" s="544" t="s">
        <v>1826</v>
      </c>
      <c r="H602" s="543" t="s">
        <v>2860</v>
      </c>
      <c r="I602" s="6" t="str">
        <f>IFERROR(INDEX(ZACATECAS!$N$7:$N$5000, MATCH($F602, ZACATECAS!$H$7:$H$5000, 0)), "-")</f>
        <v>Champion de Medio Ambiente</v>
      </c>
    </row>
    <row r="603" spans="1:9" x14ac:dyDescent="0.3">
      <c r="A603" s="543" t="s">
        <v>2857</v>
      </c>
      <c r="B603" s="543" t="s">
        <v>2858</v>
      </c>
      <c r="C603" s="543" t="s">
        <v>1819</v>
      </c>
      <c r="D603" s="543" t="s">
        <v>2869</v>
      </c>
      <c r="E603" s="6" t="str">
        <f>IFERROR(INDEX(ZACATECAS!$I$7:$I$5000, MATCH(F603*1, ZACATECAS!$H$7:$H$5000, 0)), "-")</f>
        <v xml:space="preserve">RECEPCION </v>
      </c>
      <c r="F603" s="544">
        <v>32046333</v>
      </c>
      <c r="G603" s="544" t="s">
        <v>1827</v>
      </c>
      <c r="H603" s="543" t="s">
        <v>2860</v>
      </c>
      <c r="I603" s="6" t="str">
        <f>IFERROR(INDEX(ZACATECAS!$N$7:$N$5000, MATCH($F603, ZACATECAS!$H$7:$H$5000, 0)), "-")</f>
        <v>Champion de logística</v>
      </c>
    </row>
    <row r="604" spans="1:9" x14ac:dyDescent="0.3">
      <c r="A604" s="543" t="s">
        <v>2857</v>
      </c>
      <c r="B604" s="543" t="s">
        <v>2858</v>
      </c>
      <c r="C604" s="543" t="s">
        <v>1819</v>
      </c>
      <c r="D604" s="546" t="s">
        <v>2869</v>
      </c>
      <c r="E604" s="6" t="str">
        <f>IFERROR(INDEX(ZACATECAS!$I$7:$I$5000, MATCH(F604*1, ZACATECAS!$H$7:$H$5000, 0)), "-")</f>
        <v xml:space="preserve">RECEPCION </v>
      </c>
      <c r="F604" s="546">
        <v>32046427</v>
      </c>
      <c r="G604" s="544" t="s">
        <v>1828</v>
      </c>
      <c r="H604" s="543" t="s">
        <v>2860</v>
      </c>
      <c r="I604" s="6" t="str">
        <f>IFERROR(INDEX(ZACATECAS!$N$7:$N$5000, MATCH($F604, ZACATECAS!$H$7:$H$5000, 0)), "-")</f>
        <v>Champion Gestión</v>
      </c>
    </row>
    <row r="605" spans="1:9" x14ac:dyDescent="0.3">
      <c r="A605" s="543" t="s">
        <v>2857</v>
      </c>
      <c r="B605" s="543" t="s">
        <v>2858</v>
      </c>
      <c r="C605" s="543" t="s">
        <v>1819</v>
      </c>
      <c r="D605" s="546" t="s">
        <v>2869</v>
      </c>
      <c r="E605" s="6" t="str">
        <f>IFERROR(INDEX(ZACATECAS!$I$7:$I$5000, MATCH(F605*1, ZACATECAS!$H$7:$H$5000, 0)), "-")</f>
        <v xml:space="preserve">RECEPCION </v>
      </c>
      <c r="F605" s="544">
        <v>32091768</v>
      </c>
      <c r="G605" s="544" t="s">
        <v>1829</v>
      </c>
      <c r="H605" s="543" t="s">
        <v>2860</v>
      </c>
      <c r="I605" s="6" t="str">
        <f>IFERROR(INDEX(ZACATECAS!$N$7:$N$5000, MATCH($F605, ZACATECAS!$H$7:$H$5000, 0)), "-")</f>
        <v>Champion Calidad</v>
      </c>
    </row>
    <row r="606" spans="1:9" x14ac:dyDescent="0.3">
      <c r="A606" s="543" t="s">
        <v>2857</v>
      </c>
      <c r="B606" s="543" t="s">
        <v>2858</v>
      </c>
      <c r="C606" s="543" t="s">
        <v>1819</v>
      </c>
      <c r="D606" s="546" t="s">
        <v>2869</v>
      </c>
      <c r="E606" s="6" t="str">
        <f>IFERROR(INDEX(ZACATECAS!$I$7:$I$5000, MATCH(F606*1, ZACATECAS!$H$7:$H$5000, 0)), "-")</f>
        <v xml:space="preserve">RECEPCION </v>
      </c>
      <c r="F606" s="544">
        <v>32044598</v>
      </c>
      <c r="G606" s="544" t="s">
        <v>1830</v>
      </c>
      <c r="H606" s="543" t="s">
        <v>2860</v>
      </c>
      <c r="I606" s="6" t="str">
        <f>IFERROR(INDEX(ZACATECAS!$N$7:$N$5000, MATCH($F606, ZACATECAS!$H$7:$H$5000, 0)), "-")</f>
        <v>Champion de Mantenimiento</v>
      </c>
    </row>
    <row r="607" spans="1:9" x14ac:dyDescent="0.3">
      <c r="A607" s="543" t="s">
        <v>2857</v>
      </c>
      <c r="B607" s="543" t="s">
        <v>2858</v>
      </c>
      <c r="C607" s="543" t="s">
        <v>780</v>
      </c>
      <c r="D607" s="546" t="s">
        <v>2861</v>
      </c>
      <c r="E607" s="6" t="str">
        <f>IFERROR(INDEX(ZACATECAS!$I$7:$I$5000, MATCH(F607*1, ZACATECAS!$H$7:$H$5000, 0)), "-")</f>
        <v>-</v>
      </c>
      <c r="F607" s="544">
        <v>32168009</v>
      </c>
      <c r="G607" s="544" t="s">
        <v>781</v>
      </c>
      <c r="H607" s="543" t="s">
        <v>2344</v>
      </c>
      <c r="I607" s="6" t="str">
        <f>IFERROR(INDEX(ZACATECAS!$N$7:$N$5000, MATCH($F607, ZACATECAS!$H$7:$H$5000, 0)), "-")</f>
        <v>-</v>
      </c>
    </row>
    <row r="608" spans="1:9" x14ac:dyDescent="0.3">
      <c r="A608" s="543" t="s">
        <v>2857</v>
      </c>
      <c r="B608" s="543" t="s">
        <v>2858</v>
      </c>
      <c r="C608" s="543" t="s">
        <v>780</v>
      </c>
      <c r="D608" s="546" t="s">
        <v>2861</v>
      </c>
      <c r="E608" s="6">
        <f>IFERROR(INDEX(ZACATECAS!$I$7:$I$5000, MATCH(F608*1, ZACATECAS!$H$7:$H$5000, 0)), "-")</f>
        <v>6</v>
      </c>
      <c r="F608" s="544">
        <v>32043943</v>
      </c>
      <c r="G608" s="544" t="s">
        <v>783</v>
      </c>
      <c r="H608" s="543" t="s">
        <v>2860</v>
      </c>
      <c r="I608" s="6" t="str">
        <f>IFERROR(INDEX(ZACATECAS!$N$7:$N$5000, MATCH($F608, ZACATECAS!$H$7:$H$5000, 0)), "-")</f>
        <v>APOYO MANTENIMIENTO</v>
      </c>
    </row>
    <row r="609" spans="1:9" x14ac:dyDescent="0.3">
      <c r="A609" s="543" t="s">
        <v>2857</v>
      </c>
      <c r="B609" s="543" t="s">
        <v>2858</v>
      </c>
      <c r="C609" s="543" t="s">
        <v>780</v>
      </c>
      <c r="D609" s="546" t="s">
        <v>2861</v>
      </c>
      <c r="E609" s="6">
        <f>IFERROR(INDEX(ZACATECAS!$I$7:$I$5000, MATCH(F609*1, ZACATECAS!$H$7:$H$5000, 0)), "-")</f>
        <v>6</v>
      </c>
      <c r="F609" s="544">
        <v>32044354</v>
      </c>
      <c r="G609" s="544" t="s">
        <v>785</v>
      </c>
      <c r="H609" s="543" t="s">
        <v>2860</v>
      </c>
      <c r="I609" s="6" t="str">
        <f>IFERROR(INDEX(ZACATECAS!$N$7:$N$5000, MATCH($F609, ZACATECAS!$H$7:$H$5000, 0)), "-")</f>
        <v>APOYO GESTION</v>
      </c>
    </row>
    <row r="610" spans="1:9" x14ac:dyDescent="0.3">
      <c r="A610" s="543" t="s">
        <v>2857</v>
      </c>
      <c r="B610" s="543" t="s">
        <v>2858</v>
      </c>
      <c r="C610" s="543" t="s">
        <v>780</v>
      </c>
      <c r="D610" s="546" t="s">
        <v>2861</v>
      </c>
      <c r="E610" s="6">
        <f>IFERROR(INDEX(ZACATECAS!$I$7:$I$5000, MATCH(F610*1, ZACATECAS!$H$7:$H$5000, 0)), "-")</f>
        <v>6</v>
      </c>
      <c r="F610" s="544">
        <v>32044444</v>
      </c>
      <c r="G610" s="544" t="s">
        <v>787</v>
      </c>
      <c r="H610" s="543" t="s">
        <v>2860</v>
      </c>
      <c r="I610" s="6" t="str">
        <f>IFERROR(INDEX(ZACATECAS!$N$7:$N$5000, MATCH($F610, ZACATECAS!$H$7:$H$5000, 0)), "-")</f>
        <v>APOYO DE CALIDAD</v>
      </c>
    </row>
    <row r="611" spans="1:9" x14ac:dyDescent="0.3">
      <c r="A611" s="543" t="s">
        <v>2857</v>
      </c>
      <c r="B611" s="543" t="s">
        <v>2858</v>
      </c>
      <c r="C611" s="543" t="s">
        <v>780</v>
      </c>
      <c r="D611" s="546" t="s">
        <v>2861</v>
      </c>
      <c r="E611" s="6">
        <f>IFERROR(INDEX(ZACATECAS!$I$7:$I$5000, MATCH(F611*1, ZACATECAS!$H$7:$H$5000, 0)), "-")</f>
        <v>6</v>
      </c>
      <c r="F611" s="544">
        <v>32044622</v>
      </c>
      <c r="G611" s="544" t="s">
        <v>789</v>
      </c>
      <c r="H611" s="543" t="s">
        <v>2860</v>
      </c>
      <c r="I611" s="6" t="str">
        <f>IFERROR(INDEX(ZACATECAS!$N$7:$N$5000, MATCH($F611, ZACATECAS!$H$7:$H$5000, 0)), "-")</f>
        <v>CHAMPION GESTION</v>
      </c>
    </row>
    <row r="612" spans="1:9" x14ac:dyDescent="0.3">
      <c r="A612" s="543" t="s">
        <v>2857</v>
      </c>
      <c r="B612" s="543" t="s">
        <v>2858</v>
      </c>
      <c r="C612" s="543" t="s">
        <v>780</v>
      </c>
      <c r="D612" s="546" t="s">
        <v>2861</v>
      </c>
      <c r="E612" s="6">
        <f>IFERROR(INDEX(ZACATECAS!$I$7:$I$5000, MATCH(F612*1, ZACATECAS!$H$7:$H$5000, 0)), "-")</f>
        <v>6</v>
      </c>
      <c r="F612" s="544">
        <v>32044703</v>
      </c>
      <c r="G612" s="544" t="s">
        <v>791</v>
      </c>
      <c r="H612" s="543" t="s">
        <v>2860</v>
      </c>
      <c r="I612" s="6" t="str">
        <f>IFERROR(INDEX(ZACATECAS!$N$7:$N$5000, MATCH($F612, ZACATECAS!$H$7:$H$5000, 0)), "-")</f>
        <v>CHAMPIONS LOGISTICA</v>
      </c>
    </row>
    <row r="613" spans="1:9" x14ac:dyDescent="0.3">
      <c r="A613" s="543" t="s">
        <v>2857</v>
      </c>
      <c r="B613" s="543" t="s">
        <v>2858</v>
      </c>
      <c r="C613" s="543" t="s">
        <v>780</v>
      </c>
      <c r="D613" s="546" t="s">
        <v>2861</v>
      </c>
      <c r="E613" s="6">
        <f>IFERROR(INDEX(ZACATECAS!$I$7:$I$5000, MATCH(F613*1, ZACATECAS!$H$7:$H$5000, 0)), "-")</f>
        <v>6</v>
      </c>
      <c r="F613" s="544">
        <v>32044710</v>
      </c>
      <c r="G613" s="544" t="s">
        <v>793</v>
      </c>
      <c r="H613" s="543" t="s">
        <v>2860</v>
      </c>
      <c r="I613" s="6" t="str">
        <f>IFERROR(INDEX(ZACATECAS!$N$7:$N$5000, MATCH($F613, ZACATECAS!$H$7:$H$5000, 0)), "-")</f>
        <v>CHAMPION MANTENIMIENTO</v>
      </c>
    </row>
    <row r="614" spans="1:9" x14ac:dyDescent="0.3">
      <c r="A614" s="543" t="s">
        <v>2857</v>
      </c>
      <c r="B614" s="543" t="s">
        <v>2858</v>
      </c>
      <c r="C614" s="543" t="s">
        <v>780</v>
      </c>
      <c r="D614" s="546" t="s">
        <v>2861</v>
      </c>
      <c r="E614" s="6">
        <f>IFERROR(INDEX(ZACATECAS!$I$7:$I$5000, MATCH(F614*1, ZACATECAS!$H$7:$H$5000, 0)), "-")</f>
        <v>6</v>
      </c>
      <c r="F614" s="544">
        <v>32044745</v>
      </c>
      <c r="G614" s="544" t="s">
        <v>795</v>
      </c>
      <c r="H614" s="543" t="s">
        <v>2860</v>
      </c>
      <c r="I614" s="6" t="str">
        <f>IFERROR(INDEX(ZACATECAS!$N$7:$N$5000, MATCH($F614, ZACATECAS!$H$7:$H$5000, 0)), "-")</f>
        <v>CHAMPION CALIDAD</v>
      </c>
    </row>
    <row r="615" spans="1:9" x14ac:dyDescent="0.3">
      <c r="A615" s="543" t="s">
        <v>2857</v>
      </c>
      <c r="B615" s="543" t="s">
        <v>2858</v>
      </c>
      <c r="C615" s="543" t="s">
        <v>780</v>
      </c>
      <c r="D615" s="546" t="s">
        <v>2861</v>
      </c>
      <c r="E615" s="6">
        <f>IFERROR(INDEX(ZACATECAS!$I$7:$I$5000, MATCH(F615*1, ZACATECAS!$H$7:$H$5000, 0)), "-")</f>
        <v>6</v>
      </c>
      <c r="F615" s="544">
        <v>32045551</v>
      </c>
      <c r="G615" s="544" t="s">
        <v>797</v>
      </c>
      <c r="H615" s="543" t="s">
        <v>2860</v>
      </c>
      <c r="I615" s="6" t="str">
        <f>IFERROR(INDEX(ZACATECAS!$N$7:$N$5000, MATCH($F615, ZACATECAS!$H$7:$H$5000, 0)), "-")</f>
        <v>APOYO DE SEGURIDAD</v>
      </c>
    </row>
    <row r="616" spans="1:9" x14ac:dyDescent="0.3">
      <c r="A616" s="543" t="s">
        <v>2857</v>
      </c>
      <c r="B616" s="543" t="s">
        <v>2858</v>
      </c>
      <c r="C616" s="543" t="s">
        <v>780</v>
      </c>
      <c r="D616" s="546" t="s">
        <v>2861</v>
      </c>
      <c r="E616" s="6">
        <f>IFERROR(INDEX(ZACATECAS!$I$7:$I$5000, MATCH(F616*1, ZACATECAS!$H$7:$H$5000, 0)), "-")</f>
        <v>6</v>
      </c>
      <c r="F616" s="544">
        <v>32045623</v>
      </c>
      <c r="G616" s="544" t="s">
        <v>799</v>
      </c>
      <c r="H616" s="543" t="s">
        <v>2860</v>
      </c>
      <c r="I616" s="6" t="str">
        <f>IFERROR(INDEX(ZACATECAS!$N$7:$N$5000, MATCH($F616, ZACATECAS!$H$7:$H$5000, 0)), "-")</f>
        <v>APOYO LOGISTICA</v>
      </c>
    </row>
    <row r="617" spans="1:9" x14ac:dyDescent="0.3">
      <c r="A617" s="543" t="s">
        <v>2857</v>
      </c>
      <c r="B617" s="543" t="s">
        <v>2858</v>
      </c>
      <c r="C617" s="543" t="s">
        <v>780</v>
      </c>
      <c r="D617" s="546" t="s">
        <v>2861</v>
      </c>
      <c r="E617" s="6">
        <f>IFERROR(INDEX(ZACATECAS!$I$7:$I$5000, MATCH(F617*1, ZACATECAS!$H$7:$H$5000, 0)), "-")</f>
        <v>6</v>
      </c>
      <c r="F617" s="544">
        <v>32056899</v>
      </c>
      <c r="G617" s="544" t="s">
        <v>801</v>
      </c>
      <c r="H617" s="543" t="s">
        <v>2860</v>
      </c>
      <c r="I617" s="6" t="str">
        <f>IFERROR(INDEX(ZACATECAS!$N$7:$N$5000, MATCH($F617, ZACATECAS!$H$7:$H$5000, 0)), "-")</f>
        <v>APOYO AMBIENTAL</v>
      </c>
    </row>
    <row r="618" spans="1:9" x14ac:dyDescent="0.3">
      <c r="A618" s="543" t="s">
        <v>2857</v>
      </c>
      <c r="B618" s="543" t="s">
        <v>2858</v>
      </c>
      <c r="C618" s="543" t="s">
        <v>780</v>
      </c>
      <c r="D618" s="546" t="s">
        <v>2861</v>
      </c>
      <c r="E618" s="6">
        <f>IFERROR(INDEX(ZACATECAS!$I$7:$I$5000, MATCH(F618*1, ZACATECAS!$H$7:$H$5000, 0)), "-")</f>
        <v>6</v>
      </c>
      <c r="F618" s="544">
        <v>32058093</v>
      </c>
      <c r="G618" s="544" t="s">
        <v>803</v>
      </c>
      <c r="H618" s="543" t="s">
        <v>2860</v>
      </c>
      <c r="I618" s="6" t="str">
        <f>IFERROR(INDEX(ZACATECAS!$N$7:$N$5000, MATCH($F618, ZACATECAS!$H$7:$H$5000, 0)), "-")</f>
        <v>APOYO GESTION</v>
      </c>
    </row>
    <row r="619" spans="1:9" x14ac:dyDescent="0.3">
      <c r="A619" s="543" t="s">
        <v>2857</v>
      </c>
      <c r="B619" s="543" t="s">
        <v>2858</v>
      </c>
      <c r="C619" s="543" t="s">
        <v>780</v>
      </c>
      <c r="D619" s="546" t="s">
        <v>2861</v>
      </c>
      <c r="E619" s="6">
        <f>IFERROR(INDEX(ZACATECAS!$I$7:$I$5000, MATCH(F619*1, ZACATECAS!$H$7:$H$5000, 0)), "-")</f>
        <v>6</v>
      </c>
      <c r="F619" s="544">
        <v>32067156</v>
      </c>
      <c r="G619" s="544" t="s">
        <v>805</v>
      </c>
      <c r="H619" s="543" t="s">
        <v>2860</v>
      </c>
      <c r="I619" s="6" t="str">
        <f>IFERROR(INDEX(ZACATECAS!$N$7:$N$5000, MATCH($F619, ZACATECAS!$H$7:$H$5000, 0)), "-")</f>
        <v>CHAMPION DE SEGURIDAD</v>
      </c>
    </row>
    <row r="620" spans="1:9" x14ac:dyDescent="0.3">
      <c r="A620" s="543" t="s">
        <v>2857</v>
      </c>
      <c r="B620" s="543" t="s">
        <v>2858</v>
      </c>
      <c r="C620" s="543" t="s">
        <v>780</v>
      </c>
      <c r="D620" s="546" t="s">
        <v>2861</v>
      </c>
      <c r="E620" s="6">
        <f>IFERROR(INDEX(ZACATECAS!$I$7:$I$5000, MATCH(F620*1, ZACATECAS!$H$7:$H$5000, 0)), "-")</f>
        <v>6</v>
      </c>
      <c r="F620" s="544">
        <v>32067180</v>
      </c>
      <c r="G620" s="544" t="s">
        <v>808</v>
      </c>
      <c r="H620" s="543" t="s">
        <v>2860</v>
      </c>
      <c r="I620" s="6" t="str">
        <f>IFERROR(INDEX(ZACATECAS!$N$7:$N$5000, MATCH($F620, ZACATECAS!$H$7:$H$5000, 0)), "-")</f>
        <v>APOYO GENTE</v>
      </c>
    </row>
    <row r="621" spans="1:9" x14ac:dyDescent="0.3">
      <c r="A621" s="543" t="s">
        <v>2857</v>
      </c>
      <c r="B621" s="543" t="s">
        <v>2858</v>
      </c>
      <c r="C621" s="543" t="s">
        <v>780</v>
      </c>
      <c r="D621" s="546" t="s">
        <v>2861</v>
      </c>
      <c r="E621" s="6">
        <f>IFERROR(INDEX(ZACATECAS!$I$7:$I$5000, MATCH(F621*1, ZACATECAS!$H$7:$H$5000, 0)), "-")</f>
        <v>6</v>
      </c>
      <c r="F621" s="546">
        <v>32132588</v>
      </c>
      <c r="G621" s="546" t="s">
        <v>810</v>
      </c>
      <c r="H621" s="543" t="s">
        <v>2860</v>
      </c>
      <c r="I621" s="6" t="str">
        <f>IFERROR(INDEX(ZACATECAS!$N$7:$N$5000, MATCH($F621, ZACATECAS!$H$7:$H$5000, 0)), "-")</f>
        <v>CHAMPIONS GENTE</v>
      </c>
    </row>
    <row r="622" spans="1:9" x14ac:dyDescent="0.3">
      <c r="A622" s="543" t="s">
        <v>2857</v>
      </c>
      <c r="B622" s="543" t="s">
        <v>2858</v>
      </c>
      <c r="C622" s="543" t="s">
        <v>780</v>
      </c>
      <c r="D622" s="546" t="s">
        <v>2861</v>
      </c>
      <c r="E622" s="6">
        <f>IFERROR(INDEX(ZACATECAS!$I$7:$I$5000, MATCH(F622*1, ZACATECAS!$H$7:$H$5000, 0)), "-")</f>
        <v>6</v>
      </c>
      <c r="F622" s="544">
        <v>32155905</v>
      </c>
      <c r="G622" s="544" t="s">
        <v>813</v>
      </c>
      <c r="H622" s="543" t="s">
        <v>2860</v>
      </c>
      <c r="I622" s="6" t="str">
        <f>IFERROR(INDEX(ZACATECAS!$N$7:$N$5000, MATCH($F622, ZACATECAS!$H$7:$H$5000, 0)), "-")</f>
        <v>CHAMPION AMBIENTAL</v>
      </c>
    </row>
    <row r="623" spans="1:9" x14ac:dyDescent="0.3">
      <c r="A623" s="543" t="s">
        <v>2857</v>
      </c>
      <c r="B623" s="543" t="s">
        <v>2858</v>
      </c>
      <c r="C623" s="543" t="s">
        <v>780</v>
      </c>
      <c r="D623" s="546" t="s">
        <v>2861</v>
      </c>
      <c r="E623" s="6">
        <f>IFERROR(INDEX(ZACATECAS!$I$7:$I$5000, MATCH(F623*1, ZACATECAS!$H$7:$H$5000, 0)), "-")</f>
        <v>6</v>
      </c>
      <c r="F623" s="544">
        <v>32171445</v>
      </c>
      <c r="G623" s="544" t="s">
        <v>815</v>
      </c>
      <c r="H623" s="543" t="s">
        <v>2860</v>
      </c>
      <c r="I623" s="6" t="str">
        <f>IFERROR(INDEX(ZACATECAS!$N$7:$N$5000, MATCH($F623, ZACATECAS!$H$7:$H$5000, 0)), "-")</f>
        <v>APOYO DE CALIDAD</v>
      </c>
    </row>
    <row r="624" spans="1:9" x14ac:dyDescent="0.3">
      <c r="A624" s="543" t="s">
        <v>2857</v>
      </c>
      <c r="B624" s="543" t="s">
        <v>2858</v>
      </c>
      <c r="C624" s="543" t="s">
        <v>1561</v>
      </c>
      <c r="D624" s="546" t="s">
        <v>2861</v>
      </c>
      <c r="E624" s="6" t="str">
        <f>IFERROR(INDEX(ZACATECAS!$I$7:$I$5000, MATCH(F624*1, ZACATECAS!$H$7:$H$5000, 0)), "-")</f>
        <v>-</v>
      </c>
      <c r="F624" s="544">
        <v>32231920</v>
      </c>
      <c r="G624" s="544" t="s">
        <v>1079</v>
      </c>
      <c r="H624" s="543" t="s">
        <v>2344</v>
      </c>
      <c r="I624" s="6" t="str">
        <f>IFERROR(INDEX(ZACATECAS!$N$7:$N$5000, MATCH($F624, ZACATECAS!$H$7:$H$5000, 0)), "-")</f>
        <v>-</v>
      </c>
    </row>
    <row r="625" spans="1:9" x14ac:dyDescent="0.3">
      <c r="A625" s="543" t="s">
        <v>2857</v>
      </c>
      <c r="B625" s="543" t="s">
        <v>2858</v>
      </c>
      <c r="C625" s="543" t="s">
        <v>1561</v>
      </c>
      <c r="D625" s="546" t="s">
        <v>2861</v>
      </c>
      <c r="E625" s="6" t="str">
        <f>IFERROR(INDEX(ZACATECAS!$I$7:$I$5000, MATCH(F625*1, ZACATECAS!$H$7:$H$5000, 0)), "-")</f>
        <v>MIXTO 9-10</v>
      </c>
      <c r="F625" s="544">
        <v>32045984</v>
      </c>
      <c r="G625" s="544" t="s">
        <v>1562</v>
      </c>
      <c r="H625" s="543" t="s">
        <v>2860</v>
      </c>
      <c r="I625" s="6" t="str">
        <f>IFERROR(INDEX(ZACATECAS!$N$7:$N$5000, MATCH($F625, ZACATECAS!$H$7:$H$5000, 0)), "-")</f>
        <v>APOYO LOGISTICA</v>
      </c>
    </row>
    <row r="626" spans="1:9" x14ac:dyDescent="0.3">
      <c r="A626" s="543" t="s">
        <v>2857</v>
      </c>
      <c r="B626" s="543" t="s">
        <v>2858</v>
      </c>
      <c r="C626" s="543" t="s">
        <v>1561</v>
      </c>
      <c r="D626" s="546" t="s">
        <v>2861</v>
      </c>
      <c r="E626" s="6" t="str">
        <f>IFERROR(INDEX(ZACATECAS!$I$7:$I$5000, MATCH(F626*1, ZACATECAS!$H$7:$H$5000, 0)), "-")</f>
        <v>MIXTO 9-10</v>
      </c>
      <c r="F626" s="544">
        <v>32046029</v>
      </c>
      <c r="G626" s="544" t="s">
        <v>1563</v>
      </c>
      <c r="H626" s="543" t="s">
        <v>2860</v>
      </c>
      <c r="I626" s="6" t="str">
        <f>IFERROR(INDEX(ZACATECAS!$N$7:$N$5000, MATCH($F626, ZACATECAS!$H$7:$H$5000, 0)), "-")</f>
        <v>CHAMPION DE GESTION</v>
      </c>
    </row>
    <row r="627" spans="1:9" x14ac:dyDescent="0.3">
      <c r="A627" s="543" t="s">
        <v>2857</v>
      </c>
      <c r="B627" s="543" t="s">
        <v>2858</v>
      </c>
      <c r="C627" s="543" t="s">
        <v>1561</v>
      </c>
      <c r="D627" s="546" t="s">
        <v>2861</v>
      </c>
      <c r="E627" s="6" t="str">
        <f>IFERROR(INDEX(ZACATECAS!$I$7:$I$5000, MATCH(F627*1, ZACATECAS!$H$7:$H$5000, 0)), "-")</f>
        <v>MIXTO 9-10</v>
      </c>
      <c r="F627" s="544">
        <v>32046154</v>
      </c>
      <c r="G627" s="544" t="s">
        <v>1565</v>
      </c>
      <c r="H627" s="543" t="s">
        <v>2860</v>
      </c>
      <c r="I627" s="6" t="str">
        <f>IFERROR(INDEX(ZACATECAS!$N$7:$N$5000, MATCH($F627, ZACATECAS!$H$7:$H$5000, 0)), "-")</f>
        <v>APOYO GENTE</v>
      </c>
    </row>
    <row r="628" spans="1:9" x14ac:dyDescent="0.3">
      <c r="A628" s="543" t="s">
        <v>2857</v>
      </c>
      <c r="B628" s="543" t="s">
        <v>2858</v>
      </c>
      <c r="C628" s="543" t="s">
        <v>1561</v>
      </c>
      <c r="D628" s="546" t="s">
        <v>2861</v>
      </c>
      <c r="E628" s="6" t="str">
        <f>IFERROR(INDEX(ZACATECAS!$I$7:$I$5000, MATCH(F628*1, ZACATECAS!$H$7:$H$5000, 0)), "-")</f>
        <v>MIXTO 9-10</v>
      </c>
      <c r="F628" s="544">
        <v>32046198</v>
      </c>
      <c r="G628" s="544" t="s">
        <v>1567</v>
      </c>
      <c r="H628" s="543" t="s">
        <v>2860</v>
      </c>
      <c r="I628" s="6" t="str">
        <f>IFERROR(INDEX(ZACATECAS!$N$7:$N$5000, MATCH($F628, ZACATECAS!$H$7:$H$5000, 0)), "-")</f>
        <v>APOYO DE SEGURIDAD</v>
      </c>
    </row>
    <row r="629" spans="1:9" x14ac:dyDescent="0.3">
      <c r="A629" s="543" t="s">
        <v>2857</v>
      </c>
      <c r="B629" s="543" t="s">
        <v>2858</v>
      </c>
      <c r="C629" s="543" t="s">
        <v>1561</v>
      </c>
      <c r="D629" s="546" t="s">
        <v>2861</v>
      </c>
      <c r="E629" s="6" t="str">
        <f>IFERROR(INDEX(ZACATECAS!$I$7:$I$5000, MATCH(F629*1, ZACATECAS!$H$7:$H$5000, 0)), "-")</f>
        <v>MIXTO 9-10</v>
      </c>
      <c r="F629" s="544">
        <v>32046310</v>
      </c>
      <c r="G629" s="544" t="s">
        <v>1568</v>
      </c>
      <c r="H629" s="543" t="s">
        <v>2860</v>
      </c>
      <c r="I629" s="6" t="str">
        <f>IFERROR(INDEX(ZACATECAS!$N$7:$N$5000, MATCH($F629, ZACATECAS!$H$7:$H$5000, 0)), "-")</f>
        <v>CHAMPION GENTE</v>
      </c>
    </row>
    <row r="630" spans="1:9" x14ac:dyDescent="0.3">
      <c r="A630" s="543" t="s">
        <v>2857</v>
      </c>
      <c r="B630" s="543" t="s">
        <v>2858</v>
      </c>
      <c r="C630" s="543" t="s">
        <v>1561</v>
      </c>
      <c r="D630" s="546" t="s">
        <v>2861</v>
      </c>
      <c r="E630" s="6" t="str">
        <f>IFERROR(INDEX(ZACATECAS!$I$7:$I$5000, MATCH(F630*1, ZACATECAS!$H$7:$H$5000, 0)), "-")</f>
        <v>MIXTO 9-10</v>
      </c>
      <c r="F630" s="544">
        <v>32046348</v>
      </c>
      <c r="G630" s="544" t="s">
        <v>1570</v>
      </c>
      <c r="H630" s="543" t="s">
        <v>2860</v>
      </c>
      <c r="I630" s="6" t="str">
        <f>IFERROR(INDEX(ZACATECAS!$N$7:$N$5000, MATCH($F630, ZACATECAS!$H$7:$H$5000, 0)), "-")</f>
        <v>CHAMPION AMBIENTAL</v>
      </c>
    </row>
    <row r="631" spans="1:9" x14ac:dyDescent="0.3">
      <c r="A631" s="543" t="s">
        <v>2857</v>
      </c>
      <c r="B631" s="543" t="s">
        <v>2858</v>
      </c>
      <c r="C631" s="543" t="s">
        <v>1561</v>
      </c>
      <c r="D631" s="546" t="s">
        <v>2861</v>
      </c>
      <c r="E631" s="6" t="str">
        <f>IFERROR(INDEX(ZACATECAS!$I$7:$I$5000, MATCH(F631*1, ZACATECAS!$H$7:$H$5000, 0)), "-")</f>
        <v>MIXTO 9-10</v>
      </c>
      <c r="F631" s="544">
        <v>32046503</v>
      </c>
      <c r="G631" s="544" t="s">
        <v>1572</v>
      </c>
      <c r="H631" s="543" t="s">
        <v>2860</v>
      </c>
      <c r="I631" s="6" t="str">
        <f>IFERROR(INDEX(ZACATECAS!$N$7:$N$5000, MATCH($F631, ZACATECAS!$H$7:$H$5000, 0)), "-")</f>
        <v>CHAMPION MANTENIMIENTO</v>
      </c>
    </row>
    <row r="632" spans="1:9" x14ac:dyDescent="0.3">
      <c r="A632" s="543" t="s">
        <v>2857</v>
      </c>
      <c r="B632" s="543" t="s">
        <v>2858</v>
      </c>
      <c r="C632" s="543" t="s">
        <v>1561</v>
      </c>
      <c r="D632" s="546" t="s">
        <v>2861</v>
      </c>
      <c r="E632" s="6" t="str">
        <f>IFERROR(INDEX(ZACATECAS!$I$7:$I$5000, MATCH(F632*1, ZACATECAS!$H$7:$H$5000, 0)), "-")</f>
        <v>MIXTO 9-10</v>
      </c>
      <c r="F632" s="544">
        <v>32046591</v>
      </c>
      <c r="G632" s="544" t="s">
        <v>1574</v>
      </c>
      <c r="H632" s="543" t="s">
        <v>2860</v>
      </c>
      <c r="I632" s="6" t="str">
        <f>IFERROR(INDEX(ZACATECAS!$N$7:$N$5000, MATCH($F632, ZACATECAS!$H$7:$H$5000, 0)), "-")</f>
        <v xml:space="preserve">APOYO SEGURIDAD </v>
      </c>
    </row>
    <row r="633" spans="1:9" x14ac:dyDescent="0.3">
      <c r="A633" s="543" t="s">
        <v>2857</v>
      </c>
      <c r="B633" s="543" t="s">
        <v>2858</v>
      </c>
      <c r="C633" s="543" t="s">
        <v>1561</v>
      </c>
      <c r="D633" s="546" t="s">
        <v>2861</v>
      </c>
      <c r="E633" s="6" t="str">
        <f>IFERROR(INDEX(ZACATECAS!$I$7:$I$5000, MATCH(F633*1, ZACATECAS!$H$7:$H$5000, 0)), "-")</f>
        <v>MIXTO 9-10</v>
      </c>
      <c r="F633" s="544">
        <v>32132599</v>
      </c>
      <c r="G633" s="544" t="s">
        <v>1576</v>
      </c>
      <c r="H633" s="543" t="s">
        <v>2860</v>
      </c>
      <c r="I633" s="6" t="str">
        <f>IFERROR(INDEX(ZACATECAS!$N$7:$N$5000, MATCH($F633, ZACATECAS!$H$7:$H$5000, 0)), "-")</f>
        <v>CHAMPION  CALIDAD</v>
      </c>
    </row>
    <row r="634" spans="1:9" x14ac:dyDescent="0.3">
      <c r="A634" s="543" t="s">
        <v>2857</v>
      </c>
      <c r="B634" s="543" t="s">
        <v>2858</v>
      </c>
      <c r="C634" s="546" t="s">
        <v>1561</v>
      </c>
      <c r="D634" s="546" t="s">
        <v>2861</v>
      </c>
      <c r="E634" s="6" t="str">
        <f>IFERROR(INDEX(ZACATECAS!$I$7:$I$5000, MATCH(F634*1, ZACATECAS!$H$7:$H$5000, 0)), "-")</f>
        <v>MIXTO 9-10</v>
      </c>
      <c r="F634" s="546">
        <v>32148632</v>
      </c>
      <c r="G634" s="546" t="s">
        <v>1578</v>
      </c>
      <c r="H634" s="543" t="s">
        <v>2860</v>
      </c>
      <c r="I634" s="6" t="str">
        <f>IFERROR(INDEX(ZACATECAS!$N$7:$N$5000, MATCH($F634, ZACATECAS!$H$7:$H$5000, 0)), "-")</f>
        <v xml:space="preserve">APOYO DE GESTIÓN </v>
      </c>
    </row>
    <row r="635" spans="1:9" x14ac:dyDescent="0.3">
      <c r="A635" s="543" t="s">
        <v>2857</v>
      </c>
      <c r="B635" s="543" t="s">
        <v>2858</v>
      </c>
      <c r="C635" s="546" t="s">
        <v>1561</v>
      </c>
      <c r="D635" s="546" t="s">
        <v>2861</v>
      </c>
      <c r="E635" s="6" t="str">
        <f>IFERROR(INDEX(ZACATECAS!$I$7:$I$5000, MATCH(F635*1, ZACATECAS!$H$7:$H$5000, 0)), "-")</f>
        <v>MIXTO 9-10</v>
      </c>
      <c r="F635" s="544">
        <v>32149071</v>
      </c>
      <c r="G635" s="544" t="s">
        <v>1580</v>
      </c>
      <c r="H635" s="543" t="s">
        <v>2860</v>
      </c>
      <c r="I635" s="6" t="str">
        <f>IFERROR(INDEX(ZACATECAS!$N$7:$N$5000, MATCH($F635, ZACATECAS!$H$7:$H$5000, 0)), "-")</f>
        <v>CHAMPION  LOGISTICA</v>
      </c>
    </row>
    <row r="636" spans="1:9" x14ac:dyDescent="0.3">
      <c r="A636" s="543" t="s">
        <v>2857</v>
      </c>
      <c r="B636" s="543" t="s">
        <v>2858</v>
      </c>
      <c r="C636" s="546" t="s">
        <v>1561</v>
      </c>
      <c r="D636" s="546" t="s">
        <v>2861</v>
      </c>
      <c r="E636" s="6" t="str">
        <f>IFERROR(INDEX(ZACATECAS!$I$7:$I$5000, MATCH(F636*1, ZACATECAS!$H$7:$H$5000, 0)), "-")</f>
        <v>MIXTO 9-10</v>
      </c>
      <c r="F636" s="544">
        <v>32186046</v>
      </c>
      <c r="G636" s="544" t="s">
        <v>1582</v>
      </c>
      <c r="H636" s="543" t="s">
        <v>2860</v>
      </c>
      <c r="I636" s="6" t="str">
        <f>IFERROR(INDEX(ZACATECAS!$N$7:$N$5000, MATCH($F636, ZACATECAS!$H$7:$H$5000, 0)), "-")</f>
        <v>APOYO DE GESTION</v>
      </c>
    </row>
    <row r="637" spans="1:9" x14ac:dyDescent="0.3">
      <c r="A637" s="543" t="s">
        <v>2857</v>
      </c>
      <c r="B637" s="543" t="s">
        <v>2858</v>
      </c>
      <c r="C637" s="546" t="s">
        <v>708</v>
      </c>
      <c r="D637" s="546" t="s">
        <v>2861</v>
      </c>
      <c r="E637" s="6" t="str">
        <f>IFERROR(INDEX(ZACATECAS!$I$7:$I$5000, MATCH(F637*1, ZACATECAS!$H$7:$H$5000, 0)), "-")</f>
        <v>-</v>
      </c>
      <c r="F637" s="544">
        <v>32046005</v>
      </c>
      <c r="G637" s="544" t="s">
        <v>558</v>
      </c>
      <c r="H637" s="543" t="s">
        <v>2344</v>
      </c>
      <c r="I637" s="6" t="str">
        <f>IFERROR(INDEX(ZACATECAS!$N$7:$N$5000, MATCH($F637, ZACATECAS!$H$7:$H$5000, 0)), "-")</f>
        <v>-</v>
      </c>
    </row>
    <row r="638" spans="1:9" x14ac:dyDescent="0.3">
      <c r="A638" s="543" t="s">
        <v>2857</v>
      </c>
      <c r="B638" s="543" t="s">
        <v>2858</v>
      </c>
      <c r="C638" s="546" t="s">
        <v>708</v>
      </c>
      <c r="D638" s="546" t="s">
        <v>2861</v>
      </c>
      <c r="E638" s="6">
        <f>IFERROR(INDEX(ZACATECAS!$I$7:$I$5000, MATCH(F638*1, ZACATECAS!$H$7:$H$5000, 0)), "-")</f>
        <v>5</v>
      </c>
      <c r="F638" s="544">
        <v>32044226</v>
      </c>
      <c r="G638" s="544" t="s">
        <v>709</v>
      </c>
      <c r="H638" s="543" t="s">
        <v>2860</v>
      </c>
      <c r="I638" s="6" t="str">
        <f>IFERROR(INDEX(ZACATECAS!$N$7:$N$5000, MATCH($F638, ZACATECAS!$H$7:$H$5000, 0)), "-")</f>
        <v>CHAMPION DE GESTION</v>
      </c>
    </row>
    <row r="639" spans="1:9" x14ac:dyDescent="0.3">
      <c r="A639" s="543" t="s">
        <v>2857</v>
      </c>
      <c r="B639" s="543" t="s">
        <v>2858</v>
      </c>
      <c r="C639" s="546" t="s">
        <v>708</v>
      </c>
      <c r="D639" s="546" t="s">
        <v>2861</v>
      </c>
      <c r="E639" s="6">
        <f>IFERROR(INDEX(ZACATECAS!$I$7:$I$5000, MATCH(F639*1, ZACATECAS!$H$7:$H$5000, 0)), "-")</f>
        <v>5</v>
      </c>
      <c r="F639" s="544">
        <v>32044647</v>
      </c>
      <c r="G639" s="544" t="s">
        <v>712</v>
      </c>
      <c r="H639" s="543" t="s">
        <v>2860</v>
      </c>
      <c r="I639" s="6" t="str">
        <f>IFERROR(INDEX(ZACATECAS!$N$7:$N$5000, MATCH($F639, ZACATECAS!$H$7:$H$5000, 0)), "-")</f>
        <v xml:space="preserve">CHAMPION DE SEGURIDAD </v>
      </c>
    </row>
    <row r="640" spans="1:9" x14ac:dyDescent="0.3">
      <c r="A640" s="543" t="s">
        <v>2857</v>
      </c>
      <c r="B640" s="543" t="s">
        <v>2858</v>
      </c>
      <c r="C640" s="546" t="s">
        <v>708</v>
      </c>
      <c r="D640" s="546" t="s">
        <v>2861</v>
      </c>
      <c r="E640" s="6">
        <f>IFERROR(INDEX(ZACATECAS!$I$7:$I$5000, MATCH(F640*1, ZACATECAS!$H$7:$H$5000, 0)), "-")</f>
        <v>5</v>
      </c>
      <c r="F640" s="544">
        <v>32045170</v>
      </c>
      <c r="G640" s="544" t="s">
        <v>715</v>
      </c>
      <c r="H640" s="543" t="s">
        <v>2860</v>
      </c>
      <c r="I640" s="6" t="str">
        <f>IFERROR(INDEX(ZACATECAS!$N$7:$N$5000, MATCH($F640, ZACATECAS!$H$7:$H$5000, 0)), "-")</f>
        <v xml:space="preserve">CHAMPION GESTION </v>
      </c>
    </row>
    <row r="641" spans="1:9" x14ac:dyDescent="0.3">
      <c r="A641" s="543" t="s">
        <v>2857</v>
      </c>
      <c r="B641" s="543" t="s">
        <v>2858</v>
      </c>
      <c r="C641" s="546" t="s">
        <v>708</v>
      </c>
      <c r="D641" s="546" t="s">
        <v>2861</v>
      </c>
      <c r="E641" s="6">
        <f>IFERROR(INDEX(ZACATECAS!$I$7:$I$5000, MATCH(F641*1, ZACATECAS!$H$7:$H$5000, 0)), "-")</f>
        <v>5</v>
      </c>
      <c r="F641" s="544">
        <v>32045207</v>
      </c>
      <c r="G641" s="544" t="s">
        <v>717</v>
      </c>
      <c r="H641" s="543" t="s">
        <v>2860</v>
      </c>
      <c r="I641" s="6" t="str">
        <f>IFERROR(INDEX(ZACATECAS!$N$7:$N$5000, MATCH($F641, ZACATECAS!$H$7:$H$5000, 0)), "-")</f>
        <v>APOYO CALIDAD</v>
      </c>
    </row>
    <row r="642" spans="1:9" x14ac:dyDescent="0.3">
      <c r="A642" s="543" t="s">
        <v>2857</v>
      </c>
      <c r="B642" s="543" t="s">
        <v>2858</v>
      </c>
      <c r="C642" s="546" t="s">
        <v>708</v>
      </c>
      <c r="D642" s="546" t="s">
        <v>2861</v>
      </c>
      <c r="E642" s="6">
        <f>IFERROR(INDEX(ZACATECAS!$I$7:$I$5000, MATCH(F642*1, ZACATECAS!$H$7:$H$5000, 0)), "-")</f>
        <v>5</v>
      </c>
      <c r="F642" s="544">
        <v>32045395</v>
      </c>
      <c r="G642" s="544" t="s">
        <v>720</v>
      </c>
      <c r="H642" s="543" t="s">
        <v>2860</v>
      </c>
      <c r="I642" s="6" t="str">
        <f>IFERROR(INDEX(ZACATECAS!$N$7:$N$5000, MATCH($F642, ZACATECAS!$H$7:$H$5000, 0)), "-")</f>
        <v>CHAMPION DE LOGISTICA</v>
      </c>
    </row>
    <row r="643" spans="1:9" x14ac:dyDescent="0.3">
      <c r="A643" s="543" t="s">
        <v>2857</v>
      </c>
      <c r="B643" s="543" t="s">
        <v>2858</v>
      </c>
      <c r="C643" s="546" t="s">
        <v>708</v>
      </c>
      <c r="D643" s="546" t="s">
        <v>2861</v>
      </c>
      <c r="E643" s="6">
        <f>IFERROR(INDEX(ZACATECAS!$I$7:$I$5000, MATCH(F643*1, ZACATECAS!$H$7:$H$5000, 0)), "-")</f>
        <v>5</v>
      </c>
      <c r="F643" s="544">
        <v>32045599</v>
      </c>
      <c r="G643" s="544" t="s">
        <v>722</v>
      </c>
      <c r="H643" s="543" t="s">
        <v>2860</v>
      </c>
      <c r="I643" s="6" t="str">
        <f>IFERROR(INDEX(ZACATECAS!$N$7:$N$5000, MATCH($F643, ZACATECAS!$H$7:$H$5000, 0)), "-")</f>
        <v xml:space="preserve">CHAMPION CALIDAD </v>
      </c>
    </row>
    <row r="644" spans="1:9" x14ac:dyDescent="0.3">
      <c r="A644" s="543" t="s">
        <v>2857</v>
      </c>
      <c r="B644" s="543" t="s">
        <v>2858</v>
      </c>
      <c r="C644" s="546" t="s">
        <v>708</v>
      </c>
      <c r="D644" s="546" t="s">
        <v>2861</v>
      </c>
      <c r="E644" s="6">
        <f>IFERROR(INDEX(ZACATECAS!$I$7:$I$5000, MATCH(F644*1, ZACATECAS!$H$7:$H$5000, 0)), "-")</f>
        <v>5</v>
      </c>
      <c r="F644" s="544">
        <v>32045656</v>
      </c>
      <c r="G644" s="544" t="s">
        <v>724</v>
      </c>
      <c r="H644" s="543" t="s">
        <v>2860</v>
      </c>
      <c r="I644" s="6" t="str">
        <f>IFERROR(INDEX(ZACATECAS!$N$7:$N$5000, MATCH($F644, ZACATECAS!$H$7:$H$5000, 0)), "-")</f>
        <v>CHAMPION SEGURIDAD</v>
      </c>
    </row>
    <row r="645" spans="1:9" x14ac:dyDescent="0.3">
      <c r="A645" s="543" t="s">
        <v>2857</v>
      </c>
      <c r="B645" s="543" t="s">
        <v>2858</v>
      </c>
      <c r="C645" s="546" t="s">
        <v>708</v>
      </c>
      <c r="D645" s="546" t="s">
        <v>2861</v>
      </c>
      <c r="E645" s="6">
        <f>IFERROR(INDEX(ZACATECAS!$I$7:$I$5000, MATCH(F645*1, ZACATECAS!$H$7:$H$5000, 0)), "-")</f>
        <v>5</v>
      </c>
      <c r="F645" s="544">
        <v>32046477</v>
      </c>
      <c r="G645" s="544" t="s">
        <v>726</v>
      </c>
      <c r="H645" s="543" t="s">
        <v>2860</v>
      </c>
      <c r="I645" s="6" t="str">
        <f>IFERROR(INDEX(ZACATECAS!$N$7:$N$5000, MATCH($F645, ZACATECAS!$H$7:$H$5000, 0)), "-")</f>
        <v>CHAMPION AMBIENTAL</v>
      </c>
    </row>
    <row r="646" spans="1:9" x14ac:dyDescent="0.3">
      <c r="A646" s="543" t="s">
        <v>2857</v>
      </c>
      <c r="B646" s="543" t="s">
        <v>2858</v>
      </c>
      <c r="C646" s="546" t="s">
        <v>708</v>
      </c>
      <c r="D646" s="546" t="s">
        <v>2861</v>
      </c>
      <c r="E646" s="6">
        <f>IFERROR(INDEX(ZACATECAS!$I$7:$I$5000, MATCH(F646*1, ZACATECAS!$H$7:$H$5000, 0)), "-")</f>
        <v>5</v>
      </c>
      <c r="F646" s="544">
        <v>32046615</v>
      </c>
      <c r="G646" s="544" t="s">
        <v>728</v>
      </c>
      <c r="H646" s="543" t="s">
        <v>2860</v>
      </c>
      <c r="I646" s="6" t="str">
        <f>IFERROR(INDEX(ZACATECAS!$N$7:$N$5000, MATCH($F646, ZACATECAS!$H$7:$H$5000, 0)), "-")</f>
        <v xml:space="preserve">APOYO CHAMPION DE GESTION </v>
      </c>
    </row>
    <row r="647" spans="1:9" x14ac:dyDescent="0.3">
      <c r="A647" s="543" t="s">
        <v>2857</v>
      </c>
      <c r="B647" s="543" t="s">
        <v>2858</v>
      </c>
      <c r="C647" s="546" t="s">
        <v>708</v>
      </c>
      <c r="D647" s="546" t="s">
        <v>2861</v>
      </c>
      <c r="E647" s="6">
        <f>IFERROR(INDEX(ZACATECAS!$I$7:$I$5000, MATCH(F647*1, ZACATECAS!$H$7:$H$5000, 0)), "-")</f>
        <v>5</v>
      </c>
      <c r="F647" s="544">
        <v>32132188</v>
      </c>
      <c r="G647" s="544" t="s">
        <v>730</v>
      </c>
      <c r="H647" s="543" t="s">
        <v>2860</v>
      </c>
      <c r="I647" s="6" t="str">
        <f>IFERROR(INDEX(ZACATECAS!$N$7:$N$5000, MATCH($F647, ZACATECAS!$H$7:$H$5000, 0)), "-")</f>
        <v xml:space="preserve">APOYO DE CHAMPION AMBIENTAL </v>
      </c>
    </row>
    <row r="648" spans="1:9" x14ac:dyDescent="0.3">
      <c r="A648" s="543" t="s">
        <v>2857</v>
      </c>
      <c r="B648" s="543" t="s">
        <v>2858</v>
      </c>
      <c r="C648" s="546" t="s">
        <v>708</v>
      </c>
      <c r="D648" s="546" t="s">
        <v>2861</v>
      </c>
      <c r="E648" s="6">
        <f>IFERROR(INDEX(ZACATECAS!$I$7:$I$5000, MATCH(F648*1, ZACATECAS!$H$7:$H$5000, 0)), "-")</f>
        <v>5</v>
      </c>
      <c r="F648" s="544">
        <v>32142764</v>
      </c>
      <c r="G648" s="544" t="s">
        <v>732</v>
      </c>
      <c r="H648" s="543" t="s">
        <v>2860</v>
      </c>
      <c r="I648" s="6" t="str">
        <f>IFERROR(INDEX(ZACATECAS!$N$7:$N$5000, MATCH($F648, ZACATECAS!$H$7:$H$5000, 0)), "-")</f>
        <v xml:space="preserve">CHAMPION MANTENIMIENTO </v>
      </c>
    </row>
    <row r="649" spans="1:9" x14ac:dyDescent="0.3">
      <c r="A649" s="543" t="s">
        <v>2857</v>
      </c>
      <c r="B649" s="543" t="s">
        <v>2858</v>
      </c>
      <c r="C649" s="546" t="s">
        <v>708</v>
      </c>
      <c r="D649" s="546" t="s">
        <v>2861</v>
      </c>
      <c r="E649" s="6">
        <f>IFERROR(INDEX(ZACATECAS!$I$7:$I$5000, MATCH(F649*1, ZACATECAS!$H$7:$H$5000, 0)), "-")</f>
        <v>5</v>
      </c>
      <c r="F649" s="544">
        <v>32143263</v>
      </c>
      <c r="G649" s="544" t="s">
        <v>734</v>
      </c>
      <c r="H649" s="543" t="s">
        <v>2860</v>
      </c>
      <c r="I649" s="6" t="str">
        <f>IFERROR(INDEX(ZACATECAS!$N$7:$N$5000, MATCH($F649, ZACATECAS!$H$7:$H$5000, 0)), "-")</f>
        <v xml:space="preserve">APOYO DE CHAMPION MANTENIMIENTO </v>
      </c>
    </row>
    <row r="650" spans="1:9" x14ac:dyDescent="0.3">
      <c r="A650" s="543" t="s">
        <v>2857</v>
      </c>
      <c r="B650" s="543" t="s">
        <v>2858</v>
      </c>
      <c r="C650" s="546" t="s">
        <v>708</v>
      </c>
      <c r="D650" s="546" t="s">
        <v>2861</v>
      </c>
      <c r="E650" s="6">
        <f>IFERROR(INDEX(ZACATECAS!$I$7:$I$5000, MATCH(F650*1, ZACATECAS!$H$7:$H$5000, 0)), "-")</f>
        <v>5</v>
      </c>
      <c r="F650" s="544">
        <v>32149072</v>
      </c>
      <c r="G650" s="544" t="s">
        <v>736</v>
      </c>
      <c r="H650" s="543" t="s">
        <v>2860</v>
      </c>
      <c r="I650" s="6" t="str">
        <f>IFERROR(INDEX(ZACATECAS!$N$7:$N$5000, MATCH($F650, ZACATECAS!$H$7:$H$5000, 0)), "-")</f>
        <v>APOYO DE CHAMPION CALIDAD</v>
      </c>
    </row>
    <row r="651" spans="1:9" x14ac:dyDescent="0.3">
      <c r="A651" s="543" t="s">
        <v>2857</v>
      </c>
      <c r="B651" s="543" t="s">
        <v>2858</v>
      </c>
      <c r="C651" s="546" t="s">
        <v>708</v>
      </c>
      <c r="D651" s="546" t="s">
        <v>2861</v>
      </c>
      <c r="E651" s="6">
        <f>IFERROR(INDEX(ZACATECAS!$I$7:$I$5000, MATCH(F651*1, ZACATECAS!$H$7:$H$5000, 0)), "-")</f>
        <v>5</v>
      </c>
      <c r="F651" s="544">
        <v>32180918</v>
      </c>
      <c r="G651" s="544" t="s">
        <v>738</v>
      </c>
      <c r="H651" s="543" t="s">
        <v>2860</v>
      </c>
      <c r="I651" s="6" t="str">
        <f>IFERROR(INDEX(ZACATECAS!$N$7:$N$5000, MATCH($F651, ZACATECAS!$H$7:$H$5000, 0)), "-")</f>
        <v>APOYO SEGURIDAD</v>
      </c>
    </row>
    <row r="652" spans="1:9" x14ac:dyDescent="0.3">
      <c r="A652" s="543" t="s">
        <v>2857</v>
      </c>
      <c r="B652" s="543" t="s">
        <v>2858</v>
      </c>
      <c r="C652" s="546" t="s">
        <v>708</v>
      </c>
      <c r="D652" s="546" t="s">
        <v>2861</v>
      </c>
      <c r="E652" s="6">
        <f>IFERROR(INDEX(ZACATECAS!$I$7:$I$5000, MATCH(F652*1, ZACATECAS!$H$7:$H$5000, 0)), "-")</f>
        <v>5</v>
      </c>
      <c r="F652" s="544">
        <v>32045118</v>
      </c>
      <c r="G652" s="544" t="s">
        <v>741</v>
      </c>
      <c r="H652" s="543" t="s">
        <v>2860</v>
      </c>
      <c r="I652" s="6" t="str">
        <f>IFERROR(INDEX(ZACATECAS!$N$7:$N$5000, MATCH($F652, ZACATECAS!$H$7:$H$5000, 0)), "-")</f>
        <v>APOYO AMBIENTAL</v>
      </c>
    </row>
    <row r="653" spans="1:9" x14ac:dyDescent="0.3">
      <c r="A653" s="543" t="s">
        <v>2857</v>
      </c>
      <c r="B653" s="543" t="s">
        <v>2858</v>
      </c>
      <c r="C653" s="543" t="s">
        <v>2875</v>
      </c>
      <c r="D653" s="546" t="s">
        <v>2862</v>
      </c>
      <c r="E653" s="6" t="str">
        <f>IFERROR(INDEX(ZACATECAS!$I$7:$I$5000, MATCH(F653*1, ZACATECAS!$H$7:$H$5000, 0)), "-")</f>
        <v>-</v>
      </c>
      <c r="F653" s="544">
        <v>32149492</v>
      </c>
      <c r="G653" s="544" t="s">
        <v>2092</v>
      </c>
      <c r="H653" s="543" t="s">
        <v>2344</v>
      </c>
      <c r="I653" s="6" t="str">
        <f>IFERROR(INDEX(ZACATECAS!$N$7:$N$5000, MATCH($F653, ZACATECAS!$H$7:$H$5000, 0)), "-")</f>
        <v>-</v>
      </c>
    </row>
    <row r="654" spans="1:9" x14ac:dyDescent="0.3">
      <c r="A654" s="543" t="s">
        <v>2857</v>
      </c>
      <c r="B654" s="543" t="s">
        <v>2858</v>
      </c>
      <c r="C654" s="543" t="s">
        <v>2875</v>
      </c>
      <c r="D654" s="546" t="s">
        <v>2862</v>
      </c>
      <c r="E654" s="6" t="str">
        <f>IFERROR(INDEX(ZACATECAS!$I$7:$I$5000, MATCH(F654*1, ZACATECAS!$H$7:$H$5000, 0)), "-")</f>
        <v xml:space="preserve">Sistema de aire </v>
      </c>
      <c r="F654" s="544">
        <v>32045424</v>
      </c>
      <c r="G654" s="544" t="s">
        <v>2093</v>
      </c>
      <c r="H654" s="543" t="s">
        <v>2860</v>
      </c>
      <c r="I654" s="6" t="str">
        <f>IFERROR(INDEX(ZACATECAS!$N$7:$N$5000, MATCH($F654, ZACATECAS!$H$7:$H$5000, 0)), "-")</f>
        <v>Gestión</v>
      </c>
    </row>
    <row r="655" spans="1:9" x14ac:dyDescent="0.3">
      <c r="A655" s="543" t="s">
        <v>2857</v>
      </c>
      <c r="B655" s="543" t="s">
        <v>2858</v>
      </c>
      <c r="C655" s="543" t="s">
        <v>2875</v>
      </c>
      <c r="D655" s="546" t="s">
        <v>2862</v>
      </c>
      <c r="E655" s="6" t="str">
        <f>IFERROR(INDEX(ZACATECAS!$I$7:$I$5000, MATCH(F655*1, ZACATECAS!$H$7:$H$5000, 0)), "-")</f>
        <v>Caldera AP</v>
      </c>
      <c r="F655" s="544">
        <v>32043646</v>
      </c>
      <c r="G655" s="544" t="s">
        <v>2097</v>
      </c>
      <c r="H655" s="543" t="s">
        <v>2860</v>
      </c>
      <c r="I655" s="6" t="str">
        <f>IFERROR(INDEX(ZACATECAS!$N$7:$N$5000, MATCH($F655, ZACATECAS!$H$7:$H$5000, 0)), "-")</f>
        <v>Gente</v>
      </c>
    </row>
    <row r="656" spans="1:9" x14ac:dyDescent="0.3">
      <c r="A656" s="543" t="s">
        <v>2857</v>
      </c>
      <c r="B656" s="543" t="s">
        <v>2858</v>
      </c>
      <c r="C656" s="543" t="s">
        <v>2875</v>
      </c>
      <c r="D656" s="546" t="s">
        <v>2862</v>
      </c>
      <c r="E656" s="6" t="str">
        <f>IFERROR(INDEX(ZACATECAS!$I$7:$I$5000, MATCH(F656*1, ZACATECAS!$H$7:$H$5000, 0)), "-")</f>
        <v xml:space="preserve">Sistema de aire </v>
      </c>
      <c r="F656" s="544">
        <v>32231913</v>
      </c>
      <c r="G656" s="544" t="s">
        <v>2099</v>
      </c>
      <c r="H656" s="543" t="s">
        <v>2860</v>
      </c>
      <c r="I656" s="6" t="str">
        <f>IFERROR(INDEX(ZACATECAS!$N$7:$N$5000, MATCH($F656, ZACATECAS!$H$7:$H$5000, 0)), "-")</f>
        <v>Gestión</v>
      </c>
    </row>
    <row r="657" spans="1:9" x14ac:dyDescent="0.3">
      <c r="A657" s="543" t="s">
        <v>2857</v>
      </c>
      <c r="B657" s="543" t="s">
        <v>2858</v>
      </c>
      <c r="C657" s="543" t="s">
        <v>2875</v>
      </c>
      <c r="D657" s="546" t="s">
        <v>2862</v>
      </c>
      <c r="E657" s="6" t="str">
        <f>IFERROR(INDEX(ZACATECAS!$I$7:$I$5000, MATCH(F657*1, ZACATECAS!$H$7:$H$5000, 0)), "-")</f>
        <v>Caldera BP</v>
      </c>
      <c r="F657" s="544">
        <v>32044344</v>
      </c>
      <c r="G657" s="544" t="s">
        <v>2102</v>
      </c>
      <c r="H657" s="543" t="s">
        <v>2860</v>
      </c>
      <c r="I657" s="6" t="str">
        <f>IFERROR(INDEX(ZACATECAS!$N$7:$N$5000, MATCH($F657, ZACATECAS!$H$7:$H$5000, 0)), "-")</f>
        <v>Ambiental</v>
      </c>
    </row>
    <row r="658" spans="1:9" x14ac:dyDescent="0.3">
      <c r="A658" s="543" t="s">
        <v>2857</v>
      </c>
      <c r="B658" s="543" t="s">
        <v>2858</v>
      </c>
      <c r="C658" s="543" t="s">
        <v>2875</v>
      </c>
      <c r="D658" s="546" t="s">
        <v>2862</v>
      </c>
      <c r="E658" s="6" t="str">
        <f>IFERROR(INDEX(ZACATECAS!$I$7:$I$5000, MATCH(F658*1, ZACATECAS!$H$7:$H$5000, 0)), "-")</f>
        <v>CO2</v>
      </c>
      <c r="F658" s="544">
        <v>32044492</v>
      </c>
      <c r="G658" s="544" t="s">
        <v>2104</v>
      </c>
      <c r="H658" s="543" t="s">
        <v>2860</v>
      </c>
      <c r="I658" s="6" t="str">
        <f>IFERROR(INDEX(ZACATECAS!$N$7:$N$5000, MATCH($F658, ZACATECAS!$H$7:$H$5000, 0)), "-")</f>
        <v>Seguridad</v>
      </c>
    </row>
    <row r="659" spans="1:9" x14ac:dyDescent="0.3">
      <c r="A659" s="543" t="s">
        <v>2857</v>
      </c>
      <c r="B659" s="543" t="s">
        <v>2858</v>
      </c>
      <c r="C659" s="543" t="s">
        <v>2875</v>
      </c>
      <c r="D659" s="546" t="s">
        <v>2862</v>
      </c>
      <c r="E659" s="6" t="str">
        <f>IFERROR(INDEX(ZACATECAS!$I$7:$I$5000, MATCH(F659*1, ZACATECAS!$H$7:$H$5000, 0)), "-")</f>
        <v>Turbinas</v>
      </c>
      <c r="F659" s="544">
        <v>32043771</v>
      </c>
      <c r="G659" s="544" t="s">
        <v>2106</v>
      </c>
      <c r="H659" s="543" t="s">
        <v>2860</v>
      </c>
      <c r="I659" s="6" t="str">
        <f>IFERROR(INDEX(ZACATECAS!$N$7:$N$5000, MATCH($F659, ZACATECAS!$H$7:$H$5000, 0)), "-")</f>
        <v>Calidad</v>
      </c>
    </row>
    <row r="660" spans="1:9" x14ac:dyDescent="0.3">
      <c r="A660" s="543" t="s">
        <v>2857</v>
      </c>
      <c r="B660" s="543" t="s">
        <v>2858</v>
      </c>
      <c r="C660" s="543" t="s">
        <v>2875</v>
      </c>
      <c r="D660" s="546" t="s">
        <v>2862</v>
      </c>
      <c r="E660" s="6" t="str">
        <f>IFERROR(INDEX(ZACATECAS!$I$7:$I$5000, MATCH(F660*1, ZACATECAS!$H$7:$H$5000, 0)), "-")</f>
        <v>Turbinas</v>
      </c>
      <c r="F660" s="544">
        <v>32043979</v>
      </c>
      <c r="G660" s="544" t="s">
        <v>2108</v>
      </c>
      <c r="H660" s="543" t="s">
        <v>2860</v>
      </c>
      <c r="I660" s="6" t="str">
        <f>IFERROR(INDEX(ZACATECAS!$N$7:$N$5000, MATCH($F660, ZACATECAS!$H$7:$H$5000, 0)), "-")</f>
        <v>Mantenimiento</v>
      </c>
    </row>
    <row r="661" spans="1:9" x14ac:dyDescent="0.3">
      <c r="A661" s="543" t="s">
        <v>2857</v>
      </c>
      <c r="B661" s="543" t="s">
        <v>2858</v>
      </c>
      <c r="C661" s="543" t="s">
        <v>969</v>
      </c>
      <c r="D661" s="546" t="s">
        <v>2861</v>
      </c>
      <c r="E661" s="6" t="str">
        <f>IFERROR(INDEX(ZACATECAS!$I$7:$I$5000, MATCH(F661*1, ZACATECAS!$H$7:$H$5000, 0)), "-")</f>
        <v>-</v>
      </c>
      <c r="F661" s="544">
        <v>32045820</v>
      </c>
      <c r="G661" s="544" t="s">
        <v>970</v>
      </c>
      <c r="H661" s="543" t="s">
        <v>2344</v>
      </c>
      <c r="I661" s="6" t="str">
        <f>IFERROR(INDEX(ZACATECAS!$N$7:$N$5000, MATCH($F661, ZACATECAS!$H$7:$H$5000, 0)), "-")</f>
        <v>-</v>
      </c>
    </row>
    <row r="662" spans="1:9" x14ac:dyDescent="0.3">
      <c r="A662" s="543" t="s">
        <v>2857</v>
      </c>
      <c r="B662" s="543" t="s">
        <v>2858</v>
      </c>
      <c r="C662" s="543" t="s">
        <v>969</v>
      </c>
      <c r="D662" s="546" t="s">
        <v>2861</v>
      </c>
      <c r="E662" s="6">
        <f>IFERROR(INDEX(ZACATECAS!$I$7:$I$5000, MATCH(F662*1, ZACATECAS!$H$7:$H$5000, 0)), "-")</f>
        <v>9</v>
      </c>
      <c r="F662" s="544">
        <v>32046469</v>
      </c>
      <c r="G662" s="544" t="s">
        <v>971</v>
      </c>
      <c r="H662" s="543" t="s">
        <v>2860</v>
      </c>
      <c r="I662" s="6" t="str">
        <f>IFERROR(INDEX(ZACATECAS!$N$7:$N$5000, MATCH($F662, ZACATECAS!$H$7:$H$5000, 0)), "-")</f>
        <v>APOYO DE GESTION</v>
      </c>
    </row>
    <row r="663" spans="1:9" x14ac:dyDescent="0.3">
      <c r="A663" s="543" t="s">
        <v>2857</v>
      </c>
      <c r="B663" s="543" t="s">
        <v>2858</v>
      </c>
      <c r="C663" s="543" t="s">
        <v>969</v>
      </c>
      <c r="D663" s="546" t="s">
        <v>2861</v>
      </c>
      <c r="E663" s="6">
        <f>IFERROR(INDEX(ZACATECAS!$I$7:$I$5000, MATCH(F663*1, ZACATECAS!$H$7:$H$5000, 0)), "-")</f>
        <v>9</v>
      </c>
      <c r="F663" s="544">
        <v>32044009</v>
      </c>
      <c r="G663" s="544" t="s">
        <v>976</v>
      </c>
      <c r="H663" s="543" t="s">
        <v>2860</v>
      </c>
      <c r="I663" s="6" t="str">
        <f>IFERROR(INDEX(ZACATECAS!$N$7:$N$5000, MATCH($F663, ZACATECAS!$H$7:$H$5000, 0)), "-")</f>
        <v>APOYO DE GENTE</v>
      </c>
    </row>
    <row r="664" spans="1:9" x14ac:dyDescent="0.3">
      <c r="A664" s="543" t="s">
        <v>2857</v>
      </c>
      <c r="B664" s="543" t="s">
        <v>2858</v>
      </c>
      <c r="C664" s="543" t="s">
        <v>969</v>
      </c>
      <c r="D664" s="546" t="s">
        <v>2861</v>
      </c>
      <c r="E664" s="6">
        <f>IFERROR(INDEX(ZACATECAS!$I$7:$I$5000, MATCH(F664*1, ZACATECAS!$H$7:$H$5000, 0)), "-")</f>
        <v>9</v>
      </c>
      <c r="F664" s="544">
        <v>32044117</v>
      </c>
      <c r="G664" s="544" t="s">
        <v>978</v>
      </c>
      <c r="H664" s="543" t="s">
        <v>2860</v>
      </c>
      <c r="I664" s="6" t="str">
        <f>IFERROR(INDEX(ZACATECAS!$N$7:$N$5000, MATCH($F664, ZACATECAS!$H$7:$H$5000, 0)), "-")</f>
        <v>CHAMPION DE MANTENIMIENTO</v>
      </c>
    </row>
    <row r="665" spans="1:9" x14ac:dyDescent="0.3">
      <c r="A665" s="543" t="s">
        <v>2857</v>
      </c>
      <c r="B665" s="543" t="s">
        <v>2858</v>
      </c>
      <c r="C665" s="543" t="s">
        <v>969</v>
      </c>
      <c r="D665" s="546" t="s">
        <v>2861</v>
      </c>
      <c r="E665" s="6">
        <f>IFERROR(INDEX(ZACATECAS!$I$7:$I$5000, MATCH(F665*1, ZACATECAS!$H$7:$H$5000, 0)), "-")</f>
        <v>9</v>
      </c>
      <c r="F665" s="544">
        <v>32044772</v>
      </c>
      <c r="G665" s="544" t="s">
        <v>980</v>
      </c>
      <c r="H665" s="543" t="s">
        <v>2860</v>
      </c>
      <c r="I665" s="6" t="str">
        <f>IFERROR(INDEX(ZACATECAS!$N$7:$N$5000, MATCH($F665, ZACATECAS!$H$7:$H$5000, 0)), "-")</f>
        <v>APOYO DE LOGISTICA</v>
      </c>
    </row>
    <row r="666" spans="1:9" x14ac:dyDescent="0.3">
      <c r="A666" s="543" t="s">
        <v>2857</v>
      </c>
      <c r="B666" s="543" t="s">
        <v>2858</v>
      </c>
      <c r="C666" s="543" t="s">
        <v>969</v>
      </c>
      <c r="D666" s="546" t="s">
        <v>2861</v>
      </c>
      <c r="E666" s="6">
        <f>IFERROR(INDEX(ZACATECAS!$I$7:$I$5000, MATCH(F666*1, ZACATECAS!$H$7:$H$5000, 0)), "-")</f>
        <v>9</v>
      </c>
      <c r="F666" s="544">
        <v>32044869</v>
      </c>
      <c r="G666" s="544" t="s">
        <v>981</v>
      </c>
      <c r="H666" s="543" t="s">
        <v>2860</v>
      </c>
      <c r="I666" s="6" t="str">
        <f>IFERROR(INDEX(ZACATECAS!$N$7:$N$5000, MATCH($F666, ZACATECAS!$H$7:$H$5000, 0)), "-")</f>
        <v>APOYO DE SEGURIDAD</v>
      </c>
    </row>
    <row r="667" spans="1:9" x14ac:dyDescent="0.3">
      <c r="A667" s="543" t="s">
        <v>2857</v>
      </c>
      <c r="B667" s="543" t="s">
        <v>2858</v>
      </c>
      <c r="C667" s="543" t="s">
        <v>969</v>
      </c>
      <c r="D667" s="546" t="s">
        <v>2861</v>
      </c>
      <c r="E667" s="6">
        <f>IFERROR(INDEX(ZACATECAS!$I$7:$I$5000, MATCH(F667*1, ZACATECAS!$H$7:$H$5000, 0)), "-")</f>
        <v>9</v>
      </c>
      <c r="F667" s="544">
        <v>32044919</v>
      </c>
      <c r="G667" s="544" t="s">
        <v>982</v>
      </c>
      <c r="H667" s="543" t="s">
        <v>2860</v>
      </c>
      <c r="I667" s="6" t="str">
        <f>IFERROR(INDEX(ZACATECAS!$N$7:$N$5000, MATCH($F667, ZACATECAS!$H$7:$H$5000, 0)), "-")</f>
        <v>APOYO DE AMBIENTAL</v>
      </c>
    </row>
    <row r="668" spans="1:9" x14ac:dyDescent="0.3">
      <c r="A668" s="543" t="s">
        <v>2857</v>
      </c>
      <c r="B668" s="543" t="s">
        <v>2858</v>
      </c>
      <c r="C668" s="543" t="s">
        <v>969</v>
      </c>
      <c r="D668" s="546" t="s">
        <v>2861</v>
      </c>
      <c r="E668" s="6">
        <f>IFERROR(INDEX(ZACATECAS!$I$7:$I$5000, MATCH(F668*1, ZACATECAS!$H$7:$H$5000, 0)), "-")</f>
        <v>9</v>
      </c>
      <c r="F668" s="544">
        <v>32046156</v>
      </c>
      <c r="G668" s="544" t="s">
        <v>984</v>
      </c>
      <c r="H668" s="543" t="s">
        <v>2860</v>
      </c>
      <c r="I668" s="6" t="str">
        <f>IFERROR(INDEX(ZACATECAS!$N$7:$N$5000, MATCH($F668, ZACATECAS!$H$7:$H$5000, 0)), "-")</f>
        <v>APOYO DE LOGISTICA</v>
      </c>
    </row>
    <row r="669" spans="1:9" x14ac:dyDescent="0.3">
      <c r="A669" s="543" t="s">
        <v>2857</v>
      </c>
      <c r="B669" s="543" t="s">
        <v>2858</v>
      </c>
      <c r="C669" s="543" t="s">
        <v>969</v>
      </c>
      <c r="D669" s="546" t="s">
        <v>2861</v>
      </c>
      <c r="E669" s="6">
        <f>IFERROR(INDEX(ZACATECAS!$I$7:$I$5000, MATCH(F669*1, ZACATECAS!$H$7:$H$5000, 0)), "-")</f>
        <v>9</v>
      </c>
      <c r="F669" s="544">
        <v>32046584</v>
      </c>
      <c r="G669" s="544" t="s">
        <v>986</v>
      </c>
      <c r="H669" s="543" t="s">
        <v>2860</v>
      </c>
      <c r="I669" s="6" t="str">
        <f>IFERROR(INDEX(ZACATECAS!$N$7:$N$5000, MATCH($F669, ZACATECAS!$H$7:$H$5000, 0)), "-")</f>
        <v xml:space="preserve">CHAMPION DE SEGURIDAD </v>
      </c>
    </row>
    <row r="670" spans="1:9" x14ac:dyDescent="0.3">
      <c r="A670" s="543" t="s">
        <v>2857</v>
      </c>
      <c r="B670" s="543" t="s">
        <v>2858</v>
      </c>
      <c r="C670" s="543" t="s">
        <v>969</v>
      </c>
      <c r="D670" s="546" t="s">
        <v>2861</v>
      </c>
      <c r="E670" s="6">
        <f>IFERROR(INDEX(ZACATECAS!$I$7:$I$5000, MATCH(F670*1, ZACATECAS!$H$7:$H$5000, 0)), "-")</f>
        <v>9</v>
      </c>
      <c r="F670" s="544">
        <v>32046585</v>
      </c>
      <c r="G670" s="544" t="s">
        <v>987</v>
      </c>
      <c r="H670" s="543" t="s">
        <v>2860</v>
      </c>
      <c r="I670" s="6" t="str">
        <f>IFERROR(INDEX(ZACATECAS!$N$7:$N$5000, MATCH($F670, ZACATECAS!$H$7:$H$5000, 0)), "-")</f>
        <v>CHAMPION DE GESTIÓN</v>
      </c>
    </row>
    <row r="671" spans="1:9" x14ac:dyDescent="0.3">
      <c r="A671" s="543" t="s">
        <v>2857</v>
      </c>
      <c r="B671" s="543" t="s">
        <v>2858</v>
      </c>
      <c r="C671" s="543" t="s">
        <v>969</v>
      </c>
      <c r="D671" s="546" t="s">
        <v>2861</v>
      </c>
      <c r="E671" s="6">
        <f>IFERROR(INDEX(ZACATECAS!$I$7:$I$5000, MATCH(F671*1, ZACATECAS!$H$7:$H$5000, 0)), "-")</f>
        <v>9</v>
      </c>
      <c r="F671" s="544">
        <v>32046602</v>
      </c>
      <c r="G671" s="544" t="s">
        <v>989</v>
      </c>
      <c r="H671" s="543" t="s">
        <v>2860</v>
      </c>
      <c r="I671" s="6" t="str">
        <f>IFERROR(INDEX(ZACATECAS!$N$7:$N$5000, MATCH($F671, ZACATECAS!$H$7:$H$5000, 0)), "-")</f>
        <v>CHAMPION DE MANTENIMIENTO</v>
      </c>
    </row>
    <row r="672" spans="1:9" x14ac:dyDescent="0.3">
      <c r="A672" s="543" t="s">
        <v>2857</v>
      </c>
      <c r="B672" s="543" t="s">
        <v>2858</v>
      </c>
      <c r="C672" s="543" t="s">
        <v>969</v>
      </c>
      <c r="D672" s="546" t="s">
        <v>2861</v>
      </c>
      <c r="E672" s="6">
        <f>IFERROR(INDEX(ZACATECAS!$I$7:$I$5000, MATCH(F672*1, ZACATECAS!$H$7:$H$5000, 0)), "-")</f>
        <v>9</v>
      </c>
      <c r="F672" s="544">
        <v>32061474</v>
      </c>
      <c r="G672" s="544" t="s">
        <v>991</v>
      </c>
      <c r="H672" s="543" t="s">
        <v>2860</v>
      </c>
      <c r="I672" s="6" t="str">
        <f>IFERROR(INDEX(ZACATECAS!$N$7:$N$5000, MATCH($F672, ZACATECAS!$H$7:$H$5000, 0)), "-")</f>
        <v>CHAMPION DE GENTE</v>
      </c>
    </row>
    <row r="673" spans="1:9" x14ac:dyDescent="0.3">
      <c r="A673" s="543" t="s">
        <v>2857</v>
      </c>
      <c r="B673" s="543" t="s">
        <v>2858</v>
      </c>
      <c r="C673" s="543" t="s">
        <v>969</v>
      </c>
      <c r="D673" s="546" t="s">
        <v>2861</v>
      </c>
      <c r="E673" s="6">
        <f>IFERROR(INDEX(ZACATECAS!$I$7:$I$5000, MATCH(F673*1, ZACATECAS!$H$7:$H$5000, 0)), "-")</f>
        <v>9</v>
      </c>
      <c r="F673" s="544">
        <v>32067168</v>
      </c>
      <c r="G673" s="544" t="s">
        <v>993</v>
      </c>
      <c r="H673" s="543" t="s">
        <v>2860</v>
      </c>
      <c r="I673" s="6" t="str">
        <f>IFERROR(INDEX(ZACATECAS!$N$7:$N$5000, MATCH($F673, ZACATECAS!$H$7:$H$5000, 0)), "-")</f>
        <v xml:space="preserve">CHAMPION DE AMBIENTAL </v>
      </c>
    </row>
    <row r="674" spans="1:9" x14ac:dyDescent="0.3">
      <c r="A674" s="543" t="s">
        <v>2857</v>
      </c>
      <c r="B674" s="543" t="s">
        <v>2858</v>
      </c>
      <c r="C674" s="543" t="s">
        <v>969</v>
      </c>
      <c r="D674" s="546" t="s">
        <v>2861</v>
      </c>
      <c r="E674" s="6">
        <f>IFERROR(INDEX(ZACATECAS!$I$7:$I$5000, MATCH(F674*1, ZACATECAS!$H$7:$H$5000, 0)), "-")</f>
        <v>9</v>
      </c>
      <c r="F674" s="544">
        <v>32067739</v>
      </c>
      <c r="G674" s="544" t="s">
        <v>994</v>
      </c>
      <c r="H674" s="543" t="s">
        <v>2860</v>
      </c>
      <c r="I674" s="6" t="str">
        <f>IFERROR(INDEX(ZACATECAS!$N$7:$N$5000, MATCH($F674, ZACATECAS!$H$7:$H$5000, 0)), "-")</f>
        <v>CHAMPION DE LOGISTICA</v>
      </c>
    </row>
    <row r="675" spans="1:9" x14ac:dyDescent="0.3">
      <c r="A675" s="543" t="s">
        <v>2857</v>
      </c>
      <c r="B675" s="543" t="s">
        <v>2858</v>
      </c>
      <c r="C675" s="543" t="s">
        <v>969</v>
      </c>
      <c r="D675" s="546" t="s">
        <v>2861</v>
      </c>
      <c r="E675" s="6">
        <f>IFERROR(INDEX(ZACATECAS!$I$7:$I$5000, MATCH(F675*1, ZACATECAS!$H$7:$H$5000, 0)), "-")</f>
        <v>9</v>
      </c>
      <c r="F675" s="544">
        <v>32068002</v>
      </c>
      <c r="G675" s="544" t="s">
        <v>996</v>
      </c>
      <c r="H675" s="543" t="s">
        <v>2860</v>
      </c>
      <c r="I675" s="6" t="str">
        <f>IFERROR(INDEX(ZACATECAS!$N$7:$N$5000, MATCH($F675, ZACATECAS!$H$7:$H$5000, 0)), "-")</f>
        <v>CHAMPION DE SEGURIDAD.</v>
      </c>
    </row>
    <row r="676" spans="1:9" x14ac:dyDescent="0.3">
      <c r="A676" s="543" t="s">
        <v>2857</v>
      </c>
      <c r="B676" s="543" t="s">
        <v>2858</v>
      </c>
      <c r="C676" s="543" t="s">
        <v>969</v>
      </c>
      <c r="D676" s="546" t="s">
        <v>2861</v>
      </c>
      <c r="E676" s="6">
        <f>IFERROR(INDEX(ZACATECAS!$I$7:$I$5000, MATCH(F676*1, ZACATECAS!$H$7:$H$5000, 0)), "-")</f>
        <v>9</v>
      </c>
      <c r="F676" s="544">
        <v>32148854</v>
      </c>
      <c r="G676" s="544" t="s">
        <v>999</v>
      </c>
      <c r="H676" s="543" t="s">
        <v>2860</v>
      </c>
      <c r="I676" s="6" t="str">
        <f>IFERROR(INDEX(ZACATECAS!$N$7:$N$5000, MATCH($F676, ZACATECAS!$H$7:$H$5000, 0)), "-")</f>
        <v xml:space="preserve">CHAMPION CALIDAD </v>
      </c>
    </row>
    <row r="677" spans="1:9" x14ac:dyDescent="0.3">
      <c r="A677" s="543" t="s">
        <v>2857</v>
      </c>
      <c r="B677" s="543" t="s">
        <v>2858</v>
      </c>
      <c r="C677" s="543" t="s">
        <v>969</v>
      </c>
      <c r="D677" s="546" t="s">
        <v>2861</v>
      </c>
      <c r="E677" s="6">
        <f>IFERROR(INDEX(ZACATECAS!$I$7:$I$5000, MATCH(F677*1, ZACATECAS!$H$7:$H$5000, 0)), "-")</f>
        <v>9</v>
      </c>
      <c r="F677" s="544">
        <v>32148854</v>
      </c>
      <c r="G677" s="544" t="s">
        <v>1000</v>
      </c>
      <c r="H677" s="543" t="s">
        <v>2860</v>
      </c>
      <c r="I677" s="6" t="str">
        <f>IFERROR(INDEX(ZACATECAS!$N$7:$N$5000, MATCH($F677, ZACATECAS!$H$7:$H$5000, 0)), "-")</f>
        <v xml:space="preserve">CHAMPION CALIDAD </v>
      </c>
    </row>
    <row r="678" spans="1:9" x14ac:dyDescent="0.3">
      <c r="A678" s="543" t="s">
        <v>2857</v>
      </c>
      <c r="B678" s="543" t="s">
        <v>2858</v>
      </c>
      <c r="C678" s="543" t="s">
        <v>969</v>
      </c>
      <c r="D678" s="546" t="s">
        <v>2861</v>
      </c>
      <c r="E678" s="6">
        <f>IFERROR(INDEX(ZACATECAS!$I$7:$I$5000, MATCH(F678*1, ZACATECAS!$H$7:$H$5000, 0)), "-")</f>
        <v>9</v>
      </c>
      <c r="F678" s="544">
        <v>32202288</v>
      </c>
      <c r="G678" s="544" t="s">
        <v>1002</v>
      </c>
      <c r="H678" s="543" t="s">
        <v>2860</v>
      </c>
      <c r="I678" s="6" t="str">
        <f>IFERROR(INDEX(ZACATECAS!$N$7:$N$5000, MATCH($F678, ZACATECAS!$H$7:$H$5000, 0)), "-")</f>
        <v>APOYO DE MANTENIMIENTO</v>
      </c>
    </row>
    <row r="679" spans="1:9" x14ac:dyDescent="0.3">
      <c r="A679" s="543" t="s">
        <v>2857</v>
      </c>
      <c r="B679" s="543" t="s">
        <v>2858</v>
      </c>
      <c r="C679" s="543" t="s">
        <v>1343</v>
      </c>
      <c r="D679" s="546" t="s">
        <v>2861</v>
      </c>
      <c r="E679" s="6" t="str">
        <f>IFERROR(INDEX(ZACATECAS!$I$7:$I$5000, MATCH(F679*1, ZACATECAS!$H$7:$H$5000, 0)), "-")</f>
        <v>-</v>
      </c>
      <c r="F679" s="544">
        <v>32060808</v>
      </c>
      <c r="G679" s="544" t="s">
        <v>1265</v>
      </c>
      <c r="H679" s="543" t="s">
        <v>2344</v>
      </c>
      <c r="I679" s="6" t="str">
        <f>IFERROR(INDEX(ZACATECAS!$N$7:$N$5000, MATCH($F679, ZACATECAS!$H$7:$H$5000, 0)), "-")</f>
        <v>-</v>
      </c>
    </row>
    <row r="680" spans="1:9" x14ac:dyDescent="0.3">
      <c r="A680" s="543" t="s">
        <v>2857</v>
      </c>
      <c r="B680" s="543" t="s">
        <v>2858</v>
      </c>
      <c r="C680" s="543" t="s">
        <v>1343</v>
      </c>
      <c r="D680" s="546" t="s">
        <v>2861</v>
      </c>
      <c r="E680" s="6">
        <f>IFERROR(INDEX(ZACATECAS!$I$7:$I$5000, MATCH(F680*1, ZACATECAS!$H$7:$H$5000, 0)), "-")</f>
        <v>14</v>
      </c>
      <c r="F680" s="544">
        <v>32136509</v>
      </c>
      <c r="G680" s="546" t="s">
        <v>1344</v>
      </c>
      <c r="H680" s="543" t="s">
        <v>2860</v>
      </c>
      <c r="I680" s="6" t="str">
        <f>IFERROR(INDEX(ZACATECAS!$N$7:$N$5000, MATCH($F680, ZACATECAS!$H$7:$H$5000, 0)), "-")</f>
        <v>Champion Calidad</v>
      </c>
    </row>
    <row r="681" spans="1:9" x14ac:dyDescent="0.3">
      <c r="A681" s="543" t="s">
        <v>2857</v>
      </c>
      <c r="B681" s="543" t="s">
        <v>2858</v>
      </c>
      <c r="C681" s="543" t="s">
        <v>1343</v>
      </c>
      <c r="D681" s="546" t="s">
        <v>2861</v>
      </c>
      <c r="E681" s="6">
        <f>IFERROR(INDEX(ZACATECAS!$I$7:$I$5000, MATCH(F681*1, ZACATECAS!$H$7:$H$5000, 0)), "-")</f>
        <v>14</v>
      </c>
      <c r="F681" s="544">
        <v>32131879</v>
      </c>
      <c r="G681" s="544" t="s">
        <v>1346</v>
      </c>
      <c r="H681" s="543" t="s">
        <v>2860</v>
      </c>
      <c r="I681" s="6" t="str">
        <f>IFERROR(INDEX(ZACATECAS!$N$7:$N$5000, MATCH($F681, ZACATECAS!$H$7:$H$5000, 0)), "-")</f>
        <v>Champion seguridad</v>
      </c>
    </row>
    <row r="682" spans="1:9" x14ac:dyDescent="0.3">
      <c r="A682" s="543" t="s">
        <v>2857</v>
      </c>
      <c r="B682" s="543" t="s">
        <v>2858</v>
      </c>
      <c r="C682" s="543" t="s">
        <v>1343</v>
      </c>
      <c r="D682" s="546" t="s">
        <v>2861</v>
      </c>
      <c r="E682" s="6">
        <f>IFERROR(INDEX(ZACATECAS!$I$7:$I$5000, MATCH(F682*1, ZACATECAS!$H$7:$H$5000, 0)), "-")</f>
        <v>14</v>
      </c>
      <c r="F682" s="544">
        <v>32045523</v>
      </c>
      <c r="G682" s="544" t="s">
        <v>1349</v>
      </c>
      <c r="H682" s="543" t="s">
        <v>2860</v>
      </c>
      <c r="I682" s="6" t="str">
        <f>IFERROR(INDEX(ZACATECAS!$N$7:$N$5000, MATCH($F682, ZACATECAS!$H$7:$H$5000, 0)), "-")</f>
        <v>Champion Gestión</v>
      </c>
    </row>
    <row r="683" spans="1:9" x14ac:dyDescent="0.3">
      <c r="A683" s="543" t="s">
        <v>2857</v>
      </c>
      <c r="B683" s="543" t="s">
        <v>2858</v>
      </c>
      <c r="C683" s="543" t="s">
        <v>1343</v>
      </c>
      <c r="D683" s="546" t="s">
        <v>2861</v>
      </c>
      <c r="E683" s="6">
        <f>IFERROR(INDEX(ZACATECAS!$I$7:$I$5000, MATCH(F683*1, ZACATECAS!$H$7:$H$5000, 0)), "-")</f>
        <v>14</v>
      </c>
      <c r="F683" s="544">
        <v>32187990</v>
      </c>
      <c r="G683" s="544" t="s">
        <v>1351</v>
      </c>
      <c r="H683" s="543" t="s">
        <v>2860</v>
      </c>
      <c r="I683" s="6" t="str">
        <f>IFERROR(INDEX(ZACATECAS!$N$7:$N$5000, MATCH($F683, ZACATECAS!$H$7:$H$5000, 0)), "-")</f>
        <v>Champion Gestión</v>
      </c>
    </row>
    <row r="684" spans="1:9" x14ac:dyDescent="0.3">
      <c r="A684" s="543" t="s">
        <v>2857</v>
      </c>
      <c r="B684" s="543" t="s">
        <v>2858</v>
      </c>
      <c r="C684" s="543" t="s">
        <v>1343</v>
      </c>
      <c r="D684" s="546" t="s">
        <v>2861</v>
      </c>
      <c r="E684" s="6">
        <f>IFERROR(INDEX(ZACATECAS!$I$7:$I$5000, MATCH(F684*1, ZACATECAS!$H$7:$H$5000, 0)), "-")</f>
        <v>14</v>
      </c>
      <c r="F684" s="544">
        <v>32044961</v>
      </c>
      <c r="G684" s="544" t="s">
        <v>1353</v>
      </c>
      <c r="H684" s="543" t="s">
        <v>2860</v>
      </c>
      <c r="I684" s="6" t="str">
        <f>IFERROR(INDEX(ZACATECAS!$N$7:$N$5000, MATCH($F684, ZACATECAS!$H$7:$H$5000, 0)), "-")</f>
        <v>Champion Mantenimiento</v>
      </c>
    </row>
    <row r="685" spans="1:9" x14ac:dyDescent="0.3">
      <c r="A685" s="543" t="s">
        <v>2857</v>
      </c>
      <c r="B685" s="543" t="s">
        <v>2858</v>
      </c>
      <c r="C685" s="543" t="s">
        <v>1343</v>
      </c>
      <c r="D685" s="546" t="s">
        <v>2861</v>
      </c>
      <c r="E685" s="6">
        <f>IFERROR(INDEX(ZACATECAS!$I$7:$I$5000, MATCH(F685*1, ZACATECAS!$H$7:$H$5000, 0)), "-")</f>
        <v>14</v>
      </c>
      <c r="F685" s="544">
        <v>32138049</v>
      </c>
      <c r="G685" s="544" t="s">
        <v>1355</v>
      </c>
      <c r="H685" s="543" t="s">
        <v>2860</v>
      </c>
      <c r="I685" s="6" t="str">
        <f>IFERROR(INDEX(ZACATECAS!$N$7:$N$5000, MATCH($F685, ZACATECAS!$H$7:$H$5000, 0)), "-")</f>
        <v>Champion calidad</v>
      </c>
    </row>
    <row r="686" spans="1:9" x14ac:dyDescent="0.3">
      <c r="A686" s="543" t="s">
        <v>2857</v>
      </c>
      <c r="B686" s="543" t="s">
        <v>2858</v>
      </c>
      <c r="C686" s="543" t="s">
        <v>1343</v>
      </c>
      <c r="D686" s="546" t="s">
        <v>2861</v>
      </c>
      <c r="E686" s="6">
        <f>IFERROR(INDEX(ZACATECAS!$I$7:$I$5000, MATCH(F686*1, ZACATECAS!$H$7:$H$5000, 0)), "-")</f>
        <v>14</v>
      </c>
      <c r="F686" s="544">
        <v>32102190</v>
      </c>
      <c r="G686" s="544" t="s">
        <v>1358</v>
      </c>
      <c r="H686" s="543" t="s">
        <v>2860</v>
      </c>
      <c r="I686" s="6" t="str">
        <f>IFERROR(INDEX(ZACATECAS!$N$7:$N$5000, MATCH($F686, ZACATECAS!$H$7:$H$5000, 0)), "-")</f>
        <v>Champion Mantenimiento</v>
      </c>
    </row>
    <row r="687" spans="1:9" x14ac:dyDescent="0.3">
      <c r="A687" s="543" t="s">
        <v>2857</v>
      </c>
      <c r="B687" s="543" t="s">
        <v>2858</v>
      </c>
      <c r="C687" s="543" t="s">
        <v>1343</v>
      </c>
      <c r="D687" s="546" t="s">
        <v>2861</v>
      </c>
      <c r="E687" s="6">
        <f>IFERROR(INDEX(ZACATECAS!$I$7:$I$5000, MATCH(F687*1, ZACATECAS!$H$7:$H$5000, 0)), "-")</f>
        <v>14</v>
      </c>
      <c r="F687" s="544">
        <v>32148861</v>
      </c>
      <c r="G687" s="544" t="s">
        <v>1360</v>
      </c>
      <c r="H687" s="543" t="s">
        <v>2860</v>
      </c>
      <c r="I687" s="6" t="str">
        <f>IFERROR(INDEX(ZACATECAS!$N$7:$N$5000, MATCH($F687, ZACATECAS!$H$7:$H$5000, 0)), "-")</f>
        <v>Champion Gente</v>
      </c>
    </row>
    <row r="688" spans="1:9" x14ac:dyDescent="0.3">
      <c r="A688" s="543" t="s">
        <v>2857</v>
      </c>
      <c r="B688" s="543" t="s">
        <v>2858</v>
      </c>
      <c r="C688" s="543" t="s">
        <v>1343</v>
      </c>
      <c r="D688" s="546" t="s">
        <v>2861</v>
      </c>
      <c r="E688" s="6">
        <f>IFERROR(INDEX(ZACATECAS!$I$7:$I$5000, MATCH(F688*1, ZACATECAS!$H$7:$H$5000, 0)), "-")</f>
        <v>14</v>
      </c>
      <c r="F688" s="544">
        <v>32046352</v>
      </c>
      <c r="G688" s="544" t="s">
        <v>1362</v>
      </c>
      <c r="H688" s="543" t="s">
        <v>2860</v>
      </c>
      <c r="I688" s="6" t="str">
        <f>IFERROR(INDEX(ZACATECAS!$N$7:$N$5000, MATCH($F688, ZACATECAS!$H$7:$H$5000, 0)), "-")</f>
        <v>Champion Ambiental</v>
      </c>
    </row>
    <row r="689" spans="1:9" x14ac:dyDescent="0.3">
      <c r="A689" s="543" t="s">
        <v>2857</v>
      </c>
      <c r="B689" s="543" t="s">
        <v>2858</v>
      </c>
      <c r="C689" s="543" t="s">
        <v>1343</v>
      </c>
      <c r="D689" s="546" t="s">
        <v>2861</v>
      </c>
      <c r="E689" s="6">
        <f>IFERROR(INDEX(ZACATECAS!$I$7:$I$5000, MATCH(F689*1, ZACATECAS!$H$7:$H$5000, 0)), "-")</f>
        <v>14</v>
      </c>
      <c r="F689" s="544">
        <v>32046367</v>
      </c>
      <c r="G689" s="544" t="s">
        <v>1364</v>
      </c>
      <c r="H689" s="543" t="s">
        <v>2860</v>
      </c>
      <c r="I689" s="6" t="str">
        <f>IFERROR(INDEX(ZACATECAS!$N$7:$N$5000, MATCH($F689, ZACATECAS!$H$7:$H$5000, 0)), "-")</f>
        <v>Champion Logistica</v>
      </c>
    </row>
    <row r="690" spans="1:9" x14ac:dyDescent="0.3">
      <c r="A690" s="543" t="s">
        <v>2857</v>
      </c>
      <c r="B690" s="543" t="s">
        <v>2858</v>
      </c>
      <c r="C690" s="543" t="s">
        <v>1343</v>
      </c>
      <c r="D690" s="546" t="s">
        <v>2861</v>
      </c>
      <c r="E690" s="6">
        <f>IFERROR(INDEX(ZACATECAS!$I$7:$I$5000, MATCH(F690*1, ZACATECAS!$H$7:$H$5000, 0)), "-")</f>
        <v>14</v>
      </c>
      <c r="F690" s="544">
        <v>32107030</v>
      </c>
      <c r="G690" s="544" t="s">
        <v>1367</v>
      </c>
      <c r="H690" s="543" t="s">
        <v>2860</v>
      </c>
      <c r="I690" s="6" t="str">
        <f>IFERROR(INDEX(ZACATECAS!$N$7:$N$5000, MATCH($F690, ZACATECAS!$H$7:$H$5000, 0)), "-")</f>
        <v>Champion seguridad</v>
      </c>
    </row>
    <row r="691" spans="1:9" x14ac:dyDescent="0.3">
      <c r="A691" s="543" t="s">
        <v>2857</v>
      </c>
      <c r="B691" s="543" t="s">
        <v>2858</v>
      </c>
      <c r="C691" s="543" t="s">
        <v>1465</v>
      </c>
      <c r="D691" s="546" t="s">
        <v>2861</v>
      </c>
      <c r="E691" s="6" t="str">
        <f>IFERROR(INDEX(ZACATECAS!$I$7:$I$5000, MATCH(F691*1, ZACATECAS!$H$7:$H$5000, 0)), "-")</f>
        <v>-</v>
      </c>
      <c r="F691" s="544">
        <v>32231917</v>
      </c>
      <c r="G691" s="544" t="s">
        <v>1466</v>
      </c>
      <c r="H691" s="543" t="s">
        <v>2344</v>
      </c>
      <c r="I691" s="6" t="str">
        <f>IFERROR(INDEX(ZACATECAS!$N$7:$N$5000, MATCH($F691, ZACATECAS!$H$7:$H$5000, 0)), "-")</f>
        <v>-</v>
      </c>
    </row>
    <row r="692" spans="1:9" x14ac:dyDescent="0.3">
      <c r="A692" s="543" t="s">
        <v>2857</v>
      </c>
      <c r="B692" s="543" t="s">
        <v>2858</v>
      </c>
      <c r="C692" s="543" t="s">
        <v>1465</v>
      </c>
      <c r="D692" s="546" t="s">
        <v>2861</v>
      </c>
      <c r="E692" s="6" t="str">
        <f>IFERROR(INDEX(ZACATECAS!$I$7:$I$5000, MATCH(F692*1, ZACATECAS!$H$7:$H$5000, 0)), "-")</f>
        <v>MIXTO 3-4</v>
      </c>
      <c r="F692" s="544">
        <v>32197860</v>
      </c>
      <c r="G692" s="544" t="s">
        <v>1467</v>
      </c>
      <c r="H692" s="543" t="s">
        <v>2860</v>
      </c>
      <c r="I692" s="6" t="str">
        <f>IFERROR(INDEX(ZACATECAS!$N$7:$N$5000, MATCH($F692, ZACATECAS!$H$7:$H$5000, 0)), "-")</f>
        <v>APOYO GESTION</v>
      </c>
    </row>
    <row r="693" spans="1:9" x14ac:dyDescent="0.3">
      <c r="A693" s="543" t="s">
        <v>2857</v>
      </c>
      <c r="B693" s="543" t="s">
        <v>2858</v>
      </c>
      <c r="C693" s="543" t="s">
        <v>1465</v>
      </c>
      <c r="D693" s="546" t="s">
        <v>2861</v>
      </c>
      <c r="E693" s="6" t="str">
        <f>IFERROR(INDEX(ZACATECAS!$I$7:$I$5000, MATCH(F693*1, ZACATECAS!$H$7:$H$5000, 0)), "-")</f>
        <v>MIXTO 3-4</v>
      </c>
      <c r="F693" s="544">
        <v>32197876</v>
      </c>
      <c r="G693" s="544" t="s">
        <v>1469</v>
      </c>
      <c r="H693" s="543" t="s">
        <v>2860</v>
      </c>
      <c r="I693" s="6" t="str">
        <f>IFERROR(INDEX(ZACATECAS!$N$7:$N$5000, MATCH($F693, ZACATECAS!$H$7:$H$5000, 0)), "-")</f>
        <v xml:space="preserve">APOYO DE CALIDAD </v>
      </c>
    </row>
    <row r="694" spans="1:9" x14ac:dyDescent="0.3">
      <c r="A694" s="543" t="s">
        <v>2857</v>
      </c>
      <c r="B694" s="543" t="s">
        <v>2858</v>
      </c>
      <c r="C694" s="543" t="s">
        <v>1465</v>
      </c>
      <c r="D694" s="546" t="s">
        <v>2861</v>
      </c>
      <c r="E694" s="6" t="str">
        <f>IFERROR(INDEX(ZACATECAS!$I$7:$I$5000, MATCH(F694*1, ZACATECAS!$H$7:$H$5000, 0)), "-")</f>
        <v>MIXTO 3-4</v>
      </c>
      <c r="F694" s="544">
        <v>32044553</v>
      </c>
      <c r="G694" s="544" t="s">
        <v>1471</v>
      </c>
      <c r="H694" s="543" t="s">
        <v>2860</v>
      </c>
      <c r="I694" s="6" t="str">
        <f>IFERROR(INDEX(ZACATECAS!$N$7:$N$5000, MATCH($F694, ZACATECAS!$H$7:$H$5000, 0)), "-")</f>
        <v>Champion Seguridad</v>
      </c>
    </row>
    <row r="695" spans="1:9" x14ac:dyDescent="0.3">
      <c r="A695" s="543" t="s">
        <v>2857</v>
      </c>
      <c r="B695" s="543" t="s">
        <v>2858</v>
      </c>
      <c r="C695" s="543" t="s">
        <v>1465</v>
      </c>
      <c r="D695" s="546" t="s">
        <v>2861</v>
      </c>
      <c r="E695" s="6" t="str">
        <f>IFERROR(INDEX(ZACATECAS!$I$7:$I$5000, MATCH(F695*1, ZACATECAS!$H$7:$H$5000, 0)), "-")</f>
        <v>MIXTO 3-4</v>
      </c>
      <c r="F695" s="544">
        <v>32046209</v>
      </c>
      <c r="G695" s="544" t="s">
        <v>1473</v>
      </c>
      <c r="H695" s="543" t="s">
        <v>2860</v>
      </c>
      <c r="I695" s="6" t="str">
        <f>IFERROR(INDEX(ZACATECAS!$N$7:$N$5000, MATCH($F695, ZACATECAS!$H$7:$H$5000, 0)), "-")</f>
        <v>Champion Gente</v>
      </c>
    </row>
    <row r="696" spans="1:9" x14ac:dyDescent="0.3">
      <c r="A696" s="543" t="s">
        <v>2857</v>
      </c>
      <c r="B696" s="543" t="s">
        <v>2858</v>
      </c>
      <c r="C696" s="543" t="s">
        <v>1465</v>
      </c>
      <c r="D696" s="546" t="s">
        <v>2861</v>
      </c>
      <c r="E696" s="6" t="str">
        <f>IFERROR(INDEX(ZACATECAS!$I$7:$I$5000, MATCH(F696*1, ZACATECAS!$H$7:$H$5000, 0)), "-")</f>
        <v>MIXTO 3-4</v>
      </c>
      <c r="F696" s="544">
        <v>32044871</v>
      </c>
      <c r="G696" s="544" t="s">
        <v>1475</v>
      </c>
      <c r="H696" s="543" t="s">
        <v>2860</v>
      </c>
      <c r="I696" s="6" t="str">
        <f>IFERROR(INDEX(ZACATECAS!$N$7:$N$5000, MATCH($F696, ZACATECAS!$H$7:$H$5000, 0)), "-")</f>
        <v>Champion Logística</v>
      </c>
    </row>
    <row r="697" spans="1:9" x14ac:dyDescent="0.3">
      <c r="A697" s="543" t="s">
        <v>2857</v>
      </c>
      <c r="B697" s="543" t="s">
        <v>2858</v>
      </c>
      <c r="C697" s="543" t="s">
        <v>1465</v>
      </c>
      <c r="D697" s="543" t="s">
        <v>2861</v>
      </c>
      <c r="E697" s="6" t="str">
        <f>IFERROR(INDEX(ZACATECAS!$I$7:$I$5000, MATCH(F697*1, ZACATECAS!$H$7:$H$5000, 0)), "-")</f>
        <v>MIXTO 3-4</v>
      </c>
      <c r="F697" s="544">
        <v>32045621</v>
      </c>
      <c r="G697" s="544" t="s">
        <v>1477</v>
      </c>
      <c r="H697" s="543" t="s">
        <v>2860</v>
      </c>
      <c r="I697" s="6" t="str">
        <f>IFERROR(INDEX(ZACATECAS!$N$7:$N$5000, MATCH($F697, ZACATECAS!$H$7:$H$5000, 0)), "-")</f>
        <v xml:space="preserve">Apoyo Ambiental </v>
      </c>
    </row>
    <row r="698" spans="1:9" x14ac:dyDescent="0.3">
      <c r="A698" s="543" t="s">
        <v>2857</v>
      </c>
      <c r="B698" s="543" t="s">
        <v>2858</v>
      </c>
      <c r="C698" s="543" t="s">
        <v>1465</v>
      </c>
      <c r="D698" s="543" t="s">
        <v>2861</v>
      </c>
      <c r="E698" s="6" t="str">
        <f>IFERROR(INDEX(ZACATECAS!$I$7:$I$5000, MATCH(F698*1, ZACATECAS!$H$7:$H$5000, 0)), "-")</f>
        <v>MIXTO 3-4</v>
      </c>
      <c r="F698" s="544">
        <v>32044454</v>
      </c>
      <c r="G698" s="544" t="s">
        <v>1480</v>
      </c>
      <c r="H698" s="543" t="s">
        <v>2860</v>
      </c>
      <c r="I698" s="6" t="str">
        <f>IFERROR(INDEX(ZACATECAS!$N$7:$N$5000, MATCH($F698, ZACATECAS!$H$7:$H$5000, 0)), "-")</f>
        <v>CHAMPION DE AMBIENTAL</v>
      </c>
    </row>
    <row r="699" spans="1:9" x14ac:dyDescent="0.3">
      <c r="A699" s="543" t="s">
        <v>2857</v>
      </c>
      <c r="B699" s="543" t="s">
        <v>2858</v>
      </c>
      <c r="C699" s="543" t="s">
        <v>1465</v>
      </c>
      <c r="D699" s="543" t="s">
        <v>2861</v>
      </c>
      <c r="E699" s="6" t="str">
        <f>IFERROR(INDEX(ZACATECAS!$I$7:$I$5000, MATCH(F699*1, ZACATECAS!$H$7:$H$5000, 0)), "-")</f>
        <v>MIXTO 3-4</v>
      </c>
      <c r="F699" s="544">
        <v>32132603</v>
      </c>
      <c r="G699" s="544" t="s">
        <v>1482</v>
      </c>
      <c r="H699" s="543" t="s">
        <v>2860</v>
      </c>
      <c r="I699" s="6" t="str">
        <f>IFERROR(INDEX(ZACATECAS!$N$7:$N$5000, MATCH($F699, ZACATECAS!$H$7:$H$5000, 0)), "-")</f>
        <v>Apoyo a Calidad</v>
      </c>
    </row>
    <row r="700" spans="1:9" x14ac:dyDescent="0.3">
      <c r="A700" s="543" t="s">
        <v>2857</v>
      </c>
      <c r="B700" s="543" t="s">
        <v>2858</v>
      </c>
      <c r="C700" s="543" t="s">
        <v>1465</v>
      </c>
      <c r="D700" s="543" t="s">
        <v>2861</v>
      </c>
      <c r="E700" s="6" t="str">
        <f>IFERROR(INDEX(ZACATECAS!$I$7:$I$5000, MATCH(F700*1, ZACATECAS!$H$7:$H$5000, 0)), "-")</f>
        <v>MIXTO 3-4</v>
      </c>
      <c r="F700" s="544">
        <v>32149603</v>
      </c>
      <c r="G700" s="544" t="s">
        <v>1484</v>
      </c>
      <c r="H700" s="543" t="s">
        <v>2860</v>
      </c>
      <c r="I700" s="6" t="str">
        <f>IFERROR(INDEX(ZACATECAS!$N$7:$N$5000, MATCH($F700, ZACATECAS!$H$7:$H$5000, 0)), "-")</f>
        <v>Apoyo Gente</v>
      </c>
    </row>
    <row r="701" spans="1:9" x14ac:dyDescent="0.3">
      <c r="A701" s="543" t="s">
        <v>2857</v>
      </c>
      <c r="B701" s="543" t="s">
        <v>2858</v>
      </c>
      <c r="C701" s="543" t="s">
        <v>1465</v>
      </c>
      <c r="D701" s="543" t="s">
        <v>2861</v>
      </c>
      <c r="E701" s="6" t="str">
        <f>IFERROR(INDEX(ZACATECAS!$I$7:$I$5000, MATCH(F701*1, ZACATECAS!$H$7:$H$5000, 0)), "-")</f>
        <v>Mixto 3-4</v>
      </c>
      <c r="F701" s="544">
        <v>32198294</v>
      </c>
      <c r="G701" s="544" t="s">
        <v>1487</v>
      </c>
      <c r="H701" s="543" t="s">
        <v>2860</v>
      </c>
      <c r="I701" s="6" t="str">
        <f>IFERROR(INDEX(ZACATECAS!$N$7:$N$5000, MATCH($F701, ZACATECAS!$H$7:$H$5000, 0)), "-")</f>
        <v>APOYO GESTION</v>
      </c>
    </row>
    <row r="702" spans="1:9" x14ac:dyDescent="0.3">
      <c r="A702" s="543" t="s">
        <v>2857</v>
      </c>
      <c r="B702" s="543" t="s">
        <v>2858</v>
      </c>
      <c r="C702" s="543" t="s">
        <v>1465</v>
      </c>
      <c r="D702" s="543" t="s">
        <v>2861</v>
      </c>
      <c r="E702" s="6" t="str">
        <f>IFERROR(INDEX(ZACATECAS!$I$7:$I$5000, MATCH(F702*1, ZACATECAS!$H$7:$H$5000, 0)), "-")</f>
        <v>MIXTO 3-4</v>
      </c>
      <c r="F702" s="544">
        <v>32107323</v>
      </c>
      <c r="G702" s="544" t="s">
        <v>1489</v>
      </c>
      <c r="H702" s="543" t="s">
        <v>2860</v>
      </c>
      <c r="I702" s="6" t="str">
        <f>IFERROR(INDEX(ZACATECAS!$N$7:$N$5000, MATCH($F702, ZACATECAS!$H$7:$H$5000, 0)), "-")</f>
        <v xml:space="preserve">APOYO CALIDAD </v>
      </c>
    </row>
    <row r="703" spans="1:9" x14ac:dyDescent="0.3">
      <c r="A703" s="543" t="s">
        <v>2857</v>
      </c>
      <c r="B703" s="543" t="s">
        <v>2858</v>
      </c>
      <c r="C703" s="543" t="s">
        <v>1465</v>
      </c>
      <c r="D703" s="543" t="s">
        <v>2861</v>
      </c>
      <c r="E703" s="6" t="str">
        <f>IFERROR(INDEX(ZACATECAS!$I$7:$I$5000, MATCH(F703*1, ZACATECAS!$H$7:$H$5000, 0)), "-")</f>
        <v>MIXTO 3-4</v>
      </c>
      <c r="F703" s="544">
        <v>32149609</v>
      </c>
      <c r="G703" s="544" t="s">
        <v>1492</v>
      </c>
      <c r="H703" s="543" t="s">
        <v>2860</v>
      </c>
      <c r="I703" s="6" t="str">
        <f>IFERROR(INDEX(ZACATECAS!$N$7:$N$5000, MATCH($F703, ZACATECAS!$H$7:$H$5000, 0)), "-")</f>
        <v xml:space="preserve">Apoyo a Mantenimiento </v>
      </c>
    </row>
    <row r="704" spans="1:9" x14ac:dyDescent="0.3">
      <c r="A704" s="543" t="s">
        <v>2857</v>
      </c>
      <c r="B704" s="543" t="s">
        <v>2858</v>
      </c>
      <c r="C704" s="543" t="s">
        <v>1465</v>
      </c>
      <c r="D704" s="543" t="s">
        <v>2861</v>
      </c>
      <c r="E704" s="6" t="str">
        <f>IFERROR(INDEX(ZACATECAS!$I$7:$I$5000, MATCH(F704*1, ZACATECAS!$H$7:$H$5000, 0)), "-")</f>
        <v>MIXTO 3-4</v>
      </c>
      <c r="F704" s="544">
        <v>32148616</v>
      </c>
      <c r="G704" s="544" t="s">
        <v>1494</v>
      </c>
      <c r="H704" s="543" t="s">
        <v>2860</v>
      </c>
      <c r="I704" s="6" t="str">
        <f>IFERROR(INDEX(ZACATECAS!$N$7:$N$5000, MATCH($F704, ZACATECAS!$H$7:$H$5000, 0)), "-")</f>
        <v>Champion Calidad</v>
      </c>
    </row>
    <row r="705" spans="1:9" x14ac:dyDescent="0.3">
      <c r="A705" s="543" t="s">
        <v>2857</v>
      </c>
      <c r="B705" s="543" t="s">
        <v>2858</v>
      </c>
      <c r="C705" s="543" t="s">
        <v>1465</v>
      </c>
      <c r="D705" s="543" t="s">
        <v>2861</v>
      </c>
      <c r="E705" s="6" t="str">
        <f>IFERROR(INDEX(ZACATECAS!$I$7:$I$5000, MATCH(F705*1, ZACATECAS!$H$7:$H$5000, 0)), "-")</f>
        <v>MIXTO 3-4</v>
      </c>
      <c r="F705" s="544">
        <v>32132174</v>
      </c>
      <c r="G705" s="544" t="s">
        <v>1496</v>
      </c>
      <c r="H705" s="543" t="s">
        <v>2860</v>
      </c>
      <c r="I705" s="6" t="str">
        <f>IFERROR(INDEX(ZACATECAS!$N$7:$N$5000, MATCH($F705, ZACATECAS!$H$7:$H$5000, 0)), "-")</f>
        <v>Champion Ambiental</v>
      </c>
    </row>
    <row r="706" spans="1:9" x14ac:dyDescent="0.3">
      <c r="A706" s="543" t="s">
        <v>2857</v>
      </c>
      <c r="B706" s="543" t="s">
        <v>2858</v>
      </c>
      <c r="C706" s="543" t="s">
        <v>1465</v>
      </c>
      <c r="D706" s="543" t="s">
        <v>2861</v>
      </c>
      <c r="E706" s="6" t="str">
        <f>IFERROR(INDEX(ZACATECAS!$I$7:$I$5000, MATCH(F706*1, ZACATECAS!$H$7:$H$5000, 0)), "-")</f>
        <v>MIXTO 3-4</v>
      </c>
      <c r="F706" s="544">
        <v>32045535</v>
      </c>
      <c r="G706" s="544" t="s">
        <v>1498</v>
      </c>
      <c r="H706" s="543" t="s">
        <v>2860</v>
      </c>
      <c r="I706" s="6" t="str">
        <f>IFERROR(INDEX(ZACATECAS!$N$7:$N$5000, MATCH($F706, ZACATECAS!$H$7:$H$5000, 0)), "-")</f>
        <v>Champion Gestión</v>
      </c>
    </row>
    <row r="707" spans="1:9" x14ac:dyDescent="0.3">
      <c r="A707" s="543" t="s">
        <v>2857</v>
      </c>
      <c r="B707" s="543" t="s">
        <v>2858</v>
      </c>
      <c r="C707" s="543" t="s">
        <v>1465</v>
      </c>
      <c r="D707" s="546" t="s">
        <v>2861</v>
      </c>
      <c r="E707" s="6" t="str">
        <f>IFERROR(INDEX(ZACATECAS!$I$7:$I$5000, MATCH(F707*1, ZACATECAS!$H$7:$H$5000, 0)), "-")</f>
        <v>MIXTO 3-4</v>
      </c>
      <c r="F707" s="544">
        <v>32060942</v>
      </c>
      <c r="G707" s="546" t="s">
        <v>1500</v>
      </c>
      <c r="H707" s="543" t="s">
        <v>2860</v>
      </c>
      <c r="I707" s="6" t="str">
        <f>IFERROR(INDEX(ZACATECAS!$N$7:$N$5000, MATCH($F707, ZACATECAS!$H$7:$H$5000, 0)), "-")</f>
        <v>Champion Mantenimiento</v>
      </c>
    </row>
    <row r="708" spans="1:9" x14ac:dyDescent="0.3">
      <c r="A708" s="543" t="s">
        <v>2857</v>
      </c>
      <c r="B708" s="543" t="s">
        <v>2858</v>
      </c>
      <c r="C708" s="543" t="s">
        <v>291</v>
      </c>
      <c r="D708" s="546" t="s">
        <v>2876</v>
      </c>
      <c r="E708" s="6" t="str">
        <f>IFERROR(INDEX(ZACATECAS!$I$7:$I$5000, MATCH(F708*1, ZACATECAS!$H$7:$H$5000, 0)), "-")</f>
        <v>-</v>
      </c>
      <c r="F708" s="544">
        <v>32145498</v>
      </c>
      <c r="G708" s="544" t="s">
        <v>292</v>
      </c>
      <c r="H708" s="543" t="s">
        <v>2344</v>
      </c>
      <c r="I708" s="6" t="str">
        <f>IFERROR(INDEX(ZACATECAS!$N$7:$N$5000, MATCH($F708, ZACATECAS!$H$7:$H$5000, 0)), "-")</f>
        <v>-</v>
      </c>
    </row>
    <row r="709" spans="1:9" x14ac:dyDescent="0.3">
      <c r="A709" s="543" t="s">
        <v>2857</v>
      </c>
      <c r="B709" s="543" t="s">
        <v>2858</v>
      </c>
      <c r="C709" s="543" t="s">
        <v>291</v>
      </c>
      <c r="D709" s="546" t="s">
        <v>2876</v>
      </c>
      <c r="E709" s="6">
        <f>IFERROR(INDEX(ZACATECAS!$I$7:$I$5000, MATCH(F709*1, ZACATECAS!$H$7:$H$5000, 0)), "-")</f>
        <v>0</v>
      </c>
      <c r="F709" s="544">
        <v>32043900</v>
      </c>
      <c r="G709" s="544" t="s">
        <v>294</v>
      </c>
      <c r="H709" s="543" t="s">
        <v>2860</v>
      </c>
      <c r="I709" s="6" t="str">
        <f>IFERROR(INDEX(ZACATECAS!$N$7:$N$5000, MATCH($F709, ZACATECAS!$H$7:$H$5000, 0)), "-")</f>
        <v>GESTION</v>
      </c>
    </row>
    <row r="710" spans="1:9" x14ac:dyDescent="0.3">
      <c r="A710" s="543" t="s">
        <v>2857</v>
      </c>
      <c r="B710" s="543" t="s">
        <v>2858</v>
      </c>
      <c r="C710" s="543" t="s">
        <v>291</v>
      </c>
      <c r="D710" s="546" t="s">
        <v>2876</v>
      </c>
      <c r="E710" s="6">
        <f>IFERROR(INDEX(ZACATECAS!$I$7:$I$5000, MATCH(F710*1, ZACATECAS!$H$7:$H$5000, 0)), "-")</f>
        <v>0</v>
      </c>
      <c r="F710" s="544">
        <v>32044316</v>
      </c>
      <c r="G710" s="544" t="s">
        <v>296</v>
      </c>
      <c r="H710" s="543" t="s">
        <v>2860</v>
      </c>
      <c r="I710" s="6" t="str">
        <f>IFERROR(INDEX(ZACATECAS!$N$7:$N$5000, MATCH($F710, ZACATECAS!$H$7:$H$5000, 0)), "-")</f>
        <v>SEGURIDAD</v>
      </c>
    </row>
    <row r="711" spans="1:9" x14ac:dyDescent="0.3">
      <c r="A711" s="543" t="s">
        <v>2857</v>
      </c>
      <c r="B711" s="543" t="s">
        <v>2858</v>
      </c>
      <c r="C711" s="543" t="s">
        <v>291</v>
      </c>
      <c r="D711" s="546" t="s">
        <v>2876</v>
      </c>
      <c r="E711" s="6">
        <f>IFERROR(INDEX(ZACATECAS!$I$7:$I$5000, MATCH(F711*1, ZACATECAS!$H$7:$H$5000, 0)), "-")</f>
        <v>0</v>
      </c>
      <c r="F711" s="544">
        <v>32173442</v>
      </c>
      <c r="G711" s="544" t="s">
        <v>298</v>
      </c>
      <c r="H711" s="543" t="s">
        <v>2860</v>
      </c>
      <c r="I711" s="6" t="str">
        <f>IFERROR(INDEX(ZACATECAS!$N$7:$N$5000, MATCH($F711, ZACATECAS!$H$7:$H$5000, 0)), "-")</f>
        <v>AMBIENTAL</v>
      </c>
    </row>
    <row r="712" spans="1:9" x14ac:dyDescent="0.3">
      <c r="A712" s="543" t="s">
        <v>2857</v>
      </c>
      <c r="B712" s="543" t="s">
        <v>2858</v>
      </c>
      <c r="C712" s="543" t="s">
        <v>291</v>
      </c>
      <c r="D712" s="546" t="s">
        <v>2876</v>
      </c>
      <c r="E712" s="6">
        <f>IFERROR(INDEX(ZACATECAS!$I$7:$I$5000, MATCH(F712*1, ZACATECAS!$H$7:$H$5000, 0)), "-")</f>
        <v>0</v>
      </c>
      <c r="F712" s="544">
        <v>32149490</v>
      </c>
      <c r="G712" s="544" t="s">
        <v>300</v>
      </c>
      <c r="H712" s="543" t="s">
        <v>2860</v>
      </c>
      <c r="I712" s="6" t="str">
        <f>IFERROR(INDEX(ZACATECAS!$N$7:$N$5000, MATCH($F712, ZACATECAS!$H$7:$H$5000, 0)), "-")</f>
        <v>AMBIENTAL</v>
      </c>
    </row>
    <row r="713" spans="1:9" x14ac:dyDescent="0.3">
      <c r="A713" s="543" t="s">
        <v>2857</v>
      </c>
      <c r="B713" s="543" t="s">
        <v>2858</v>
      </c>
      <c r="C713" s="543" t="s">
        <v>291</v>
      </c>
      <c r="D713" s="546" t="s">
        <v>2876</v>
      </c>
      <c r="E713" s="6">
        <f>IFERROR(INDEX(ZACATECAS!$I$7:$I$5000, MATCH(F713*1, ZACATECAS!$H$7:$H$5000, 0)), "-")</f>
        <v>0</v>
      </c>
      <c r="F713" s="544">
        <v>32092747</v>
      </c>
      <c r="G713" s="544" t="s">
        <v>302</v>
      </c>
      <c r="H713" s="543" t="s">
        <v>2860</v>
      </c>
      <c r="I713" s="6" t="str">
        <f>IFERROR(INDEX(ZACATECAS!$N$7:$N$5000, MATCH($F713, ZACATECAS!$H$7:$H$5000, 0)), "-")</f>
        <v>GESTION</v>
      </c>
    </row>
    <row r="714" spans="1:9" x14ac:dyDescent="0.3">
      <c r="A714" s="543" t="s">
        <v>2857</v>
      </c>
      <c r="B714" s="543" t="s">
        <v>2858</v>
      </c>
      <c r="C714" s="543" t="s">
        <v>291</v>
      </c>
      <c r="D714" s="546" t="s">
        <v>2876</v>
      </c>
      <c r="E714" s="6">
        <f>IFERROR(INDEX(ZACATECAS!$I$7:$I$5000, MATCH(F714*1, ZACATECAS!$H$7:$H$5000, 0)), "-")</f>
        <v>0</v>
      </c>
      <c r="F714" s="544">
        <v>32173435</v>
      </c>
      <c r="G714" s="544" t="s">
        <v>304</v>
      </c>
      <c r="H714" s="543" t="s">
        <v>2860</v>
      </c>
      <c r="I714" s="6" t="str">
        <f>IFERROR(INDEX(ZACATECAS!$N$7:$N$5000, MATCH($F714, ZACATECAS!$H$7:$H$5000, 0)), "-")</f>
        <v>CALIDAD</v>
      </c>
    </row>
    <row r="715" spans="1:9" x14ac:dyDescent="0.3">
      <c r="A715" s="543" t="s">
        <v>2857</v>
      </c>
      <c r="B715" s="543" t="s">
        <v>2858</v>
      </c>
      <c r="C715" s="543" t="s">
        <v>291</v>
      </c>
      <c r="D715" s="546" t="s">
        <v>2876</v>
      </c>
      <c r="E715" s="6">
        <f>IFERROR(INDEX(ZACATECAS!$I$7:$I$5000, MATCH(F715*1, ZACATECAS!$H$7:$H$5000, 0)), "-")</f>
        <v>0</v>
      </c>
      <c r="F715" s="544">
        <v>32145333</v>
      </c>
      <c r="G715" s="544" t="s">
        <v>306</v>
      </c>
      <c r="H715" s="543" t="s">
        <v>2860</v>
      </c>
      <c r="I715" s="6" t="str">
        <f>IFERROR(INDEX(ZACATECAS!$N$7:$N$5000, MATCH($F715, ZACATECAS!$H$7:$H$5000, 0)), "-")</f>
        <v>GENTE</v>
      </c>
    </row>
    <row r="716" spans="1:9" x14ac:dyDescent="0.3">
      <c r="A716" s="543" t="s">
        <v>2857</v>
      </c>
      <c r="B716" s="543" t="s">
        <v>2858</v>
      </c>
      <c r="C716" s="543" t="s">
        <v>291</v>
      </c>
      <c r="D716" s="546" t="s">
        <v>2876</v>
      </c>
      <c r="E716" s="6">
        <f>IFERROR(INDEX(ZACATECAS!$I$7:$I$5000, MATCH(F716*1, ZACATECAS!$H$7:$H$5000, 0)), "-")</f>
        <v>0</v>
      </c>
      <c r="F716" s="544">
        <v>32199772</v>
      </c>
      <c r="G716" s="544" t="s">
        <v>308</v>
      </c>
      <c r="H716" s="543" t="s">
        <v>2860</v>
      </c>
      <c r="I716" s="6" t="str">
        <f>IFERROR(INDEX(ZACATECAS!$N$7:$N$5000, MATCH($F716, ZACATECAS!$H$7:$H$5000, 0)), "-")</f>
        <v>MANTENIMIENTO</v>
      </c>
    </row>
    <row r="717" spans="1:9" x14ac:dyDescent="0.3">
      <c r="A717" s="543" t="s">
        <v>2857</v>
      </c>
      <c r="B717" s="543" t="s">
        <v>2858</v>
      </c>
      <c r="C717" s="543" t="s">
        <v>291</v>
      </c>
      <c r="D717" s="546" t="s">
        <v>2876</v>
      </c>
      <c r="E717" s="6">
        <f>IFERROR(INDEX(ZACATECAS!$I$7:$I$5000, MATCH(F717*1, ZACATECAS!$H$7:$H$5000, 0)), "-")</f>
        <v>0</v>
      </c>
      <c r="F717" s="544">
        <v>32045469</v>
      </c>
      <c r="G717" s="544" t="s">
        <v>310</v>
      </c>
      <c r="H717" s="543" t="s">
        <v>2860</v>
      </c>
      <c r="I717" s="6" t="str">
        <f>IFERROR(INDEX(ZACATECAS!$N$7:$N$5000, MATCH($F717, ZACATECAS!$H$7:$H$5000, 0)), "-")</f>
        <v>GENTE</v>
      </c>
    </row>
    <row r="718" spans="1:9" x14ac:dyDescent="0.3">
      <c r="A718" s="543" t="s">
        <v>2857</v>
      </c>
      <c r="B718" s="543" t="s">
        <v>2858</v>
      </c>
      <c r="C718" s="543" t="s">
        <v>1215</v>
      </c>
      <c r="D718" s="546" t="s">
        <v>2861</v>
      </c>
      <c r="E718" s="6" t="str">
        <f>IFERROR(INDEX(ZACATECAS!$I$7:$I$5000, MATCH(F718*1, ZACATECAS!$H$7:$H$5000, 0)), "-")</f>
        <v>-</v>
      </c>
      <c r="F718" s="544">
        <v>32231001</v>
      </c>
      <c r="G718" s="544" t="s">
        <v>1052</v>
      </c>
      <c r="H718" s="543" t="s">
        <v>2344</v>
      </c>
      <c r="I718" s="6" t="str">
        <f>IFERROR(INDEX(ZACATECAS!$N$7:$N$5000, MATCH($F718, ZACATECAS!$H$7:$H$5000, 0)), "-")</f>
        <v>-</v>
      </c>
    </row>
    <row r="719" spans="1:9" x14ac:dyDescent="0.3">
      <c r="A719" s="543" t="s">
        <v>2857</v>
      </c>
      <c r="B719" s="543" t="s">
        <v>2858</v>
      </c>
      <c r="C719" s="543" t="s">
        <v>1215</v>
      </c>
      <c r="D719" s="543" t="s">
        <v>2861</v>
      </c>
      <c r="E719" s="6">
        <f>IFERROR(INDEX(ZACATECAS!$I$7:$I$5000, MATCH(F719*1, ZACATECAS!$H$7:$H$5000, 0)), "-")</f>
        <v>12</v>
      </c>
      <c r="F719" s="546">
        <v>32043920</v>
      </c>
      <c r="G719" s="546" t="s">
        <v>1216</v>
      </c>
      <c r="H719" s="543" t="s">
        <v>2860</v>
      </c>
      <c r="I719" s="6" t="str">
        <f>IFERROR(INDEX(ZACATECAS!$N$7:$N$5000, MATCH($F719, ZACATECAS!$H$7:$H$5000, 0)), "-")</f>
        <v>APOYO GENTE</v>
      </c>
    </row>
    <row r="720" spans="1:9" x14ac:dyDescent="0.3">
      <c r="A720" s="543" t="s">
        <v>2857</v>
      </c>
      <c r="B720" s="543" t="s">
        <v>2858</v>
      </c>
      <c r="C720" s="543" t="s">
        <v>1215</v>
      </c>
      <c r="D720" s="543" t="s">
        <v>2861</v>
      </c>
      <c r="E720" s="6">
        <f>IFERROR(INDEX(ZACATECAS!$I$7:$I$5000, MATCH(F720*1, ZACATECAS!$H$7:$H$5000, 0)), "-")</f>
        <v>12</v>
      </c>
      <c r="F720" s="544">
        <v>32044051</v>
      </c>
      <c r="G720" s="544" t="s">
        <v>1218</v>
      </c>
      <c r="H720" s="543" t="s">
        <v>2860</v>
      </c>
      <c r="I720" s="6" t="str">
        <f>IFERROR(INDEX(ZACATECAS!$N$7:$N$5000, MATCH($F720, ZACATECAS!$H$7:$H$5000, 0)), "-")</f>
        <v>CHAMPION AMBIENTAL</v>
      </c>
    </row>
    <row r="721" spans="1:9" x14ac:dyDescent="0.3">
      <c r="A721" s="543" t="s">
        <v>2857</v>
      </c>
      <c r="B721" s="543" t="s">
        <v>2858</v>
      </c>
      <c r="C721" s="543" t="s">
        <v>1215</v>
      </c>
      <c r="D721" s="543" t="s">
        <v>2861</v>
      </c>
      <c r="E721" s="6">
        <f>IFERROR(INDEX(ZACATECAS!$I$7:$I$5000, MATCH(F721*1, ZACATECAS!$H$7:$H$5000, 0)), "-")</f>
        <v>12</v>
      </c>
      <c r="F721" s="544">
        <v>32044164</v>
      </c>
      <c r="G721" s="544" t="s">
        <v>1220</v>
      </c>
      <c r="H721" s="543" t="s">
        <v>2860</v>
      </c>
      <c r="I721" s="6" t="str">
        <f>IFERROR(INDEX(ZACATECAS!$N$7:$N$5000, MATCH($F721, ZACATECAS!$H$7:$H$5000, 0)), "-")</f>
        <v>CHAMPION  LOGISTICA</v>
      </c>
    </row>
    <row r="722" spans="1:9" x14ac:dyDescent="0.3">
      <c r="A722" s="543" t="s">
        <v>2857</v>
      </c>
      <c r="B722" s="543" t="s">
        <v>2858</v>
      </c>
      <c r="C722" s="543" t="s">
        <v>1215</v>
      </c>
      <c r="D722" s="543" t="s">
        <v>2861</v>
      </c>
      <c r="E722" s="6">
        <f>IFERROR(INDEX(ZACATECAS!$I$7:$I$5000, MATCH(F722*1, ZACATECAS!$H$7:$H$5000, 0)), "-")</f>
        <v>12</v>
      </c>
      <c r="F722" s="544">
        <v>32044644</v>
      </c>
      <c r="G722" s="544" t="s">
        <v>1222</v>
      </c>
      <c r="H722" s="543" t="s">
        <v>2860</v>
      </c>
      <c r="I722" s="6" t="str">
        <f>IFERROR(INDEX(ZACATECAS!$N$7:$N$5000, MATCH($F722, ZACATECAS!$H$7:$H$5000, 0)), "-")</f>
        <v>CHAMPION DE GESTION</v>
      </c>
    </row>
    <row r="723" spans="1:9" x14ac:dyDescent="0.3">
      <c r="A723" s="543" t="s">
        <v>2857</v>
      </c>
      <c r="B723" s="543" t="s">
        <v>2858</v>
      </c>
      <c r="C723" s="543" t="s">
        <v>1215</v>
      </c>
      <c r="D723" s="543" t="s">
        <v>2861</v>
      </c>
      <c r="E723" s="6">
        <f>IFERROR(INDEX(ZACATECAS!$I$7:$I$5000, MATCH(F723*1, ZACATECAS!$H$7:$H$5000, 0)), "-")</f>
        <v>12</v>
      </c>
      <c r="F723" s="544">
        <v>32044852</v>
      </c>
      <c r="G723" s="544" t="s">
        <v>1223</v>
      </c>
      <c r="H723" s="543" t="s">
        <v>2860</v>
      </c>
      <c r="I723" s="6" t="str">
        <f>IFERROR(INDEX(ZACATECAS!$N$7:$N$5000, MATCH($F723, ZACATECAS!$H$7:$H$5000, 0)), "-")</f>
        <v>CHAMPION GENTE</v>
      </c>
    </row>
    <row r="724" spans="1:9" x14ac:dyDescent="0.3">
      <c r="A724" s="543" t="s">
        <v>2857</v>
      </c>
      <c r="B724" s="543" t="s">
        <v>2858</v>
      </c>
      <c r="C724" s="543" t="s">
        <v>1215</v>
      </c>
      <c r="D724" s="543" t="s">
        <v>2861</v>
      </c>
      <c r="E724" s="6">
        <f>IFERROR(INDEX(ZACATECAS!$I$7:$I$5000, MATCH(F724*1, ZACATECAS!$H$7:$H$5000, 0)), "-")</f>
        <v>12</v>
      </c>
      <c r="F724" s="544">
        <v>32045140</v>
      </c>
      <c r="G724" s="544" t="s">
        <v>1225</v>
      </c>
      <c r="H724" s="543" t="s">
        <v>2860</v>
      </c>
      <c r="I724" s="6" t="str">
        <f>IFERROR(INDEX(ZACATECAS!$N$7:$N$5000, MATCH($F724, ZACATECAS!$H$7:$H$5000, 0)), "-")</f>
        <v xml:space="preserve">APOYO SEGURIDAD </v>
      </c>
    </row>
    <row r="725" spans="1:9" x14ac:dyDescent="0.3">
      <c r="A725" s="543" t="s">
        <v>2857</v>
      </c>
      <c r="B725" s="543" t="s">
        <v>2858</v>
      </c>
      <c r="C725" s="543" t="s">
        <v>1215</v>
      </c>
      <c r="D725" s="543" t="s">
        <v>2861</v>
      </c>
      <c r="E725" s="6">
        <f>IFERROR(INDEX(ZACATECAS!$I$7:$I$5000, MATCH(F725*1, ZACATECAS!$H$7:$H$5000, 0)), "-")</f>
        <v>12</v>
      </c>
      <c r="F725" s="544">
        <v>32046657</v>
      </c>
      <c r="G725" s="544" t="s">
        <v>1227</v>
      </c>
      <c r="H725" s="543" t="s">
        <v>2860</v>
      </c>
      <c r="I725" s="6" t="str">
        <f>IFERROR(INDEX(ZACATECAS!$N$7:$N$5000, MATCH($F725, ZACATECAS!$H$7:$H$5000, 0)), "-")</f>
        <v>APOYO LOGISTICA</v>
      </c>
    </row>
    <row r="726" spans="1:9" x14ac:dyDescent="0.3">
      <c r="A726" s="543" t="s">
        <v>2857</v>
      </c>
      <c r="B726" s="543" t="s">
        <v>2858</v>
      </c>
      <c r="C726" s="543" t="s">
        <v>1215</v>
      </c>
      <c r="D726" s="543" t="s">
        <v>2861</v>
      </c>
      <c r="E726" s="6">
        <f>IFERROR(INDEX(ZACATECAS!$I$7:$I$5000, MATCH(F726*1, ZACATECAS!$H$7:$H$5000, 0)), "-")</f>
        <v>12</v>
      </c>
      <c r="F726" s="544">
        <v>32106989</v>
      </c>
      <c r="G726" s="544" t="s">
        <v>1229</v>
      </c>
      <c r="H726" s="543" t="s">
        <v>2860</v>
      </c>
      <c r="I726" s="6" t="str">
        <f>IFERROR(INDEX(ZACATECAS!$N$7:$N$5000, MATCH($F726, ZACATECAS!$H$7:$H$5000, 0)), "-")</f>
        <v>CHAMPION MANTENIMIENTO</v>
      </c>
    </row>
    <row r="727" spans="1:9" x14ac:dyDescent="0.3">
      <c r="A727" s="543" t="s">
        <v>2857</v>
      </c>
      <c r="B727" s="543" t="s">
        <v>2858</v>
      </c>
      <c r="C727" s="543" t="s">
        <v>1215</v>
      </c>
      <c r="D727" s="543" t="s">
        <v>2861</v>
      </c>
      <c r="E727" s="6">
        <f>IFERROR(INDEX(ZACATECAS!$I$7:$I$5000, MATCH(F727*1, ZACATECAS!$H$7:$H$5000, 0)), "-")</f>
        <v>12</v>
      </c>
      <c r="F727" s="544">
        <v>32045140</v>
      </c>
      <c r="G727" s="544" t="s">
        <v>1231</v>
      </c>
      <c r="H727" s="543" t="s">
        <v>2860</v>
      </c>
      <c r="I727" s="6" t="str">
        <f>IFERROR(INDEX(ZACATECAS!$N$7:$N$5000, MATCH($F727, ZACATECAS!$H$7:$H$5000, 0)), "-")</f>
        <v xml:space="preserve">APOYO SEGURIDAD </v>
      </c>
    </row>
    <row r="728" spans="1:9" x14ac:dyDescent="0.3">
      <c r="A728" s="543" t="s">
        <v>2857</v>
      </c>
      <c r="B728" s="543" t="s">
        <v>2858</v>
      </c>
      <c r="C728" s="543" t="s">
        <v>1215</v>
      </c>
      <c r="D728" s="543" t="s">
        <v>2861</v>
      </c>
      <c r="E728" s="6">
        <f>IFERROR(INDEX(ZACATECAS!$I$7:$I$5000, MATCH(F728*1, ZACATECAS!$H$7:$H$5000, 0)), "-")</f>
        <v>12</v>
      </c>
      <c r="F728" s="546">
        <v>32132186</v>
      </c>
      <c r="G728" s="546" t="s">
        <v>1232</v>
      </c>
      <c r="H728" s="543" t="s">
        <v>2860</v>
      </c>
      <c r="I728" s="6" t="str">
        <f>IFERROR(INDEX(ZACATECAS!$N$7:$N$5000, MATCH($F728, ZACATECAS!$H$7:$H$5000, 0)), "-")</f>
        <v xml:space="preserve">CHAMPION SEGURIDAD </v>
      </c>
    </row>
    <row r="729" spans="1:9" x14ac:dyDescent="0.3">
      <c r="A729" s="543" t="s">
        <v>2857</v>
      </c>
      <c r="B729" s="543" t="s">
        <v>2858</v>
      </c>
      <c r="C729" s="543" t="s">
        <v>1215</v>
      </c>
      <c r="D729" s="543" t="s">
        <v>2861</v>
      </c>
      <c r="E729" s="6">
        <f>IFERROR(INDEX(ZACATECAS!$I$7:$I$5000, MATCH(F729*1, ZACATECAS!$H$7:$H$5000, 0)), "-")</f>
        <v>12</v>
      </c>
      <c r="F729" s="544">
        <v>32132193</v>
      </c>
      <c r="G729" s="544" t="s">
        <v>1234</v>
      </c>
      <c r="H729" s="543" t="s">
        <v>2860</v>
      </c>
      <c r="I729" s="6" t="str">
        <f>IFERROR(INDEX(ZACATECAS!$N$7:$N$5000, MATCH($F729, ZACATECAS!$H$7:$H$5000, 0)), "-")</f>
        <v>CHAMPION  CALIDAD</v>
      </c>
    </row>
    <row r="730" spans="1:9" x14ac:dyDescent="0.3">
      <c r="A730" s="543" t="s">
        <v>2857</v>
      </c>
      <c r="B730" s="543" t="s">
        <v>2858</v>
      </c>
      <c r="C730" s="543" t="s">
        <v>312</v>
      </c>
      <c r="D730" s="543" t="s">
        <v>2865</v>
      </c>
      <c r="E730" s="6" t="str">
        <f>IFERROR(INDEX(ZACATECAS!$I$7:$I$5000, MATCH(F730*1, ZACATECAS!$H$7:$H$5000, 0)), "-")</f>
        <v>-</v>
      </c>
      <c r="F730" s="544">
        <v>32045378</v>
      </c>
      <c r="G730" s="544" t="s">
        <v>313</v>
      </c>
      <c r="H730" s="543" t="s">
        <v>2344</v>
      </c>
      <c r="I730" s="6" t="str">
        <f>IFERROR(INDEX(ZACATECAS!$N$7:$N$5000, MATCH($F730, ZACATECAS!$H$7:$H$5000, 0)), "-")</f>
        <v>-</v>
      </c>
    </row>
    <row r="731" spans="1:9" x14ac:dyDescent="0.3">
      <c r="A731" s="543" t="s">
        <v>2857</v>
      </c>
      <c r="B731" s="543" t="s">
        <v>2858</v>
      </c>
      <c r="C731" s="543" t="s">
        <v>312</v>
      </c>
      <c r="D731" s="543" t="s">
        <v>2865</v>
      </c>
      <c r="E731" s="6">
        <f>IFERROR(INDEX(ZACATECAS!$I$7:$I$5000, MATCH(F731*1, ZACATECAS!$H$7:$H$5000, 0)), "-")</f>
        <v>0</v>
      </c>
      <c r="F731" s="544">
        <v>32044783</v>
      </c>
      <c r="G731" s="544" t="s">
        <v>315</v>
      </c>
      <c r="H731" s="543" t="s">
        <v>2860</v>
      </c>
      <c r="I731" s="6" t="str">
        <f>IFERROR(INDEX(ZACATECAS!$N$7:$N$5000, MATCH($F731, ZACATECAS!$H$7:$H$5000, 0)), "-")</f>
        <v>LOGISTICA</v>
      </c>
    </row>
    <row r="732" spans="1:9" x14ac:dyDescent="0.3">
      <c r="A732" s="543" t="s">
        <v>2857</v>
      </c>
      <c r="B732" s="543" t="s">
        <v>2858</v>
      </c>
      <c r="C732" s="543" t="s">
        <v>312</v>
      </c>
      <c r="D732" s="543" t="s">
        <v>2865</v>
      </c>
      <c r="E732" s="6">
        <f>IFERROR(INDEX(ZACATECAS!$I$7:$I$5000, MATCH(F732*1, ZACATECAS!$H$7:$H$5000, 0)), "-")</f>
        <v>0</v>
      </c>
      <c r="F732" s="544">
        <v>32044892</v>
      </c>
      <c r="G732" s="544" t="s">
        <v>317</v>
      </c>
      <c r="H732" s="543" t="s">
        <v>2860</v>
      </c>
      <c r="I732" s="6" t="str">
        <f>IFERROR(INDEX(ZACATECAS!$N$7:$N$5000, MATCH($F732, ZACATECAS!$H$7:$H$5000, 0)), "-")</f>
        <v>LOGISTICA</v>
      </c>
    </row>
    <row r="733" spans="1:9" x14ac:dyDescent="0.3">
      <c r="A733" s="543" t="s">
        <v>2857</v>
      </c>
      <c r="B733" s="543" t="s">
        <v>2858</v>
      </c>
      <c r="C733" s="543" t="s">
        <v>312</v>
      </c>
      <c r="D733" s="543" t="s">
        <v>2865</v>
      </c>
      <c r="E733" s="6">
        <f>IFERROR(INDEX(ZACATECAS!$I$7:$I$5000, MATCH(F733*1, ZACATECAS!$H$7:$H$5000, 0)), "-")</f>
        <v>0</v>
      </c>
      <c r="F733" s="544">
        <v>32209454</v>
      </c>
      <c r="G733" s="544" t="s">
        <v>319</v>
      </c>
      <c r="H733" s="543" t="s">
        <v>2860</v>
      </c>
      <c r="I733" s="6" t="str">
        <f>IFERROR(INDEX(ZACATECAS!$N$7:$N$5000, MATCH($F733, ZACATECAS!$H$7:$H$5000, 0)), "-")</f>
        <v>AMBIENTAL</v>
      </c>
    </row>
    <row r="734" spans="1:9" x14ac:dyDescent="0.3">
      <c r="A734" s="543" t="s">
        <v>2857</v>
      </c>
      <c r="B734" s="543" t="s">
        <v>2858</v>
      </c>
      <c r="C734" s="543" t="s">
        <v>312</v>
      </c>
      <c r="D734" s="543" t="s">
        <v>2865</v>
      </c>
      <c r="E734" s="6">
        <f>IFERROR(INDEX(ZACATECAS!$I$7:$I$5000, MATCH(F734*1, ZACATECAS!$H$7:$H$5000, 0)), "-")</f>
        <v>0</v>
      </c>
      <c r="F734" s="544">
        <v>32046259</v>
      </c>
      <c r="G734" s="544" t="s">
        <v>321</v>
      </c>
      <c r="H734" s="543" t="s">
        <v>2860</v>
      </c>
      <c r="I734" s="6" t="str">
        <f>IFERROR(INDEX(ZACATECAS!$N$7:$N$5000, MATCH($F734, ZACATECAS!$H$7:$H$5000, 0)), "-")</f>
        <v>CALIDAD</v>
      </c>
    </row>
    <row r="735" spans="1:9" x14ac:dyDescent="0.3">
      <c r="A735" s="543" t="s">
        <v>2857</v>
      </c>
      <c r="B735" s="543" t="s">
        <v>2858</v>
      </c>
      <c r="C735" s="543" t="s">
        <v>312</v>
      </c>
      <c r="D735" s="543" t="s">
        <v>2865</v>
      </c>
      <c r="E735" s="6">
        <f>IFERROR(INDEX(ZACATECAS!$I$7:$I$5000, MATCH(F735*1, ZACATECAS!$H$7:$H$5000, 0)), "-")</f>
        <v>0</v>
      </c>
      <c r="F735" s="544">
        <v>32045572</v>
      </c>
      <c r="G735" s="544" t="s">
        <v>324</v>
      </c>
      <c r="H735" s="543" t="s">
        <v>2860</v>
      </c>
      <c r="I735" s="6" t="str">
        <f>IFERROR(INDEX(ZACATECAS!$N$7:$N$5000, MATCH($F735, ZACATECAS!$H$7:$H$5000, 0)), "-")</f>
        <v>SEGURIDAD</v>
      </c>
    </row>
    <row r="736" spans="1:9" x14ac:dyDescent="0.3">
      <c r="A736" s="543" t="s">
        <v>2857</v>
      </c>
      <c r="B736" s="543" t="s">
        <v>2858</v>
      </c>
      <c r="C736" s="543" t="s">
        <v>312</v>
      </c>
      <c r="D736" s="543" t="s">
        <v>2865</v>
      </c>
      <c r="E736" s="6">
        <f>IFERROR(INDEX(ZACATECAS!$I$7:$I$5000, MATCH(F736*1, ZACATECAS!$H$7:$H$5000, 0)), "-")</f>
        <v>0</v>
      </c>
      <c r="F736" s="544">
        <v>32045438</v>
      </c>
      <c r="G736" s="544" t="s">
        <v>326</v>
      </c>
      <c r="H736" s="543" t="s">
        <v>2860</v>
      </c>
      <c r="I736" s="6" t="str">
        <f>IFERROR(INDEX(ZACATECAS!$N$7:$N$5000, MATCH($F736, ZACATECAS!$H$7:$H$5000, 0)), "-")</f>
        <v>MANTENIMIENTO</v>
      </c>
    </row>
    <row r="737" spans="1:9" x14ac:dyDescent="0.3">
      <c r="A737" s="543" t="s">
        <v>2857</v>
      </c>
      <c r="B737" s="543" t="s">
        <v>2858</v>
      </c>
      <c r="C737" s="543" t="s">
        <v>312</v>
      </c>
      <c r="D737" s="546" t="s">
        <v>2865</v>
      </c>
      <c r="E737" s="6">
        <f>IFERROR(INDEX(ZACATECAS!$I$7:$I$5000, MATCH(F737*1, ZACATECAS!$H$7:$H$5000, 0)), "-")</f>
        <v>0</v>
      </c>
      <c r="F737" s="544">
        <v>32204264</v>
      </c>
      <c r="G737" s="544" t="s">
        <v>328</v>
      </c>
      <c r="H737" s="543" t="s">
        <v>2860</v>
      </c>
      <c r="I737" s="6" t="str">
        <f>IFERROR(INDEX(ZACATECAS!$N$7:$N$5000, MATCH($F737, ZACATECAS!$H$7:$H$5000, 0)), "-")</f>
        <v>GESTION</v>
      </c>
    </row>
    <row r="738" spans="1:9" x14ac:dyDescent="0.3">
      <c r="A738" s="543" t="s">
        <v>2857</v>
      </c>
      <c r="B738" s="543" t="s">
        <v>2858</v>
      </c>
      <c r="C738" s="543" t="s">
        <v>1894</v>
      </c>
      <c r="D738" s="546" t="s">
        <v>2868</v>
      </c>
      <c r="E738" s="6" t="str">
        <f>IFERROR(INDEX(ZACATECAS!$I$7:$I$5000, MATCH(F738*1, ZACATECAS!$H$7:$H$5000, 0)), "-")</f>
        <v>-</v>
      </c>
      <c r="F738" s="544">
        <v>32164996</v>
      </c>
      <c r="G738" s="544" t="s">
        <v>1895</v>
      </c>
      <c r="H738" s="543" t="s">
        <v>2344</v>
      </c>
      <c r="I738" s="6" t="str">
        <f>IFERROR(INDEX(ZACATECAS!$N$7:$N$5000, MATCH($F738, ZACATECAS!$H$7:$H$5000, 0)), "-")</f>
        <v>-</v>
      </c>
    </row>
    <row r="739" spans="1:9" x14ac:dyDescent="0.3">
      <c r="A739" s="543" t="s">
        <v>2857</v>
      </c>
      <c r="B739" s="543" t="s">
        <v>2858</v>
      </c>
      <c r="C739" s="543" t="s">
        <v>1894</v>
      </c>
      <c r="D739" s="546" t="s">
        <v>2868</v>
      </c>
      <c r="E739" s="6">
        <f>IFERROR(INDEX(ZACATECAS!$I$7:$I$5000, MATCH(F739*1, ZACATECAS!$H$7:$H$5000, 0)), "-")</f>
        <v>0</v>
      </c>
      <c r="F739" s="544">
        <v>32044273</v>
      </c>
      <c r="G739" s="544" t="s">
        <v>1897</v>
      </c>
      <c r="H739" s="543" t="s">
        <v>2860</v>
      </c>
      <c r="I739" s="6" t="str">
        <f>IFERROR(INDEX(ZACATECAS!$N$7:$N$5000, MATCH($F739, ZACATECAS!$H$7:$H$5000, 0)), "-")</f>
        <v>MANTENIMIENTO</v>
      </c>
    </row>
    <row r="740" spans="1:9" x14ac:dyDescent="0.3">
      <c r="A740" s="543" t="s">
        <v>2857</v>
      </c>
      <c r="B740" s="543" t="s">
        <v>2858</v>
      </c>
      <c r="C740" s="543" t="s">
        <v>1894</v>
      </c>
      <c r="D740" s="546" t="s">
        <v>2868</v>
      </c>
      <c r="E740" s="6">
        <f>IFERROR(INDEX(ZACATECAS!$I$7:$I$5000, MATCH(F740*1, ZACATECAS!$H$7:$H$5000, 0)), "-")</f>
        <v>0</v>
      </c>
      <c r="F740" s="544">
        <v>32044433</v>
      </c>
      <c r="G740" s="544" t="s">
        <v>1899</v>
      </c>
      <c r="H740" s="543" t="s">
        <v>2860</v>
      </c>
      <c r="I740" s="6" t="str">
        <f>IFERROR(INDEX(ZACATECAS!$N$7:$N$5000, MATCH($F740, ZACATECAS!$H$7:$H$5000, 0)), "-")</f>
        <v>GENTE/GESTION</v>
      </c>
    </row>
    <row r="741" spans="1:9" x14ac:dyDescent="0.3">
      <c r="A741" s="543" t="s">
        <v>2857</v>
      </c>
      <c r="B741" s="543" t="s">
        <v>2858</v>
      </c>
      <c r="C741" s="543" t="s">
        <v>1894</v>
      </c>
      <c r="D741" s="546" t="s">
        <v>2868</v>
      </c>
      <c r="E741" s="6">
        <f>IFERROR(INDEX(ZACATECAS!$I$7:$I$5000, MATCH(F741*1, ZACATECAS!$H$7:$H$5000, 0)), "-")</f>
        <v>0</v>
      </c>
      <c r="F741" s="544">
        <v>32043851</v>
      </c>
      <c r="G741" s="544" t="s">
        <v>1901</v>
      </c>
      <c r="H741" s="543" t="s">
        <v>2860</v>
      </c>
      <c r="I741" s="6" t="str">
        <f>IFERROR(INDEX(ZACATECAS!$N$7:$N$5000, MATCH($F741, ZACATECAS!$H$7:$H$5000, 0)), "-")</f>
        <v>LOGISTICA</v>
      </c>
    </row>
    <row r="742" spans="1:9" x14ac:dyDescent="0.3">
      <c r="A742" s="543" t="s">
        <v>2857</v>
      </c>
      <c r="B742" s="543" t="s">
        <v>2858</v>
      </c>
      <c r="C742" s="543" t="s">
        <v>1894</v>
      </c>
      <c r="D742" s="546" t="s">
        <v>2868</v>
      </c>
      <c r="E742" s="6">
        <f>IFERROR(INDEX(ZACATECAS!$I$7:$I$5000, MATCH(F742*1, ZACATECAS!$H$7:$H$5000, 0)), "-")</f>
        <v>0</v>
      </c>
      <c r="F742" s="544">
        <v>32044204</v>
      </c>
      <c r="G742" s="544" t="s">
        <v>1903</v>
      </c>
      <c r="H742" s="543" t="s">
        <v>2860</v>
      </c>
      <c r="I742" s="6" t="str">
        <f>IFERROR(INDEX(ZACATECAS!$N$7:$N$5000, MATCH($F742, ZACATECAS!$H$7:$H$5000, 0)), "-")</f>
        <v>GENTE/GESTION</v>
      </c>
    </row>
    <row r="743" spans="1:9" x14ac:dyDescent="0.3">
      <c r="A743" s="543" t="s">
        <v>2857</v>
      </c>
      <c r="B743" s="543" t="s">
        <v>2858</v>
      </c>
      <c r="C743" s="543" t="s">
        <v>1894</v>
      </c>
      <c r="D743" s="546" t="s">
        <v>2868</v>
      </c>
      <c r="E743" s="6">
        <f>IFERROR(INDEX(ZACATECAS!$I$7:$I$5000, MATCH(F743*1, ZACATECAS!$H$7:$H$5000, 0)), "-")</f>
        <v>0</v>
      </c>
      <c r="F743" s="544">
        <v>32045864</v>
      </c>
      <c r="G743" s="544" t="s">
        <v>1905</v>
      </c>
      <c r="H743" s="543" t="s">
        <v>2860</v>
      </c>
      <c r="I743" s="6" t="str">
        <f>IFERROR(INDEX(ZACATECAS!$N$7:$N$5000, MATCH($F743, ZACATECAS!$H$7:$H$5000, 0)), "-")</f>
        <v>AMBIENTAL</v>
      </c>
    </row>
    <row r="744" spans="1:9" x14ac:dyDescent="0.3">
      <c r="A744" s="543" t="s">
        <v>2857</v>
      </c>
      <c r="B744" s="543" t="s">
        <v>2858</v>
      </c>
      <c r="C744" s="543" t="s">
        <v>1894</v>
      </c>
      <c r="D744" s="546" t="s">
        <v>2868</v>
      </c>
      <c r="E744" s="6">
        <f>IFERROR(INDEX(ZACATECAS!$I$7:$I$5000, MATCH(F744*1, ZACATECAS!$H$7:$H$5000, 0)), "-")</f>
        <v>0</v>
      </c>
      <c r="F744" s="544">
        <v>32044888</v>
      </c>
      <c r="G744" s="544" t="s">
        <v>1907</v>
      </c>
      <c r="H744" s="543" t="s">
        <v>2860</v>
      </c>
      <c r="I744" s="6" t="str">
        <f>IFERROR(INDEX(ZACATECAS!$N$7:$N$5000, MATCH($F744, ZACATECAS!$H$7:$H$5000, 0)), "-")</f>
        <v>SEGURIDAD</v>
      </c>
    </row>
    <row r="745" spans="1:9" x14ac:dyDescent="0.3">
      <c r="A745" s="543" t="s">
        <v>2857</v>
      </c>
      <c r="B745" s="543" t="s">
        <v>2858</v>
      </c>
      <c r="C745" s="543" t="s">
        <v>1894</v>
      </c>
      <c r="D745" s="546" t="s">
        <v>2868</v>
      </c>
      <c r="E745" s="6">
        <f>IFERROR(INDEX(ZACATECAS!$I$7:$I$5000, MATCH(F745*1, ZACATECAS!$H$7:$H$5000, 0)), "-")</f>
        <v>0</v>
      </c>
      <c r="F745" s="544">
        <v>32044303</v>
      </c>
      <c r="G745" s="544" t="s">
        <v>1909</v>
      </c>
      <c r="H745" s="543" t="s">
        <v>2860</v>
      </c>
      <c r="I745" s="6" t="str">
        <f>IFERROR(INDEX(ZACATECAS!$N$7:$N$5000, MATCH($F745, ZACATECAS!$H$7:$H$5000, 0)), "-")</f>
        <v>CALIDAD</v>
      </c>
    </row>
    <row r="746" spans="1:9" x14ac:dyDescent="0.3">
      <c r="A746" s="543" t="s">
        <v>2857</v>
      </c>
      <c r="B746" s="543" t="s">
        <v>2858</v>
      </c>
      <c r="C746" s="543" t="s">
        <v>1264</v>
      </c>
      <c r="D746" s="546" t="s">
        <v>2861</v>
      </c>
      <c r="E746" s="6" t="str">
        <f>IFERROR(INDEX(ZACATECAS!$I$7:$I$5000, MATCH(F746*1, ZACATECAS!$H$7:$H$5000, 0)), "-")</f>
        <v>-</v>
      </c>
      <c r="F746" s="544">
        <v>32060808</v>
      </c>
      <c r="G746" s="544" t="s">
        <v>1265</v>
      </c>
      <c r="H746" s="543" t="s">
        <v>2344</v>
      </c>
      <c r="I746" s="6" t="str">
        <f>IFERROR(INDEX(ZACATECAS!$N$7:$N$5000, MATCH($F746, ZACATECAS!$H$7:$H$5000, 0)), "-")</f>
        <v>-</v>
      </c>
    </row>
    <row r="747" spans="1:9" x14ac:dyDescent="0.3">
      <c r="A747" s="543" t="s">
        <v>2857</v>
      </c>
      <c r="B747" s="543" t="s">
        <v>2858</v>
      </c>
      <c r="C747" s="543" t="s">
        <v>1264</v>
      </c>
      <c r="D747" s="546" t="s">
        <v>2861</v>
      </c>
      <c r="E747" s="6">
        <f>IFERROR(INDEX(ZACATECAS!$I$7:$I$5000, MATCH(F747*1, ZACATECAS!$H$7:$H$5000, 0)), "-")</f>
        <v>13</v>
      </c>
      <c r="F747" s="544">
        <v>32199334</v>
      </c>
      <c r="G747" s="544" t="s">
        <v>1266</v>
      </c>
      <c r="H747" s="543" t="s">
        <v>2860</v>
      </c>
      <c r="I747" s="6" t="str">
        <f>IFERROR(INDEX(ZACATECAS!$N$7:$N$5000, MATCH($F747, ZACATECAS!$H$7:$H$5000, 0)), "-")</f>
        <v>CALIDAD</v>
      </c>
    </row>
    <row r="748" spans="1:9" x14ac:dyDescent="0.3">
      <c r="A748" s="543" t="s">
        <v>2857</v>
      </c>
      <c r="B748" s="543" t="s">
        <v>2858</v>
      </c>
      <c r="C748" s="543" t="s">
        <v>1264</v>
      </c>
      <c r="D748" s="546" t="s">
        <v>2861</v>
      </c>
      <c r="E748" s="6">
        <f>IFERROR(INDEX(ZACATECAS!$I$7:$I$5000, MATCH(F748*1, ZACATECAS!$H$7:$H$5000, 0)), "-")</f>
        <v>13</v>
      </c>
      <c r="F748" s="544">
        <v>32043942</v>
      </c>
      <c r="G748" s="544" t="s">
        <v>1268</v>
      </c>
      <c r="H748" s="543" t="s">
        <v>2860</v>
      </c>
      <c r="I748" s="6" t="str">
        <f>IFERROR(INDEX(ZACATECAS!$N$7:$N$5000, MATCH($F748, ZACATECAS!$H$7:$H$5000, 0)), "-")</f>
        <v>CALIDAD</v>
      </c>
    </row>
    <row r="749" spans="1:9" x14ac:dyDescent="0.3">
      <c r="A749" s="543" t="s">
        <v>2857</v>
      </c>
      <c r="B749" s="543" t="s">
        <v>2858</v>
      </c>
      <c r="C749" s="543" t="s">
        <v>1264</v>
      </c>
      <c r="D749" s="546" t="s">
        <v>2861</v>
      </c>
      <c r="E749" s="6">
        <f>IFERROR(INDEX(ZACATECAS!$I$7:$I$5000, MATCH(F749*1, ZACATECAS!$H$7:$H$5000, 0)), "-")</f>
        <v>13</v>
      </c>
      <c r="F749" s="544">
        <v>32044067</v>
      </c>
      <c r="G749" s="544" t="s">
        <v>1270</v>
      </c>
      <c r="H749" s="543" t="s">
        <v>2860</v>
      </c>
      <c r="I749" s="6" t="str">
        <f>IFERROR(INDEX(ZACATECAS!$N$7:$N$5000, MATCH($F749, ZACATECAS!$H$7:$H$5000, 0)), "-")</f>
        <v>AMBIENTAL</v>
      </c>
    </row>
    <row r="750" spans="1:9" x14ac:dyDescent="0.3">
      <c r="A750" s="543" t="s">
        <v>2857</v>
      </c>
      <c r="B750" s="543" t="s">
        <v>2858</v>
      </c>
      <c r="C750" s="543" t="s">
        <v>1264</v>
      </c>
      <c r="D750" s="546" t="s">
        <v>2861</v>
      </c>
      <c r="E750" s="6">
        <f>IFERROR(INDEX(ZACATECAS!$I$7:$I$5000, MATCH(F750*1, ZACATECAS!$H$7:$H$5000, 0)), "-")</f>
        <v>13</v>
      </c>
      <c r="F750" s="544">
        <v>32044682</v>
      </c>
      <c r="G750" s="544" t="s">
        <v>1272</v>
      </c>
      <c r="H750" s="543" t="s">
        <v>2860</v>
      </c>
      <c r="I750" s="6" t="str">
        <f>IFERROR(INDEX(ZACATECAS!$N$7:$N$5000, MATCH($F750, ZACATECAS!$H$7:$H$5000, 0)), "-")</f>
        <v>AMBIENTAL</v>
      </c>
    </row>
    <row r="751" spans="1:9" x14ac:dyDescent="0.3">
      <c r="A751" s="543" t="s">
        <v>2857</v>
      </c>
      <c r="B751" s="543" t="s">
        <v>2858</v>
      </c>
      <c r="C751" s="543" t="s">
        <v>1264</v>
      </c>
      <c r="D751" s="546" t="s">
        <v>2861</v>
      </c>
      <c r="E751" s="6">
        <f>IFERROR(INDEX(ZACATECAS!$I$7:$I$5000, MATCH(F751*1, ZACATECAS!$H$7:$H$5000, 0)), "-")</f>
        <v>13</v>
      </c>
      <c r="F751" s="546">
        <v>32045180</v>
      </c>
      <c r="G751" s="546" t="s">
        <v>1274</v>
      </c>
      <c r="H751" s="543" t="s">
        <v>2860</v>
      </c>
      <c r="I751" s="6" t="str">
        <f>IFERROR(INDEX(ZACATECAS!$N$7:$N$5000, MATCH($F751, ZACATECAS!$H$7:$H$5000, 0)), "-")</f>
        <v>MANTENIMIENTO</v>
      </c>
    </row>
    <row r="752" spans="1:9" x14ac:dyDescent="0.3">
      <c r="A752" s="543" t="s">
        <v>2857</v>
      </c>
      <c r="B752" s="543" t="s">
        <v>2858</v>
      </c>
      <c r="C752" s="543" t="s">
        <v>1264</v>
      </c>
      <c r="D752" s="546" t="s">
        <v>2861</v>
      </c>
      <c r="E752" s="6">
        <f>IFERROR(INDEX(ZACATECAS!$I$7:$I$5000, MATCH(F752*1, ZACATECAS!$H$7:$H$5000, 0)), "-")</f>
        <v>13</v>
      </c>
      <c r="F752" s="544">
        <v>32045538</v>
      </c>
      <c r="G752" s="544" t="s">
        <v>1276</v>
      </c>
      <c r="H752" s="543" t="s">
        <v>2860</v>
      </c>
      <c r="I752" s="6" t="str">
        <f>IFERROR(INDEX(ZACATECAS!$N$7:$N$5000, MATCH($F752, ZACATECAS!$H$7:$H$5000, 0)), "-")</f>
        <v>SEGURIDAD</v>
      </c>
    </row>
    <row r="753" spans="1:9" x14ac:dyDescent="0.3">
      <c r="A753" s="543" t="s">
        <v>2857</v>
      </c>
      <c r="B753" s="543" t="s">
        <v>2858</v>
      </c>
      <c r="C753" s="543" t="s">
        <v>1264</v>
      </c>
      <c r="D753" s="546" t="s">
        <v>2861</v>
      </c>
      <c r="E753" s="6">
        <f>IFERROR(INDEX(ZACATECAS!$I$7:$I$5000, MATCH(F753*1, ZACATECAS!$H$7:$H$5000, 0)), "-")</f>
        <v>13</v>
      </c>
      <c r="F753" s="544">
        <v>32046268</v>
      </c>
      <c r="G753" s="544" t="s">
        <v>1278</v>
      </c>
      <c r="H753" s="543" t="s">
        <v>2860</v>
      </c>
      <c r="I753" s="6" t="str">
        <f>IFERROR(INDEX(ZACATECAS!$N$7:$N$5000, MATCH($F753, ZACATECAS!$H$7:$H$5000, 0)), "-")</f>
        <v>GESTION</v>
      </c>
    </row>
    <row r="754" spans="1:9" x14ac:dyDescent="0.3">
      <c r="A754" s="543" t="s">
        <v>2857</v>
      </c>
      <c r="B754" s="543" t="s">
        <v>2858</v>
      </c>
      <c r="C754" s="543" t="s">
        <v>1264</v>
      </c>
      <c r="D754" s="546" t="s">
        <v>2861</v>
      </c>
      <c r="E754" s="6">
        <f>IFERROR(INDEX(ZACATECAS!$I$7:$I$5000, MATCH(F754*1, ZACATECAS!$H$7:$H$5000, 0)), "-")</f>
        <v>13</v>
      </c>
      <c r="F754" s="544">
        <v>32136709</v>
      </c>
      <c r="G754" s="544" t="s">
        <v>1280</v>
      </c>
      <c r="H754" s="543" t="s">
        <v>2860</v>
      </c>
      <c r="I754" s="6" t="str">
        <f>IFERROR(INDEX(ZACATECAS!$N$7:$N$5000, MATCH($F754, ZACATECAS!$H$7:$H$5000, 0)), "-")</f>
        <v>SEGURIDAD</v>
      </c>
    </row>
    <row r="755" spans="1:9" x14ac:dyDescent="0.3">
      <c r="A755" s="543" t="s">
        <v>2857</v>
      </c>
      <c r="B755" s="543" t="s">
        <v>2858</v>
      </c>
      <c r="C755" s="543" t="s">
        <v>1264</v>
      </c>
      <c r="D755" s="546" t="s">
        <v>2861</v>
      </c>
      <c r="E755" s="6">
        <f>IFERROR(INDEX(ZACATECAS!$I$7:$I$5000, MATCH(F755*1, ZACATECAS!$H$7:$H$5000, 0)), "-")</f>
        <v>13</v>
      </c>
      <c r="F755" s="544">
        <v>32138052</v>
      </c>
      <c r="G755" s="544" t="s">
        <v>1282</v>
      </c>
      <c r="H755" s="543" t="s">
        <v>2860</v>
      </c>
      <c r="I755" s="6" t="str">
        <f>IFERROR(INDEX(ZACATECAS!$N$7:$N$5000, MATCH($F755, ZACATECAS!$H$7:$H$5000, 0)), "-")</f>
        <v>CALIDAD</v>
      </c>
    </row>
    <row r="756" spans="1:9" x14ac:dyDescent="0.3">
      <c r="A756" s="543" t="s">
        <v>2857</v>
      </c>
      <c r="B756" s="543" t="s">
        <v>2858</v>
      </c>
      <c r="C756" s="543" t="s">
        <v>1264</v>
      </c>
      <c r="D756" s="546" t="s">
        <v>2861</v>
      </c>
      <c r="E756" s="6">
        <f>IFERROR(INDEX(ZACATECAS!$I$7:$I$5000, MATCH(F756*1, ZACATECAS!$H$7:$H$5000, 0)), "-")</f>
        <v>13</v>
      </c>
      <c r="F756" s="544">
        <v>32140577</v>
      </c>
      <c r="G756" s="544" t="s">
        <v>1284</v>
      </c>
      <c r="H756" s="543" t="s">
        <v>2860</v>
      </c>
      <c r="I756" s="6" t="str">
        <f>IFERROR(INDEX(ZACATECAS!$N$7:$N$5000, MATCH($F756, ZACATECAS!$H$7:$H$5000, 0)), "-")</f>
        <v>GENTE</v>
      </c>
    </row>
    <row r="757" spans="1:9" x14ac:dyDescent="0.3">
      <c r="A757" s="543" t="s">
        <v>2857</v>
      </c>
      <c r="B757" s="543" t="s">
        <v>2858</v>
      </c>
      <c r="C757" s="543" t="s">
        <v>1264</v>
      </c>
      <c r="D757" s="546" t="s">
        <v>2861</v>
      </c>
      <c r="E757" s="6">
        <f>IFERROR(INDEX(ZACATECAS!$I$7:$I$5000, MATCH(F757*1, ZACATECAS!$H$7:$H$5000, 0)), "-")</f>
        <v>13</v>
      </c>
      <c r="F757" s="544">
        <v>32198229</v>
      </c>
      <c r="G757" s="544" t="s">
        <v>1286</v>
      </c>
      <c r="H757" s="543" t="s">
        <v>2860</v>
      </c>
      <c r="I757" s="6" t="str">
        <f>IFERROR(INDEX(ZACATECAS!$N$7:$N$5000, MATCH($F757, ZACATECAS!$H$7:$H$5000, 0)), "-")</f>
        <v>GESTION</v>
      </c>
    </row>
    <row r="758" spans="1:9" x14ac:dyDescent="0.3">
      <c r="A758" s="543" t="s">
        <v>2857</v>
      </c>
      <c r="B758" s="543" t="s">
        <v>2858</v>
      </c>
      <c r="C758" s="543" t="s">
        <v>1264</v>
      </c>
      <c r="D758" s="546" t="s">
        <v>2861</v>
      </c>
      <c r="E758" s="6">
        <f>IFERROR(INDEX(ZACATECAS!$I$7:$I$5000, MATCH(F758*1, ZACATECAS!$H$7:$H$5000, 0)), "-")</f>
        <v>13</v>
      </c>
      <c r="F758" s="544">
        <v>32142965</v>
      </c>
      <c r="G758" s="544" t="s">
        <v>1287</v>
      </c>
      <c r="H758" s="543" t="s">
        <v>2860</v>
      </c>
      <c r="I758" s="6" t="str">
        <f>IFERROR(INDEX(ZACATECAS!$N$7:$N$5000, MATCH($F758, ZACATECAS!$H$7:$H$5000, 0)), "-")</f>
        <v>MANTENIMIENTO</v>
      </c>
    </row>
    <row r="759" spans="1:9" x14ac:dyDescent="0.3">
      <c r="A759" s="543" t="s">
        <v>2857</v>
      </c>
      <c r="B759" s="543" t="s">
        <v>2858</v>
      </c>
      <c r="C759" s="543" t="s">
        <v>1264</v>
      </c>
      <c r="D759" s="546" t="s">
        <v>2861</v>
      </c>
      <c r="E759" s="6">
        <f>IFERROR(INDEX(ZACATECAS!$I$7:$I$5000, MATCH(F759*1, ZACATECAS!$H$7:$H$5000, 0)), "-")</f>
        <v>13</v>
      </c>
      <c r="F759" s="544">
        <v>32142975</v>
      </c>
      <c r="G759" s="544" t="s">
        <v>1289</v>
      </c>
      <c r="H759" s="543" t="s">
        <v>2860</v>
      </c>
      <c r="I759" s="6" t="str">
        <f>IFERROR(INDEX(ZACATECAS!$N$7:$N$5000, MATCH($F759, ZACATECAS!$H$7:$H$5000, 0)), "-")</f>
        <v>MANTENIMIENTO</v>
      </c>
    </row>
    <row r="760" spans="1:9" x14ac:dyDescent="0.3">
      <c r="A760" s="543" t="s">
        <v>2857</v>
      </c>
      <c r="B760" s="543" t="s">
        <v>2858</v>
      </c>
      <c r="C760" s="543" t="s">
        <v>1078</v>
      </c>
      <c r="D760" s="546" t="s">
        <v>2861</v>
      </c>
      <c r="E760" s="6" t="str">
        <f>IFERROR(INDEX(ZACATECAS!$I$7:$I$5000, MATCH(F760*1, ZACATECAS!$H$7:$H$5000, 0)), "-")</f>
        <v>-</v>
      </c>
      <c r="F760" s="544">
        <v>32231920</v>
      </c>
      <c r="G760" s="544" t="s">
        <v>1079</v>
      </c>
      <c r="H760" s="543" t="s">
        <v>2344</v>
      </c>
      <c r="I760" s="6" t="str">
        <f>IFERROR(INDEX(ZACATECAS!$N$7:$N$5000, MATCH($F760, ZACATECAS!$H$7:$H$5000, 0)), "-")</f>
        <v>-</v>
      </c>
    </row>
    <row r="761" spans="1:9" x14ac:dyDescent="0.3">
      <c r="A761" s="543" t="s">
        <v>2857</v>
      </c>
      <c r="B761" s="543" t="s">
        <v>2858</v>
      </c>
      <c r="C761" s="543" t="s">
        <v>1078</v>
      </c>
      <c r="D761" s="546" t="s">
        <v>2861</v>
      </c>
      <c r="E761" s="6">
        <f>IFERROR(INDEX(ZACATECAS!$I$7:$I$5000, MATCH(F761*1, ZACATECAS!$H$7:$H$5000, 0)), "-")</f>
        <v>10</v>
      </c>
      <c r="F761" s="544">
        <v>32044026</v>
      </c>
      <c r="G761" s="544" t="s">
        <v>1080</v>
      </c>
      <c r="H761" s="543" t="s">
        <v>2860</v>
      </c>
      <c r="I761" s="6" t="str">
        <f>IFERROR(INDEX(ZACATECAS!$N$7:$N$5000, MATCH($F761, ZACATECAS!$H$7:$H$5000, 0)), "-")</f>
        <v>CHAMPION MANTENIMIENTO</v>
      </c>
    </row>
    <row r="762" spans="1:9" x14ac:dyDescent="0.3">
      <c r="A762" s="543" t="s">
        <v>2857</v>
      </c>
      <c r="B762" s="543" t="s">
        <v>2858</v>
      </c>
      <c r="C762" s="543" t="s">
        <v>1078</v>
      </c>
      <c r="D762" s="546" t="s">
        <v>2861</v>
      </c>
      <c r="E762" s="6">
        <f>IFERROR(INDEX(ZACATECAS!$I$7:$I$5000, MATCH(F762*1, ZACATECAS!$H$7:$H$5000, 0)), "-")</f>
        <v>10</v>
      </c>
      <c r="F762" s="544">
        <v>32044280</v>
      </c>
      <c r="G762" s="544" t="s">
        <v>1082</v>
      </c>
      <c r="H762" s="543" t="s">
        <v>2860</v>
      </c>
      <c r="I762" s="6" t="str">
        <f>IFERROR(INDEX(ZACATECAS!$N$7:$N$5000, MATCH($F762, ZACATECAS!$H$7:$H$5000, 0)), "-")</f>
        <v>APOYO GENTE</v>
      </c>
    </row>
    <row r="763" spans="1:9" x14ac:dyDescent="0.3">
      <c r="A763" s="543" t="s">
        <v>2857</v>
      </c>
      <c r="B763" s="543" t="s">
        <v>2858</v>
      </c>
      <c r="C763" s="543" t="s">
        <v>1078</v>
      </c>
      <c r="D763" s="546" t="s">
        <v>2861</v>
      </c>
      <c r="E763" s="6">
        <f>IFERROR(INDEX(ZACATECAS!$I$7:$I$5000, MATCH(F763*1, ZACATECAS!$H$7:$H$5000, 0)), "-")</f>
        <v>10</v>
      </c>
      <c r="F763" s="544">
        <v>32045447</v>
      </c>
      <c r="G763" s="544" t="s">
        <v>1084</v>
      </c>
      <c r="H763" s="543" t="s">
        <v>2860</v>
      </c>
      <c r="I763" s="6" t="str">
        <f>IFERROR(INDEX(ZACATECAS!$N$7:$N$5000, MATCH($F763, ZACATECAS!$H$7:$H$5000, 0)), "-")</f>
        <v>CHAMPION AMBIENTAL</v>
      </c>
    </row>
    <row r="764" spans="1:9" x14ac:dyDescent="0.3">
      <c r="A764" s="543" t="s">
        <v>2857</v>
      </c>
      <c r="B764" s="543" t="s">
        <v>2858</v>
      </c>
      <c r="C764" s="543" t="s">
        <v>1078</v>
      </c>
      <c r="D764" s="546" t="s">
        <v>2861</v>
      </c>
      <c r="E764" s="6">
        <f>IFERROR(INDEX(ZACATECAS!$I$7:$I$5000, MATCH(F764*1, ZACATECAS!$H$7:$H$5000, 0)), "-")</f>
        <v>10</v>
      </c>
      <c r="F764" s="544">
        <v>32046327</v>
      </c>
      <c r="G764" s="544" t="s">
        <v>1086</v>
      </c>
      <c r="H764" s="543" t="s">
        <v>2860</v>
      </c>
      <c r="I764" s="6" t="str">
        <f>IFERROR(INDEX(ZACATECAS!$N$7:$N$5000, MATCH($F764, ZACATECAS!$H$7:$H$5000, 0)), "-")</f>
        <v>CHAMPION  LOGISTICA</v>
      </c>
    </row>
    <row r="765" spans="1:9" x14ac:dyDescent="0.3">
      <c r="A765" s="543" t="s">
        <v>2857</v>
      </c>
      <c r="B765" s="543" t="s">
        <v>2858</v>
      </c>
      <c r="C765" s="543" t="s">
        <v>1078</v>
      </c>
      <c r="D765" s="546" t="s">
        <v>2861</v>
      </c>
      <c r="E765" s="6">
        <f>IFERROR(INDEX(ZACATECAS!$I$7:$I$5000, MATCH(F765*1, ZACATECAS!$H$7:$H$5000, 0)), "-")</f>
        <v>10</v>
      </c>
      <c r="F765" s="544">
        <v>32046635</v>
      </c>
      <c r="G765" s="544" t="s">
        <v>1088</v>
      </c>
      <c r="H765" s="543" t="s">
        <v>2860</v>
      </c>
      <c r="I765" s="6" t="str">
        <f>IFERROR(INDEX(ZACATECAS!$N$7:$N$5000, MATCH($F765, ZACATECAS!$H$7:$H$5000, 0)), "-")</f>
        <v>CHAMPION GENTE</v>
      </c>
    </row>
    <row r="766" spans="1:9" x14ac:dyDescent="0.3">
      <c r="A766" s="543" t="s">
        <v>2857</v>
      </c>
      <c r="B766" s="543" t="s">
        <v>2858</v>
      </c>
      <c r="C766" s="543" t="s">
        <v>1078</v>
      </c>
      <c r="D766" s="546" t="s">
        <v>2861</v>
      </c>
      <c r="E766" s="6">
        <f>IFERROR(INDEX(ZACATECAS!$I$7:$I$5000, MATCH(F766*1, ZACATECAS!$H$7:$H$5000, 0)), "-")</f>
        <v>10</v>
      </c>
      <c r="F766" s="544">
        <v>32142776</v>
      </c>
      <c r="G766" s="544" t="s">
        <v>1090</v>
      </c>
      <c r="H766" s="543" t="s">
        <v>2860</v>
      </c>
      <c r="I766" s="6" t="str">
        <f>IFERROR(INDEX(ZACATECAS!$N$7:$N$5000, MATCH($F766, ZACATECAS!$H$7:$H$5000, 0)), "-")</f>
        <v>CHAMPION DE GESTION</v>
      </c>
    </row>
    <row r="767" spans="1:9" x14ac:dyDescent="0.3">
      <c r="A767" s="543" t="s">
        <v>2857</v>
      </c>
      <c r="B767" s="543" t="s">
        <v>2858</v>
      </c>
      <c r="C767" s="543" t="s">
        <v>1078</v>
      </c>
      <c r="D767" s="546" t="s">
        <v>2861</v>
      </c>
      <c r="E767" s="6">
        <f>IFERROR(INDEX(ZACATECAS!$I$7:$I$5000, MATCH(F767*1, ZACATECAS!$H$7:$H$5000, 0)), "-")</f>
        <v>10</v>
      </c>
      <c r="F767" s="544">
        <v>32142784</v>
      </c>
      <c r="G767" s="544" t="s">
        <v>1091</v>
      </c>
      <c r="H767" s="543" t="s">
        <v>2860</v>
      </c>
      <c r="I767" s="6" t="str">
        <f>IFERROR(INDEX(ZACATECAS!$N$7:$N$5000, MATCH($F767, ZACATECAS!$H$7:$H$5000, 0)), "-")</f>
        <v xml:space="preserve">CHAMPION SEGURIDAD </v>
      </c>
    </row>
    <row r="768" spans="1:9" x14ac:dyDescent="0.3">
      <c r="A768" s="543" t="s">
        <v>2857</v>
      </c>
      <c r="B768" s="543" t="s">
        <v>2858</v>
      </c>
      <c r="C768" s="543" t="s">
        <v>1832</v>
      </c>
      <c r="D768" s="546" t="s">
        <v>2869</v>
      </c>
      <c r="E768" s="6" t="str">
        <f>IFERROR(INDEX(ZACATECAS!$I$7:$I$5000, MATCH(F768*1, ZACATECAS!$H$7:$H$5000, 0)), "-")</f>
        <v>-</v>
      </c>
      <c r="F768" s="544">
        <v>32195392</v>
      </c>
      <c r="G768" s="544" t="s">
        <v>1833</v>
      </c>
      <c r="H768" s="543" t="s">
        <v>2344</v>
      </c>
      <c r="I768" s="6" t="str">
        <f>IFERROR(INDEX(ZACATECAS!$N$7:$N$5000, MATCH($F768, ZACATECAS!$H$7:$H$5000, 0)), "-")</f>
        <v>-</v>
      </c>
    </row>
    <row r="769" spans="1:9" x14ac:dyDescent="0.3">
      <c r="A769" s="543" t="s">
        <v>2857</v>
      </c>
      <c r="B769" s="543" t="s">
        <v>2858</v>
      </c>
      <c r="C769" s="543" t="s">
        <v>1832</v>
      </c>
      <c r="D769" s="546" t="s">
        <v>2869</v>
      </c>
      <c r="E769" s="6" t="str">
        <f>IFERROR(INDEX(ZACATECAS!$I$7:$I$5000, MATCH(F769*1, ZACATECAS!$H$7:$H$5000, 0)), "-")</f>
        <v xml:space="preserve">PNC </v>
      </c>
      <c r="F769" s="544">
        <v>32230863</v>
      </c>
      <c r="G769" s="544" t="s">
        <v>1834</v>
      </c>
      <c r="H769" s="543" t="s">
        <v>2860</v>
      </c>
      <c r="I769" s="6" t="str">
        <f>IFERROR(INDEX(ZACATECAS!$N$7:$N$5000, MATCH($F769, ZACATECAS!$H$7:$H$5000, 0)), "-")</f>
        <v>CALIDAD</v>
      </c>
    </row>
    <row r="770" spans="1:9" x14ac:dyDescent="0.3">
      <c r="A770" s="543" t="s">
        <v>2857</v>
      </c>
      <c r="B770" s="543" t="s">
        <v>2858</v>
      </c>
      <c r="C770" s="543" t="s">
        <v>1832</v>
      </c>
      <c r="D770" s="543" t="s">
        <v>2869</v>
      </c>
      <c r="E770" s="6" t="str">
        <f>IFERROR(INDEX(ZACATECAS!$I$7:$I$5000, MATCH(F770*1, ZACATECAS!$H$7:$H$5000, 0)), "-")</f>
        <v xml:space="preserve">PNC </v>
      </c>
      <c r="F770" s="544">
        <v>32046447</v>
      </c>
      <c r="G770" s="544" t="s">
        <v>1835</v>
      </c>
      <c r="H770" s="543" t="s">
        <v>2860</v>
      </c>
      <c r="I770" s="6" t="str">
        <f>IFERROR(INDEX(ZACATECAS!$N$7:$N$5000, MATCH($F770, ZACATECAS!$H$7:$H$5000, 0)), "-")</f>
        <v xml:space="preserve">GESTION </v>
      </c>
    </row>
    <row r="771" spans="1:9" x14ac:dyDescent="0.3">
      <c r="A771" s="543" t="s">
        <v>2857</v>
      </c>
      <c r="B771" s="543" t="s">
        <v>2858</v>
      </c>
      <c r="C771" s="543" t="s">
        <v>1832</v>
      </c>
      <c r="D771" s="543" t="s">
        <v>2869</v>
      </c>
      <c r="E771" s="6" t="str">
        <f>IFERROR(INDEX(ZACATECAS!$I$7:$I$5000, MATCH(F771*1, ZACATECAS!$H$7:$H$5000, 0)), "-")</f>
        <v xml:space="preserve">PNC </v>
      </c>
      <c r="F771" s="544">
        <v>32197845</v>
      </c>
      <c r="G771" s="544" t="s">
        <v>1836</v>
      </c>
      <c r="H771" s="543" t="s">
        <v>2860</v>
      </c>
      <c r="I771" s="6" t="str">
        <f>IFERROR(INDEX(ZACATECAS!$N$7:$N$5000, MATCH($F771, ZACATECAS!$H$7:$H$5000, 0)), "-")</f>
        <v>SEGURIDAD, PEOPLE</v>
      </c>
    </row>
    <row r="772" spans="1:9" x14ac:dyDescent="0.3">
      <c r="A772" s="543" t="s">
        <v>2857</v>
      </c>
      <c r="B772" s="543" t="s">
        <v>2858</v>
      </c>
      <c r="C772" s="543" t="s">
        <v>1832</v>
      </c>
      <c r="D772" s="543" t="s">
        <v>2869</v>
      </c>
      <c r="E772" s="6" t="str">
        <f>IFERROR(INDEX(ZACATECAS!$I$7:$I$5000, MATCH(F772*1, ZACATECAS!$H$7:$H$5000, 0)), "-")</f>
        <v xml:space="preserve">PNC </v>
      </c>
      <c r="F772" s="544">
        <v>32044906</v>
      </c>
      <c r="G772" s="544" t="s">
        <v>1838</v>
      </c>
      <c r="H772" s="543" t="s">
        <v>2860</v>
      </c>
      <c r="I772" s="6" t="str">
        <f>IFERROR(INDEX(ZACATECAS!$N$7:$N$5000, MATCH($F772, ZACATECAS!$H$7:$H$5000, 0)), "-")</f>
        <v xml:space="preserve">MANTENIMIENTO </v>
      </c>
    </row>
    <row r="773" spans="1:9" x14ac:dyDescent="0.3">
      <c r="A773" s="543" t="s">
        <v>2857</v>
      </c>
      <c r="B773" s="543" t="s">
        <v>2858</v>
      </c>
      <c r="C773" s="543" t="s">
        <v>1369</v>
      </c>
      <c r="D773" s="543" t="s">
        <v>2861</v>
      </c>
      <c r="E773" s="6" t="str">
        <f>IFERROR(INDEX(ZACATECAS!$I$7:$I$5000, MATCH(F773*1, ZACATECAS!$H$7:$H$5000, 0)), "-")</f>
        <v>-</v>
      </c>
      <c r="F773" s="544">
        <v>32143096</v>
      </c>
      <c r="G773" s="544" t="s">
        <v>2522</v>
      </c>
      <c r="H773" s="543" t="s">
        <v>2344</v>
      </c>
      <c r="I773" s="6" t="str">
        <f>IFERROR(INDEX(ZACATECAS!$N$7:$N$5000, MATCH($F773, ZACATECAS!$H$7:$H$5000, 0)), "-")</f>
        <v>-</v>
      </c>
    </row>
    <row r="774" spans="1:9" x14ac:dyDescent="0.3">
      <c r="A774" s="543" t="s">
        <v>2857</v>
      </c>
      <c r="B774" s="543" t="s">
        <v>2858</v>
      </c>
      <c r="C774" s="543" t="s">
        <v>1369</v>
      </c>
      <c r="D774" s="543" t="s">
        <v>2861</v>
      </c>
      <c r="E774" s="6">
        <f>IFERROR(INDEX(ZACATECAS!$I$7:$I$5000, MATCH(F774*1, ZACATECAS!$H$7:$H$5000, 0)), "-")</f>
        <v>14</v>
      </c>
      <c r="F774" s="546">
        <v>32044903</v>
      </c>
      <c r="G774" s="544" t="s">
        <v>1370</v>
      </c>
      <c r="H774" s="543" t="s">
        <v>2860</v>
      </c>
      <c r="I774" s="6" t="str">
        <f>IFERROR(INDEX(ZACATECAS!$N$7:$N$5000, MATCH($F774, ZACATECAS!$H$7:$H$5000, 0)), "-")</f>
        <v>CHAMPION GENTE</v>
      </c>
    </row>
    <row r="775" spans="1:9" x14ac:dyDescent="0.3">
      <c r="A775" s="543" t="s">
        <v>2857</v>
      </c>
      <c r="B775" s="543" t="s">
        <v>2858</v>
      </c>
      <c r="C775" s="543" t="s">
        <v>1369</v>
      </c>
      <c r="D775" s="543" t="s">
        <v>2861</v>
      </c>
      <c r="E775" s="6">
        <f>IFERROR(INDEX(ZACATECAS!$I$7:$I$5000, MATCH(F775*1, ZACATECAS!$H$7:$H$5000, 0)), "-")</f>
        <v>14</v>
      </c>
      <c r="F775" s="544">
        <v>32046340</v>
      </c>
      <c r="G775" s="544" t="s">
        <v>1372</v>
      </c>
      <c r="H775" s="543" t="s">
        <v>2860</v>
      </c>
      <c r="I775" s="6" t="str">
        <f>IFERROR(INDEX(ZACATECAS!$N$7:$N$5000, MATCH($F775, ZACATECAS!$H$7:$H$5000, 0)), "-")</f>
        <v>APOYO A CALIDAD</v>
      </c>
    </row>
    <row r="776" spans="1:9" x14ac:dyDescent="0.3">
      <c r="A776" s="543" t="s">
        <v>2857</v>
      </c>
      <c r="B776" s="543" t="s">
        <v>2858</v>
      </c>
      <c r="C776" s="543" t="s">
        <v>1369</v>
      </c>
      <c r="D776" s="543" t="s">
        <v>2861</v>
      </c>
      <c r="E776" s="6">
        <f>IFERROR(INDEX(ZACATECAS!$I$7:$I$5000, MATCH(F776*1, ZACATECAS!$H$7:$H$5000, 0)), "-")</f>
        <v>14</v>
      </c>
      <c r="F776" s="544">
        <v>32045791</v>
      </c>
      <c r="G776" s="544" t="s">
        <v>1375</v>
      </c>
      <c r="H776" s="543" t="s">
        <v>2860</v>
      </c>
      <c r="I776" s="6" t="str">
        <f>IFERROR(INDEX(ZACATECAS!$N$7:$N$5000, MATCH($F776, ZACATECAS!$H$7:$H$5000, 0)), "-")</f>
        <v>APOYO GENTE</v>
      </c>
    </row>
    <row r="777" spans="1:9" x14ac:dyDescent="0.3">
      <c r="A777" s="543" t="s">
        <v>2857</v>
      </c>
      <c r="B777" s="543" t="s">
        <v>2858</v>
      </c>
      <c r="C777" s="543" t="s">
        <v>1369</v>
      </c>
      <c r="D777" s="543" t="s">
        <v>2861</v>
      </c>
      <c r="E777" s="6">
        <f>IFERROR(INDEX(ZACATECAS!$I$7:$I$5000, MATCH(F777*1, ZACATECAS!$H$7:$H$5000, 0)), "-")</f>
        <v>14</v>
      </c>
      <c r="F777" s="544">
        <v>32045962</v>
      </c>
      <c r="G777" s="544" t="s">
        <v>1377</v>
      </c>
      <c r="H777" s="543" t="s">
        <v>2860</v>
      </c>
      <c r="I777" s="6" t="str">
        <f>IFERROR(INDEX(ZACATECAS!$N$7:$N$5000, MATCH($F777, ZACATECAS!$H$7:$H$5000, 0)), "-")</f>
        <v>CHAMPION GESTIÓN</v>
      </c>
    </row>
    <row r="778" spans="1:9" x14ac:dyDescent="0.3">
      <c r="A778" s="543" t="s">
        <v>2857</v>
      </c>
      <c r="B778" s="543" t="s">
        <v>2858</v>
      </c>
      <c r="C778" s="543" t="s">
        <v>1369</v>
      </c>
      <c r="D778" s="543" t="s">
        <v>2861</v>
      </c>
      <c r="E778" s="6">
        <f>IFERROR(INDEX(ZACATECAS!$I$7:$I$5000, MATCH(F778*1, ZACATECAS!$H$7:$H$5000, 0)), "-")</f>
        <v>14</v>
      </c>
      <c r="F778" s="544">
        <v>32148856</v>
      </c>
      <c r="G778" s="544" t="s">
        <v>1379</v>
      </c>
      <c r="H778" s="543" t="s">
        <v>2860</v>
      </c>
      <c r="I778" s="6" t="str">
        <f>IFERROR(INDEX(ZACATECAS!$N$7:$N$5000, MATCH($F778, ZACATECAS!$H$7:$H$5000, 0)), "-")</f>
        <v>CHAMPION CALIDAD</v>
      </c>
    </row>
    <row r="779" spans="1:9" x14ac:dyDescent="0.3">
      <c r="A779" s="543" t="s">
        <v>2857</v>
      </c>
      <c r="B779" s="543" t="s">
        <v>2858</v>
      </c>
      <c r="C779" s="543" t="s">
        <v>1369</v>
      </c>
      <c r="D779" s="543" t="s">
        <v>2861</v>
      </c>
      <c r="E779" s="6">
        <f>IFERROR(INDEX(ZACATECAS!$I$7:$I$5000, MATCH(F779*1, ZACATECAS!$H$7:$H$5000, 0)), "-")</f>
        <v>14</v>
      </c>
      <c r="F779" s="544">
        <v>32044462</v>
      </c>
      <c r="G779" s="544" t="s">
        <v>1381</v>
      </c>
      <c r="H779" s="543" t="s">
        <v>2860</v>
      </c>
      <c r="I779" s="6" t="str">
        <f>IFERROR(INDEX(ZACATECAS!$N$7:$N$5000, MATCH($F779, ZACATECAS!$H$7:$H$5000, 0)), "-")</f>
        <v>APOYO AMBIENTAL</v>
      </c>
    </row>
    <row r="780" spans="1:9" x14ac:dyDescent="0.3">
      <c r="A780" s="543" t="s">
        <v>2857</v>
      </c>
      <c r="B780" s="543" t="s">
        <v>2858</v>
      </c>
      <c r="C780" s="543" t="s">
        <v>1369</v>
      </c>
      <c r="D780" s="543" t="s">
        <v>2861</v>
      </c>
      <c r="E780" s="6">
        <f>IFERROR(INDEX(ZACATECAS!$I$7:$I$5000, MATCH(F780*1, ZACATECAS!$H$7:$H$5000, 0)), "-")</f>
        <v>14</v>
      </c>
      <c r="F780" s="544">
        <v>32046372</v>
      </c>
      <c r="G780" s="544" t="s">
        <v>1383</v>
      </c>
      <c r="H780" s="543" t="s">
        <v>2860</v>
      </c>
      <c r="I780" s="6" t="str">
        <f>IFERROR(INDEX(ZACATECAS!$N$7:$N$5000, MATCH($F780, ZACATECAS!$H$7:$H$5000, 0)), "-")</f>
        <v>CHAMPIONS SEGURIDAD</v>
      </c>
    </row>
    <row r="781" spans="1:9" x14ac:dyDescent="0.3">
      <c r="A781" s="543" t="s">
        <v>2857</v>
      </c>
      <c r="B781" s="543" t="s">
        <v>2858</v>
      </c>
      <c r="C781" s="543" t="s">
        <v>1369</v>
      </c>
      <c r="D781" s="546" t="s">
        <v>2861</v>
      </c>
      <c r="E781" s="6">
        <f>IFERROR(INDEX(ZACATECAS!$I$7:$I$5000, MATCH(F781*1, ZACATECAS!$H$7:$H$5000, 0)), "-")</f>
        <v>14</v>
      </c>
      <c r="F781" s="546">
        <v>32044998</v>
      </c>
      <c r="G781" s="546" t="s">
        <v>1386</v>
      </c>
      <c r="H781" s="543" t="s">
        <v>2860</v>
      </c>
      <c r="I781" s="6" t="str">
        <f>IFERROR(INDEX(ZACATECAS!$N$7:$N$5000, MATCH($F781, ZACATECAS!$H$7:$H$5000, 0)), "-")</f>
        <v>CHAMPION MANTENIMIENTO</v>
      </c>
    </row>
    <row r="782" spans="1:9" x14ac:dyDescent="0.3">
      <c r="A782" s="543" t="s">
        <v>2857</v>
      </c>
      <c r="B782" s="543" t="s">
        <v>2858</v>
      </c>
      <c r="C782" s="543" t="s">
        <v>1369</v>
      </c>
      <c r="D782" s="546" t="s">
        <v>2861</v>
      </c>
      <c r="E782" s="6">
        <f>IFERROR(INDEX(ZACATECAS!$I$7:$I$5000, MATCH(F782*1, ZACATECAS!$H$7:$H$5000, 0)), "-")</f>
        <v>14</v>
      </c>
      <c r="F782" s="544">
        <v>32046176</v>
      </c>
      <c r="G782" s="544" t="s">
        <v>1388</v>
      </c>
      <c r="H782" s="543" t="s">
        <v>2860</v>
      </c>
      <c r="I782" s="6" t="str">
        <f>IFERROR(INDEX(ZACATECAS!$N$7:$N$5000, MATCH($F782, ZACATECAS!$H$7:$H$5000, 0)), "-")</f>
        <v>APOYO MANTENIMIENTO</v>
      </c>
    </row>
    <row r="783" spans="1:9" x14ac:dyDescent="0.3">
      <c r="A783" s="543" t="s">
        <v>2857</v>
      </c>
      <c r="B783" s="543" t="s">
        <v>2858</v>
      </c>
      <c r="C783" s="543" t="s">
        <v>1369</v>
      </c>
      <c r="D783" s="546" t="s">
        <v>2861</v>
      </c>
      <c r="E783" s="6">
        <f>IFERROR(INDEX(ZACATECAS!$I$7:$I$5000, MATCH(F783*1, ZACATECAS!$H$7:$H$5000, 0)), "-")</f>
        <v>14</v>
      </c>
      <c r="F783" s="544">
        <v>32044466</v>
      </c>
      <c r="G783" s="544" t="s">
        <v>1390</v>
      </c>
      <c r="H783" s="543" t="s">
        <v>2860</v>
      </c>
      <c r="I783" s="6" t="str">
        <f>IFERROR(INDEX(ZACATECAS!$N$7:$N$5000, MATCH($F783, ZACATECAS!$H$7:$H$5000, 0)), "-")</f>
        <v>APOYO SEGURIDAD</v>
      </c>
    </row>
    <row r="784" spans="1:9" x14ac:dyDescent="0.3">
      <c r="A784" s="543" t="s">
        <v>2857</v>
      </c>
      <c r="B784" s="543" t="s">
        <v>2858</v>
      </c>
      <c r="C784" s="543" t="s">
        <v>1911</v>
      </c>
      <c r="D784" s="546" t="s">
        <v>2868</v>
      </c>
      <c r="E784" s="6" t="str">
        <f>IFERROR(INDEX(ZACATECAS!$I$7:$I$5000, MATCH(F784*1, ZACATECAS!$H$7:$H$5000, 0)), "-")</f>
        <v>-</v>
      </c>
      <c r="F784" s="544">
        <v>32045053</v>
      </c>
      <c r="G784" s="544" t="s">
        <v>1912</v>
      </c>
      <c r="H784" s="543" t="s">
        <v>2344</v>
      </c>
      <c r="I784" s="6" t="str">
        <f>IFERROR(INDEX(ZACATECAS!$N$7:$N$5000, MATCH($F784, ZACATECAS!$H$7:$H$5000, 0)), "-")</f>
        <v>-</v>
      </c>
    </row>
    <row r="785" spans="1:9" x14ac:dyDescent="0.3">
      <c r="A785" s="543" t="s">
        <v>2857</v>
      </c>
      <c r="B785" s="543" t="s">
        <v>2858</v>
      </c>
      <c r="C785" s="543" t="s">
        <v>1911</v>
      </c>
      <c r="D785" s="546" t="s">
        <v>2868</v>
      </c>
      <c r="E785" s="6">
        <f>IFERROR(INDEX(ZACATECAS!$I$7:$I$5000, MATCH(F785*1, ZACATECAS!$H$7:$H$5000, 0)), "-")</f>
        <v>0</v>
      </c>
      <c r="F785" s="544">
        <v>32043834</v>
      </c>
      <c r="G785" s="544" t="s">
        <v>1914</v>
      </c>
      <c r="H785" s="543" t="s">
        <v>2860</v>
      </c>
      <c r="I785" s="6" t="str">
        <f>IFERROR(INDEX(ZACATECAS!$N$7:$N$5000, MATCH($F785, ZACATECAS!$H$7:$H$5000, 0)), "-")</f>
        <v>SEGURIDAD</v>
      </c>
    </row>
    <row r="786" spans="1:9" x14ac:dyDescent="0.3">
      <c r="A786" s="543" t="s">
        <v>2857</v>
      </c>
      <c r="B786" s="543" t="s">
        <v>2858</v>
      </c>
      <c r="C786" s="543" t="s">
        <v>1911</v>
      </c>
      <c r="D786" s="546" t="s">
        <v>2868</v>
      </c>
      <c r="E786" s="6">
        <f>IFERROR(INDEX(ZACATECAS!$I$7:$I$5000, MATCH(F786*1, ZACATECAS!$H$7:$H$5000, 0)), "-")</f>
        <v>0</v>
      </c>
      <c r="F786" s="544">
        <v>32045336</v>
      </c>
      <c r="G786" s="544" t="s">
        <v>1916</v>
      </c>
      <c r="H786" s="543" t="s">
        <v>2860</v>
      </c>
      <c r="I786" s="6" t="str">
        <f>IFERROR(INDEX(ZACATECAS!$N$7:$N$5000, MATCH($F786, ZACATECAS!$H$7:$H$5000, 0)), "-")</f>
        <v>AMBIENTAL</v>
      </c>
    </row>
    <row r="787" spans="1:9" x14ac:dyDescent="0.3">
      <c r="A787" s="543" t="s">
        <v>2857</v>
      </c>
      <c r="B787" s="543" t="s">
        <v>2858</v>
      </c>
      <c r="C787" s="543" t="s">
        <v>1911</v>
      </c>
      <c r="D787" s="546" t="s">
        <v>2868</v>
      </c>
      <c r="E787" s="6">
        <f>IFERROR(INDEX(ZACATECAS!$I$7:$I$5000, MATCH(F787*1, ZACATECAS!$H$7:$H$5000, 0)), "-")</f>
        <v>0</v>
      </c>
      <c r="F787" s="544">
        <v>32043751</v>
      </c>
      <c r="G787" s="544" t="s">
        <v>1918</v>
      </c>
      <c r="H787" s="543" t="s">
        <v>2860</v>
      </c>
      <c r="I787" s="6" t="str">
        <f>IFERROR(INDEX(ZACATECAS!$N$7:$N$5000, MATCH($F787, ZACATECAS!$H$7:$H$5000, 0)), "-")</f>
        <v>GENTE/GESTION</v>
      </c>
    </row>
    <row r="788" spans="1:9" x14ac:dyDescent="0.3">
      <c r="A788" s="543" t="s">
        <v>2857</v>
      </c>
      <c r="B788" s="543" t="s">
        <v>2858</v>
      </c>
      <c r="C788" s="543" t="s">
        <v>1911</v>
      </c>
      <c r="D788" s="546" t="s">
        <v>2868</v>
      </c>
      <c r="E788" s="6">
        <f>IFERROR(INDEX(ZACATECAS!$I$7:$I$5000, MATCH(F788*1, ZACATECAS!$H$7:$H$5000, 0)), "-")</f>
        <v>0</v>
      </c>
      <c r="F788" s="544">
        <v>32045705</v>
      </c>
      <c r="G788" s="544" t="s">
        <v>1920</v>
      </c>
      <c r="H788" s="543" t="s">
        <v>2860</v>
      </c>
      <c r="I788" s="6" t="str">
        <f>IFERROR(INDEX(ZACATECAS!$N$7:$N$5000, MATCH($F788, ZACATECAS!$H$7:$H$5000, 0)), "-")</f>
        <v>GENTE/GESTION</v>
      </c>
    </row>
    <row r="789" spans="1:9" x14ac:dyDescent="0.3">
      <c r="A789" s="543" t="s">
        <v>2857</v>
      </c>
      <c r="B789" s="543" t="s">
        <v>2858</v>
      </c>
      <c r="C789" s="543" t="s">
        <v>1911</v>
      </c>
      <c r="D789" s="546" t="s">
        <v>2868</v>
      </c>
      <c r="E789" s="6">
        <f>IFERROR(INDEX(ZACATECAS!$I$7:$I$5000, MATCH(F789*1, ZACATECAS!$H$7:$H$5000, 0)), "-")</f>
        <v>0</v>
      </c>
      <c r="F789" s="544">
        <v>32043737</v>
      </c>
      <c r="G789" s="544" t="s">
        <v>1922</v>
      </c>
      <c r="H789" s="543" t="s">
        <v>2860</v>
      </c>
      <c r="I789" s="6" t="str">
        <f>IFERROR(INDEX(ZACATECAS!$N$7:$N$5000, MATCH($F789, ZACATECAS!$H$7:$H$5000, 0)), "-")</f>
        <v>GENTE/GESTION</v>
      </c>
    </row>
    <row r="790" spans="1:9" x14ac:dyDescent="0.3">
      <c r="A790" s="543" t="s">
        <v>2857</v>
      </c>
      <c r="B790" s="543" t="s">
        <v>2858</v>
      </c>
      <c r="C790" s="543" t="s">
        <v>1911</v>
      </c>
      <c r="D790" s="546" t="s">
        <v>2868</v>
      </c>
      <c r="E790" s="6">
        <f>IFERROR(INDEX(ZACATECAS!$I$7:$I$5000, MATCH(F790*1, ZACATECAS!$H$7:$H$5000, 0)), "-")</f>
        <v>0</v>
      </c>
      <c r="F790" s="544">
        <v>32045786</v>
      </c>
      <c r="G790" s="544" t="s">
        <v>1924</v>
      </c>
      <c r="H790" s="543" t="s">
        <v>2860</v>
      </c>
      <c r="I790" s="6" t="str">
        <f>IFERROR(INDEX(ZACATECAS!$N$7:$N$5000, MATCH($F790, ZACATECAS!$H$7:$H$5000, 0)), "-")</f>
        <v>MANTENIMIENTO</v>
      </c>
    </row>
    <row r="791" spans="1:9" x14ac:dyDescent="0.3">
      <c r="A791" s="543" t="s">
        <v>2857</v>
      </c>
      <c r="B791" s="543" t="s">
        <v>2858</v>
      </c>
      <c r="C791" s="543" t="s">
        <v>1911</v>
      </c>
      <c r="D791" s="546" t="s">
        <v>2868</v>
      </c>
      <c r="E791" s="6">
        <f>IFERROR(INDEX(ZACATECAS!$I$7:$I$5000, MATCH(F791*1, ZACATECAS!$H$7:$H$5000, 0)), "-")</f>
        <v>0</v>
      </c>
      <c r="F791" s="544">
        <v>32045497</v>
      </c>
      <c r="G791" s="544" t="s">
        <v>1926</v>
      </c>
      <c r="H791" s="543" t="s">
        <v>2860</v>
      </c>
      <c r="I791" s="6" t="str">
        <f>IFERROR(INDEX(ZACATECAS!$N$7:$N$5000, MATCH($F791, ZACATECAS!$H$7:$H$5000, 0)), "-")</f>
        <v>GENTE/GESTION</v>
      </c>
    </row>
    <row r="792" spans="1:9" x14ac:dyDescent="0.3">
      <c r="A792" s="543" t="s">
        <v>2857</v>
      </c>
      <c r="B792" s="543" t="s">
        <v>2858</v>
      </c>
      <c r="C792" s="543" t="s">
        <v>1911</v>
      </c>
      <c r="D792" s="546" t="s">
        <v>2868</v>
      </c>
      <c r="E792" s="6">
        <f>IFERROR(INDEX(ZACATECAS!$I$7:$I$5000, MATCH(F792*1, ZACATECAS!$H$7:$H$5000, 0)), "-")</f>
        <v>0</v>
      </c>
      <c r="F792" s="544">
        <v>32094845</v>
      </c>
      <c r="G792" s="544" t="s">
        <v>1928</v>
      </c>
      <c r="H792" s="543" t="s">
        <v>2860</v>
      </c>
      <c r="I792" s="6" t="str">
        <f>IFERROR(INDEX(ZACATECAS!$N$7:$N$5000, MATCH($F792, ZACATECAS!$H$7:$H$5000, 0)), "-")</f>
        <v>MANTENIMIENTO</v>
      </c>
    </row>
    <row r="793" spans="1:9" x14ac:dyDescent="0.3">
      <c r="A793" s="543" t="s">
        <v>2857</v>
      </c>
      <c r="B793" s="543" t="s">
        <v>2858</v>
      </c>
      <c r="C793" s="543" t="s">
        <v>1911</v>
      </c>
      <c r="D793" s="546" t="s">
        <v>2868</v>
      </c>
      <c r="E793" s="6">
        <f>IFERROR(INDEX(ZACATECAS!$I$7:$I$5000, MATCH(F793*1, ZACATECAS!$H$7:$H$5000, 0)), "-")</f>
        <v>0</v>
      </c>
      <c r="F793" s="544">
        <v>32044432</v>
      </c>
      <c r="G793" s="544" t="s">
        <v>1930</v>
      </c>
      <c r="H793" s="543" t="s">
        <v>2860</v>
      </c>
      <c r="I793" s="6" t="str">
        <f>IFERROR(INDEX(ZACATECAS!$N$7:$N$5000, MATCH($F793, ZACATECAS!$H$7:$H$5000, 0)), "-")</f>
        <v>AMBIENTAL</v>
      </c>
    </row>
    <row r="794" spans="1:9" x14ac:dyDescent="0.3">
      <c r="A794" s="543" t="s">
        <v>2857</v>
      </c>
      <c r="B794" s="543" t="s">
        <v>2858</v>
      </c>
      <c r="C794" s="543" t="s">
        <v>1911</v>
      </c>
      <c r="D794" s="546" t="s">
        <v>2868</v>
      </c>
      <c r="E794" s="6">
        <f>IFERROR(INDEX(ZACATECAS!$I$7:$I$5000, MATCH(F794*1, ZACATECAS!$H$7:$H$5000, 0)), "-")</f>
        <v>0</v>
      </c>
      <c r="F794" s="544">
        <v>32044261</v>
      </c>
      <c r="G794" s="544" t="s">
        <v>1932</v>
      </c>
      <c r="H794" s="543" t="s">
        <v>2860</v>
      </c>
      <c r="I794" s="6" t="str">
        <f>IFERROR(INDEX(ZACATECAS!$N$7:$N$5000, MATCH($F794, ZACATECAS!$H$7:$H$5000, 0)), "-")</f>
        <v>CALIDAD</v>
      </c>
    </row>
    <row r="795" spans="1:9" x14ac:dyDescent="0.3">
      <c r="A795" s="543" t="s">
        <v>2857</v>
      </c>
      <c r="B795" s="543" t="s">
        <v>2858</v>
      </c>
      <c r="C795" s="543" t="s">
        <v>1093</v>
      </c>
      <c r="D795" s="546" t="s">
        <v>2861</v>
      </c>
      <c r="E795" s="6" t="str">
        <f>IFERROR(INDEX(ZACATECAS!$I$7:$I$5000, MATCH(F795*1, ZACATECAS!$H$7:$H$5000, 0)), "-")</f>
        <v>-</v>
      </c>
      <c r="F795" s="544">
        <v>32096563</v>
      </c>
      <c r="G795" s="544" t="s">
        <v>1094</v>
      </c>
      <c r="H795" s="543" t="s">
        <v>2344</v>
      </c>
      <c r="I795" s="6" t="str">
        <f>IFERROR(INDEX(ZACATECAS!$N$7:$N$5000, MATCH($F795, ZACATECAS!$H$7:$H$5000, 0)), "-")</f>
        <v>-</v>
      </c>
    </row>
    <row r="796" spans="1:9" x14ac:dyDescent="0.3">
      <c r="A796" s="543" t="s">
        <v>2857</v>
      </c>
      <c r="B796" s="543" t="s">
        <v>2858</v>
      </c>
      <c r="C796" s="543" t="s">
        <v>1093</v>
      </c>
      <c r="D796" s="546" t="s">
        <v>2861</v>
      </c>
      <c r="E796" s="6">
        <f>IFERROR(INDEX(ZACATECAS!$I$7:$I$5000, MATCH(F796*1, ZACATECAS!$H$7:$H$5000, 0)), "-")</f>
        <v>10</v>
      </c>
      <c r="F796" s="544">
        <v>32043930</v>
      </c>
      <c r="G796" s="544" t="s">
        <v>1095</v>
      </c>
      <c r="H796" s="543" t="s">
        <v>2860</v>
      </c>
      <c r="I796" s="6" t="str">
        <f>IFERROR(INDEX(ZACATECAS!$N$7:$N$5000, MATCH($F796, ZACATECAS!$H$7:$H$5000, 0)), "-")</f>
        <v>CHAMPION GENTE</v>
      </c>
    </row>
    <row r="797" spans="1:9" x14ac:dyDescent="0.3">
      <c r="A797" s="543" t="s">
        <v>2857</v>
      </c>
      <c r="B797" s="543" t="s">
        <v>2858</v>
      </c>
      <c r="C797" s="543" t="s">
        <v>1093</v>
      </c>
      <c r="D797" s="546" t="s">
        <v>2861</v>
      </c>
      <c r="E797" s="6">
        <f>IFERROR(INDEX(ZACATECAS!$I$7:$I$5000, MATCH(F797*1, ZACATECAS!$H$7:$H$5000, 0)), "-")</f>
        <v>10</v>
      </c>
      <c r="F797" s="544">
        <v>32043993</v>
      </c>
      <c r="G797" s="544" t="s">
        <v>1098</v>
      </c>
      <c r="H797" s="543" t="s">
        <v>2860</v>
      </c>
      <c r="I797" s="6" t="str">
        <f>IFERROR(INDEX(ZACATECAS!$N$7:$N$5000, MATCH($F797, ZACATECAS!$H$7:$H$5000, 0)), "-")</f>
        <v>CHAMPION MANTENIMIENTO</v>
      </c>
    </row>
    <row r="798" spans="1:9" x14ac:dyDescent="0.3">
      <c r="A798" s="543" t="s">
        <v>2857</v>
      </c>
      <c r="B798" s="543" t="s">
        <v>2858</v>
      </c>
      <c r="C798" s="543" t="s">
        <v>1093</v>
      </c>
      <c r="D798" s="546" t="s">
        <v>2861</v>
      </c>
      <c r="E798" s="6">
        <f>IFERROR(INDEX(ZACATECAS!$I$7:$I$5000, MATCH(F798*1, ZACATECAS!$H$7:$H$5000, 0)), "-")</f>
        <v>10</v>
      </c>
      <c r="F798" s="544">
        <v>32044861</v>
      </c>
      <c r="G798" s="544" t="s">
        <v>1100</v>
      </c>
      <c r="H798" s="543" t="s">
        <v>2860</v>
      </c>
      <c r="I798" s="6" t="str">
        <f>IFERROR(INDEX(ZACATECAS!$N$7:$N$5000, MATCH($F798, ZACATECAS!$H$7:$H$5000, 0)), "-")</f>
        <v xml:space="preserve">APOYO SEGURIDAD </v>
      </c>
    </row>
    <row r="799" spans="1:9" x14ac:dyDescent="0.3">
      <c r="A799" s="543" t="s">
        <v>2857</v>
      </c>
      <c r="B799" s="543" t="s">
        <v>2858</v>
      </c>
      <c r="C799" s="543" t="s">
        <v>1093</v>
      </c>
      <c r="D799" s="546" t="s">
        <v>2861</v>
      </c>
      <c r="E799" s="6">
        <f>IFERROR(INDEX(ZACATECAS!$I$7:$I$5000, MATCH(F799*1, ZACATECAS!$H$7:$H$5000, 0)), "-")</f>
        <v>10</v>
      </c>
      <c r="F799" s="544">
        <v>32045995</v>
      </c>
      <c r="G799" s="544" t="s">
        <v>1102</v>
      </c>
      <c r="H799" s="543" t="s">
        <v>2860</v>
      </c>
      <c r="I799" s="6" t="str">
        <f>IFERROR(INDEX(ZACATECAS!$N$7:$N$5000, MATCH($F799, ZACATECAS!$H$7:$H$5000, 0)), "-")</f>
        <v>CHAMPION  CALIDAD</v>
      </c>
    </row>
    <row r="800" spans="1:9" x14ac:dyDescent="0.3">
      <c r="A800" s="543" t="s">
        <v>2857</v>
      </c>
      <c r="B800" s="543" t="s">
        <v>2858</v>
      </c>
      <c r="C800" s="543" t="s">
        <v>1093</v>
      </c>
      <c r="D800" s="546" t="s">
        <v>2861</v>
      </c>
      <c r="E800" s="6">
        <f>IFERROR(INDEX(ZACATECAS!$I$7:$I$5000, MATCH(F800*1, ZACATECAS!$H$7:$H$5000, 0)), "-")</f>
        <v>10</v>
      </c>
      <c r="F800" s="544">
        <v>32046126</v>
      </c>
      <c r="G800" s="544" t="s">
        <v>1104</v>
      </c>
      <c r="H800" s="543" t="s">
        <v>2860</v>
      </c>
      <c r="I800" s="6" t="str">
        <f>IFERROR(INDEX(ZACATECAS!$N$7:$N$5000, MATCH($F800, ZACATECAS!$H$7:$H$5000, 0)), "-")</f>
        <v>APOYO GENTE</v>
      </c>
    </row>
    <row r="801" spans="1:9" x14ac:dyDescent="0.3">
      <c r="A801" s="543" t="s">
        <v>2857</v>
      </c>
      <c r="B801" s="543" t="s">
        <v>2858</v>
      </c>
      <c r="C801" s="543" t="s">
        <v>1093</v>
      </c>
      <c r="D801" s="546" t="s">
        <v>2861</v>
      </c>
      <c r="E801" s="6">
        <f>IFERROR(INDEX(ZACATECAS!$I$7:$I$5000, MATCH(F801*1, ZACATECAS!$H$7:$H$5000, 0)), "-")</f>
        <v>10</v>
      </c>
      <c r="F801" s="544">
        <v>32046387</v>
      </c>
      <c r="G801" s="544" t="s">
        <v>1107</v>
      </c>
      <c r="H801" s="543" t="s">
        <v>2860</v>
      </c>
      <c r="I801" s="6" t="str">
        <f>IFERROR(INDEX(ZACATECAS!$N$7:$N$5000, MATCH($F801, ZACATECAS!$H$7:$H$5000, 0)), "-")</f>
        <v>APOYO CALIDAD</v>
      </c>
    </row>
    <row r="802" spans="1:9" x14ac:dyDescent="0.3">
      <c r="A802" s="543" t="s">
        <v>2857</v>
      </c>
      <c r="B802" s="543" t="s">
        <v>2858</v>
      </c>
      <c r="C802" s="543" t="s">
        <v>1093</v>
      </c>
      <c r="D802" s="546" t="s">
        <v>2861</v>
      </c>
      <c r="E802" s="6">
        <f>IFERROR(INDEX(ZACATECAS!$I$7:$I$5000, MATCH(F802*1, ZACATECAS!$H$7:$H$5000, 0)), "-")</f>
        <v>10</v>
      </c>
      <c r="F802" s="544">
        <v>32046509</v>
      </c>
      <c r="G802" s="544" t="s">
        <v>1108</v>
      </c>
      <c r="H802" s="543" t="s">
        <v>2860</v>
      </c>
      <c r="I802" s="6" t="str">
        <f>IFERROR(INDEX(ZACATECAS!$N$7:$N$5000, MATCH($F802, ZACATECAS!$H$7:$H$5000, 0)), "-")</f>
        <v>CHAMPION DE GESTION</v>
      </c>
    </row>
    <row r="803" spans="1:9" x14ac:dyDescent="0.3">
      <c r="A803" s="543" t="s">
        <v>2857</v>
      </c>
      <c r="B803" s="543" t="s">
        <v>2858</v>
      </c>
      <c r="C803" s="543" t="s">
        <v>1093</v>
      </c>
      <c r="D803" s="546" t="s">
        <v>2861</v>
      </c>
      <c r="E803" s="6">
        <f>IFERROR(INDEX(ZACATECAS!$I$7:$I$5000, MATCH(F803*1, ZACATECAS!$H$7:$H$5000, 0)), "-")</f>
        <v>10</v>
      </c>
      <c r="F803" s="544">
        <v>32058108</v>
      </c>
      <c r="G803" s="544" t="s">
        <v>1110</v>
      </c>
      <c r="H803" s="543" t="s">
        <v>2860</v>
      </c>
      <c r="I803" s="6" t="str">
        <f>IFERROR(INDEX(ZACATECAS!$N$7:$N$5000, MATCH($F803, ZACATECAS!$H$7:$H$5000, 0)), "-")</f>
        <v>CHAMPION AMBIENTAL</v>
      </c>
    </row>
    <row r="804" spans="1:9" x14ac:dyDescent="0.3">
      <c r="A804" s="543" t="s">
        <v>2857</v>
      </c>
      <c r="B804" s="543" t="s">
        <v>2858</v>
      </c>
      <c r="C804" s="543" t="s">
        <v>1093</v>
      </c>
      <c r="D804" s="546" t="s">
        <v>2861</v>
      </c>
      <c r="E804" s="6">
        <f>IFERROR(INDEX(ZACATECAS!$I$7:$I$5000, MATCH(F804*1, ZACATECAS!$H$7:$H$5000, 0)), "-")</f>
        <v>10</v>
      </c>
      <c r="F804" s="544">
        <v>32132009</v>
      </c>
      <c r="G804" s="544" t="s">
        <v>1112</v>
      </c>
      <c r="H804" s="543" t="s">
        <v>2860</v>
      </c>
      <c r="I804" s="6" t="str">
        <f>IFERROR(INDEX(ZACATECAS!$N$7:$N$5000, MATCH($F804, ZACATECAS!$H$7:$H$5000, 0)), "-")</f>
        <v xml:space="preserve">CHAMPION SEGURIDAD </v>
      </c>
    </row>
    <row r="805" spans="1:9" x14ac:dyDescent="0.3">
      <c r="A805" s="543" t="s">
        <v>2857</v>
      </c>
      <c r="B805" s="543" t="s">
        <v>2858</v>
      </c>
      <c r="C805" s="543" t="s">
        <v>1093</v>
      </c>
      <c r="D805" s="546" t="s">
        <v>2861</v>
      </c>
      <c r="E805" s="6">
        <f>IFERROR(INDEX(ZACATECAS!$I$7:$I$5000, MATCH(F805*1, ZACATECAS!$H$7:$H$5000, 0)), "-")</f>
        <v>10</v>
      </c>
      <c r="F805" s="544">
        <v>32132170</v>
      </c>
      <c r="G805" s="544" t="s">
        <v>1114</v>
      </c>
      <c r="H805" s="543" t="s">
        <v>2860</v>
      </c>
      <c r="I805" s="6" t="str">
        <f>IFERROR(INDEX(ZACATECAS!$N$7:$N$5000, MATCH($F805, ZACATECAS!$H$7:$H$5000, 0)), "-")</f>
        <v>APOYO DE GESTION</v>
      </c>
    </row>
    <row r="806" spans="1:9" x14ac:dyDescent="0.3">
      <c r="A806" s="543" t="s">
        <v>2857</v>
      </c>
      <c r="B806" s="543" t="s">
        <v>2858</v>
      </c>
      <c r="C806" s="543" t="s">
        <v>1640</v>
      </c>
      <c r="D806" s="546" t="s">
        <v>2869</v>
      </c>
      <c r="E806" s="6" t="str">
        <f>IFERROR(INDEX(ZACATECAS!$I$7:$I$5000, MATCH(F806*1, ZACATECAS!$H$7:$H$5000, 0)), "-")</f>
        <v>-</v>
      </c>
      <c r="F806" s="546">
        <v>32172282</v>
      </c>
      <c r="G806" s="546" t="s">
        <v>1641</v>
      </c>
      <c r="H806" s="543" t="s">
        <v>2344</v>
      </c>
      <c r="I806" s="6" t="str">
        <f>IFERROR(INDEX(ZACATECAS!$N$7:$N$5000, MATCH($F806, ZACATECAS!$H$7:$H$5000, 0)), "-")</f>
        <v>-</v>
      </c>
    </row>
    <row r="807" spans="1:9" x14ac:dyDescent="0.3">
      <c r="A807" s="543" t="s">
        <v>2857</v>
      </c>
      <c r="B807" s="543" t="s">
        <v>2858</v>
      </c>
      <c r="C807" s="543" t="s">
        <v>1640</v>
      </c>
      <c r="D807" s="546" t="s">
        <v>2869</v>
      </c>
      <c r="E807" s="6" t="str">
        <f>IFERROR(INDEX(ZACATECAS!$I$7:$I$5000, MATCH(F807*1, ZACATECAS!$H$7:$H$5000, 0)), "-")</f>
        <v>CANAL MODERNO</v>
      </c>
      <c r="F807" s="544">
        <v>32227720</v>
      </c>
      <c r="G807" s="544" t="s">
        <v>1643</v>
      </c>
      <c r="H807" s="543" t="s">
        <v>2860</v>
      </c>
      <c r="I807" s="6" t="str">
        <f>IFERROR(INDEX(ZACATECAS!$N$7:$N$5000, MATCH($F807, ZACATECAS!$H$7:$H$5000, 0)), "-")</f>
        <v>Champion Calidad</v>
      </c>
    </row>
    <row r="808" spans="1:9" x14ac:dyDescent="0.3">
      <c r="A808" s="543" t="s">
        <v>2857</v>
      </c>
      <c r="B808" s="543" t="s">
        <v>2858</v>
      </c>
      <c r="C808" s="543" t="s">
        <v>1640</v>
      </c>
      <c r="D808" s="546" t="s">
        <v>2869</v>
      </c>
      <c r="E808" s="6" t="str">
        <f>IFERROR(INDEX(ZACATECAS!$I$7:$I$5000, MATCH(F808*1, ZACATECAS!$H$7:$H$5000, 0)), "-")</f>
        <v>CANAL MODERNO</v>
      </c>
      <c r="F808" s="544">
        <v>32197848</v>
      </c>
      <c r="G808" s="544" t="s">
        <v>1644</v>
      </c>
      <c r="H808" s="543" t="s">
        <v>2860</v>
      </c>
      <c r="I808" s="6" t="str">
        <f>IFERROR(INDEX(ZACATECAS!$N$7:$N$5000, MATCH($F808, ZACATECAS!$H$7:$H$5000, 0)), "-")</f>
        <v>Champion de logística</v>
      </c>
    </row>
    <row r="809" spans="1:9" x14ac:dyDescent="0.3">
      <c r="A809" s="543" t="s">
        <v>2857</v>
      </c>
      <c r="B809" s="543" t="s">
        <v>2858</v>
      </c>
      <c r="C809" s="543" t="s">
        <v>1640</v>
      </c>
      <c r="D809" s="546" t="s">
        <v>2869</v>
      </c>
      <c r="E809" s="6" t="str">
        <f>IFERROR(INDEX(ZACATECAS!$I$7:$I$5000, MATCH(F809*1, ZACATECAS!$H$7:$H$5000, 0)), "-")</f>
        <v>CANAL MODERNO</v>
      </c>
      <c r="F809" s="544">
        <v>32187878</v>
      </c>
      <c r="G809" s="544" t="s">
        <v>1645</v>
      </c>
      <c r="H809" s="543" t="s">
        <v>2860</v>
      </c>
      <c r="I809" s="6" t="str">
        <f>IFERROR(INDEX(ZACATECAS!$N$7:$N$5000, MATCH($F809, ZACATECAS!$H$7:$H$5000, 0)), "-")</f>
        <v>Champion de Medio Ambiente</v>
      </c>
    </row>
    <row r="810" spans="1:9" x14ac:dyDescent="0.3">
      <c r="A810" s="543" t="s">
        <v>2857</v>
      </c>
      <c r="B810" s="543" t="s">
        <v>2858</v>
      </c>
      <c r="C810" s="543" t="s">
        <v>1640</v>
      </c>
      <c r="D810" s="546" t="s">
        <v>2869</v>
      </c>
      <c r="E810" s="6" t="str">
        <f>IFERROR(INDEX(ZACATECAS!$I$7:$I$5000, MATCH(F810*1, ZACATECAS!$H$7:$H$5000, 0)), "-")</f>
        <v>CANAL MODERNO</v>
      </c>
      <c r="F810" s="544">
        <v>32044581</v>
      </c>
      <c r="G810" s="544" t="s">
        <v>1646</v>
      </c>
      <c r="H810" s="543" t="s">
        <v>2860</v>
      </c>
      <c r="I810" s="6" t="str">
        <f>IFERROR(INDEX(ZACATECAS!$N$7:$N$5000, MATCH($F810, ZACATECAS!$H$7:$H$5000, 0)), "-")</f>
        <v>Champion de People</v>
      </c>
    </row>
    <row r="811" spans="1:9" x14ac:dyDescent="0.3">
      <c r="A811" s="543" t="s">
        <v>2857</v>
      </c>
      <c r="B811" s="543" t="s">
        <v>2858</v>
      </c>
      <c r="C811" s="543" t="s">
        <v>1640</v>
      </c>
      <c r="D811" s="546" t="s">
        <v>2869</v>
      </c>
      <c r="E811" s="6" t="str">
        <f>IFERROR(INDEX(ZACATECAS!$I$7:$I$5000, MATCH(F811*1, ZACATECAS!$H$7:$H$5000, 0)), "-")</f>
        <v>CANAL MODERNO</v>
      </c>
      <c r="F811" s="544">
        <v>32188000</v>
      </c>
      <c r="G811" s="544" t="s">
        <v>1647</v>
      </c>
      <c r="H811" s="543" t="s">
        <v>2860</v>
      </c>
      <c r="I811" s="6" t="str">
        <f>IFERROR(INDEX(ZACATECAS!$N$7:$N$5000, MATCH($F811, ZACATECAS!$H$7:$H$5000, 0)), "-")</f>
        <v>Champion Seguridad</v>
      </c>
    </row>
    <row r="812" spans="1:9" x14ac:dyDescent="0.3">
      <c r="A812" s="543" t="s">
        <v>2857</v>
      </c>
      <c r="B812" s="543" t="s">
        <v>2858</v>
      </c>
      <c r="C812" s="543" t="s">
        <v>1291</v>
      </c>
      <c r="D812" s="546" t="s">
        <v>2861</v>
      </c>
      <c r="E812" s="6" t="str">
        <f>IFERROR(INDEX(ZACATECAS!$I$7:$I$5000, MATCH(F812*1, ZACATECAS!$H$7:$H$5000, 0)), "-")</f>
        <v>-</v>
      </c>
      <c r="F812" s="544">
        <v>32046695</v>
      </c>
      <c r="G812" s="544" t="s">
        <v>1292</v>
      </c>
      <c r="H812" s="543" t="s">
        <v>2344</v>
      </c>
      <c r="I812" s="6" t="str">
        <f>IFERROR(INDEX(ZACATECAS!$N$7:$N$5000, MATCH($F812, ZACATECAS!$H$7:$H$5000, 0)), "-")</f>
        <v>-</v>
      </c>
    </row>
    <row r="813" spans="1:9" x14ac:dyDescent="0.3">
      <c r="A813" s="543" t="s">
        <v>2857</v>
      </c>
      <c r="B813" s="543" t="s">
        <v>2858</v>
      </c>
      <c r="C813" s="543" t="s">
        <v>1291</v>
      </c>
      <c r="D813" s="546" t="s">
        <v>2861</v>
      </c>
      <c r="E813" s="6">
        <f>IFERROR(INDEX(ZACATECAS!$I$7:$I$5000, MATCH(F813*1, ZACATECAS!$H$7:$H$5000, 0)), "-")</f>
        <v>13</v>
      </c>
      <c r="F813" s="544">
        <v>32045021</v>
      </c>
      <c r="G813" s="544" t="s">
        <v>1294</v>
      </c>
      <c r="H813" s="543" t="s">
        <v>2860</v>
      </c>
      <c r="I813" s="6" t="str">
        <f>IFERROR(INDEX(ZACATECAS!$N$7:$N$5000, MATCH($F813, ZACATECAS!$H$7:$H$5000, 0)), "-")</f>
        <v>CHAMPION DE GESTION</v>
      </c>
    </row>
    <row r="814" spans="1:9" x14ac:dyDescent="0.3">
      <c r="A814" s="543" t="s">
        <v>2857</v>
      </c>
      <c r="B814" s="543" t="s">
        <v>2858</v>
      </c>
      <c r="C814" s="543" t="s">
        <v>1291</v>
      </c>
      <c r="D814" s="546" t="s">
        <v>2861</v>
      </c>
      <c r="E814" s="6">
        <f>IFERROR(INDEX(ZACATECAS!$I$7:$I$5000, MATCH(F814*1, ZACATECAS!$H$7:$H$5000, 0)), "-")</f>
        <v>13</v>
      </c>
      <c r="F814" s="544">
        <v>32045059</v>
      </c>
      <c r="G814" s="544" t="s">
        <v>1296</v>
      </c>
      <c r="H814" s="543" t="s">
        <v>2860</v>
      </c>
      <c r="I814" s="6" t="str">
        <f>IFERROR(INDEX(ZACATECAS!$N$7:$N$5000, MATCH($F814, ZACATECAS!$H$7:$H$5000, 0)), "-")</f>
        <v>APOYO AMBIENTAL</v>
      </c>
    </row>
    <row r="815" spans="1:9" x14ac:dyDescent="0.3">
      <c r="A815" s="543" t="s">
        <v>2857</v>
      </c>
      <c r="B815" s="543" t="s">
        <v>2858</v>
      </c>
      <c r="C815" s="543" t="s">
        <v>1291</v>
      </c>
      <c r="D815" s="546" t="s">
        <v>2861</v>
      </c>
      <c r="E815" s="6">
        <f>IFERROR(INDEX(ZACATECAS!$I$7:$I$5000, MATCH(F815*1, ZACATECAS!$H$7:$H$5000, 0)), "-")</f>
        <v>13</v>
      </c>
      <c r="F815" s="544">
        <v>32045060</v>
      </c>
      <c r="G815" s="544" t="s">
        <v>1298</v>
      </c>
      <c r="H815" s="543" t="s">
        <v>2860</v>
      </c>
      <c r="I815" s="6" t="str">
        <f>IFERROR(INDEX(ZACATECAS!$N$7:$N$5000, MATCH($F815, ZACATECAS!$H$7:$H$5000, 0)), "-")</f>
        <v>APOYO  GENTE</v>
      </c>
    </row>
    <row r="816" spans="1:9" x14ac:dyDescent="0.3">
      <c r="A816" s="543" t="s">
        <v>2857</v>
      </c>
      <c r="B816" s="543" t="s">
        <v>2858</v>
      </c>
      <c r="C816" s="543" t="s">
        <v>1291</v>
      </c>
      <c r="D816" s="546" t="s">
        <v>2861</v>
      </c>
      <c r="E816" s="6">
        <f>IFERROR(INDEX(ZACATECAS!$I$7:$I$5000, MATCH(F816*1, ZACATECAS!$H$7:$H$5000, 0)), "-")</f>
        <v>13</v>
      </c>
      <c r="F816" s="544">
        <v>32045364</v>
      </c>
      <c r="G816" s="544" t="s">
        <v>1301</v>
      </c>
      <c r="H816" s="543" t="s">
        <v>2860</v>
      </c>
      <c r="I816" s="6" t="str">
        <f>IFERROR(INDEX(ZACATECAS!$N$7:$N$5000, MATCH($F816, ZACATECAS!$H$7:$H$5000, 0)), "-")</f>
        <v>APOYO CHAMPION GESTION</v>
      </c>
    </row>
    <row r="817" spans="1:9" x14ac:dyDescent="0.3">
      <c r="A817" s="543" t="s">
        <v>2857</v>
      </c>
      <c r="B817" s="543" t="s">
        <v>2858</v>
      </c>
      <c r="C817" s="543" t="s">
        <v>1291</v>
      </c>
      <c r="D817" s="546" t="s">
        <v>2861</v>
      </c>
      <c r="E817" s="6">
        <f>IFERROR(INDEX(ZACATECAS!$I$7:$I$5000, MATCH(F817*1, ZACATECAS!$H$7:$H$5000, 0)), "-")</f>
        <v>13</v>
      </c>
      <c r="F817" s="544">
        <v>32045585</v>
      </c>
      <c r="G817" s="544" t="s">
        <v>1302</v>
      </c>
      <c r="H817" s="543" t="s">
        <v>2860</v>
      </c>
      <c r="I817" s="6" t="str">
        <f>IFERROR(INDEX(ZACATECAS!$N$7:$N$5000, MATCH($F817, ZACATECAS!$H$7:$H$5000, 0)), "-")</f>
        <v>APOYO DE SEGURIDAD</v>
      </c>
    </row>
    <row r="818" spans="1:9" x14ac:dyDescent="0.3">
      <c r="A818" s="543" t="s">
        <v>2857</v>
      </c>
      <c r="B818" s="543" t="s">
        <v>2858</v>
      </c>
      <c r="C818" s="543" t="s">
        <v>1291</v>
      </c>
      <c r="D818" s="546" t="s">
        <v>2861</v>
      </c>
      <c r="E818" s="6">
        <f>IFERROR(INDEX(ZACATECAS!$I$7:$I$5000, MATCH(F818*1, ZACATECAS!$H$7:$H$5000, 0)), "-")</f>
        <v>13</v>
      </c>
      <c r="F818" s="544">
        <v>32046006</v>
      </c>
      <c r="G818" s="544" t="s">
        <v>1304</v>
      </c>
      <c r="H818" s="543" t="s">
        <v>2860</v>
      </c>
      <c r="I818" s="6" t="str">
        <f>IFERROR(INDEX(ZACATECAS!$N$7:$N$5000, MATCH($F818, ZACATECAS!$H$7:$H$5000, 0)), "-")</f>
        <v>CHAMPION SEGURIDAD</v>
      </c>
    </row>
    <row r="819" spans="1:9" x14ac:dyDescent="0.3">
      <c r="A819" s="543" t="s">
        <v>2857</v>
      </c>
      <c r="B819" s="543" t="s">
        <v>2858</v>
      </c>
      <c r="C819" s="543" t="s">
        <v>1291</v>
      </c>
      <c r="D819" s="546" t="s">
        <v>2861</v>
      </c>
      <c r="E819" s="6">
        <f>IFERROR(INDEX(ZACATECAS!$I$7:$I$5000, MATCH(F819*1, ZACATECAS!$H$7:$H$5000, 0)), "-")</f>
        <v>13</v>
      </c>
      <c r="F819" s="544">
        <v>32046316</v>
      </c>
      <c r="G819" s="544" t="s">
        <v>1306</v>
      </c>
      <c r="H819" s="543" t="s">
        <v>2860</v>
      </c>
      <c r="I819" s="6" t="str">
        <f>IFERROR(INDEX(ZACATECAS!$N$7:$N$5000, MATCH($F819, ZACATECAS!$H$7:$H$5000, 0)), "-")</f>
        <v>APOYO CALIDAD</v>
      </c>
    </row>
    <row r="820" spans="1:9" x14ac:dyDescent="0.3">
      <c r="A820" s="543" t="s">
        <v>2857</v>
      </c>
      <c r="B820" s="543" t="s">
        <v>2858</v>
      </c>
      <c r="C820" s="543" t="s">
        <v>1291</v>
      </c>
      <c r="D820" s="546" t="s">
        <v>2861</v>
      </c>
      <c r="E820" s="6">
        <f>IFERROR(INDEX(ZACATECAS!$I$7:$I$5000, MATCH(F820*1, ZACATECAS!$H$7:$H$5000, 0)), "-")</f>
        <v>13</v>
      </c>
      <c r="F820" s="544">
        <v>32061304</v>
      </c>
      <c r="G820" s="544" t="s">
        <v>1308</v>
      </c>
      <c r="H820" s="543" t="s">
        <v>2860</v>
      </c>
      <c r="I820" s="6" t="str">
        <f>IFERROR(INDEX(ZACATECAS!$N$7:$N$5000, MATCH($F820, ZACATECAS!$H$7:$H$5000, 0)), "-")</f>
        <v>CHAMPION  LOGISTICA</v>
      </c>
    </row>
    <row r="821" spans="1:9" x14ac:dyDescent="0.3">
      <c r="A821" s="543" t="s">
        <v>2857</v>
      </c>
      <c r="B821" s="543" t="s">
        <v>2858</v>
      </c>
      <c r="C821" s="543" t="s">
        <v>1291</v>
      </c>
      <c r="D821" s="546" t="s">
        <v>2861</v>
      </c>
      <c r="E821" s="6">
        <f>IFERROR(INDEX(ZACATECAS!$I$7:$I$5000, MATCH(F821*1, ZACATECAS!$H$7:$H$5000, 0)), "-")</f>
        <v>13</v>
      </c>
      <c r="F821" s="544">
        <v>32108864</v>
      </c>
      <c r="G821" s="544" t="s">
        <v>1310</v>
      </c>
      <c r="H821" s="543" t="s">
        <v>2860</v>
      </c>
      <c r="I821" s="6" t="str">
        <f>IFERROR(INDEX(ZACATECAS!$N$7:$N$5000, MATCH($F821, ZACATECAS!$H$7:$H$5000, 0)), "-")</f>
        <v>APOYO LOGISTICA</v>
      </c>
    </row>
    <row r="822" spans="1:9" x14ac:dyDescent="0.3">
      <c r="A822" s="543" t="s">
        <v>2857</v>
      </c>
      <c r="B822" s="543" t="s">
        <v>2858</v>
      </c>
      <c r="C822" s="543" t="s">
        <v>1291</v>
      </c>
      <c r="D822" s="543" t="s">
        <v>2861</v>
      </c>
      <c r="E822" s="6">
        <f>IFERROR(INDEX(ZACATECAS!$I$7:$I$5000, MATCH(F822*1, ZACATECAS!$H$7:$H$5000, 0)), "-")</f>
        <v>13</v>
      </c>
      <c r="F822" s="544">
        <v>32142988</v>
      </c>
      <c r="G822" s="544" t="s">
        <v>1312</v>
      </c>
      <c r="H822" s="543" t="s">
        <v>2860</v>
      </c>
      <c r="I822" s="6" t="str">
        <f>IFERROR(INDEX(ZACATECAS!$N$7:$N$5000, MATCH($F822, ZACATECAS!$H$7:$H$5000, 0)), "-")</f>
        <v>CHAMPION AMBIENTAL</v>
      </c>
    </row>
    <row r="823" spans="1:9" x14ac:dyDescent="0.3">
      <c r="A823" s="543" t="s">
        <v>2857</v>
      </c>
      <c r="B823" s="543" t="s">
        <v>2858</v>
      </c>
      <c r="C823" s="543" t="s">
        <v>1291</v>
      </c>
      <c r="D823" s="543" t="s">
        <v>2861</v>
      </c>
      <c r="E823" s="6">
        <f>IFERROR(INDEX(ZACATECAS!$I$7:$I$5000, MATCH(F823*1, ZACATECAS!$H$7:$H$5000, 0)), "-")</f>
        <v>13</v>
      </c>
      <c r="F823" s="545">
        <v>32148864</v>
      </c>
      <c r="G823" s="545" t="s">
        <v>1314</v>
      </c>
      <c r="H823" s="543" t="s">
        <v>2860</v>
      </c>
      <c r="I823" s="6" t="str">
        <f>IFERROR(INDEX(ZACATECAS!$N$7:$N$5000, MATCH($F823, ZACATECAS!$H$7:$H$5000, 0)), "-")</f>
        <v>CHAMPION GENTE</v>
      </c>
    </row>
    <row r="824" spans="1:9" x14ac:dyDescent="0.3">
      <c r="A824" s="543" t="s">
        <v>2857</v>
      </c>
      <c r="B824" s="543" t="s">
        <v>2858</v>
      </c>
      <c r="C824" s="543" t="s">
        <v>1291</v>
      </c>
      <c r="D824" s="543" t="s">
        <v>2861</v>
      </c>
      <c r="E824" s="6">
        <f>IFERROR(INDEX(ZACATECAS!$I$7:$I$5000, MATCH(F824*1, ZACATECAS!$H$7:$H$5000, 0)), "-")</f>
        <v>13</v>
      </c>
      <c r="F824" s="545">
        <v>32149074</v>
      </c>
      <c r="G824" s="545" t="s">
        <v>1316</v>
      </c>
      <c r="H824" s="543" t="s">
        <v>2860</v>
      </c>
      <c r="I824" s="6" t="str">
        <f>IFERROR(INDEX(ZACATECAS!$N$7:$N$5000, MATCH($F824, ZACATECAS!$H$7:$H$5000, 0)), "-")</f>
        <v>CHAMPION CALIDAD</v>
      </c>
    </row>
    <row r="825" spans="1:9" x14ac:dyDescent="0.3">
      <c r="A825" s="543" t="s">
        <v>2857</v>
      </c>
      <c r="B825" s="543" t="s">
        <v>2858</v>
      </c>
      <c r="C825" s="543" t="s">
        <v>1291</v>
      </c>
      <c r="D825" s="543" t="s">
        <v>2861</v>
      </c>
      <c r="E825" s="6">
        <f>IFERROR(INDEX(ZACATECAS!$I$7:$I$5000, MATCH(F825*1, ZACATECAS!$H$7:$H$5000, 0)), "-")</f>
        <v>13</v>
      </c>
      <c r="F825" s="545">
        <v>32153534</v>
      </c>
      <c r="G825" s="544" t="s">
        <v>1318</v>
      </c>
      <c r="H825" s="543" t="s">
        <v>2860</v>
      </c>
      <c r="I825" s="6" t="str">
        <f>IFERROR(INDEX(ZACATECAS!$N$7:$N$5000, MATCH($F825, ZACATECAS!$H$7:$H$5000, 0)), "-")</f>
        <v>APOYO MANTENIMIENTO</v>
      </c>
    </row>
    <row r="826" spans="1:9" x14ac:dyDescent="0.3">
      <c r="A826" s="543" t="s">
        <v>2857</v>
      </c>
      <c r="B826" s="543" t="s">
        <v>2858</v>
      </c>
      <c r="C826" s="543" t="s">
        <v>816</v>
      </c>
      <c r="D826" s="543" t="s">
        <v>2861</v>
      </c>
      <c r="E826" s="6" t="str">
        <f>IFERROR(INDEX(ZACATECAS!$I$7:$I$5000, MATCH(F826*1, ZACATECAS!$H$7:$H$5000, 0)), "-")</f>
        <v>-</v>
      </c>
      <c r="F826" s="545">
        <v>32147381</v>
      </c>
      <c r="G826" s="545" t="s">
        <v>817</v>
      </c>
      <c r="H826" s="543" t="s">
        <v>2344</v>
      </c>
      <c r="I826" s="6" t="str">
        <f>IFERROR(INDEX(ZACATECAS!$N$7:$N$5000, MATCH($F826, ZACATECAS!$H$7:$H$5000, 0)), "-")</f>
        <v>-</v>
      </c>
    </row>
    <row r="827" spans="1:9" x14ac:dyDescent="0.3">
      <c r="A827" s="543" t="s">
        <v>2857</v>
      </c>
      <c r="B827" s="543" t="s">
        <v>2858</v>
      </c>
      <c r="C827" s="543" t="s">
        <v>816</v>
      </c>
      <c r="D827" s="543" t="s">
        <v>2861</v>
      </c>
      <c r="E827" s="6">
        <f>IFERROR(INDEX(ZACATECAS!$I$7:$I$5000, MATCH(F827*1, ZACATECAS!$H$7:$H$5000, 0)), "-")</f>
        <v>6</v>
      </c>
      <c r="F827" s="545">
        <v>32044100</v>
      </c>
      <c r="G827" s="546" t="s">
        <v>819</v>
      </c>
      <c r="H827" s="543" t="s">
        <v>2860</v>
      </c>
      <c r="I827" s="6" t="str">
        <f>IFERROR(INDEX(ZACATECAS!$N$7:$N$5000, MATCH($F827, ZACATECAS!$H$7:$H$5000, 0)), "-")</f>
        <v>APOYO DE SEGURIDAD</v>
      </c>
    </row>
    <row r="828" spans="1:9" x14ac:dyDescent="0.3">
      <c r="A828" s="543" t="s">
        <v>2857</v>
      </c>
      <c r="B828" s="543" t="s">
        <v>2858</v>
      </c>
      <c r="C828" s="543" t="s">
        <v>816</v>
      </c>
      <c r="D828" s="543" t="s">
        <v>2861</v>
      </c>
      <c r="E828" s="6">
        <f>IFERROR(INDEX(ZACATECAS!$I$7:$I$5000, MATCH(F828*1, ZACATECAS!$H$7:$H$5000, 0)), "-")</f>
        <v>6</v>
      </c>
      <c r="F828" s="545">
        <v>32044705</v>
      </c>
      <c r="G828" s="546" t="s">
        <v>821</v>
      </c>
      <c r="H828" s="543" t="s">
        <v>2860</v>
      </c>
      <c r="I828" s="6" t="str">
        <f>IFERROR(INDEX(ZACATECAS!$N$7:$N$5000, MATCH($F828, ZACATECAS!$H$7:$H$5000, 0)), "-")</f>
        <v>APOYO MANTENIMIENTO</v>
      </c>
    </row>
    <row r="829" spans="1:9" x14ac:dyDescent="0.3">
      <c r="A829" s="543" t="s">
        <v>2857</v>
      </c>
      <c r="B829" s="543" t="s">
        <v>2858</v>
      </c>
      <c r="C829" s="543" t="s">
        <v>816</v>
      </c>
      <c r="D829" s="543" t="s">
        <v>2861</v>
      </c>
      <c r="E829" s="6">
        <f>IFERROR(INDEX(ZACATECAS!$I$7:$I$5000, MATCH(F829*1, ZACATECAS!$H$7:$H$5000, 0)), "-")</f>
        <v>6</v>
      </c>
      <c r="F829" s="545">
        <v>32045074</v>
      </c>
      <c r="G829" s="546" t="s">
        <v>823</v>
      </c>
      <c r="H829" s="543" t="s">
        <v>2860</v>
      </c>
      <c r="I829" s="6" t="str">
        <f>IFERROR(INDEX(ZACATECAS!$N$7:$N$5000, MATCH($F829, ZACATECAS!$H$7:$H$5000, 0)), "-")</f>
        <v>CHAMPION DE SEGURIDAD</v>
      </c>
    </row>
    <row r="830" spans="1:9" x14ac:dyDescent="0.3">
      <c r="A830" s="543" t="s">
        <v>2857</v>
      </c>
      <c r="B830" s="543" t="s">
        <v>2858</v>
      </c>
      <c r="C830" s="543" t="s">
        <v>816</v>
      </c>
      <c r="D830" s="546" t="s">
        <v>2861</v>
      </c>
      <c r="E830" s="6">
        <f>IFERROR(INDEX(ZACATECAS!$I$7:$I$5000, MATCH(F830*1, ZACATECAS!$H$7:$H$5000, 0)), "-")</f>
        <v>6</v>
      </c>
      <c r="F830" s="544">
        <v>32045584</v>
      </c>
      <c r="G830" s="544" t="s">
        <v>825</v>
      </c>
      <c r="H830" s="543" t="s">
        <v>2860</v>
      </c>
      <c r="I830" s="6" t="str">
        <f>IFERROR(INDEX(ZACATECAS!$N$7:$N$5000, MATCH($F830, ZACATECAS!$H$7:$H$5000, 0)), "-")</f>
        <v>APOYO DE CALIDAD</v>
      </c>
    </row>
    <row r="831" spans="1:9" x14ac:dyDescent="0.3">
      <c r="A831" s="543" t="s">
        <v>2857</v>
      </c>
      <c r="B831" s="543" t="s">
        <v>2858</v>
      </c>
      <c r="C831" s="543" t="s">
        <v>816</v>
      </c>
      <c r="D831" s="546" t="s">
        <v>2861</v>
      </c>
      <c r="E831" s="6">
        <f>IFERROR(INDEX(ZACATECAS!$I$7:$I$5000, MATCH(F831*1, ZACATECAS!$H$7:$H$5000, 0)), "-")</f>
        <v>6</v>
      </c>
      <c r="F831" s="544">
        <v>32046011</v>
      </c>
      <c r="G831" s="544" t="s">
        <v>827</v>
      </c>
      <c r="H831" s="543" t="s">
        <v>2860</v>
      </c>
      <c r="I831" s="6" t="str">
        <f>IFERROR(INDEX(ZACATECAS!$N$7:$N$5000, MATCH($F831, ZACATECAS!$H$7:$H$5000, 0)), "-")</f>
        <v>CHAMPIONS LOGISTICA</v>
      </c>
    </row>
    <row r="832" spans="1:9" x14ac:dyDescent="0.3">
      <c r="A832" s="543" t="s">
        <v>2857</v>
      </c>
      <c r="B832" s="543" t="s">
        <v>2858</v>
      </c>
      <c r="C832" s="543" t="s">
        <v>816</v>
      </c>
      <c r="D832" s="546" t="s">
        <v>2861</v>
      </c>
      <c r="E832" s="6">
        <f>IFERROR(INDEX(ZACATECAS!$I$7:$I$5000, MATCH(F832*1, ZACATECAS!$H$7:$H$5000, 0)), "-")</f>
        <v>6</v>
      </c>
      <c r="F832" s="544">
        <v>32046234</v>
      </c>
      <c r="G832" s="544" t="s">
        <v>829</v>
      </c>
      <c r="H832" s="543" t="s">
        <v>2860</v>
      </c>
      <c r="I832" s="6" t="str">
        <f>IFERROR(INDEX(ZACATECAS!$N$7:$N$5000, MATCH($F832, ZACATECAS!$H$7:$H$5000, 0)), "-")</f>
        <v>CHAMPION MANTENIMIENTO</v>
      </c>
    </row>
    <row r="833" spans="1:9" x14ac:dyDescent="0.3">
      <c r="A833" s="543" t="s">
        <v>2857</v>
      </c>
      <c r="B833" s="543" t="s">
        <v>2858</v>
      </c>
      <c r="C833" s="543" t="s">
        <v>816</v>
      </c>
      <c r="D833" s="546" t="s">
        <v>2861</v>
      </c>
      <c r="E833" s="6">
        <f>IFERROR(INDEX(ZACATECAS!$I$7:$I$5000, MATCH(F833*1, ZACATECAS!$H$7:$H$5000, 0)), "-")</f>
        <v>6</v>
      </c>
      <c r="F833" s="544">
        <v>32046441</v>
      </c>
      <c r="G833" s="544" t="s">
        <v>831</v>
      </c>
      <c r="H833" s="543" t="s">
        <v>2860</v>
      </c>
      <c r="I833" s="6" t="str">
        <f>IFERROR(INDEX(ZACATECAS!$N$7:$N$5000, MATCH($F833, ZACATECAS!$H$7:$H$5000, 0)), "-")</f>
        <v>APOYO LOGISTICA</v>
      </c>
    </row>
    <row r="834" spans="1:9" x14ac:dyDescent="0.3">
      <c r="A834" s="543" t="s">
        <v>2857</v>
      </c>
      <c r="B834" s="543" t="s">
        <v>2858</v>
      </c>
      <c r="C834" s="543" t="s">
        <v>816</v>
      </c>
      <c r="D834" s="546" t="s">
        <v>2861</v>
      </c>
      <c r="E834" s="6">
        <f>IFERROR(INDEX(ZACATECAS!$I$7:$I$5000, MATCH(F834*1, ZACATECAS!$H$7:$H$5000, 0)), "-")</f>
        <v>6</v>
      </c>
      <c r="F834" s="544">
        <v>32067362</v>
      </c>
      <c r="G834" s="544" t="s">
        <v>833</v>
      </c>
      <c r="H834" s="543" t="s">
        <v>2860</v>
      </c>
      <c r="I834" s="6" t="str">
        <f>IFERROR(INDEX(ZACATECAS!$N$7:$N$5000, MATCH($F834, ZACATECAS!$H$7:$H$5000, 0)), "-")</f>
        <v>APOYO GENTE</v>
      </c>
    </row>
    <row r="835" spans="1:9" x14ac:dyDescent="0.3">
      <c r="A835" s="543" t="s">
        <v>2857</v>
      </c>
      <c r="B835" s="543" t="s">
        <v>2858</v>
      </c>
      <c r="C835" s="543" t="s">
        <v>816</v>
      </c>
      <c r="D835" s="546" t="s">
        <v>2861</v>
      </c>
      <c r="E835" s="6">
        <f>IFERROR(INDEX(ZACATECAS!$I$7:$I$5000, MATCH(F835*1, ZACATECAS!$H$7:$H$5000, 0)), "-")</f>
        <v>6</v>
      </c>
      <c r="F835" s="544">
        <v>32110718</v>
      </c>
      <c r="G835" s="544" t="s">
        <v>835</v>
      </c>
      <c r="H835" s="543" t="s">
        <v>2860</v>
      </c>
      <c r="I835" s="6" t="str">
        <f>IFERROR(INDEX(ZACATECAS!$N$7:$N$5000, MATCH($F835, ZACATECAS!$H$7:$H$5000, 0)), "-")</f>
        <v>CHAMPION DE CALIDAD</v>
      </c>
    </row>
    <row r="836" spans="1:9" x14ac:dyDescent="0.3">
      <c r="A836" s="543" t="s">
        <v>2857</v>
      </c>
      <c r="B836" s="543" t="s">
        <v>2858</v>
      </c>
      <c r="C836" s="543" t="s">
        <v>816</v>
      </c>
      <c r="D836" s="546" t="s">
        <v>2861</v>
      </c>
      <c r="E836" s="6">
        <f>IFERROR(INDEX(ZACATECAS!$I$7:$I$5000, MATCH(F836*1, ZACATECAS!$H$7:$H$5000, 0)), "-")</f>
        <v>6</v>
      </c>
      <c r="F836" s="544">
        <v>32143044</v>
      </c>
      <c r="G836" s="544" t="s">
        <v>837</v>
      </c>
      <c r="H836" s="543" t="s">
        <v>2860</v>
      </c>
      <c r="I836" s="6" t="str">
        <f>IFERROR(INDEX(ZACATECAS!$N$7:$N$5000, MATCH($F836, ZACATECAS!$H$7:$H$5000, 0)), "-")</f>
        <v>APOYO CALIDAD</v>
      </c>
    </row>
    <row r="837" spans="1:9" x14ac:dyDescent="0.3">
      <c r="A837" s="543" t="s">
        <v>2857</v>
      </c>
      <c r="B837" s="543" t="s">
        <v>2858</v>
      </c>
      <c r="C837" s="543" t="s">
        <v>816</v>
      </c>
      <c r="D837" s="546" t="s">
        <v>2861</v>
      </c>
      <c r="E837" s="6">
        <f>IFERROR(INDEX(ZACATECAS!$I$7:$I$5000, MATCH(F837*1, ZACATECAS!$H$7:$H$5000, 0)), "-")</f>
        <v>6</v>
      </c>
      <c r="F837" s="544">
        <v>32143273</v>
      </c>
      <c r="G837" s="544" t="s">
        <v>839</v>
      </c>
      <c r="H837" s="543" t="s">
        <v>2860</v>
      </c>
      <c r="I837" s="6" t="str">
        <f>IFERROR(INDEX(ZACATECAS!$N$7:$N$5000, MATCH($F837, ZACATECAS!$H$7:$H$5000, 0)), "-")</f>
        <v>CHAMPION GESTION</v>
      </c>
    </row>
    <row r="838" spans="1:9" x14ac:dyDescent="0.3">
      <c r="A838" s="543" t="s">
        <v>2857</v>
      </c>
      <c r="B838" s="543" t="s">
        <v>2858</v>
      </c>
      <c r="C838" s="543" t="s">
        <v>816</v>
      </c>
      <c r="D838" s="546" t="s">
        <v>2861</v>
      </c>
      <c r="E838" s="6">
        <f>IFERROR(INDEX(ZACATECAS!$I$7:$I$5000, MATCH(F838*1, ZACATECAS!$H$7:$H$5000, 0)), "-")</f>
        <v>6</v>
      </c>
      <c r="F838" s="544">
        <v>32154115</v>
      </c>
      <c r="G838" s="544" t="s">
        <v>841</v>
      </c>
      <c r="H838" s="543" t="s">
        <v>2860</v>
      </c>
      <c r="I838" s="6" t="str">
        <f>IFERROR(INDEX(ZACATECAS!$N$7:$N$5000, MATCH($F838, ZACATECAS!$H$7:$H$5000, 0)), "-")</f>
        <v>CHAMPION AMBIENTAL</v>
      </c>
    </row>
    <row r="839" spans="1:9" x14ac:dyDescent="0.3">
      <c r="A839" s="543" t="s">
        <v>2857</v>
      </c>
      <c r="B839" s="543" t="s">
        <v>2858</v>
      </c>
      <c r="C839" s="543" t="s">
        <v>816</v>
      </c>
      <c r="D839" s="546" t="s">
        <v>2861</v>
      </c>
      <c r="E839" s="6">
        <f>IFERROR(INDEX(ZACATECAS!$I$7:$I$5000, MATCH(F839*1, ZACATECAS!$H$7:$H$5000, 0)), "-")</f>
        <v>6</v>
      </c>
      <c r="F839" s="544">
        <v>32171437</v>
      </c>
      <c r="G839" s="544" t="s">
        <v>842</v>
      </c>
      <c r="H839" s="543" t="s">
        <v>2860</v>
      </c>
      <c r="I839" s="6" t="str">
        <f>IFERROR(INDEX(ZACATECAS!$N$7:$N$5000, MATCH($F839, ZACATECAS!$H$7:$H$5000, 0)), "-")</f>
        <v>APOYO GESTION</v>
      </c>
    </row>
    <row r="840" spans="1:9" x14ac:dyDescent="0.3">
      <c r="A840" s="543" t="s">
        <v>2857</v>
      </c>
      <c r="B840" s="543" t="s">
        <v>2858</v>
      </c>
      <c r="C840" s="543" t="s">
        <v>816</v>
      </c>
      <c r="D840" s="546" t="s">
        <v>2861</v>
      </c>
      <c r="E840" s="6">
        <f>IFERROR(INDEX(ZACATECAS!$I$7:$I$5000, MATCH(F840*1, ZACATECAS!$H$7:$H$5000, 0)), "-")</f>
        <v>6</v>
      </c>
      <c r="F840" s="544">
        <v>32171438</v>
      </c>
      <c r="G840" s="544" t="s">
        <v>844</v>
      </c>
      <c r="H840" s="543" t="s">
        <v>2860</v>
      </c>
      <c r="I840" s="6" t="str">
        <f>IFERROR(INDEX(ZACATECAS!$N$7:$N$5000, MATCH($F840, ZACATECAS!$H$7:$H$5000, 0)), "-")</f>
        <v>APOYO AMBIENTAL</v>
      </c>
    </row>
    <row r="841" spans="1:9" x14ac:dyDescent="0.3">
      <c r="A841" s="543" t="s">
        <v>2857</v>
      </c>
      <c r="B841" s="543" t="s">
        <v>2858</v>
      </c>
      <c r="C841" s="543" t="s">
        <v>816</v>
      </c>
      <c r="D841" s="546" t="s">
        <v>2861</v>
      </c>
      <c r="E841" s="6">
        <f>IFERROR(INDEX(ZACATECAS!$I$7:$I$5000, MATCH(F841*1, ZACATECAS!$H$7:$H$5000, 0)), "-")</f>
        <v>6</v>
      </c>
      <c r="F841" s="544">
        <v>32202291</v>
      </c>
      <c r="G841" s="544" t="s">
        <v>846</v>
      </c>
      <c r="H841" s="543" t="s">
        <v>2860</v>
      </c>
      <c r="I841" s="6" t="str">
        <f>IFERROR(INDEX(ZACATECAS!$N$7:$N$5000, MATCH($F841, ZACATECAS!$H$7:$H$5000, 0)), "-")</f>
        <v>APOYO GENTE</v>
      </c>
    </row>
    <row r="842" spans="1:9" x14ac:dyDescent="0.3">
      <c r="A842" s="543" t="s">
        <v>2857</v>
      </c>
      <c r="B842" s="543" t="s">
        <v>2858</v>
      </c>
      <c r="C842" s="543" t="s">
        <v>2264</v>
      </c>
      <c r="D842" s="546" t="s">
        <v>2859</v>
      </c>
      <c r="E842" s="6" t="str">
        <f>IFERROR(INDEX(ZACATECAS!$I$7:$I$5000, MATCH(F842*1, ZACATECAS!$H$7:$H$5000, 0)), "-")</f>
        <v>-</v>
      </c>
      <c r="F842" s="544">
        <v>32151318</v>
      </c>
      <c r="G842" s="544" t="s">
        <v>2265</v>
      </c>
      <c r="H842" s="543" t="s">
        <v>2344</v>
      </c>
      <c r="I842" s="6" t="str">
        <f>IFERROR(INDEX(ZACATECAS!$N$7:$N$5000, MATCH($F842, ZACATECAS!$H$7:$H$5000, 0)), "-")</f>
        <v>-</v>
      </c>
    </row>
    <row r="843" spans="1:9" x14ac:dyDescent="0.3">
      <c r="A843" s="543" t="s">
        <v>2857</v>
      </c>
      <c r="B843" s="543" t="s">
        <v>2858</v>
      </c>
      <c r="C843" s="543" t="s">
        <v>2264</v>
      </c>
      <c r="D843" s="546" t="s">
        <v>2859</v>
      </c>
      <c r="E843" s="6" t="str">
        <f>IFERROR(INDEX(ZACATECAS!$I$7:$I$5000, MATCH(F843*1, ZACATECAS!$H$7:$H$5000, 0)), "-")</f>
        <v>ENV 3</v>
      </c>
      <c r="F843" s="546">
        <v>32045518</v>
      </c>
      <c r="G843" s="546" t="s">
        <v>2266</v>
      </c>
      <c r="H843" s="543" t="s">
        <v>2860</v>
      </c>
      <c r="I843" s="6" t="str">
        <f>IFERROR(INDEX(ZACATECAS!$N$7:$N$5000, MATCH($F843, ZACATECAS!$H$7:$H$5000, 0)), "-")</f>
        <v>SEGURIDAD</v>
      </c>
    </row>
    <row r="844" spans="1:9" x14ac:dyDescent="0.3">
      <c r="A844" s="543" t="s">
        <v>2857</v>
      </c>
      <c r="B844" s="543" t="s">
        <v>2858</v>
      </c>
      <c r="C844" s="543" t="s">
        <v>2264</v>
      </c>
      <c r="D844" s="546" t="s">
        <v>2859</v>
      </c>
      <c r="E844" s="6" t="str">
        <f>IFERROR(INDEX(ZACATECAS!$I$7:$I$5000, MATCH(F844*1, ZACATECAS!$H$7:$H$5000, 0)), "-")</f>
        <v>ENV 3</v>
      </c>
      <c r="F844" s="544">
        <v>32045905</v>
      </c>
      <c r="G844" s="544" t="s">
        <v>2267</v>
      </c>
      <c r="H844" s="543" t="s">
        <v>2860</v>
      </c>
      <c r="I844" s="6" t="str">
        <f>IFERROR(INDEX(ZACATECAS!$N$7:$N$5000, MATCH($F844, ZACATECAS!$H$7:$H$5000, 0)), "-")</f>
        <v>GESTION</v>
      </c>
    </row>
    <row r="845" spans="1:9" x14ac:dyDescent="0.3">
      <c r="A845" s="543" t="s">
        <v>2857</v>
      </c>
      <c r="B845" s="543" t="s">
        <v>2858</v>
      </c>
      <c r="C845" s="543" t="s">
        <v>2264</v>
      </c>
      <c r="D845" s="546" t="s">
        <v>2859</v>
      </c>
      <c r="E845" s="6" t="str">
        <f>IFERROR(INDEX(ZACATECAS!$I$7:$I$5000, MATCH(F845*1, ZACATECAS!$H$7:$H$5000, 0)), "-")</f>
        <v>ENV 3</v>
      </c>
      <c r="F845" s="544">
        <v>32044988</v>
      </c>
      <c r="G845" s="544" t="s">
        <v>2268</v>
      </c>
      <c r="H845" s="543" t="s">
        <v>2860</v>
      </c>
      <c r="I845" s="6" t="str">
        <f>IFERROR(INDEX(ZACATECAS!$N$7:$N$5000, MATCH($F845, ZACATECAS!$H$7:$H$5000, 0)), "-")</f>
        <v>MANTENIMIENTO</v>
      </c>
    </row>
    <row r="846" spans="1:9" x14ac:dyDescent="0.3">
      <c r="A846" s="543" t="s">
        <v>2857</v>
      </c>
      <c r="B846" s="543" t="s">
        <v>2858</v>
      </c>
      <c r="C846" s="543" t="s">
        <v>2264</v>
      </c>
      <c r="D846" s="546" t="s">
        <v>2859</v>
      </c>
      <c r="E846" s="6" t="str">
        <f>IFERROR(INDEX(ZACATECAS!$I$7:$I$5000, MATCH(F846*1, ZACATECAS!$H$7:$H$5000, 0)), "-")</f>
        <v>ENV 3</v>
      </c>
      <c r="F846" s="544">
        <v>32044297</v>
      </c>
      <c r="G846" s="544" t="s">
        <v>2269</v>
      </c>
      <c r="H846" s="543" t="s">
        <v>2860</v>
      </c>
      <c r="I846" s="6" t="str">
        <f>IFERROR(INDEX(ZACATECAS!$N$7:$N$5000, MATCH($F846, ZACATECAS!$H$7:$H$5000, 0)), "-")</f>
        <v>GENTE</v>
      </c>
    </row>
    <row r="847" spans="1:9" x14ac:dyDescent="0.3">
      <c r="A847" s="543" t="s">
        <v>2857</v>
      </c>
      <c r="B847" s="543" t="s">
        <v>2858</v>
      </c>
      <c r="C847" s="543" t="s">
        <v>2264</v>
      </c>
      <c r="D847" s="546" t="s">
        <v>2859</v>
      </c>
      <c r="E847" s="6" t="str">
        <f>IFERROR(INDEX(ZACATECAS!$I$7:$I$5000, MATCH(F847*1, ZACATECAS!$H$7:$H$5000, 0)), "-")</f>
        <v>ENV 3</v>
      </c>
      <c r="F847" s="544">
        <v>32072230</v>
      </c>
      <c r="G847" s="544" t="s">
        <v>2270</v>
      </c>
      <c r="H847" s="543" t="s">
        <v>2860</v>
      </c>
      <c r="I847" s="6" t="str">
        <f>IFERROR(INDEX(ZACATECAS!$N$7:$N$5000, MATCH($F847, ZACATECAS!$H$7:$H$5000, 0)), "-")</f>
        <v>MEDIO AMBIENTE</v>
      </c>
    </row>
    <row r="848" spans="1:9" x14ac:dyDescent="0.3">
      <c r="A848" s="543" t="s">
        <v>2857</v>
      </c>
      <c r="B848" s="543" t="s">
        <v>2858</v>
      </c>
      <c r="C848" s="543" t="s">
        <v>2264</v>
      </c>
      <c r="D848" s="546" t="s">
        <v>2859</v>
      </c>
      <c r="E848" s="6" t="str">
        <f>IFERROR(INDEX(ZACATECAS!$I$7:$I$5000, MATCH(F848*1, ZACATECAS!$H$7:$H$5000, 0)), "-")</f>
        <v>ENV 3</v>
      </c>
      <c r="F848" s="544">
        <v>32044401</v>
      </c>
      <c r="G848" s="544" t="s">
        <v>2271</v>
      </c>
      <c r="H848" s="543" t="s">
        <v>2860</v>
      </c>
      <c r="I848" s="6" t="str">
        <f>IFERROR(INDEX(ZACATECAS!$N$7:$N$5000, MATCH($F848, ZACATECAS!$H$7:$H$5000, 0)), "-")</f>
        <v>CALIDAD</v>
      </c>
    </row>
    <row r="849" spans="1:9" x14ac:dyDescent="0.3">
      <c r="A849" s="543" t="s">
        <v>2857</v>
      </c>
      <c r="B849" s="543" t="s">
        <v>2858</v>
      </c>
      <c r="C849" s="543" t="s">
        <v>2264</v>
      </c>
      <c r="D849" s="543" t="s">
        <v>2859</v>
      </c>
      <c r="E849" s="6" t="str">
        <f>IFERROR(INDEX(ZACATECAS!$I$7:$I$5000, MATCH(F849*1, ZACATECAS!$H$7:$H$5000, 0)), "-")</f>
        <v>ENV 3</v>
      </c>
      <c r="F849" s="546">
        <v>32137944</v>
      </c>
      <c r="G849" s="546" t="s">
        <v>2272</v>
      </c>
      <c r="H849" s="543" t="s">
        <v>2860</v>
      </c>
      <c r="I849" s="6" t="str">
        <f>IFERROR(INDEX(ZACATECAS!$N$7:$N$5000, MATCH($F849, ZACATECAS!$H$7:$H$5000, 0)), "-")</f>
        <v>APOYO CALIDAD</v>
      </c>
    </row>
    <row r="850" spans="1:9" x14ac:dyDescent="0.3">
      <c r="A850" s="543" t="s">
        <v>2857</v>
      </c>
      <c r="B850" s="543" t="s">
        <v>2858</v>
      </c>
      <c r="C850" s="543" t="s">
        <v>1503</v>
      </c>
      <c r="D850" s="543" t="s">
        <v>2861</v>
      </c>
      <c r="E850" s="6" t="str">
        <f>IFERROR(INDEX(ZACATECAS!$I$7:$I$5000, MATCH(F850*1, ZACATECAS!$H$7:$H$5000, 0)), "-")</f>
        <v>-</v>
      </c>
      <c r="F850" s="544">
        <v>32223878</v>
      </c>
      <c r="G850" s="544" t="s">
        <v>1504</v>
      </c>
      <c r="H850" s="543" t="s">
        <v>2344</v>
      </c>
      <c r="I850" s="6" t="str">
        <f>IFERROR(INDEX(ZACATECAS!$N$7:$N$5000, MATCH($F850, ZACATECAS!$H$7:$H$5000, 0)), "-")</f>
        <v>-</v>
      </c>
    </row>
    <row r="851" spans="1:9" x14ac:dyDescent="0.3">
      <c r="A851" s="543" t="s">
        <v>2857</v>
      </c>
      <c r="B851" s="543" t="s">
        <v>2858</v>
      </c>
      <c r="C851" s="543" t="s">
        <v>1503</v>
      </c>
      <c r="D851" s="543" t="s">
        <v>2861</v>
      </c>
      <c r="E851" s="6" t="str">
        <f>IFERROR(INDEX(ZACATECAS!$I$7:$I$5000, MATCH(F851*1, ZACATECAS!$H$7:$H$5000, 0)), "-")</f>
        <v>MIXTO 5-7</v>
      </c>
      <c r="F851" s="544">
        <v>32044082</v>
      </c>
      <c r="G851" s="544" t="s">
        <v>1506</v>
      </c>
      <c r="H851" s="543" t="s">
        <v>2860</v>
      </c>
      <c r="I851" s="6" t="str">
        <f>IFERROR(INDEX(ZACATECAS!$N$7:$N$5000, MATCH($F851, ZACATECAS!$H$7:$H$5000, 0)), "-")</f>
        <v>CHAMPION GESTION</v>
      </c>
    </row>
    <row r="852" spans="1:9" x14ac:dyDescent="0.3">
      <c r="A852" s="543" t="s">
        <v>2857</v>
      </c>
      <c r="B852" s="543" t="s">
        <v>2858</v>
      </c>
      <c r="C852" s="543" t="s">
        <v>1503</v>
      </c>
      <c r="D852" s="543" t="s">
        <v>2861</v>
      </c>
      <c r="E852" s="6" t="str">
        <f>IFERROR(INDEX(ZACATECAS!$I$7:$I$5000, MATCH(F852*1, ZACATECAS!$H$7:$H$5000, 0)), "-")</f>
        <v>MIXTO 5-7</v>
      </c>
      <c r="F852" s="544">
        <v>32044094</v>
      </c>
      <c r="G852" s="544" t="s">
        <v>1508</v>
      </c>
      <c r="H852" s="543" t="s">
        <v>2860</v>
      </c>
      <c r="I852" s="6" t="str">
        <f>IFERROR(INDEX(ZACATECAS!$N$7:$N$5000, MATCH($F852, ZACATECAS!$H$7:$H$5000, 0)), "-")</f>
        <v>APOYO MANTENIMIENTO</v>
      </c>
    </row>
    <row r="853" spans="1:9" x14ac:dyDescent="0.3">
      <c r="A853" s="543" t="s">
        <v>2857</v>
      </c>
      <c r="B853" s="543" t="s">
        <v>2858</v>
      </c>
      <c r="C853" s="543" t="s">
        <v>1503</v>
      </c>
      <c r="D853" s="543" t="s">
        <v>2861</v>
      </c>
      <c r="E853" s="6" t="str">
        <f>IFERROR(INDEX(ZACATECAS!$I$7:$I$5000, MATCH(F853*1, ZACATECAS!$H$7:$H$5000, 0)), "-")</f>
        <v>MIXTO 5-7</v>
      </c>
      <c r="F853" s="544">
        <v>32044873</v>
      </c>
      <c r="G853" s="544" t="s">
        <v>1510</v>
      </c>
      <c r="H853" s="543" t="s">
        <v>2860</v>
      </c>
      <c r="I853" s="6" t="str">
        <f>IFERROR(INDEX(ZACATECAS!$N$7:$N$5000, MATCH($F853, ZACATECAS!$H$7:$H$5000, 0)), "-")</f>
        <v>APOYO GENTE</v>
      </c>
    </row>
    <row r="854" spans="1:9" x14ac:dyDescent="0.3">
      <c r="A854" s="543" t="s">
        <v>2857</v>
      </c>
      <c r="B854" s="543" t="s">
        <v>2858</v>
      </c>
      <c r="C854" s="543" t="s">
        <v>1503</v>
      </c>
      <c r="D854" s="543" t="s">
        <v>2861</v>
      </c>
      <c r="E854" s="6" t="str">
        <f>IFERROR(INDEX(ZACATECAS!$I$7:$I$5000, MATCH(F854*1, ZACATECAS!$H$7:$H$5000, 0)), "-")</f>
        <v>MIXTO 5-7</v>
      </c>
      <c r="F854" s="544">
        <v>32046248</v>
      </c>
      <c r="G854" s="544" t="s">
        <v>1512</v>
      </c>
      <c r="H854" s="543" t="s">
        <v>2860</v>
      </c>
      <c r="I854" s="6" t="str">
        <f>IFERROR(INDEX(ZACATECAS!$N$7:$N$5000, MATCH($F854, ZACATECAS!$H$7:$H$5000, 0)), "-")</f>
        <v>CHAMPION LOGISTICA</v>
      </c>
    </row>
    <row r="855" spans="1:9" x14ac:dyDescent="0.3">
      <c r="A855" s="543" t="s">
        <v>2857</v>
      </c>
      <c r="B855" s="543" t="s">
        <v>2858</v>
      </c>
      <c r="C855" s="543" t="s">
        <v>1503</v>
      </c>
      <c r="D855" s="543" t="s">
        <v>2861</v>
      </c>
      <c r="E855" s="6" t="str">
        <f>IFERROR(INDEX(ZACATECAS!$I$7:$I$5000, MATCH(F855*1, ZACATECAS!$H$7:$H$5000, 0)), "-")</f>
        <v>MIXTO 5-7</v>
      </c>
      <c r="F855" s="544">
        <v>32046391</v>
      </c>
      <c r="G855" s="544" t="s">
        <v>1513</v>
      </c>
      <c r="H855" s="543" t="s">
        <v>2860</v>
      </c>
      <c r="I855" s="6" t="str">
        <f>IFERROR(INDEX(ZACATECAS!$N$7:$N$5000, MATCH($F855, ZACATECAS!$H$7:$H$5000, 0)), "-")</f>
        <v>CHAMPION AMBIENTAL</v>
      </c>
    </row>
    <row r="856" spans="1:9" x14ac:dyDescent="0.3">
      <c r="A856" s="543" t="s">
        <v>2857</v>
      </c>
      <c r="B856" s="543" t="s">
        <v>2858</v>
      </c>
      <c r="C856" s="543" t="s">
        <v>1503</v>
      </c>
      <c r="D856" s="543" t="s">
        <v>2861</v>
      </c>
      <c r="E856" s="6" t="str">
        <f>IFERROR(INDEX(ZACATECAS!$I$7:$I$5000, MATCH(F856*1, ZACATECAS!$H$7:$H$5000, 0)), "-")</f>
        <v>MIXTO 5-7</v>
      </c>
      <c r="F856" s="544">
        <v>32046570</v>
      </c>
      <c r="G856" s="544" t="s">
        <v>1515</v>
      </c>
      <c r="H856" s="543" t="s">
        <v>2860</v>
      </c>
      <c r="I856" s="6" t="str">
        <f>IFERROR(INDEX(ZACATECAS!$N$7:$N$5000, MATCH($F856, ZACATECAS!$H$7:$H$5000, 0)), "-")</f>
        <v>CHAMPION MANTENIMIENTO</v>
      </c>
    </row>
    <row r="857" spans="1:9" x14ac:dyDescent="0.3">
      <c r="A857" s="543" t="s">
        <v>2857</v>
      </c>
      <c r="B857" s="543" t="s">
        <v>2858</v>
      </c>
      <c r="C857" s="543" t="s">
        <v>1503</v>
      </c>
      <c r="D857" s="543" t="s">
        <v>2861</v>
      </c>
      <c r="E857" s="6" t="str">
        <f>IFERROR(INDEX(ZACATECAS!$I$7:$I$5000, MATCH(F857*1, ZACATECAS!$H$7:$H$5000, 0)), "-")</f>
        <v>MIXTO 5-7</v>
      </c>
      <c r="F857" s="544">
        <v>32132050</v>
      </c>
      <c r="G857" s="544" t="s">
        <v>1517</v>
      </c>
      <c r="H857" s="543" t="s">
        <v>2860</v>
      </c>
      <c r="I857" s="6" t="str">
        <f>IFERROR(INDEX(ZACATECAS!$N$7:$N$5000, MATCH($F857, ZACATECAS!$H$7:$H$5000, 0)), "-")</f>
        <v>CHAMPIONS GENTE</v>
      </c>
    </row>
    <row r="858" spans="1:9" x14ac:dyDescent="0.3">
      <c r="A858" s="543" t="s">
        <v>2857</v>
      </c>
      <c r="B858" s="543" t="s">
        <v>2858</v>
      </c>
      <c r="C858" s="543" t="s">
        <v>1503</v>
      </c>
      <c r="D858" s="543" t="s">
        <v>2861</v>
      </c>
      <c r="E858" s="6" t="str">
        <f>IFERROR(INDEX(ZACATECAS!$I$7:$I$5000, MATCH(F858*1, ZACATECAS!$H$7:$H$5000, 0)), "-")</f>
        <v>MIXTO 5-7</v>
      </c>
      <c r="F858" s="544">
        <v>32132238</v>
      </c>
      <c r="G858" s="544" t="s">
        <v>1519</v>
      </c>
      <c r="H858" s="543" t="s">
        <v>2860</v>
      </c>
      <c r="I858" s="6" t="str">
        <f>IFERROR(INDEX(ZACATECAS!$N$7:$N$5000, MATCH($F858, ZACATECAS!$H$7:$H$5000, 0)), "-")</f>
        <v>CHAMPION DE SEGURIDAD</v>
      </c>
    </row>
    <row r="859" spans="1:9" x14ac:dyDescent="0.3">
      <c r="A859" s="543" t="s">
        <v>2857</v>
      </c>
      <c r="B859" s="543" t="s">
        <v>2858</v>
      </c>
      <c r="C859" s="543" t="s">
        <v>1503</v>
      </c>
      <c r="D859" s="543" t="s">
        <v>2861</v>
      </c>
      <c r="E859" s="6" t="str">
        <f>IFERROR(INDEX(ZACATECAS!$I$7:$I$5000, MATCH(F859*1, ZACATECAS!$H$7:$H$5000, 0)), "-")</f>
        <v>MIXTO 5-7</v>
      </c>
      <c r="F859" s="546">
        <v>32139710</v>
      </c>
      <c r="G859" s="546" t="s">
        <v>1521</v>
      </c>
      <c r="H859" s="543" t="s">
        <v>2860</v>
      </c>
      <c r="I859" s="6" t="str">
        <f>IFERROR(INDEX(ZACATECAS!$N$7:$N$5000, MATCH($F859, ZACATECAS!$H$7:$H$5000, 0)), "-")</f>
        <v xml:space="preserve">CHAMPION DE GENTE </v>
      </c>
    </row>
    <row r="860" spans="1:9" x14ac:dyDescent="0.3">
      <c r="A860" s="543" t="s">
        <v>2857</v>
      </c>
      <c r="B860" s="543" t="s">
        <v>2858</v>
      </c>
      <c r="C860" s="543" t="s">
        <v>1503</v>
      </c>
      <c r="D860" s="543" t="s">
        <v>2861</v>
      </c>
      <c r="E860" s="6" t="str">
        <f>IFERROR(INDEX(ZACATECAS!$I$7:$I$5000, MATCH(F860*1, ZACATECAS!$H$7:$H$5000, 0)), "-")</f>
        <v>MIXTO 5-7</v>
      </c>
      <c r="F860" s="546">
        <v>32149250</v>
      </c>
      <c r="G860" s="546" t="s">
        <v>1523</v>
      </c>
      <c r="H860" s="543" t="s">
        <v>2860</v>
      </c>
      <c r="I860" s="6" t="str">
        <f>IFERROR(INDEX(ZACATECAS!$N$7:$N$5000, MATCH($F860, ZACATECAS!$H$7:$H$5000, 0)), "-")</f>
        <v>CHAMPION DE CALIDAD</v>
      </c>
    </row>
    <row r="861" spans="1:9" x14ac:dyDescent="0.3">
      <c r="A861" s="543" t="s">
        <v>2857</v>
      </c>
      <c r="B861" s="543" t="s">
        <v>2858</v>
      </c>
      <c r="C861" s="543" t="s">
        <v>1503</v>
      </c>
      <c r="D861" s="543" t="s">
        <v>2861</v>
      </c>
      <c r="E861" s="6" t="str">
        <f>IFERROR(INDEX(ZACATECAS!$I$7:$I$5000, MATCH(F861*1, ZACATECAS!$H$7:$H$5000, 0)), "-")</f>
        <v>MIXTO 5-7</v>
      </c>
      <c r="F861" s="546">
        <v>32149861</v>
      </c>
      <c r="G861" s="546" t="s">
        <v>1525</v>
      </c>
      <c r="H861" s="543" t="s">
        <v>2860</v>
      </c>
      <c r="I861" s="6" t="str">
        <f>IFERROR(INDEX(ZACATECAS!$N$7:$N$5000, MATCH($F861, ZACATECAS!$H$7:$H$5000, 0)), "-")</f>
        <v>APOYO CHAMPION GESTION</v>
      </c>
    </row>
    <row r="862" spans="1:9" x14ac:dyDescent="0.3">
      <c r="A862" s="543" t="s">
        <v>2857</v>
      </c>
      <c r="B862" s="543" t="s">
        <v>2858</v>
      </c>
      <c r="C862" s="543" t="s">
        <v>1503</v>
      </c>
      <c r="D862" s="543" t="s">
        <v>2861</v>
      </c>
      <c r="E862" s="6" t="str">
        <f>IFERROR(INDEX(ZACATECAS!$I$7:$I$5000, MATCH(F862*1, ZACATECAS!$H$7:$H$5000, 0)), "-")</f>
        <v>MIXTO 5-7</v>
      </c>
      <c r="F862" s="546">
        <v>32197895</v>
      </c>
      <c r="G862" s="546" t="s">
        <v>1527</v>
      </c>
      <c r="H862" s="543" t="s">
        <v>2860</v>
      </c>
      <c r="I862" s="6" t="str">
        <f>IFERROR(INDEX(ZACATECAS!$N$7:$N$5000, MATCH($F862, ZACATECAS!$H$7:$H$5000, 0)), "-")</f>
        <v>APOYO DE SEGURIDAD</v>
      </c>
    </row>
    <row r="863" spans="1:9" x14ac:dyDescent="0.3">
      <c r="A863" s="543" t="s">
        <v>2857</v>
      </c>
      <c r="B863" s="543" t="s">
        <v>2858</v>
      </c>
      <c r="C863" s="543" t="s">
        <v>397</v>
      </c>
      <c r="D863" s="543" t="s">
        <v>2861</v>
      </c>
      <c r="E863" s="6" t="str">
        <f>IFERROR(INDEX(ZACATECAS!$I$7:$I$5000, MATCH(F863*1, ZACATECAS!$H$7:$H$5000, 0)), "-")</f>
        <v>-</v>
      </c>
      <c r="F863" s="546">
        <v>32146001</v>
      </c>
      <c r="G863" s="546" t="s">
        <v>398</v>
      </c>
      <c r="H863" s="543" t="s">
        <v>2344</v>
      </c>
      <c r="I863" s="6" t="str">
        <f>IFERROR(INDEX(ZACATECAS!$N$7:$N$5000, MATCH($F863, ZACATECAS!$H$7:$H$5000, 0)), "-")</f>
        <v>-</v>
      </c>
    </row>
    <row r="864" spans="1:9" x14ac:dyDescent="0.3">
      <c r="A864" s="543" t="s">
        <v>2857</v>
      </c>
      <c r="B864" s="543" t="s">
        <v>2858</v>
      </c>
      <c r="C864" s="543" t="s">
        <v>397</v>
      </c>
      <c r="D864" s="543" t="s">
        <v>2861</v>
      </c>
      <c r="E864" s="6">
        <f>IFERROR(INDEX(ZACATECAS!$I$7:$I$5000, MATCH(F864*1, ZACATECAS!$H$7:$H$5000, 0)), "-")</f>
        <v>1</v>
      </c>
      <c r="F864" s="546">
        <v>32046520</v>
      </c>
      <c r="G864" s="546" t="s">
        <v>400</v>
      </c>
      <c r="H864" s="543" t="s">
        <v>2860</v>
      </c>
      <c r="I864" s="6" t="str">
        <f>IFERROR(INDEX(ZACATECAS!$N$7:$N$5000, MATCH($F864, ZACATECAS!$H$7:$H$5000, 0)), "-")</f>
        <v>Champion Ambiental</v>
      </c>
    </row>
    <row r="865" spans="1:9" x14ac:dyDescent="0.3">
      <c r="A865" s="543" t="s">
        <v>2857</v>
      </c>
      <c r="B865" s="543" t="s">
        <v>2858</v>
      </c>
      <c r="C865" s="543" t="s">
        <v>397</v>
      </c>
      <c r="D865" s="543" t="s">
        <v>2861</v>
      </c>
      <c r="E865" s="6">
        <f>IFERROR(INDEX(ZACATECAS!$I$7:$I$5000, MATCH(F865*1, ZACATECAS!$H$7:$H$5000, 0)), "-")</f>
        <v>1</v>
      </c>
      <c r="F865" s="546">
        <v>32044863</v>
      </c>
      <c r="G865" s="546" t="s">
        <v>402</v>
      </c>
      <c r="H865" s="543" t="s">
        <v>2860</v>
      </c>
      <c r="I865" s="6" t="str">
        <f>IFERROR(INDEX(ZACATECAS!$N$7:$N$5000, MATCH($F865, ZACATECAS!$H$7:$H$5000, 0)), "-")</f>
        <v>Champion Calidad</v>
      </c>
    </row>
    <row r="866" spans="1:9" x14ac:dyDescent="0.3">
      <c r="A866" s="543" t="s">
        <v>2857</v>
      </c>
      <c r="B866" s="543" t="s">
        <v>2858</v>
      </c>
      <c r="C866" s="543" t="s">
        <v>397</v>
      </c>
      <c r="D866" s="543" t="s">
        <v>2861</v>
      </c>
      <c r="E866" s="6">
        <f>IFERROR(INDEX(ZACATECAS!$I$7:$I$5000, MATCH(F866*1, ZACATECAS!$H$7:$H$5000, 0)), "-")</f>
        <v>1</v>
      </c>
      <c r="F866" s="546">
        <v>32046582</v>
      </c>
      <c r="G866" s="546" t="s">
        <v>404</v>
      </c>
      <c r="H866" s="543" t="s">
        <v>2860</v>
      </c>
      <c r="I866" s="6" t="str">
        <f>IFERROR(INDEX(ZACATECAS!$N$7:$N$5000, MATCH($F866, ZACATECAS!$H$7:$H$5000, 0)), "-")</f>
        <v>Champion Gestión</v>
      </c>
    </row>
    <row r="867" spans="1:9" x14ac:dyDescent="0.3">
      <c r="A867" s="543" t="s">
        <v>2857</v>
      </c>
      <c r="B867" s="543" t="s">
        <v>2858</v>
      </c>
      <c r="C867" s="543" t="s">
        <v>397</v>
      </c>
      <c r="D867" s="543" t="s">
        <v>2861</v>
      </c>
      <c r="E867" s="6">
        <f>IFERROR(INDEX(ZACATECAS!$I$7:$I$5000, MATCH(F867*1, ZACATECAS!$H$7:$H$5000, 0)), "-")</f>
        <v>1</v>
      </c>
      <c r="F867" s="546">
        <v>32045229</v>
      </c>
      <c r="G867" s="546" t="s">
        <v>406</v>
      </c>
      <c r="H867" s="543" t="s">
        <v>2860</v>
      </c>
      <c r="I867" s="6" t="str">
        <f>IFERROR(INDEX(ZACATECAS!$N$7:$N$5000, MATCH($F867, ZACATECAS!$H$7:$H$5000, 0)), "-")</f>
        <v>Champion GENTE</v>
      </c>
    </row>
    <row r="868" spans="1:9" x14ac:dyDescent="0.3">
      <c r="A868" s="543" t="s">
        <v>2857</v>
      </c>
      <c r="B868" s="543" t="s">
        <v>2858</v>
      </c>
      <c r="C868" s="543" t="s">
        <v>397</v>
      </c>
      <c r="D868" s="543" t="s">
        <v>2861</v>
      </c>
      <c r="E868" s="6">
        <f>IFERROR(INDEX(ZACATECAS!$I$7:$I$5000, MATCH(F868*1, ZACATECAS!$H$7:$H$5000, 0)), "-")</f>
        <v>1</v>
      </c>
      <c r="F868" s="546">
        <v>32132064</v>
      </c>
      <c r="G868" s="546" t="s">
        <v>409</v>
      </c>
      <c r="H868" s="543" t="s">
        <v>2860</v>
      </c>
      <c r="I868" s="6" t="str">
        <f>IFERROR(INDEX(ZACATECAS!$N$7:$N$5000, MATCH($F868, ZACATECAS!$H$7:$H$5000, 0)), "-")</f>
        <v>Champion Mantenimiento</v>
      </c>
    </row>
    <row r="869" spans="1:9" x14ac:dyDescent="0.3">
      <c r="A869" s="543" t="s">
        <v>2857</v>
      </c>
      <c r="B869" s="543" t="s">
        <v>2858</v>
      </c>
      <c r="C869" s="543" t="s">
        <v>397</v>
      </c>
      <c r="D869" s="543" t="s">
        <v>2861</v>
      </c>
      <c r="E869" s="6">
        <f>IFERROR(INDEX(ZACATECAS!$I$7:$I$5000, MATCH(F869*1, ZACATECAS!$H$7:$H$5000, 0)), "-")</f>
        <v>1</v>
      </c>
      <c r="F869" s="546">
        <v>32197891</v>
      </c>
      <c r="G869" s="546" t="s">
        <v>412</v>
      </c>
      <c r="H869" s="543" t="s">
        <v>2860</v>
      </c>
      <c r="I869" s="6" t="str">
        <f>IFERROR(INDEX(ZACATECAS!$N$7:$N$5000, MATCH($F869, ZACATECAS!$H$7:$H$5000, 0)), "-")</f>
        <v>Champion Seguridad</v>
      </c>
    </row>
    <row r="870" spans="1:9" x14ac:dyDescent="0.3">
      <c r="A870" s="543" t="s">
        <v>2857</v>
      </c>
      <c r="B870" s="543" t="s">
        <v>2858</v>
      </c>
      <c r="C870" s="543" t="s">
        <v>330</v>
      </c>
      <c r="D870" s="543" t="s">
        <v>2865</v>
      </c>
      <c r="E870" s="6" t="str">
        <f>IFERROR(INDEX(ZACATECAS!$I$7:$I$5000, MATCH(F870*1, ZACATECAS!$H$7:$H$5000, 0)), "-")</f>
        <v>-</v>
      </c>
      <c r="F870" s="546">
        <v>32209640</v>
      </c>
      <c r="G870" s="546" t="s">
        <v>331</v>
      </c>
      <c r="H870" s="543" t="s">
        <v>2344</v>
      </c>
      <c r="I870" s="6" t="str">
        <f>IFERROR(INDEX(ZACATECAS!$N$7:$N$5000, MATCH($F870, ZACATECAS!$H$7:$H$5000, 0)), "-")</f>
        <v>-</v>
      </c>
    </row>
    <row r="871" spans="1:9" x14ac:dyDescent="0.3">
      <c r="A871" s="543" t="s">
        <v>2857</v>
      </c>
      <c r="B871" s="543" t="s">
        <v>2858</v>
      </c>
      <c r="C871" s="543" t="s">
        <v>330</v>
      </c>
      <c r="D871" s="543" t="s">
        <v>2865</v>
      </c>
      <c r="E871" s="6">
        <f>IFERROR(INDEX(ZACATECAS!$I$7:$I$5000, MATCH(F871*1, ZACATECAS!$H$7:$H$5000, 0)), "-")</f>
        <v>0</v>
      </c>
      <c r="F871" s="546">
        <v>32202297</v>
      </c>
      <c r="G871" s="546" t="s">
        <v>333</v>
      </c>
      <c r="H871" s="543" t="s">
        <v>2860</v>
      </c>
      <c r="I871" s="6" t="str">
        <f>IFERROR(INDEX(ZACATECAS!$N$7:$N$5000, MATCH($F871, ZACATECAS!$H$7:$H$5000, 0)), "-")</f>
        <v>CALIDAD</v>
      </c>
    </row>
    <row r="872" spans="1:9" x14ac:dyDescent="0.3">
      <c r="A872" s="543" t="s">
        <v>2857</v>
      </c>
      <c r="B872" s="543" t="s">
        <v>2858</v>
      </c>
      <c r="C872" s="543" t="s">
        <v>330</v>
      </c>
      <c r="D872" s="543" t="s">
        <v>2865</v>
      </c>
      <c r="E872" s="6">
        <f>IFERROR(INDEX(ZACATECAS!$I$7:$I$5000, MATCH(F872*1, ZACATECAS!$H$7:$H$5000, 0)), "-")</f>
        <v>0</v>
      </c>
      <c r="F872" s="546">
        <v>32044037</v>
      </c>
      <c r="G872" s="546" t="s">
        <v>335</v>
      </c>
      <c r="H872" s="543" t="s">
        <v>2860</v>
      </c>
      <c r="I872" s="6" t="str">
        <f>IFERROR(INDEX(ZACATECAS!$N$7:$N$5000, MATCH($F872, ZACATECAS!$H$7:$H$5000, 0)), "-")</f>
        <v>GENTE</v>
      </c>
    </row>
    <row r="873" spans="1:9" x14ac:dyDescent="0.3">
      <c r="A873" s="543" t="s">
        <v>2857</v>
      </c>
      <c r="B873" s="543" t="s">
        <v>2858</v>
      </c>
      <c r="C873" s="543" t="s">
        <v>330</v>
      </c>
      <c r="D873" s="543" t="s">
        <v>2865</v>
      </c>
      <c r="E873" s="6">
        <f>IFERROR(INDEX(ZACATECAS!$I$7:$I$5000, MATCH(F873*1, ZACATECAS!$H$7:$H$5000, 0)), "-")</f>
        <v>0</v>
      </c>
      <c r="F873" s="544">
        <v>32044839</v>
      </c>
      <c r="G873" s="544" t="s">
        <v>337</v>
      </c>
      <c r="H873" s="543" t="s">
        <v>2860</v>
      </c>
      <c r="I873" s="6" t="str">
        <f>IFERROR(INDEX(ZACATECAS!$N$7:$N$5000, MATCH($F873, ZACATECAS!$H$7:$H$5000, 0)), "-")</f>
        <v>LOGISTICA</v>
      </c>
    </row>
    <row r="874" spans="1:9" x14ac:dyDescent="0.3">
      <c r="A874" s="543" t="s">
        <v>2857</v>
      </c>
      <c r="B874" s="543" t="s">
        <v>2858</v>
      </c>
      <c r="C874" s="543" t="s">
        <v>330</v>
      </c>
      <c r="D874" s="543" t="s">
        <v>2865</v>
      </c>
      <c r="E874" s="6">
        <f>IFERROR(INDEX(ZACATECAS!$I$7:$I$5000, MATCH(F874*1, ZACATECAS!$H$7:$H$5000, 0)), "-")</f>
        <v>0</v>
      </c>
      <c r="F874" s="544">
        <v>32045510</v>
      </c>
      <c r="G874" s="544" t="s">
        <v>339</v>
      </c>
      <c r="H874" s="543" t="s">
        <v>2860</v>
      </c>
      <c r="I874" s="6" t="str">
        <f>IFERROR(INDEX(ZACATECAS!$N$7:$N$5000, MATCH($F874, ZACATECAS!$H$7:$H$5000, 0)), "-")</f>
        <v>CALIDAD</v>
      </c>
    </row>
    <row r="875" spans="1:9" x14ac:dyDescent="0.3">
      <c r="A875" s="543" t="s">
        <v>2857</v>
      </c>
      <c r="B875" s="543" t="s">
        <v>2858</v>
      </c>
      <c r="C875" s="543" t="s">
        <v>330</v>
      </c>
      <c r="D875" s="543" t="s">
        <v>2865</v>
      </c>
      <c r="E875" s="6">
        <f>IFERROR(INDEX(ZACATECAS!$I$7:$I$5000, MATCH(F875*1, ZACATECAS!$H$7:$H$5000, 0)), "-")</f>
        <v>0</v>
      </c>
      <c r="F875" s="544">
        <v>32045004</v>
      </c>
      <c r="G875" s="544" t="s">
        <v>341</v>
      </c>
      <c r="H875" s="543" t="s">
        <v>2860</v>
      </c>
      <c r="I875" s="6" t="str">
        <f>IFERROR(INDEX(ZACATECAS!$N$7:$N$5000, MATCH($F875, ZACATECAS!$H$7:$H$5000, 0)), "-")</f>
        <v>AMBIENTAL</v>
      </c>
    </row>
    <row r="876" spans="1:9" x14ac:dyDescent="0.3">
      <c r="A876" s="543" t="s">
        <v>2857</v>
      </c>
      <c r="B876" s="543" t="s">
        <v>2858</v>
      </c>
      <c r="C876" s="543" t="s">
        <v>330</v>
      </c>
      <c r="D876" s="543" t="s">
        <v>2865</v>
      </c>
      <c r="E876" s="6">
        <f>IFERROR(INDEX(ZACATECAS!$I$7:$I$5000, MATCH(F876*1, ZACATECAS!$H$7:$H$5000, 0)), "-")</f>
        <v>0</v>
      </c>
      <c r="F876" s="544">
        <v>32137247</v>
      </c>
      <c r="G876" s="544" t="s">
        <v>343</v>
      </c>
      <c r="H876" s="543" t="s">
        <v>2860</v>
      </c>
      <c r="I876" s="6" t="str">
        <f>IFERROR(INDEX(ZACATECAS!$N$7:$N$5000, MATCH($F876, ZACATECAS!$H$7:$H$5000, 0)), "-")</f>
        <v>CALIDAD</v>
      </c>
    </row>
    <row r="877" spans="1:9" x14ac:dyDescent="0.3">
      <c r="A877" s="543" t="s">
        <v>2857</v>
      </c>
      <c r="B877" s="543" t="s">
        <v>2858</v>
      </c>
      <c r="C877" s="543" t="s">
        <v>330</v>
      </c>
      <c r="D877" s="543" t="s">
        <v>2865</v>
      </c>
      <c r="E877" s="6">
        <f>IFERROR(INDEX(ZACATECAS!$I$7:$I$5000, MATCH(F877*1, ZACATECAS!$H$7:$H$5000, 0)), "-")</f>
        <v>0</v>
      </c>
      <c r="F877" s="546">
        <v>32197427</v>
      </c>
      <c r="G877" s="546" t="s">
        <v>345</v>
      </c>
      <c r="H877" s="543" t="s">
        <v>2860</v>
      </c>
      <c r="I877" s="6" t="str">
        <f>IFERROR(INDEX(ZACATECAS!$N$7:$N$5000, MATCH($F877, ZACATECAS!$H$7:$H$5000, 0)), "-")</f>
        <v>GESTION</v>
      </c>
    </row>
    <row r="878" spans="1:9" x14ac:dyDescent="0.3">
      <c r="A878" s="543" t="s">
        <v>2857</v>
      </c>
      <c r="B878" s="543" t="s">
        <v>2858</v>
      </c>
      <c r="C878" s="543" t="s">
        <v>330</v>
      </c>
      <c r="D878" s="543" t="s">
        <v>2865</v>
      </c>
      <c r="E878" s="6">
        <f>IFERROR(INDEX(ZACATECAS!$I$7:$I$5000, MATCH(F878*1, ZACATECAS!$H$7:$H$5000, 0)), "-")</f>
        <v>0</v>
      </c>
      <c r="F878" s="544">
        <v>32209189</v>
      </c>
      <c r="G878" s="544" t="s">
        <v>346</v>
      </c>
      <c r="H878" s="543" t="s">
        <v>2860</v>
      </c>
      <c r="I878" s="6" t="str">
        <f>IFERROR(INDEX(ZACATECAS!$N$7:$N$5000, MATCH($F878, ZACATECAS!$H$7:$H$5000, 0)), "-")</f>
        <v>MANTENIMIENTO</v>
      </c>
    </row>
    <row r="879" spans="1:9" x14ac:dyDescent="0.3">
      <c r="A879" s="543" t="s">
        <v>2857</v>
      </c>
      <c r="B879" s="543" t="s">
        <v>2858</v>
      </c>
      <c r="C879" s="543" t="s">
        <v>330</v>
      </c>
      <c r="D879" s="543" t="s">
        <v>2865</v>
      </c>
      <c r="E879" s="6">
        <f>IFERROR(INDEX(ZACATECAS!$I$7:$I$5000, MATCH(F879*1, ZACATECAS!$H$7:$H$5000, 0)), "-")</f>
        <v>0</v>
      </c>
      <c r="F879" s="544">
        <v>32045409</v>
      </c>
      <c r="G879" s="544" t="s">
        <v>348</v>
      </c>
      <c r="H879" s="543" t="s">
        <v>2860</v>
      </c>
      <c r="I879" s="6" t="str">
        <f>IFERROR(INDEX(ZACATECAS!$N$7:$N$5000, MATCH($F879, ZACATECAS!$H$7:$H$5000, 0)), "-")</f>
        <v>SEGURIDAD</v>
      </c>
    </row>
    <row r="880" spans="1:9" x14ac:dyDescent="0.3">
      <c r="A880" s="543" t="s">
        <v>2857</v>
      </c>
      <c r="B880" s="543" t="s">
        <v>2858</v>
      </c>
      <c r="C880" s="543" t="s">
        <v>2361</v>
      </c>
      <c r="D880" s="543" t="s">
        <v>2869</v>
      </c>
      <c r="E880" s="6" t="str">
        <f>IFERROR(INDEX(ZACATECAS!$I$7:$I$5000, MATCH(F880*1, ZACATECAS!$H$7:$H$5000, 0)), "-")</f>
        <v>-</v>
      </c>
      <c r="F880" s="544">
        <v>32217529</v>
      </c>
      <c r="G880" s="544" t="s">
        <v>1650</v>
      </c>
      <c r="H880" s="543" t="s">
        <v>2344</v>
      </c>
      <c r="I880" s="6" t="str">
        <f>IFERROR(INDEX(ZACATECAS!$N$7:$N$5000, MATCH($F880, ZACATECAS!$H$7:$H$5000, 0)), "-")</f>
        <v>-</v>
      </c>
    </row>
    <row r="881" spans="1:9" x14ac:dyDescent="0.3">
      <c r="A881" s="543" t="s">
        <v>2857</v>
      </c>
      <c r="B881" s="543" t="s">
        <v>2858</v>
      </c>
      <c r="C881" s="543" t="s">
        <v>2361</v>
      </c>
      <c r="D881" s="543" t="s">
        <v>2869</v>
      </c>
      <c r="E881" s="6" t="str">
        <f>IFERROR(INDEX(ZACATECAS!$I$7:$I$5000, MATCH(F881*1, ZACATECAS!$H$7:$H$5000, 0)), "-")</f>
        <v xml:space="preserve">NACIONAL </v>
      </c>
      <c r="F881" s="544">
        <v>32043715</v>
      </c>
      <c r="G881" s="544" t="s">
        <v>1652</v>
      </c>
      <c r="H881" s="543" t="s">
        <v>2860</v>
      </c>
      <c r="I881" s="6" t="str">
        <f>IFERROR(INDEX(ZACATECAS!$N$7:$N$5000, MATCH($F881, ZACATECAS!$H$7:$H$5000, 0)), "-")</f>
        <v>MEDIO AMBIENTE</v>
      </c>
    </row>
    <row r="882" spans="1:9" x14ac:dyDescent="0.3">
      <c r="A882" s="543" t="s">
        <v>2857</v>
      </c>
      <c r="B882" s="543" t="s">
        <v>2858</v>
      </c>
      <c r="C882" s="543" t="s">
        <v>2361</v>
      </c>
      <c r="D882" s="543" t="s">
        <v>2869</v>
      </c>
      <c r="E882" s="6" t="str">
        <f>IFERROR(INDEX(ZACATECAS!$I$7:$I$5000, MATCH(F882*1, ZACATECAS!$H$7:$H$5000, 0)), "-")</f>
        <v xml:space="preserve">NACIONAL </v>
      </c>
      <c r="F882" s="544">
        <v>32046166</v>
      </c>
      <c r="G882" s="544" t="s">
        <v>1653</v>
      </c>
      <c r="H882" s="543" t="s">
        <v>2860</v>
      </c>
      <c r="I882" s="6" t="str">
        <f>IFERROR(INDEX(ZACATECAS!$N$7:$N$5000, MATCH($F882, ZACATECAS!$H$7:$H$5000, 0)), "-")</f>
        <v>GESTIÓN</v>
      </c>
    </row>
    <row r="883" spans="1:9" x14ac:dyDescent="0.3">
      <c r="A883" s="543" t="s">
        <v>2857</v>
      </c>
      <c r="B883" s="543" t="s">
        <v>2858</v>
      </c>
      <c r="C883" s="543" t="s">
        <v>2361</v>
      </c>
      <c r="D883" s="543" t="s">
        <v>2869</v>
      </c>
      <c r="E883" s="6" t="str">
        <f>IFERROR(INDEX(ZACATECAS!$I$7:$I$5000, MATCH(F883*1, ZACATECAS!$H$7:$H$5000, 0)), "-")</f>
        <v xml:space="preserve">NACIONAL </v>
      </c>
      <c r="F883" s="544">
        <v>32057881</v>
      </c>
      <c r="G883" s="544" t="s">
        <v>1654</v>
      </c>
      <c r="H883" s="543" t="s">
        <v>2860</v>
      </c>
      <c r="I883" s="6" t="str">
        <f>IFERROR(INDEX(ZACATECAS!$N$7:$N$5000, MATCH($F883, ZACATECAS!$H$7:$H$5000, 0)), "-")</f>
        <v>PEOPLE</v>
      </c>
    </row>
    <row r="884" spans="1:9" x14ac:dyDescent="0.3">
      <c r="A884" s="543" t="s">
        <v>2857</v>
      </c>
      <c r="B884" s="543" t="s">
        <v>2858</v>
      </c>
      <c r="C884" s="543" t="s">
        <v>2361</v>
      </c>
      <c r="D884" s="543" t="s">
        <v>2869</v>
      </c>
      <c r="E884" s="6" t="str">
        <f>IFERROR(INDEX(ZACATECAS!$I$7:$I$5000, MATCH(F884*1, ZACATECAS!$H$7:$H$5000, 0)), "-")</f>
        <v xml:space="preserve">NACIONAL </v>
      </c>
      <c r="F884" s="544">
        <v>32044576</v>
      </c>
      <c r="G884" s="544" t="s">
        <v>1655</v>
      </c>
      <c r="H884" s="543" t="s">
        <v>2860</v>
      </c>
      <c r="I884" s="6" t="str">
        <f>IFERROR(INDEX(ZACATECAS!$N$7:$N$5000, MATCH($F884, ZACATECAS!$H$7:$H$5000, 0)), "-")</f>
        <v>SEGURIDAD</v>
      </c>
    </row>
    <row r="885" spans="1:9" x14ac:dyDescent="0.3">
      <c r="A885" s="543" t="s">
        <v>2857</v>
      </c>
      <c r="B885" s="543" t="s">
        <v>2858</v>
      </c>
      <c r="C885" s="543" t="s">
        <v>2361</v>
      </c>
      <c r="D885" s="543" t="s">
        <v>2869</v>
      </c>
      <c r="E885" s="6" t="str">
        <f>IFERROR(INDEX(ZACATECAS!$I$7:$I$5000, MATCH(F885*1, ZACATECAS!$H$7:$H$5000, 0)), "-")</f>
        <v xml:space="preserve">NACIONAL </v>
      </c>
      <c r="F885" s="544">
        <v>32046425</v>
      </c>
      <c r="G885" s="544" t="s">
        <v>1656</v>
      </c>
      <c r="H885" s="543" t="s">
        <v>2860</v>
      </c>
      <c r="I885" s="6" t="str">
        <f>IFERROR(INDEX(ZACATECAS!$N$7:$N$5000, MATCH($F885, ZACATECAS!$H$7:$H$5000, 0)), "-")</f>
        <v>LOGÍSTICA</v>
      </c>
    </row>
    <row r="886" spans="1:9" x14ac:dyDescent="0.3">
      <c r="A886" s="543" t="s">
        <v>2857</v>
      </c>
      <c r="B886" s="543" t="s">
        <v>2858</v>
      </c>
      <c r="C886" s="543" t="s">
        <v>2361</v>
      </c>
      <c r="D886" s="543" t="s">
        <v>2869</v>
      </c>
      <c r="E886" s="6" t="str">
        <f>IFERROR(INDEX(ZACATECAS!$I$7:$I$5000, MATCH(F886*1, ZACATECAS!$H$7:$H$5000, 0)), "-")</f>
        <v xml:space="preserve">NACIONAL </v>
      </c>
      <c r="F886" s="544">
        <v>32046191</v>
      </c>
      <c r="G886" s="544" t="s">
        <v>1657</v>
      </c>
      <c r="H886" s="543" t="s">
        <v>2860</v>
      </c>
      <c r="I886" s="6" t="str">
        <f>IFERROR(INDEX(ZACATECAS!$N$7:$N$5000, MATCH($F886, ZACATECAS!$H$7:$H$5000, 0)), "-")</f>
        <v>MEDIO AMBIENTE</v>
      </c>
    </row>
    <row r="887" spans="1:9" x14ac:dyDescent="0.3">
      <c r="A887" s="543" t="s">
        <v>2857</v>
      </c>
      <c r="B887" s="543" t="s">
        <v>2858</v>
      </c>
      <c r="C887" s="543" t="s">
        <v>2361</v>
      </c>
      <c r="D887" s="543" t="s">
        <v>2869</v>
      </c>
      <c r="E887" s="6" t="str">
        <f>IFERROR(INDEX(ZACATECAS!$I$7:$I$5000, MATCH(F887*1, ZACATECAS!$H$7:$H$5000, 0)), "-")</f>
        <v xml:space="preserve">NACIONAL </v>
      </c>
      <c r="F887" s="544">
        <v>32046444</v>
      </c>
      <c r="G887" s="544" t="s">
        <v>1658</v>
      </c>
      <c r="H887" s="543" t="s">
        <v>2860</v>
      </c>
      <c r="I887" s="6" t="str">
        <f>IFERROR(INDEX(ZACATECAS!$N$7:$N$5000, MATCH($F887, ZACATECAS!$H$7:$H$5000, 0)), "-")</f>
        <v>CALIDAD</v>
      </c>
    </row>
    <row r="888" spans="1:9" x14ac:dyDescent="0.3">
      <c r="A888" s="543" t="s">
        <v>2857</v>
      </c>
      <c r="B888" s="543" t="s">
        <v>2858</v>
      </c>
      <c r="C888" s="543" t="s">
        <v>2361</v>
      </c>
      <c r="D888" s="543" t="s">
        <v>2869</v>
      </c>
      <c r="E888" s="6" t="str">
        <f>IFERROR(INDEX(ZACATECAS!$I$7:$I$5000, MATCH(F888*1, ZACATECAS!$H$7:$H$5000, 0)), "-")</f>
        <v xml:space="preserve">NACIONAL </v>
      </c>
      <c r="F888" s="544">
        <v>32045981</v>
      </c>
      <c r="G888" s="544" t="s">
        <v>1659</v>
      </c>
      <c r="H888" s="543" t="s">
        <v>2860</v>
      </c>
      <c r="I888" s="6" t="str">
        <f>IFERROR(INDEX(ZACATECAS!$N$7:$N$5000, MATCH($F888, ZACATECAS!$H$7:$H$5000, 0)), "-")</f>
        <v>MANTENIMIENTO</v>
      </c>
    </row>
    <row r="889" spans="1:9" x14ac:dyDescent="0.3">
      <c r="A889" s="543" t="s">
        <v>2857</v>
      </c>
      <c r="B889" s="543" t="s">
        <v>2858</v>
      </c>
      <c r="C889" s="543" t="s">
        <v>2361</v>
      </c>
      <c r="D889" s="543" t="s">
        <v>2869</v>
      </c>
      <c r="E889" s="6" t="str">
        <f>IFERROR(INDEX(ZACATECAS!$I$7:$I$5000, MATCH(F889*1, ZACATECAS!$H$7:$H$5000, 0)), "-")</f>
        <v xml:space="preserve">NACIONAL </v>
      </c>
      <c r="F889" s="544">
        <v>32045252</v>
      </c>
      <c r="G889" s="544" t="s">
        <v>1660</v>
      </c>
      <c r="H889" s="543" t="s">
        <v>2860</v>
      </c>
      <c r="I889" s="6" t="str">
        <f>IFERROR(INDEX(ZACATECAS!$N$7:$N$5000, MATCH($F889, ZACATECAS!$H$7:$H$5000, 0)), "-")</f>
        <v>PEOPLE</v>
      </c>
    </row>
    <row r="890" spans="1:9" x14ac:dyDescent="0.3">
      <c r="A890" s="543" t="s">
        <v>2857</v>
      </c>
      <c r="B890" s="543" t="s">
        <v>2858</v>
      </c>
      <c r="C890" s="543" t="s">
        <v>150</v>
      </c>
      <c r="D890" s="543" t="s">
        <v>2865</v>
      </c>
      <c r="E890" s="6" t="str">
        <f>IFERROR(INDEX(ZACATECAS!$I$7:$I$5000, MATCH(F890*1, ZACATECAS!$H$7:$H$5000, 0)), "-")</f>
        <v>-</v>
      </c>
      <c r="F890" s="544">
        <v>32052750</v>
      </c>
      <c r="G890" s="544" t="s">
        <v>151</v>
      </c>
      <c r="H890" s="543" t="s">
        <v>2344</v>
      </c>
      <c r="I890" s="6" t="str">
        <f>IFERROR(INDEX(ZACATECAS!$N$7:$N$5000, MATCH($F890, ZACATECAS!$H$7:$H$5000, 0)), "-")</f>
        <v>-</v>
      </c>
    </row>
    <row r="891" spans="1:9" x14ac:dyDescent="0.3">
      <c r="A891" s="543" t="s">
        <v>2857</v>
      </c>
      <c r="B891" s="543" t="s">
        <v>2858</v>
      </c>
      <c r="C891" s="543" t="s">
        <v>150</v>
      </c>
      <c r="D891" s="543" t="s">
        <v>2865</v>
      </c>
      <c r="E891" s="6" t="str">
        <f>IFERROR(INDEX(ZACATECAS!$I$7:$I$5000, MATCH(F891*1, ZACATECAS!$H$7:$H$5000, 0)), "-")</f>
        <v>-</v>
      </c>
      <c r="F891" s="544">
        <v>32046448</v>
      </c>
      <c r="G891" s="544" t="s">
        <v>153</v>
      </c>
      <c r="H891" s="543" t="s">
        <v>2860</v>
      </c>
      <c r="I891" s="6" t="str">
        <f>IFERROR(INDEX(ZACATECAS!$N$7:$N$5000, MATCH($F891, ZACATECAS!$H$7:$H$5000, 0)), "-")</f>
        <v>-</v>
      </c>
    </row>
    <row r="892" spans="1:9" x14ac:dyDescent="0.3">
      <c r="A892" s="543" t="s">
        <v>2857</v>
      </c>
      <c r="B892" s="543" t="s">
        <v>2858</v>
      </c>
      <c r="C892" s="543" t="s">
        <v>150</v>
      </c>
      <c r="D892" s="543" t="s">
        <v>2865</v>
      </c>
      <c r="E892" s="6" t="str">
        <f>IFERROR(INDEX(ZACATECAS!$I$7:$I$5000, MATCH(F892*1, ZACATECAS!$H$7:$H$5000, 0)), "-")</f>
        <v>-</v>
      </c>
      <c r="F892" s="544">
        <v>32229592</v>
      </c>
      <c r="G892" s="544" t="s">
        <v>154</v>
      </c>
      <c r="H892" s="543" t="s">
        <v>2860</v>
      </c>
      <c r="I892" s="6" t="str">
        <f>IFERROR(INDEX(ZACATECAS!$N$7:$N$5000, MATCH($F892, ZACATECAS!$H$7:$H$5000, 0)), "-")</f>
        <v>-</v>
      </c>
    </row>
    <row r="893" spans="1:9" x14ac:dyDescent="0.3">
      <c r="A893" s="543" t="s">
        <v>2857</v>
      </c>
      <c r="B893" s="543" t="s">
        <v>2858</v>
      </c>
      <c r="C893" s="543" t="s">
        <v>150</v>
      </c>
      <c r="D893" s="543" t="s">
        <v>2865</v>
      </c>
      <c r="E893" s="6" t="str">
        <f>IFERROR(INDEX(ZACATECAS!$I$7:$I$5000, MATCH(F893*1, ZACATECAS!$H$7:$H$5000, 0)), "-")</f>
        <v>Fermentación</v>
      </c>
      <c r="F893" s="544">
        <v>32044760</v>
      </c>
      <c r="G893" s="544" t="s">
        <v>156</v>
      </c>
      <c r="H893" s="543" t="s">
        <v>2860</v>
      </c>
      <c r="I893" s="6" t="str">
        <f>IFERROR(INDEX(ZACATECAS!$N$7:$N$5000, MATCH($F893, ZACATECAS!$H$7:$H$5000, 0)), "-")</f>
        <v>SEGURIDAD</v>
      </c>
    </row>
    <row r="894" spans="1:9" x14ac:dyDescent="0.3">
      <c r="A894" s="543" t="s">
        <v>2857</v>
      </c>
      <c r="B894" s="543" t="s">
        <v>2858</v>
      </c>
      <c r="C894" s="543" t="s">
        <v>150</v>
      </c>
      <c r="D894" s="543" t="s">
        <v>2865</v>
      </c>
      <c r="E894" s="6" t="str">
        <f>IFERROR(INDEX(ZACATECAS!$I$7:$I$5000, MATCH(F894*1, ZACATECAS!$H$7:$H$5000, 0)), "-")</f>
        <v>Fermentación</v>
      </c>
      <c r="F894" s="544">
        <v>32197834</v>
      </c>
      <c r="G894" s="544" t="s">
        <v>157</v>
      </c>
      <c r="H894" s="543" t="s">
        <v>2860</v>
      </c>
      <c r="I894" s="6" t="str">
        <f>IFERROR(INDEX(ZACATECAS!$N$7:$N$5000, MATCH($F894, ZACATECAS!$H$7:$H$5000, 0)), "-")</f>
        <v>CALIDAD</v>
      </c>
    </row>
    <row r="895" spans="1:9" x14ac:dyDescent="0.3">
      <c r="A895" s="543" t="s">
        <v>2857</v>
      </c>
      <c r="B895" s="543" t="s">
        <v>2858</v>
      </c>
      <c r="C895" s="543" t="s">
        <v>150</v>
      </c>
      <c r="D895" s="543" t="s">
        <v>2865</v>
      </c>
      <c r="E895" s="6" t="str">
        <f>IFERROR(INDEX(ZACATECAS!$I$7:$I$5000, MATCH(F895*1, ZACATECAS!$H$7:$H$5000, 0)), "-")</f>
        <v>Fermentación</v>
      </c>
      <c r="F895" s="544">
        <v>32044751</v>
      </c>
      <c r="G895" s="544" t="s">
        <v>159</v>
      </c>
      <c r="H895" s="543" t="s">
        <v>2860</v>
      </c>
      <c r="I895" s="6" t="str">
        <f>IFERROR(INDEX(ZACATECAS!$N$7:$N$5000, MATCH($F895, ZACATECAS!$H$7:$H$5000, 0)), "-")</f>
        <v>AMBIENTAL</v>
      </c>
    </row>
    <row r="896" spans="1:9" x14ac:dyDescent="0.3">
      <c r="A896" s="543" t="s">
        <v>2857</v>
      </c>
      <c r="B896" s="543" t="s">
        <v>2858</v>
      </c>
      <c r="C896" s="543" t="s">
        <v>150</v>
      </c>
      <c r="D896" s="543" t="s">
        <v>2865</v>
      </c>
      <c r="E896" s="6" t="str">
        <f>IFERROR(INDEX(ZACATECAS!$I$7:$I$5000, MATCH(F896*1, ZACATECAS!$H$7:$H$5000, 0)), "-")</f>
        <v>Fermentación</v>
      </c>
      <c r="F896" s="544">
        <v>32045149</v>
      </c>
      <c r="G896" s="544" t="s">
        <v>161</v>
      </c>
      <c r="H896" s="543" t="s">
        <v>2860</v>
      </c>
      <c r="I896" s="6" t="str">
        <f>IFERROR(INDEX(ZACATECAS!$N$7:$N$5000, MATCH($F896, ZACATECAS!$H$7:$H$5000, 0)), "-")</f>
        <v>CALIDAD</v>
      </c>
    </row>
    <row r="897" spans="1:9" x14ac:dyDescent="0.3">
      <c r="A897" s="543" t="s">
        <v>2857</v>
      </c>
      <c r="B897" s="543" t="s">
        <v>2858</v>
      </c>
      <c r="C897" s="543" t="s">
        <v>350</v>
      </c>
      <c r="D897" s="543" t="s">
        <v>2865</v>
      </c>
      <c r="E897" s="6" t="str">
        <f>IFERROR(INDEX(ZACATECAS!$I$7:$I$5000, MATCH(F897*1, ZACATECAS!$H$7:$H$5000, 0)), "-")</f>
        <v>-</v>
      </c>
      <c r="F897" s="544">
        <v>32044983</v>
      </c>
      <c r="G897" s="544" t="s">
        <v>351</v>
      </c>
      <c r="H897" s="543" t="s">
        <v>2344</v>
      </c>
      <c r="I897" s="6" t="str">
        <f>IFERROR(INDEX(ZACATECAS!$N$7:$N$5000, MATCH($F897, ZACATECAS!$H$7:$H$5000, 0)), "-")</f>
        <v>-</v>
      </c>
    </row>
    <row r="898" spans="1:9" x14ac:dyDescent="0.3">
      <c r="A898" s="543" t="s">
        <v>2857</v>
      </c>
      <c r="B898" s="543" t="s">
        <v>2858</v>
      </c>
      <c r="C898" s="543" t="s">
        <v>350</v>
      </c>
      <c r="D898" s="543" t="s">
        <v>2865</v>
      </c>
      <c r="E898" s="6">
        <f>IFERROR(INDEX(ZACATECAS!$I$7:$I$5000, MATCH(F898*1, ZACATECAS!$H$7:$H$5000, 0)), "-")</f>
        <v>0</v>
      </c>
      <c r="F898" s="544">
        <v>32148846</v>
      </c>
      <c r="G898" s="544" t="s">
        <v>353</v>
      </c>
      <c r="H898" s="543" t="s">
        <v>2860</v>
      </c>
      <c r="I898" s="6" t="str">
        <f>IFERROR(INDEX(ZACATECAS!$N$7:$N$5000, MATCH($F898, ZACATECAS!$H$7:$H$5000, 0)), "-")</f>
        <v>SEGURIDAD</v>
      </c>
    </row>
    <row r="899" spans="1:9" x14ac:dyDescent="0.3">
      <c r="A899" s="543" t="s">
        <v>2857</v>
      </c>
      <c r="B899" s="543" t="s">
        <v>2858</v>
      </c>
      <c r="C899" s="543" t="s">
        <v>350</v>
      </c>
      <c r="D899" s="543" t="s">
        <v>2865</v>
      </c>
      <c r="E899" s="6">
        <f>IFERROR(INDEX(ZACATECAS!$I$7:$I$5000, MATCH(F899*1, ZACATECAS!$H$7:$H$5000, 0)), "-")</f>
        <v>0</v>
      </c>
      <c r="F899" s="544">
        <v>32188007</v>
      </c>
      <c r="G899" s="544" t="s">
        <v>355</v>
      </c>
      <c r="H899" s="543" t="s">
        <v>2860</v>
      </c>
      <c r="I899" s="6" t="str">
        <f>IFERROR(INDEX(ZACATECAS!$N$7:$N$5000, MATCH($F899, ZACATECAS!$H$7:$H$5000, 0)), "-")</f>
        <v>AMBIENTAL</v>
      </c>
    </row>
    <row r="900" spans="1:9" x14ac:dyDescent="0.3">
      <c r="A900" s="543" t="s">
        <v>2857</v>
      </c>
      <c r="B900" s="543" t="s">
        <v>2858</v>
      </c>
      <c r="C900" s="543" t="s">
        <v>350</v>
      </c>
      <c r="D900" s="543" t="s">
        <v>2865</v>
      </c>
      <c r="E900" s="6">
        <f>IFERROR(INDEX(ZACATECAS!$I$7:$I$5000, MATCH(F900*1, ZACATECAS!$H$7:$H$5000, 0)), "-")</f>
        <v>0</v>
      </c>
      <c r="F900" s="546">
        <v>32132055</v>
      </c>
      <c r="G900" s="546" t="s">
        <v>357</v>
      </c>
      <c r="H900" s="543" t="s">
        <v>2860</v>
      </c>
      <c r="I900" s="6" t="str">
        <f>IFERROR(INDEX(ZACATECAS!$N$7:$N$5000, MATCH($F900, ZACATECAS!$H$7:$H$5000, 0)), "-")</f>
        <v>CALIDAD</v>
      </c>
    </row>
    <row r="901" spans="1:9" x14ac:dyDescent="0.3">
      <c r="A901" s="543" t="s">
        <v>2857</v>
      </c>
      <c r="B901" s="543" t="s">
        <v>2858</v>
      </c>
      <c r="C901" s="543" t="s">
        <v>350</v>
      </c>
      <c r="D901" s="543" t="s">
        <v>2865</v>
      </c>
      <c r="E901" s="6">
        <f>IFERROR(INDEX(ZACATECAS!$I$7:$I$5000, MATCH(F901*1, ZACATECAS!$H$7:$H$5000, 0)), "-")</f>
        <v>0</v>
      </c>
      <c r="F901" s="546">
        <v>32132194</v>
      </c>
      <c r="G901" s="546" t="s">
        <v>359</v>
      </c>
      <c r="H901" s="543" t="s">
        <v>2860</v>
      </c>
      <c r="I901" s="6" t="str">
        <f>IFERROR(INDEX(ZACATECAS!$N$7:$N$5000, MATCH($F901, ZACATECAS!$H$7:$H$5000, 0)), "-")</f>
        <v>GENTE</v>
      </c>
    </row>
    <row r="902" spans="1:9" x14ac:dyDescent="0.3">
      <c r="A902" s="543" t="s">
        <v>2857</v>
      </c>
      <c r="B902" s="543" t="s">
        <v>2858</v>
      </c>
      <c r="C902" s="543" t="s">
        <v>350</v>
      </c>
      <c r="D902" s="543" t="s">
        <v>2865</v>
      </c>
      <c r="E902" s="6">
        <f>IFERROR(INDEX(ZACATECAS!$I$7:$I$5000, MATCH(F902*1, ZACATECAS!$H$7:$H$5000, 0)), "-")</f>
        <v>0</v>
      </c>
      <c r="F902" s="546">
        <v>32177483</v>
      </c>
      <c r="G902" s="546" t="s">
        <v>361</v>
      </c>
      <c r="H902" s="543" t="s">
        <v>2860</v>
      </c>
      <c r="I902" s="6" t="str">
        <f>IFERROR(INDEX(ZACATECAS!$N$7:$N$5000, MATCH($F902, ZACATECAS!$H$7:$H$5000, 0)), "-")</f>
        <v>MANTENIMIENTO</v>
      </c>
    </row>
    <row r="903" spans="1:9" x14ac:dyDescent="0.3">
      <c r="A903" s="543" t="s">
        <v>2857</v>
      </c>
      <c r="B903" s="543" t="s">
        <v>2858</v>
      </c>
      <c r="C903" s="543" t="s">
        <v>164</v>
      </c>
      <c r="D903" s="543" t="s">
        <v>2876</v>
      </c>
      <c r="E903" s="6" t="str">
        <f>IFERROR(INDEX(ZACATECAS!$I$7:$I$5000, MATCH(F903*1, ZACATECAS!$H$7:$H$5000, 0)), "-")</f>
        <v>-</v>
      </c>
      <c r="F903" s="546">
        <v>32043857</v>
      </c>
      <c r="G903" s="546" t="s">
        <v>165</v>
      </c>
      <c r="H903" s="543" t="s">
        <v>2344</v>
      </c>
      <c r="I903" s="6" t="str">
        <f>IFERROR(INDEX(ZACATECAS!$N$7:$N$5000, MATCH($F903, ZACATECAS!$H$7:$H$5000, 0)), "-")</f>
        <v>-</v>
      </c>
    </row>
    <row r="904" spans="1:9" x14ac:dyDescent="0.3">
      <c r="A904" s="543" t="s">
        <v>2857</v>
      </c>
      <c r="B904" s="543" t="s">
        <v>2858</v>
      </c>
      <c r="C904" s="543" t="s">
        <v>164</v>
      </c>
      <c r="D904" s="543" t="s">
        <v>2876</v>
      </c>
      <c r="E904" s="6" t="str">
        <f>IFERROR(INDEX(ZACATECAS!$I$7:$I$5000, MATCH(F904*1, ZACATECAS!$H$7:$H$5000, 0)), "-")</f>
        <v>MANTENIMIENTO ELA</v>
      </c>
      <c r="F904" s="546">
        <v>32045952</v>
      </c>
      <c r="G904" s="546" t="s">
        <v>167</v>
      </c>
      <c r="H904" s="543" t="s">
        <v>2860</v>
      </c>
      <c r="I904" s="6" t="str">
        <f>IFERROR(INDEX(ZACATECAS!$N$7:$N$5000, MATCH($F904, ZACATECAS!$H$7:$H$5000, 0)), "-")</f>
        <v>CALIDAD</v>
      </c>
    </row>
    <row r="905" spans="1:9" x14ac:dyDescent="0.3">
      <c r="A905" s="543" t="s">
        <v>2857</v>
      </c>
      <c r="B905" s="543" t="s">
        <v>2858</v>
      </c>
      <c r="C905" s="543" t="s">
        <v>164</v>
      </c>
      <c r="D905" s="543" t="s">
        <v>2876</v>
      </c>
      <c r="E905" s="6" t="str">
        <f>IFERROR(INDEX(ZACATECAS!$I$7:$I$5000, MATCH(F905*1, ZACATECAS!$H$7:$H$5000, 0)), "-")</f>
        <v>MANTENIMIENTO ELA</v>
      </c>
      <c r="F905" s="546">
        <v>32044478</v>
      </c>
      <c r="G905" s="546" t="s">
        <v>169</v>
      </c>
      <c r="H905" s="543" t="s">
        <v>2860</v>
      </c>
      <c r="I905" s="6" t="str">
        <f>IFERROR(INDEX(ZACATECAS!$N$7:$N$5000, MATCH($F905, ZACATECAS!$H$7:$H$5000, 0)), "-")</f>
        <v>SEGURIDAD</v>
      </c>
    </row>
    <row r="906" spans="1:9" x14ac:dyDescent="0.3">
      <c r="A906" s="543" t="s">
        <v>2857</v>
      </c>
      <c r="B906" s="543" t="s">
        <v>2858</v>
      </c>
      <c r="C906" s="543" t="s">
        <v>164</v>
      </c>
      <c r="D906" s="543" t="s">
        <v>2876</v>
      </c>
      <c r="E906" s="6" t="str">
        <f>IFERROR(INDEX(ZACATECAS!$I$7:$I$5000, MATCH(F906*1, ZACATECAS!$H$7:$H$5000, 0)), "-")</f>
        <v>MANTENIMIENTO ELA</v>
      </c>
      <c r="F906" s="546">
        <v>32146005</v>
      </c>
      <c r="G906" s="546" t="s">
        <v>171</v>
      </c>
      <c r="H906" s="543" t="s">
        <v>2860</v>
      </c>
      <c r="I906" s="6" t="str">
        <f>IFERROR(INDEX(ZACATECAS!$N$7:$N$5000, MATCH($F906, ZACATECAS!$H$7:$H$5000, 0)), "-")</f>
        <v>GENTE</v>
      </c>
    </row>
    <row r="907" spans="1:9" x14ac:dyDescent="0.3">
      <c r="A907" s="543" t="s">
        <v>2857</v>
      </c>
      <c r="B907" s="543" t="s">
        <v>2858</v>
      </c>
      <c r="C907" s="543" t="s">
        <v>164</v>
      </c>
      <c r="D907" s="543" t="s">
        <v>2876</v>
      </c>
      <c r="E907" s="6" t="str">
        <f>IFERROR(INDEX(ZACATECAS!$I$7:$I$5000, MATCH(F907*1, ZACATECAS!$H$7:$H$5000, 0)), "-")</f>
        <v>MANTENIMIENTO ELA</v>
      </c>
      <c r="F907" s="546">
        <v>32219006</v>
      </c>
      <c r="G907" s="546" t="s">
        <v>173</v>
      </c>
      <c r="H907" s="543" t="s">
        <v>2860</v>
      </c>
      <c r="I907" s="6" t="str">
        <f>IFERROR(INDEX(ZACATECAS!$N$7:$N$5000, MATCH($F907, ZACATECAS!$H$7:$H$5000, 0)), "-")</f>
        <v>SEGURIDAD</v>
      </c>
    </row>
    <row r="908" spans="1:9" x14ac:dyDescent="0.3">
      <c r="A908" s="543" t="s">
        <v>2857</v>
      </c>
      <c r="B908" s="543" t="s">
        <v>2858</v>
      </c>
      <c r="C908" s="543" t="s">
        <v>164</v>
      </c>
      <c r="D908" s="543" t="s">
        <v>2876</v>
      </c>
      <c r="E908" s="6" t="str">
        <f>IFERROR(INDEX(ZACATECAS!$I$7:$I$5000, MATCH(F908*1, ZACATECAS!$H$7:$H$5000, 0)), "-")</f>
        <v>MANTENIMIENTO ELA</v>
      </c>
      <c r="F908" s="546">
        <v>32199794</v>
      </c>
      <c r="G908" s="546" t="s">
        <v>175</v>
      </c>
      <c r="H908" s="543" t="s">
        <v>2860</v>
      </c>
      <c r="I908" s="6" t="str">
        <f>IFERROR(INDEX(ZACATECAS!$N$7:$N$5000, MATCH($F908, ZACATECAS!$H$7:$H$5000, 0)), "-")</f>
        <v>GENTE</v>
      </c>
    </row>
    <row r="909" spans="1:9" x14ac:dyDescent="0.3">
      <c r="A909" s="543" t="s">
        <v>2857</v>
      </c>
      <c r="B909" s="543" t="s">
        <v>2858</v>
      </c>
      <c r="C909" s="543" t="s">
        <v>164</v>
      </c>
      <c r="D909" s="543" t="s">
        <v>2876</v>
      </c>
      <c r="E909" s="6" t="str">
        <f>IFERROR(INDEX(ZACATECAS!$I$7:$I$5000, MATCH(F909*1, ZACATECAS!$H$7:$H$5000, 0)), "-")</f>
        <v>MANTENIMIENTO ELA</v>
      </c>
      <c r="F909" s="544">
        <v>32045043</v>
      </c>
      <c r="G909" s="544" t="s">
        <v>177</v>
      </c>
      <c r="H909" s="543" t="s">
        <v>2860</v>
      </c>
      <c r="I909" s="6" t="str">
        <f>IFERROR(INDEX(ZACATECAS!$N$7:$N$5000, MATCH($F909, ZACATECAS!$H$7:$H$5000, 0)), "-")</f>
        <v>GESTION</v>
      </c>
    </row>
    <row r="910" spans="1:9" x14ac:dyDescent="0.3">
      <c r="A910" s="543" t="s">
        <v>2857</v>
      </c>
      <c r="B910" s="543" t="s">
        <v>2858</v>
      </c>
      <c r="C910" s="543" t="s">
        <v>164</v>
      </c>
      <c r="D910" s="543" t="s">
        <v>2876</v>
      </c>
      <c r="E910" s="6" t="str">
        <f>IFERROR(INDEX(ZACATECAS!$I$7:$I$5000, MATCH(F910*1, ZACATECAS!$H$7:$H$5000, 0)), "-")</f>
        <v>MANTENIMIENTO ELA</v>
      </c>
      <c r="F910" s="545">
        <v>32045769</v>
      </c>
      <c r="G910" s="546" t="s">
        <v>180</v>
      </c>
      <c r="H910" s="543" t="s">
        <v>2860</v>
      </c>
      <c r="I910" s="6" t="str">
        <f>IFERROR(INDEX(ZACATECAS!$N$7:$N$5000, MATCH($F910, ZACATECAS!$H$7:$H$5000, 0)), "-")</f>
        <v>MANTENIMIENTO</v>
      </c>
    </row>
    <row r="911" spans="1:9" x14ac:dyDescent="0.3">
      <c r="A911" s="543" t="s">
        <v>2857</v>
      </c>
      <c r="B911" s="543" t="s">
        <v>2858</v>
      </c>
      <c r="C911" s="543" t="s">
        <v>164</v>
      </c>
      <c r="D911" s="543" t="s">
        <v>2876</v>
      </c>
      <c r="E911" s="6" t="str">
        <f>IFERROR(INDEX(ZACATECAS!$I$7:$I$5000, MATCH(F911*1, ZACATECAS!$H$7:$H$5000, 0)), "-")</f>
        <v>MANTENIMIENTO ELA</v>
      </c>
      <c r="F911" s="545">
        <v>32044789</v>
      </c>
      <c r="G911" s="546" t="s">
        <v>182</v>
      </c>
      <c r="H911" s="543" t="s">
        <v>2860</v>
      </c>
      <c r="I911" s="6" t="str">
        <f>IFERROR(INDEX(ZACATECAS!$N$7:$N$5000, MATCH($F911, ZACATECAS!$H$7:$H$5000, 0)), "-")</f>
        <v>MANTENIMIENTO</v>
      </c>
    </row>
    <row r="912" spans="1:9" x14ac:dyDescent="0.3">
      <c r="A912" s="543" t="s">
        <v>2857</v>
      </c>
      <c r="B912" s="543" t="s">
        <v>2858</v>
      </c>
      <c r="C912" s="543" t="s">
        <v>164</v>
      </c>
      <c r="D912" s="543" t="s">
        <v>2876</v>
      </c>
      <c r="E912" s="6" t="str">
        <f>IFERROR(INDEX(ZACATECAS!$I$7:$I$5000, MATCH(F912*1, ZACATECAS!$H$7:$H$5000, 0)), "-")</f>
        <v>MANTENIMIENTO ELA</v>
      </c>
      <c r="F912" s="545">
        <v>32176714</v>
      </c>
      <c r="G912" s="546" t="s">
        <v>184</v>
      </c>
      <c r="H912" s="543" t="s">
        <v>2860</v>
      </c>
      <c r="I912" s="6" t="str">
        <f>IFERROR(INDEX(ZACATECAS!$N$7:$N$5000, MATCH($F912, ZACATECAS!$H$7:$H$5000, 0)), "-")</f>
        <v>CALIDAD</v>
      </c>
    </row>
    <row r="913" spans="1:9" x14ac:dyDescent="0.3">
      <c r="A913" s="543" t="s">
        <v>2857</v>
      </c>
      <c r="B913" s="543" t="s">
        <v>2858</v>
      </c>
      <c r="C913" s="543" t="s">
        <v>164</v>
      </c>
      <c r="D913" s="543" t="s">
        <v>2876</v>
      </c>
      <c r="E913" s="6" t="str">
        <f>IFERROR(INDEX(ZACATECAS!$I$7:$I$5000, MATCH(F913*1, ZACATECAS!$H$7:$H$5000, 0)), "-")</f>
        <v>MANTENIMIENTO ELA</v>
      </c>
      <c r="F913" s="545">
        <v>32044909</v>
      </c>
      <c r="G913" s="546" t="s">
        <v>186</v>
      </c>
      <c r="H913" s="543" t="s">
        <v>2860</v>
      </c>
      <c r="I913" s="6" t="str">
        <f>IFERROR(INDEX(ZACATECAS!$N$7:$N$5000, MATCH($F913, ZACATECAS!$H$7:$H$5000, 0)), "-")</f>
        <v>SEGURIDAD</v>
      </c>
    </row>
    <row r="914" spans="1:9" x14ac:dyDescent="0.3">
      <c r="A914" s="543" t="s">
        <v>2857</v>
      </c>
      <c r="B914" s="543" t="s">
        <v>2858</v>
      </c>
      <c r="C914" s="543" t="s">
        <v>164</v>
      </c>
      <c r="D914" s="543" t="s">
        <v>2876</v>
      </c>
      <c r="E914" s="6" t="str">
        <f>IFERROR(INDEX(ZACATECAS!$I$7:$I$5000, MATCH(F914*1, ZACATECAS!$H$7:$H$5000, 0)), "-")</f>
        <v>MANTENIMIENTO ELA</v>
      </c>
      <c r="F914" s="545">
        <v>32045106</v>
      </c>
      <c r="G914" s="546" t="s">
        <v>188</v>
      </c>
      <c r="H914" s="543" t="s">
        <v>2860</v>
      </c>
      <c r="I914" s="6" t="str">
        <f>IFERROR(INDEX(ZACATECAS!$N$7:$N$5000, MATCH($F914, ZACATECAS!$H$7:$H$5000, 0)), "-")</f>
        <v>GESTION</v>
      </c>
    </row>
    <row r="915" spans="1:9" x14ac:dyDescent="0.3">
      <c r="A915" s="543" t="s">
        <v>2857</v>
      </c>
      <c r="B915" s="543" t="s">
        <v>2858</v>
      </c>
      <c r="C915" s="543" t="s">
        <v>164</v>
      </c>
      <c r="D915" s="543" t="s">
        <v>2876</v>
      </c>
      <c r="E915" s="6" t="str">
        <f>IFERROR(INDEX(ZACATECAS!$I$7:$I$5000, MATCH(F915*1, ZACATECAS!$H$7:$H$5000, 0)), "-")</f>
        <v>MANTENIMIENTO ELA</v>
      </c>
      <c r="F915" s="544">
        <v>32045769</v>
      </c>
      <c r="G915" s="544" t="s">
        <v>190</v>
      </c>
      <c r="H915" s="543" t="s">
        <v>2860</v>
      </c>
      <c r="I915" s="6" t="str">
        <f>IFERROR(INDEX(ZACATECAS!$N$7:$N$5000, MATCH($F915, ZACATECAS!$H$7:$H$5000, 0)), "-")</f>
        <v>MANTENIMIENTO</v>
      </c>
    </row>
    <row r="916" spans="1:9" x14ac:dyDescent="0.3">
      <c r="A916" s="543" t="s">
        <v>2857</v>
      </c>
      <c r="B916" s="543" t="s">
        <v>2858</v>
      </c>
      <c r="C916" s="543" t="s">
        <v>164</v>
      </c>
      <c r="D916" s="543" t="s">
        <v>2876</v>
      </c>
      <c r="E916" s="6" t="str">
        <f>IFERROR(INDEX(ZACATECAS!$I$7:$I$5000, MATCH(F916*1, ZACATECAS!$H$7:$H$5000, 0)), "-")</f>
        <v>MANTENIMIENTO ELA</v>
      </c>
      <c r="F916" s="545">
        <v>32045769</v>
      </c>
      <c r="G916" s="546" t="s">
        <v>191</v>
      </c>
      <c r="H916" s="543" t="s">
        <v>2860</v>
      </c>
      <c r="I916" s="6" t="str">
        <f>IFERROR(INDEX(ZACATECAS!$N$7:$N$5000, MATCH($F916, ZACATECAS!$H$7:$H$5000, 0)), "-")</f>
        <v>MANTENIMIENTO</v>
      </c>
    </row>
    <row r="917" spans="1:9" x14ac:dyDescent="0.3">
      <c r="A917" s="543" t="s">
        <v>2857</v>
      </c>
      <c r="B917" s="543" t="s">
        <v>2858</v>
      </c>
      <c r="C917" s="543" t="s">
        <v>164</v>
      </c>
      <c r="D917" s="543" t="s">
        <v>2876</v>
      </c>
      <c r="E917" s="6" t="str">
        <f>IFERROR(INDEX(ZACATECAS!$I$7:$I$5000, MATCH(F917*1, ZACATECAS!$H$7:$H$5000, 0)), "-")</f>
        <v>MANTENIMIENTO ELA</v>
      </c>
      <c r="F917" s="545">
        <v>32043804</v>
      </c>
      <c r="G917" s="546" t="s">
        <v>192</v>
      </c>
      <c r="H917" s="543" t="s">
        <v>2860</v>
      </c>
      <c r="I917" s="6" t="str">
        <f>IFERROR(INDEX(ZACATECAS!$N$7:$N$5000, MATCH($F917, ZACATECAS!$H$7:$H$5000, 0)), "-")</f>
        <v>AMBIENTAL</v>
      </c>
    </row>
    <row r="918" spans="1:9" x14ac:dyDescent="0.3">
      <c r="A918" s="543" t="s">
        <v>2857</v>
      </c>
      <c r="B918" s="543" t="s">
        <v>2858</v>
      </c>
      <c r="C918" s="543" t="s">
        <v>164</v>
      </c>
      <c r="D918" s="543" t="s">
        <v>2876</v>
      </c>
      <c r="E918" s="6" t="str">
        <f>IFERROR(INDEX(ZACATECAS!$I$7:$I$5000, MATCH(F918*1, ZACATECAS!$H$7:$H$5000, 0)), "-")</f>
        <v>MANTENIMIENTO ELA</v>
      </c>
      <c r="F918" s="545">
        <v>32173447</v>
      </c>
      <c r="G918" s="546" t="s">
        <v>194</v>
      </c>
      <c r="H918" s="543" t="s">
        <v>2860</v>
      </c>
      <c r="I918" s="6" t="str">
        <f>IFERROR(INDEX(ZACATECAS!$N$7:$N$5000, MATCH($F918, ZACATECAS!$H$7:$H$5000, 0)), "-")</f>
        <v>AMBIENTAL</v>
      </c>
    </row>
    <row r="919" spans="1:9" x14ac:dyDescent="0.3">
      <c r="A919" s="543" t="s">
        <v>2857</v>
      </c>
      <c r="B919" s="543" t="s">
        <v>2858</v>
      </c>
      <c r="C919" s="543" t="s">
        <v>2363</v>
      </c>
      <c r="D919" s="543" t="s">
        <v>2869</v>
      </c>
      <c r="E919" s="6" t="str">
        <f>IFERROR(INDEX(ZACATECAS!$I$7:$I$5000, MATCH(F919*1, ZACATECAS!$H$7:$H$5000, 0)), "-")</f>
        <v>-</v>
      </c>
      <c r="F919" s="545">
        <v>32198469</v>
      </c>
      <c r="G919" s="546" t="s">
        <v>1587</v>
      </c>
      <c r="H919" s="543" t="s">
        <v>2344</v>
      </c>
      <c r="I919" s="6" t="str">
        <f>IFERROR(INDEX(ZACATECAS!$N$7:$N$5000, MATCH($F919, ZACATECAS!$H$7:$H$5000, 0)), "-")</f>
        <v>-</v>
      </c>
    </row>
    <row r="920" spans="1:9" x14ac:dyDescent="0.3">
      <c r="A920" s="543" t="s">
        <v>2857</v>
      </c>
      <c r="B920" s="543" t="s">
        <v>2858</v>
      </c>
      <c r="C920" s="543" t="s">
        <v>2363</v>
      </c>
      <c r="D920" s="543" t="s">
        <v>2869</v>
      </c>
      <c r="E920" s="6" t="str">
        <f>IFERROR(INDEX(ZACATECAS!$I$7:$I$5000, MATCH(F920*1, ZACATECAS!$H$7:$H$5000, 0)), "-")</f>
        <v>ANDENES</v>
      </c>
      <c r="F920" s="545">
        <v>32178734</v>
      </c>
      <c r="G920" s="546" t="s">
        <v>1588</v>
      </c>
      <c r="H920" s="543" t="s">
        <v>2860</v>
      </c>
      <c r="I920" s="6" t="str">
        <f>IFERROR(INDEX(ZACATECAS!$N$7:$N$5000, MATCH($F920, ZACATECAS!$H$7:$H$5000, 0)), "-")</f>
        <v>LOGÍSTICA</v>
      </c>
    </row>
    <row r="921" spans="1:9" x14ac:dyDescent="0.3">
      <c r="A921" s="543" t="s">
        <v>2857</v>
      </c>
      <c r="B921" s="543" t="s">
        <v>2858</v>
      </c>
      <c r="C921" s="543" t="s">
        <v>2363</v>
      </c>
      <c r="D921" s="543" t="s">
        <v>2869</v>
      </c>
      <c r="E921" s="6" t="str">
        <f>IFERROR(INDEX(ZACATECAS!$I$7:$I$5000, MATCH(F921*1, ZACATECAS!$H$7:$H$5000, 0)), "-")</f>
        <v>ANDENES</v>
      </c>
      <c r="F921" s="545">
        <v>32057882</v>
      </c>
      <c r="G921" s="546" t="s">
        <v>1661</v>
      </c>
      <c r="H921" s="543" t="s">
        <v>2860</v>
      </c>
      <c r="I921" s="6" t="str">
        <f>IFERROR(INDEX(ZACATECAS!$N$7:$N$5000, MATCH($F921, ZACATECAS!$H$7:$H$5000, 0)), "-")</f>
        <v>MEDIO AMBIENTE</v>
      </c>
    </row>
    <row r="922" spans="1:9" x14ac:dyDescent="0.3">
      <c r="A922" s="543" t="s">
        <v>2857</v>
      </c>
      <c r="B922" s="543" t="s">
        <v>2858</v>
      </c>
      <c r="C922" s="543" t="s">
        <v>2363</v>
      </c>
      <c r="D922" s="543" t="s">
        <v>2869</v>
      </c>
      <c r="E922" s="6" t="str">
        <f>IFERROR(INDEX(ZACATECAS!$I$7:$I$5000, MATCH(F922*1, ZACATECAS!$H$7:$H$5000, 0)), "-")</f>
        <v>ANDENES</v>
      </c>
      <c r="F922" s="545">
        <v>32178732</v>
      </c>
      <c r="G922" s="546" t="s">
        <v>1662</v>
      </c>
      <c r="H922" s="543" t="s">
        <v>2860</v>
      </c>
      <c r="I922" s="6" t="str">
        <f>IFERROR(INDEX(ZACATECAS!$N$7:$N$5000, MATCH($F922, ZACATECAS!$H$7:$H$5000, 0)), "-")</f>
        <v>GESTIÓN</v>
      </c>
    </row>
    <row r="923" spans="1:9" x14ac:dyDescent="0.3">
      <c r="A923" s="543" t="s">
        <v>2857</v>
      </c>
      <c r="B923" s="543" t="s">
        <v>2858</v>
      </c>
      <c r="C923" s="543" t="s">
        <v>2363</v>
      </c>
      <c r="D923" s="543" t="s">
        <v>2869</v>
      </c>
      <c r="E923" s="6" t="str">
        <f>IFERROR(INDEX(ZACATECAS!$I$7:$I$5000, MATCH(F923*1, ZACATECAS!$H$7:$H$5000, 0)), "-")</f>
        <v>ANDENES</v>
      </c>
      <c r="F923" s="544">
        <v>32061297</v>
      </c>
      <c r="G923" s="544" t="s">
        <v>1663</v>
      </c>
      <c r="H923" s="543" t="s">
        <v>2860</v>
      </c>
      <c r="I923" s="6" t="str">
        <f>IFERROR(INDEX(ZACATECAS!$N$7:$N$5000, MATCH($F923, ZACATECAS!$H$7:$H$5000, 0)), "-")</f>
        <v>LOGÍSTICA</v>
      </c>
    </row>
    <row r="924" spans="1:9" x14ac:dyDescent="0.3">
      <c r="A924" s="543" t="s">
        <v>2857</v>
      </c>
      <c r="B924" s="543" t="s">
        <v>2858</v>
      </c>
      <c r="C924" s="543" t="s">
        <v>2363</v>
      </c>
      <c r="D924" s="543" t="s">
        <v>2869</v>
      </c>
      <c r="E924" s="6" t="str">
        <f>IFERROR(INDEX(ZACATECAS!$I$7:$I$5000, MATCH(F924*1, ZACATECAS!$H$7:$H$5000, 0)), "-")</f>
        <v>ANDENES</v>
      </c>
      <c r="F924" s="543">
        <v>32046276</v>
      </c>
      <c r="G924" s="543" t="s">
        <v>1664</v>
      </c>
      <c r="H924" s="543" t="s">
        <v>2860</v>
      </c>
      <c r="I924" s="6" t="str">
        <f>IFERROR(INDEX(ZACATECAS!$N$7:$N$5000, MATCH($F924, ZACATECAS!$H$7:$H$5000, 0)), "-")</f>
        <v>PEOPLE</v>
      </c>
    </row>
    <row r="925" spans="1:9" x14ac:dyDescent="0.3">
      <c r="A925" s="543" t="s">
        <v>2857</v>
      </c>
      <c r="B925" s="543" t="s">
        <v>2858</v>
      </c>
      <c r="C925" s="543" t="s">
        <v>2363</v>
      </c>
      <c r="D925" s="543" t="s">
        <v>2869</v>
      </c>
      <c r="E925" s="6" t="str">
        <f>IFERROR(INDEX(ZACATECAS!$I$7:$I$5000, MATCH(F925*1, ZACATECAS!$H$7:$H$5000, 0)), "-")</f>
        <v>ANDENES</v>
      </c>
      <c r="F925" s="543">
        <v>32217092</v>
      </c>
      <c r="G925" s="543" t="s">
        <v>1665</v>
      </c>
      <c r="H925" s="543" t="s">
        <v>2860</v>
      </c>
      <c r="I925" s="6" t="str">
        <f>IFERROR(INDEX(ZACATECAS!$N$7:$N$5000, MATCH($F925, ZACATECAS!$H$7:$H$5000, 0)), "-")</f>
        <v>SEGURIDAD</v>
      </c>
    </row>
    <row r="926" spans="1:9" x14ac:dyDescent="0.3">
      <c r="A926" s="543" t="s">
        <v>2857</v>
      </c>
      <c r="B926" s="543" t="s">
        <v>2858</v>
      </c>
      <c r="C926" s="543" t="s">
        <v>2363</v>
      </c>
      <c r="D926" s="543" t="s">
        <v>2869</v>
      </c>
      <c r="E926" s="6" t="str">
        <f>IFERROR(INDEX(ZACATECAS!$I$7:$I$5000, MATCH(F926*1, ZACATECAS!$H$7:$H$5000, 0)), "-")</f>
        <v>ANDENES</v>
      </c>
      <c r="F926" s="543">
        <v>32044359</v>
      </c>
      <c r="G926" s="543" t="s">
        <v>1666</v>
      </c>
      <c r="H926" s="543" t="s">
        <v>2860</v>
      </c>
      <c r="I926" s="6" t="str">
        <f>IFERROR(INDEX(ZACATECAS!$N$7:$N$5000, MATCH($F926, ZACATECAS!$H$7:$H$5000, 0)), "-")</f>
        <v>MANTENIMIENTO</v>
      </c>
    </row>
    <row r="927" spans="1:9" x14ac:dyDescent="0.3">
      <c r="A927" s="543" t="s">
        <v>2857</v>
      </c>
      <c r="B927" s="543" t="s">
        <v>2858</v>
      </c>
      <c r="C927" s="543" t="s">
        <v>2363</v>
      </c>
      <c r="D927" s="543" t="s">
        <v>2869</v>
      </c>
      <c r="E927" s="6" t="str">
        <f>IFERROR(INDEX(ZACATECAS!$I$7:$I$5000, MATCH(F927*1, ZACATECAS!$H$7:$H$5000, 0)), "-")</f>
        <v>ANDENES</v>
      </c>
      <c r="F927" s="543">
        <v>32046393</v>
      </c>
      <c r="G927" s="543" t="s">
        <v>1667</v>
      </c>
      <c r="H927" s="543" t="s">
        <v>2860</v>
      </c>
      <c r="I927" s="6" t="str">
        <f>IFERROR(INDEX(ZACATECAS!$N$7:$N$5000, MATCH($F927, ZACATECAS!$H$7:$H$5000, 0)), "-")</f>
        <v>PEOPLE</v>
      </c>
    </row>
    <row r="928" spans="1:9" x14ac:dyDescent="0.3">
      <c r="A928" s="543" t="s">
        <v>2857</v>
      </c>
      <c r="B928" s="543" t="s">
        <v>2858</v>
      </c>
      <c r="C928" s="543" t="s">
        <v>2363</v>
      </c>
      <c r="D928" s="543" t="s">
        <v>2869</v>
      </c>
      <c r="E928" s="6" t="str">
        <f>IFERROR(INDEX(ZACATECAS!$I$7:$I$5000, MATCH(F928*1, ZACATECAS!$H$7:$H$5000, 0)), "-")</f>
        <v>ANDENES</v>
      </c>
      <c r="F928" s="543">
        <v>32230188</v>
      </c>
      <c r="G928" s="543" t="s">
        <v>1668</v>
      </c>
      <c r="H928" s="543" t="s">
        <v>2860</v>
      </c>
      <c r="I928" s="6" t="str">
        <f>IFERROR(INDEX(ZACATECAS!$N$7:$N$5000, MATCH($F928, ZACATECAS!$H$7:$H$5000, 0)), "-")</f>
        <v>SEGURIDAD</v>
      </c>
    </row>
    <row r="929" spans="1:9" x14ac:dyDescent="0.3">
      <c r="A929" s="543" t="s">
        <v>2857</v>
      </c>
      <c r="B929" s="543" t="s">
        <v>2858</v>
      </c>
      <c r="C929" s="543" t="s">
        <v>2363</v>
      </c>
      <c r="D929" s="543" t="s">
        <v>2869</v>
      </c>
      <c r="E929" s="6" t="str">
        <f>IFERROR(INDEX(ZACATECAS!$I$7:$I$5000, MATCH(F929*1, ZACATECAS!$H$7:$H$5000, 0)), "-")</f>
        <v>ANDENES</v>
      </c>
      <c r="F929" s="543">
        <v>32045010</v>
      </c>
      <c r="G929" s="543" t="s">
        <v>1669</v>
      </c>
      <c r="H929" s="543" t="s">
        <v>2860</v>
      </c>
      <c r="I929" s="6" t="str">
        <f>IFERROR(INDEX(ZACATECAS!$N$7:$N$5000, MATCH($F929, ZACATECAS!$H$7:$H$5000, 0)), "-")</f>
        <v>CALIDAD</v>
      </c>
    </row>
    <row r="930" spans="1:9" x14ac:dyDescent="0.3">
      <c r="A930" s="543" t="s">
        <v>2857</v>
      </c>
      <c r="B930" s="543" t="s">
        <v>2858</v>
      </c>
      <c r="C930" s="543" t="s">
        <v>2363</v>
      </c>
      <c r="D930" s="543" t="s">
        <v>2869</v>
      </c>
      <c r="E930" s="6" t="str">
        <f>IFERROR(INDEX(ZACATECAS!$I$7:$I$5000, MATCH(F930*1, ZACATECAS!$H$7:$H$5000, 0)), "-")</f>
        <v>ANDENES</v>
      </c>
      <c r="F930" s="543">
        <v>32063478</v>
      </c>
      <c r="G930" s="543" t="s">
        <v>1670</v>
      </c>
      <c r="H930" s="543" t="s">
        <v>2860</v>
      </c>
      <c r="I930" s="6" t="str">
        <f>IFERROR(INDEX(ZACATECAS!$N$7:$N$5000, MATCH($F930, ZACATECAS!$H$7:$H$5000, 0)), "-")</f>
        <v>MANTENIMIENTO</v>
      </c>
    </row>
    <row r="931" spans="1:9" x14ac:dyDescent="0.3">
      <c r="A931" s="543" t="s">
        <v>2857</v>
      </c>
      <c r="B931" s="543" t="s">
        <v>2858</v>
      </c>
      <c r="C931" s="543" t="s">
        <v>2312</v>
      </c>
      <c r="D931" s="543" t="s">
        <v>2859</v>
      </c>
      <c r="E931" s="6" t="str">
        <f>IFERROR(INDEX(ZACATECAS!$I$7:$I$5000, MATCH(F931*1, ZACATECAS!$H$7:$H$5000, 0)), "-")</f>
        <v>-</v>
      </c>
      <c r="F931" s="543">
        <v>32045081</v>
      </c>
      <c r="G931" s="543" t="s">
        <v>2313</v>
      </c>
      <c r="H931" s="543" t="s">
        <v>2344</v>
      </c>
      <c r="I931" s="6" t="str">
        <f>IFERROR(INDEX(ZACATECAS!$N$7:$N$5000, MATCH($F931, ZACATECAS!$H$7:$H$5000, 0)), "-")</f>
        <v>-</v>
      </c>
    </row>
    <row r="932" spans="1:9" x14ac:dyDescent="0.3">
      <c r="A932" s="543" t="s">
        <v>2857</v>
      </c>
      <c r="B932" s="543" t="s">
        <v>2858</v>
      </c>
      <c r="C932" s="543" t="s">
        <v>2312</v>
      </c>
      <c r="D932" s="543" t="s">
        <v>2859</v>
      </c>
      <c r="E932" s="6" t="str">
        <f>IFERROR(INDEX(ZACATECAS!$I$7:$I$5000, MATCH(F932*1, ZACATECAS!$H$7:$H$5000, 0)), "-")</f>
        <v>C &amp; A</v>
      </c>
      <c r="F932" s="543">
        <v>32044306</v>
      </c>
      <c r="G932" s="543" t="s">
        <v>2314</v>
      </c>
      <c r="H932" s="543" t="s">
        <v>2860</v>
      </c>
      <c r="I932" s="6" t="str">
        <f>IFERROR(INDEX(ZACATECAS!$N$7:$N$5000, MATCH($F932, ZACATECAS!$H$7:$H$5000, 0)), "-")</f>
        <v>SEGURIDAD</v>
      </c>
    </row>
    <row r="933" spans="1:9" x14ac:dyDescent="0.3">
      <c r="A933" s="543" t="s">
        <v>2857</v>
      </c>
      <c r="B933" s="543" t="s">
        <v>2858</v>
      </c>
      <c r="C933" s="543" t="s">
        <v>2312</v>
      </c>
      <c r="D933" s="543" t="s">
        <v>2859</v>
      </c>
      <c r="E933" s="6" t="str">
        <f>IFERROR(INDEX(ZACATECAS!$I$7:$I$5000, MATCH(F933*1, ZACATECAS!$H$7:$H$5000, 0)), "-")</f>
        <v>C &amp; A</v>
      </c>
      <c r="F933" s="546">
        <v>32064462</v>
      </c>
      <c r="G933" s="546" t="s">
        <v>2315</v>
      </c>
      <c r="H933" s="543" t="s">
        <v>2860</v>
      </c>
      <c r="I933" s="6" t="str">
        <f>IFERROR(INDEX(ZACATECAS!$N$7:$N$5000, MATCH($F933, ZACATECAS!$H$7:$H$5000, 0)), "-")</f>
        <v>GESTION</v>
      </c>
    </row>
    <row r="934" spans="1:9" x14ac:dyDescent="0.3">
      <c r="A934" s="543" t="s">
        <v>2857</v>
      </c>
      <c r="B934" s="543" t="s">
        <v>2858</v>
      </c>
      <c r="C934" s="543" t="s">
        <v>2312</v>
      </c>
      <c r="D934" s="543" t="s">
        <v>2859</v>
      </c>
      <c r="E934" s="6" t="str">
        <f>IFERROR(INDEX(ZACATECAS!$I$7:$I$5000, MATCH(F934*1, ZACATECAS!$H$7:$H$5000, 0)), "-")</f>
        <v>C &amp; A</v>
      </c>
      <c r="F934" s="546">
        <v>32043837</v>
      </c>
      <c r="G934" s="546" t="s">
        <v>2316</v>
      </c>
      <c r="H934" s="543" t="s">
        <v>2860</v>
      </c>
      <c r="I934" s="6" t="str">
        <f>IFERROR(INDEX(ZACATECAS!$N$7:$N$5000, MATCH($F934, ZACATECAS!$H$7:$H$5000, 0)), "-")</f>
        <v>MANTENIMIENTO</v>
      </c>
    </row>
    <row r="935" spans="1:9" x14ac:dyDescent="0.3">
      <c r="A935" s="543" t="s">
        <v>2857</v>
      </c>
      <c r="B935" s="543" t="s">
        <v>2858</v>
      </c>
      <c r="C935" s="543" t="s">
        <v>2312</v>
      </c>
      <c r="D935" s="543" t="s">
        <v>2859</v>
      </c>
      <c r="E935" s="6" t="str">
        <f>IFERROR(INDEX(ZACATECAS!$I$7:$I$5000, MATCH(F935*1, ZACATECAS!$H$7:$H$5000, 0)), "-")</f>
        <v>C &amp; A</v>
      </c>
      <c r="F935" s="546">
        <v>32045048</v>
      </c>
      <c r="G935" s="546" t="s">
        <v>2317</v>
      </c>
      <c r="H935" s="543" t="s">
        <v>2860</v>
      </c>
      <c r="I935" s="6" t="str">
        <f>IFERROR(INDEX(ZACATECAS!$N$7:$N$5000, MATCH($F935, ZACATECAS!$H$7:$H$5000, 0)), "-")</f>
        <v>CALIDAD</v>
      </c>
    </row>
    <row r="936" spans="1:9" x14ac:dyDescent="0.3">
      <c r="A936" s="543" t="s">
        <v>2857</v>
      </c>
      <c r="B936" s="543" t="s">
        <v>2858</v>
      </c>
      <c r="C936" s="543" t="s">
        <v>2312</v>
      </c>
      <c r="D936" s="543" t="s">
        <v>2859</v>
      </c>
      <c r="E936" s="6" t="str">
        <f>IFERROR(INDEX(ZACATECAS!$I$7:$I$5000, MATCH(F936*1, ZACATECAS!$H$7:$H$5000, 0)), "-")</f>
        <v>C &amp; A</v>
      </c>
      <c r="F936" s="546">
        <v>32043846</v>
      </c>
      <c r="G936" s="546" t="s">
        <v>2318</v>
      </c>
      <c r="H936" s="543" t="s">
        <v>2860</v>
      </c>
      <c r="I936" s="6" t="str">
        <f>IFERROR(INDEX(ZACATECAS!$N$7:$N$5000, MATCH($F936, ZACATECAS!$H$7:$H$5000, 0)), "-")</f>
        <v>MEDIO AMBIENTE</v>
      </c>
    </row>
    <row r="937" spans="1:9" x14ac:dyDescent="0.3">
      <c r="A937" s="543" t="s">
        <v>2857</v>
      </c>
      <c r="B937" s="543" t="s">
        <v>2858</v>
      </c>
      <c r="C937" s="543" t="s">
        <v>2153</v>
      </c>
      <c r="D937" s="543" t="s">
        <v>2859</v>
      </c>
      <c r="E937" s="6" t="str">
        <f>IFERROR(INDEX(ZACATECAS!$I$7:$I$5000, MATCH(F937*1, ZACATECAS!$H$7:$H$5000, 0)), "-")</f>
        <v>-</v>
      </c>
      <c r="F937" s="546">
        <v>32055317</v>
      </c>
      <c r="G937" s="546" t="s">
        <v>2154</v>
      </c>
      <c r="H937" s="543" t="s">
        <v>2344</v>
      </c>
      <c r="I937" s="6" t="str">
        <f>IFERROR(INDEX(ZACATECAS!$N$7:$N$5000, MATCH($F937, ZACATECAS!$H$7:$H$5000, 0)), "-")</f>
        <v>-</v>
      </c>
    </row>
    <row r="938" spans="1:9" x14ac:dyDescent="0.3">
      <c r="A938" s="543" t="s">
        <v>2857</v>
      </c>
      <c r="B938" s="543" t="s">
        <v>2858</v>
      </c>
      <c r="C938" s="543" t="s">
        <v>2153</v>
      </c>
      <c r="D938" s="543" t="s">
        <v>2859</v>
      </c>
      <c r="E938" s="6" t="str">
        <f>IFERROR(INDEX(ZACATECAS!$I$7:$I$5000, MATCH(F938*1, ZACATECAS!$H$7:$H$5000, 0)), "-")</f>
        <v>ENV 1</v>
      </c>
      <c r="F938" s="546">
        <v>32044526</v>
      </c>
      <c r="G938" s="546" t="s">
        <v>2155</v>
      </c>
      <c r="H938" s="543" t="s">
        <v>2860</v>
      </c>
      <c r="I938" s="6" t="str">
        <f>IFERROR(INDEX(ZACATECAS!$N$7:$N$5000, MATCH($F938, ZACATECAS!$H$7:$H$5000, 0)), "-")</f>
        <v>GESTION</v>
      </c>
    </row>
    <row r="939" spans="1:9" x14ac:dyDescent="0.3">
      <c r="A939" s="543" t="s">
        <v>2857</v>
      </c>
      <c r="B939" s="543" t="s">
        <v>2858</v>
      </c>
      <c r="C939" s="543" t="s">
        <v>2153</v>
      </c>
      <c r="D939" s="543" t="s">
        <v>2859</v>
      </c>
      <c r="E939" s="6" t="str">
        <f>IFERROR(INDEX(ZACATECAS!$I$7:$I$5000, MATCH(F939*1, ZACATECAS!$H$7:$H$5000, 0)), "-")</f>
        <v>ENV 1</v>
      </c>
      <c r="F939" s="546">
        <v>32044441</v>
      </c>
      <c r="G939" s="546" t="s">
        <v>2156</v>
      </c>
      <c r="H939" s="543" t="s">
        <v>2860</v>
      </c>
      <c r="I939" s="6" t="str">
        <f>IFERROR(INDEX(ZACATECAS!$N$7:$N$5000, MATCH($F939, ZACATECAS!$H$7:$H$5000, 0)), "-")</f>
        <v>SEGURIDAD</v>
      </c>
    </row>
    <row r="940" spans="1:9" x14ac:dyDescent="0.3">
      <c r="A940" s="543" t="s">
        <v>2857</v>
      </c>
      <c r="B940" s="543" t="s">
        <v>2858</v>
      </c>
      <c r="C940" s="543" t="s">
        <v>2153</v>
      </c>
      <c r="D940" s="543" t="s">
        <v>2859</v>
      </c>
      <c r="E940" s="6" t="str">
        <f>IFERROR(INDEX(ZACATECAS!$I$7:$I$5000, MATCH(F940*1, ZACATECAS!$H$7:$H$5000, 0)), "-")</f>
        <v>ENV 1</v>
      </c>
      <c r="F940" s="546">
        <v>32046677</v>
      </c>
      <c r="G940" s="546" t="s">
        <v>2157</v>
      </c>
      <c r="H940" s="543" t="s">
        <v>2860</v>
      </c>
      <c r="I940" s="6" t="str">
        <f>IFERROR(INDEX(ZACATECAS!$N$7:$N$5000, MATCH($F940, ZACATECAS!$H$7:$H$5000, 0)), "-")</f>
        <v>APOYO SEGURIDAD</v>
      </c>
    </row>
    <row r="941" spans="1:9" x14ac:dyDescent="0.3">
      <c r="A941" s="543" t="s">
        <v>2857</v>
      </c>
      <c r="B941" s="543" t="s">
        <v>2858</v>
      </c>
      <c r="C941" s="543" t="s">
        <v>2153</v>
      </c>
      <c r="D941" s="543" t="s">
        <v>2859</v>
      </c>
      <c r="E941" s="6" t="str">
        <f>IFERROR(INDEX(ZACATECAS!$I$7:$I$5000, MATCH(F941*1, ZACATECAS!$H$7:$H$5000, 0)), "-")</f>
        <v>ENV 1</v>
      </c>
      <c r="F941" s="546">
        <v>32149469</v>
      </c>
      <c r="G941" s="546" t="s">
        <v>2158</v>
      </c>
      <c r="H941" s="543" t="s">
        <v>2860</v>
      </c>
      <c r="I941" s="6" t="str">
        <f>IFERROR(INDEX(ZACATECAS!$N$7:$N$5000, MATCH($F941, ZACATECAS!$H$7:$H$5000, 0)), "-")</f>
        <v>MANTENIMIENTO</v>
      </c>
    </row>
    <row r="942" spans="1:9" x14ac:dyDescent="0.3">
      <c r="A942" s="543" t="s">
        <v>2857</v>
      </c>
      <c r="B942" s="543" t="s">
        <v>2858</v>
      </c>
      <c r="C942" s="543" t="s">
        <v>2153</v>
      </c>
      <c r="D942" s="543" t="s">
        <v>2859</v>
      </c>
      <c r="E942" s="6" t="str">
        <f>IFERROR(INDEX(ZACATECAS!$I$7:$I$5000, MATCH(F942*1, ZACATECAS!$H$7:$H$5000, 0)), "-")</f>
        <v>ENV 1</v>
      </c>
      <c r="F942" s="546">
        <v>32044223</v>
      </c>
      <c r="G942" s="546" t="s">
        <v>2159</v>
      </c>
      <c r="H942" s="543" t="s">
        <v>2860</v>
      </c>
      <c r="I942" s="6" t="str">
        <f>IFERROR(INDEX(ZACATECAS!$N$7:$N$5000, MATCH($F942, ZACATECAS!$H$7:$H$5000, 0)), "-")</f>
        <v>MEDIO AMBIENTE</v>
      </c>
    </row>
    <row r="943" spans="1:9" x14ac:dyDescent="0.3">
      <c r="A943" s="543" t="s">
        <v>2857</v>
      </c>
      <c r="B943" s="543" t="s">
        <v>2858</v>
      </c>
      <c r="C943" s="543" t="s">
        <v>2153</v>
      </c>
      <c r="D943" s="543" t="s">
        <v>2859</v>
      </c>
      <c r="E943" s="6" t="str">
        <f>IFERROR(INDEX(ZACATECAS!$I$7:$I$5000, MATCH(F943*1, ZACATECAS!$H$7:$H$5000, 0)), "-")</f>
        <v>ENV 1</v>
      </c>
      <c r="F943" s="546">
        <v>32044825</v>
      </c>
      <c r="G943" s="546" t="s">
        <v>2160</v>
      </c>
      <c r="H943" s="543" t="s">
        <v>2860</v>
      </c>
      <c r="I943" s="6" t="str">
        <f>IFERROR(INDEX(ZACATECAS!$N$7:$N$5000, MATCH($F943, ZACATECAS!$H$7:$H$5000, 0)), "-")</f>
        <v>GENTE</v>
      </c>
    </row>
    <row r="944" spans="1:9" x14ac:dyDescent="0.3">
      <c r="A944" s="543" t="s">
        <v>2857</v>
      </c>
      <c r="B944" s="543" t="s">
        <v>2858</v>
      </c>
      <c r="C944" s="543" t="s">
        <v>2153</v>
      </c>
      <c r="D944" s="543" t="s">
        <v>2859</v>
      </c>
      <c r="E944" s="6" t="str">
        <f>IFERROR(INDEX(ZACATECAS!$I$7:$I$5000, MATCH(F944*1, ZACATECAS!$H$7:$H$5000, 0)), "-")</f>
        <v>ENV 1</v>
      </c>
      <c r="F944" s="546">
        <v>32044065</v>
      </c>
      <c r="G944" s="546" t="s">
        <v>2161</v>
      </c>
      <c r="H944" s="543" t="s">
        <v>2860</v>
      </c>
      <c r="I944" s="6" t="str">
        <f>IFERROR(INDEX(ZACATECAS!$N$7:$N$5000, MATCH($F944, ZACATECAS!$H$7:$H$5000, 0)), "-")</f>
        <v>CALIDAD</v>
      </c>
    </row>
    <row r="945" spans="1:9" x14ac:dyDescent="0.3">
      <c r="A945" s="543" t="s">
        <v>2857</v>
      </c>
      <c r="B945" s="543" t="s">
        <v>2858</v>
      </c>
      <c r="C945" s="543" t="s">
        <v>2877</v>
      </c>
      <c r="D945" s="543" t="s">
        <v>2869</v>
      </c>
      <c r="E945" s="6" t="str">
        <f>IFERROR(INDEX(ZACATECAS!$I$7:$I$5000, MATCH(F945*1, ZACATECAS!$H$7:$H$5000, 0)), "-")</f>
        <v>-</v>
      </c>
      <c r="F945" s="546">
        <v>32174892</v>
      </c>
      <c r="G945" s="546" t="s">
        <v>1673</v>
      </c>
      <c r="H945" s="543" t="s">
        <v>2344</v>
      </c>
      <c r="I945" s="6" t="str">
        <f>IFERROR(INDEX(ZACATECAS!$N$7:$N$5000, MATCH($F945, ZACATECAS!$H$7:$H$5000, 0)), "-")</f>
        <v>-</v>
      </c>
    </row>
    <row r="946" spans="1:9" x14ac:dyDescent="0.3">
      <c r="A946" s="543" t="s">
        <v>2857</v>
      </c>
      <c r="B946" s="543" t="s">
        <v>2858</v>
      </c>
      <c r="C946" s="543" t="s">
        <v>2877</v>
      </c>
      <c r="D946" s="543" t="s">
        <v>2869</v>
      </c>
      <c r="E946" s="6" t="str">
        <f>IFERROR(INDEX(ZACATECAS!$I$7:$I$5000, MATCH(F946*1, ZACATECAS!$H$7:$H$5000, 0)), "-")</f>
        <v xml:space="preserve">TAPANCO </v>
      </c>
      <c r="F946" s="546">
        <v>32046210</v>
      </c>
      <c r="G946" s="546" t="s">
        <v>1675</v>
      </c>
      <c r="H946" s="543" t="s">
        <v>2860</v>
      </c>
      <c r="I946" s="6">
        <f>IFERROR(INDEX(ZACATECAS!$N$7:$N$5000, MATCH($F946, ZACATECAS!$H$7:$H$5000, 0)), "-")</f>
        <v>0</v>
      </c>
    </row>
    <row r="947" spans="1:9" x14ac:dyDescent="0.3">
      <c r="A947" s="543" t="s">
        <v>2857</v>
      </c>
      <c r="B947" s="543" t="s">
        <v>2858</v>
      </c>
      <c r="C947" s="543" t="s">
        <v>2877</v>
      </c>
      <c r="D947" s="543" t="s">
        <v>2869</v>
      </c>
      <c r="E947" s="6" t="str">
        <f>IFERROR(INDEX(ZACATECAS!$I$7:$I$5000, MATCH(F947*1, ZACATECAS!$H$7:$H$5000, 0)), "-")</f>
        <v xml:space="preserve">TAPANCO </v>
      </c>
      <c r="F947" s="546">
        <v>32044876</v>
      </c>
      <c r="G947" s="546" t="s">
        <v>1678</v>
      </c>
      <c r="H947" s="543" t="s">
        <v>2860</v>
      </c>
      <c r="I947" s="6" t="str">
        <f>IFERROR(INDEX(ZACATECAS!$N$7:$N$5000, MATCH($F947, ZACATECAS!$H$7:$H$5000, 0)), "-")</f>
        <v xml:space="preserve">AMBIENTAL </v>
      </c>
    </row>
    <row r="948" spans="1:9" x14ac:dyDescent="0.3">
      <c r="A948" s="543" t="s">
        <v>2857</v>
      </c>
      <c r="B948" s="543" t="s">
        <v>2858</v>
      </c>
      <c r="C948" s="543" t="s">
        <v>2877</v>
      </c>
      <c r="D948" s="543" t="s">
        <v>2869</v>
      </c>
      <c r="E948" s="6" t="str">
        <f>IFERROR(INDEX(ZACATECAS!$I$7:$I$5000, MATCH(F948*1, ZACATECAS!$H$7:$H$5000, 0)), "-")</f>
        <v xml:space="preserve">TAPANCO </v>
      </c>
      <c r="F948" s="546">
        <v>32045800</v>
      </c>
      <c r="G948" s="546" t="s">
        <v>1680</v>
      </c>
      <c r="H948" s="543" t="s">
        <v>2860</v>
      </c>
      <c r="I948" s="6" t="str">
        <f>IFERROR(INDEX(ZACATECAS!$N$7:$N$5000, MATCH($F948, ZACATECAS!$H$7:$H$5000, 0)), "-")</f>
        <v>PEOPLE</v>
      </c>
    </row>
    <row r="949" spans="1:9" x14ac:dyDescent="0.3">
      <c r="A949" s="543" t="s">
        <v>2857</v>
      </c>
      <c r="B949" s="543" t="s">
        <v>2858</v>
      </c>
      <c r="C949" s="543" t="s">
        <v>2877</v>
      </c>
      <c r="D949" s="543" t="s">
        <v>2869</v>
      </c>
      <c r="E949" s="6" t="str">
        <f>IFERROR(INDEX(ZACATECAS!$I$7:$I$5000, MATCH(F949*1, ZACATECAS!$H$7:$H$5000, 0)), "-")</f>
        <v xml:space="preserve">TAPANCO </v>
      </c>
      <c r="F949" s="546">
        <v>32045381</v>
      </c>
      <c r="G949" s="546" t="s">
        <v>1682</v>
      </c>
      <c r="H949" s="543" t="s">
        <v>2860</v>
      </c>
      <c r="I949" s="6" t="str">
        <f>IFERROR(INDEX(ZACATECAS!$N$7:$N$5000, MATCH($F949, ZACATECAS!$H$7:$H$5000, 0)), "-")</f>
        <v xml:space="preserve">MANTENIMIENTO </v>
      </c>
    </row>
    <row r="950" spans="1:9" x14ac:dyDescent="0.3">
      <c r="A950" s="543" t="s">
        <v>2857</v>
      </c>
      <c r="B950" s="543" t="s">
        <v>2858</v>
      </c>
      <c r="C950" s="543" t="s">
        <v>2877</v>
      </c>
      <c r="D950" s="543" t="s">
        <v>2869</v>
      </c>
      <c r="E950" s="6" t="str">
        <f>IFERROR(INDEX(ZACATECAS!$I$7:$I$5000, MATCH(F950*1, ZACATECAS!$H$7:$H$5000, 0)), "-")</f>
        <v xml:space="preserve">TAPANCO </v>
      </c>
      <c r="F950" s="546">
        <v>32045992</v>
      </c>
      <c r="G950" s="546" t="s">
        <v>1685</v>
      </c>
      <c r="H950" s="543" t="s">
        <v>2860</v>
      </c>
      <c r="I950" s="6" t="str">
        <f>IFERROR(INDEX(ZACATECAS!$N$7:$N$5000, MATCH($F950, ZACATECAS!$H$7:$H$5000, 0)), "-")</f>
        <v>SEGURIDAD</v>
      </c>
    </row>
    <row r="951" spans="1:9" x14ac:dyDescent="0.3">
      <c r="A951" s="543" t="s">
        <v>2857</v>
      </c>
      <c r="B951" s="543" t="s">
        <v>2858</v>
      </c>
      <c r="C951" s="543" t="s">
        <v>2877</v>
      </c>
      <c r="D951" s="543" t="s">
        <v>2869</v>
      </c>
      <c r="E951" s="6" t="str">
        <f>IFERROR(INDEX(ZACATECAS!$I$7:$I$5000, MATCH(F951*1, ZACATECAS!$H$7:$H$5000, 0)), "-")</f>
        <v xml:space="preserve">TAPANCO </v>
      </c>
      <c r="F951" s="546">
        <v>32229412</v>
      </c>
      <c r="G951" s="546" t="s">
        <v>1687</v>
      </c>
      <c r="H951" s="543" t="s">
        <v>2860</v>
      </c>
      <c r="I951" s="6" t="str">
        <f>IFERROR(INDEX(ZACATECAS!$N$7:$N$5000, MATCH($F951, ZACATECAS!$H$7:$H$5000, 0)), "-")</f>
        <v xml:space="preserve">GESTION </v>
      </c>
    </row>
    <row r="952" spans="1:9" x14ac:dyDescent="0.3">
      <c r="A952" s="543" t="s">
        <v>2857</v>
      </c>
      <c r="B952" s="543" t="s">
        <v>2858</v>
      </c>
      <c r="C952" s="543" t="s">
        <v>1689</v>
      </c>
      <c r="D952" s="543" t="s">
        <v>2869</v>
      </c>
      <c r="E952" s="6" t="str">
        <f>IFERROR(INDEX(ZACATECAS!$I$7:$I$5000, MATCH(F952*1, ZACATECAS!$H$7:$H$5000, 0)), "-")</f>
        <v>-</v>
      </c>
      <c r="F952" s="544">
        <v>32217868</v>
      </c>
      <c r="G952" s="544" t="s">
        <v>1690</v>
      </c>
      <c r="H952" s="543" t="s">
        <v>2344</v>
      </c>
      <c r="I952" s="6" t="str">
        <f>IFERROR(INDEX(ZACATECAS!$N$7:$N$5000, MATCH($F952, ZACATECAS!$H$7:$H$5000, 0)), "-")</f>
        <v>-</v>
      </c>
    </row>
    <row r="953" spans="1:9" x14ac:dyDescent="0.3">
      <c r="A953" s="543" t="s">
        <v>2857</v>
      </c>
      <c r="B953" s="543" t="s">
        <v>2858</v>
      </c>
      <c r="C953" s="543" t="s">
        <v>1689</v>
      </c>
      <c r="D953" s="543" t="s">
        <v>2869</v>
      </c>
      <c r="E953" s="6" t="str">
        <f>IFERROR(INDEX(ZACATECAS!$I$7:$I$5000, MATCH(F953*1, ZACATECAS!$H$7:$H$5000, 0)), "-")</f>
        <v xml:space="preserve">NACIONAL </v>
      </c>
      <c r="F953" s="544">
        <v>32045005</v>
      </c>
      <c r="G953" s="544" t="s">
        <v>1691</v>
      </c>
      <c r="H953" s="543" t="s">
        <v>2860</v>
      </c>
      <c r="I953" s="6" t="str">
        <f>IFERROR(INDEX(ZACATECAS!$N$7:$N$5000, MATCH($F953, ZACATECAS!$H$7:$H$5000, 0)), "-")</f>
        <v>LOGÍSTICA</v>
      </c>
    </row>
    <row r="954" spans="1:9" x14ac:dyDescent="0.3">
      <c r="A954" s="543" t="s">
        <v>2857</v>
      </c>
      <c r="B954" s="543" t="s">
        <v>2858</v>
      </c>
      <c r="C954" s="543" t="s">
        <v>1689</v>
      </c>
      <c r="D954" s="543" t="s">
        <v>2869</v>
      </c>
      <c r="E954" s="6" t="str">
        <f>IFERROR(INDEX(ZACATECAS!$I$7:$I$5000, MATCH(F954*1, ZACATECAS!$H$7:$H$5000, 0)), "-")</f>
        <v xml:space="preserve">NACIONAL </v>
      </c>
      <c r="F954" s="544">
        <v>32217065</v>
      </c>
      <c r="G954" s="544" t="s">
        <v>1692</v>
      </c>
      <c r="H954" s="543" t="s">
        <v>2860</v>
      </c>
      <c r="I954" s="6" t="str">
        <f>IFERROR(INDEX(ZACATECAS!$N$7:$N$5000, MATCH($F954, ZACATECAS!$H$7:$H$5000, 0)), "-")</f>
        <v>PEOPLE</v>
      </c>
    </row>
    <row r="955" spans="1:9" x14ac:dyDescent="0.3">
      <c r="A955" s="543" t="s">
        <v>2857</v>
      </c>
      <c r="B955" s="543" t="s">
        <v>2858</v>
      </c>
      <c r="C955" s="543" t="s">
        <v>1689</v>
      </c>
      <c r="D955" s="543" t="s">
        <v>2869</v>
      </c>
      <c r="E955" s="6" t="str">
        <f>IFERROR(INDEX(ZACATECAS!$I$7:$I$5000, MATCH(F955*1, ZACATECAS!$H$7:$H$5000, 0)), "-")</f>
        <v xml:space="preserve">NACIONAL </v>
      </c>
      <c r="F955" s="544">
        <v>32044690</v>
      </c>
      <c r="G955" s="544" t="s">
        <v>1693</v>
      </c>
      <c r="H955" s="543" t="s">
        <v>2860</v>
      </c>
      <c r="I955" s="6" t="str">
        <f>IFERROR(INDEX(ZACATECAS!$N$7:$N$5000, MATCH($F955, ZACATECAS!$H$7:$H$5000, 0)), "-")</f>
        <v>GESTIÓN</v>
      </c>
    </row>
    <row r="956" spans="1:9" x14ac:dyDescent="0.3">
      <c r="A956" s="543" t="s">
        <v>2857</v>
      </c>
      <c r="B956" s="543" t="s">
        <v>2858</v>
      </c>
      <c r="C956" s="543" t="s">
        <v>1689</v>
      </c>
      <c r="D956" s="543" t="s">
        <v>2869</v>
      </c>
      <c r="E956" s="6" t="str">
        <f>IFERROR(INDEX(ZACATECAS!$I$7:$I$5000, MATCH(F956*1, ZACATECAS!$H$7:$H$5000, 0)), "-")</f>
        <v xml:space="preserve">NACIONAL </v>
      </c>
      <c r="F956" s="544">
        <v>32137228</v>
      </c>
      <c r="G956" s="544" t="s">
        <v>1694</v>
      </c>
      <c r="H956" s="543" t="s">
        <v>2860</v>
      </c>
      <c r="I956" s="6" t="str">
        <f>IFERROR(INDEX(ZACATECAS!$N$7:$N$5000, MATCH($F956, ZACATECAS!$H$7:$H$5000, 0)), "-")</f>
        <v>MEDIO AMBIENTE</v>
      </c>
    </row>
    <row r="957" spans="1:9" x14ac:dyDescent="0.3">
      <c r="A957" s="543" t="s">
        <v>2857</v>
      </c>
      <c r="B957" s="543" t="s">
        <v>2858</v>
      </c>
      <c r="C957" s="543" t="s">
        <v>1689</v>
      </c>
      <c r="D957" s="543" t="s">
        <v>2869</v>
      </c>
      <c r="E957" s="6" t="str">
        <f>IFERROR(INDEX(ZACATECAS!$I$7:$I$5000, MATCH(F957*1, ZACATECAS!$H$7:$H$5000, 0)), "-")</f>
        <v xml:space="preserve">NACIONAL </v>
      </c>
      <c r="F957" s="544">
        <v>32046180</v>
      </c>
      <c r="G957" s="544" t="s">
        <v>1695</v>
      </c>
      <c r="H957" s="543" t="s">
        <v>2860</v>
      </c>
      <c r="I957" s="6" t="str">
        <f>IFERROR(INDEX(ZACATECAS!$N$7:$N$5000, MATCH($F957, ZACATECAS!$H$7:$H$5000, 0)), "-")</f>
        <v>SEGURIDAD</v>
      </c>
    </row>
    <row r="958" spans="1:9" x14ac:dyDescent="0.3">
      <c r="A958" s="543" t="s">
        <v>2857</v>
      </c>
      <c r="B958" s="543" t="s">
        <v>2858</v>
      </c>
      <c r="C958" s="543" t="s">
        <v>1689</v>
      </c>
      <c r="D958" s="543" t="s">
        <v>2869</v>
      </c>
      <c r="E958" s="6" t="str">
        <f>IFERROR(INDEX(ZACATECAS!$I$7:$I$5000, MATCH(F958*1, ZACATECAS!$H$7:$H$5000, 0)), "-")</f>
        <v xml:space="preserve">NACIONAL </v>
      </c>
      <c r="F958" s="544">
        <v>32187874</v>
      </c>
      <c r="G958" s="544" t="s">
        <v>1696</v>
      </c>
      <c r="H958" s="543" t="s">
        <v>2860</v>
      </c>
      <c r="I958" s="6" t="str">
        <f>IFERROR(INDEX(ZACATECAS!$N$7:$N$5000, MATCH($F958, ZACATECAS!$H$7:$H$5000, 0)), "-")</f>
        <v>GESTIÓN</v>
      </c>
    </row>
    <row r="959" spans="1:9" x14ac:dyDescent="0.3">
      <c r="A959" s="543" t="s">
        <v>2857</v>
      </c>
      <c r="B959" s="543" t="s">
        <v>2858</v>
      </c>
      <c r="C959" s="543" t="s">
        <v>1689</v>
      </c>
      <c r="D959" s="543" t="s">
        <v>2869</v>
      </c>
      <c r="E959" s="6" t="str">
        <f>IFERROR(INDEX(ZACATECAS!$I$7:$I$5000, MATCH(F959*1, ZACATECAS!$H$7:$H$5000, 0)), "-")</f>
        <v xml:space="preserve">EXPORTACION /ALTERNO </v>
      </c>
      <c r="F959" s="544">
        <v>32180379</v>
      </c>
      <c r="G959" s="544" t="s">
        <v>1698</v>
      </c>
      <c r="H959" s="543" t="s">
        <v>2860</v>
      </c>
      <c r="I959" s="6" t="str">
        <f>IFERROR(INDEX(ZACATECAS!$N$7:$N$5000, MATCH($F959, ZACATECAS!$H$7:$H$5000, 0)), "-")</f>
        <v>SEGURIDAD</v>
      </c>
    </row>
    <row r="960" spans="1:9" x14ac:dyDescent="0.3">
      <c r="A960" s="543" t="s">
        <v>2857</v>
      </c>
      <c r="B960" s="543" t="s">
        <v>2858</v>
      </c>
      <c r="C960" s="543" t="s">
        <v>1689</v>
      </c>
      <c r="D960" s="543" t="s">
        <v>2869</v>
      </c>
      <c r="E960" s="6" t="str">
        <f>IFERROR(INDEX(ZACATECAS!$I$7:$I$5000, MATCH(F960*1, ZACATECAS!$H$7:$H$5000, 0)), "-")</f>
        <v xml:space="preserve">NACIONAL </v>
      </c>
      <c r="F960" s="544">
        <v>32187877</v>
      </c>
      <c r="G960" s="544" t="s">
        <v>1699</v>
      </c>
      <c r="H960" s="543" t="s">
        <v>2860</v>
      </c>
      <c r="I960" s="6" t="str">
        <f>IFERROR(INDEX(ZACATECAS!$N$7:$N$5000, MATCH($F960, ZACATECAS!$H$7:$H$5000, 0)), "-")</f>
        <v>MANTENIMIENTO</v>
      </c>
    </row>
    <row r="961" spans="1:9" x14ac:dyDescent="0.3">
      <c r="A961" s="543" t="s">
        <v>2857</v>
      </c>
      <c r="B961" s="543" t="s">
        <v>2858</v>
      </c>
      <c r="C961" s="543" t="s">
        <v>1689</v>
      </c>
      <c r="D961" s="543" t="s">
        <v>2869</v>
      </c>
      <c r="E961" s="6" t="str">
        <f>IFERROR(INDEX(ZACATECAS!$I$7:$I$5000, MATCH(F961*1, ZACATECAS!$H$7:$H$5000, 0)), "-")</f>
        <v xml:space="preserve">NACIONAL </v>
      </c>
      <c r="F961" s="545">
        <v>32045088</v>
      </c>
      <c r="G961" s="545" t="s">
        <v>1700</v>
      </c>
      <c r="H961" s="543" t="s">
        <v>2860</v>
      </c>
      <c r="I961" s="6" t="str">
        <f>IFERROR(INDEX(ZACATECAS!$N$7:$N$5000, MATCH($F961, ZACATECAS!$H$7:$H$5000, 0)), "-")</f>
        <v>PEOPLE</v>
      </c>
    </row>
    <row r="962" spans="1:9" x14ac:dyDescent="0.3">
      <c r="A962" s="543" t="s">
        <v>2857</v>
      </c>
      <c r="B962" s="543" t="s">
        <v>2858</v>
      </c>
      <c r="C962" s="543" t="s">
        <v>1701</v>
      </c>
      <c r="D962" s="543" t="s">
        <v>2869</v>
      </c>
      <c r="E962" s="6" t="str">
        <f>IFERROR(INDEX(ZACATECAS!$I$7:$I$5000, MATCH(F962*1, ZACATECAS!$H$7:$H$5000, 0)), "-")</f>
        <v>-</v>
      </c>
      <c r="F962" s="545">
        <v>32178853</v>
      </c>
      <c r="G962" s="545" t="s">
        <v>1702</v>
      </c>
      <c r="H962" s="543" t="s">
        <v>2344</v>
      </c>
      <c r="I962" s="6" t="str">
        <f>IFERROR(INDEX(ZACATECAS!$N$7:$N$5000, MATCH($F962, ZACATECAS!$H$7:$H$5000, 0)), "-")</f>
        <v>-</v>
      </c>
    </row>
    <row r="963" spans="1:9" x14ac:dyDescent="0.3">
      <c r="A963" s="543" t="s">
        <v>2857</v>
      </c>
      <c r="B963" s="543" t="s">
        <v>2858</v>
      </c>
      <c r="C963" s="543" t="s">
        <v>1701</v>
      </c>
      <c r="D963" s="543" t="s">
        <v>2869</v>
      </c>
      <c r="E963" s="6" t="str">
        <f>IFERROR(INDEX(ZACATECAS!$I$7:$I$5000, MATCH(F963*1, ZACATECAS!$H$7:$H$5000, 0)), "-")</f>
        <v>LINEAS</v>
      </c>
      <c r="F963" s="545">
        <v>32044785</v>
      </c>
      <c r="G963" s="545" t="s">
        <v>1703</v>
      </c>
      <c r="H963" s="543" t="s">
        <v>2860</v>
      </c>
      <c r="I963" s="6" t="str">
        <f>IFERROR(INDEX(ZACATECAS!$N$7:$N$5000, MATCH($F963, ZACATECAS!$H$7:$H$5000, 0)), "-")</f>
        <v>GESTIÓN</v>
      </c>
    </row>
    <row r="964" spans="1:9" x14ac:dyDescent="0.3">
      <c r="A964" s="543" t="s">
        <v>2857</v>
      </c>
      <c r="B964" s="543" t="s">
        <v>2858</v>
      </c>
      <c r="C964" s="543" t="s">
        <v>1701</v>
      </c>
      <c r="D964" s="543" t="s">
        <v>2869</v>
      </c>
      <c r="E964" s="6" t="str">
        <f>IFERROR(INDEX(ZACATECAS!$I$7:$I$5000, MATCH(F964*1, ZACATECAS!$H$7:$H$5000, 0)), "-")</f>
        <v>LINEAS</v>
      </c>
      <c r="F964" s="545">
        <v>32229593</v>
      </c>
      <c r="G964" s="545" t="s">
        <v>1704</v>
      </c>
      <c r="H964" s="543" t="s">
        <v>2860</v>
      </c>
      <c r="I964" s="6" t="str">
        <f>IFERROR(INDEX(ZACATECAS!$N$7:$N$5000, MATCH($F964, ZACATECAS!$H$7:$H$5000, 0)), "-")</f>
        <v>PEOPLE</v>
      </c>
    </row>
    <row r="965" spans="1:9" x14ac:dyDescent="0.3">
      <c r="A965" s="543" t="s">
        <v>2857</v>
      </c>
      <c r="B965" s="543" t="s">
        <v>2858</v>
      </c>
      <c r="C965" s="543" t="s">
        <v>1701</v>
      </c>
      <c r="D965" s="543" t="s">
        <v>2869</v>
      </c>
      <c r="E965" s="6" t="str">
        <f>IFERROR(INDEX(ZACATECAS!$I$7:$I$5000, MATCH(F965*1, ZACATECAS!$H$7:$H$5000, 0)), "-")</f>
        <v>LINEAS</v>
      </c>
      <c r="F965" s="545">
        <v>32056674</v>
      </c>
      <c r="G965" s="545" t="s">
        <v>1705</v>
      </c>
      <c r="H965" s="543" t="s">
        <v>2860</v>
      </c>
      <c r="I965" s="6" t="str">
        <f>IFERROR(INDEX(ZACATECAS!$N$7:$N$5000, MATCH($F965, ZACATECAS!$H$7:$H$5000, 0)), "-")</f>
        <v>MEDIO AMBIENTE</v>
      </c>
    </row>
    <row r="966" spans="1:9" x14ac:dyDescent="0.3">
      <c r="A966" s="543" t="s">
        <v>2857</v>
      </c>
      <c r="B966" s="543" t="s">
        <v>2858</v>
      </c>
      <c r="C966" s="543" t="s">
        <v>1701</v>
      </c>
      <c r="D966" s="543" t="s">
        <v>2869</v>
      </c>
      <c r="E966" s="6" t="str">
        <f>IFERROR(INDEX(ZACATECAS!$I$7:$I$5000, MATCH(F966*1, ZACATECAS!$H$7:$H$5000, 0)), "-")</f>
        <v>LINEAS</v>
      </c>
      <c r="F966" s="545">
        <v>32046576</v>
      </c>
      <c r="G966" s="546" t="s">
        <v>1706</v>
      </c>
      <c r="H966" s="543" t="s">
        <v>2860</v>
      </c>
      <c r="I966" s="6" t="str">
        <f>IFERROR(INDEX(ZACATECAS!$N$7:$N$5000, MATCH($F966, ZACATECAS!$H$7:$H$5000, 0)), "-")</f>
        <v>GESTIÓN</v>
      </c>
    </row>
    <row r="967" spans="1:9" x14ac:dyDescent="0.3">
      <c r="A967" s="543" t="s">
        <v>2857</v>
      </c>
      <c r="B967" s="543" t="s">
        <v>2858</v>
      </c>
      <c r="C967" s="543" t="s">
        <v>1701</v>
      </c>
      <c r="D967" s="543" t="s">
        <v>2869</v>
      </c>
      <c r="E967" s="6" t="str">
        <f>IFERROR(INDEX(ZACATECAS!$I$7:$I$5000, MATCH(F967*1, ZACATECAS!$H$7:$H$5000, 0)), "-")</f>
        <v>LINEAS</v>
      </c>
      <c r="F967" s="545">
        <v>32136857</v>
      </c>
      <c r="G967" s="546" t="s">
        <v>1707</v>
      </c>
      <c r="H967" s="543" t="s">
        <v>2860</v>
      </c>
      <c r="I967" s="6" t="str">
        <f>IFERROR(INDEX(ZACATECAS!$N$7:$N$5000, MATCH($F967, ZACATECAS!$H$7:$H$5000, 0)), "-")</f>
        <v>PEOPLE</v>
      </c>
    </row>
    <row r="968" spans="1:9" x14ac:dyDescent="0.3">
      <c r="A968" s="543" t="s">
        <v>2857</v>
      </c>
      <c r="B968" s="543" t="s">
        <v>2858</v>
      </c>
      <c r="C968" s="543" t="s">
        <v>1701</v>
      </c>
      <c r="D968" s="543" t="s">
        <v>2869</v>
      </c>
      <c r="E968" s="6" t="str">
        <f>IFERROR(INDEX(ZACATECAS!$I$7:$I$5000, MATCH(F968*1, ZACATECAS!$H$7:$H$5000, 0)), "-")</f>
        <v>LINEAS</v>
      </c>
      <c r="F968" s="545">
        <v>32046249</v>
      </c>
      <c r="G968" s="546" t="s">
        <v>1708</v>
      </c>
      <c r="H968" s="543" t="s">
        <v>2860</v>
      </c>
      <c r="I968" s="6" t="str">
        <f>IFERROR(INDEX(ZACATECAS!$N$7:$N$5000, MATCH($F968, ZACATECAS!$H$7:$H$5000, 0)), "-")</f>
        <v>SEGURIDAD</v>
      </c>
    </row>
    <row r="969" spans="1:9" x14ac:dyDescent="0.3">
      <c r="A969" s="543" t="s">
        <v>2857</v>
      </c>
      <c r="B969" s="543" t="s">
        <v>2858</v>
      </c>
      <c r="C969" s="543" t="s">
        <v>1701</v>
      </c>
      <c r="D969" s="543" t="s">
        <v>2869</v>
      </c>
      <c r="E969" s="6" t="str">
        <f>IFERROR(INDEX(ZACATECAS!$I$7:$I$5000, MATCH(F969*1, ZACATECAS!$H$7:$H$5000, 0)), "-")</f>
        <v>LINEAS</v>
      </c>
      <c r="F969" s="545">
        <v>32043937</v>
      </c>
      <c r="G969" s="546" t="s">
        <v>1709</v>
      </c>
      <c r="H969" s="543" t="s">
        <v>2860</v>
      </c>
      <c r="I969" s="6" t="str">
        <f>IFERROR(INDEX(ZACATECAS!$N$7:$N$5000, MATCH($F969, ZACATECAS!$H$7:$H$5000, 0)), "-")</f>
        <v>SEGURIDAD</v>
      </c>
    </row>
    <row r="970" spans="1:9" x14ac:dyDescent="0.3">
      <c r="A970" s="543" t="s">
        <v>2857</v>
      </c>
      <c r="B970" s="543" t="s">
        <v>2858</v>
      </c>
      <c r="C970" s="543" t="s">
        <v>1701</v>
      </c>
      <c r="D970" s="543" t="s">
        <v>2869</v>
      </c>
      <c r="E970" s="6" t="str">
        <f>IFERROR(INDEX(ZACATECAS!$I$7:$I$5000, MATCH(F970*1, ZACATECAS!$H$7:$H$5000, 0)), "-")</f>
        <v>LINEAS</v>
      </c>
      <c r="F970" s="545">
        <v>32043912</v>
      </c>
      <c r="G970" s="546" t="s">
        <v>1710</v>
      </c>
      <c r="H970" s="543" t="s">
        <v>2860</v>
      </c>
      <c r="I970" s="6" t="str">
        <f>IFERROR(INDEX(ZACATECAS!$N$7:$N$5000, MATCH($F970, ZACATECAS!$H$7:$H$5000, 0)), "-")</f>
        <v>CALIDAD</v>
      </c>
    </row>
    <row r="971" spans="1:9" x14ac:dyDescent="0.3">
      <c r="A971" s="543" t="s">
        <v>2857</v>
      </c>
      <c r="B971" s="543" t="s">
        <v>2858</v>
      </c>
      <c r="C971" s="543" t="s">
        <v>1701</v>
      </c>
      <c r="D971" s="543" t="s">
        <v>2869</v>
      </c>
      <c r="E971" s="6" t="str">
        <f>IFERROR(INDEX(ZACATECAS!$I$7:$I$5000, MATCH(F971*1, ZACATECAS!$H$7:$H$5000, 0)), "-")</f>
        <v>LINEAS</v>
      </c>
      <c r="F971" s="545">
        <v>32136861</v>
      </c>
      <c r="G971" s="546" t="s">
        <v>1711</v>
      </c>
      <c r="H971" s="543" t="s">
        <v>2860</v>
      </c>
      <c r="I971" s="6" t="str">
        <f>IFERROR(INDEX(ZACATECAS!$N$7:$N$5000, MATCH($F971, ZACATECAS!$H$7:$H$5000, 0)), "-")</f>
        <v>GESTIÓN</v>
      </c>
    </row>
    <row r="972" spans="1:9" x14ac:dyDescent="0.3">
      <c r="A972" s="543" t="s">
        <v>2857</v>
      </c>
      <c r="B972" s="543" t="s">
        <v>2858</v>
      </c>
      <c r="C972" s="543" t="s">
        <v>1701</v>
      </c>
      <c r="D972" s="543" t="s">
        <v>2869</v>
      </c>
      <c r="E972" s="6" t="str">
        <f>IFERROR(INDEX(ZACATECAS!$I$7:$I$5000, MATCH(F972*1, ZACATECAS!$H$7:$H$5000, 0)), "-")</f>
        <v>LINEAS</v>
      </c>
      <c r="F972" s="545">
        <v>32046040</v>
      </c>
      <c r="G972" s="546" t="s">
        <v>1712</v>
      </c>
      <c r="H972" s="543" t="s">
        <v>2860</v>
      </c>
      <c r="I972" s="6" t="str">
        <f>IFERROR(INDEX(ZACATECAS!$N$7:$N$5000, MATCH($F972, ZACATECAS!$H$7:$H$5000, 0)), "-")</f>
        <v>MANTENIMIENTO</v>
      </c>
    </row>
    <row r="973" spans="1:9" x14ac:dyDescent="0.3">
      <c r="A973" s="543" t="s">
        <v>2857</v>
      </c>
      <c r="B973" s="543" t="s">
        <v>2858</v>
      </c>
      <c r="C973" s="543" t="s">
        <v>1701</v>
      </c>
      <c r="D973" s="543" t="s">
        <v>2869</v>
      </c>
      <c r="E973" s="6" t="str">
        <f>IFERROR(INDEX(ZACATECAS!$I$7:$I$5000, MATCH(F973*1, ZACATECAS!$H$7:$H$5000, 0)), "-")</f>
        <v>LINEAS</v>
      </c>
      <c r="F973" s="544">
        <v>32056896</v>
      </c>
      <c r="G973" s="544" t="s">
        <v>1713</v>
      </c>
      <c r="H973" s="543" t="s">
        <v>2860</v>
      </c>
      <c r="I973" s="6" t="str">
        <f>IFERROR(INDEX(ZACATECAS!$N$7:$N$5000, MATCH($F973, ZACATECAS!$H$7:$H$5000, 0)), "-")</f>
        <v>PEOPLE</v>
      </c>
    </row>
    <row r="974" spans="1:9" x14ac:dyDescent="0.3">
      <c r="A974" s="543" t="s">
        <v>2857</v>
      </c>
      <c r="B974" s="543" t="s">
        <v>2858</v>
      </c>
      <c r="C974" s="543" t="s">
        <v>1701</v>
      </c>
      <c r="D974" s="543" t="s">
        <v>2869</v>
      </c>
      <c r="E974" s="6" t="str">
        <f>IFERROR(INDEX(ZACATECAS!$I$7:$I$5000, MATCH(F974*1, ZACATECAS!$H$7:$H$5000, 0)), "-")</f>
        <v>LINEAS</v>
      </c>
      <c r="F974" s="545">
        <v>32044139</v>
      </c>
      <c r="G974" s="546" t="s">
        <v>1714</v>
      </c>
      <c r="H974" s="543" t="s">
        <v>2860</v>
      </c>
      <c r="I974" s="6" t="str">
        <f>IFERROR(INDEX(ZACATECAS!$N$7:$N$5000, MATCH($F974, ZACATECAS!$H$7:$H$5000, 0)), "-")</f>
        <v>PEOPLE</v>
      </c>
    </row>
    <row r="975" spans="1:9" x14ac:dyDescent="0.3">
      <c r="A975" s="543" t="s">
        <v>2857</v>
      </c>
      <c r="B975" s="543" t="s">
        <v>2858</v>
      </c>
      <c r="C975" s="543" t="s">
        <v>1701</v>
      </c>
      <c r="D975" s="543" t="s">
        <v>2869</v>
      </c>
      <c r="E975" s="6" t="str">
        <f>IFERROR(INDEX(ZACATECAS!$I$7:$I$5000, MATCH(F975*1, ZACATECAS!$H$7:$H$5000, 0)), "-")</f>
        <v>LINEAS</v>
      </c>
      <c r="F975" s="545">
        <v>32178730</v>
      </c>
      <c r="G975" s="546" t="s">
        <v>1715</v>
      </c>
      <c r="H975" s="543" t="s">
        <v>2860</v>
      </c>
      <c r="I975" s="6" t="str">
        <f>IFERROR(INDEX(ZACATECAS!$N$7:$N$5000, MATCH($F975, ZACATECAS!$H$7:$H$5000, 0)), "-")</f>
        <v>MEDIO AMBIENTE</v>
      </c>
    </row>
    <row r="976" spans="1:9" x14ac:dyDescent="0.3">
      <c r="A976" s="543" t="s">
        <v>2857</v>
      </c>
      <c r="B976" s="543" t="s">
        <v>2858</v>
      </c>
      <c r="C976" s="543" t="s">
        <v>1701</v>
      </c>
      <c r="D976" s="543" t="s">
        <v>2869</v>
      </c>
      <c r="E976" s="6" t="str">
        <f>IFERROR(INDEX(ZACATECAS!$I$7:$I$5000, MATCH(F976*1, ZACATECAS!$H$7:$H$5000, 0)), "-")</f>
        <v>LINEAS</v>
      </c>
      <c r="F976" s="545">
        <v>32045661</v>
      </c>
      <c r="G976" s="546" t="s">
        <v>1716</v>
      </c>
      <c r="H976" s="543" t="s">
        <v>2860</v>
      </c>
      <c r="I976" s="6" t="str">
        <f>IFERROR(INDEX(ZACATECAS!$N$7:$N$5000, MATCH($F976, ZACATECAS!$H$7:$H$5000, 0)), "-")</f>
        <v>SEGURIDAD</v>
      </c>
    </row>
    <row r="977" spans="1:9" x14ac:dyDescent="0.3">
      <c r="A977" s="543" t="s">
        <v>2857</v>
      </c>
      <c r="B977" s="543" t="s">
        <v>2858</v>
      </c>
      <c r="C977" s="543" t="s">
        <v>1701</v>
      </c>
      <c r="D977" s="543" t="s">
        <v>2869</v>
      </c>
      <c r="E977" s="6" t="str">
        <f>IFERROR(INDEX(ZACATECAS!$I$7:$I$5000, MATCH(F977*1, ZACATECAS!$H$7:$H$5000, 0)), "-")</f>
        <v>LINEAS</v>
      </c>
      <c r="F977" s="546">
        <v>32060913</v>
      </c>
      <c r="G977" s="543" t="s">
        <v>1717</v>
      </c>
      <c r="H977" s="543" t="s">
        <v>2860</v>
      </c>
      <c r="I977" s="6" t="str">
        <f>IFERROR(INDEX(ZACATECAS!$N$7:$N$5000, MATCH($F977, ZACATECAS!$H$7:$H$5000, 0)), "-")</f>
        <v>LOGÍSTICA</v>
      </c>
    </row>
    <row r="978" spans="1:9" x14ac:dyDescent="0.3">
      <c r="A978" s="543" t="s">
        <v>2857</v>
      </c>
      <c r="B978" s="543" t="s">
        <v>2858</v>
      </c>
      <c r="C978" s="543" t="s">
        <v>1701</v>
      </c>
      <c r="D978" s="543" t="s">
        <v>2869</v>
      </c>
      <c r="E978" s="6" t="str">
        <f>IFERROR(INDEX(ZACATECAS!$I$7:$I$5000, MATCH(F978*1, ZACATECAS!$H$7:$H$5000, 0)), "-")</f>
        <v>LINEAS</v>
      </c>
      <c r="F978" s="545">
        <v>32055315</v>
      </c>
      <c r="G978" s="546" t="s">
        <v>1718</v>
      </c>
      <c r="H978" s="543" t="s">
        <v>2860</v>
      </c>
      <c r="I978" s="6" t="str">
        <f>IFERROR(INDEX(ZACATECAS!$N$7:$N$5000, MATCH($F978, ZACATECAS!$H$7:$H$5000, 0)), "-")</f>
        <v>LOGÍSTICA</v>
      </c>
    </row>
    <row r="979" spans="1:9" x14ac:dyDescent="0.3">
      <c r="A979" s="543" t="s">
        <v>2857</v>
      </c>
      <c r="B979" s="543" t="s">
        <v>2858</v>
      </c>
      <c r="C979" s="543" t="s">
        <v>1701</v>
      </c>
      <c r="D979" s="543" t="s">
        <v>2869</v>
      </c>
      <c r="E979" s="6" t="str">
        <f>IFERROR(INDEX(ZACATECAS!$I$7:$I$5000, MATCH(F979*1, ZACATECAS!$H$7:$H$5000, 0)), "-")</f>
        <v>LINEAS</v>
      </c>
      <c r="F979" s="545">
        <v>32046470</v>
      </c>
      <c r="G979" s="546" t="s">
        <v>1719</v>
      </c>
      <c r="H979" s="543" t="s">
        <v>2860</v>
      </c>
      <c r="I979" s="6" t="str">
        <f>IFERROR(INDEX(ZACATECAS!$N$7:$N$5000, MATCH($F979, ZACATECAS!$H$7:$H$5000, 0)), "-")</f>
        <v>MANTENIMIENTO</v>
      </c>
    </row>
    <row r="980" spans="1:9" x14ac:dyDescent="0.3">
      <c r="A980" s="543" t="s">
        <v>2857</v>
      </c>
      <c r="B980" s="543" t="s">
        <v>2858</v>
      </c>
      <c r="C980" s="543" t="s">
        <v>1701</v>
      </c>
      <c r="D980" s="543" t="s">
        <v>2869</v>
      </c>
      <c r="E980" s="6" t="str">
        <f>IFERROR(INDEX(ZACATECAS!$I$7:$I$5000, MATCH(F980*1, ZACATECAS!$H$7:$H$5000, 0)), "-")</f>
        <v>LINEAS</v>
      </c>
      <c r="F980" s="545">
        <v>32096550</v>
      </c>
      <c r="G980" s="546" t="s">
        <v>1720</v>
      </c>
      <c r="H980" s="543" t="s">
        <v>2860</v>
      </c>
      <c r="I980" s="6" t="str">
        <f>IFERROR(INDEX(ZACATECAS!$N$7:$N$5000, MATCH($F980, ZACATECAS!$H$7:$H$5000, 0)), "-")</f>
        <v>CALIDAD</v>
      </c>
    </row>
    <row r="981" spans="1:9" x14ac:dyDescent="0.3">
      <c r="A981" s="543" t="s">
        <v>2857</v>
      </c>
      <c r="B981" s="543" t="s">
        <v>2858</v>
      </c>
      <c r="C981" s="543" t="s">
        <v>1722</v>
      </c>
      <c r="D981" s="543" t="s">
        <v>2869</v>
      </c>
      <c r="E981" s="6" t="str">
        <f>IFERROR(INDEX(ZACATECAS!$I$7:$I$5000, MATCH(F981*1, ZACATECAS!$H$7:$H$5000, 0)), "-")</f>
        <v>-</v>
      </c>
      <c r="F981" s="545">
        <v>32045834</v>
      </c>
      <c r="G981" s="546" t="s">
        <v>1723</v>
      </c>
      <c r="H981" s="543" t="s">
        <v>2344</v>
      </c>
      <c r="I981" s="6" t="str">
        <f>IFERROR(INDEX(ZACATECAS!$N$7:$N$5000, MATCH($F981, ZACATECAS!$H$7:$H$5000, 0)), "-")</f>
        <v>-</v>
      </c>
    </row>
    <row r="982" spans="1:9" x14ac:dyDescent="0.3">
      <c r="A982" s="543" t="s">
        <v>2857</v>
      </c>
      <c r="B982" s="543" t="s">
        <v>2858</v>
      </c>
      <c r="C982" s="543" t="s">
        <v>1722</v>
      </c>
      <c r="D982" s="543" t="s">
        <v>2869</v>
      </c>
      <c r="E982" s="6" t="str">
        <f>IFERROR(INDEX(ZACATECAS!$I$7:$I$5000, MATCH(F982*1, ZACATECAS!$H$7:$H$5000, 0)), "-")</f>
        <v>PYR</v>
      </c>
      <c r="F982" s="545">
        <v>32044254</v>
      </c>
      <c r="G982" s="546" t="s">
        <v>1725</v>
      </c>
      <c r="H982" s="543" t="s">
        <v>2860</v>
      </c>
      <c r="I982" s="6" t="str">
        <f>IFERROR(INDEX(ZACATECAS!$N$7:$N$5000, MATCH($F982, ZACATECAS!$H$7:$H$5000, 0)), "-")</f>
        <v>MEDIO AMBIENTE</v>
      </c>
    </row>
    <row r="983" spans="1:9" x14ac:dyDescent="0.3">
      <c r="A983" s="543" t="s">
        <v>2857</v>
      </c>
      <c r="B983" s="543" t="s">
        <v>2858</v>
      </c>
      <c r="C983" s="543" t="s">
        <v>1722</v>
      </c>
      <c r="D983" s="543" t="s">
        <v>2869</v>
      </c>
      <c r="E983" s="6" t="str">
        <f>IFERROR(INDEX(ZACATECAS!$I$7:$I$5000, MATCH(F983*1, ZACATECAS!$H$7:$H$5000, 0)), "-")</f>
        <v>PYR</v>
      </c>
      <c r="F983" s="545">
        <v>32045689</v>
      </c>
      <c r="G983" s="546" t="s">
        <v>1727</v>
      </c>
      <c r="H983" s="543" t="s">
        <v>2860</v>
      </c>
      <c r="I983" s="6" t="str">
        <f>IFERROR(INDEX(ZACATECAS!$N$7:$N$5000, MATCH($F983, ZACATECAS!$H$7:$H$5000, 0)), "-")</f>
        <v>LOGÍSTICA</v>
      </c>
    </row>
    <row r="984" spans="1:9" x14ac:dyDescent="0.3">
      <c r="A984" s="543" t="s">
        <v>2857</v>
      </c>
      <c r="B984" s="543" t="s">
        <v>2858</v>
      </c>
      <c r="C984" s="543" t="s">
        <v>1722</v>
      </c>
      <c r="D984" s="543" t="s">
        <v>2869</v>
      </c>
      <c r="E984" s="6" t="str">
        <f>IFERROR(INDEX(ZACATECAS!$I$7:$I$5000, MATCH(F984*1, ZACATECAS!$H$7:$H$5000, 0)), "-")</f>
        <v>PYR</v>
      </c>
      <c r="F984" s="545">
        <v>32044362</v>
      </c>
      <c r="G984" s="546" t="s">
        <v>1729</v>
      </c>
      <c r="H984" s="543" t="s">
        <v>2860</v>
      </c>
      <c r="I984" s="6" t="str">
        <f>IFERROR(INDEX(ZACATECAS!$N$7:$N$5000, MATCH($F984, ZACATECAS!$H$7:$H$5000, 0)), "-")</f>
        <v>SEGURIDAD</v>
      </c>
    </row>
    <row r="985" spans="1:9" x14ac:dyDescent="0.3">
      <c r="A985" s="543" t="s">
        <v>2857</v>
      </c>
      <c r="B985" s="543" t="s">
        <v>2858</v>
      </c>
      <c r="C985" s="543" t="s">
        <v>1722</v>
      </c>
      <c r="D985" s="543" t="s">
        <v>2869</v>
      </c>
      <c r="E985" s="6" t="str">
        <f>IFERROR(INDEX(ZACATECAS!$I$7:$I$5000, MATCH(F985*1, ZACATECAS!$H$7:$H$5000, 0)), "-")</f>
        <v>PYR</v>
      </c>
      <c r="F985" s="544">
        <v>32044024</v>
      </c>
      <c r="G985" s="544" t="s">
        <v>2878</v>
      </c>
      <c r="H985" s="543" t="s">
        <v>2860</v>
      </c>
      <c r="I985" s="6" t="str">
        <f>IFERROR(INDEX(ZACATECAS!$N$7:$N$5000, MATCH($F985, ZACATECAS!$H$7:$H$5000, 0)), "-")</f>
        <v>MANTENIMIENTO</v>
      </c>
    </row>
    <row r="986" spans="1:9" x14ac:dyDescent="0.3">
      <c r="A986" s="543" t="s">
        <v>2857</v>
      </c>
      <c r="B986" s="543" t="s">
        <v>2858</v>
      </c>
      <c r="C986" s="543" t="s">
        <v>1722</v>
      </c>
      <c r="D986" s="543" t="s">
        <v>2869</v>
      </c>
      <c r="E986" s="6" t="str">
        <f>IFERROR(INDEX(ZACATECAS!$I$7:$I$5000, MATCH(F986*1, ZACATECAS!$H$7:$H$5000, 0)), "-")</f>
        <v>PYR</v>
      </c>
      <c r="F986" s="544">
        <v>32057497</v>
      </c>
      <c r="G986" s="544" t="s">
        <v>2879</v>
      </c>
      <c r="H986" s="543" t="s">
        <v>2860</v>
      </c>
      <c r="I986" s="6" t="str">
        <f>IFERROR(INDEX(ZACATECAS!$N$7:$N$5000, MATCH($F986, ZACATECAS!$H$7:$H$5000, 0)), "-")</f>
        <v>PEOPLE</v>
      </c>
    </row>
    <row r="987" spans="1:9" x14ac:dyDescent="0.3">
      <c r="A987" s="543" t="s">
        <v>2857</v>
      </c>
      <c r="B987" s="543" t="s">
        <v>2858</v>
      </c>
      <c r="C987" s="543" t="s">
        <v>2195</v>
      </c>
      <c r="D987" s="543" t="s">
        <v>2859</v>
      </c>
      <c r="E987" s="6" t="str">
        <f>IFERROR(INDEX(ZACATECAS!$I$7:$I$5000, MATCH(F987*1, ZACATECAS!$H$7:$H$5000, 0)), "-")</f>
        <v>-</v>
      </c>
      <c r="F987" s="544">
        <v>32149977</v>
      </c>
      <c r="G987" s="544" t="s">
        <v>2196</v>
      </c>
      <c r="H987" s="543" t="s">
        <v>2344</v>
      </c>
      <c r="I987" s="6" t="str">
        <f>IFERROR(INDEX(ZACATECAS!$N$7:$N$5000, MATCH($F987, ZACATECAS!$H$7:$H$5000, 0)), "-")</f>
        <v>-</v>
      </c>
    </row>
    <row r="988" spans="1:9" x14ac:dyDescent="0.3">
      <c r="A988" s="543" t="s">
        <v>2857</v>
      </c>
      <c r="B988" s="543" t="s">
        <v>2858</v>
      </c>
      <c r="C988" s="543" t="s">
        <v>2195</v>
      </c>
      <c r="D988" s="543" t="s">
        <v>2859</v>
      </c>
      <c r="E988" s="6" t="str">
        <f>IFERROR(INDEX(ZACATECAS!$I$7:$I$5000, MATCH(F988*1, ZACATECAS!$H$7:$H$5000, 0)), "-")</f>
        <v>ENV 2</v>
      </c>
      <c r="F988" s="544">
        <v>32043723</v>
      </c>
      <c r="G988" s="544" t="s">
        <v>2197</v>
      </c>
      <c r="H988" s="543" t="s">
        <v>2860</v>
      </c>
      <c r="I988" s="6" t="str">
        <f>IFERROR(INDEX(ZACATECAS!$N$7:$N$5000, MATCH($F988, ZACATECAS!$H$7:$H$5000, 0)), "-")</f>
        <v>MEDIO AMBIENTE</v>
      </c>
    </row>
    <row r="989" spans="1:9" x14ac:dyDescent="0.3">
      <c r="A989" s="543" t="s">
        <v>2857</v>
      </c>
      <c r="B989" s="543" t="s">
        <v>2858</v>
      </c>
      <c r="C989" s="543" t="s">
        <v>2195</v>
      </c>
      <c r="D989" s="543" t="s">
        <v>2859</v>
      </c>
      <c r="E989" s="6" t="str">
        <f>IFERROR(INDEX(ZACATECAS!$I$7:$I$5000, MATCH(F989*1, ZACATECAS!$H$7:$H$5000, 0)), "-")</f>
        <v>ENV 2</v>
      </c>
      <c r="F989" s="544">
        <v>32043647</v>
      </c>
      <c r="G989" s="544" t="s">
        <v>2198</v>
      </c>
      <c r="H989" s="543" t="s">
        <v>2860</v>
      </c>
      <c r="I989" s="6" t="str">
        <f>IFERROR(INDEX(ZACATECAS!$N$7:$N$5000, MATCH($F989, ZACATECAS!$H$7:$H$5000, 0)), "-")</f>
        <v>APOYO GESTION</v>
      </c>
    </row>
    <row r="990" spans="1:9" x14ac:dyDescent="0.3">
      <c r="A990" s="543" t="s">
        <v>2857</v>
      </c>
      <c r="B990" s="543" t="s">
        <v>2858</v>
      </c>
      <c r="C990" s="543" t="s">
        <v>2195</v>
      </c>
      <c r="D990" s="543" t="s">
        <v>2859</v>
      </c>
      <c r="E990" s="6" t="str">
        <f>IFERROR(INDEX(ZACATECAS!$I$7:$I$5000, MATCH(F990*1, ZACATECAS!$H$7:$H$5000, 0)), "-")</f>
        <v>ENV 2</v>
      </c>
      <c r="F990" s="544">
        <v>32045015</v>
      </c>
      <c r="G990" s="544" t="s">
        <v>2199</v>
      </c>
      <c r="H990" s="543" t="s">
        <v>2860</v>
      </c>
      <c r="I990" s="6" t="str">
        <f>IFERROR(INDEX(ZACATECAS!$N$7:$N$5000, MATCH($F990, ZACATECAS!$H$7:$H$5000, 0)), "-")</f>
        <v>APOYO SEGURIDAD</v>
      </c>
    </row>
    <row r="991" spans="1:9" x14ac:dyDescent="0.3">
      <c r="A991" s="543" t="s">
        <v>2857</v>
      </c>
      <c r="B991" s="543" t="s">
        <v>2858</v>
      </c>
      <c r="C991" s="543" t="s">
        <v>2195</v>
      </c>
      <c r="D991" s="543" t="s">
        <v>2859</v>
      </c>
      <c r="E991" s="6" t="str">
        <f>IFERROR(INDEX(ZACATECAS!$I$7:$I$5000, MATCH(F991*1, ZACATECAS!$H$7:$H$5000, 0)), "-")</f>
        <v>ENV 2</v>
      </c>
      <c r="F991" s="544">
        <v>32044396</v>
      </c>
      <c r="G991" s="544" t="s">
        <v>2200</v>
      </c>
      <c r="H991" s="543" t="s">
        <v>2860</v>
      </c>
      <c r="I991" s="6" t="str">
        <f>IFERROR(INDEX(ZACATECAS!$N$7:$N$5000, MATCH($F991, ZACATECAS!$H$7:$H$5000, 0)), "-")</f>
        <v>MANTENIMIENTO</v>
      </c>
    </row>
    <row r="992" spans="1:9" x14ac:dyDescent="0.3">
      <c r="A992" s="543" t="s">
        <v>2857</v>
      </c>
      <c r="B992" s="543" t="s">
        <v>2858</v>
      </c>
      <c r="C992" s="543" t="s">
        <v>2195</v>
      </c>
      <c r="D992" s="546" t="s">
        <v>2859</v>
      </c>
      <c r="E992" s="6" t="str">
        <f>IFERROR(INDEX(ZACATECAS!$I$7:$I$5000, MATCH(F992*1, ZACATECAS!$H$7:$H$5000, 0)), "-")</f>
        <v>ENV 2</v>
      </c>
      <c r="F992" s="546">
        <v>32045901</v>
      </c>
      <c r="G992" s="546" t="s">
        <v>2201</v>
      </c>
      <c r="H992" s="543" t="s">
        <v>2860</v>
      </c>
      <c r="I992" s="6" t="str">
        <f>IFERROR(INDEX(ZACATECAS!$N$7:$N$5000, MATCH($F992, ZACATECAS!$H$7:$H$5000, 0)), "-")</f>
        <v>APOYO GENTE</v>
      </c>
    </row>
    <row r="993" spans="1:9" x14ac:dyDescent="0.3">
      <c r="A993" s="543" t="s">
        <v>2857</v>
      </c>
      <c r="B993" s="543" t="s">
        <v>2858</v>
      </c>
      <c r="C993" s="543" t="s">
        <v>2195</v>
      </c>
      <c r="D993" s="546" t="s">
        <v>2859</v>
      </c>
      <c r="E993" s="6" t="str">
        <f>IFERROR(INDEX(ZACATECAS!$I$7:$I$5000, MATCH(F993*1, ZACATECAS!$H$7:$H$5000, 0)), "-")</f>
        <v>ENV 2</v>
      </c>
      <c r="F993" s="544">
        <v>32044308</v>
      </c>
      <c r="G993" s="544" t="s">
        <v>2202</v>
      </c>
      <c r="H993" s="543" t="s">
        <v>2860</v>
      </c>
      <c r="I993" s="6" t="str">
        <f>IFERROR(INDEX(ZACATECAS!$N$7:$N$5000, MATCH($F993, ZACATECAS!$H$7:$H$5000, 0)), "-")</f>
        <v>APOYO MEDIO AMBIENTE</v>
      </c>
    </row>
    <row r="994" spans="1:9" x14ac:dyDescent="0.3">
      <c r="A994" s="543" t="s">
        <v>2857</v>
      </c>
      <c r="B994" s="543" t="s">
        <v>2858</v>
      </c>
      <c r="C994" s="543" t="s">
        <v>2195</v>
      </c>
      <c r="D994" s="546" t="s">
        <v>2859</v>
      </c>
      <c r="E994" s="6" t="str">
        <f>IFERROR(INDEX(ZACATECAS!$I$7:$I$5000, MATCH(F994*1, ZACATECAS!$H$7:$H$5000, 0)), "-")</f>
        <v>ENV 2</v>
      </c>
      <c r="F994" s="544">
        <v>32146008</v>
      </c>
      <c r="G994" s="544" t="s">
        <v>2203</v>
      </c>
      <c r="H994" s="543" t="s">
        <v>2860</v>
      </c>
      <c r="I994" s="6" t="str">
        <f>IFERROR(INDEX(ZACATECAS!$N$7:$N$5000, MATCH($F994, ZACATECAS!$H$7:$H$5000, 0)), "-")</f>
        <v>GESTION</v>
      </c>
    </row>
    <row r="995" spans="1:9" x14ac:dyDescent="0.3">
      <c r="A995" s="543" t="s">
        <v>2857</v>
      </c>
      <c r="B995" s="543" t="s">
        <v>2858</v>
      </c>
      <c r="C995" s="543" t="s">
        <v>2195</v>
      </c>
      <c r="D995" s="546" t="s">
        <v>2859</v>
      </c>
      <c r="E995" s="6" t="str">
        <f>IFERROR(INDEX(ZACATECAS!$I$7:$I$5000, MATCH(F995*1, ZACATECAS!$H$7:$H$5000, 0)), "-")</f>
        <v>ENV 2</v>
      </c>
      <c r="F995" s="544">
        <v>32046095</v>
      </c>
      <c r="G995" s="544" t="s">
        <v>2204</v>
      </c>
      <c r="H995" s="543" t="s">
        <v>2860</v>
      </c>
      <c r="I995" s="6" t="str">
        <f>IFERROR(INDEX(ZACATECAS!$N$7:$N$5000, MATCH($F995, ZACATECAS!$H$7:$H$5000, 0)), "-")</f>
        <v>SEGURIDAD</v>
      </c>
    </row>
    <row r="996" spans="1:9" x14ac:dyDescent="0.3">
      <c r="A996" s="543" t="s">
        <v>2857</v>
      </c>
      <c r="B996" s="543" t="s">
        <v>2858</v>
      </c>
      <c r="C996" s="543" t="s">
        <v>2195</v>
      </c>
      <c r="D996" s="546" t="s">
        <v>2859</v>
      </c>
      <c r="E996" s="6" t="str">
        <f>IFERROR(INDEX(ZACATECAS!$I$7:$I$5000, MATCH(F996*1, ZACATECAS!$H$7:$H$5000, 0)), "-")</f>
        <v>ENV 2</v>
      </c>
      <c r="F996" s="544">
        <v>32045210</v>
      </c>
      <c r="G996" s="544" t="s">
        <v>2205</v>
      </c>
      <c r="H996" s="543" t="s">
        <v>2860</v>
      </c>
      <c r="I996" s="6" t="str">
        <f>IFERROR(INDEX(ZACATECAS!$N$7:$N$5000, MATCH($F996, ZACATECAS!$H$7:$H$5000, 0)), "-")</f>
        <v>APOYO MANTENIMIENTO</v>
      </c>
    </row>
    <row r="997" spans="1:9" x14ac:dyDescent="0.3">
      <c r="A997" s="543" t="s">
        <v>2857</v>
      </c>
      <c r="B997" s="543" t="s">
        <v>2858</v>
      </c>
      <c r="C997" s="543" t="s">
        <v>2195</v>
      </c>
      <c r="D997" s="546" t="s">
        <v>2859</v>
      </c>
      <c r="E997" s="6" t="str">
        <f>IFERROR(INDEX(ZACATECAS!$I$7:$I$5000, MATCH(F997*1, ZACATECAS!$H$7:$H$5000, 0)), "-")</f>
        <v>ENV 2</v>
      </c>
      <c r="F997" s="544">
        <v>32149494</v>
      </c>
      <c r="G997" s="544" t="s">
        <v>2206</v>
      </c>
      <c r="H997" s="543" t="s">
        <v>2860</v>
      </c>
      <c r="I997" s="6" t="str">
        <f>IFERROR(INDEX(ZACATECAS!$N$7:$N$5000, MATCH($F997, ZACATECAS!$H$7:$H$5000, 0)), "-")</f>
        <v>GENTE</v>
      </c>
    </row>
    <row r="998" spans="1:9" x14ac:dyDescent="0.3">
      <c r="A998" s="543" t="s">
        <v>2857</v>
      </c>
      <c r="B998" s="543" t="s">
        <v>2858</v>
      </c>
      <c r="C998" s="543" t="s">
        <v>2195</v>
      </c>
      <c r="D998" s="546" t="s">
        <v>2859</v>
      </c>
      <c r="E998" s="6" t="str">
        <f>IFERROR(INDEX(ZACATECAS!$I$7:$I$5000, MATCH(F998*1, ZACATECAS!$H$7:$H$5000, 0)), "-")</f>
        <v>ENV 2</v>
      </c>
      <c r="F998" s="544">
        <v>32044984</v>
      </c>
      <c r="G998" s="544" t="s">
        <v>2207</v>
      </c>
      <c r="H998" s="543" t="s">
        <v>2860</v>
      </c>
      <c r="I998" s="6" t="str">
        <f>IFERROR(INDEX(ZACATECAS!$N$7:$N$5000, MATCH($F998, ZACATECAS!$H$7:$H$5000, 0)), "-")</f>
        <v>CALIDAD</v>
      </c>
    </row>
    <row r="999" spans="1:9" x14ac:dyDescent="0.3">
      <c r="A999" s="543" t="s">
        <v>2857</v>
      </c>
      <c r="B999" s="543" t="s">
        <v>2858</v>
      </c>
      <c r="C999" s="543" t="s">
        <v>2195</v>
      </c>
      <c r="D999" s="546" t="s">
        <v>2859</v>
      </c>
      <c r="E999" s="6" t="str">
        <f>IFERROR(INDEX(ZACATECAS!$I$7:$I$5000, MATCH(F999*1, ZACATECAS!$H$7:$H$5000, 0)), "-")</f>
        <v>ENV 2</v>
      </c>
      <c r="F999" s="544">
        <v>32045045</v>
      </c>
      <c r="G999" s="544" t="s">
        <v>2208</v>
      </c>
      <c r="H999" s="543" t="s">
        <v>2860</v>
      </c>
      <c r="I999" s="6" t="str">
        <f>IFERROR(INDEX(ZACATECAS!$N$7:$N$5000, MATCH($F999, ZACATECAS!$H$7:$H$5000, 0)), "-")</f>
        <v xml:space="preserve">APOYO GESTION </v>
      </c>
    </row>
    <row r="1000" spans="1:9" x14ac:dyDescent="0.3">
      <c r="A1000" s="543" t="s">
        <v>2857</v>
      </c>
      <c r="B1000" s="543" t="s">
        <v>2858</v>
      </c>
      <c r="C1000" s="543" t="s">
        <v>2243</v>
      </c>
      <c r="D1000" s="546" t="s">
        <v>2859</v>
      </c>
      <c r="E1000" s="6" t="str">
        <f>IFERROR(INDEX(ZACATECAS!$I$7:$I$5000, MATCH(F1000*1, ZACATECAS!$H$7:$H$5000, 0)), "-")</f>
        <v>-</v>
      </c>
      <c r="F1000" s="544">
        <v>32145055</v>
      </c>
      <c r="G1000" s="544" t="s">
        <v>2244</v>
      </c>
      <c r="H1000" s="543" t="s">
        <v>2344</v>
      </c>
      <c r="I1000" s="6" t="str">
        <f>IFERROR(INDEX(ZACATECAS!$N$7:$N$5000, MATCH($F1000, ZACATECAS!$H$7:$H$5000, 0)), "-")</f>
        <v>-</v>
      </c>
    </row>
    <row r="1001" spans="1:9" x14ac:dyDescent="0.3">
      <c r="A1001" s="543" t="s">
        <v>2857</v>
      </c>
      <c r="B1001" s="543" t="s">
        <v>2858</v>
      </c>
      <c r="C1001" s="543" t="s">
        <v>2243</v>
      </c>
      <c r="D1001" s="546" t="s">
        <v>2859</v>
      </c>
      <c r="E1001" s="6" t="str">
        <f>IFERROR(INDEX(ZACATECAS!$I$7:$I$5000, MATCH(F1001*1, ZACATECAS!$H$7:$H$5000, 0)), "-")</f>
        <v>ENV 3</v>
      </c>
      <c r="F1001" s="544">
        <v>32064464</v>
      </c>
      <c r="G1001" s="544" t="s">
        <v>2245</v>
      </c>
      <c r="H1001" s="543" t="s">
        <v>2860</v>
      </c>
      <c r="I1001" s="6" t="str">
        <f>IFERROR(INDEX(ZACATECAS!$N$7:$N$5000, MATCH($F1001, ZACATECAS!$H$7:$H$5000, 0)), "-")</f>
        <v>GENTE</v>
      </c>
    </row>
    <row r="1002" spans="1:9" x14ac:dyDescent="0.3">
      <c r="A1002" s="543" t="s">
        <v>2857</v>
      </c>
      <c r="B1002" s="543" t="s">
        <v>2858</v>
      </c>
      <c r="C1002" s="543" t="s">
        <v>2243</v>
      </c>
      <c r="D1002" s="546" t="s">
        <v>2859</v>
      </c>
      <c r="E1002" s="6" t="str">
        <f>IFERROR(INDEX(ZACATECAS!$I$7:$I$5000, MATCH(F1002*1, ZACATECAS!$H$7:$H$5000, 0)), "-")</f>
        <v>ENV 3</v>
      </c>
      <c r="F1002" s="544">
        <v>32043790</v>
      </c>
      <c r="G1002" s="544" t="s">
        <v>2246</v>
      </c>
      <c r="H1002" s="543" t="s">
        <v>2860</v>
      </c>
      <c r="I1002" s="6" t="str">
        <f>IFERROR(INDEX(ZACATECAS!$N$7:$N$5000, MATCH($F1002, ZACATECAS!$H$7:$H$5000, 0)), "-")</f>
        <v>SEGURIDAD</v>
      </c>
    </row>
    <row r="1003" spans="1:9" x14ac:dyDescent="0.3">
      <c r="A1003" s="543" t="s">
        <v>2857</v>
      </c>
      <c r="B1003" s="543" t="s">
        <v>2858</v>
      </c>
      <c r="C1003" s="543" t="s">
        <v>2243</v>
      </c>
      <c r="D1003" s="546" t="s">
        <v>2859</v>
      </c>
      <c r="E1003" s="6" t="str">
        <f>IFERROR(INDEX(ZACATECAS!$I$7:$I$5000, MATCH(F1003*1, ZACATECAS!$H$7:$H$5000, 0)), "-")</f>
        <v>ENV 3</v>
      </c>
      <c r="F1003" s="544">
        <v>32044976</v>
      </c>
      <c r="G1003" s="544" t="s">
        <v>2247</v>
      </c>
      <c r="H1003" s="543" t="s">
        <v>2860</v>
      </c>
      <c r="I1003" s="6" t="str">
        <f>IFERROR(INDEX(ZACATECAS!$N$7:$N$5000, MATCH($F1003, ZACATECAS!$H$7:$H$5000, 0)), "-")</f>
        <v>CALIDAD</v>
      </c>
    </row>
    <row r="1004" spans="1:9" x14ac:dyDescent="0.3">
      <c r="A1004" s="543" t="s">
        <v>2857</v>
      </c>
      <c r="B1004" s="543" t="s">
        <v>2858</v>
      </c>
      <c r="C1004" s="543" t="s">
        <v>2162</v>
      </c>
      <c r="D1004" s="546" t="s">
        <v>2859</v>
      </c>
      <c r="E1004" s="6" t="str">
        <f>IFERROR(INDEX(ZACATECAS!$I$7:$I$5000, MATCH(F1004*1, ZACATECAS!$H$7:$H$5000, 0)), "-")</f>
        <v>-</v>
      </c>
      <c r="F1004" s="544">
        <v>32172000</v>
      </c>
      <c r="G1004" s="544" t="s">
        <v>2163</v>
      </c>
      <c r="H1004" s="543" t="s">
        <v>2344</v>
      </c>
      <c r="I1004" s="6" t="str">
        <f>IFERROR(INDEX(ZACATECAS!$N$7:$N$5000, MATCH($F1004, ZACATECAS!$H$7:$H$5000, 0)), "-")</f>
        <v>-</v>
      </c>
    </row>
    <row r="1005" spans="1:9" x14ac:dyDescent="0.3">
      <c r="A1005" s="543" t="s">
        <v>2857</v>
      </c>
      <c r="B1005" s="543" t="s">
        <v>2858</v>
      </c>
      <c r="C1005" s="543" t="s">
        <v>2162</v>
      </c>
      <c r="D1005" s="546" t="s">
        <v>2859</v>
      </c>
      <c r="E1005" s="6" t="str">
        <f>IFERROR(INDEX(ZACATECAS!$I$7:$I$5000, MATCH(F1005*1, ZACATECAS!$H$7:$H$5000, 0)), "-")</f>
        <v>ENV 1</v>
      </c>
      <c r="F1005" s="544">
        <v>32044803</v>
      </c>
      <c r="G1005" s="544" t="s">
        <v>2164</v>
      </c>
      <c r="H1005" s="543" t="s">
        <v>2860</v>
      </c>
      <c r="I1005" s="6" t="str">
        <f>IFERROR(INDEX(ZACATECAS!$N$7:$N$5000, MATCH($F1005, ZACATECAS!$H$7:$H$5000, 0)), "-")</f>
        <v>GESTION</v>
      </c>
    </row>
    <row r="1006" spans="1:9" x14ac:dyDescent="0.3">
      <c r="A1006" s="543" t="s">
        <v>2857</v>
      </c>
      <c r="B1006" s="543" t="s">
        <v>2858</v>
      </c>
      <c r="C1006" s="543" t="s">
        <v>2162</v>
      </c>
      <c r="D1006" s="546" t="s">
        <v>2859</v>
      </c>
      <c r="E1006" s="6" t="str">
        <f>IFERROR(INDEX(ZACATECAS!$I$7:$I$5000, MATCH(F1006*1, ZACATECAS!$H$7:$H$5000, 0)), "-")</f>
        <v>ENV 1</v>
      </c>
      <c r="F1006" s="544">
        <v>32043975</v>
      </c>
      <c r="G1006" s="544" t="s">
        <v>2165</v>
      </c>
      <c r="H1006" s="543" t="s">
        <v>2860</v>
      </c>
      <c r="I1006" s="6" t="str">
        <f>IFERROR(INDEX(ZACATECAS!$N$7:$N$5000, MATCH($F1006, ZACATECAS!$H$7:$H$5000, 0)), "-")</f>
        <v>SEGURIDAD</v>
      </c>
    </row>
    <row r="1007" spans="1:9" x14ac:dyDescent="0.3">
      <c r="A1007" s="543" t="s">
        <v>2857</v>
      </c>
      <c r="B1007" s="543" t="s">
        <v>2858</v>
      </c>
      <c r="C1007" s="543" t="s">
        <v>2162</v>
      </c>
      <c r="D1007" s="546" t="s">
        <v>2859</v>
      </c>
      <c r="E1007" s="6" t="str">
        <f>IFERROR(INDEX(ZACATECAS!$I$7:$I$5000, MATCH(F1007*1, ZACATECAS!$H$7:$H$5000, 0)), "-")</f>
        <v>ENV 1</v>
      </c>
      <c r="F1007" s="544">
        <v>32043982</v>
      </c>
      <c r="G1007" s="544" t="s">
        <v>2166</v>
      </c>
      <c r="H1007" s="543" t="s">
        <v>2860</v>
      </c>
      <c r="I1007" s="6" t="str">
        <f>IFERROR(INDEX(ZACATECAS!$N$7:$N$5000, MATCH($F1007, ZACATECAS!$H$7:$H$5000, 0)), "-")</f>
        <v>GENTE</v>
      </c>
    </row>
    <row r="1008" spans="1:9" x14ac:dyDescent="0.3">
      <c r="A1008" s="543" t="s">
        <v>2857</v>
      </c>
      <c r="B1008" s="543" t="s">
        <v>2858</v>
      </c>
      <c r="C1008" s="543" t="s">
        <v>2162</v>
      </c>
      <c r="D1008" s="546" t="s">
        <v>2859</v>
      </c>
      <c r="E1008" s="6" t="str">
        <f>IFERROR(INDEX(ZACATECAS!$I$7:$I$5000, MATCH(F1008*1, ZACATECAS!$H$7:$H$5000, 0)), "-")</f>
        <v>ENV 1</v>
      </c>
      <c r="F1008" s="544">
        <v>32045706</v>
      </c>
      <c r="G1008" s="544" t="s">
        <v>2167</v>
      </c>
      <c r="H1008" s="543" t="s">
        <v>2860</v>
      </c>
      <c r="I1008" s="6" t="str">
        <f>IFERROR(INDEX(ZACATECAS!$N$7:$N$5000, MATCH($F1008, ZACATECAS!$H$7:$H$5000, 0)), "-")</f>
        <v>MANTENIMIENTO</v>
      </c>
    </row>
    <row r="1009" spans="1:9" x14ac:dyDescent="0.3">
      <c r="A1009" s="543" t="s">
        <v>2857</v>
      </c>
      <c r="B1009" s="543" t="s">
        <v>2858</v>
      </c>
      <c r="C1009" s="543" t="s">
        <v>2162</v>
      </c>
      <c r="D1009" s="546" t="s">
        <v>2859</v>
      </c>
      <c r="E1009" s="6" t="str">
        <f>IFERROR(INDEX(ZACATECAS!$I$7:$I$5000, MATCH(F1009*1, ZACATECAS!$H$7:$H$5000, 0)), "-")</f>
        <v>ENV 1</v>
      </c>
      <c r="F1009" s="544">
        <v>32045496</v>
      </c>
      <c r="G1009" s="544" t="s">
        <v>2168</v>
      </c>
      <c r="H1009" s="543" t="s">
        <v>2860</v>
      </c>
      <c r="I1009" s="6" t="str">
        <f>IFERROR(INDEX(ZACATECAS!$N$7:$N$5000, MATCH($F1009, ZACATECAS!$H$7:$H$5000, 0)), "-")</f>
        <v>CALIDAD</v>
      </c>
    </row>
    <row r="1010" spans="1:9" x14ac:dyDescent="0.3">
      <c r="A1010" s="543" t="s">
        <v>2857</v>
      </c>
      <c r="B1010" s="543" t="s">
        <v>2858</v>
      </c>
      <c r="C1010" s="543" t="s">
        <v>2162</v>
      </c>
      <c r="D1010" s="543" t="s">
        <v>2859</v>
      </c>
      <c r="E1010" s="6" t="str">
        <f>IFERROR(INDEX(ZACATECAS!$I$7:$I$5000, MATCH(F1010*1, ZACATECAS!$H$7:$H$5000, 0)), "-")</f>
        <v>ENV 1</v>
      </c>
      <c r="F1010" s="546">
        <v>32137942</v>
      </c>
      <c r="G1010" s="546" t="s">
        <v>2169</v>
      </c>
      <c r="H1010" s="543" t="s">
        <v>2860</v>
      </c>
      <c r="I1010" s="6" t="str">
        <f>IFERROR(INDEX(ZACATECAS!$N$7:$N$5000, MATCH($F1010, ZACATECAS!$H$7:$H$5000, 0)), "-")</f>
        <v>APOYO GESTION</v>
      </c>
    </row>
    <row r="1011" spans="1:9" x14ac:dyDescent="0.3">
      <c r="A1011" s="543" t="s">
        <v>2857</v>
      </c>
      <c r="B1011" s="543" t="s">
        <v>2858</v>
      </c>
      <c r="C1011" s="543" t="s">
        <v>2162</v>
      </c>
      <c r="D1011" s="543" t="s">
        <v>2859</v>
      </c>
      <c r="E1011" s="6" t="str">
        <f>IFERROR(INDEX(ZACATECAS!$I$7:$I$5000, MATCH(F1011*1, ZACATECAS!$H$7:$H$5000, 0)), "-")</f>
        <v>ENV 1</v>
      </c>
      <c r="F1011" s="544">
        <v>32044212</v>
      </c>
      <c r="G1011" s="544" t="s">
        <v>2170</v>
      </c>
      <c r="H1011" s="543" t="s">
        <v>2860</v>
      </c>
      <c r="I1011" s="6" t="str">
        <f>IFERROR(INDEX(ZACATECAS!$N$7:$N$5000, MATCH($F1011, ZACATECAS!$H$7:$H$5000, 0)), "-")</f>
        <v>APOYO SEGURIDAD</v>
      </c>
    </row>
    <row r="1012" spans="1:9" x14ac:dyDescent="0.3">
      <c r="A1012" s="543" t="s">
        <v>2857</v>
      </c>
      <c r="B1012" s="543" t="s">
        <v>2858</v>
      </c>
      <c r="C1012" s="543" t="s">
        <v>2162</v>
      </c>
      <c r="D1012" s="543" t="s">
        <v>2859</v>
      </c>
      <c r="E1012" s="6" t="str">
        <f>IFERROR(INDEX(ZACATECAS!$I$7:$I$5000, MATCH(F1012*1, ZACATECAS!$H$7:$H$5000, 0)), "-")</f>
        <v>ENV 1</v>
      </c>
      <c r="F1012" s="544">
        <v>32044078</v>
      </c>
      <c r="G1012" s="544" t="s">
        <v>2171</v>
      </c>
      <c r="H1012" s="543" t="s">
        <v>2860</v>
      </c>
      <c r="I1012" s="6" t="str">
        <f>IFERROR(INDEX(ZACATECAS!$N$7:$N$5000, MATCH($F1012, ZACATECAS!$H$7:$H$5000, 0)), "-")</f>
        <v>APOYO MANTENIMIENTO</v>
      </c>
    </row>
    <row r="1013" spans="1:9" x14ac:dyDescent="0.3">
      <c r="A1013" s="543" t="s">
        <v>2857</v>
      </c>
      <c r="B1013" s="543" t="s">
        <v>2858</v>
      </c>
      <c r="C1013" s="543" t="s">
        <v>1934</v>
      </c>
      <c r="D1013" s="543" t="s">
        <v>2868</v>
      </c>
      <c r="E1013" s="6" t="str">
        <f>IFERROR(INDEX(ZACATECAS!$I$7:$I$5000, MATCH(F1013*1, ZACATECAS!$H$7:$H$5000, 0)), "-")</f>
        <v>-</v>
      </c>
      <c r="F1013" s="544">
        <v>32045909</v>
      </c>
      <c r="G1013" s="544" t="s">
        <v>1935</v>
      </c>
      <c r="H1013" s="543" t="s">
        <v>2344</v>
      </c>
      <c r="I1013" s="6" t="str">
        <f>IFERROR(INDEX(ZACATECAS!$N$7:$N$5000, MATCH($F1013, ZACATECAS!$H$7:$H$5000, 0)), "-")</f>
        <v>-</v>
      </c>
    </row>
    <row r="1014" spans="1:9" x14ac:dyDescent="0.3">
      <c r="A1014" s="543" t="s">
        <v>2857</v>
      </c>
      <c r="B1014" s="543" t="s">
        <v>2858</v>
      </c>
      <c r="C1014" s="543" t="s">
        <v>1934</v>
      </c>
      <c r="D1014" s="543" t="s">
        <v>2868</v>
      </c>
      <c r="E1014" s="6">
        <f>IFERROR(INDEX(ZACATECAS!$I$7:$I$5000, MATCH(F1014*1, ZACATECAS!$H$7:$H$5000, 0)), "-")</f>
        <v>0</v>
      </c>
      <c r="F1014" s="544">
        <v>32043813</v>
      </c>
      <c r="G1014" s="544" t="s">
        <v>1937</v>
      </c>
      <c r="H1014" s="543" t="s">
        <v>2860</v>
      </c>
      <c r="I1014" s="6" t="str">
        <f>IFERROR(INDEX(ZACATECAS!$N$7:$N$5000, MATCH($F1014, ZACATECAS!$H$7:$H$5000, 0)), "-")</f>
        <v>GENTE/GESTION</v>
      </c>
    </row>
    <row r="1015" spans="1:9" x14ac:dyDescent="0.3">
      <c r="A1015" s="543" t="s">
        <v>2857</v>
      </c>
      <c r="B1015" s="543" t="s">
        <v>2858</v>
      </c>
      <c r="C1015" s="543" t="s">
        <v>1934</v>
      </c>
      <c r="D1015" s="543" t="s">
        <v>2868</v>
      </c>
      <c r="E1015" s="6">
        <f>IFERROR(INDEX(ZACATECAS!$I$7:$I$5000, MATCH(F1015*1, ZACATECAS!$H$7:$H$5000, 0)), "-")</f>
        <v>0</v>
      </c>
      <c r="F1015" s="544">
        <v>32045837</v>
      </c>
      <c r="G1015" s="544" t="s">
        <v>1939</v>
      </c>
      <c r="H1015" s="543" t="s">
        <v>2860</v>
      </c>
      <c r="I1015" s="6" t="str">
        <f>IFERROR(INDEX(ZACATECAS!$N$7:$N$5000, MATCH($F1015, ZACATECAS!$H$7:$H$5000, 0)), "-")</f>
        <v>SEGURIDAD</v>
      </c>
    </row>
    <row r="1016" spans="1:9" x14ac:dyDescent="0.3">
      <c r="A1016" s="543" t="s">
        <v>2857</v>
      </c>
      <c r="B1016" s="543" t="s">
        <v>2858</v>
      </c>
      <c r="C1016" s="543" t="s">
        <v>1934</v>
      </c>
      <c r="D1016" s="543" t="s">
        <v>2868</v>
      </c>
      <c r="E1016" s="6">
        <f>IFERROR(INDEX(ZACATECAS!$I$7:$I$5000, MATCH(F1016*1, ZACATECAS!$H$7:$H$5000, 0)), "-")</f>
        <v>0</v>
      </c>
      <c r="F1016" s="544">
        <v>32044591</v>
      </c>
      <c r="G1016" s="544" t="s">
        <v>1941</v>
      </c>
      <c r="H1016" s="543" t="s">
        <v>2860</v>
      </c>
      <c r="I1016" s="6" t="str">
        <f>IFERROR(INDEX(ZACATECAS!$N$7:$N$5000, MATCH($F1016, ZACATECAS!$H$7:$H$5000, 0)), "-")</f>
        <v>AMBIENTAL</v>
      </c>
    </row>
    <row r="1017" spans="1:9" x14ac:dyDescent="0.3">
      <c r="A1017" s="543" t="s">
        <v>2857</v>
      </c>
      <c r="B1017" s="543" t="s">
        <v>2858</v>
      </c>
      <c r="C1017" s="543" t="s">
        <v>1934</v>
      </c>
      <c r="D1017" s="543" t="s">
        <v>2868</v>
      </c>
      <c r="E1017" s="6">
        <f>IFERROR(INDEX(ZACATECAS!$I$7:$I$5000, MATCH(F1017*1, ZACATECAS!$H$7:$H$5000, 0)), "-")</f>
        <v>0</v>
      </c>
      <c r="F1017" s="546">
        <v>32044678</v>
      </c>
      <c r="G1017" s="543" t="s">
        <v>1943</v>
      </c>
      <c r="H1017" s="543" t="s">
        <v>2860</v>
      </c>
      <c r="I1017" s="6" t="str">
        <f>IFERROR(INDEX(ZACATECAS!$N$7:$N$5000, MATCH($F1017, ZACATECAS!$H$7:$H$5000, 0)), "-")</f>
        <v>LOGISTICA</v>
      </c>
    </row>
    <row r="1018" spans="1:9" x14ac:dyDescent="0.3">
      <c r="A1018" s="543" t="s">
        <v>2857</v>
      </c>
      <c r="B1018" s="543" t="s">
        <v>2858</v>
      </c>
      <c r="C1018" s="543" t="s">
        <v>1934</v>
      </c>
      <c r="D1018" s="543" t="s">
        <v>2868</v>
      </c>
      <c r="E1018" s="6">
        <f>IFERROR(INDEX(ZACATECAS!$I$7:$I$5000, MATCH(F1018*1, ZACATECAS!$H$7:$H$5000, 0)), "-")</f>
        <v>0</v>
      </c>
      <c r="F1018" s="545">
        <v>32044323</v>
      </c>
      <c r="G1018" s="544" t="s">
        <v>1945</v>
      </c>
      <c r="H1018" s="543" t="s">
        <v>2860</v>
      </c>
      <c r="I1018" s="6" t="str">
        <f>IFERROR(INDEX(ZACATECAS!$N$7:$N$5000, MATCH($F1018, ZACATECAS!$H$7:$H$5000, 0)), "-")</f>
        <v>CALIDAD</v>
      </c>
    </row>
    <row r="1019" spans="1:9" x14ac:dyDescent="0.3">
      <c r="A1019" s="543" t="s">
        <v>2857</v>
      </c>
      <c r="B1019" s="543" t="s">
        <v>2858</v>
      </c>
      <c r="C1019" s="543" t="s">
        <v>1934</v>
      </c>
      <c r="D1019" s="543" t="s">
        <v>2868</v>
      </c>
      <c r="E1019" s="6">
        <f>IFERROR(INDEX(ZACATECAS!$I$7:$I$5000, MATCH(F1019*1, ZACATECAS!$H$7:$H$5000, 0)), "-")</f>
        <v>0</v>
      </c>
      <c r="F1019" s="545">
        <v>32044422</v>
      </c>
      <c r="G1019" s="544" t="s">
        <v>1947</v>
      </c>
      <c r="H1019" s="543" t="s">
        <v>2860</v>
      </c>
      <c r="I1019" s="6" t="str">
        <f>IFERROR(INDEX(ZACATECAS!$N$7:$N$5000, MATCH($F1019, ZACATECAS!$H$7:$H$5000, 0)), "-")</f>
        <v>SEGURIDAD</v>
      </c>
    </row>
    <row r="1020" spans="1:9" x14ac:dyDescent="0.3">
      <c r="A1020" s="543" t="s">
        <v>2857</v>
      </c>
      <c r="B1020" s="543" t="s">
        <v>2858</v>
      </c>
      <c r="C1020" s="543" t="s">
        <v>1934</v>
      </c>
      <c r="D1020" s="543" t="s">
        <v>2868</v>
      </c>
      <c r="E1020" s="6">
        <f>IFERROR(INDEX(ZACATECAS!$I$7:$I$5000, MATCH(F1020*1, ZACATECAS!$H$7:$H$5000, 0)), "-")</f>
        <v>0</v>
      </c>
      <c r="F1020" s="545">
        <v>32044985</v>
      </c>
      <c r="G1020" s="544" t="s">
        <v>1949</v>
      </c>
      <c r="H1020" s="543" t="s">
        <v>2860</v>
      </c>
      <c r="I1020" s="6" t="str">
        <f>IFERROR(INDEX(ZACATECAS!$N$7:$N$5000, MATCH($F1020, ZACATECAS!$H$7:$H$5000, 0)), "-")</f>
        <v>GENTE/GESTION</v>
      </c>
    </row>
    <row r="1021" spans="1:9" x14ac:dyDescent="0.3">
      <c r="A1021" s="543" t="s">
        <v>2857</v>
      </c>
      <c r="B1021" s="543" t="s">
        <v>2858</v>
      </c>
      <c r="C1021" s="543" t="s">
        <v>1003</v>
      </c>
      <c r="D1021" s="543" t="s">
        <v>2861</v>
      </c>
      <c r="E1021" s="6" t="str">
        <f>IFERROR(INDEX(ZACATECAS!$I$7:$I$5000, MATCH(F1021*1, ZACATECAS!$H$7:$H$5000, 0)), "-")</f>
        <v>-</v>
      </c>
      <c r="F1021" s="545">
        <v>32148202</v>
      </c>
      <c r="G1021" s="544" t="s">
        <v>1004</v>
      </c>
      <c r="H1021" s="543" t="s">
        <v>2344</v>
      </c>
      <c r="I1021" s="6" t="str">
        <f>IFERROR(INDEX(ZACATECAS!$N$7:$N$5000, MATCH($F1021, ZACATECAS!$H$7:$H$5000, 0)), "-")</f>
        <v>-</v>
      </c>
    </row>
    <row r="1022" spans="1:9" x14ac:dyDescent="0.3">
      <c r="A1022" s="543" t="s">
        <v>2857</v>
      </c>
      <c r="B1022" s="543" t="s">
        <v>2858</v>
      </c>
      <c r="C1022" s="543" t="s">
        <v>1003</v>
      </c>
      <c r="D1022" s="543" t="s">
        <v>2861</v>
      </c>
      <c r="E1022" s="6">
        <f>IFERROR(INDEX(ZACATECAS!$I$7:$I$5000, MATCH(F1022*1, ZACATECAS!$H$7:$H$5000, 0)), "-")</f>
        <v>9</v>
      </c>
      <c r="F1022" s="545">
        <v>32044265</v>
      </c>
      <c r="G1022" s="544" t="s">
        <v>1005</v>
      </c>
      <c r="H1022" s="543" t="s">
        <v>2860</v>
      </c>
      <c r="I1022" s="6" t="str">
        <f>IFERROR(INDEX(ZACATECAS!$N$7:$N$5000, MATCH($F1022, ZACATECAS!$H$7:$H$5000, 0)), "-")</f>
        <v>APOYO DE GESTIÓN</v>
      </c>
    </row>
    <row r="1023" spans="1:9" x14ac:dyDescent="0.3">
      <c r="A1023" s="543" t="s">
        <v>2857</v>
      </c>
      <c r="B1023" s="543" t="s">
        <v>2858</v>
      </c>
      <c r="C1023" s="543" t="s">
        <v>1003</v>
      </c>
      <c r="D1023" s="543" t="s">
        <v>2861</v>
      </c>
      <c r="E1023" s="6">
        <f>IFERROR(INDEX(ZACATECAS!$I$7:$I$5000, MATCH(F1023*1, ZACATECAS!$H$7:$H$5000, 0)), "-")</f>
        <v>9</v>
      </c>
      <c r="F1023" s="545">
        <v>32045040</v>
      </c>
      <c r="G1023" s="544" t="s">
        <v>1008</v>
      </c>
      <c r="H1023" s="543" t="s">
        <v>2860</v>
      </c>
      <c r="I1023" s="6" t="str">
        <f>IFERROR(INDEX(ZACATECAS!$N$7:$N$5000, MATCH($F1023, ZACATECAS!$H$7:$H$5000, 0)), "-")</f>
        <v xml:space="preserve">CHAMPION DE SEGURIDAD </v>
      </c>
    </row>
    <row r="1024" spans="1:9" x14ac:dyDescent="0.3">
      <c r="A1024" s="543" t="s">
        <v>2857</v>
      </c>
      <c r="B1024" s="543" t="s">
        <v>2858</v>
      </c>
      <c r="C1024" s="543" t="s">
        <v>1003</v>
      </c>
      <c r="D1024" s="543" t="s">
        <v>2861</v>
      </c>
      <c r="E1024" s="6">
        <f>IFERROR(INDEX(ZACATECAS!$I$7:$I$5000, MATCH(F1024*1, ZACATECAS!$H$7:$H$5000, 0)), "-")</f>
        <v>9</v>
      </c>
      <c r="F1024" s="545">
        <v>32045959</v>
      </c>
      <c r="G1024" s="544" t="s">
        <v>1010</v>
      </c>
      <c r="H1024" s="543" t="s">
        <v>2860</v>
      </c>
      <c r="I1024" s="6" t="str">
        <f>IFERROR(INDEX(ZACATECAS!$N$7:$N$5000, MATCH($F1024, ZACATECAS!$H$7:$H$5000, 0)), "-")</f>
        <v xml:space="preserve">CHAMPION DE MANTENIMIENTO </v>
      </c>
    </row>
    <row r="1025" spans="1:9" x14ac:dyDescent="0.3">
      <c r="A1025" s="543" t="s">
        <v>2857</v>
      </c>
      <c r="B1025" s="543" t="s">
        <v>2858</v>
      </c>
      <c r="C1025" s="543" t="s">
        <v>1003</v>
      </c>
      <c r="D1025" s="543" t="s">
        <v>2861</v>
      </c>
      <c r="E1025" s="6">
        <f>IFERROR(INDEX(ZACATECAS!$I$7:$I$5000, MATCH(F1025*1, ZACATECAS!$H$7:$H$5000, 0)), "-")</f>
        <v>9</v>
      </c>
      <c r="F1025" s="546">
        <v>32046073</v>
      </c>
      <c r="G1025" s="543" t="s">
        <v>1013</v>
      </c>
      <c r="H1025" s="543" t="s">
        <v>2860</v>
      </c>
      <c r="I1025" s="6" t="str">
        <f>IFERROR(INDEX(ZACATECAS!$N$7:$N$5000, MATCH($F1025, ZACATECAS!$H$7:$H$5000, 0)), "-")</f>
        <v xml:space="preserve">APOYO MANTENIMIENTO </v>
      </c>
    </row>
    <row r="1026" spans="1:9" x14ac:dyDescent="0.3">
      <c r="A1026" s="543" t="s">
        <v>2857</v>
      </c>
      <c r="B1026" s="543" t="s">
        <v>2858</v>
      </c>
      <c r="C1026" s="543" t="s">
        <v>1003</v>
      </c>
      <c r="D1026" s="543" t="s">
        <v>2861</v>
      </c>
      <c r="E1026" s="6">
        <f>IFERROR(INDEX(ZACATECAS!$I$7:$I$5000, MATCH(F1026*1, ZACATECAS!$H$7:$H$5000, 0)), "-")</f>
        <v>9</v>
      </c>
      <c r="F1026" s="545">
        <v>32046149</v>
      </c>
      <c r="G1026" s="544" t="s">
        <v>1015</v>
      </c>
      <c r="H1026" s="543" t="s">
        <v>2860</v>
      </c>
      <c r="I1026" s="6" t="str">
        <f>IFERROR(INDEX(ZACATECAS!$N$7:$N$5000, MATCH($F1026, ZACATECAS!$H$7:$H$5000, 0)), "-")</f>
        <v xml:space="preserve">APOYO  EN SEGURIDAD </v>
      </c>
    </row>
    <row r="1027" spans="1:9" x14ac:dyDescent="0.3">
      <c r="A1027" s="543" t="s">
        <v>2857</v>
      </c>
      <c r="B1027" s="543" t="s">
        <v>2858</v>
      </c>
      <c r="C1027" s="543" t="s">
        <v>1003</v>
      </c>
      <c r="D1027" s="543" t="s">
        <v>2861</v>
      </c>
      <c r="E1027" s="6">
        <f>IFERROR(INDEX(ZACATECAS!$I$7:$I$5000, MATCH(F1027*1, ZACATECAS!$H$7:$H$5000, 0)), "-")</f>
        <v>9</v>
      </c>
      <c r="F1027" s="545">
        <v>32046201</v>
      </c>
      <c r="G1027" s="545" t="s">
        <v>1018</v>
      </c>
      <c r="H1027" s="543" t="s">
        <v>2860</v>
      </c>
      <c r="I1027" s="6" t="str">
        <f>IFERROR(INDEX(ZACATECAS!$N$7:$N$5000, MATCH($F1027, ZACATECAS!$H$7:$H$5000, 0)), "-")</f>
        <v xml:space="preserve">CHAMPION LOGISTICA </v>
      </c>
    </row>
    <row r="1028" spans="1:9" x14ac:dyDescent="0.3">
      <c r="A1028" s="543" t="s">
        <v>2857</v>
      </c>
      <c r="B1028" s="543" t="s">
        <v>2858</v>
      </c>
      <c r="C1028" s="543" t="s">
        <v>1003</v>
      </c>
      <c r="D1028" s="543" t="s">
        <v>2861</v>
      </c>
      <c r="E1028" s="6">
        <f>IFERROR(INDEX(ZACATECAS!$I$7:$I$5000, MATCH(F1028*1, ZACATECAS!$H$7:$H$5000, 0)), "-")</f>
        <v>9</v>
      </c>
      <c r="F1028" s="545">
        <v>32046230</v>
      </c>
      <c r="G1028" s="544" t="s">
        <v>1021</v>
      </c>
      <c r="H1028" s="543" t="s">
        <v>2860</v>
      </c>
      <c r="I1028" s="6" t="str">
        <f>IFERROR(INDEX(ZACATECAS!$N$7:$N$5000, MATCH($F1028, ZACATECAS!$H$7:$H$5000, 0)), "-")</f>
        <v xml:space="preserve">CHAMPION DE GESTIÓN </v>
      </c>
    </row>
    <row r="1029" spans="1:9" x14ac:dyDescent="0.3">
      <c r="A1029" s="543" t="s">
        <v>2857</v>
      </c>
      <c r="B1029" s="543" t="s">
        <v>2858</v>
      </c>
      <c r="C1029" s="543" t="s">
        <v>1003</v>
      </c>
      <c r="D1029" s="543" t="s">
        <v>2861</v>
      </c>
      <c r="E1029" s="6">
        <f>IFERROR(INDEX(ZACATECAS!$I$7:$I$5000, MATCH(F1029*1, ZACATECAS!$H$7:$H$5000, 0)), "-")</f>
        <v>9</v>
      </c>
      <c r="F1029" s="545">
        <v>32046386</v>
      </c>
      <c r="G1029" s="544" t="s">
        <v>1024</v>
      </c>
      <c r="H1029" s="543" t="s">
        <v>2860</v>
      </c>
      <c r="I1029" s="6" t="str">
        <f>IFERROR(INDEX(ZACATECAS!$N$7:$N$5000, MATCH($F1029, ZACATECAS!$H$7:$H$5000, 0)), "-")</f>
        <v xml:space="preserve">APOYO DE SEGURIDAD </v>
      </c>
    </row>
    <row r="1030" spans="1:9" x14ac:dyDescent="0.3">
      <c r="A1030" s="543" t="s">
        <v>2857</v>
      </c>
      <c r="B1030" s="543" t="s">
        <v>2858</v>
      </c>
      <c r="C1030" s="543" t="s">
        <v>1003</v>
      </c>
      <c r="D1030" s="543" t="s">
        <v>2861</v>
      </c>
      <c r="E1030" s="6">
        <f>IFERROR(INDEX(ZACATECAS!$I$7:$I$5000, MATCH(F1030*1, ZACATECAS!$H$7:$H$5000, 0)), "-")</f>
        <v>9</v>
      </c>
      <c r="F1030" s="545">
        <v>32046394</v>
      </c>
      <c r="G1030" s="544" t="s">
        <v>1027</v>
      </c>
      <c r="H1030" s="543" t="s">
        <v>2860</v>
      </c>
      <c r="I1030" s="6" t="str">
        <f>IFERROR(INDEX(ZACATECAS!$N$7:$N$5000, MATCH($F1030, ZACATECAS!$H$7:$H$5000, 0)), "-")</f>
        <v>APOYO MTTO.</v>
      </c>
    </row>
    <row r="1031" spans="1:9" x14ac:dyDescent="0.3">
      <c r="A1031" s="543" t="s">
        <v>2857</v>
      </c>
      <c r="B1031" s="543" t="s">
        <v>2858</v>
      </c>
      <c r="C1031" s="543" t="s">
        <v>1003</v>
      </c>
      <c r="D1031" s="543" t="s">
        <v>2861</v>
      </c>
      <c r="E1031" s="6">
        <f>IFERROR(INDEX(ZACATECAS!$I$7:$I$5000, MATCH(F1031*1, ZACATECAS!$H$7:$H$5000, 0)), "-")</f>
        <v>9</v>
      </c>
      <c r="F1031" s="544">
        <v>32046415</v>
      </c>
      <c r="G1031" s="544" t="s">
        <v>1030</v>
      </c>
      <c r="H1031" s="543" t="s">
        <v>2860</v>
      </c>
      <c r="I1031" s="6" t="str">
        <f>IFERROR(INDEX(ZACATECAS!$N$7:$N$5000, MATCH($F1031, ZACATECAS!$H$7:$H$5000, 0)), "-")</f>
        <v xml:space="preserve">CHAMPION DE SEGURIDAD </v>
      </c>
    </row>
    <row r="1032" spans="1:9" x14ac:dyDescent="0.3">
      <c r="A1032" s="543" t="s">
        <v>2857</v>
      </c>
      <c r="B1032" s="543" t="s">
        <v>2858</v>
      </c>
      <c r="C1032" s="543" t="s">
        <v>1003</v>
      </c>
      <c r="D1032" s="543" t="s">
        <v>2861</v>
      </c>
      <c r="E1032" s="6">
        <f>IFERROR(INDEX(ZACATECAS!$I$7:$I$5000, MATCH(F1032*1, ZACATECAS!$H$7:$H$5000, 0)), "-")</f>
        <v>9</v>
      </c>
      <c r="F1032" s="544">
        <v>32046558</v>
      </c>
      <c r="G1032" s="544" t="s">
        <v>1032</v>
      </c>
      <c r="H1032" s="543" t="s">
        <v>2860</v>
      </c>
      <c r="I1032" s="6" t="str">
        <f>IFERROR(INDEX(ZACATECAS!$N$7:$N$5000, MATCH($F1032, ZACATECAS!$H$7:$H$5000, 0)), "-")</f>
        <v>APOYO GENTE</v>
      </c>
    </row>
    <row r="1033" spans="1:9" x14ac:dyDescent="0.3">
      <c r="A1033" s="543" t="s">
        <v>2857</v>
      </c>
      <c r="B1033" s="543" t="s">
        <v>2858</v>
      </c>
      <c r="C1033" s="543" t="s">
        <v>1003</v>
      </c>
      <c r="D1033" s="543" t="s">
        <v>2861</v>
      </c>
      <c r="E1033" s="6">
        <f>IFERROR(INDEX(ZACATECAS!$I$7:$I$5000, MATCH(F1033*1, ZACATECAS!$H$7:$H$5000, 0)), "-")</f>
        <v>9</v>
      </c>
      <c r="F1033" s="544">
        <v>32060919</v>
      </c>
      <c r="G1033" s="544" t="s">
        <v>1034</v>
      </c>
      <c r="H1033" s="543" t="s">
        <v>2860</v>
      </c>
      <c r="I1033" s="6" t="str">
        <f>IFERROR(INDEX(ZACATECAS!$N$7:$N$5000, MATCH($F1033, ZACATECAS!$H$7:$H$5000, 0)), "-")</f>
        <v xml:space="preserve">CHAMPION DE LOGÍSTICA </v>
      </c>
    </row>
    <row r="1034" spans="1:9" x14ac:dyDescent="0.3">
      <c r="A1034" s="543" t="s">
        <v>2857</v>
      </c>
      <c r="B1034" s="543" t="s">
        <v>2858</v>
      </c>
      <c r="C1034" s="543" t="s">
        <v>1003</v>
      </c>
      <c r="D1034" s="543" t="s">
        <v>2861</v>
      </c>
      <c r="E1034" s="6">
        <f>IFERROR(INDEX(ZACATECAS!$I$7:$I$5000, MATCH(F1034*1, ZACATECAS!$H$7:$H$5000, 0)), "-")</f>
        <v>9</v>
      </c>
      <c r="F1034" s="544">
        <v>32061941</v>
      </c>
      <c r="G1034" s="544" t="s">
        <v>1037</v>
      </c>
      <c r="H1034" s="543" t="s">
        <v>2860</v>
      </c>
      <c r="I1034" s="6" t="str">
        <f>IFERROR(INDEX(ZACATECAS!$N$7:$N$5000, MATCH($F1034, ZACATECAS!$H$7:$H$5000, 0)), "-")</f>
        <v xml:space="preserve">APOYO DE GESTION </v>
      </c>
    </row>
    <row r="1035" spans="1:9" x14ac:dyDescent="0.3">
      <c r="A1035" s="543" t="s">
        <v>2857</v>
      </c>
      <c r="B1035" s="543" t="s">
        <v>2858</v>
      </c>
      <c r="C1035" s="543" t="s">
        <v>1003</v>
      </c>
      <c r="D1035" s="543" t="s">
        <v>2861</v>
      </c>
      <c r="E1035" s="6">
        <f>IFERROR(INDEX(ZACATECAS!$I$7:$I$5000, MATCH(F1035*1, ZACATECAS!$H$7:$H$5000, 0)), "-")</f>
        <v>9</v>
      </c>
      <c r="F1035" s="544">
        <v>32149860</v>
      </c>
      <c r="G1035" s="544" t="s">
        <v>1040</v>
      </c>
      <c r="H1035" s="543" t="s">
        <v>2860</v>
      </c>
      <c r="I1035" s="6" t="str">
        <f>IFERROR(INDEX(ZACATECAS!$N$7:$N$5000, MATCH($F1035, ZACATECAS!$H$7:$H$5000, 0)), "-")</f>
        <v xml:space="preserve">APOYO DE LOGISTICA </v>
      </c>
    </row>
    <row r="1036" spans="1:9" x14ac:dyDescent="0.3">
      <c r="A1036" s="543" t="s">
        <v>2857</v>
      </c>
      <c r="B1036" s="543" t="s">
        <v>2858</v>
      </c>
      <c r="C1036" s="543" t="s">
        <v>1003</v>
      </c>
      <c r="D1036" s="543" t="s">
        <v>2861</v>
      </c>
      <c r="E1036" s="6">
        <f>IFERROR(INDEX(ZACATECAS!$I$7:$I$5000, MATCH(F1036*1, ZACATECAS!$H$7:$H$5000, 0)), "-")</f>
        <v>9</v>
      </c>
      <c r="F1036" s="544">
        <v>32149877</v>
      </c>
      <c r="G1036" s="544" t="s">
        <v>1043</v>
      </c>
      <c r="H1036" s="543" t="s">
        <v>2860</v>
      </c>
      <c r="I1036" s="6" t="str">
        <f>IFERROR(INDEX(ZACATECAS!$N$7:$N$5000, MATCH($F1036, ZACATECAS!$H$7:$H$5000, 0)), "-")</f>
        <v xml:space="preserve">CHAMPION DE GENTE </v>
      </c>
    </row>
    <row r="1037" spans="1:9" x14ac:dyDescent="0.3">
      <c r="A1037" s="543" t="s">
        <v>2857</v>
      </c>
      <c r="B1037" s="543" t="s">
        <v>2858</v>
      </c>
      <c r="C1037" s="543" t="s">
        <v>1003</v>
      </c>
      <c r="D1037" s="543" t="s">
        <v>2861</v>
      </c>
      <c r="E1037" s="6">
        <f>IFERROR(INDEX(ZACATECAS!$I$7:$I$5000, MATCH(F1037*1, ZACATECAS!$H$7:$H$5000, 0)), "-")</f>
        <v>9</v>
      </c>
      <c r="F1037" s="544">
        <v>32153095</v>
      </c>
      <c r="G1037" s="544" t="s">
        <v>1045</v>
      </c>
      <c r="H1037" s="543" t="s">
        <v>2860</v>
      </c>
      <c r="I1037" s="6" t="str">
        <f>IFERROR(INDEX(ZACATECAS!$N$7:$N$5000, MATCH($F1037, ZACATECAS!$H$7:$H$5000, 0)), "-")</f>
        <v xml:space="preserve">APOYO DE CALIDAD </v>
      </c>
    </row>
    <row r="1038" spans="1:9" x14ac:dyDescent="0.3">
      <c r="A1038" s="543" t="s">
        <v>2857</v>
      </c>
      <c r="B1038" s="543" t="s">
        <v>2858</v>
      </c>
      <c r="C1038" s="543" t="s">
        <v>1003</v>
      </c>
      <c r="D1038" s="543" t="s">
        <v>2861</v>
      </c>
      <c r="E1038" s="6">
        <f>IFERROR(INDEX(ZACATECAS!$I$7:$I$5000, MATCH(F1038*1, ZACATECAS!$H$7:$H$5000, 0)), "-")</f>
        <v>9</v>
      </c>
      <c r="F1038" s="544">
        <v>32180198</v>
      </c>
      <c r="G1038" s="544" t="s">
        <v>1048</v>
      </c>
      <c r="H1038" s="543" t="s">
        <v>2860</v>
      </c>
      <c r="I1038" s="6" t="str">
        <f>IFERROR(INDEX(ZACATECAS!$N$7:$N$5000, MATCH($F1038, ZACATECAS!$H$7:$H$5000, 0)), "-")</f>
        <v xml:space="preserve">APOYO DE AMBIENTAL </v>
      </c>
    </row>
    <row r="1039" spans="1:9" x14ac:dyDescent="0.3">
      <c r="A1039" s="543" t="s">
        <v>2857</v>
      </c>
      <c r="B1039" s="543" t="s">
        <v>2858</v>
      </c>
      <c r="C1039" s="543" t="s">
        <v>197</v>
      </c>
      <c r="D1039" s="543" t="s">
        <v>2865</v>
      </c>
      <c r="E1039" s="6" t="str">
        <f>IFERROR(INDEX(ZACATECAS!$I$7:$I$5000, MATCH(F1039*1, ZACATECAS!$H$7:$H$5000, 0)), "-")</f>
        <v>-</v>
      </c>
      <c r="F1039" s="544">
        <v>32196674</v>
      </c>
      <c r="G1039" s="544" t="s">
        <v>198</v>
      </c>
      <c r="H1039" s="543" t="s">
        <v>2344</v>
      </c>
      <c r="I1039" s="6" t="str">
        <f>IFERROR(INDEX(ZACATECAS!$N$7:$N$5000, MATCH($F1039, ZACATECAS!$H$7:$H$5000, 0)), "-")</f>
        <v>-</v>
      </c>
    </row>
    <row r="1040" spans="1:9" x14ac:dyDescent="0.3">
      <c r="A1040" s="543" t="s">
        <v>2857</v>
      </c>
      <c r="B1040" s="543" t="s">
        <v>2858</v>
      </c>
      <c r="C1040" s="543" t="s">
        <v>197</v>
      </c>
      <c r="D1040" s="543" t="s">
        <v>2865</v>
      </c>
      <c r="E1040" s="6" t="str">
        <f>IFERROR(INDEX(ZACATECAS!$I$7:$I$5000, MATCH(F1040*1, ZACATECAS!$H$7:$H$5000, 0)), "-")</f>
        <v>BLENDER</v>
      </c>
      <c r="F1040" s="544">
        <v>32175115</v>
      </c>
      <c r="G1040" s="544" t="s">
        <v>199</v>
      </c>
      <c r="H1040" s="543" t="s">
        <v>2860</v>
      </c>
      <c r="I1040" s="6" t="str">
        <f>IFERROR(INDEX(ZACATECAS!$N$7:$N$5000, MATCH($F1040, ZACATECAS!$H$7:$H$5000, 0)), "-")</f>
        <v>GESTIÓN</v>
      </c>
    </row>
    <row r="1041" spans="1:9" x14ac:dyDescent="0.3">
      <c r="A1041" s="543" t="s">
        <v>2857</v>
      </c>
      <c r="B1041" s="543" t="s">
        <v>2858</v>
      </c>
      <c r="C1041" s="543" t="s">
        <v>197</v>
      </c>
      <c r="D1041" s="543" t="s">
        <v>2865</v>
      </c>
      <c r="E1041" s="6" t="str">
        <f>IFERROR(INDEX(ZACATECAS!$I$7:$I$5000, MATCH(F1041*1, ZACATECAS!$H$7:$H$5000, 0)), "-")</f>
        <v>BLENDER</v>
      </c>
      <c r="F1041" s="544">
        <v>32197975</v>
      </c>
      <c r="G1041" s="544" t="s">
        <v>201</v>
      </c>
      <c r="H1041" s="543" t="s">
        <v>2860</v>
      </c>
      <c r="I1041" s="6" t="str">
        <f>IFERROR(INDEX(ZACATECAS!$N$7:$N$5000, MATCH($F1041, ZACATECAS!$H$7:$H$5000, 0)), "-")</f>
        <v>CALIDAD</v>
      </c>
    </row>
    <row r="1042" spans="1:9" x14ac:dyDescent="0.3">
      <c r="A1042" s="543" t="s">
        <v>2857</v>
      </c>
      <c r="B1042" s="543" t="s">
        <v>2858</v>
      </c>
      <c r="C1042" s="543" t="s">
        <v>197</v>
      </c>
      <c r="D1042" s="543" t="s">
        <v>2865</v>
      </c>
      <c r="E1042" s="6" t="str">
        <f>IFERROR(INDEX(ZACATECAS!$I$7:$I$5000, MATCH(F1042*1, ZACATECAS!$H$7:$H$5000, 0)), "-")</f>
        <v>BLENDER</v>
      </c>
      <c r="F1042" s="544">
        <v>32183480</v>
      </c>
      <c r="G1042" s="544" t="s">
        <v>203</v>
      </c>
      <c r="H1042" s="543" t="s">
        <v>2860</v>
      </c>
      <c r="I1042" s="6" t="str">
        <f>IFERROR(INDEX(ZACATECAS!$N$7:$N$5000, MATCH($F1042, ZACATECAS!$H$7:$H$5000, 0)), "-")</f>
        <v>CALIDAD</v>
      </c>
    </row>
    <row r="1043" spans="1:9" x14ac:dyDescent="0.3">
      <c r="A1043" s="543" t="s">
        <v>2857</v>
      </c>
      <c r="B1043" s="543" t="s">
        <v>2858</v>
      </c>
      <c r="C1043" s="543" t="s">
        <v>197</v>
      </c>
      <c r="D1043" s="543" t="s">
        <v>2865</v>
      </c>
      <c r="E1043" s="6" t="str">
        <f>IFERROR(INDEX(ZACATECAS!$I$7:$I$5000, MATCH(F1043*1, ZACATECAS!$H$7:$H$5000, 0)), "-")</f>
        <v>BLENDER</v>
      </c>
      <c r="F1043" s="544">
        <v>32176720</v>
      </c>
      <c r="G1043" s="544" t="s">
        <v>205</v>
      </c>
      <c r="H1043" s="543" t="s">
        <v>2860</v>
      </c>
      <c r="I1043" s="6" t="str">
        <f>IFERROR(INDEX(ZACATECAS!$N$7:$N$5000, MATCH($F1043, ZACATECAS!$H$7:$H$5000, 0)), "-")</f>
        <v>MANTENIMIENTO</v>
      </c>
    </row>
    <row r="1044" spans="1:9" x14ac:dyDescent="0.3">
      <c r="A1044" s="543" t="s">
        <v>2857</v>
      </c>
      <c r="B1044" s="543" t="s">
        <v>2858</v>
      </c>
      <c r="C1044" s="543" t="s">
        <v>197</v>
      </c>
      <c r="D1044" s="543" t="s">
        <v>2865</v>
      </c>
      <c r="E1044" s="6" t="str">
        <f>IFERROR(INDEX(ZACATECAS!$I$7:$I$5000, MATCH(F1044*1, ZACATECAS!$H$7:$H$5000, 0)), "-")</f>
        <v>BLENDER</v>
      </c>
      <c r="F1044" s="544">
        <v>32149237</v>
      </c>
      <c r="G1044" s="544" t="s">
        <v>207</v>
      </c>
      <c r="H1044" s="543" t="s">
        <v>2860</v>
      </c>
      <c r="I1044" s="6" t="str">
        <f>IFERROR(INDEX(ZACATECAS!$N$7:$N$5000, MATCH($F1044, ZACATECAS!$H$7:$H$5000, 0)), "-")</f>
        <v>LOGISTICA</v>
      </c>
    </row>
    <row r="1045" spans="1:9" x14ac:dyDescent="0.3">
      <c r="A1045" s="543" t="s">
        <v>2857</v>
      </c>
      <c r="B1045" s="543" t="s">
        <v>2858</v>
      </c>
      <c r="C1045" s="543" t="s">
        <v>197</v>
      </c>
      <c r="D1045" s="546" t="s">
        <v>2865</v>
      </c>
      <c r="E1045" s="6" t="str">
        <f>IFERROR(INDEX(ZACATECAS!$I$7:$I$5000, MATCH(F1045*1, ZACATECAS!$H$7:$H$5000, 0)), "-")</f>
        <v>BLENDER</v>
      </c>
      <c r="F1045" s="546">
        <v>32181712</v>
      </c>
      <c r="G1045" s="546" t="s">
        <v>209</v>
      </c>
      <c r="H1045" s="543" t="s">
        <v>2860</v>
      </c>
      <c r="I1045" s="6" t="str">
        <f>IFERROR(INDEX(ZACATECAS!$N$7:$N$5000, MATCH($F1045, ZACATECAS!$H$7:$H$5000, 0)), "-")</f>
        <v>SEGURIDAD</v>
      </c>
    </row>
    <row r="1046" spans="1:9" x14ac:dyDescent="0.3">
      <c r="A1046" s="543" t="s">
        <v>2857</v>
      </c>
      <c r="B1046" s="543" t="s">
        <v>2858</v>
      </c>
      <c r="C1046" s="543" t="s">
        <v>2172</v>
      </c>
      <c r="D1046" s="546" t="s">
        <v>2859</v>
      </c>
      <c r="E1046" s="6" t="str">
        <f>IFERROR(INDEX(ZACATECAS!$I$7:$I$5000, MATCH(F1046*1, ZACATECAS!$H$7:$H$5000, 0)), "-")</f>
        <v>-</v>
      </c>
      <c r="F1046" s="544">
        <v>32149973</v>
      </c>
      <c r="G1046" s="544" t="s">
        <v>2173</v>
      </c>
      <c r="H1046" s="543" t="s">
        <v>2344</v>
      </c>
      <c r="I1046" s="6" t="str">
        <f>IFERROR(INDEX(ZACATECAS!$N$7:$N$5000, MATCH($F1046, ZACATECAS!$H$7:$H$5000, 0)), "-")</f>
        <v>-</v>
      </c>
    </row>
    <row r="1047" spans="1:9" x14ac:dyDescent="0.3">
      <c r="A1047" s="543" t="s">
        <v>2857</v>
      </c>
      <c r="B1047" s="543" t="s">
        <v>2858</v>
      </c>
      <c r="C1047" s="543" t="s">
        <v>2172</v>
      </c>
      <c r="D1047" s="546" t="s">
        <v>2859</v>
      </c>
      <c r="E1047" s="6" t="str">
        <f>IFERROR(INDEX(ZACATECAS!$I$7:$I$5000, MATCH(F1047*1, ZACATECAS!$H$7:$H$5000, 0)), "-")</f>
        <v>ENV 1</v>
      </c>
      <c r="F1047" s="544">
        <v>32045757</v>
      </c>
      <c r="G1047" s="544" t="s">
        <v>2174</v>
      </c>
      <c r="H1047" s="543" t="s">
        <v>2860</v>
      </c>
      <c r="I1047" s="6" t="str">
        <f>IFERROR(INDEX(ZACATECAS!$N$7:$N$5000, MATCH($F1047, ZACATECAS!$H$7:$H$5000, 0)), "-")</f>
        <v>GESTION</v>
      </c>
    </row>
    <row r="1048" spans="1:9" x14ac:dyDescent="0.3">
      <c r="A1048" s="543" t="s">
        <v>2857</v>
      </c>
      <c r="B1048" s="543" t="s">
        <v>2858</v>
      </c>
      <c r="C1048" s="543" t="s">
        <v>2172</v>
      </c>
      <c r="D1048" s="546" t="s">
        <v>2859</v>
      </c>
      <c r="E1048" s="6" t="str">
        <f>IFERROR(INDEX(ZACATECAS!$I$7:$I$5000, MATCH(F1048*1, ZACATECAS!$H$7:$H$5000, 0)), "-")</f>
        <v>ENV 1</v>
      </c>
      <c r="F1048" s="544">
        <v>32061784</v>
      </c>
      <c r="G1048" s="544" t="s">
        <v>2175</v>
      </c>
      <c r="H1048" s="543" t="s">
        <v>2860</v>
      </c>
      <c r="I1048" s="6" t="str">
        <f>IFERROR(INDEX(ZACATECAS!$N$7:$N$5000, MATCH($F1048, ZACATECAS!$H$7:$H$5000, 0)), "-")</f>
        <v>APOYO GESTION</v>
      </c>
    </row>
    <row r="1049" spans="1:9" x14ac:dyDescent="0.3">
      <c r="A1049" s="543" t="s">
        <v>2857</v>
      </c>
      <c r="B1049" s="543" t="s">
        <v>2858</v>
      </c>
      <c r="C1049" s="543" t="s">
        <v>2172</v>
      </c>
      <c r="D1049" s="546" t="s">
        <v>2859</v>
      </c>
      <c r="E1049" s="6" t="str">
        <f>IFERROR(INDEX(ZACATECAS!$I$7:$I$5000, MATCH(F1049*1, ZACATECAS!$H$7:$H$5000, 0)), "-")</f>
        <v>ENV 1</v>
      </c>
      <c r="F1049" s="544">
        <v>32044189</v>
      </c>
      <c r="G1049" s="544" t="s">
        <v>2176</v>
      </c>
      <c r="H1049" s="543" t="s">
        <v>2860</v>
      </c>
      <c r="I1049" s="6" t="str">
        <f>IFERROR(INDEX(ZACATECAS!$N$7:$N$5000, MATCH($F1049, ZACATECAS!$H$7:$H$5000, 0)), "-")</f>
        <v>GENTE</v>
      </c>
    </row>
    <row r="1050" spans="1:9" x14ac:dyDescent="0.3">
      <c r="A1050" s="543" t="s">
        <v>2857</v>
      </c>
      <c r="B1050" s="543" t="s">
        <v>2858</v>
      </c>
      <c r="C1050" s="543" t="s">
        <v>2172</v>
      </c>
      <c r="D1050" s="546" t="s">
        <v>2859</v>
      </c>
      <c r="E1050" s="6" t="str">
        <f>IFERROR(INDEX(ZACATECAS!$I$7:$I$5000, MATCH(F1050*1, ZACATECAS!$H$7:$H$5000, 0)), "-")</f>
        <v>ENV 1</v>
      </c>
      <c r="F1050" s="544">
        <v>32045380</v>
      </c>
      <c r="G1050" s="544" t="s">
        <v>2177</v>
      </c>
      <c r="H1050" s="543" t="s">
        <v>2860</v>
      </c>
      <c r="I1050" s="6" t="str">
        <f>IFERROR(INDEX(ZACATECAS!$N$7:$N$5000, MATCH($F1050, ZACATECAS!$H$7:$H$5000, 0)), "-")</f>
        <v>SEGURIDAD</v>
      </c>
    </row>
    <row r="1051" spans="1:9" x14ac:dyDescent="0.3">
      <c r="A1051" s="543" t="s">
        <v>2857</v>
      </c>
      <c r="B1051" s="543" t="s">
        <v>2858</v>
      </c>
      <c r="C1051" s="543" t="s">
        <v>2172</v>
      </c>
      <c r="D1051" s="546" t="s">
        <v>2859</v>
      </c>
      <c r="E1051" s="6" t="str">
        <f>IFERROR(INDEX(ZACATECAS!$I$7:$I$5000, MATCH(F1051*1, ZACATECAS!$H$7:$H$5000, 0)), "-")</f>
        <v>ENV 1</v>
      </c>
      <c r="F1051" s="544">
        <v>32149475</v>
      </c>
      <c r="G1051" s="544" t="s">
        <v>2178</v>
      </c>
      <c r="H1051" s="543" t="s">
        <v>2860</v>
      </c>
      <c r="I1051" s="6" t="str">
        <f>IFERROR(INDEX(ZACATECAS!$N$7:$N$5000, MATCH($F1051, ZACATECAS!$H$7:$H$5000, 0)), "-")</f>
        <v>MANTENIMIENTO</v>
      </c>
    </row>
    <row r="1052" spans="1:9" x14ac:dyDescent="0.3">
      <c r="A1052" s="543" t="s">
        <v>2857</v>
      </c>
      <c r="B1052" s="543" t="s">
        <v>2858</v>
      </c>
      <c r="C1052" s="543" t="s">
        <v>2172</v>
      </c>
      <c r="D1052" s="546" t="s">
        <v>2859</v>
      </c>
      <c r="E1052" s="6" t="str">
        <f>IFERROR(INDEX(ZACATECAS!$I$7:$I$5000, MATCH(F1052*1, ZACATECAS!$H$7:$H$5000, 0)), "-")</f>
        <v>ENV 1</v>
      </c>
      <c r="F1052" s="544">
        <v>32137941</v>
      </c>
      <c r="G1052" s="544" t="s">
        <v>2179</v>
      </c>
      <c r="H1052" s="543" t="s">
        <v>2860</v>
      </c>
      <c r="I1052" s="6" t="str">
        <f>IFERROR(INDEX(ZACATECAS!$N$7:$N$5000, MATCH($F1052, ZACATECAS!$H$7:$H$5000, 0)), "-")</f>
        <v>MEDIO AMBIENTE</v>
      </c>
    </row>
    <row r="1053" spans="1:9" x14ac:dyDescent="0.3">
      <c r="A1053" s="543" t="s">
        <v>2857</v>
      </c>
      <c r="B1053" s="543" t="s">
        <v>2858</v>
      </c>
      <c r="C1053" s="543" t="s">
        <v>2172</v>
      </c>
      <c r="D1053" s="546" t="s">
        <v>2859</v>
      </c>
      <c r="E1053" s="6" t="str">
        <f>IFERROR(INDEX(ZACATECAS!$I$7:$I$5000, MATCH(F1053*1, ZACATECAS!$H$7:$H$5000, 0)), "-")</f>
        <v>ENV 1</v>
      </c>
      <c r="F1053" s="544">
        <v>32044412</v>
      </c>
      <c r="G1053" s="544" t="s">
        <v>2180</v>
      </c>
      <c r="H1053" s="543" t="s">
        <v>2860</v>
      </c>
      <c r="I1053" s="6" t="str">
        <f>IFERROR(INDEX(ZACATECAS!$N$7:$N$5000, MATCH($F1053, ZACATECAS!$H$7:$H$5000, 0)), "-")</f>
        <v>CALIDAD</v>
      </c>
    </row>
    <row r="1054" spans="1:9" x14ac:dyDescent="0.3">
      <c r="A1054" s="543" t="s">
        <v>2857</v>
      </c>
      <c r="B1054" s="543" t="s">
        <v>2858</v>
      </c>
      <c r="C1054" s="543" t="s">
        <v>2172</v>
      </c>
      <c r="D1054" s="546" t="s">
        <v>2859</v>
      </c>
      <c r="E1054" s="6" t="str">
        <f>IFERROR(INDEX(ZACATECAS!$I$7:$I$5000, MATCH(F1054*1, ZACATECAS!$H$7:$H$5000, 0)), "-")</f>
        <v>ENV 1</v>
      </c>
      <c r="F1054" s="544">
        <v>32231723</v>
      </c>
      <c r="G1054" s="544" t="s">
        <v>2181</v>
      </c>
      <c r="H1054" s="543" t="s">
        <v>2860</v>
      </c>
      <c r="I1054" s="6" t="str">
        <f>IFERROR(INDEX(ZACATECAS!$N$7:$N$5000, MATCH($F1054, ZACATECAS!$H$7:$H$5000, 0)), "-")</f>
        <v>APOYO SEGURIDAD</v>
      </c>
    </row>
    <row r="1055" spans="1:9" x14ac:dyDescent="0.3">
      <c r="A1055" s="543" t="s">
        <v>2857</v>
      </c>
      <c r="B1055" s="543" t="s">
        <v>2858</v>
      </c>
      <c r="C1055" s="543" t="s">
        <v>2577</v>
      </c>
      <c r="D1055" s="546" t="s">
        <v>2869</v>
      </c>
      <c r="E1055" s="6" t="str">
        <f>IFERROR(INDEX(ZACATECAS!$I$7:$I$5000, MATCH(F1055*1, ZACATECAS!$H$7:$H$5000, 0)), "-")</f>
        <v xml:space="preserve">TAPANCO </v>
      </c>
      <c r="F1055" s="544">
        <v>32044842</v>
      </c>
      <c r="G1055" s="544" t="s">
        <v>1841</v>
      </c>
      <c r="H1055" s="543" t="s">
        <v>2860</v>
      </c>
      <c r="I1055" s="6" t="str">
        <f>IFERROR(INDEX(ZACATECAS!$N$7:$N$5000, MATCH($F1055, ZACATECAS!$H$7:$H$5000, 0)), "-")</f>
        <v>SEGURIDAD</v>
      </c>
    </row>
    <row r="1056" spans="1:9" x14ac:dyDescent="0.3">
      <c r="A1056" s="543" t="s">
        <v>2857</v>
      </c>
      <c r="B1056" s="543" t="s">
        <v>2858</v>
      </c>
      <c r="C1056" s="543" t="s">
        <v>2577</v>
      </c>
      <c r="D1056" s="546" t="s">
        <v>2869</v>
      </c>
      <c r="E1056" s="6" t="str">
        <f>IFERROR(INDEX(ZACATECAS!$I$7:$I$5000, MATCH(F1056*1, ZACATECAS!$H$7:$H$5000, 0)), "-")</f>
        <v xml:space="preserve">TAPANCO </v>
      </c>
      <c r="F1056" s="544">
        <v>32229394</v>
      </c>
      <c r="G1056" s="544" t="s">
        <v>1842</v>
      </c>
      <c r="H1056" s="543" t="s">
        <v>2860</v>
      </c>
      <c r="I1056" s="6" t="str">
        <f>IFERROR(INDEX(ZACATECAS!$N$7:$N$5000, MATCH($F1056, ZACATECAS!$H$7:$H$5000, 0)), "-")</f>
        <v xml:space="preserve">AMBIENTAL </v>
      </c>
    </row>
    <row r="1057" spans="1:9" x14ac:dyDescent="0.3">
      <c r="A1057" s="543" t="s">
        <v>2857</v>
      </c>
      <c r="B1057" s="543" t="s">
        <v>2858</v>
      </c>
      <c r="C1057" s="543" t="s">
        <v>2577</v>
      </c>
      <c r="D1057" s="543" t="s">
        <v>2869</v>
      </c>
      <c r="E1057" s="6" t="str">
        <f>IFERROR(INDEX(ZACATECAS!$I$7:$I$5000, MATCH(F1057*1, ZACATECAS!$H$7:$H$5000, 0)), "-")</f>
        <v xml:space="preserve">TAPANCO </v>
      </c>
      <c r="F1057" s="544">
        <v>32045640</v>
      </c>
      <c r="G1057" s="544" t="s">
        <v>1843</v>
      </c>
      <c r="H1057" s="543" t="s">
        <v>2860</v>
      </c>
      <c r="I1057" s="6" t="str">
        <f>IFERROR(INDEX(ZACATECAS!$N$7:$N$5000, MATCH($F1057, ZACATECAS!$H$7:$H$5000, 0)), "-")</f>
        <v xml:space="preserve">GESTION </v>
      </c>
    </row>
    <row r="1058" spans="1:9" x14ac:dyDescent="0.3">
      <c r="A1058" s="543" t="s">
        <v>2857</v>
      </c>
      <c r="B1058" s="543" t="s">
        <v>2858</v>
      </c>
      <c r="C1058" s="543" t="s">
        <v>2577</v>
      </c>
      <c r="D1058" s="543" t="s">
        <v>2869</v>
      </c>
      <c r="E1058" s="6" t="str">
        <f>IFERROR(INDEX(ZACATECAS!$I$7:$I$5000, MATCH(F1058*1, ZACATECAS!$H$7:$H$5000, 0)), "-")</f>
        <v xml:space="preserve">TAPANCO </v>
      </c>
      <c r="F1058" s="545">
        <v>32060734</v>
      </c>
      <c r="G1058" s="546" t="s">
        <v>1844</v>
      </c>
      <c r="H1058" s="543" t="s">
        <v>2860</v>
      </c>
      <c r="I1058" s="6" t="str">
        <f>IFERROR(INDEX(ZACATECAS!$N$7:$N$5000, MATCH($F1058, ZACATECAS!$H$7:$H$5000, 0)), "-")</f>
        <v>CALIDAD</v>
      </c>
    </row>
    <row r="1059" spans="1:9" x14ac:dyDescent="0.3">
      <c r="A1059" s="543" t="s">
        <v>2857</v>
      </c>
      <c r="B1059" s="543" t="s">
        <v>2858</v>
      </c>
      <c r="C1059" s="543" t="s">
        <v>2577</v>
      </c>
      <c r="D1059" s="543" t="s">
        <v>2869</v>
      </c>
      <c r="E1059" s="6" t="str">
        <f>IFERROR(INDEX(ZACATECAS!$I$7:$I$5000, MATCH(F1059*1, ZACATECAS!$H$7:$H$5000, 0)), "-")</f>
        <v xml:space="preserve">TAPANCO </v>
      </c>
      <c r="F1059" s="545">
        <v>32045616</v>
      </c>
      <c r="G1059" s="546" t="s">
        <v>1845</v>
      </c>
      <c r="H1059" s="543" t="s">
        <v>2860</v>
      </c>
      <c r="I1059" s="6" t="str">
        <f>IFERROR(INDEX(ZACATECAS!$N$7:$N$5000, MATCH($F1059, ZACATECAS!$H$7:$H$5000, 0)), "-")</f>
        <v xml:space="preserve">LOGISTICA </v>
      </c>
    </row>
    <row r="1060" spans="1:9" x14ac:dyDescent="0.3">
      <c r="A1060" s="543" t="s">
        <v>2857</v>
      </c>
      <c r="B1060" s="543" t="s">
        <v>2858</v>
      </c>
      <c r="C1060" s="543" t="s">
        <v>2577</v>
      </c>
      <c r="D1060" s="543" t="s">
        <v>2869</v>
      </c>
      <c r="E1060" s="6" t="str">
        <f>IFERROR(INDEX(ZACATECAS!$I$7:$I$5000, MATCH(F1060*1, ZACATECAS!$H$7:$H$5000, 0)), "-")</f>
        <v xml:space="preserve">TAPANCO </v>
      </c>
      <c r="F1060" s="545">
        <v>32198257</v>
      </c>
      <c r="G1060" s="546" t="s">
        <v>1846</v>
      </c>
      <c r="H1060" s="543" t="s">
        <v>2860</v>
      </c>
      <c r="I1060" s="6" t="str">
        <f>IFERROR(INDEX(ZACATECAS!$N$7:$N$5000, MATCH($F1060, ZACATECAS!$H$7:$H$5000, 0)), "-")</f>
        <v>PEOPLE</v>
      </c>
    </row>
    <row r="1061" spans="1:9" x14ac:dyDescent="0.3">
      <c r="A1061" s="543" t="s">
        <v>2857</v>
      </c>
      <c r="B1061" s="543" t="s">
        <v>2858</v>
      </c>
      <c r="C1061" s="543" t="s">
        <v>2236</v>
      </c>
      <c r="D1061" s="543" t="s">
        <v>2859</v>
      </c>
      <c r="E1061" s="6" t="str">
        <f>IFERROR(INDEX(ZACATECAS!$I$7:$I$5000, MATCH(F1061*1, ZACATECAS!$H$7:$H$5000, 0)), "-")</f>
        <v>-</v>
      </c>
      <c r="F1061" s="545">
        <v>32149972</v>
      </c>
      <c r="G1061" s="546" t="s">
        <v>2237</v>
      </c>
      <c r="H1061" s="543" t="s">
        <v>2344</v>
      </c>
      <c r="I1061" s="6" t="str">
        <f>IFERROR(INDEX(ZACATECAS!$N$7:$N$5000, MATCH($F1061, ZACATECAS!$H$7:$H$5000, 0)), "-")</f>
        <v>-</v>
      </c>
    </row>
    <row r="1062" spans="1:9" x14ac:dyDescent="0.3">
      <c r="A1062" s="543" t="s">
        <v>2857</v>
      </c>
      <c r="B1062" s="543" t="s">
        <v>2858</v>
      </c>
      <c r="C1062" s="543" t="s">
        <v>2236</v>
      </c>
      <c r="D1062" s="543" t="s">
        <v>2859</v>
      </c>
      <c r="E1062" s="6" t="str">
        <f>IFERROR(INDEX(ZACATECAS!$I$7:$I$5000, MATCH(F1062*1, ZACATECAS!$H$7:$H$5000, 0)), "-")</f>
        <v>ENV 3</v>
      </c>
      <c r="F1062" s="545">
        <v>32044247</v>
      </c>
      <c r="G1062" s="546" t="s">
        <v>2238</v>
      </c>
      <c r="H1062" s="543" t="s">
        <v>2860</v>
      </c>
      <c r="I1062" s="6" t="str">
        <f>IFERROR(INDEX(ZACATECAS!$N$7:$N$5000, MATCH($F1062, ZACATECAS!$H$7:$H$5000, 0)), "-")</f>
        <v>SEGURIDAD</v>
      </c>
    </row>
    <row r="1063" spans="1:9" x14ac:dyDescent="0.3">
      <c r="A1063" s="543" t="s">
        <v>2857</v>
      </c>
      <c r="B1063" s="543" t="s">
        <v>2858</v>
      </c>
      <c r="C1063" s="543" t="s">
        <v>2236</v>
      </c>
      <c r="D1063" s="543" t="s">
        <v>2859</v>
      </c>
      <c r="E1063" s="6" t="str">
        <f>IFERROR(INDEX(ZACATECAS!$I$7:$I$5000, MATCH(F1063*1, ZACATECAS!$H$7:$H$5000, 0)), "-")</f>
        <v>ENV 3</v>
      </c>
      <c r="F1063" s="545">
        <v>32044217</v>
      </c>
      <c r="G1063" s="546" t="s">
        <v>2239</v>
      </c>
      <c r="H1063" s="543" t="s">
        <v>2860</v>
      </c>
      <c r="I1063" s="6" t="str">
        <f>IFERROR(INDEX(ZACATECAS!$N$7:$N$5000, MATCH($F1063, ZACATECAS!$H$7:$H$5000, 0)), "-")</f>
        <v>GESTION</v>
      </c>
    </row>
    <row r="1064" spans="1:9" x14ac:dyDescent="0.3">
      <c r="A1064" s="543" t="s">
        <v>2857</v>
      </c>
      <c r="B1064" s="543" t="s">
        <v>2858</v>
      </c>
      <c r="C1064" s="543" t="s">
        <v>2236</v>
      </c>
      <c r="D1064" s="543" t="s">
        <v>2859</v>
      </c>
      <c r="E1064" s="6" t="str">
        <f>IFERROR(INDEX(ZACATECAS!$I$7:$I$5000, MATCH(F1064*1, ZACATECAS!$H$7:$H$5000, 0)), "-")</f>
        <v>ENV 3</v>
      </c>
      <c r="F1064" s="545">
        <v>32044650</v>
      </c>
      <c r="G1064" s="546" t="s">
        <v>2240</v>
      </c>
      <c r="H1064" s="543" t="s">
        <v>2860</v>
      </c>
      <c r="I1064" s="6" t="str">
        <f>IFERROR(INDEX(ZACATECAS!$N$7:$N$5000, MATCH($F1064, ZACATECAS!$H$7:$H$5000, 0)), "-")</f>
        <v>MANTENIMIENTO</v>
      </c>
    </row>
    <row r="1065" spans="1:9" x14ac:dyDescent="0.3">
      <c r="A1065" s="543" t="s">
        <v>2857</v>
      </c>
      <c r="B1065" s="543" t="s">
        <v>2858</v>
      </c>
      <c r="C1065" s="543" t="s">
        <v>2236</v>
      </c>
      <c r="D1065" s="543" t="s">
        <v>2859</v>
      </c>
      <c r="E1065" s="6" t="str">
        <f>IFERROR(INDEX(ZACATECAS!$I$7:$I$5000, MATCH(F1065*1, ZACATECAS!$H$7:$H$5000, 0)), "-")</f>
        <v>ENV 3</v>
      </c>
      <c r="F1065" s="545">
        <v>32146289</v>
      </c>
      <c r="G1065" s="546" t="s">
        <v>2241</v>
      </c>
      <c r="H1065" s="543" t="s">
        <v>2860</v>
      </c>
      <c r="I1065" s="6" t="str">
        <f>IFERROR(INDEX(ZACATECAS!$N$7:$N$5000, MATCH($F1065, ZACATECAS!$H$7:$H$5000, 0)), "-")</f>
        <v>GENTE</v>
      </c>
    </row>
    <row r="1066" spans="1:9" x14ac:dyDescent="0.3">
      <c r="A1066" s="543" t="s">
        <v>2857</v>
      </c>
      <c r="B1066" s="543" t="s">
        <v>2858</v>
      </c>
      <c r="C1066" s="543" t="s">
        <v>2236</v>
      </c>
      <c r="D1066" s="543" t="s">
        <v>2859</v>
      </c>
      <c r="E1066" s="6" t="str">
        <f>IFERROR(INDEX(ZACATECAS!$I$7:$I$5000, MATCH(F1066*1, ZACATECAS!$H$7:$H$5000, 0)), "-")</f>
        <v>ENV 3</v>
      </c>
      <c r="F1066" s="545">
        <v>32044381</v>
      </c>
      <c r="G1066" s="546" t="s">
        <v>2242</v>
      </c>
      <c r="H1066" s="543" t="s">
        <v>2860</v>
      </c>
      <c r="I1066" s="6" t="str">
        <f>IFERROR(INDEX(ZACATECAS!$N$7:$N$5000, MATCH($F1066, ZACATECAS!$H$7:$H$5000, 0)), "-")</f>
        <v>CALIDAD</v>
      </c>
    </row>
    <row r="1067" spans="1:9" x14ac:dyDescent="0.3">
      <c r="A1067" s="543" t="s">
        <v>2857</v>
      </c>
      <c r="B1067" s="543" t="s">
        <v>2858</v>
      </c>
      <c r="C1067" s="543" t="s">
        <v>2880</v>
      </c>
      <c r="D1067" s="543" t="s">
        <v>2868</v>
      </c>
      <c r="E1067" s="6" t="str">
        <f>IFERROR(INDEX(ZACATECAS!$I$7:$I$5000, MATCH(F1067*1, ZACATECAS!$H$7:$H$5000, 0)), "-")</f>
        <v>-</v>
      </c>
      <c r="F1067" s="545">
        <v>32045881</v>
      </c>
      <c r="G1067" s="546" t="s">
        <v>1963</v>
      </c>
      <c r="H1067" s="543" t="s">
        <v>2344</v>
      </c>
      <c r="I1067" s="6" t="str">
        <f>IFERROR(INDEX(ZACATECAS!$N$7:$N$5000, MATCH($F1067, ZACATECAS!$H$7:$H$5000, 0)), "-")</f>
        <v>-</v>
      </c>
    </row>
    <row r="1068" spans="1:9" x14ac:dyDescent="0.3">
      <c r="A1068" s="543" t="s">
        <v>2857</v>
      </c>
      <c r="B1068" s="543" t="s">
        <v>2858</v>
      </c>
      <c r="C1068" s="543" t="s">
        <v>2880</v>
      </c>
      <c r="D1068" s="543" t="s">
        <v>2868</v>
      </c>
      <c r="E1068" s="6">
        <f>IFERROR(INDEX(ZACATECAS!$I$7:$I$5000, MATCH(F1068*1, ZACATECAS!$H$7:$H$5000, 0)), "-")</f>
        <v>0</v>
      </c>
      <c r="F1068" s="546">
        <v>32045544</v>
      </c>
      <c r="G1068" s="546" t="s">
        <v>1965</v>
      </c>
      <c r="H1068" s="543" t="s">
        <v>2860</v>
      </c>
      <c r="I1068" s="6" t="str">
        <f>IFERROR(INDEX(ZACATECAS!$N$7:$N$5000, MATCH($F1068, ZACATECAS!$H$7:$H$5000, 0)), "-")</f>
        <v>GENTE/GESTION</v>
      </c>
    </row>
    <row r="1069" spans="1:9" x14ac:dyDescent="0.3">
      <c r="A1069" s="543" t="s">
        <v>2857</v>
      </c>
      <c r="B1069" s="543" t="s">
        <v>2858</v>
      </c>
      <c r="C1069" s="543" t="s">
        <v>2880</v>
      </c>
      <c r="D1069" s="543" t="s">
        <v>2868</v>
      </c>
      <c r="E1069" s="6">
        <f>IFERROR(INDEX(ZACATECAS!$I$7:$I$5000, MATCH(F1069*1, ZACATECAS!$H$7:$H$5000, 0)), "-")</f>
        <v>0</v>
      </c>
      <c r="F1069" s="546">
        <v>32044266</v>
      </c>
      <c r="G1069" s="544" t="s">
        <v>1967</v>
      </c>
      <c r="H1069" s="543" t="s">
        <v>2860</v>
      </c>
      <c r="I1069" s="6" t="str">
        <f>IFERROR(INDEX(ZACATECAS!$N$7:$N$5000, MATCH($F1069, ZACATECAS!$H$7:$H$5000, 0)), "-")</f>
        <v>GENTE/GESTION</v>
      </c>
    </row>
    <row r="1070" spans="1:9" x14ac:dyDescent="0.3">
      <c r="A1070" s="543" t="s">
        <v>2857</v>
      </c>
      <c r="B1070" s="543" t="s">
        <v>2858</v>
      </c>
      <c r="C1070" s="543" t="s">
        <v>2880</v>
      </c>
      <c r="D1070" s="543" t="s">
        <v>2868</v>
      </c>
      <c r="E1070" s="6">
        <f>IFERROR(INDEX(ZACATECAS!$I$7:$I$5000, MATCH(F1070*1, ZACATECAS!$H$7:$H$5000, 0)), "-")</f>
        <v>0</v>
      </c>
      <c r="F1070" s="546">
        <v>32045442</v>
      </c>
      <c r="G1070" s="544" t="s">
        <v>1969</v>
      </c>
      <c r="H1070" s="543" t="s">
        <v>2860</v>
      </c>
      <c r="I1070" s="6" t="str">
        <f>IFERROR(INDEX(ZACATECAS!$N$7:$N$5000, MATCH($F1070, ZACATECAS!$H$7:$H$5000, 0)), "-")</f>
        <v>GENTE/GESTION</v>
      </c>
    </row>
    <row r="1071" spans="1:9" x14ac:dyDescent="0.3">
      <c r="A1071" s="543" t="s">
        <v>2857</v>
      </c>
      <c r="B1071" s="543" t="s">
        <v>2858</v>
      </c>
      <c r="C1071" s="543" t="s">
        <v>2880</v>
      </c>
      <c r="D1071" s="543" t="s">
        <v>2868</v>
      </c>
      <c r="E1071" s="6">
        <f>IFERROR(INDEX(ZACATECAS!$I$7:$I$5000, MATCH(F1071*1, ZACATECAS!$H$7:$H$5000, 0)), "-")</f>
        <v>0</v>
      </c>
      <c r="F1071" s="546">
        <v>32045490</v>
      </c>
      <c r="G1071" s="544" t="s">
        <v>1971</v>
      </c>
      <c r="H1071" s="543" t="s">
        <v>2860</v>
      </c>
      <c r="I1071" s="6" t="str">
        <f>IFERROR(INDEX(ZACATECAS!$N$7:$N$5000, MATCH($F1071, ZACATECAS!$H$7:$H$5000, 0)), "-")</f>
        <v>AMBIENTAL</v>
      </c>
    </row>
    <row r="1072" spans="1:9" x14ac:dyDescent="0.3">
      <c r="A1072" s="543" t="s">
        <v>2857</v>
      </c>
      <c r="B1072" s="543" t="s">
        <v>2858</v>
      </c>
      <c r="C1072" s="543" t="s">
        <v>2880</v>
      </c>
      <c r="D1072" s="543" t="s">
        <v>2868</v>
      </c>
      <c r="E1072" s="6">
        <f>IFERROR(INDEX(ZACATECAS!$I$7:$I$5000, MATCH(F1072*1, ZACATECAS!$H$7:$H$5000, 0)), "-")</f>
        <v>0</v>
      </c>
      <c r="F1072" s="546">
        <v>32045840</v>
      </c>
      <c r="G1072" s="544" t="s">
        <v>1973</v>
      </c>
      <c r="H1072" s="543" t="s">
        <v>2860</v>
      </c>
      <c r="I1072" s="6" t="str">
        <f>IFERROR(INDEX(ZACATECAS!$N$7:$N$5000, MATCH($F1072, ZACATECAS!$H$7:$H$5000, 0)), "-")</f>
        <v>GENTE/GESTION</v>
      </c>
    </row>
    <row r="1073" spans="1:9" x14ac:dyDescent="0.3">
      <c r="A1073" s="543" t="s">
        <v>2857</v>
      </c>
      <c r="B1073" s="543" t="s">
        <v>2858</v>
      </c>
      <c r="C1073" s="543" t="s">
        <v>2880</v>
      </c>
      <c r="D1073" s="543" t="s">
        <v>2868</v>
      </c>
      <c r="E1073" s="6">
        <f>IFERROR(INDEX(ZACATECAS!$I$7:$I$5000, MATCH(F1073*1, ZACATECAS!$H$7:$H$5000, 0)), "-")</f>
        <v>0</v>
      </c>
      <c r="F1073" s="546">
        <v>32045441</v>
      </c>
      <c r="G1073" s="544" t="s">
        <v>1975</v>
      </c>
      <c r="H1073" s="543" t="s">
        <v>2860</v>
      </c>
      <c r="I1073" s="6" t="str">
        <f>IFERROR(INDEX(ZACATECAS!$N$7:$N$5000, MATCH($F1073, ZACATECAS!$H$7:$H$5000, 0)), "-")</f>
        <v>AMBIENTAL</v>
      </c>
    </row>
    <row r="1074" spans="1:9" x14ac:dyDescent="0.3">
      <c r="A1074" s="543" t="s">
        <v>2857</v>
      </c>
      <c r="B1074" s="543" t="s">
        <v>2858</v>
      </c>
      <c r="C1074" s="543" t="s">
        <v>2880</v>
      </c>
      <c r="D1074" s="543" t="s">
        <v>2868</v>
      </c>
      <c r="E1074" s="6">
        <f>IFERROR(INDEX(ZACATECAS!$I$7:$I$5000, MATCH(F1074*1, ZACATECAS!$H$7:$H$5000, 0)), "-")</f>
        <v>0</v>
      </c>
      <c r="F1074" s="544">
        <v>32132187</v>
      </c>
      <c r="G1074" s="544" t="s">
        <v>1977</v>
      </c>
      <c r="H1074" s="543" t="s">
        <v>2860</v>
      </c>
      <c r="I1074" s="6" t="str">
        <f>IFERROR(INDEX(ZACATECAS!$N$7:$N$5000, MATCH($F1074, ZACATECAS!$H$7:$H$5000, 0)), "-")</f>
        <v>CALIDAD</v>
      </c>
    </row>
    <row r="1075" spans="1:9" x14ac:dyDescent="0.3">
      <c r="A1075" s="543" t="s">
        <v>2857</v>
      </c>
      <c r="B1075" s="543" t="s">
        <v>2858</v>
      </c>
      <c r="C1075" s="543" t="s">
        <v>2880</v>
      </c>
      <c r="D1075" s="543" t="s">
        <v>2868</v>
      </c>
      <c r="E1075" s="6">
        <f>IFERROR(INDEX(ZACATECAS!$I$7:$I$5000, MATCH(F1075*1, ZACATECAS!$H$7:$H$5000, 0)), "-")</f>
        <v>0</v>
      </c>
      <c r="F1075" s="545">
        <v>32045491</v>
      </c>
      <c r="G1075" s="545" t="s">
        <v>1979</v>
      </c>
      <c r="H1075" s="543" t="s">
        <v>2860</v>
      </c>
      <c r="I1075" s="6" t="str">
        <f>IFERROR(INDEX(ZACATECAS!$N$7:$N$5000, MATCH($F1075, ZACATECAS!$H$7:$H$5000, 0)), "-")</f>
        <v>SEGURIDAD</v>
      </c>
    </row>
    <row r="1076" spans="1:9" x14ac:dyDescent="0.3">
      <c r="A1076" s="543" t="s">
        <v>2857</v>
      </c>
      <c r="B1076" s="543" t="s">
        <v>2858</v>
      </c>
      <c r="C1076" s="543" t="s">
        <v>2880</v>
      </c>
      <c r="D1076" s="543" t="s">
        <v>2868</v>
      </c>
      <c r="E1076" s="6">
        <f>IFERROR(INDEX(ZACATECAS!$I$7:$I$5000, MATCH(F1076*1, ZACATECAS!$H$7:$H$5000, 0)), "-")</f>
        <v>0</v>
      </c>
      <c r="F1076" s="545">
        <v>32045857</v>
      </c>
      <c r="G1076" s="545" t="s">
        <v>1981</v>
      </c>
      <c r="H1076" s="543" t="s">
        <v>2860</v>
      </c>
      <c r="I1076" s="6" t="str">
        <f>IFERROR(INDEX(ZACATECAS!$N$7:$N$5000, MATCH($F1076, ZACATECAS!$H$7:$H$5000, 0)), "-")</f>
        <v>CALIDAD</v>
      </c>
    </row>
    <row r="1077" spans="1:9" x14ac:dyDescent="0.3">
      <c r="A1077" s="543" t="s">
        <v>2857</v>
      </c>
      <c r="B1077" s="543" t="s">
        <v>2858</v>
      </c>
      <c r="C1077" s="543" t="s">
        <v>2880</v>
      </c>
      <c r="D1077" s="543" t="s">
        <v>2868</v>
      </c>
      <c r="E1077" s="6">
        <f>IFERROR(INDEX(ZACATECAS!$I$7:$I$5000, MATCH(F1077*1, ZACATECAS!$H$7:$H$5000, 0)), "-")</f>
        <v>0</v>
      </c>
      <c r="F1077" s="545">
        <v>32045419</v>
      </c>
      <c r="G1077" s="545" t="s">
        <v>1983</v>
      </c>
      <c r="H1077" s="543" t="s">
        <v>2860</v>
      </c>
      <c r="I1077" s="6" t="str">
        <f>IFERROR(INDEX(ZACATECAS!$N$7:$N$5000, MATCH($F1077, ZACATECAS!$H$7:$H$5000, 0)), "-")</f>
        <v>SEGURIDAD</v>
      </c>
    </row>
    <row r="1078" spans="1:9" x14ac:dyDescent="0.3">
      <c r="A1078" s="543" t="s">
        <v>2857</v>
      </c>
      <c r="B1078" s="543" t="s">
        <v>2858</v>
      </c>
      <c r="C1078" s="543" t="s">
        <v>2880</v>
      </c>
      <c r="D1078" s="543" t="s">
        <v>2868</v>
      </c>
      <c r="E1078" s="6">
        <f>IFERROR(INDEX(ZACATECAS!$I$7:$I$5000, MATCH(F1078*1, ZACATECAS!$H$7:$H$5000, 0)), "-")</f>
        <v>0</v>
      </c>
      <c r="F1078" s="545">
        <v>32044798</v>
      </c>
      <c r="G1078" s="545" t="s">
        <v>1985</v>
      </c>
      <c r="H1078" s="543" t="s">
        <v>2860</v>
      </c>
      <c r="I1078" s="6" t="str">
        <f>IFERROR(INDEX(ZACATECAS!$N$7:$N$5000, MATCH($F1078, ZACATECAS!$H$7:$H$5000, 0)), "-")</f>
        <v>AMBIENTAL</v>
      </c>
    </row>
    <row r="1079" spans="1:9" x14ac:dyDescent="0.3">
      <c r="A1079" s="543" t="s">
        <v>2857</v>
      </c>
      <c r="B1079" s="543" t="s">
        <v>2858</v>
      </c>
      <c r="C1079" s="543" t="s">
        <v>2880</v>
      </c>
      <c r="D1079" s="543" t="s">
        <v>2868</v>
      </c>
      <c r="E1079" s="6">
        <f>IFERROR(INDEX(ZACATECAS!$I$7:$I$5000, MATCH(F1079*1, ZACATECAS!$H$7:$H$5000, 0)), "-")</f>
        <v>0</v>
      </c>
      <c r="F1079" s="545">
        <v>32044309</v>
      </c>
      <c r="G1079" s="545" t="s">
        <v>1987</v>
      </c>
      <c r="H1079" s="543" t="s">
        <v>2860</v>
      </c>
      <c r="I1079" s="6" t="str">
        <f>IFERROR(INDEX(ZACATECAS!$N$7:$N$5000, MATCH($F1079, ZACATECAS!$H$7:$H$5000, 0)), "-")</f>
        <v>SEGURIDAD</v>
      </c>
    </row>
    <row r="1080" spans="1:9" x14ac:dyDescent="0.3">
      <c r="A1080" s="543" t="s">
        <v>2857</v>
      </c>
      <c r="B1080" s="543" t="s">
        <v>2858</v>
      </c>
      <c r="C1080" s="543" t="s">
        <v>2880</v>
      </c>
      <c r="D1080" s="543" t="s">
        <v>2868</v>
      </c>
      <c r="E1080" s="6">
        <f>IFERROR(INDEX(ZACATECAS!$I$7:$I$5000, MATCH(F1080*1, ZACATECAS!$H$7:$H$5000, 0)), "-")</f>
        <v>0</v>
      </c>
      <c r="F1080" s="545">
        <v>32044517</v>
      </c>
      <c r="G1080" s="546" t="s">
        <v>1989</v>
      </c>
      <c r="H1080" s="543" t="s">
        <v>2860</v>
      </c>
      <c r="I1080" s="6" t="str">
        <f>IFERROR(INDEX(ZACATECAS!$N$7:$N$5000, MATCH($F1080, ZACATECAS!$H$7:$H$5000, 0)), "-")</f>
        <v>CALIDAD</v>
      </c>
    </row>
    <row r="1081" spans="1:9" x14ac:dyDescent="0.3">
      <c r="A1081" s="543" t="s">
        <v>2857</v>
      </c>
      <c r="B1081" s="543" t="s">
        <v>2858</v>
      </c>
      <c r="C1081" s="543" t="s">
        <v>1793</v>
      </c>
      <c r="D1081" s="543" t="s">
        <v>2869</v>
      </c>
      <c r="E1081" s="6" t="str">
        <f>IFERROR(INDEX(ZACATECAS!$I$7:$I$5000, MATCH(F1081*1, ZACATECAS!$H$7:$H$5000, 0)), "-")</f>
        <v>-</v>
      </c>
      <c r="F1081" s="545">
        <v>32225725</v>
      </c>
      <c r="G1081" s="546" t="s">
        <v>1737</v>
      </c>
      <c r="H1081" s="543" t="s">
        <v>2344</v>
      </c>
      <c r="I1081" s="6" t="str">
        <f>IFERROR(INDEX(ZACATECAS!$N$7:$N$5000, MATCH($F1081, ZACATECAS!$H$7:$H$5000, 0)), "-")</f>
        <v>-</v>
      </c>
    </row>
    <row r="1082" spans="1:9" x14ac:dyDescent="0.3">
      <c r="A1082" s="543" t="s">
        <v>2857</v>
      </c>
      <c r="B1082" s="543" t="s">
        <v>2858</v>
      </c>
      <c r="C1082" s="543" t="s">
        <v>1793</v>
      </c>
      <c r="D1082" s="543" t="s">
        <v>2869</v>
      </c>
      <c r="E1082" s="6" t="str">
        <f>IFERROR(INDEX(ZACATECAS!$I$7:$I$5000, MATCH(F1082*1, ZACATECAS!$H$7:$H$5000, 0)), "-")</f>
        <v>ALTERNO</v>
      </c>
      <c r="F1082" s="545">
        <v>32046498</v>
      </c>
      <c r="G1082" s="546" t="s">
        <v>1794</v>
      </c>
      <c r="H1082" s="543" t="s">
        <v>2860</v>
      </c>
      <c r="I1082" s="6" t="str">
        <f>IFERROR(INDEX(ZACATECAS!$N$7:$N$5000, MATCH($F1082, ZACATECAS!$H$7:$H$5000, 0)), "-")</f>
        <v>Champion de Mantenimiento</v>
      </c>
    </row>
    <row r="1083" spans="1:9" x14ac:dyDescent="0.3">
      <c r="A1083" s="543" t="s">
        <v>2857</v>
      </c>
      <c r="B1083" s="543" t="s">
        <v>2858</v>
      </c>
      <c r="C1083" s="543" t="s">
        <v>1793</v>
      </c>
      <c r="D1083" s="543" t="s">
        <v>2869</v>
      </c>
      <c r="E1083" s="6" t="str">
        <f>IFERROR(INDEX(ZACATECAS!$I$7:$I$5000, MATCH(F1083*1, ZACATECAS!$H$7:$H$5000, 0)), "-")</f>
        <v>ALTERNO</v>
      </c>
      <c r="F1083" s="545">
        <v>32211553</v>
      </c>
      <c r="G1083" s="546" t="s">
        <v>1795</v>
      </c>
      <c r="H1083" s="543" t="s">
        <v>2860</v>
      </c>
      <c r="I1083" s="6" t="str">
        <f>IFERROR(INDEX(ZACATECAS!$N$7:$N$5000, MATCH($F1083, ZACATECAS!$H$7:$H$5000, 0)), "-")</f>
        <v>Champion de Seguridad</v>
      </c>
    </row>
    <row r="1084" spans="1:9" x14ac:dyDescent="0.3">
      <c r="A1084" s="543" t="s">
        <v>2857</v>
      </c>
      <c r="B1084" s="543" t="s">
        <v>2858</v>
      </c>
      <c r="C1084" s="543" t="s">
        <v>1793</v>
      </c>
      <c r="D1084" s="543" t="s">
        <v>2869</v>
      </c>
      <c r="E1084" s="6" t="str">
        <f>IFERROR(INDEX(ZACATECAS!$I$7:$I$5000, MATCH(F1084*1, ZACATECAS!$H$7:$H$5000, 0)), "-")</f>
        <v>ALTERNO</v>
      </c>
      <c r="F1084" s="544">
        <v>32180380</v>
      </c>
      <c r="G1084" s="544" t="s">
        <v>1796</v>
      </c>
      <c r="H1084" s="543" t="s">
        <v>2860</v>
      </c>
      <c r="I1084" s="6" t="str">
        <f>IFERROR(INDEX(ZACATECAS!$N$7:$N$5000, MATCH($F1084, ZACATECAS!$H$7:$H$5000, 0)), "-")</f>
        <v>Champion de Medio Ambiente</v>
      </c>
    </row>
    <row r="1085" spans="1:9" x14ac:dyDescent="0.3">
      <c r="A1085" s="543" t="s">
        <v>2857</v>
      </c>
      <c r="B1085" s="543" t="s">
        <v>2858</v>
      </c>
      <c r="C1085" s="543" t="s">
        <v>1793</v>
      </c>
      <c r="D1085" s="543" t="s">
        <v>2869</v>
      </c>
      <c r="E1085" s="6" t="str">
        <f>IFERROR(INDEX(ZACATECAS!$I$7:$I$5000, MATCH(F1085*1, ZACATECAS!$H$7:$H$5000, 0)), "-")</f>
        <v>ALTERNO</v>
      </c>
      <c r="F1085" s="545">
        <v>32230181</v>
      </c>
      <c r="G1085" s="546" t="s">
        <v>1797</v>
      </c>
      <c r="H1085" s="543" t="s">
        <v>2860</v>
      </c>
      <c r="I1085" s="6" t="str">
        <f>IFERROR(INDEX(ZACATECAS!$N$7:$N$5000, MATCH($F1085, ZACATECAS!$H$7:$H$5000, 0)), "-")</f>
        <v>Champion de logística</v>
      </c>
    </row>
    <row r="1086" spans="1:9" x14ac:dyDescent="0.3">
      <c r="A1086" s="543" t="s">
        <v>2857</v>
      </c>
      <c r="B1086" s="543" t="s">
        <v>2858</v>
      </c>
      <c r="C1086" s="543" t="s">
        <v>1793</v>
      </c>
      <c r="D1086" s="543" t="s">
        <v>2869</v>
      </c>
      <c r="E1086" s="6" t="str">
        <f>IFERROR(INDEX(ZACATECAS!$I$7:$I$5000, MATCH(F1086*1, ZACATECAS!$H$7:$H$5000, 0)), "-")</f>
        <v>ALTERNO</v>
      </c>
      <c r="F1086" s="545">
        <v>32180192</v>
      </c>
      <c r="G1086" s="546" t="s">
        <v>1798</v>
      </c>
      <c r="H1086" s="543" t="s">
        <v>2860</v>
      </c>
      <c r="I1086" s="6" t="str">
        <f>IFERROR(INDEX(ZACATECAS!$N$7:$N$5000, MATCH($F1086, ZACATECAS!$H$7:$H$5000, 0)), "-")</f>
        <v>Champion de logística</v>
      </c>
    </row>
    <row r="1087" spans="1:9" x14ac:dyDescent="0.3">
      <c r="A1087" s="543" t="s">
        <v>2857</v>
      </c>
      <c r="B1087" s="543" t="s">
        <v>2858</v>
      </c>
      <c r="C1087" s="543" t="s">
        <v>1793</v>
      </c>
      <c r="D1087" s="543" t="s">
        <v>2869</v>
      </c>
      <c r="E1087" s="6" t="str">
        <f>IFERROR(INDEX(ZACATECAS!$I$7:$I$5000, MATCH(F1087*1, ZACATECAS!$H$7:$H$5000, 0)), "-")</f>
        <v>ALTERNO</v>
      </c>
      <c r="F1087" s="545">
        <v>32217100</v>
      </c>
      <c r="G1087" s="546" t="s">
        <v>1847</v>
      </c>
      <c r="H1087" s="543" t="s">
        <v>2860</v>
      </c>
      <c r="I1087" s="6">
        <f>IFERROR(INDEX(ZACATECAS!$N$7:$N$5000, MATCH($F1087, ZACATECAS!$H$7:$H$5000, 0)), "-")</f>
        <v>0</v>
      </c>
    </row>
    <row r="1088" spans="1:9" x14ac:dyDescent="0.3">
      <c r="A1088" s="543" t="s">
        <v>2857</v>
      </c>
      <c r="B1088" s="543" t="s">
        <v>2858</v>
      </c>
      <c r="C1088" s="543" t="s">
        <v>1793</v>
      </c>
      <c r="D1088" s="543" t="s">
        <v>2869</v>
      </c>
      <c r="E1088" s="6" t="str">
        <f>IFERROR(INDEX(ZACATECAS!$I$7:$I$5000, MATCH(F1088*1, ZACATECAS!$H$7:$H$5000, 0)), "-")</f>
        <v>ALTERNO</v>
      </c>
      <c r="F1088" s="545">
        <v>32198245</v>
      </c>
      <c r="G1088" s="546" t="s">
        <v>1849</v>
      </c>
      <c r="H1088" s="543" t="s">
        <v>2860</v>
      </c>
      <c r="I1088" s="6">
        <f>IFERROR(INDEX(ZACATECAS!$N$7:$N$5000, MATCH($F1088, ZACATECAS!$H$7:$H$5000, 0)), "-")</f>
        <v>0</v>
      </c>
    </row>
    <row r="1089" spans="1:9" x14ac:dyDescent="0.3">
      <c r="A1089" s="543" t="s">
        <v>2857</v>
      </c>
      <c r="B1089" s="543" t="s">
        <v>2858</v>
      </c>
      <c r="C1089" s="543" t="s">
        <v>1793</v>
      </c>
      <c r="D1089" s="543" t="s">
        <v>2869</v>
      </c>
      <c r="E1089" s="6" t="str">
        <f>IFERROR(INDEX(ZACATECAS!$I$7:$I$5000, MATCH(F1089*1, ZACATECAS!$H$7:$H$5000, 0)), "-")</f>
        <v>ALTERNO</v>
      </c>
      <c r="F1089" s="545">
        <v>32209481</v>
      </c>
      <c r="G1089" s="546" t="s">
        <v>1850</v>
      </c>
      <c r="H1089" s="543" t="s">
        <v>2860</v>
      </c>
      <c r="I1089" s="6">
        <f>IFERROR(INDEX(ZACATECAS!$N$7:$N$5000, MATCH($F1089, ZACATECAS!$H$7:$H$5000, 0)), "-")</f>
        <v>0</v>
      </c>
    </row>
    <row r="1090" spans="1:9" x14ac:dyDescent="0.3">
      <c r="A1090" s="543" t="s">
        <v>2857</v>
      </c>
      <c r="B1090" s="543" t="s">
        <v>2858</v>
      </c>
      <c r="C1090" s="543" t="s">
        <v>1782</v>
      </c>
      <c r="D1090" s="543" t="s">
        <v>2869</v>
      </c>
      <c r="E1090" s="6" t="str">
        <f>IFERROR(INDEX(ZACATECAS!$I$7:$I$5000, MATCH(F1090*1, ZACATECAS!$H$7:$H$5000, 0)), "-")</f>
        <v>-</v>
      </c>
      <c r="F1090" s="546">
        <v>32214584</v>
      </c>
      <c r="G1090" s="546" t="s">
        <v>1783</v>
      </c>
      <c r="H1090" s="543" t="s">
        <v>2344</v>
      </c>
      <c r="I1090" s="6" t="str">
        <f>IFERROR(INDEX(ZACATECAS!$N$7:$N$5000, MATCH($F1090, ZACATECAS!$H$7:$H$5000, 0)), "-")</f>
        <v>-</v>
      </c>
    </row>
    <row r="1091" spans="1:9" x14ac:dyDescent="0.3">
      <c r="A1091" s="543" t="s">
        <v>2857</v>
      </c>
      <c r="B1091" s="543" t="s">
        <v>2858</v>
      </c>
      <c r="C1091" s="543" t="s">
        <v>1782</v>
      </c>
      <c r="D1091" s="543" t="s">
        <v>2869</v>
      </c>
      <c r="E1091" s="6" t="str">
        <f>IFERROR(INDEX(ZACATECAS!$I$7:$I$5000, MATCH(F1091*1, ZACATECAS!$H$7:$H$5000, 0)), "-")</f>
        <v xml:space="preserve">ALTERNO </v>
      </c>
      <c r="F1091" s="546">
        <v>32180199</v>
      </c>
      <c r="G1091" s="546" t="s">
        <v>1784</v>
      </c>
      <c r="H1091" s="543" t="s">
        <v>2860</v>
      </c>
      <c r="I1091" s="6" t="str">
        <f>IFERROR(INDEX(ZACATECAS!$N$7:$N$5000, MATCH($F1091, ZACATECAS!$H$7:$H$5000, 0)), "-")</f>
        <v>SEGURIDAD</v>
      </c>
    </row>
    <row r="1092" spans="1:9" x14ac:dyDescent="0.3">
      <c r="A1092" s="543" t="s">
        <v>2857</v>
      </c>
      <c r="B1092" s="543" t="s">
        <v>2858</v>
      </c>
      <c r="C1092" s="543" t="s">
        <v>1782</v>
      </c>
      <c r="D1092" s="543" t="s">
        <v>2869</v>
      </c>
      <c r="E1092" s="6" t="str">
        <f>IFERROR(INDEX(ZACATECAS!$I$7:$I$5000, MATCH(F1092*1, ZACATECAS!$H$7:$H$5000, 0)), "-")</f>
        <v xml:space="preserve">ALTERNO </v>
      </c>
      <c r="F1092" s="546">
        <v>32180202</v>
      </c>
      <c r="G1092" s="546" t="s">
        <v>1785</v>
      </c>
      <c r="H1092" s="543" t="s">
        <v>2860</v>
      </c>
      <c r="I1092" s="6" t="str">
        <f>IFERROR(INDEX(ZACATECAS!$N$7:$N$5000, MATCH($F1092, ZACATECAS!$H$7:$H$5000, 0)), "-")</f>
        <v xml:space="preserve">AMBIENTAL </v>
      </c>
    </row>
    <row r="1093" spans="1:9" x14ac:dyDescent="0.3">
      <c r="A1093" s="543" t="s">
        <v>2857</v>
      </c>
      <c r="B1093" s="543" t="s">
        <v>2858</v>
      </c>
      <c r="C1093" s="543" t="s">
        <v>1782</v>
      </c>
      <c r="D1093" s="543" t="s">
        <v>2869</v>
      </c>
      <c r="E1093" s="6" t="str">
        <f>IFERROR(INDEX(ZACATECAS!$I$7:$I$5000, MATCH(F1093*1, ZACATECAS!$H$7:$H$5000, 0)), "-")</f>
        <v xml:space="preserve">ALTERNO </v>
      </c>
      <c r="F1093" s="546">
        <v>32180384</v>
      </c>
      <c r="G1093" s="546" t="s">
        <v>1786</v>
      </c>
      <c r="H1093" s="543" t="s">
        <v>2860</v>
      </c>
      <c r="I1093" s="6" t="str">
        <f>IFERROR(INDEX(ZACATECAS!$N$7:$N$5000, MATCH($F1093, ZACATECAS!$H$7:$H$5000, 0)), "-")</f>
        <v xml:space="preserve">PEOPLE </v>
      </c>
    </row>
    <row r="1094" spans="1:9" x14ac:dyDescent="0.3">
      <c r="A1094" s="543" t="s">
        <v>2857</v>
      </c>
      <c r="B1094" s="543" t="s">
        <v>2858</v>
      </c>
      <c r="C1094" s="543" t="s">
        <v>1782</v>
      </c>
      <c r="D1094" s="543" t="s">
        <v>2869</v>
      </c>
      <c r="E1094" s="6" t="str">
        <f>IFERROR(INDEX(ZACATECAS!$I$7:$I$5000, MATCH(F1094*1, ZACATECAS!$H$7:$H$5000, 0)), "-")</f>
        <v xml:space="preserve">ALTERNO </v>
      </c>
      <c r="F1094" s="546">
        <v>32230187</v>
      </c>
      <c r="G1094" s="546" t="s">
        <v>1788</v>
      </c>
      <c r="H1094" s="543" t="s">
        <v>2860</v>
      </c>
      <c r="I1094" s="6" t="str">
        <f>IFERROR(INDEX(ZACATECAS!$N$7:$N$5000, MATCH($F1094, ZACATECAS!$H$7:$H$5000, 0)), "-")</f>
        <v xml:space="preserve">LOGISTICA </v>
      </c>
    </row>
    <row r="1095" spans="1:9" x14ac:dyDescent="0.3">
      <c r="A1095" s="543" t="s">
        <v>2857</v>
      </c>
      <c r="B1095" s="543" t="s">
        <v>2858</v>
      </c>
      <c r="C1095" s="543" t="s">
        <v>1782</v>
      </c>
      <c r="D1095" s="543" t="s">
        <v>2869</v>
      </c>
      <c r="E1095" s="6" t="str">
        <f>IFERROR(INDEX(ZACATECAS!$I$7:$I$5000, MATCH(F1095*1, ZACATECAS!$H$7:$H$5000, 0)), "-")</f>
        <v xml:space="preserve">ALTERNO </v>
      </c>
      <c r="F1095" s="546">
        <v>32046625</v>
      </c>
      <c r="G1095" s="546" t="s">
        <v>1790</v>
      </c>
      <c r="H1095" s="543" t="s">
        <v>2860</v>
      </c>
      <c r="I1095" s="6" t="str">
        <f>IFERROR(INDEX(ZACATECAS!$N$7:$N$5000, MATCH($F1095, ZACATECAS!$H$7:$H$5000, 0)), "-")</f>
        <v xml:space="preserve">GESTION </v>
      </c>
    </row>
    <row r="1096" spans="1:9" x14ac:dyDescent="0.3">
      <c r="A1096" s="543" t="s">
        <v>2857</v>
      </c>
      <c r="B1096" s="543" t="s">
        <v>2858</v>
      </c>
      <c r="C1096" s="543" t="s">
        <v>1782</v>
      </c>
      <c r="D1096" s="543" t="s">
        <v>2869</v>
      </c>
      <c r="E1096" s="6" t="str">
        <f>IFERROR(INDEX(ZACATECAS!$I$7:$I$5000, MATCH(F1096*1, ZACATECAS!$H$7:$H$5000, 0)), "-")</f>
        <v xml:space="preserve">ALTERNO </v>
      </c>
      <c r="F1096" s="546">
        <v>32180206</v>
      </c>
      <c r="G1096" s="546" t="s">
        <v>1791</v>
      </c>
      <c r="H1096" s="543" t="s">
        <v>2344</v>
      </c>
      <c r="I1096" s="6" t="str">
        <f>IFERROR(INDEX(ZACATECAS!$N$7:$N$5000, MATCH($F1096, ZACATECAS!$H$7:$H$5000, 0)), "-")</f>
        <v>CALIDAD</v>
      </c>
    </row>
    <row r="1097" spans="1:9" x14ac:dyDescent="0.3">
      <c r="A1097" s="543" t="s">
        <v>2857</v>
      </c>
      <c r="B1097" s="543" t="s">
        <v>2858</v>
      </c>
      <c r="C1097" s="543" t="s">
        <v>1393</v>
      </c>
      <c r="D1097" s="543" t="s">
        <v>2861</v>
      </c>
      <c r="E1097" s="6" t="str">
        <f>IFERROR(INDEX(ZACATECAS!$I$7:$I$5000, MATCH(F1097*1, ZACATECAS!$H$7:$H$5000, 0)), "-")</f>
        <v>-</v>
      </c>
      <c r="F1097" s="546">
        <v>32146685</v>
      </c>
      <c r="G1097" s="546" t="s">
        <v>1394</v>
      </c>
      <c r="H1097" s="543" t="s">
        <v>2344</v>
      </c>
      <c r="I1097" s="6" t="str">
        <f>IFERROR(INDEX(ZACATECAS!$N$7:$N$5000, MATCH($F1097, ZACATECAS!$H$7:$H$5000, 0)), "-")</f>
        <v>-</v>
      </c>
    </row>
    <row r="1098" spans="1:9" x14ac:dyDescent="0.3">
      <c r="A1098" s="543" t="s">
        <v>2857</v>
      </c>
      <c r="B1098" s="543" t="s">
        <v>2858</v>
      </c>
      <c r="C1098" s="543" t="s">
        <v>1393</v>
      </c>
      <c r="D1098" s="543" t="s">
        <v>2861</v>
      </c>
      <c r="E1098" s="6" t="str">
        <f>IFERROR(INDEX(ZACATECAS!$I$7:$I$5000, MATCH(F1098*1, ZACATECAS!$H$7:$H$5000, 0)), "-")</f>
        <v>MIXTO 11-12</v>
      </c>
      <c r="F1098" s="546">
        <v>32044841</v>
      </c>
      <c r="G1098" s="546" t="s">
        <v>1395</v>
      </c>
      <c r="H1098" s="543" t="s">
        <v>2860</v>
      </c>
      <c r="I1098" s="6" t="str">
        <f>IFERROR(INDEX(ZACATECAS!$N$7:$N$5000, MATCH($F1098, ZACATECAS!$H$7:$H$5000, 0)), "-")</f>
        <v>APOYO DE GESTION</v>
      </c>
    </row>
    <row r="1099" spans="1:9" x14ac:dyDescent="0.3">
      <c r="A1099" s="543" t="s">
        <v>2857</v>
      </c>
      <c r="B1099" s="543" t="s">
        <v>2858</v>
      </c>
      <c r="C1099" s="543" t="s">
        <v>1393</v>
      </c>
      <c r="D1099" s="543" t="s">
        <v>2861</v>
      </c>
      <c r="E1099" s="6" t="str">
        <f>IFERROR(INDEX(ZACATECAS!$I$7:$I$5000, MATCH(F1099*1, ZACATECAS!$H$7:$H$5000, 0)), "-")</f>
        <v>MIXTO 11-12</v>
      </c>
      <c r="F1099" s="546">
        <v>32045850</v>
      </c>
      <c r="G1099" s="546" t="s">
        <v>1396</v>
      </c>
      <c r="H1099" s="543" t="s">
        <v>2860</v>
      </c>
      <c r="I1099" s="6" t="str">
        <f>IFERROR(INDEX(ZACATECAS!$N$7:$N$5000, MATCH($F1099, ZACATECAS!$H$7:$H$5000, 0)), "-")</f>
        <v xml:space="preserve">CHAMPION SEGURIDAD </v>
      </c>
    </row>
    <row r="1100" spans="1:9" x14ac:dyDescent="0.3">
      <c r="A1100" s="543" t="s">
        <v>2857</v>
      </c>
      <c r="B1100" s="543" t="s">
        <v>2858</v>
      </c>
      <c r="C1100" s="543" t="s">
        <v>1393</v>
      </c>
      <c r="D1100" s="543" t="s">
        <v>2861</v>
      </c>
      <c r="E1100" s="6" t="str">
        <f>IFERROR(INDEX(ZACATECAS!$I$7:$I$5000, MATCH(F1100*1, ZACATECAS!$H$7:$H$5000, 0)), "-")</f>
        <v>MIXTO 11-12</v>
      </c>
      <c r="F1100" s="546">
        <v>32046145</v>
      </c>
      <c r="G1100" s="546" t="s">
        <v>1398</v>
      </c>
      <c r="H1100" s="543" t="s">
        <v>2860</v>
      </c>
      <c r="I1100" s="6" t="str">
        <f>IFERROR(INDEX(ZACATECAS!$N$7:$N$5000, MATCH($F1100, ZACATECAS!$H$7:$H$5000, 0)), "-")</f>
        <v>CHAMPION AMBIENTAL</v>
      </c>
    </row>
    <row r="1101" spans="1:9" x14ac:dyDescent="0.3">
      <c r="A1101" s="543" t="s">
        <v>2857</v>
      </c>
      <c r="B1101" s="543" t="s">
        <v>2858</v>
      </c>
      <c r="C1101" s="543" t="s">
        <v>1393</v>
      </c>
      <c r="D1101" s="543" t="s">
        <v>2861</v>
      </c>
      <c r="E1101" s="6" t="str">
        <f>IFERROR(INDEX(ZACATECAS!$I$7:$I$5000, MATCH(F1101*1, ZACATECAS!$H$7:$H$5000, 0)), "-")</f>
        <v>MIXTO 11-12</v>
      </c>
      <c r="F1101" s="546">
        <v>32046218</v>
      </c>
      <c r="G1101" s="546" t="s">
        <v>1400</v>
      </c>
      <c r="H1101" s="543" t="s">
        <v>2860</v>
      </c>
      <c r="I1101" s="6" t="str">
        <f>IFERROR(INDEX(ZACATECAS!$N$7:$N$5000, MATCH($F1101, ZACATECAS!$H$7:$H$5000, 0)), "-")</f>
        <v>APOYO AMBIENTAL</v>
      </c>
    </row>
    <row r="1102" spans="1:9" x14ac:dyDescent="0.3">
      <c r="A1102" s="543" t="s">
        <v>2857</v>
      </c>
      <c r="B1102" s="543" t="s">
        <v>2858</v>
      </c>
      <c r="C1102" s="543" t="s">
        <v>1393</v>
      </c>
      <c r="D1102" s="543" t="s">
        <v>2861</v>
      </c>
      <c r="E1102" s="6" t="str">
        <f>IFERROR(INDEX(ZACATECAS!$I$7:$I$5000, MATCH(F1102*1, ZACATECAS!$H$7:$H$5000, 0)), "-")</f>
        <v>MIXTO 11-12</v>
      </c>
      <c r="F1102" s="546">
        <v>32061469</v>
      </c>
      <c r="G1102" s="546" t="s">
        <v>1402</v>
      </c>
      <c r="H1102" s="543" t="s">
        <v>2860</v>
      </c>
      <c r="I1102" s="6" t="str">
        <f>IFERROR(INDEX(ZACATECAS!$N$7:$N$5000, MATCH($F1102, ZACATECAS!$H$7:$H$5000, 0)), "-")</f>
        <v>CHAMPION  LOGISTICA</v>
      </c>
    </row>
    <row r="1103" spans="1:9" x14ac:dyDescent="0.3">
      <c r="A1103" s="543" t="s">
        <v>2857</v>
      </c>
      <c r="B1103" s="543" t="s">
        <v>2858</v>
      </c>
      <c r="C1103" s="543" t="s">
        <v>1393</v>
      </c>
      <c r="D1103" s="543" t="s">
        <v>2861</v>
      </c>
      <c r="E1103" s="6" t="str">
        <f>IFERROR(INDEX(ZACATECAS!$I$7:$I$5000, MATCH(F1103*1, ZACATECAS!$H$7:$H$5000, 0)), "-")</f>
        <v>MIXTO 11-12</v>
      </c>
      <c r="F1103" s="546">
        <v>32107143</v>
      </c>
      <c r="G1103" s="546" t="s">
        <v>1404</v>
      </c>
      <c r="H1103" s="543" t="s">
        <v>2860</v>
      </c>
      <c r="I1103" s="6" t="str">
        <f>IFERROR(INDEX(ZACATECAS!$N$7:$N$5000, MATCH($F1103, ZACATECAS!$H$7:$H$5000, 0)), "-")</f>
        <v>CHAMPION GENTE</v>
      </c>
    </row>
    <row r="1104" spans="1:9" x14ac:dyDescent="0.3">
      <c r="A1104" s="543" t="s">
        <v>2857</v>
      </c>
      <c r="B1104" s="543" t="s">
        <v>2858</v>
      </c>
      <c r="C1104" s="543" t="s">
        <v>1393</v>
      </c>
      <c r="D1104" s="543" t="s">
        <v>2861</v>
      </c>
      <c r="E1104" s="6" t="str">
        <f>IFERROR(INDEX(ZACATECAS!$I$7:$I$5000, MATCH(F1104*1, ZACATECAS!$H$7:$H$5000, 0)), "-")</f>
        <v>MIXTO 11-12</v>
      </c>
      <c r="F1104" s="546">
        <v>32131834</v>
      </c>
      <c r="G1104" s="546" t="s">
        <v>1406</v>
      </c>
      <c r="H1104" s="543" t="s">
        <v>2860</v>
      </c>
      <c r="I1104" s="6" t="str">
        <f>IFERROR(INDEX(ZACATECAS!$N$7:$N$5000, MATCH($F1104, ZACATECAS!$H$7:$H$5000, 0)), "-")</f>
        <v xml:space="preserve">APOYO SEGURIDAD </v>
      </c>
    </row>
    <row r="1105" spans="1:9" x14ac:dyDescent="0.3">
      <c r="A1105" s="543" t="s">
        <v>2857</v>
      </c>
      <c r="B1105" s="543" t="s">
        <v>2858</v>
      </c>
      <c r="C1105" s="543" t="s">
        <v>1393</v>
      </c>
      <c r="D1105" s="543" t="s">
        <v>2861</v>
      </c>
      <c r="E1105" s="6" t="str">
        <f>IFERROR(INDEX(ZACATECAS!$I$7:$I$5000, MATCH(F1105*1, ZACATECAS!$H$7:$H$5000, 0)), "-")</f>
        <v>MIXTO 11-12</v>
      </c>
      <c r="F1105" s="546">
        <v>32132594</v>
      </c>
      <c r="G1105" s="546" t="s">
        <v>1408</v>
      </c>
      <c r="H1105" s="543" t="s">
        <v>2860</v>
      </c>
      <c r="I1105" s="6" t="str">
        <f>IFERROR(INDEX(ZACATECAS!$N$7:$N$5000, MATCH($F1105, ZACATECAS!$H$7:$H$5000, 0)), "-")</f>
        <v>APOYO CALIDAD</v>
      </c>
    </row>
    <row r="1106" spans="1:9" x14ac:dyDescent="0.3">
      <c r="A1106" s="543" t="s">
        <v>2857</v>
      </c>
      <c r="B1106" s="543" t="s">
        <v>2858</v>
      </c>
      <c r="C1106" s="543" t="s">
        <v>1393</v>
      </c>
      <c r="D1106" s="543" t="s">
        <v>2861</v>
      </c>
      <c r="E1106" s="6" t="str">
        <f>IFERROR(INDEX(ZACATECAS!$I$7:$I$5000, MATCH(F1106*1, ZACATECAS!$H$7:$H$5000, 0)), "-")</f>
        <v>MIXTO 11-12</v>
      </c>
      <c r="F1106" s="546">
        <v>32142771</v>
      </c>
      <c r="G1106" s="546" t="s">
        <v>1410</v>
      </c>
      <c r="H1106" s="543" t="s">
        <v>2860</v>
      </c>
      <c r="I1106" s="6" t="str">
        <f>IFERROR(INDEX(ZACATECAS!$N$7:$N$5000, MATCH($F1106, ZACATECAS!$H$7:$H$5000, 0)), "-")</f>
        <v>CHAMPION  CALIDAD</v>
      </c>
    </row>
    <row r="1107" spans="1:9" x14ac:dyDescent="0.3">
      <c r="A1107" s="543" t="s">
        <v>2857</v>
      </c>
      <c r="B1107" s="543" t="s">
        <v>2858</v>
      </c>
      <c r="C1107" s="543" t="s">
        <v>1393</v>
      </c>
      <c r="D1107" s="543" t="s">
        <v>2861</v>
      </c>
      <c r="E1107" s="6" t="str">
        <f>IFERROR(INDEX(ZACATECAS!$I$7:$I$5000, MATCH(F1107*1, ZACATECAS!$H$7:$H$5000, 0)), "-")</f>
        <v>MIXTO 11-12</v>
      </c>
      <c r="F1107" s="546">
        <v>32143627</v>
      </c>
      <c r="G1107" s="546" t="s">
        <v>1412</v>
      </c>
      <c r="H1107" s="543" t="s">
        <v>2860</v>
      </c>
      <c r="I1107" s="6" t="str">
        <f>IFERROR(INDEX(ZACATECAS!$N$7:$N$5000, MATCH($F1107, ZACATECAS!$H$7:$H$5000, 0)), "-")</f>
        <v>CHAMPION MANTENIMIENTO</v>
      </c>
    </row>
    <row r="1108" spans="1:9" x14ac:dyDescent="0.3">
      <c r="A1108" s="543" t="s">
        <v>2857</v>
      </c>
      <c r="B1108" s="543" t="s">
        <v>2858</v>
      </c>
      <c r="C1108" s="543" t="s">
        <v>1393</v>
      </c>
      <c r="D1108" s="543" t="s">
        <v>2861</v>
      </c>
      <c r="E1108" s="6" t="str">
        <f>IFERROR(INDEX(ZACATECAS!$I$7:$I$5000, MATCH(F1108*1, ZACATECAS!$H$7:$H$5000, 0)), "-")</f>
        <v>MIXTO 11-12</v>
      </c>
      <c r="F1108" s="546">
        <v>32178729</v>
      </c>
      <c r="G1108" s="546" t="s">
        <v>1414</v>
      </c>
      <c r="H1108" s="543" t="s">
        <v>2860</v>
      </c>
      <c r="I1108" s="6" t="str">
        <f>IFERROR(INDEX(ZACATECAS!$N$7:$N$5000, MATCH($F1108, ZACATECAS!$H$7:$H$5000, 0)), "-")</f>
        <v>APOYO GENTE</v>
      </c>
    </row>
    <row r="1109" spans="1:9" x14ac:dyDescent="0.3">
      <c r="A1109" s="543" t="s">
        <v>2857</v>
      </c>
      <c r="B1109" s="543" t="s">
        <v>2858</v>
      </c>
      <c r="C1109" s="543" t="s">
        <v>2297</v>
      </c>
      <c r="D1109" s="543" t="s">
        <v>2859</v>
      </c>
      <c r="E1109" s="6" t="str">
        <f>IFERROR(INDEX(ZACATECAS!$I$7:$I$5000, MATCH(F1109*1, ZACATECAS!$H$7:$H$5000, 0)), "-")</f>
        <v>-</v>
      </c>
      <c r="F1109" s="544">
        <v>32045092</v>
      </c>
      <c r="G1109" s="544" t="s">
        <v>2298</v>
      </c>
      <c r="H1109" s="543" t="s">
        <v>2344</v>
      </c>
      <c r="I1109" s="6" t="str">
        <f>IFERROR(INDEX(ZACATECAS!$N$7:$N$5000, MATCH($F1109, ZACATECAS!$H$7:$H$5000, 0)), "-")</f>
        <v>-</v>
      </c>
    </row>
    <row r="1110" spans="1:9" x14ac:dyDescent="0.3">
      <c r="A1110" s="543" t="s">
        <v>2857</v>
      </c>
      <c r="B1110" s="543" t="s">
        <v>2858</v>
      </c>
      <c r="C1110" s="543" t="s">
        <v>2297</v>
      </c>
      <c r="D1110" s="543" t="s">
        <v>2859</v>
      </c>
      <c r="E1110" s="6" t="str">
        <f>IFERROR(INDEX(ZACATECAS!$I$7:$I$5000, MATCH(F1110*1, ZACATECAS!$H$7:$H$5000, 0)), "-")</f>
        <v>PCM</v>
      </c>
      <c r="F1110" s="544">
        <v>32046064</v>
      </c>
      <c r="G1110" s="544" t="s">
        <v>2299</v>
      </c>
      <c r="H1110" s="543" t="s">
        <v>2860</v>
      </c>
      <c r="I1110" s="6" t="str">
        <f>IFERROR(INDEX(ZACATECAS!$N$7:$N$5000, MATCH($F1110, ZACATECAS!$H$7:$H$5000, 0)), "-")</f>
        <v>GENTE</v>
      </c>
    </row>
    <row r="1111" spans="1:9" x14ac:dyDescent="0.3">
      <c r="A1111" s="543" t="s">
        <v>2857</v>
      </c>
      <c r="B1111" s="543" t="s">
        <v>2858</v>
      </c>
      <c r="C1111" s="543" t="s">
        <v>2297</v>
      </c>
      <c r="D1111" s="543" t="s">
        <v>2859</v>
      </c>
      <c r="E1111" s="6" t="str">
        <f>IFERROR(INDEX(ZACATECAS!$I$7:$I$5000, MATCH(F1111*1, ZACATECAS!$H$7:$H$5000, 0)), "-")</f>
        <v>PCM</v>
      </c>
      <c r="F1111" s="544">
        <v>32044250</v>
      </c>
      <c r="G1111" s="544" t="s">
        <v>2300</v>
      </c>
      <c r="H1111" s="543" t="s">
        <v>2860</v>
      </c>
      <c r="I1111" s="6" t="str">
        <f>IFERROR(INDEX(ZACATECAS!$N$7:$N$5000, MATCH($F1111, ZACATECAS!$H$7:$H$5000, 0)), "-")</f>
        <v>MEDIO AMBIENTE</v>
      </c>
    </row>
    <row r="1112" spans="1:9" x14ac:dyDescent="0.3">
      <c r="A1112" s="543" t="s">
        <v>2857</v>
      </c>
      <c r="B1112" s="543" t="s">
        <v>2858</v>
      </c>
      <c r="C1112" s="543" t="s">
        <v>2297</v>
      </c>
      <c r="D1112" s="543" t="s">
        <v>2859</v>
      </c>
      <c r="E1112" s="6" t="str">
        <f>IFERROR(INDEX(ZACATECAS!$I$7:$I$5000, MATCH(F1112*1, ZACATECAS!$H$7:$H$5000, 0)), "-")</f>
        <v>PCM</v>
      </c>
      <c r="F1112" s="544">
        <v>32045215</v>
      </c>
      <c r="G1112" s="544" t="s">
        <v>2301</v>
      </c>
      <c r="H1112" s="543" t="s">
        <v>2860</v>
      </c>
      <c r="I1112" s="6" t="str">
        <f>IFERROR(INDEX(ZACATECAS!$N$7:$N$5000, MATCH($F1112, ZACATECAS!$H$7:$H$5000, 0)), "-")</f>
        <v>SEGURIDAD</v>
      </c>
    </row>
    <row r="1113" spans="1:9" x14ac:dyDescent="0.3">
      <c r="A1113" s="543" t="s">
        <v>2857</v>
      </c>
      <c r="B1113" s="543" t="s">
        <v>2858</v>
      </c>
      <c r="C1113" s="543" t="s">
        <v>2297</v>
      </c>
      <c r="D1113" s="543" t="s">
        <v>2859</v>
      </c>
      <c r="E1113" s="6" t="str">
        <f>IFERROR(INDEX(ZACATECAS!$I$7:$I$5000, MATCH(F1113*1, ZACATECAS!$H$7:$H$5000, 0)), "-")</f>
        <v>PCM</v>
      </c>
      <c r="F1113" s="544">
        <v>32146288</v>
      </c>
      <c r="G1113" s="544" t="s">
        <v>2302</v>
      </c>
      <c r="H1113" s="543" t="s">
        <v>2860</v>
      </c>
      <c r="I1113" s="6" t="str">
        <f>IFERROR(INDEX(ZACATECAS!$N$7:$N$5000, MATCH($F1113, ZACATECAS!$H$7:$H$5000, 0)), "-")</f>
        <v>APOYO SEGURIDAD</v>
      </c>
    </row>
    <row r="1114" spans="1:9" x14ac:dyDescent="0.3">
      <c r="A1114" s="543" t="s">
        <v>2857</v>
      </c>
      <c r="B1114" s="543" t="s">
        <v>2858</v>
      </c>
      <c r="C1114" s="543" t="s">
        <v>2297</v>
      </c>
      <c r="D1114" s="543" t="s">
        <v>2859</v>
      </c>
      <c r="E1114" s="6" t="str">
        <f>IFERROR(INDEX(ZACATECAS!$I$7:$I$5000, MATCH(F1114*1, ZACATECAS!$H$7:$H$5000, 0)), "-")</f>
        <v>PCM</v>
      </c>
      <c r="F1114" s="544">
        <v>32043788</v>
      </c>
      <c r="G1114" s="544" t="s">
        <v>2303</v>
      </c>
      <c r="H1114" s="543" t="s">
        <v>2860</v>
      </c>
      <c r="I1114" s="6" t="str">
        <f>IFERROR(INDEX(ZACATECAS!$N$7:$N$5000, MATCH($F1114, ZACATECAS!$H$7:$H$5000, 0)), "-")</f>
        <v>APOYO MEDIO AMBIENTE</v>
      </c>
    </row>
    <row r="1115" spans="1:9" x14ac:dyDescent="0.3">
      <c r="A1115" s="543" t="s">
        <v>2857</v>
      </c>
      <c r="B1115" s="543" t="s">
        <v>2858</v>
      </c>
      <c r="C1115" s="543" t="s">
        <v>2297</v>
      </c>
      <c r="D1115" s="543" t="s">
        <v>2859</v>
      </c>
      <c r="E1115" s="6" t="str">
        <f>IFERROR(INDEX(ZACATECAS!$I$7:$I$5000, MATCH(F1115*1, ZACATECAS!$H$7:$H$5000, 0)), "-")</f>
        <v>PCM</v>
      </c>
      <c r="F1115" s="544">
        <v>32044292</v>
      </c>
      <c r="G1115" s="544" t="s">
        <v>2304</v>
      </c>
      <c r="H1115" s="543" t="s">
        <v>2860</v>
      </c>
      <c r="I1115" s="6" t="str">
        <f>IFERROR(INDEX(ZACATECAS!$N$7:$N$5000, MATCH($F1115, ZACATECAS!$H$7:$H$5000, 0)), "-")</f>
        <v>APOYO GESTION</v>
      </c>
    </row>
    <row r="1116" spans="1:9" x14ac:dyDescent="0.3">
      <c r="A1116" s="543" t="s">
        <v>2857</v>
      </c>
      <c r="B1116" s="543" t="s">
        <v>2858</v>
      </c>
      <c r="C1116" s="543" t="s">
        <v>2297</v>
      </c>
      <c r="D1116" s="543" t="s">
        <v>2859</v>
      </c>
      <c r="E1116" s="6" t="str">
        <f>IFERROR(INDEX(ZACATECAS!$I$7:$I$5000, MATCH(F1116*1, ZACATECAS!$H$7:$H$5000, 0)), "-")</f>
        <v>PCM</v>
      </c>
      <c r="F1116" s="543">
        <v>32043828</v>
      </c>
      <c r="G1116" s="543" t="s">
        <v>2305</v>
      </c>
      <c r="H1116" s="543" t="s">
        <v>2860</v>
      </c>
      <c r="I1116" s="6" t="str">
        <f>IFERROR(INDEX(ZACATECAS!$N$7:$N$5000, MATCH($F1116, ZACATECAS!$H$7:$H$5000, 0)), "-")</f>
        <v>MANTENIMIENTO</v>
      </c>
    </row>
    <row r="1117" spans="1:9" x14ac:dyDescent="0.3">
      <c r="A1117" s="543" t="s">
        <v>2857</v>
      </c>
      <c r="B1117" s="543" t="s">
        <v>2858</v>
      </c>
      <c r="C1117" s="543" t="s">
        <v>2297</v>
      </c>
      <c r="D1117" s="543" t="s">
        <v>2859</v>
      </c>
      <c r="E1117" s="6" t="str">
        <f>IFERROR(INDEX(ZACATECAS!$I$7:$I$5000, MATCH(F1117*1, ZACATECAS!$H$7:$H$5000, 0)), "-")</f>
        <v>PCM</v>
      </c>
      <c r="F1117" s="543">
        <v>32044190</v>
      </c>
      <c r="G1117" s="543" t="s">
        <v>2306</v>
      </c>
      <c r="H1117" s="543" t="s">
        <v>2860</v>
      </c>
      <c r="I1117" s="6" t="str">
        <f>IFERROR(INDEX(ZACATECAS!$N$7:$N$5000, MATCH($F1117, ZACATECAS!$H$7:$H$5000, 0)), "-")</f>
        <v>APOYO MANTENIMIENTO</v>
      </c>
    </row>
    <row r="1118" spans="1:9" x14ac:dyDescent="0.3">
      <c r="A1118" s="543" t="s">
        <v>2857</v>
      </c>
      <c r="B1118" s="543" t="s">
        <v>2858</v>
      </c>
      <c r="C1118" s="543" t="s">
        <v>2297</v>
      </c>
      <c r="D1118" s="543" t="s">
        <v>2859</v>
      </c>
      <c r="E1118" s="6" t="str">
        <f>IFERROR(INDEX(ZACATECAS!$I$7:$I$5000, MATCH(F1118*1, ZACATECAS!$H$7:$H$5000, 0)), "-")</f>
        <v>PCM</v>
      </c>
      <c r="F1118" s="543">
        <v>32043833</v>
      </c>
      <c r="G1118" s="543" t="s">
        <v>2307</v>
      </c>
      <c r="H1118" s="543" t="s">
        <v>2860</v>
      </c>
      <c r="I1118" s="6" t="str">
        <f>IFERROR(INDEX(ZACATECAS!$N$7:$N$5000, MATCH($F1118, ZACATECAS!$H$7:$H$5000, 0)), "-")</f>
        <v>APOYO MEDIO AMBIENTE</v>
      </c>
    </row>
    <row r="1119" spans="1:9" x14ac:dyDescent="0.3">
      <c r="A1119" s="543" t="s">
        <v>2857</v>
      </c>
      <c r="B1119" s="547" t="s">
        <v>2858</v>
      </c>
      <c r="C1119" s="548" t="s">
        <v>2297</v>
      </c>
      <c r="D1119" s="548" t="s">
        <v>2859</v>
      </c>
      <c r="E1119" s="6" t="str">
        <f>IFERROR(INDEX(ZACATECAS!$I$7:$I$5000, MATCH(F1119*1, ZACATECAS!$H$7:$H$5000, 0)), "-")</f>
        <v>PCM</v>
      </c>
      <c r="F1119" s="543">
        <v>32045537</v>
      </c>
      <c r="G1119" s="548" t="s">
        <v>2308</v>
      </c>
      <c r="H1119" s="543" t="s">
        <v>2860</v>
      </c>
      <c r="I1119" s="6" t="str">
        <f>IFERROR(INDEX(ZACATECAS!$N$7:$N$5000, MATCH($F1119, ZACATECAS!$H$7:$H$5000, 0)), "-")</f>
        <v>APOYO CALIDAD</v>
      </c>
    </row>
    <row r="1120" spans="1:9" x14ac:dyDescent="0.3">
      <c r="A1120" s="543" t="s">
        <v>2857</v>
      </c>
      <c r="B1120" s="547" t="s">
        <v>2858</v>
      </c>
      <c r="C1120" s="548" t="s">
        <v>2297</v>
      </c>
      <c r="D1120" s="548" t="s">
        <v>2859</v>
      </c>
      <c r="E1120" s="6" t="str">
        <f>IFERROR(INDEX(ZACATECAS!$I$7:$I$5000, MATCH(F1120*1, ZACATECAS!$H$7:$H$5000, 0)), "-")</f>
        <v>PCM</v>
      </c>
      <c r="F1120" s="543">
        <v>32146674</v>
      </c>
      <c r="G1120" s="548" t="s">
        <v>2309</v>
      </c>
      <c r="H1120" s="543" t="s">
        <v>2860</v>
      </c>
      <c r="I1120" s="6" t="str">
        <f>IFERROR(INDEX(ZACATECAS!$N$7:$N$5000, MATCH($F1120, ZACATECAS!$H$7:$H$5000, 0)), "-")</f>
        <v>GESTION</v>
      </c>
    </row>
    <row r="1121" spans="1:9" x14ac:dyDescent="0.3">
      <c r="A1121" s="543" t="s">
        <v>2857</v>
      </c>
      <c r="B1121" s="547" t="s">
        <v>2858</v>
      </c>
      <c r="C1121" s="548" t="s">
        <v>2297</v>
      </c>
      <c r="D1121" s="548" t="s">
        <v>2859</v>
      </c>
      <c r="E1121" s="6" t="str">
        <f>IFERROR(INDEX(ZACATECAS!$I$7:$I$5000, MATCH(F1121*1, ZACATECAS!$H$7:$H$5000, 0)), "-")</f>
        <v>PCM</v>
      </c>
      <c r="F1121" s="543">
        <v>32044064</v>
      </c>
      <c r="G1121" s="548" t="s">
        <v>2310</v>
      </c>
      <c r="H1121" s="543" t="s">
        <v>2860</v>
      </c>
      <c r="I1121" s="6" t="str">
        <f>IFERROR(INDEX(ZACATECAS!$N$7:$N$5000, MATCH($F1121, ZACATECAS!$H$7:$H$5000, 0)), "-")</f>
        <v>CALIDAD</v>
      </c>
    </row>
    <row r="1122" spans="1:9" x14ac:dyDescent="0.3">
      <c r="A1122" s="543" t="s">
        <v>2857</v>
      </c>
      <c r="B1122" s="547" t="s">
        <v>2858</v>
      </c>
      <c r="C1122" s="548" t="s">
        <v>1754</v>
      </c>
      <c r="D1122" s="548" t="s">
        <v>2869</v>
      </c>
      <c r="E1122" s="6" t="str">
        <f>IFERROR(INDEX(ZACATECAS!$I$7:$I$5000, MATCH(F1122*1, ZACATECAS!$H$7:$H$5000, 0)), "-")</f>
        <v>-</v>
      </c>
      <c r="F1122" s="543">
        <v>32218550</v>
      </c>
      <c r="G1122" s="548" t="s">
        <v>1755</v>
      </c>
      <c r="H1122" s="543" t="s">
        <v>2344</v>
      </c>
      <c r="I1122" s="6" t="str">
        <f>IFERROR(INDEX(ZACATECAS!$N$7:$N$5000, MATCH($F1122, ZACATECAS!$H$7:$H$5000, 0)), "-")</f>
        <v>-</v>
      </c>
    </row>
    <row r="1123" spans="1:9" x14ac:dyDescent="0.3">
      <c r="A1123" s="543" t="s">
        <v>2857</v>
      </c>
      <c r="B1123" s="547" t="s">
        <v>2858</v>
      </c>
      <c r="C1123" s="548" t="s">
        <v>1754</v>
      </c>
      <c r="D1123" s="548" t="s">
        <v>2869</v>
      </c>
      <c r="E1123" s="6" t="str">
        <f>IFERROR(INDEX(ZACATECAS!$I$7:$I$5000, MATCH(F1123*1, ZACATECAS!$H$7:$H$5000, 0)), "-")</f>
        <v xml:space="preserve">ALMACEN ALTERNO </v>
      </c>
      <c r="F1123" s="543">
        <v>32229375</v>
      </c>
      <c r="G1123" s="548" t="s">
        <v>1756</v>
      </c>
      <c r="H1123" s="543" t="s">
        <v>2860</v>
      </c>
      <c r="I1123" s="6" t="str">
        <f>IFERROR(INDEX(ZACATECAS!$N$7:$N$5000, MATCH($F1123, ZACATECAS!$H$7:$H$5000, 0)), "-")</f>
        <v>PEOPLE</v>
      </c>
    </row>
    <row r="1124" spans="1:9" x14ac:dyDescent="0.3">
      <c r="A1124" s="543" t="s">
        <v>2857</v>
      </c>
      <c r="B1124" s="547" t="s">
        <v>2858</v>
      </c>
      <c r="C1124" s="548" t="s">
        <v>1754</v>
      </c>
      <c r="D1124" s="548" t="s">
        <v>2869</v>
      </c>
      <c r="E1124" s="6" t="str">
        <f>IFERROR(INDEX(ZACATECAS!$I$7:$I$5000, MATCH(F1124*1, ZACATECAS!$H$7:$H$5000, 0)), "-")</f>
        <v xml:space="preserve">ALMACEN ALTERNO </v>
      </c>
      <c r="F1124" s="543">
        <v>32044057</v>
      </c>
      <c r="G1124" s="548" t="s">
        <v>1757</v>
      </c>
      <c r="H1124" s="543" t="s">
        <v>2860</v>
      </c>
      <c r="I1124" s="6" t="str">
        <f>IFERROR(INDEX(ZACATECAS!$N$7:$N$5000, MATCH($F1124, ZACATECAS!$H$7:$H$5000, 0)), "-")</f>
        <v>MANTENIMIENTO</v>
      </c>
    </row>
    <row r="1125" spans="1:9" x14ac:dyDescent="0.3">
      <c r="A1125" s="543" t="s">
        <v>2857</v>
      </c>
      <c r="B1125" s="547" t="s">
        <v>2858</v>
      </c>
      <c r="C1125" s="548" t="s">
        <v>1754</v>
      </c>
      <c r="D1125" s="548" t="s">
        <v>2869</v>
      </c>
      <c r="E1125" s="6" t="str">
        <f>IFERROR(INDEX(ZACATECAS!$I$7:$I$5000, MATCH(F1125*1, ZACATECAS!$H$7:$H$5000, 0)), "-")</f>
        <v xml:space="preserve">ALMACEN ALTERNO </v>
      </c>
      <c r="F1125" s="543">
        <v>32180190</v>
      </c>
      <c r="G1125" s="548" t="s">
        <v>1758</v>
      </c>
      <c r="H1125" s="543" t="s">
        <v>2860</v>
      </c>
      <c r="I1125" s="6" t="str">
        <f>IFERROR(INDEX(ZACATECAS!$N$7:$N$5000, MATCH($F1125, ZACATECAS!$H$7:$H$5000, 0)), "-")</f>
        <v>CALIDAD</v>
      </c>
    </row>
    <row r="1126" spans="1:9" x14ac:dyDescent="0.3">
      <c r="A1126" s="543" t="s">
        <v>2857</v>
      </c>
      <c r="B1126" s="547" t="s">
        <v>2858</v>
      </c>
      <c r="C1126" s="548" t="s">
        <v>1754</v>
      </c>
      <c r="D1126" s="548" t="s">
        <v>2869</v>
      </c>
      <c r="E1126" s="6" t="str">
        <f>IFERROR(INDEX(ZACATECAS!$I$7:$I$5000, MATCH(F1126*1, ZACATECAS!$H$7:$H$5000, 0)), "-")</f>
        <v xml:space="preserve">ALMACEN ALTERNO </v>
      </c>
      <c r="F1126" s="543">
        <v>32227711</v>
      </c>
      <c r="G1126" s="548" t="s">
        <v>1759</v>
      </c>
      <c r="H1126" s="543" t="s">
        <v>2860</v>
      </c>
      <c r="I1126" s="6" t="str">
        <f>IFERROR(INDEX(ZACATECAS!$N$7:$N$5000, MATCH($F1126, ZACATECAS!$H$7:$H$5000, 0)), "-")</f>
        <v>MEDIO AMBIENTE</v>
      </c>
    </row>
    <row r="1127" spans="1:9" x14ac:dyDescent="0.3">
      <c r="A1127" s="543" t="s">
        <v>2857</v>
      </c>
      <c r="B1127" s="547" t="s">
        <v>2858</v>
      </c>
      <c r="C1127" s="548" t="s">
        <v>1754</v>
      </c>
      <c r="D1127" s="548" t="s">
        <v>2869</v>
      </c>
      <c r="E1127" s="6" t="str">
        <f>IFERROR(INDEX(ZACATECAS!$I$7:$I$5000, MATCH(F1127*1, ZACATECAS!$H$7:$H$5000, 0)), "-")</f>
        <v xml:space="preserve">ALMACEN ALTERNO </v>
      </c>
      <c r="F1127" s="543">
        <v>32057886</v>
      </c>
      <c r="G1127" s="548" t="s">
        <v>1760</v>
      </c>
      <c r="H1127" s="543" t="s">
        <v>2860</v>
      </c>
      <c r="I1127" s="6" t="str">
        <f>IFERROR(INDEX(ZACATECAS!$N$7:$N$5000, MATCH($F1127, ZACATECAS!$H$7:$H$5000, 0)), "-")</f>
        <v>SEGURIDAD</v>
      </c>
    </row>
    <row r="1128" spans="1:9" x14ac:dyDescent="0.3">
      <c r="A1128" s="543" t="s">
        <v>2857</v>
      </c>
      <c r="B1128" s="547" t="s">
        <v>2858</v>
      </c>
      <c r="C1128" s="548" t="s">
        <v>2253</v>
      </c>
      <c r="D1128" s="548" t="s">
        <v>2859</v>
      </c>
      <c r="E1128" s="6" t="str">
        <f>IFERROR(INDEX(ZACATECAS!$I$7:$I$5000, MATCH(F1128*1, ZACATECAS!$H$7:$H$5000, 0)), "-")</f>
        <v>-</v>
      </c>
      <c r="F1128" s="543">
        <v>32145438</v>
      </c>
      <c r="G1128" s="548" t="s">
        <v>2254</v>
      </c>
      <c r="H1128" s="543" t="s">
        <v>2344</v>
      </c>
      <c r="I1128" s="6" t="str">
        <f>IFERROR(INDEX(ZACATECAS!$N$7:$N$5000, MATCH($F1128, ZACATECAS!$H$7:$H$5000, 0)), "-")</f>
        <v>-</v>
      </c>
    </row>
    <row r="1129" spans="1:9" x14ac:dyDescent="0.3">
      <c r="A1129" s="543" t="s">
        <v>2857</v>
      </c>
      <c r="B1129" s="547" t="s">
        <v>2858</v>
      </c>
      <c r="C1129" s="548" t="s">
        <v>2253</v>
      </c>
      <c r="D1129" s="548" t="s">
        <v>2859</v>
      </c>
      <c r="E1129" s="6" t="str">
        <f>IFERROR(INDEX(ZACATECAS!$I$7:$I$5000, MATCH(F1129*1, ZACATECAS!$H$7:$H$5000, 0)), "-")</f>
        <v>ENV 3</v>
      </c>
      <c r="F1129" s="543">
        <v>32045823</v>
      </c>
      <c r="G1129" s="548" t="s">
        <v>2255</v>
      </c>
      <c r="H1129" s="543" t="s">
        <v>2860</v>
      </c>
      <c r="I1129" s="6" t="str">
        <f>IFERROR(INDEX(ZACATECAS!$N$7:$N$5000, MATCH($F1129, ZACATECAS!$H$7:$H$5000, 0)), "-")</f>
        <v>MANTENIMIENTO</v>
      </c>
    </row>
    <row r="1130" spans="1:9" x14ac:dyDescent="0.3">
      <c r="A1130" s="543" t="s">
        <v>2857</v>
      </c>
      <c r="B1130" s="547" t="s">
        <v>2858</v>
      </c>
      <c r="C1130" s="548" t="s">
        <v>2253</v>
      </c>
      <c r="D1130" s="548" t="s">
        <v>2859</v>
      </c>
      <c r="E1130" s="6" t="str">
        <f>IFERROR(INDEX(ZACATECAS!$I$7:$I$5000, MATCH(F1130*1, ZACATECAS!$H$7:$H$5000, 0)), "-")</f>
        <v>ENV 3</v>
      </c>
      <c r="F1130" s="543">
        <v>32044386</v>
      </c>
      <c r="G1130" s="548" t="s">
        <v>2256</v>
      </c>
      <c r="H1130" s="543" t="s">
        <v>2860</v>
      </c>
      <c r="I1130" s="6" t="str">
        <f>IFERROR(INDEX(ZACATECAS!$N$7:$N$5000, MATCH($F1130, ZACATECAS!$H$7:$H$5000, 0)), "-")</f>
        <v>GESTION</v>
      </c>
    </row>
    <row r="1131" spans="1:9" x14ac:dyDescent="0.3">
      <c r="A1131" s="543" t="s">
        <v>2857</v>
      </c>
      <c r="B1131" s="547" t="s">
        <v>2858</v>
      </c>
      <c r="C1131" s="548" t="s">
        <v>2253</v>
      </c>
      <c r="D1131" s="548" t="s">
        <v>2859</v>
      </c>
      <c r="E1131" s="6" t="str">
        <f>IFERROR(INDEX(ZACATECAS!$I$7:$I$5000, MATCH(F1131*1, ZACATECAS!$H$7:$H$5000, 0)), "-")</f>
        <v>ENV 3</v>
      </c>
      <c r="F1131" s="543">
        <v>32072163</v>
      </c>
      <c r="G1131" s="548" t="s">
        <v>2257</v>
      </c>
      <c r="H1131" s="543" t="s">
        <v>2860</v>
      </c>
      <c r="I1131" s="6" t="str">
        <f>IFERROR(INDEX(ZACATECAS!$N$7:$N$5000, MATCH($F1131, ZACATECAS!$H$7:$H$5000, 0)), "-")</f>
        <v>SEGURIDAD</v>
      </c>
    </row>
    <row r="1132" spans="1:9" x14ac:dyDescent="0.3">
      <c r="A1132" s="543" t="s">
        <v>2857</v>
      </c>
      <c r="B1132" s="547" t="s">
        <v>2858</v>
      </c>
      <c r="C1132" s="548" t="s">
        <v>2253</v>
      </c>
      <c r="D1132" s="548" t="s">
        <v>2859</v>
      </c>
      <c r="E1132" s="6" t="str">
        <f>IFERROR(INDEX(ZACATECAS!$I$7:$I$5000, MATCH(F1132*1, ZACATECAS!$H$7:$H$5000, 0)), "-")</f>
        <v>ENV 3</v>
      </c>
      <c r="F1132" s="543">
        <v>32045161</v>
      </c>
      <c r="G1132" s="548" t="s">
        <v>2258</v>
      </c>
      <c r="H1132" s="543" t="s">
        <v>2860</v>
      </c>
      <c r="I1132" s="6" t="str">
        <f>IFERROR(INDEX(ZACATECAS!$N$7:$N$5000, MATCH($F1132, ZACATECAS!$H$7:$H$5000, 0)), "-")</f>
        <v>GENTE</v>
      </c>
    </row>
    <row r="1133" spans="1:9" x14ac:dyDescent="0.3">
      <c r="A1133" s="543" t="s">
        <v>2857</v>
      </c>
      <c r="B1133" s="547" t="s">
        <v>2858</v>
      </c>
      <c r="C1133" s="548" t="s">
        <v>2253</v>
      </c>
      <c r="D1133" s="548" t="s">
        <v>2859</v>
      </c>
      <c r="E1133" s="6" t="str">
        <f>IFERROR(INDEX(ZACATECAS!$I$7:$I$5000, MATCH(F1133*1, ZACATECAS!$H$7:$H$5000, 0)), "-")</f>
        <v>ENV 3</v>
      </c>
      <c r="F1133" s="543">
        <v>32043985</v>
      </c>
      <c r="G1133" s="548" t="s">
        <v>2259</v>
      </c>
      <c r="H1133" s="543" t="s">
        <v>2860</v>
      </c>
      <c r="I1133" s="6" t="str">
        <f>IFERROR(INDEX(ZACATECAS!$N$7:$N$5000, MATCH($F1133, ZACATECAS!$H$7:$H$5000, 0)), "-")</f>
        <v>CALIDAD</v>
      </c>
    </row>
    <row r="1134" spans="1:9" x14ac:dyDescent="0.3">
      <c r="A1134" s="543" t="s">
        <v>2857</v>
      </c>
      <c r="B1134" s="547" t="s">
        <v>2858</v>
      </c>
      <c r="C1134" s="548" t="s">
        <v>2253</v>
      </c>
      <c r="D1134" s="548" t="s">
        <v>2859</v>
      </c>
      <c r="E1134" s="6" t="str">
        <f>IFERROR(INDEX(ZACATECAS!$I$7:$I$5000, MATCH(F1134*1, ZACATECAS!$H$7:$H$5000, 0)), "-")</f>
        <v>ENV 3</v>
      </c>
      <c r="F1134" s="543">
        <v>32045337</v>
      </c>
      <c r="G1134" s="548" t="s">
        <v>2260</v>
      </c>
      <c r="H1134" s="543" t="s">
        <v>2860</v>
      </c>
      <c r="I1134" s="6" t="str">
        <f>IFERROR(INDEX(ZACATECAS!$N$7:$N$5000, MATCH($F1134, ZACATECAS!$H$7:$H$5000, 0)), "-")</f>
        <v>MEDIO AMBIENTE</v>
      </c>
    </row>
    <row r="1135" spans="1:9" x14ac:dyDescent="0.3">
      <c r="A1135" s="543" t="s">
        <v>2857</v>
      </c>
      <c r="B1135" s="547" t="s">
        <v>2858</v>
      </c>
      <c r="C1135" s="548" t="s">
        <v>2253</v>
      </c>
      <c r="D1135" s="548" t="s">
        <v>2859</v>
      </c>
      <c r="E1135" s="6" t="str">
        <f>IFERROR(INDEX(ZACATECAS!$I$7:$I$5000, MATCH(F1135*1, ZACATECAS!$H$7:$H$5000, 0)), "-")</f>
        <v>ENV 3</v>
      </c>
      <c r="F1135" s="543">
        <v>32044054</v>
      </c>
      <c r="G1135" s="548" t="s">
        <v>2261</v>
      </c>
      <c r="H1135" s="543" t="s">
        <v>2860</v>
      </c>
      <c r="I1135" s="6" t="str">
        <f>IFERROR(INDEX(ZACATECAS!$N$7:$N$5000, MATCH($F1135, ZACATECAS!$H$7:$H$5000, 0)), "-")</f>
        <v>APOYO MANTENIMIENTO</v>
      </c>
    </row>
    <row r="1136" spans="1:9" x14ac:dyDescent="0.3">
      <c r="A1136" s="543" t="s">
        <v>2857</v>
      </c>
      <c r="B1136" s="547" t="s">
        <v>2858</v>
      </c>
      <c r="C1136" s="548" t="s">
        <v>2253</v>
      </c>
      <c r="D1136" s="548" t="s">
        <v>2859</v>
      </c>
      <c r="E1136" s="6" t="str">
        <f>IFERROR(INDEX(ZACATECAS!$I$7:$I$5000, MATCH(F1136*1, ZACATECAS!$H$7:$H$5000, 0)), "-")</f>
        <v>ENV 1</v>
      </c>
      <c r="F1136" s="543">
        <v>32138750</v>
      </c>
      <c r="G1136" s="548" t="s">
        <v>2262</v>
      </c>
      <c r="H1136" s="543" t="s">
        <v>2860</v>
      </c>
      <c r="I1136" s="6" t="str">
        <f>IFERROR(INDEX(ZACATECAS!$N$7:$N$5000, MATCH($F1136, ZACATECAS!$H$7:$H$5000, 0)), "-")</f>
        <v>GESTION</v>
      </c>
    </row>
    <row r="1137" spans="1:9" x14ac:dyDescent="0.3">
      <c r="A1137" s="543" t="s">
        <v>2857</v>
      </c>
      <c r="B1137" s="547" t="s">
        <v>2858</v>
      </c>
      <c r="C1137" s="548" t="s">
        <v>2253</v>
      </c>
      <c r="D1137" s="548" t="s">
        <v>2859</v>
      </c>
      <c r="E1137" s="6" t="str">
        <f>IFERROR(INDEX(ZACATECAS!$I$7:$I$5000, MATCH(F1137*1, ZACATECAS!$H$7:$H$5000, 0)), "-")</f>
        <v>ENV 3</v>
      </c>
      <c r="F1137" s="543">
        <v>32043826</v>
      </c>
      <c r="G1137" s="548" t="s">
        <v>2263</v>
      </c>
      <c r="H1137" s="543" t="s">
        <v>2860</v>
      </c>
      <c r="I1137" s="6" t="str">
        <f>IFERROR(INDEX(ZACATECAS!$N$7:$N$5000, MATCH($F1137, ZACATECAS!$H$7:$H$5000, 0)), "-")</f>
        <v>APOYO MEDIO AMBIENTE</v>
      </c>
    </row>
    <row r="1138" spans="1:9" x14ac:dyDescent="0.3">
      <c r="A1138" s="543" t="s">
        <v>2857</v>
      </c>
      <c r="B1138" s="547" t="s">
        <v>2858</v>
      </c>
      <c r="C1138" s="548" t="s">
        <v>2220</v>
      </c>
      <c r="D1138" s="548" t="s">
        <v>2859</v>
      </c>
      <c r="E1138" s="6" t="str">
        <f>IFERROR(INDEX(ZACATECAS!$I$7:$I$5000, MATCH(F1138*1, ZACATECAS!$H$7:$H$5000, 0)), "-")</f>
        <v>-</v>
      </c>
      <c r="F1138" s="543">
        <v>32146125</v>
      </c>
      <c r="G1138" s="548" t="s">
        <v>2221</v>
      </c>
      <c r="H1138" s="543" t="s">
        <v>2344</v>
      </c>
      <c r="I1138" s="6" t="str">
        <f>IFERROR(INDEX(ZACATECAS!$N$7:$N$5000, MATCH($F1138, ZACATECAS!$H$7:$H$5000, 0)), "-")</f>
        <v>-</v>
      </c>
    </row>
    <row r="1139" spans="1:9" x14ac:dyDescent="0.3">
      <c r="A1139" s="543" t="s">
        <v>2857</v>
      </c>
      <c r="B1139" s="547" t="s">
        <v>2858</v>
      </c>
      <c r="C1139" s="548" t="s">
        <v>2220</v>
      </c>
      <c r="D1139" s="548" t="s">
        <v>2859</v>
      </c>
      <c r="E1139" s="6" t="str">
        <f>IFERROR(INDEX(ZACATECAS!$I$7:$I$5000, MATCH(F1139*1, ZACATECAS!$H$7:$H$5000, 0)), "-")</f>
        <v>ENV 2</v>
      </c>
      <c r="F1139" s="543">
        <v>32043792</v>
      </c>
      <c r="G1139" s="548" t="s">
        <v>2222</v>
      </c>
      <c r="H1139" s="543" t="s">
        <v>2860</v>
      </c>
      <c r="I1139" s="6" t="str">
        <f>IFERROR(INDEX(ZACATECAS!$N$7:$N$5000, MATCH($F1139, ZACATECAS!$H$7:$H$5000, 0)), "-")</f>
        <v>GESTION</v>
      </c>
    </row>
    <row r="1140" spans="1:9" x14ac:dyDescent="0.3">
      <c r="A1140" s="543" t="s">
        <v>2857</v>
      </c>
      <c r="B1140" s="547" t="s">
        <v>2858</v>
      </c>
      <c r="C1140" s="548" t="s">
        <v>2220</v>
      </c>
      <c r="D1140" s="548" t="s">
        <v>2859</v>
      </c>
      <c r="E1140" s="6" t="str">
        <f>IFERROR(INDEX(ZACATECAS!$I$7:$I$5000, MATCH(F1140*1, ZACATECAS!$H$7:$H$5000, 0)), "-")</f>
        <v>ENV 2</v>
      </c>
      <c r="F1140" s="543">
        <v>32043984</v>
      </c>
      <c r="G1140" s="548" t="s">
        <v>2223</v>
      </c>
      <c r="H1140" s="543" t="s">
        <v>2860</v>
      </c>
      <c r="I1140" s="6" t="str">
        <f>IFERROR(INDEX(ZACATECAS!$N$7:$N$5000, MATCH($F1140, ZACATECAS!$H$7:$H$5000, 0)), "-")</f>
        <v>SEGURIDAD</v>
      </c>
    </row>
    <row r="1141" spans="1:9" x14ac:dyDescent="0.3">
      <c r="A1141" s="543" t="s">
        <v>2857</v>
      </c>
      <c r="B1141" s="547" t="s">
        <v>2858</v>
      </c>
      <c r="C1141" s="548" t="s">
        <v>2220</v>
      </c>
      <c r="D1141" s="548" t="s">
        <v>2859</v>
      </c>
      <c r="E1141" s="6" t="str">
        <f>IFERROR(INDEX(ZACATECAS!$I$7:$I$5000, MATCH(F1141*1, ZACATECAS!$H$7:$H$5000, 0)), "-")</f>
        <v>ENV 2</v>
      </c>
      <c r="F1141" s="543">
        <v>32072178</v>
      </c>
      <c r="G1141" s="548" t="s">
        <v>2224</v>
      </c>
      <c r="H1141" s="543" t="s">
        <v>2860</v>
      </c>
      <c r="I1141" s="6" t="str">
        <f>IFERROR(INDEX(ZACATECAS!$N$7:$N$5000, MATCH($F1141, ZACATECAS!$H$7:$H$5000, 0)), "-")</f>
        <v>MEDIO AMBIENTE</v>
      </c>
    </row>
    <row r="1142" spans="1:9" x14ac:dyDescent="0.3">
      <c r="A1142" s="543" t="s">
        <v>2857</v>
      </c>
      <c r="B1142" s="547" t="s">
        <v>2858</v>
      </c>
      <c r="C1142" s="548" t="s">
        <v>2220</v>
      </c>
      <c r="D1142" s="548" t="s">
        <v>2859</v>
      </c>
      <c r="E1142" s="6" t="str">
        <f>IFERROR(INDEX(ZACATECAS!$I$7:$I$5000, MATCH(F1142*1, ZACATECAS!$H$7:$H$5000, 0)), "-")</f>
        <v>ENV 2</v>
      </c>
      <c r="F1142" s="543">
        <v>32044593</v>
      </c>
      <c r="G1142" s="548" t="s">
        <v>2225</v>
      </c>
      <c r="H1142" s="543" t="s">
        <v>2860</v>
      </c>
      <c r="I1142" s="6" t="str">
        <f>IFERROR(INDEX(ZACATECAS!$N$7:$N$5000, MATCH($F1142, ZACATECAS!$H$7:$H$5000, 0)), "-")</f>
        <v>GENTE</v>
      </c>
    </row>
    <row r="1143" spans="1:9" x14ac:dyDescent="0.3">
      <c r="A1143" s="543" t="s">
        <v>2857</v>
      </c>
      <c r="B1143" s="547" t="s">
        <v>2858</v>
      </c>
      <c r="C1143" s="548" t="s">
        <v>2220</v>
      </c>
      <c r="D1143" s="548" t="s">
        <v>2859</v>
      </c>
      <c r="E1143" s="6" t="str">
        <f>IFERROR(INDEX(ZACATECAS!$I$7:$I$5000, MATCH(F1143*1, ZACATECAS!$H$7:$H$5000, 0)), "-")</f>
        <v>ENV 2</v>
      </c>
      <c r="F1143" s="543">
        <v>32044718</v>
      </c>
      <c r="G1143" s="548" t="s">
        <v>2226</v>
      </c>
      <c r="H1143" s="543" t="s">
        <v>2860</v>
      </c>
      <c r="I1143" s="6" t="str">
        <f>IFERROR(INDEX(ZACATECAS!$N$7:$N$5000, MATCH($F1143, ZACATECAS!$H$7:$H$5000, 0)), "-")</f>
        <v>APOYO MEDIO AMBIENTE</v>
      </c>
    </row>
    <row r="1144" spans="1:9" x14ac:dyDescent="0.3">
      <c r="A1144" s="543" t="s">
        <v>2857</v>
      </c>
      <c r="B1144" s="547" t="s">
        <v>2858</v>
      </c>
      <c r="C1144" s="548" t="s">
        <v>1761</v>
      </c>
      <c r="D1144" s="548" t="s">
        <v>2869</v>
      </c>
      <c r="E1144" s="6" t="str">
        <f>IFERROR(INDEX(ZACATECAS!$I$7:$I$5000, MATCH(F1144*1, ZACATECAS!$H$7:$H$5000, 0)), "-")</f>
        <v>-</v>
      </c>
      <c r="F1144" s="543">
        <v>32155712</v>
      </c>
      <c r="G1144" s="548" t="s">
        <v>1762</v>
      </c>
      <c r="H1144" s="543" t="s">
        <v>2344</v>
      </c>
      <c r="I1144" s="6" t="str">
        <f>IFERROR(INDEX(ZACATECAS!$N$7:$N$5000, MATCH($F1144, ZACATECAS!$H$7:$H$5000, 0)), "-")</f>
        <v>-</v>
      </c>
    </row>
    <row r="1145" spans="1:9" x14ac:dyDescent="0.3">
      <c r="A1145" s="543" t="s">
        <v>2857</v>
      </c>
      <c r="B1145" s="547" t="s">
        <v>2858</v>
      </c>
      <c r="C1145" s="548" t="s">
        <v>1761</v>
      </c>
      <c r="D1145" s="548" t="s">
        <v>2869</v>
      </c>
      <c r="E1145" s="6" t="str">
        <f>IFERROR(INDEX(ZACATECAS!$I$7:$I$5000, MATCH(F1145*1, ZACATECAS!$H$7:$H$5000, 0)), "-")</f>
        <v>LINEAS</v>
      </c>
      <c r="F1145" s="543">
        <v>32045437</v>
      </c>
      <c r="G1145" s="548" t="s">
        <v>1764</v>
      </c>
      <c r="H1145" s="543" t="s">
        <v>2860</v>
      </c>
      <c r="I1145" s="6" t="str">
        <f>IFERROR(INDEX(ZACATECAS!$N$7:$N$5000, MATCH($F1145, ZACATECAS!$H$7:$H$5000, 0)), "-")</f>
        <v>Champion Calidad</v>
      </c>
    </row>
    <row r="1146" spans="1:9" x14ac:dyDescent="0.3">
      <c r="A1146" s="543" t="s">
        <v>2857</v>
      </c>
      <c r="B1146" s="547" t="s">
        <v>2858</v>
      </c>
      <c r="C1146" s="548" t="s">
        <v>1761</v>
      </c>
      <c r="D1146" s="548" t="s">
        <v>2869</v>
      </c>
      <c r="E1146" s="6" t="str">
        <f>IFERROR(INDEX(ZACATECAS!$I$7:$I$5000, MATCH(F1146*1, ZACATECAS!$H$7:$H$5000, 0)), "-")</f>
        <v>LINEAS</v>
      </c>
      <c r="F1146" s="543">
        <v>32198261</v>
      </c>
      <c r="G1146" s="548" t="s">
        <v>1765</v>
      </c>
      <c r="H1146" s="543" t="s">
        <v>2860</v>
      </c>
      <c r="I1146" s="6" t="str">
        <f>IFERROR(INDEX(ZACATECAS!$N$7:$N$5000, MATCH($F1146, ZACATECAS!$H$7:$H$5000, 0)), "-")</f>
        <v>Champion de People</v>
      </c>
    </row>
    <row r="1147" spans="1:9" x14ac:dyDescent="0.3">
      <c r="A1147" s="543" t="s">
        <v>2857</v>
      </c>
      <c r="B1147" s="547" t="s">
        <v>2858</v>
      </c>
      <c r="C1147" s="548" t="s">
        <v>1761</v>
      </c>
      <c r="D1147" s="548" t="s">
        <v>2869</v>
      </c>
      <c r="E1147" s="6" t="str">
        <f>IFERROR(INDEX(ZACATECAS!$I$7:$I$5000, MATCH(F1147*1, ZACATECAS!$H$7:$H$5000, 0)), "-")</f>
        <v>LINEAS</v>
      </c>
      <c r="F1147" s="543">
        <v>32044691</v>
      </c>
      <c r="G1147" s="548" t="s">
        <v>1766</v>
      </c>
      <c r="H1147" s="543" t="s">
        <v>2860</v>
      </c>
      <c r="I1147" s="6" t="str">
        <f>IFERROR(INDEX(ZACATECAS!$N$7:$N$5000, MATCH($F1147, ZACATECAS!$H$7:$H$5000, 0)), "-")</f>
        <v>Champion de People</v>
      </c>
    </row>
    <row r="1148" spans="1:9" x14ac:dyDescent="0.3">
      <c r="A1148" s="543" t="s">
        <v>2857</v>
      </c>
      <c r="B1148" s="547" t="s">
        <v>2858</v>
      </c>
      <c r="C1148" s="548" t="s">
        <v>1761</v>
      </c>
      <c r="D1148" s="548" t="s">
        <v>2869</v>
      </c>
      <c r="E1148" s="6" t="str">
        <f>IFERROR(INDEX(ZACATECAS!$I$7:$I$5000, MATCH(F1148*1, ZACATECAS!$H$7:$H$5000, 0)), "-")</f>
        <v>LINEAS</v>
      </c>
      <c r="F1148" s="543">
        <v>32044151</v>
      </c>
      <c r="G1148" s="548" t="s">
        <v>1767</v>
      </c>
      <c r="H1148" s="543" t="s">
        <v>2860</v>
      </c>
      <c r="I1148" s="6" t="str">
        <f>IFERROR(INDEX(ZACATECAS!$N$7:$N$5000, MATCH($F1148, ZACATECAS!$H$7:$H$5000, 0)), "-")</f>
        <v>Champion de Seguridad</v>
      </c>
    </row>
    <row r="1149" spans="1:9" x14ac:dyDescent="0.3">
      <c r="A1149" s="543" t="s">
        <v>2857</v>
      </c>
      <c r="B1149" s="547" t="s">
        <v>2858</v>
      </c>
      <c r="C1149" s="548" t="s">
        <v>1761</v>
      </c>
      <c r="D1149" s="548" t="s">
        <v>2869</v>
      </c>
      <c r="E1149" s="6" t="str">
        <f>IFERROR(INDEX(ZACATECAS!$I$7:$I$5000, MATCH(F1149*1, ZACATECAS!$H$7:$H$5000, 0)), "-")</f>
        <v>LINEAS</v>
      </c>
      <c r="F1149" s="543">
        <v>32180197</v>
      </c>
      <c r="G1149" s="548" t="s">
        <v>1768</v>
      </c>
      <c r="H1149" s="543" t="s">
        <v>2860</v>
      </c>
      <c r="I1149" s="6" t="str">
        <f>IFERROR(INDEX(ZACATECAS!$N$7:$N$5000, MATCH($F1149, ZACATECAS!$H$7:$H$5000, 0)), "-")</f>
        <v>Champion de Mantenimiento</v>
      </c>
    </row>
    <row r="1150" spans="1:9" x14ac:dyDescent="0.3">
      <c r="A1150" s="543" t="s">
        <v>2857</v>
      </c>
      <c r="B1150" s="547" t="s">
        <v>2858</v>
      </c>
      <c r="C1150" s="548" t="s">
        <v>1761</v>
      </c>
      <c r="D1150" s="548" t="s">
        <v>2869</v>
      </c>
      <c r="E1150" s="6" t="str">
        <f>IFERROR(INDEX(ZACATECAS!$I$7:$I$5000, MATCH(F1150*1, ZACATECAS!$H$7:$H$5000, 0)), "-")</f>
        <v>LINEAS</v>
      </c>
      <c r="F1150" s="543">
        <v>32043972</v>
      </c>
      <c r="G1150" s="548" t="s">
        <v>1769</v>
      </c>
      <c r="H1150" s="543" t="s">
        <v>2860</v>
      </c>
      <c r="I1150" s="6" t="str">
        <f>IFERROR(INDEX(ZACATECAS!$N$7:$N$5000, MATCH($F1150, ZACATECAS!$H$7:$H$5000, 0)), "-")</f>
        <v>Champion de Medio Ambiente</v>
      </c>
    </row>
    <row r="1151" spans="1:9" x14ac:dyDescent="0.3">
      <c r="A1151" s="543" t="s">
        <v>2857</v>
      </c>
      <c r="B1151" s="547" t="s">
        <v>2858</v>
      </c>
      <c r="C1151" s="548" t="s">
        <v>1761</v>
      </c>
      <c r="D1151" s="548" t="s">
        <v>2869</v>
      </c>
      <c r="E1151" s="6" t="str">
        <f>IFERROR(INDEX(ZACATECAS!$I$7:$I$5000, MATCH(F1151*1, ZACATECAS!$H$7:$H$5000, 0)), "-")</f>
        <v>LINEAS</v>
      </c>
      <c r="F1151" s="543">
        <v>32044712</v>
      </c>
      <c r="G1151" s="548" t="s">
        <v>1770</v>
      </c>
      <c r="H1151" s="543" t="s">
        <v>2860</v>
      </c>
      <c r="I1151" s="6" t="str">
        <f>IFERROR(INDEX(ZACATECAS!$N$7:$N$5000, MATCH($F1151, ZACATECAS!$H$7:$H$5000, 0)), "-")</f>
        <v>Champion de logística</v>
      </c>
    </row>
    <row r="1152" spans="1:9" x14ac:dyDescent="0.3">
      <c r="A1152" s="543" t="s">
        <v>2857</v>
      </c>
      <c r="B1152" s="547" t="s">
        <v>2858</v>
      </c>
      <c r="C1152" s="548" t="s">
        <v>1761</v>
      </c>
      <c r="D1152" s="548" t="s">
        <v>2869</v>
      </c>
      <c r="E1152" s="6" t="str">
        <f>IFERROR(INDEX(ZACATECAS!$I$7:$I$5000, MATCH(F1152*1, ZACATECAS!$H$7:$H$5000, 0)), "-")</f>
        <v>LINEAS</v>
      </c>
      <c r="F1152" s="543">
        <v>32070294</v>
      </c>
      <c r="G1152" s="548" t="s">
        <v>1771</v>
      </c>
      <c r="H1152" s="543" t="s">
        <v>2860</v>
      </c>
      <c r="I1152" s="6" t="str">
        <f>IFERROR(INDEX(ZACATECAS!$N$7:$N$5000, MATCH($F1152, ZACATECAS!$H$7:$H$5000, 0)), "-")</f>
        <v>Champion Gestión</v>
      </c>
    </row>
    <row r="1153" spans="1:9" x14ac:dyDescent="0.3">
      <c r="A1153" s="543" t="s">
        <v>2857</v>
      </c>
      <c r="B1153" s="547" t="s">
        <v>2858</v>
      </c>
      <c r="C1153" s="548" t="s">
        <v>1761</v>
      </c>
      <c r="D1153" s="548" t="s">
        <v>2869</v>
      </c>
      <c r="E1153" s="6" t="str">
        <f>IFERROR(INDEX(ZACATECAS!$I$7:$I$5000, MATCH(F1153*1, ZACATECAS!$H$7:$H$5000, 0)), "-")</f>
        <v>LINEAS</v>
      </c>
      <c r="F1153" s="543">
        <v>32217095</v>
      </c>
      <c r="G1153" s="548" t="s">
        <v>1772</v>
      </c>
      <c r="H1153" s="543" t="s">
        <v>2860</v>
      </c>
      <c r="I1153" s="6" t="str">
        <f>IFERROR(INDEX(ZACATECAS!$N$7:$N$5000, MATCH($F1153, ZACATECAS!$H$7:$H$5000, 0)), "-")</f>
        <v>Champion Calidad</v>
      </c>
    </row>
    <row r="1154" spans="1:9" x14ac:dyDescent="0.3">
      <c r="A1154" s="543" t="s">
        <v>2857</v>
      </c>
      <c r="B1154" s="547" t="s">
        <v>2858</v>
      </c>
      <c r="C1154" s="548" t="s">
        <v>1761</v>
      </c>
      <c r="D1154" s="548" t="s">
        <v>2869</v>
      </c>
      <c r="E1154" s="6" t="str">
        <f>IFERROR(INDEX(ZACATECAS!$I$7:$I$5000, MATCH(F1154*1, ZACATECAS!$H$7:$H$5000, 0)), "-")</f>
        <v>LINEAS</v>
      </c>
      <c r="F1154" s="543">
        <v>32045488</v>
      </c>
      <c r="G1154" s="548" t="s">
        <v>1773</v>
      </c>
      <c r="H1154" s="543" t="s">
        <v>2860</v>
      </c>
      <c r="I1154" s="6" t="str">
        <f>IFERROR(INDEX(ZACATECAS!$N$7:$N$5000, MATCH($F1154, ZACATECAS!$H$7:$H$5000, 0)), "-")</f>
        <v>Champion de Mantenimiento</v>
      </c>
    </row>
    <row r="1155" spans="1:9" x14ac:dyDescent="0.3">
      <c r="A1155" s="543" t="s">
        <v>2857</v>
      </c>
      <c r="B1155" s="547" t="s">
        <v>2858</v>
      </c>
      <c r="C1155" s="548" t="s">
        <v>1761</v>
      </c>
      <c r="D1155" s="548" t="s">
        <v>2869</v>
      </c>
      <c r="E1155" s="6" t="str">
        <f>IFERROR(INDEX(ZACATECAS!$I$7:$I$5000, MATCH(F1155*1, ZACATECAS!$H$7:$H$5000, 0)), "-")</f>
        <v>LINEAS</v>
      </c>
      <c r="F1155" s="543">
        <v>32046463</v>
      </c>
      <c r="G1155" s="548" t="s">
        <v>1774</v>
      </c>
      <c r="H1155" s="543" t="s">
        <v>2860</v>
      </c>
      <c r="I1155" s="6" t="str">
        <f>IFERROR(INDEX(ZACATECAS!$N$7:$N$5000, MATCH($F1155, ZACATECAS!$H$7:$H$5000, 0)), "-")</f>
        <v>Champion de Seguridad</v>
      </c>
    </row>
    <row r="1156" spans="1:9" x14ac:dyDescent="0.3">
      <c r="A1156" s="543" t="s">
        <v>2857</v>
      </c>
      <c r="B1156" s="547" t="s">
        <v>2858</v>
      </c>
      <c r="C1156" s="548" t="s">
        <v>1761</v>
      </c>
      <c r="D1156" s="548" t="s">
        <v>2869</v>
      </c>
      <c r="E1156" s="6" t="str">
        <f>IFERROR(INDEX(ZACATECAS!$I$7:$I$5000, MATCH(F1156*1, ZACATECAS!$H$7:$H$5000, 0)), "-")</f>
        <v>LINEAS</v>
      </c>
      <c r="F1156" s="543">
        <v>32229420</v>
      </c>
      <c r="G1156" s="548" t="s">
        <v>1775</v>
      </c>
      <c r="H1156" s="543" t="s">
        <v>2860</v>
      </c>
      <c r="I1156" s="6" t="str">
        <f>IFERROR(INDEX(ZACATECAS!$N$7:$N$5000, MATCH($F1156, ZACATECAS!$H$7:$H$5000, 0)), "-")</f>
        <v>Champion Gestión</v>
      </c>
    </row>
    <row r="1157" spans="1:9" x14ac:dyDescent="0.3">
      <c r="A1157" s="543" t="s">
        <v>2857</v>
      </c>
      <c r="B1157" s="547" t="s">
        <v>2858</v>
      </c>
      <c r="C1157" s="548" t="s">
        <v>1761</v>
      </c>
      <c r="D1157" s="548" t="s">
        <v>2869</v>
      </c>
      <c r="E1157" s="6" t="str">
        <f>IFERROR(INDEX(ZACATECAS!$I$7:$I$5000, MATCH(F1157*1, ZACATECAS!$H$7:$H$5000, 0)), "-")</f>
        <v>LINEAS</v>
      </c>
      <c r="F1157" s="543">
        <v>32213362</v>
      </c>
      <c r="G1157" s="548" t="s">
        <v>1776</v>
      </c>
      <c r="H1157" s="543" t="s">
        <v>2860</v>
      </c>
      <c r="I1157" s="6" t="str">
        <f>IFERROR(INDEX(ZACATECAS!$N$7:$N$5000, MATCH($F1157, ZACATECAS!$H$7:$H$5000, 0)), "-")</f>
        <v>Champion Calidad</v>
      </c>
    </row>
    <row r="1158" spans="1:9" x14ac:dyDescent="0.3">
      <c r="A1158" s="543" t="s">
        <v>2857</v>
      </c>
      <c r="B1158" s="547" t="s">
        <v>2858</v>
      </c>
      <c r="C1158" s="548" t="s">
        <v>1761</v>
      </c>
      <c r="D1158" s="548" t="s">
        <v>2869</v>
      </c>
      <c r="E1158" s="6" t="str">
        <f>IFERROR(INDEX(ZACATECAS!$I$7:$I$5000, MATCH(F1158*1, ZACATECAS!$H$7:$H$5000, 0)), "-")</f>
        <v>LINEAS</v>
      </c>
      <c r="F1158" s="543">
        <v>32199319</v>
      </c>
      <c r="G1158" s="548" t="s">
        <v>1777</v>
      </c>
      <c r="H1158" s="543" t="s">
        <v>2860</v>
      </c>
      <c r="I1158" s="6" t="str">
        <f>IFERROR(INDEX(ZACATECAS!$N$7:$N$5000, MATCH($F1158, ZACATECAS!$H$7:$H$5000, 0)), "-")</f>
        <v>Champion de Mantenimiento</v>
      </c>
    </row>
    <row r="1159" spans="1:9" x14ac:dyDescent="0.3">
      <c r="A1159" s="543" t="s">
        <v>2857</v>
      </c>
      <c r="B1159" s="547" t="s">
        <v>2858</v>
      </c>
      <c r="C1159" s="548" t="s">
        <v>1761</v>
      </c>
      <c r="D1159" s="548" t="s">
        <v>2869</v>
      </c>
      <c r="E1159" s="6" t="str">
        <f>IFERROR(INDEX(ZACATECAS!$I$7:$I$5000, MATCH(F1159*1, ZACATECAS!$H$7:$H$5000, 0)), "-")</f>
        <v>LINEAS</v>
      </c>
      <c r="F1159" s="543">
        <v>32046614</v>
      </c>
      <c r="G1159" s="548" t="s">
        <v>1778</v>
      </c>
      <c r="H1159" s="543" t="s">
        <v>2860</v>
      </c>
      <c r="I1159" s="6" t="str">
        <f>IFERROR(INDEX(ZACATECAS!$N$7:$N$5000, MATCH($F1159, ZACATECAS!$H$7:$H$5000, 0)), "-")</f>
        <v>Champion de Seguridad</v>
      </c>
    </row>
    <row r="1160" spans="1:9" x14ac:dyDescent="0.3">
      <c r="A1160" s="543" t="s">
        <v>2857</v>
      </c>
      <c r="B1160" s="547" t="s">
        <v>2858</v>
      </c>
      <c r="C1160" s="548" t="s">
        <v>1761</v>
      </c>
      <c r="D1160" s="548" t="s">
        <v>2869</v>
      </c>
      <c r="E1160" s="6" t="str">
        <f>IFERROR(INDEX(ZACATECAS!$I$7:$I$5000, MATCH(F1160*1, ZACATECAS!$H$7:$H$5000, 0)), "-")</f>
        <v>LINEAS</v>
      </c>
      <c r="F1160" s="543">
        <v>32227678</v>
      </c>
      <c r="G1160" s="548" t="s">
        <v>1779</v>
      </c>
      <c r="H1160" s="543" t="s">
        <v>2860</v>
      </c>
      <c r="I1160" s="6" t="str">
        <f>IFERROR(INDEX(ZACATECAS!$N$7:$N$5000, MATCH($F1160, ZACATECAS!$H$7:$H$5000, 0)), "-")</f>
        <v>Champion de Medio Ambiente</v>
      </c>
    </row>
    <row r="1161" spans="1:9" x14ac:dyDescent="0.3">
      <c r="A1161" s="543" t="s">
        <v>2857</v>
      </c>
      <c r="B1161" s="547" t="s">
        <v>2858</v>
      </c>
      <c r="C1161" s="548" t="s">
        <v>1761</v>
      </c>
      <c r="D1161" s="548" t="s">
        <v>2869</v>
      </c>
      <c r="E1161" s="6" t="str">
        <f>IFERROR(INDEX(ZACATECAS!$I$7:$I$5000, MATCH(F1161*1, ZACATECAS!$H$7:$H$5000, 0)), "-")</f>
        <v>LINEAS</v>
      </c>
      <c r="F1161" s="543">
        <v>32187986</v>
      </c>
      <c r="G1161" s="548" t="s">
        <v>1780</v>
      </c>
      <c r="H1161" s="543" t="s">
        <v>2860</v>
      </c>
      <c r="I1161" s="6" t="str">
        <f>IFERROR(INDEX(ZACATECAS!$N$7:$N$5000, MATCH($F1161, ZACATECAS!$H$7:$H$5000, 0)), "-")</f>
        <v>Champion de logística</v>
      </c>
    </row>
    <row r="1162" spans="1:9" x14ac:dyDescent="0.3">
      <c r="A1162" s="543" t="s">
        <v>2857</v>
      </c>
      <c r="B1162" s="547" t="s">
        <v>2858</v>
      </c>
      <c r="C1162" s="548" t="s">
        <v>2881</v>
      </c>
      <c r="D1162" s="548" t="s">
        <v>2862</v>
      </c>
      <c r="E1162" s="6" t="str">
        <f>IFERROR(INDEX(ZACATECAS!$I$7:$I$5000, MATCH(F1162*1, ZACATECAS!$H$7:$H$5000, 0)), "-")</f>
        <v>-</v>
      </c>
      <c r="F1162" s="543">
        <v>32069642</v>
      </c>
      <c r="G1162" s="548" t="s">
        <v>2111</v>
      </c>
      <c r="H1162" s="543" t="s">
        <v>2344</v>
      </c>
      <c r="I1162" s="6" t="str">
        <f>IFERROR(INDEX(ZACATECAS!$N$7:$N$5000, MATCH($F1162, ZACATECAS!$H$7:$H$5000, 0)), "-")</f>
        <v>-</v>
      </c>
    </row>
    <row r="1163" spans="1:9" x14ac:dyDescent="0.3">
      <c r="A1163" s="543" t="s">
        <v>2857</v>
      </c>
      <c r="B1163" s="547" t="s">
        <v>2858</v>
      </c>
      <c r="C1163" s="548" t="s">
        <v>2881</v>
      </c>
      <c r="D1163" s="548" t="s">
        <v>2862</v>
      </c>
      <c r="E1163" s="6" t="str">
        <f>IFERROR(INDEX(ZACATECAS!$I$7:$I$5000, MATCH(F1163*1, ZACATECAS!$H$7:$H$5000, 0)), "-")</f>
        <v>Turbinas</v>
      </c>
      <c r="F1163" s="543">
        <v>32145467</v>
      </c>
      <c r="G1163" s="548" t="s">
        <v>2113</v>
      </c>
      <c r="H1163" s="543" t="s">
        <v>2860</v>
      </c>
      <c r="I1163" s="6" t="str">
        <f>IFERROR(INDEX(ZACATECAS!$N$7:$N$5000, MATCH($F1163, ZACATECAS!$H$7:$H$5000, 0)), "-")</f>
        <v>Seguridad</v>
      </c>
    </row>
    <row r="1164" spans="1:9" x14ac:dyDescent="0.3">
      <c r="A1164" s="543" t="s">
        <v>2857</v>
      </c>
      <c r="B1164" s="547" t="s">
        <v>2858</v>
      </c>
      <c r="C1164" s="548" t="s">
        <v>2881</v>
      </c>
      <c r="D1164" s="548" t="s">
        <v>2862</v>
      </c>
      <c r="E1164" s="6" t="str">
        <f>IFERROR(INDEX(ZACATECAS!$I$7:$I$5000, MATCH(F1164*1, ZACATECAS!$H$7:$H$5000, 0)), "-")</f>
        <v>Refrigeración</v>
      </c>
      <c r="F1164" s="543">
        <v>32043741</v>
      </c>
      <c r="G1164" s="548" t="s">
        <v>2114</v>
      </c>
      <c r="H1164" s="543" t="s">
        <v>2860</v>
      </c>
      <c r="I1164" s="6" t="str">
        <f>IFERROR(INDEX(ZACATECAS!$N$7:$N$5000, MATCH($F1164, ZACATECAS!$H$7:$H$5000, 0)), "-")</f>
        <v>Seguridad</v>
      </c>
    </row>
    <row r="1165" spans="1:9" x14ac:dyDescent="0.3">
      <c r="A1165" s="543" t="s">
        <v>2857</v>
      </c>
      <c r="B1165" s="547" t="s">
        <v>2858</v>
      </c>
      <c r="C1165" s="548" t="s">
        <v>2881</v>
      </c>
      <c r="D1165" s="548" t="s">
        <v>2862</v>
      </c>
      <c r="E1165" s="6" t="str">
        <f>IFERROR(INDEX(ZACATECAS!$I$7:$I$5000, MATCH(F1165*1, ZACATECAS!$H$7:$H$5000, 0)), "-")</f>
        <v xml:space="preserve">Turbinas </v>
      </c>
      <c r="F1165" s="543">
        <v>32043799</v>
      </c>
      <c r="G1165" s="548" t="s">
        <v>2117</v>
      </c>
      <c r="H1165" s="543" t="s">
        <v>2860</v>
      </c>
      <c r="I1165" s="6" t="str">
        <f>IFERROR(INDEX(ZACATECAS!$N$7:$N$5000, MATCH($F1165, ZACATECAS!$H$7:$H$5000, 0)), "-")</f>
        <v>Gestión</v>
      </c>
    </row>
    <row r="1166" spans="1:9" x14ac:dyDescent="0.3">
      <c r="A1166" s="543" t="s">
        <v>2857</v>
      </c>
      <c r="B1166" s="547" t="s">
        <v>2858</v>
      </c>
      <c r="C1166" s="548" t="s">
        <v>2881</v>
      </c>
      <c r="D1166" s="548" t="s">
        <v>2862</v>
      </c>
      <c r="E1166" s="6" t="str">
        <f>IFERROR(INDEX(ZACATECAS!$I$7:$I$5000, MATCH(F1166*1, ZACATECAS!$H$7:$H$5000, 0)), "-")</f>
        <v>Calderas AP</v>
      </c>
      <c r="F1166" s="543">
        <v>32043860</v>
      </c>
      <c r="G1166" s="548" t="s">
        <v>2119</v>
      </c>
      <c r="H1166" s="543" t="s">
        <v>2860</v>
      </c>
      <c r="I1166" s="6" t="str">
        <f>IFERROR(INDEX(ZACATECAS!$N$7:$N$5000, MATCH($F1166, ZACATECAS!$H$7:$H$5000, 0)), "-")</f>
        <v>Calidad</v>
      </c>
    </row>
    <row r="1167" spans="1:9" x14ac:dyDescent="0.3">
      <c r="A1167" s="543" t="s">
        <v>2857</v>
      </c>
      <c r="B1167" s="547" t="s">
        <v>2858</v>
      </c>
      <c r="C1167" s="548" t="s">
        <v>2881</v>
      </c>
      <c r="D1167" s="548" t="s">
        <v>2862</v>
      </c>
      <c r="E1167" s="6" t="str">
        <f>IFERROR(INDEX(ZACATECAS!$I$7:$I$5000, MATCH(F1167*1, ZACATECAS!$H$7:$H$5000, 0)), "-")</f>
        <v>Calderas AP</v>
      </c>
      <c r="F1167" s="543">
        <v>32045871</v>
      </c>
      <c r="G1167" s="548" t="s">
        <v>2121</v>
      </c>
      <c r="H1167" s="543" t="s">
        <v>2860</v>
      </c>
      <c r="I1167" s="6" t="str">
        <f>IFERROR(INDEX(ZACATECAS!$N$7:$N$5000, MATCH($F1167, ZACATECAS!$H$7:$H$5000, 0)), "-")</f>
        <v>Mantenimiento</v>
      </c>
    </row>
    <row r="1168" spans="1:9" x14ac:dyDescent="0.3">
      <c r="A1168" s="543" t="s">
        <v>2857</v>
      </c>
      <c r="B1168" s="547" t="s">
        <v>2858</v>
      </c>
      <c r="C1168" s="548" t="s">
        <v>2881</v>
      </c>
      <c r="D1168" s="548" t="s">
        <v>2862</v>
      </c>
      <c r="E1168" s="6" t="str">
        <f>IFERROR(INDEX(ZACATECAS!$I$7:$I$5000, MATCH(F1168*1, ZACATECAS!$H$7:$H$5000, 0)), "-")</f>
        <v>CO2</v>
      </c>
      <c r="F1168" s="543">
        <v>32043908</v>
      </c>
      <c r="G1168" s="548" t="s">
        <v>2123</v>
      </c>
      <c r="H1168" s="543" t="s">
        <v>2860</v>
      </c>
      <c r="I1168" s="6" t="str">
        <f>IFERROR(INDEX(ZACATECAS!$N$7:$N$5000, MATCH($F1168, ZACATECAS!$H$7:$H$5000, 0)), "-")</f>
        <v>Gente</v>
      </c>
    </row>
    <row r="1169" spans="1:9" x14ac:dyDescent="0.3">
      <c r="A1169" s="543" t="s">
        <v>2857</v>
      </c>
      <c r="B1169" s="547" t="s">
        <v>2858</v>
      </c>
      <c r="C1169" s="548" t="s">
        <v>2881</v>
      </c>
      <c r="D1169" s="548" t="s">
        <v>2862</v>
      </c>
      <c r="E1169" s="6" t="str">
        <f>IFERROR(INDEX(ZACATECAS!$I$7:$I$5000, MATCH(F1169*1, ZACATECAS!$H$7:$H$5000, 0)), "-")</f>
        <v>CO2</v>
      </c>
      <c r="F1169" s="543">
        <v>32043916</v>
      </c>
      <c r="G1169" s="548" t="s">
        <v>2125</v>
      </c>
      <c r="H1169" s="543" t="s">
        <v>2860</v>
      </c>
      <c r="I1169" s="6" t="str">
        <f>IFERROR(INDEX(ZACATECAS!$N$7:$N$5000, MATCH($F1169, ZACATECAS!$H$7:$H$5000, 0)), "-")</f>
        <v>Ambiental</v>
      </c>
    </row>
  </sheetData>
  <autoFilter ref="A1:I1169" xr:uid="{4218B6D7-834D-4AF6-A11E-BC2B9436424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CC73-EE07-40E5-8DE6-6A4B9D554117}">
  <dimension ref="A1:J1224"/>
  <sheetViews>
    <sheetView tabSelected="1" zoomScaleNormal="100" workbookViewId="0">
      <selection activeCell="K5" sqref="K5"/>
    </sheetView>
  </sheetViews>
  <sheetFormatPr baseColWidth="10" defaultColWidth="11.44140625" defaultRowHeight="14.4" x14ac:dyDescent="0.3"/>
  <cols>
    <col min="1" max="1" width="14.6640625" style="6" bestFit="1" customWidth="1"/>
    <col min="2" max="2" width="29.6640625" style="6" bestFit="1" customWidth="1"/>
    <col min="3" max="3" width="22" style="6" bestFit="1" customWidth="1"/>
    <col min="4" max="4" width="23.88671875" style="6" bestFit="1" customWidth="1"/>
    <col min="5" max="5" width="12.88671875" style="6" bestFit="1" customWidth="1"/>
    <col min="6" max="6" width="35.44140625" style="6" customWidth="1"/>
    <col min="7" max="7" width="12.44140625" style="6" customWidth="1"/>
    <col min="8" max="8" width="30.33203125" style="6" customWidth="1"/>
  </cols>
  <sheetData>
    <row r="1" spans="1:8" x14ac:dyDescent="0.3">
      <c r="A1" s="555" t="s">
        <v>2849</v>
      </c>
      <c r="B1" s="555" t="s">
        <v>2850</v>
      </c>
      <c r="C1" s="555" t="s">
        <v>2851</v>
      </c>
      <c r="D1" s="555" t="s">
        <v>2852</v>
      </c>
      <c r="E1" s="555" t="s">
        <v>2853</v>
      </c>
      <c r="F1" s="555" t="s">
        <v>2854</v>
      </c>
      <c r="G1" s="555" t="s">
        <v>2855</v>
      </c>
      <c r="H1" s="555" t="s">
        <v>2856</v>
      </c>
    </row>
    <row r="2" spans="1:8" x14ac:dyDescent="0.3">
      <c r="A2" s="6" t="s">
        <v>2858</v>
      </c>
      <c r="B2" s="6" t="s">
        <v>2129</v>
      </c>
      <c r="C2" s="6" t="s">
        <v>2859</v>
      </c>
      <c r="D2" s="6" t="s">
        <v>2128</v>
      </c>
      <c r="E2" s="6">
        <v>32045845</v>
      </c>
      <c r="F2" s="6" t="s">
        <v>2133</v>
      </c>
      <c r="G2" s="6" t="s">
        <v>2860</v>
      </c>
      <c r="H2" s="6" t="s">
        <v>38</v>
      </c>
    </row>
    <row r="3" spans="1:8" x14ac:dyDescent="0.3">
      <c r="A3" s="6" t="s">
        <v>2858</v>
      </c>
      <c r="B3" s="6" t="s">
        <v>2129</v>
      </c>
      <c r="C3" s="6" t="s">
        <v>2859</v>
      </c>
      <c r="D3" s="6" t="s">
        <v>2128</v>
      </c>
      <c r="E3" s="6">
        <v>32045921</v>
      </c>
      <c r="F3" s="6" t="s">
        <v>2134</v>
      </c>
      <c r="G3" s="6" t="s">
        <v>2860</v>
      </c>
      <c r="H3" s="6" t="s">
        <v>47</v>
      </c>
    </row>
    <row r="4" spans="1:8" x14ac:dyDescent="0.3">
      <c r="A4" s="6" t="s">
        <v>2858</v>
      </c>
      <c r="B4" s="6" t="s">
        <v>2129</v>
      </c>
      <c r="C4" s="6" t="s">
        <v>2859</v>
      </c>
      <c r="D4" s="6" t="s">
        <v>2128</v>
      </c>
      <c r="E4" s="6">
        <v>32045091</v>
      </c>
      <c r="F4" s="6" t="s">
        <v>2135</v>
      </c>
      <c r="G4" s="6" t="s">
        <v>2860</v>
      </c>
      <c r="H4" s="6" t="s">
        <v>35</v>
      </c>
    </row>
    <row r="5" spans="1:8" x14ac:dyDescent="0.3">
      <c r="A5" s="6" t="s">
        <v>2858</v>
      </c>
      <c r="B5" s="6" t="s">
        <v>2129</v>
      </c>
      <c r="C5" s="6" t="s">
        <v>2859</v>
      </c>
      <c r="D5" s="6" t="s">
        <v>2128</v>
      </c>
      <c r="E5" s="6">
        <v>32045130</v>
      </c>
      <c r="F5" s="6" t="s">
        <v>2132</v>
      </c>
      <c r="G5" s="6" t="s">
        <v>2860</v>
      </c>
      <c r="H5" s="6" t="s">
        <v>62</v>
      </c>
    </row>
    <row r="6" spans="1:8" x14ac:dyDescent="0.3">
      <c r="A6" s="6" t="s">
        <v>2858</v>
      </c>
      <c r="B6" s="6" t="s">
        <v>2129</v>
      </c>
      <c r="C6" s="6" t="s">
        <v>2859</v>
      </c>
      <c r="D6" s="6" t="s">
        <v>2128</v>
      </c>
      <c r="E6" s="6">
        <v>32044330</v>
      </c>
      <c r="F6" s="6" t="s">
        <v>2131</v>
      </c>
      <c r="G6" s="6" t="s">
        <v>2860</v>
      </c>
      <c r="H6" s="6" t="s">
        <v>44</v>
      </c>
    </row>
    <row r="7" spans="1:8" x14ac:dyDescent="0.3">
      <c r="A7" s="6" t="s">
        <v>2858</v>
      </c>
      <c r="B7" s="6" t="s">
        <v>2129</v>
      </c>
      <c r="C7" s="6" t="s">
        <v>2859</v>
      </c>
      <c r="D7" s="6" t="s">
        <v>2128</v>
      </c>
      <c r="E7" s="6">
        <v>32044256</v>
      </c>
      <c r="F7" s="6" t="s">
        <v>2136</v>
      </c>
      <c r="G7" s="6" t="s">
        <v>2860</v>
      </c>
      <c r="H7" s="6" t="s">
        <v>41</v>
      </c>
    </row>
    <row r="8" spans="1:8" x14ac:dyDescent="0.3">
      <c r="A8" s="6" t="s">
        <v>2858</v>
      </c>
      <c r="B8" s="6" t="s">
        <v>2129</v>
      </c>
      <c r="C8" s="6" t="s">
        <v>2859</v>
      </c>
      <c r="D8" s="6" t="s">
        <v>2882</v>
      </c>
      <c r="E8" s="6">
        <v>32045873</v>
      </c>
      <c r="F8" s="6" t="s">
        <v>2130</v>
      </c>
      <c r="G8" s="6" t="s">
        <v>2344</v>
      </c>
      <c r="H8" s="6" t="s">
        <v>2882</v>
      </c>
    </row>
    <row r="9" spans="1:8" x14ac:dyDescent="0.3">
      <c r="A9" s="6" t="s">
        <v>2858</v>
      </c>
      <c r="B9" s="6" t="s">
        <v>448</v>
      </c>
      <c r="C9" s="6" t="s">
        <v>2861</v>
      </c>
      <c r="D9" s="6">
        <v>3</v>
      </c>
      <c r="E9" s="6">
        <v>32149965</v>
      </c>
      <c r="F9" s="6" t="s">
        <v>495</v>
      </c>
      <c r="G9" s="6" t="s">
        <v>2344</v>
      </c>
      <c r="H9" s="6" t="s">
        <v>2882</v>
      </c>
    </row>
    <row r="10" spans="1:8" x14ac:dyDescent="0.3">
      <c r="A10" s="6" t="s">
        <v>2858</v>
      </c>
      <c r="B10" s="6" t="s">
        <v>2883</v>
      </c>
      <c r="C10" s="6" t="s">
        <v>2861</v>
      </c>
      <c r="D10" s="6">
        <v>3</v>
      </c>
      <c r="E10" s="6">
        <v>32065049</v>
      </c>
      <c r="F10" s="6" t="s">
        <v>2884</v>
      </c>
      <c r="G10" s="6" t="s">
        <v>2860</v>
      </c>
      <c r="H10" s="6" t="s">
        <v>62</v>
      </c>
    </row>
    <row r="11" spans="1:8" x14ac:dyDescent="0.3">
      <c r="A11" s="6" t="s">
        <v>2858</v>
      </c>
      <c r="B11" s="6" t="s">
        <v>2883</v>
      </c>
      <c r="C11" s="6" t="s">
        <v>2861</v>
      </c>
      <c r="D11" s="6">
        <v>3</v>
      </c>
      <c r="E11" s="6">
        <v>32198303</v>
      </c>
      <c r="F11" s="6" t="s">
        <v>2885</v>
      </c>
      <c r="G11" s="6" t="s">
        <v>2860</v>
      </c>
      <c r="H11" s="6" t="s">
        <v>38</v>
      </c>
    </row>
    <row r="12" spans="1:8" x14ac:dyDescent="0.3">
      <c r="A12" s="6" t="s">
        <v>2858</v>
      </c>
      <c r="B12" s="6" t="s">
        <v>2883</v>
      </c>
      <c r="C12" s="6" t="s">
        <v>2861</v>
      </c>
      <c r="D12" s="6">
        <v>3</v>
      </c>
      <c r="E12" s="6">
        <v>32045522</v>
      </c>
      <c r="F12" s="6" t="s">
        <v>2886</v>
      </c>
      <c r="G12" s="6" t="s">
        <v>2860</v>
      </c>
      <c r="H12" s="6" t="s">
        <v>35</v>
      </c>
    </row>
    <row r="13" spans="1:8" x14ac:dyDescent="0.3">
      <c r="A13" s="6" t="s">
        <v>2858</v>
      </c>
      <c r="B13" s="6" t="s">
        <v>2883</v>
      </c>
      <c r="C13" s="6" t="s">
        <v>2861</v>
      </c>
      <c r="D13" s="6">
        <v>3</v>
      </c>
      <c r="E13" s="6">
        <v>32046025</v>
      </c>
      <c r="F13" s="6" t="s">
        <v>2887</v>
      </c>
      <c r="G13" s="6" t="s">
        <v>2860</v>
      </c>
      <c r="H13" s="6" t="s">
        <v>1584</v>
      </c>
    </row>
    <row r="14" spans="1:8" x14ac:dyDescent="0.3">
      <c r="A14" s="6" t="s">
        <v>2858</v>
      </c>
      <c r="B14" s="6" t="s">
        <v>2883</v>
      </c>
      <c r="C14" s="6" t="s">
        <v>2861</v>
      </c>
      <c r="D14" s="6">
        <v>3</v>
      </c>
      <c r="E14" s="6">
        <v>32132584</v>
      </c>
      <c r="F14" s="6" t="s">
        <v>2888</v>
      </c>
      <c r="G14" s="6" t="s">
        <v>2860</v>
      </c>
      <c r="H14" s="6" t="s">
        <v>47</v>
      </c>
    </row>
    <row r="15" spans="1:8" x14ac:dyDescent="0.3">
      <c r="A15" s="6" t="s">
        <v>2858</v>
      </c>
      <c r="B15" s="6" t="s">
        <v>2883</v>
      </c>
      <c r="C15" s="6" t="s">
        <v>2861</v>
      </c>
      <c r="D15" s="6">
        <v>3</v>
      </c>
      <c r="E15" s="6">
        <v>32143282</v>
      </c>
      <c r="F15" s="6" t="s">
        <v>2889</v>
      </c>
      <c r="G15" s="6" t="s">
        <v>2860</v>
      </c>
      <c r="H15" s="6" t="s">
        <v>44</v>
      </c>
    </row>
    <row r="16" spans="1:8" x14ac:dyDescent="0.3">
      <c r="A16" s="6" t="s">
        <v>2858</v>
      </c>
      <c r="B16" s="6" t="s">
        <v>2883</v>
      </c>
      <c r="C16" s="6" t="s">
        <v>2861</v>
      </c>
      <c r="D16" s="6">
        <v>3</v>
      </c>
      <c r="E16" s="6">
        <v>32044830</v>
      </c>
      <c r="F16" s="6" t="s">
        <v>2890</v>
      </c>
      <c r="G16" s="6" t="s">
        <v>2860</v>
      </c>
      <c r="H16" s="6" t="s">
        <v>41</v>
      </c>
    </row>
    <row r="17" spans="1:8" x14ac:dyDescent="0.3">
      <c r="A17" s="6" t="s">
        <v>2858</v>
      </c>
      <c r="B17" s="6" t="s">
        <v>2883</v>
      </c>
      <c r="C17" s="6" t="s">
        <v>2861</v>
      </c>
      <c r="D17" s="6">
        <v>3</v>
      </c>
      <c r="E17" s="6">
        <v>32046634</v>
      </c>
      <c r="F17" s="6" t="s">
        <v>2891</v>
      </c>
      <c r="G17" s="6" t="s">
        <v>2860</v>
      </c>
      <c r="H17" s="6" t="s">
        <v>41</v>
      </c>
    </row>
    <row r="18" spans="1:8" x14ac:dyDescent="0.3">
      <c r="A18" s="6" t="s">
        <v>2858</v>
      </c>
      <c r="B18" s="6" t="s">
        <v>2137</v>
      </c>
      <c r="C18" s="6" t="s">
        <v>2859</v>
      </c>
      <c r="D18" s="6" t="s">
        <v>2128</v>
      </c>
      <c r="E18" s="6">
        <v>32146675</v>
      </c>
      <c r="F18" s="6" t="s">
        <v>2139</v>
      </c>
      <c r="G18" s="6" t="s">
        <v>2860</v>
      </c>
      <c r="H18" s="6" t="s">
        <v>41</v>
      </c>
    </row>
    <row r="19" spans="1:8" x14ac:dyDescent="0.3">
      <c r="A19" s="6" t="s">
        <v>2858</v>
      </c>
      <c r="B19" s="6" t="s">
        <v>2137</v>
      </c>
      <c r="C19" s="6" t="s">
        <v>2859</v>
      </c>
      <c r="D19" s="6" t="s">
        <v>2128</v>
      </c>
      <c r="E19" s="6">
        <v>32044763</v>
      </c>
      <c r="F19" s="6" t="s">
        <v>2141</v>
      </c>
      <c r="G19" s="6" t="s">
        <v>2860</v>
      </c>
      <c r="H19" s="6" t="s">
        <v>35</v>
      </c>
    </row>
    <row r="20" spans="1:8" x14ac:dyDescent="0.3">
      <c r="A20" s="6" t="s">
        <v>2858</v>
      </c>
      <c r="B20" s="6" t="s">
        <v>2137</v>
      </c>
      <c r="C20" s="6" t="s">
        <v>2859</v>
      </c>
      <c r="D20" s="6" t="s">
        <v>2128</v>
      </c>
      <c r="E20" s="6">
        <v>32045259</v>
      </c>
      <c r="F20" s="6" t="s">
        <v>2143</v>
      </c>
      <c r="G20" s="6" t="s">
        <v>2860</v>
      </c>
      <c r="H20" s="6" t="s">
        <v>38</v>
      </c>
    </row>
    <row r="21" spans="1:8" x14ac:dyDescent="0.3">
      <c r="A21" s="6" t="s">
        <v>2858</v>
      </c>
      <c r="B21" s="6" t="s">
        <v>2137</v>
      </c>
      <c r="C21" s="6" t="s">
        <v>2859</v>
      </c>
      <c r="D21" s="6" t="s">
        <v>2128</v>
      </c>
      <c r="E21" s="6">
        <v>32138750</v>
      </c>
      <c r="F21" s="6" t="s">
        <v>2142</v>
      </c>
      <c r="G21" s="6" t="s">
        <v>2860</v>
      </c>
      <c r="H21" s="6" t="s">
        <v>62</v>
      </c>
    </row>
    <row r="22" spans="1:8" x14ac:dyDescent="0.3">
      <c r="A22" s="6" t="s">
        <v>2858</v>
      </c>
      <c r="B22" s="6" t="s">
        <v>2137</v>
      </c>
      <c r="C22" s="6" t="s">
        <v>2859</v>
      </c>
      <c r="D22" s="6" t="s">
        <v>2128</v>
      </c>
      <c r="E22" s="6">
        <v>32044548</v>
      </c>
      <c r="F22" s="6" t="s">
        <v>2140</v>
      </c>
      <c r="G22" s="6" t="s">
        <v>2860</v>
      </c>
      <c r="H22" s="6" t="s">
        <v>44</v>
      </c>
    </row>
    <row r="23" spans="1:8" x14ac:dyDescent="0.3">
      <c r="A23" s="6" t="s">
        <v>2858</v>
      </c>
      <c r="B23" s="6" t="s">
        <v>2137</v>
      </c>
      <c r="C23" s="6" t="s">
        <v>2859</v>
      </c>
      <c r="D23" s="6" t="s">
        <v>2128</v>
      </c>
      <c r="E23" s="6">
        <v>32045971</v>
      </c>
      <c r="F23" s="6" t="s">
        <v>2146</v>
      </c>
      <c r="G23" s="6" t="s">
        <v>2860</v>
      </c>
      <c r="H23" s="6" t="s">
        <v>47</v>
      </c>
    </row>
    <row r="24" spans="1:8" x14ac:dyDescent="0.3">
      <c r="A24" s="6" t="s">
        <v>2858</v>
      </c>
      <c r="B24" s="6" t="s">
        <v>2137</v>
      </c>
      <c r="C24" s="6" t="s">
        <v>2859</v>
      </c>
      <c r="D24" s="6" t="s">
        <v>2128</v>
      </c>
      <c r="E24" s="6">
        <v>32138740</v>
      </c>
      <c r="F24" s="6" t="s">
        <v>2144</v>
      </c>
      <c r="G24" s="6" t="s">
        <v>2860</v>
      </c>
      <c r="H24" s="6" t="s">
        <v>38</v>
      </c>
    </row>
    <row r="25" spans="1:8" x14ac:dyDescent="0.3">
      <c r="A25" s="6" t="s">
        <v>2858</v>
      </c>
      <c r="B25" s="6" t="s">
        <v>2137</v>
      </c>
      <c r="C25" s="6" t="s">
        <v>2859</v>
      </c>
      <c r="D25" s="6" t="s">
        <v>2882</v>
      </c>
      <c r="E25" s="6">
        <v>32146124</v>
      </c>
      <c r="F25" s="6" t="s">
        <v>2138</v>
      </c>
      <c r="G25" s="6" t="s">
        <v>2344</v>
      </c>
      <c r="H25" s="6" t="s">
        <v>2882</v>
      </c>
    </row>
    <row r="26" spans="1:8" x14ac:dyDescent="0.3">
      <c r="A26" s="6" t="s">
        <v>2858</v>
      </c>
      <c r="B26" s="6" t="s">
        <v>2892</v>
      </c>
      <c r="C26" s="6" t="s">
        <v>2861</v>
      </c>
      <c r="D26" s="6">
        <v>3</v>
      </c>
      <c r="E26" s="6">
        <v>32202296</v>
      </c>
      <c r="F26" s="6" t="s">
        <v>2893</v>
      </c>
      <c r="G26" s="6" t="s">
        <v>2860</v>
      </c>
      <c r="H26" s="6" t="s">
        <v>35</v>
      </c>
    </row>
    <row r="27" spans="1:8" x14ac:dyDescent="0.3">
      <c r="A27" s="6" t="s">
        <v>2858</v>
      </c>
      <c r="B27" s="6" t="s">
        <v>2892</v>
      </c>
      <c r="C27" s="6" t="s">
        <v>2861</v>
      </c>
      <c r="D27" s="6">
        <v>3</v>
      </c>
      <c r="E27" s="6">
        <v>32045727</v>
      </c>
      <c r="F27" s="6" t="s">
        <v>2894</v>
      </c>
      <c r="G27" s="6" t="s">
        <v>2860</v>
      </c>
      <c r="H27" s="6" t="s">
        <v>41</v>
      </c>
    </row>
    <row r="28" spans="1:8" x14ac:dyDescent="0.3">
      <c r="A28" s="6" t="s">
        <v>2858</v>
      </c>
      <c r="B28" s="6" t="s">
        <v>2892</v>
      </c>
      <c r="C28" s="6" t="s">
        <v>2861</v>
      </c>
      <c r="D28" s="6">
        <v>3</v>
      </c>
      <c r="E28" s="6">
        <v>32066826</v>
      </c>
      <c r="F28" s="6" t="s">
        <v>2895</v>
      </c>
      <c r="G28" s="6" t="s">
        <v>2860</v>
      </c>
      <c r="H28" s="6" t="s">
        <v>38</v>
      </c>
    </row>
    <row r="29" spans="1:8" x14ac:dyDescent="0.3">
      <c r="A29" s="6" t="s">
        <v>2858</v>
      </c>
      <c r="B29" s="6" t="s">
        <v>2892</v>
      </c>
      <c r="C29" s="6" t="s">
        <v>2861</v>
      </c>
      <c r="D29" s="6">
        <v>3</v>
      </c>
      <c r="E29" s="6">
        <v>32044673</v>
      </c>
      <c r="F29" s="6" t="s">
        <v>2896</v>
      </c>
      <c r="G29" s="6" t="s">
        <v>2860</v>
      </c>
      <c r="H29" s="6" t="s">
        <v>62</v>
      </c>
    </row>
    <row r="30" spans="1:8" x14ac:dyDescent="0.3">
      <c r="A30" s="6" t="s">
        <v>2858</v>
      </c>
      <c r="B30" s="6" t="s">
        <v>2892</v>
      </c>
      <c r="C30" s="6" t="s">
        <v>2861</v>
      </c>
      <c r="D30" s="6">
        <v>3</v>
      </c>
      <c r="E30" s="6">
        <v>32198295</v>
      </c>
      <c r="F30" s="6" t="s">
        <v>479</v>
      </c>
      <c r="G30" s="6" t="s">
        <v>2860</v>
      </c>
      <c r="H30" s="6" t="s">
        <v>62</v>
      </c>
    </row>
    <row r="31" spans="1:8" x14ac:dyDescent="0.3">
      <c r="A31" s="6" t="s">
        <v>2858</v>
      </c>
      <c r="B31" s="6" t="s">
        <v>2892</v>
      </c>
      <c r="C31" s="6" t="s">
        <v>2861</v>
      </c>
      <c r="D31" s="6">
        <v>3</v>
      </c>
      <c r="E31" s="6">
        <v>32045487</v>
      </c>
      <c r="F31" s="6" t="s">
        <v>482</v>
      </c>
      <c r="G31" s="6" t="s">
        <v>2860</v>
      </c>
      <c r="H31" s="6" t="s">
        <v>47</v>
      </c>
    </row>
    <row r="32" spans="1:8" x14ac:dyDescent="0.3">
      <c r="A32" s="6" t="s">
        <v>2858</v>
      </c>
      <c r="B32" s="6" t="s">
        <v>2892</v>
      </c>
      <c r="C32" s="6" t="s">
        <v>2861</v>
      </c>
      <c r="D32" s="6">
        <v>3</v>
      </c>
      <c r="E32" s="6">
        <v>32198280</v>
      </c>
      <c r="F32" s="6" t="s">
        <v>488</v>
      </c>
      <c r="G32" s="6" t="s">
        <v>2860</v>
      </c>
      <c r="H32" s="6" t="s">
        <v>44</v>
      </c>
    </row>
    <row r="33" spans="1:8" x14ac:dyDescent="0.3">
      <c r="A33" s="6" t="s">
        <v>2858</v>
      </c>
      <c r="B33" s="6" t="s">
        <v>2892</v>
      </c>
      <c r="C33" s="6" t="s">
        <v>2861</v>
      </c>
      <c r="D33" s="6">
        <v>3</v>
      </c>
      <c r="E33" s="6">
        <v>32132577</v>
      </c>
      <c r="F33" s="6" t="s">
        <v>2897</v>
      </c>
      <c r="G33" s="6" t="s">
        <v>2860</v>
      </c>
      <c r="H33" s="6" t="s">
        <v>1584</v>
      </c>
    </row>
    <row r="34" spans="1:8" x14ac:dyDescent="0.3">
      <c r="A34" s="6" t="s">
        <v>2858</v>
      </c>
      <c r="B34" s="6" t="s">
        <v>2892</v>
      </c>
      <c r="C34" s="6" t="s">
        <v>2861</v>
      </c>
      <c r="D34" s="6">
        <v>3</v>
      </c>
      <c r="E34" s="6">
        <v>32148105</v>
      </c>
      <c r="F34" s="6" t="s">
        <v>515</v>
      </c>
      <c r="G34" s="6" t="s">
        <v>2344</v>
      </c>
      <c r="H34" s="6" t="s">
        <v>2882</v>
      </c>
    </row>
    <row r="35" spans="1:8" x14ac:dyDescent="0.3">
      <c r="A35" s="6" t="s">
        <v>2858</v>
      </c>
      <c r="B35" s="6" t="s">
        <v>2898</v>
      </c>
      <c r="C35" s="6" t="s">
        <v>2861</v>
      </c>
      <c r="D35" s="6">
        <v>2</v>
      </c>
      <c r="E35" s="6">
        <v>32044001</v>
      </c>
      <c r="F35" s="6" t="s">
        <v>2899</v>
      </c>
      <c r="G35" s="6" t="s">
        <v>2860</v>
      </c>
      <c r="H35" s="6" t="s">
        <v>47</v>
      </c>
    </row>
    <row r="36" spans="1:8" x14ac:dyDescent="0.3">
      <c r="A36" s="6" t="s">
        <v>2858</v>
      </c>
      <c r="B36" s="6" t="s">
        <v>2898</v>
      </c>
      <c r="C36" s="6" t="s">
        <v>2861</v>
      </c>
      <c r="D36" s="6">
        <v>2</v>
      </c>
      <c r="E36" s="6">
        <v>32046028</v>
      </c>
      <c r="F36" s="6" t="s">
        <v>2900</v>
      </c>
      <c r="G36" s="6" t="s">
        <v>2860</v>
      </c>
      <c r="H36" s="6" t="s">
        <v>44</v>
      </c>
    </row>
    <row r="37" spans="1:8" x14ac:dyDescent="0.3">
      <c r="A37" s="6" t="s">
        <v>2858</v>
      </c>
      <c r="B37" s="6" t="s">
        <v>2898</v>
      </c>
      <c r="C37" s="6" t="s">
        <v>2861</v>
      </c>
      <c r="D37" s="6">
        <v>2</v>
      </c>
      <c r="E37" s="6">
        <v>32198288</v>
      </c>
      <c r="F37" s="6" t="s">
        <v>2901</v>
      </c>
      <c r="G37" s="6" t="s">
        <v>2860</v>
      </c>
      <c r="H37" s="6" t="s">
        <v>41</v>
      </c>
    </row>
    <row r="38" spans="1:8" x14ac:dyDescent="0.3">
      <c r="A38" s="6" t="s">
        <v>2858</v>
      </c>
      <c r="B38" s="6" t="s">
        <v>2898</v>
      </c>
      <c r="C38" s="6" t="s">
        <v>2861</v>
      </c>
      <c r="D38" s="6">
        <v>2</v>
      </c>
      <c r="E38" s="6">
        <v>32046313</v>
      </c>
      <c r="F38" s="6" t="s">
        <v>2902</v>
      </c>
      <c r="G38" s="6" t="s">
        <v>2860</v>
      </c>
      <c r="H38" s="6" t="s">
        <v>62</v>
      </c>
    </row>
    <row r="39" spans="1:8" x14ac:dyDescent="0.3">
      <c r="A39" s="6" t="s">
        <v>2858</v>
      </c>
      <c r="B39" s="6" t="s">
        <v>2898</v>
      </c>
      <c r="C39" s="6" t="s">
        <v>2861</v>
      </c>
      <c r="D39" s="6">
        <v>2</v>
      </c>
      <c r="E39" s="6">
        <v>32046293</v>
      </c>
      <c r="F39" s="6" t="s">
        <v>2903</v>
      </c>
      <c r="G39" s="6" t="s">
        <v>2860</v>
      </c>
      <c r="H39" s="6" t="s">
        <v>38</v>
      </c>
    </row>
    <row r="40" spans="1:8" x14ac:dyDescent="0.3">
      <c r="A40" s="6" t="s">
        <v>2858</v>
      </c>
      <c r="B40" s="6" t="s">
        <v>2898</v>
      </c>
      <c r="C40" s="6" t="s">
        <v>2861</v>
      </c>
      <c r="D40" s="6">
        <v>2</v>
      </c>
      <c r="E40" s="6">
        <v>32060923</v>
      </c>
      <c r="F40" s="6" t="s">
        <v>2904</v>
      </c>
      <c r="G40" s="6" t="s">
        <v>2860</v>
      </c>
      <c r="H40" s="6" t="s">
        <v>35</v>
      </c>
    </row>
    <row r="41" spans="1:8" x14ac:dyDescent="0.3">
      <c r="A41" s="6" t="s">
        <v>2858</v>
      </c>
      <c r="B41" s="6" t="s">
        <v>2898</v>
      </c>
      <c r="C41" s="6" t="s">
        <v>2861</v>
      </c>
      <c r="D41" s="6">
        <v>2</v>
      </c>
      <c r="E41" s="6">
        <v>32146001</v>
      </c>
      <c r="F41" s="6" t="s">
        <v>2905</v>
      </c>
      <c r="G41" s="6" t="s">
        <v>2344</v>
      </c>
      <c r="H41" s="6" t="s">
        <v>2882</v>
      </c>
    </row>
    <row r="42" spans="1:8" x14ac:dyDescent="0.3">
      <c r="A42" s="6" t="s">
        <v>2858</v>
      </c>
      <c r="B42" s="6" t="s">
        <v>2906</v>
      </c>
      <c r="C42" s="6" t="s">
        <v>2861</v>
      </c>
      <c r="D42" s="6">
        <v>9</v>
      </c>
      <c r="E42" s="6">
        <v>32150523</v>
      </c>
      <c r="F42" s="6" t="s">
        <v>2907</v>
      </c>
      <c r="G42" s="6" t="s">
        <v>2860</v>
      </c>
      <c r="H42" s="6" t="s">
        <v>38</v>
      </c>
    </row>
    <row r="43" spans="1:8" x14ac:dyDescent="0.3">
      <c r="A43" s="6" t="s">
        <v>2858</v>
      </c>
      <c r="B43" s="6" t="s">
        <v>2906</v>
      </c>
      <c r="C43" s="6" t="s">
        <v>2861</v>
      </c>
      <c r="D43" s="6">
        <v>9</v>
      </c>
      <c r="E43" s="6">
        <v>32180198</v>
      </c>
      <c r="F43" s="6" t="s">
        <v>2908</v>
      </c>
      <c r="G43" s="6" t="s">
        <v>2860</v>
      </c>
      <c r="H43" s="6" t="s">
        <v>38</v>
      </c>
    </row>
    <row r="44" spans="1:8" x14ac:dyDescent="0.3">
      <c r="A44" s="6" t="s">
        <v>2858</v>
      </c>
      <c r="B44" s="6" t="s">
        <v>2906</v>
      </c>
      <c r="C44" s="6" t="s">
        <v>2861</v>
      </c>
      <c r="D44" s="6">
        <v>9</v>
      </c>
      <c r="E44" s="6">
        <v>32046535</v>
      </c>
      <c r="F44" s="6" t="s">
        <v>2909</v>
      </c>
      <c r="G44" s="6" t="s">
        <v>2860</v>
      </c>
      <c r="H44" s="6" t="s">
        <v>38</v>
      </c>
    </row>
    <row r="45" spans="1:8" x14ac:dyDescent="0.3">
      <c r="A45" s="6" t="s">
        <v>2858</v>
      </c>
      <c r="B45" s="6" t="s">
        <v>2906</v>
      </c>
      <c r="C45" s="6" t="s">
        <v>2861</v>
      </c>
      <c r="D45" s="6">
        <v>9</v>
      </c>
      <c r="E45" s="6">
        <v>32046500</v>
      </c>
      <c r="F45" s="6" t="s">
        <v>947</v>
      </c>
      <c r="G45" s="6" t="s">
        <v>2860</v>
      </c>
      <c r="H45" s="6" t="s">
        <v>62</v>
      </c>
    </row>
    <row r="46" spans="1:8" x14ac:dyDescent="0.3">
      <c r="A46" s="6" t="s">
        <v>2858</v>
      </c>
      <c r="B46" s="6" t="s">
        <v>2906</v>
      </c>
      <c r="C46" s="6" t="s">
        <v>2861</v>
      </c>
      <c r="D46" s="6">
        <v>9</v>
      </c>
      <c r="E46" s="6">
        <v>32044101</v>
      </c>
      <c r="F46" s="6" t="s">
        <v>2910</v>
      </c>
      <c r="G46" s="6" t="s">
        <v>2860</v>
      </c>
      <c r="H46" s="6" t="s">
        <v>35</v>
      </c>
    </row>
    <row r="47" spans="1:8" x14ac:dyDescent="0.3">
      <c r="A47" s="6" t="s">
        <v>2858</v>
      </c>
      <c r="B47" s="6" t="s">
        <v>2906</v>
      </c>
      <c r="C47" s="6" t="s">
        <v>2861</v>
      </c>
      <c r="D47" s="6">
        <v>9</v>
      </c>
      <c r="E47" s="6">
        <v>32046201</v>
      </c>
      <c r="F47" s="6" t="s">
        <v>2911</v>
      </c>
      <c r="G47" s="6" t="s">
        <v>2860</v>
      </c>
      <c r="H47" s="6" t="s">
        <v>1584</v>
      </c>
    </row>
    <row r="48" spans="1:8" x14ac:dyDescent="0.3">
      <c r="A48" s="6" t="s">
        <v>2858</v>
      </c>
      <c r="B48" s="6" t="s">
        <v>2906</v>
      </c>
      <c r="C48" s="6" t="s">
        <v>2861</v>
      </c>
      <c r="D48" s="6">
        <v>9</v>
      </c>
      <c r="E48" s="6">
        <v>32045013</v>
      </c>
      <c r="F48" s="6" t="s">
        <v>945</v>
      </c>
      <c r="G48" s="6" t="s">
        <v>2860</v>
      </c>
      <c r="H48" s="6" t="s">
        <v>38</v>
      </c>
    </row>
    <row r="49" spans="1:8" x14ac:dyDescent="0.3">
      <c r="A49" s="6" t="s">
        <v>2858</v>
      </c>
      <c r="B49" s="6" t="s">
        <v>2906</v>
      </c>
      <c r="C49" s="6" t="s">
        <v>2861</v>
      </c>
      <c r="D49" s="6">
        <v>9</v>
      </c>
      <c r="E49" s="6">
        <v>32143308</v>
      </c>
      <c r="F49" s="6" t="s">
        <v>959</v>
      </c>
      <c r="G49" s="6" t="s">
        <v>2860</v>
      </c>
      <c r="H49" s="6" t="s">
        <v>41</v>
      </c>
    </row>
    <row r="50" spans="1:8" x14ac:dyDescent="0.3">
      <c r="A50" s="6" t="s">
        <v>2858</v>
      </c>
      <c r="B50" s="6" t="s">
        <v>2906</v>
      </c>
      <c r="C50" s="6" t="s">
        <v>2861</v>
      </c>
      <c r="D50" s="6">
        <v>9</v>
      </c>
      <c r="E50" s="6">
        <v>32044601</v>
      </c>
      <c r="F50" s="6" t="s">
        <v>2912</v>
      </c>
      <c r="G50" s="6" t="s">
        <v>2860</v>
      </c>
      <c r="H50" s="6" t="s">
        <v>35</v>
      </c>
    </row>
    <row r="51" spans="1:8" x14ac:dyDescent="0.3">
      <c r="A51" s="6" t="s">
        <v>2858</v>
      </c>
      <c r="B51" s="6" t="s">
        <v>2906</v>
      </c>
      <c r="C51" s="6" t="s">
        <v>2861</v>
      </c>
      <c r="D51" s="6">
        <v>9</v>
      </c>
      <c r="E51" s="6">
        <v>32044746</v>
      </c>
      <c r="F51" s="6" t="s">
        <v>2913</v>
      </c>
      <c r="G51" s="6" t="s">
        <v>2860</v>
      </c>
      <c r="H51" s="6" t="s">
        <v>47</v>
      </c>
    </row>
    <row r="52" spans="1:8" x14ac:dyDescent="0.3">
      <c r="A52" s="6" t="s">
        <v>2858</v>
      </c>
      <c r="B52" s="6" t="s">
        <v>2906</v>
      </c>
      <c r="C52" s="6" t="s">
        <v>2861</v>
      </c>
      <c r="D52" s="6">
        <v>9</v>
      </c>
      <c r="E52" s="6">
        <v>32202287</v>
      </c>
      <c r="F52" s="6" t="s">
        <v>2914</v>
      </c>
      <c r="G52" s="6" t="s">
        <v>2860</v>
      </c>
      <c r="H52" s="6" t="s">
        <v>44</v>
      </c>
    </row>
    <row r="53" spans="1:8" x14ac:dyDescent="0.3">
      <c r="A53" s="6" t="s">
        <v>2858</v>
      </c>
      <c r="B53" s="6" t="s">
        <v>2906</v>
      </c>
      <c r="C53" s="6" t="s">
        <v>2861</v>
      </c>
      <c r="D53" s="6">
        <v>9</v>
      </c>
      <c r="E53" s="6">
        <v>32143306</v>
      </c>
      <c r="F53" s="6" t="s">
        <v>2915</v>
      </c>
      <c r="G53" s="6" t="s">
        <v>2860</v>
      </c>
      <c r="H53" s="6" t="s">
        <v>1584</v>
      </c>
    </row>
    <row r="54" spans="1:8" x14ac:dyDescent="0.3">
      <c r="A54" s="6" t="s">
        <v>2858</v>
      </c>
      <c r="B54" s="6" t="s">
        <v>2906</v>
      </c>
      <c r="C54" s="6" t="s">
        <v>2861</v>
      </c>
      <c r="D54" s="6">
        <v>9</v>
      </c>
      <c r="E54" s="6">
        <v>32143605</v>
      </c>
      <c r="F54" s="6" t="s">
        <v>2916</v>
      </c>
      <c r="G54" s="6" t="s">
        <v>2860</v>
      </c>
      <c r="H54" s="6" t="s">
        <v>41</v>
      </c>
    </row>
    <row r="55" spans="1:8" x14ac:dyDescent="0.3">
      <c r="A55" s="6" t="s">
        <v>2858</v>
      </c>
      <c r="B55" s="6" t="s">
        <v>2906</v>
      </c>
      <c r="C55" s="6" t="s">
        <v>2861</v>
      </c>
      <c r="D55" s="6">
        <v>9</v>
      </c>
      <c r="E55" s="6">
        <v>32136494</v>
      </c>
      <c r="F55" s="6" t="s">
        <v>2917</v>
      </c>
      <c r="G55" s="6" t="s">
        <v>2860</v>
      </c>
      <c r="H55" s="6" t="s">
        <v>47</v>
      </c>
    </row>
    <row r="56" spans="1:8" x14ac:dyDescent="0.3">
      <c r="A56" s="6" t="s">
        <v>2858</v>
      </c>
      <c r="B56" s="6" t="s">
        <v>2906</v>
      </c>
      <c r="C56" s="6" t="s">
        <v>2861</v>
      </c>
      <c r="D56" s="6">
        <v>9</v>
      </c>
      <c r="E56" s="6">
        <v>32044964</v>
      </c>
      <c r="F56" s="6" t="s">
        <v>2918</v>
      </c>
      <c r="G56" s="6" t="s">
        <v>2860</v>
      </c>
      <c r="H56" s="6" t="s">
        <v>1584</v>
      </c>
    </row>
    <row r="57" spans="1:8" x14ac:dyDescent="0.3">
      <c r="A57" s="6" t="s">
        <v>2858</v>
      </c>
      <c r="B57" s="6" t="s">
        <v>2906</v>
      </c>
      <c r="C57" s="6" t="s">
        <v>2861</v>
      </c>
      <c r="D57" s="6">
        <v>9</v>
      </c>
      <c r="E57" s="6">
        <v>32197857</v>
      </c>
      <c r="F57" s="6" t="s">
        <v>964</v>
      </c>
      <c r="G57" s="6" t="s">
        <v>2860</v>
      </c>
      <c r="H57" s="6" t="s">
        <v>62</v>
      </c>
    </row>
    <row r="58" spans="1:8" x14ac:dyDescent="0.3">
      <c r="A58" s="6" t="s">
        <v>2858</v>
      </c>
      <c r="B58" s="6" t="s">
        <v>2906</v>
      </c>
      <c r="C58" s="6" t="s">
        <v>2861</v>
      </c>
      <c r="D58" s="6">
        <v>9</v>
      </c>
      <c r="E58" s="6">
        <v>32148202</v>
      </c>
      <c r="F58" s="6" t="s">
        <v>2919</v>
      </c>
      <c r="G58" s="6" t="s">
        <v>2344</v>
      </c>
      <c r="H58" s="6" t="s">
        <v>2882</v>
      </c>
    </row>
    <row r="59" spans="1:8" x14ac:dyDescent="0.3">
      <c r="A59" s="6" t="s">
        <v>2858</v>
      </c>
      <c r="B59" s="6" t="s">
        <v>2055</v>
      </c>
      <c r="C59" s="6" t="s">
        <v>2862</v>
      </c>
      <c r="D59" s="6" t="s">
        <v>2060</v>
      </c>
      <c r="E59" s="6">
        <v>32045558</v>
      </c>
      <c r="F59" s="6" t="s">
        <v>2061</v>
      </c>
      <c r="G59" s="6" t="s">
        <v>2860</v>
      </c>
      <c r="H59" s="6" t="s">
        <v>44</v>
      </c>
    </row>
    <row r="60" spans="1:8" x14ac:dyDescent="0.3">
      <c r="A60" s="6" t="s">
        <v>2858</v>
      </c>
      <c r="B60" s="6" t="s">
        <v>2055</v>
      </c>
      <c r="C60" s="6" t="s">
        <v>2862</v>
      </c>
      <c r="D60" s="6" t="s">
        <v>2076</v>
      </c>
      <c r="E60" s="6">
        <v>32224379</v>
      </c>
      <c r="F60" s="6" t="s">
        <v>2077</v>
      </c>
      <c r="G60" s="6" t="s">
        <v>2860</v>
      </c>
      <c r="H60" s="6" t="s">
        <v>62</v>
      </c>
    </row>
    <row r="61" spans="1:8" x14ac:dyDescent="0.3">
      <c r="A61" s="6" t="s">
        <v>2858</v>
      </c>
      <c r="B61" s="6" t="s">
        <v>2055</v>
      </c>
      <c r="C61" s="6" t="s">
        <v>2862</v>
      </c>
      <c r="D61" s="6" t="s">
        <v>2063</v>
      </c>
      <c r="E61" s="6">
        <v>32043847</v>
      </c>
      <c r="F61" s="6" t="s">
        <v>2064</v>
      </c>
      <c r="G61" s="6" t="s">
        <v>2860</v>
      </c>
      <c r="H61" s="6" t="s">
        <v>38</v>
      </c>
    </row>
    <row r="62" spans="1:8" x14ac:dyDescent="0.3">
      <c r="A62" s="6" t="s">
        <v>2858</v>
      </c>
      <c r="B62" s="6" t="s">
        <v>2055</v>
      </c>
      <c r="C62" s="6" t="s">
        <v>2862</v>
      </c>
      <c r="D62" s="6" t="s">
        <v>2066</v>
      </c>
      <c r="E62" s="6">
        <v>32044410</v>
      </c>
      <c r="F62" s="6" t="s">
        <v>2067</v>
      </c>
      <c r="G62" s="6" t="s">
        <v>2860</v>
      </c>
      <c r="H62" s="6" t="s">
        <v>35</v>
      </c>
    </row>
    <row r="63" spans="1:8" x14ac:dyDescent="0.3">
      <c r="A63" s="6" t="s">
        <v>2858</v>
      </c>
      <c r="B63" s="6" t="s">
        <v>2055</v>
      </c>
      <c r="C63" s="6" t="s">
        <v>2862</v>
      </c>
      <c r="D63" s="6" t="s">
        <v>2054</v>
      </c>
      <c r="E63" s="6">
        <v>32045871</v>
      </c>
      <c r="F63" s="6" t="s">
        <v>2121</v>
      </c>
      <c r="G63" s="6" t="s">
        <v>2860</v>
      </c>
      <c r="H63" s="6" t="s">
        <v>47</v>
      </c>
    </row>
    <row r="64" spans="1:8" x14ac:dyDescent="0.3">
      <c r="A64" s="6" t="s">
        <v>2858</v>
      </c>
      <c r="B64" s="6" t="s">
        <v>2055</v>
      </c>
      <c r="C64" s="6" t="s">
        <v>2862</v>
      </c>
      <c r="D64" s="6" t="s">
        <v>2060</v>
      </c>
      <c r="E64" s="6">
        <v>32043908</v>
      </c>
      <c r="F64" s="6" t="s">
        <v>2123</v>
      </c>
      <c r="G64" s="6" t="s">
        <v>2860</v>
      </c>
      <c r="H64" s="6" t="s">
        <v>41</v>
      </c>
    </row>
    <row r="65" spans="1:8" x14ac:dyDescent="0.3">
      <c r="A65" s="6" t="s">
        <v>2858</v>
      </c>
      <c r="B65" s="6" t="s">
        <v>2055</v>
      </c>
      <c r="C65" s="6" t="s">
        <v>2862</v>
      </c>
      <c r="D65" s="6" t="s">
        <v>2882</v>
      </c>
      <c r="E65" s="6">
        <v>32231914</v>
      </c>
      <c r="F65" s="6" t="s">
        <v>2056</v>
      </c>
      <c r="G65" s="6" t="s">
        <v>2344</v>
      </c>
      <c r="H65" s="6" t="s">
        <v>2882</v>
      </c>
    </row>
    <row r="66" spans="1:8" x14ac:dyDescent="0.3">
      <c r="A66" s="6" t="s">
        <v>2858</v>
      </c>
      <c r="B66" s="6" t="s">
        <v>2920</v>
      </c>
      <c r="C66" s="6" t="s">
        <v>2861</v>
      </c>
      <c r="D66" s="6">
        <v>6</v>
      </c>
      <c r="E66" s="6">
        <v>32046005</v>
      </c>
      <c r="F66" s="6" t="s">
        <v>558</v>
      </c>
      <c r="G66" s="6" t="s">
        <v>2344</v>
      </c>
      <c r="H66" s="6" t="s">
        <v>2882</v>
      </c>
    </row>
    <row r="67" spans="1:8" x14ac:dyDescent="0.3">
      <c r="A67" s="6" t="s">
        <v>2858</v>
      </c>
      <c r="B67" s="6" t="s">
        <v>2920</v>
      </c>
      <c r="C67" s="6" t="s">
        <v>2861</v>
      </c>
      <c r="D67" s="6">
        <v>6</v>
      </c>
      <c r="E67" s="6">
        <v>32139711</v>
      </c>
      <c r="F67" s="6" t="s">
        <v>2921</v>
      </c>
      <c r="G67" s="6" t="s">
        <v>2860</v>
      </c>
      <c r="H67" s="6" t="s">
        <v>62</v>
      </c>
    </row>
    <row r="68" spans="1:8" x14ac:dyDescent="0.3">
      <c r="A68" s="6" t="s">
        <v>2858</v>
      </c>
      <c r="B68" s="6" t="s">
        <v>2920</v>
      </c>
      <c r="C68" s="6" t="s">
        <v>2861</v>
      </c>
      <c r="D68" s="6">
        <v>6</v>
      </c>
      <c r="E68" s="6">
        <v>32148626</v>
      </c>
      <c r="F68" s="6" t="s">
        <v>2922</v>
      </c>
      <c r="G68" s="6" t="s">
        <v>2860</v>
      </c>
      <c r="H68" s="6" t="s">
        <v>1584</v>
      </c>
    </row>
    <row r="69" spans="1:8" x14ac:dyDescent="0.3">
      <c r="A69" s="6" t="s">
        <v>2858</v>
      </c>
      <c r="B69" s="6" t="s">
        <v>2920</v>
      </c>
      <c r="C69" s="6" t="s">
        <v>2861</v>
      </c>
      <c r="D69" s="6">
        <v>6</v>
      </c>
      <c r="E69" s="6">
        <v>32046220</v>
      </c>
      <c r="F69" s="6" t="s">
        <v>2923</v>
      </c>
      <c r="G69" s="6" t="s">
        <v>2860</v>
      </c>
      <c r="H69" s="6" t="s">
        <v>47</v>
      </c>
    </row>
    <row r="70" spans="1:8" x14ac:dyDescent="0.3">
      <c r="A70" s="6" t="s">
        <v>2858</v>
      </c>
      <c r="B70" s="6" t="s">
        <v>2920</v>
      </c>
      <c r="C70" s="6" t="s">
        <v>2861</v>
      </c>
      <c r="D70" s="6">
        <v>6</v>
      </c>
      <c r="E70" s="6">
        <v>32046642</v>
      </c>
      <c r="F70" s="6" t="s">
        <v>2924</v>
      </c>
      <c r="G70" s="6" t="s">
        <v>2860</v>
      </c>
      <c r="H70" s="6" t="s">
        <v>1584</v>
      </c>
    </row>
    <row r="71" spans="1:8" x14ac:dyDescent="0.3">
      <c r="A71" s="6" t="s">
        <v>2858</v>
      </c>
      <c r="B71" s="6" t="s">
        <v>2920</v>
      </c>
      <c r="C71" s="6" t="s">
        <v>2861</v>
      </c>
      <c r="D71" s="6">
        <v>6</v>
      </c>
      <c r="E71" s="6">
        <v>32171440</v>
      </c>
      <c r="F71" s="6" t="s">
        <v>2925</v>
      </c>
      <c r="G71" s="6" t="s">
        <v>2860</v>
      </c>
      <c r="H71" s="6" t="s">
        <v>47</v>
      </c>
    </row>
    <row r="72" spans="1:8" x14ac:dyDescent="0.3">
      <c r="A72" s="6" t="s">
        <v>2858</v>
      </c>
      <c r="B72" s="6" t="s">
        <v>2920</v>
      </c>
      <c r="C72" s="6" t="s">
        <v>2861</v>
      </c>
      <c r="D72" s="6">
        <v>6</v>
      </c>
      <c r="E72" s="6">
        <v>32101568</v>
      </c>
      <c r="F72" s="6" t="s">
        <v>759</v>
      </c>
      <c r="G72" s="6" t="s">
        <v>2860</v>
      </c>
      <c r="H72" s="6" t="s">
        <v>44</v>
      </c>
    </row>
    <row r="73" spans="1:8" x14ac:dyDescent="0.3">
      <c r="A73" s="6" t="s">
        <v>2858</v>
      </c>
      <c r="B73" s="6" t="s">
        <v>2920</v>
      </c>
      <c r="C73" s="6" t="s">
        <v>2861</v>
      </c>
      <c r="D73" s="6">
        <v>6</v>
      </c>
      <c r="E73" s="6">
        <v>32142945</v>
      </c>
      <c r="F73" s="6" t="s">
        <v>2926</v>
      </c>
      <c r="G73" s="6" t="s">
        <v>2860</v>
      </c>
      <c r="H73" s="6" t="s">
        <v>38</v>
      </c>
    </row>
    <row r="74" spans="1:8" x14ac:dyDescent="0.3">
      <c r="A74" s="6" t="s">
        <v>2858</v>
      </c>
      <c r="B74" s="6" t="s">
        <v>2920</v>
      </c>
      <c r="C74" s="6" t="s">
        <v>2861</v>
      </c>
      <c r="D74" s="6">
        <v>6</v>
      </c>
      <c r="E74" s="6">
        <v>32070296</v>
      </c>
      <c r="F74" s="6" t="s">
        <v>2927</v>
      </c>
      <c r="G74" s="6" t="s">
        <v>2860</v>
      </c>
      <c r="H74" s="6" t="s">
        <v>44</v>
      </c>
    </row>
    <row r="75" spans="1:8" x14ac:dyDescent="0.3">
      <c r="A75" s="6" t="s">
        <v>2858</v>
      </c>
      <c r="B75" s="6" t="s">
        <v>2920</v>
      </c>
      <c r="C75" s="6" t="s">
        <v>2861</v>
      </c>
      <c r="D75" s="6">
        <v>6</v>
      </c>
      <c r="E75" s="6">
        <v>32143042</v>
      </c>
      <c r="F75" s="6" t="s">
        <v>2928</v>
      </c>
      <c r="G75" s="6" t="s">
        <v>2860</v>
      </c>
      <c r="H75" s="6" t="s">
        <v>62</v>
      </c>
    </row>
    <row r="76" spans="1:8" x14ac:dyDescent="0.3">
      <c r="A76" s="6" t="s">
        <v>2858</v>
      </c>
      <c r="B76" s="6" t="s">
        <v>2920</v>
      </c>
      <c r="C76" s="6" t="s">
        <v>2861</v>
      </c>
      <c r="D76" s="6">
        <v>6</v>
      </c>
      <c r="E76" s="6">
        <v>32131838</v>
      </c>
      <c r="F76" s="6" t="s">
        <v>2929</v>
      </c>
      <c r="G76" s="6" t="s">
        <v>2860</v>
      </c>
      <c r="H76" s="6" t="s">
        <v>47</v>
      </c>
    </row>
    <row r="77" spans="1:8" x14ac:dyDescent="0.3">
      <c r="A77" s="6" t="s">
        <v>2858</v>
      </c>
      <c r="B77" s="6" t="s">
        <v>2920</v>
      </c>
      <c r="C77" s="6" t="s">
        <v>2861</v>
      </c>
      <c r="D77" s="6">
        <v>6</v>
      </c>
      <c r="E77" s="6">
        <v>32132230</v>
      </c>
      <c r="F77" s="6" t="s">
        <v>2930</v>
      </c>
      <c r="G77" s="6" t="s">
        <v>2860</v>
      </c>
      <c r="H77" s="6" t="s">
        <v>38</v>
      </c>
    </row>
    <row r="78" spans="1:8" x14ac:dyDescent="0.3">
      <c r="A78" s="6" t="s">
        <v>2858</v>
      </c>
      <c r="B78" s="6" t="s">
        <v>2920</v>
      </c>
      <c r="C78" s="6" t="s">
        <v>2861</v>
      </c>
      <c r="D78" s="6">
        <v>6</v>
      </c>
      <c r="E78" s="6">
        <v>32045775</v>
      </c>
      <c r="F78" s="6" t="s">
        <v>2931</v>
      </c>
      <c r="G78" s="6" t="s">
        <v>2860</v>
      </c>
      <c r="H78" s="6" t="s">
        <v>41</v>
      </c>
    </row>
    <row r="79" spans="1:8" x14ac:dyDescent="0.3">
      <c r="A79" s="6" t="s">
        <v>2858</v>
      </c>
      <c r="B79" s="6" t="s">
        <v>2920</v>
      </c>
      <c r="C79" s="6" t="s">
        <v>2861</v>
      </c>
      <c r="D79" s="6">
        <v>6</v>
      </c>
      <c r="E79" s="6">
        <v>32045310</v>
      </c>
      <c r="F79" s="6" t="s">
        <v>2932</v>
      </c>
      <c r="G79" s="6" t="s">
        <v>2860</v>
      </c>
      <c r="H79" s="6" t="s">
        <v>38</v>
      </c>
    </row>
    <row r="80" spans="1:8" x14ac:dyDescent="0.3">
      <c r="A80" s="6" t="s">
        <v>2858</v>
      </c>
      <c r="B80" s="6" t="s">
        <v>212</v>
      </c>
      <c r="C80" s="6" t="s">
        <v>2863</v>
      </c>
      <c r="D80" s="6" t="s">
        <v>211</v>
      </c>
      <c r="E80" s="6">
        <v>32046065</v>
      </c>
      <c r="F80" s="6" t="s">
        <v>245</v>
      </c>
      <c r="G80" s="6" t="s">
        <v>2860</v>
      </c>
      <c r="H80" s="6" t="s">
        <v>47</v>
      </c>
    </row>
    <row r="81" spans="1:8" x14ac:dyDescent="0.3">
      <c r="A81" s="6" t="s">
        <v>2858</v>
      </c>
      <c r="B81" s="6" t="s">
        <v>212</v>
      </c>
      <c r="C81" s="6" t="s">
        <v>2863</v>
      </c>
      <c r="D81" s="6" t="s">
        <v>211</v>
      </c>
      <c r="E81" s="6">
        <v>32153661</v>
      </c>
      <c r="F81" s="6" t="s">
        <v>229</v>
      </c>
      <c r="G81" s="6" t="s">
        <v>2860</v>
      </c>
      <c r="H81" s="6" t="s">
        <v>62</v>
      </c>
    </row>
    <row r="82" spans="1:8" x14ac:dyDescent="0.3">
      <c r="A82" s="6" t="s">
        <v>2858</v>
      </c>
      <c r="B82" s="6" t="s">
        <v>212</v>
      </c>
      <c r="C82" s="6" t="s">
        <v>2863</v>
      </c>
      <c r="D82" s="6" t="s">
        <v>211</v>
      </c>
      <c r="E82" s="6">
        <v>32057596</v>
      </c>
      <c r="F82" s="6" t="s">
        <v>258</v>
      </c>
      <c r="G82" s="6" t="s">
        <v>2860</v>
      </c>
      <c r="H82" s="6" t="s">
        <v>41</v>
      </c>
    </row>
    <row r="83" spans="1:8" x14ac:dyDescent="0.3">
      <c r="A83" s="6" t="s">
        <v>2858</v>
      </c>
      <c r="B83" s="6" t="s">
        <v>212</v>
      </c>
      <c r="C83" s="6" t="s">
        <v>2863</v>
      </c>
      <c r="D83" s="6" t="s">
        <v>211</v>
      </c>
      <c r="E83" s="6">
        <v>32046549</v>
      </c>
      <c r="F83" s="6" t="s">
        <v>221</v>
      </c>
      <c r="G83" s="6" t="s">
        <v>2860</v>
      </c>
      <c r="H83" s="6" t="s">
        <v>38</v>
      </c>
    </row>
    <row r="84" spans="1:8" x14ac:dyDescent="0.3">
      <c r="A84" s="6" t="s">
        <v>2858</v>
      </c>
      <c r="B84" s="6" t="s">
        <v>212</v>
      </c>
      <c r="C84" s="6" t="s">
        <v>2863</v>
      </c>
      <c r="D84" s="6" t="s">
        <v>211</v>
      </c>
      <c r="E84" s="6">
        <v>32044377</v>
      </c>
      <c r="F84" s="6" t="s">
        <v>218</v>
      </c>
      <c r="G84" s="6" t="s">
        <v>2860</v>
      </c>
      <c r="H84" s="6" t="s">
        <v>2933</v>
      </c>
    </row>
    <row r="85" spans="1:8" x14ac:dyDescent="0.3">
      <c r="A85" s="6" t="s">
        <v>2858</v>
      </c>
      <c r="B85" s="6" t="s">
        <v>212</v>
      </c>
      <c r="C85" s="6" t="s">
        <v>2863</v>
      </c>
      <c r="D85" s="6" t="s">
        <v>211</v>
      </c>
      <c r="E85" s="6">
        <v>32045500</v>
      </c>
      <c r="F85" s="6" t="s">
        <v>261</v>
      </c>
      <c r="G85" s="6" t="s">
        <v>2860</v>
      </c>
      <c r="H85" s="6" t="s">
        <v>44</v>
      </c>
    </row>
    <row r="86" spans="1:8" x14ac:dyDescent="0.3">
      <c r="A86" s="6" t="s">
        <v>2858</v>
      </c>
      <c r="B86" s="6" t="s">
        <v>212</v>
      </c>
      <c r="C86" s="6" t="s">
        <v>2863</v>
      </c>
      <c r="D86" s="6" t="s">
        <v>211</v>
      </c>
      <c r="E86" s="6">
        <v>32044927</v>
      </c>
      <c r="F86" s="6" t="s">
        <v>247</v>
      </c>
      <c r="G86" s="6" t="s">
        <v>2860</v>
      </c>
      <c r="H86" s="6" t="s">
        <v>47</v>
      </c>
    </row>
    <row r="87" spans="1:8" x14ac:dyDescent="0.3">
      <c r="A87" s="6" t="s">
        <v>2858</v>
      </c>
      <c r="B87" s="6" t="s">
        <v>212</v>
      </c>
      <c r="C87" s="6" t="s">
        <v>2863</v>
      </c>
      <c r="D87" s="6" t="s">
        <v>211</v>
      </c>
      <c r="E87" s="6">
        <v>32044511</v>
      </c>
      <c r="F87" s="6" t="s">
        <v>254</v>
      </c>
      <c r="G87" s="6" t="s">
        <v>2860</v>
      </c>
      <c r="H87" s="6" t="s">
        <v>35</v>
      </c>
    </row>
    <row r="88" spans="1:8" x14ac:dyDescent="0.3">
      <c r="A88" s="6" t="s">
        <v>2858</v>
      </c>
      <c r="B88" s="6" t="s">
        <v>212</v>
      </c>
      <c r="C88" s="6" t="s">
        <v>2863</v>
      </c>
      <c r="D88" s="6" t="s">
        <v>211</v>
      </c>
      <c r="E88" s="6">
        <v>32044547</v>
      </c>
      <c r="F88" s="6" t="s">
        <v>232</v>
      </c>
      <c r="G88" s="6" t="s">
        <v>2860</v>
      </c>
      <c r="H88" s="6" t="s">
        <v>1584</v>
      </c>
    </row>
    <row r="89" spans="1:8" x14ac:dyDescent="0.3">
      <c r="A89" s="6" t="s">
        <v>2858</v>
      </c>
      <c r="B89" s="6" t="s">
        <v>212</v>
      </c>
      <c r="C89" s="6" t="s">
        <v>2863</v>
      </c>
      <c r="D89" s="6" t="s">
        <v>211</v>
      </c>
      <c r="E89" s="6">
        <v>32044975</v>
      </c>
      <c r="F89" s="6" t="s">
        <v>235</v>
      </c>
      <c r="G89" s="6" t="s">
        <v>2860</v>
      </c>
      <c r="H89" s="6" t="s">
        <v>35</v>
      </c>
    </row>
    <row r="90" spans="1:8" x14ac:dyDescent="0.3">
      <c r="A90" s="6" t="s">
        <v>2858</v>
      </c>
      <c r="B90" s="6" t="s">
        <v>212</v>
      </c>
      <c r="C90" s="6" t="s">
        <v>2863</v>
      </c>
      <c r="D90" s="6" t="s">
        <v>211</v>
      </c>
      <c r="E90" s="6">
        <v>32061082</v>
      </c>
      <c r="F90" s="6" t="s">
        <v>240</v>
      </c>
      <c r="G90" s="6" t="s">
        <v>2860</v>
      </c>
      <c r="H90" s="6" t="s">
        <v>41</v>
      </c>
    </row>
    <row r="91" spans="1:8" x14ac:dyDescent="0.3">
      <c r="A91" s="6" t="s">
        <v>2858</v>
      </c>
      <c r="B91" s="6" t="s">
        <v>212</v>
      </c>
      <c r="C91" s="6" t="s">
        <v>2863</v>
      </c>
      <c r="D91" s="6" t="s">
        <v>211</v>
      </c>
      <c r="E91" s="6">
        <v>32111147</v>
      </c>
      <c r="F91" s="6" t="s">
        <v>242</v>
      </c>
      <c r="G91" s="6" t="s">
        <v>2860</v>
      </c>
      <c r="H91" s="6" t="s">
        <v>44</v>
      </c>
    </row>
    <row r="92" spans="1:8" x14ac:dyDescent="0.3">
      <c r="A92" s="6" t="s">
        <v>2858</v>
      </c>
      <c r="B92" s="6" t="s">
        <v>212</v>
      </c>
      <c r="C92" s="6" t="s">
        <v>2863</v>
      </c>
      <c r="D92" s="6" t="s">
        <v>211</v>
      </c>
      <c r="E92" s="6">
        <v>32096526</v>
      </c>
      <c r="F92" s="6" t="s">
        <v>215</v>
      </c>
      <c r="G92" s="6" t="s">
        <v>2860</v>
      </c>
      <c r="H92" s="6" t="s">
        <v>38</v>
      </c>
    </row>
    <row r="93" spans="1:8" x14ac:dyDescent="0.3">
      <c r="A93" s="6" t="s">
        <v>2858</v>
      </c>
      <c r="B93" s="6" t="s">
        <v>212</v>
      </c>
      <c r="C93" s="6" t="s">
        <v>2863</v>
      </c>
      <c r="D93" s="6" t="s">
        <v>211</v>
      </c>
      <c r="E93" s="6">
        <v>32045475</v>
      </c>
      <c r="F93" s="6" t="s">
        <v>226</v>
      </c>
      <c r="G93" s="6" t="s">
        <v>2860</v>
      </c>
      <c r="H93" s="6" t="s">
        <v>47</v>
      </c>
    </row>
    <row r="94" spans="1:8" x14ac:dyDescent="0.3">
      <c r="A94" s="6" t="s">
        <v>2858</v>
      </c>
      <c r="B94" s="6" t="s">
        <v>212</v>
      </c>
      <c r="C94" s="6" t="s">
        <v>2863</v>
      </c>
      <c r="D94" s="6" t="s">
        <v>211</v>
      </c>
      <c r="E94" s="6">
        <v>32054061</v>
      </c>
      <c r="F94" s="6" t="s">
        <v>249</v>
      </c>
      <c r="G94" s="6" t="s">
        <v>2860</v>
      </c>
      <c r="H94" s="6" t="s">
        <v>62</v>
      </c>
    </row>
    <row r="95" spans="1:8" x14ac:dyDescent="0.3">
      <c r="A95" s="6" t="s">
        <v>2858</v>
      </c>
      <c r="B95" s="6" t="s">
        <v>212</v>
      </c>
      <c r="C95" s="6" t="s">
        <v>2863</v>
      </c>
      <c r="D95" s="6" t="s">
        <v>211</v>
      </c>
      <c r="E95" s="6">
        <v>32046418</v>
      </c>
      <c r="F95" s="6" t="s">
        <v>251</v>
      </c>
      <c r="G95" s="6" t="s">
        <v>2860</v>
      </c>
      <c r="H95" s="6" t="s">
        <v>253</v>
      </c>
    </row>
    <row r="96" spans="1:8" x14ac:dyDescent="0.3">
      <c r="A96" s="6" t="s">
        <v>2858</v>
      </c>
      <c r="B96" s="6" t="s">
        <v>212</v>
      </c>
      <c r="C96" s="6" t="s">
        <v>2863</v>
      </c>
      <c r="D96" s="6" t="s">
        <v>211</v>
      </c>
      <c r="E96" s="6">
        <v>32055155</v>
      </c>
      <c r="F96" s="6" t="s">
        <v>224</v>
      </c>
      <c r="G96" s="6" t="s">
        <v>2860</v>
      </c>
      <c r="H96" s="6" t="s">
        <v>38</v>
      </c>
    </row>
    <row r="97" spans="1:8" x14ac:dyDescent="0.3">
      <c r="A97" s="6" t="s">
        <v>2858</v>
      </c>
      <c r="B97" s="6" t="s">
        <v>212</v>
      </c>
      <c r="C97" s="6" t="s">
        <v>2863</v>
      </c>
      <c r="D97" s="6" t="s">
        <v>2882</v>
      </c>
      <c r="E97" s="6">
        <v>32162568</v>
      </c>
      <c r="F97" s="6" t="s">
        <v>213</v>
      </c>
      <c r="G97" s="6" t="s">
        <v>2344</v>
      </c>
      <c r="H97" s="6" t="s">
        <v>2882</v>
      </c>
    </row>
    <row r="98" spans="1:8" x14ac:dyDescent="0.3">
      <c r="A98" s="6" t="s">
        <v>2858</v>
      </c>
      <c r="B98" s="6" t="s">
        <v>2934</v>
      </c>
      <c r="C98" s="6" t="s">
        <v>2861</v>
      </c>
      <c r="D98" s="6">
        <v>14</v>
      </c>
      <c r="E98" s="6">
        <v>32064299</v>
      </c>
      <c r="F98" s="6" t="s">
        <v>2935</v>
      </c>
      <c r="G98" s="6" t="s">
        <v>2860</v>
      </c>
      <c r="H98" s="6" t="s">
        <v>38</v>
      </c>
    </row>
    <row r="99" spans="1:8" x14ac:dyDescent="0.3">
      <c r="A99" s="6" t="s">
        <v>2858</v>
      </c>
      <c r="B99" s="6" t="s">
        <v>2934</v>
      </c>
      <c r="C99" s="6" t="s">
        <v>2861</v>
      </c>
      <c r="D99" s="6">
        <v>14</v>
      </c>
      <c r="E99" s="6">
        <v>32045806</v>
      </c>
      <c r="F99" s="6" t="s">
        <v>2936</v>
      </c>
      <c r="G99" s="6" t="s">
        <v>2860</v>
      </c>
      <c r="H99" s="6" t="s">
        <v>44</v>
      </c>
    </row>
    <row r="100" spans="1:8" x14ac:dyDescent="0.3">
      <c r="A100" s="6" t="s">
        <v>2858</v>
      </c>
      <c r="B100" s="6" t="s">
        <v>2934</v>
      </c>
      <c r="C100" s="6" t="s">
        <v>2861</v>
      </c>
      <c r="D100" s="6">
        <v>14</v>
      </c>
      <c r="E100" s="6">
        <v>32218790</v>
      </c>
      <c r="F100" s="6" t="s">
        <v>1448</v>
      </c>
      <c r="G100" s="6" t="s">
        <v>2860</v>
      </c>
      <c r="H100" s="6" t="s">
        <v>38</v>
      </c>
    </row>
    <row r="101" spans="1:8" x14ac:dyDescent="0.3">
      <c r="A101" s="6" t="s">
        <v>2858</v>
      </c>
      <c r="B101" s="6" t="s">
        <v>2934</v>
      </c>
      <c r="C101" s="6" t="s">
        <v>2861</v>
      </c>
      <c r="D101" s="6">
        <v>14</v>
      </c>
      <c r="E101" s="6">
        <v>32044002</v>
      </c>
      <c r="F101" s="6" t="s">
        <v>2937</v>
      </c>
      <c r="G101" s="6" t="s">
        <v>2860</v>
      </c>
      <c r="H101" s="6" t="s">
        <v>62</v>
      </c>
    </row>
    <row r="102" spans="1:8" x14ac:dyDescent="0.3">
      <c r="A102" s="6" t="s">
        <v>2858</v>
      </c>
      <c r="B102" s="6" t="s">
        <v>2934</v>
      </c>
      <c r="C102" s="6" t="s">
        <v>2861</v>
      </c>
      <c r="D102" s="6">
        <v>14</v>
      </c>
      <c r="E102" s="6">
        <v>32197897</v>
      </c>
      <c r="F102" s="6" t="s">
        <v>2938</v>
      </c>
      <c r="G102" s="6" t="s">
        <v>2860</v>
      </c>
      <c r="H102" s="6" t="s">
        <v>62</v>
      </c>
    </row>
    <row r="103" spans="1:8" x14ac:dyDescent="0.3">
      <c r="A103" s="6" t="s">
        <v>2858</v>
      </c>
      <c r="B103" s="6" t="s">
        <v>2934</v>
      </c>
      <c r="C103" s="6" t="s">
        <v>2861</v>
      </c>
      <c r="D103" s="6">
        <v>14</v>
      </c>
      <c r="E103" s="6">
        <v>32132051</v>
      </c>
      <c r="F103" s="6" t="s">
        <v>2939</v>
      </c>
      <c r="G103" s="6" t="s">
        <v>2860</v>
      </c>
      <c r="H103" s="6" t="s">
        <v>47</v>
      </c>
    </row>
    <row r="104" spans="1:8" x14ac:dyDescent="0.3">
      <c r="A104" s="6" t="s">
        <v>2858</v>
      </c>
      <c r="B104" s="6" t="s">
        <v>2934</v>
      </c>
      <c r="C104" s="6" t="s">
        <v>2861</v>
      </c>
      <c r="D104" s="6">
        <v>14</v>
      </c>
      <c r="E104" s="6">
        <v>32143052</v>
      </c>
      <c r="F104" s="6" t="s">
        <v>2940</v>
      </c>
      <c r="G104" s="6" t="s">
        <v>2860</v>
      </c>
      <c r="H104" s="6" t="s">
        <v>41</v>
      </c>
    </row>
    <row r="105" spans="1:8" x14ac:dyDescent="0.3">
      <c r="A105" s="6" t="s">
        <v>2858</v>
      </c>
      <c r="B105" s="6" t="s">
        <v>2934</v>
      </c>
      <c r="C105" s="6" t="s">
        <v>2861</v>
      </c>
      <c r="D105" s="6">
        <v>14</v>
      </c>
      <c r="E105" s="6">
        <v>32044543</v>
      </c>
      <c r="F105" s="6" t="s">
        <v>2941</v>
      </c>
      <c r="G105" s="6" t="s">
        <v>2860</v>
      </c>
      <c r="H105" s="6" t="s">
        <v>41</v>
      </c>
    </row>
    <row r="106" spans="1:8" x14ac:dyDescent="0.3">
      <c r="A106" s="6" t="s">
        <v>2858</v>
      </c>
      <c r="B106" s="6" t="s">
        <v>2934</v>
      </c>
      <c r="C106" s="6" t="s">
        <v>2861</v>
      </c>
      <c r="D106" s="6">
        <v>14</v>
      </c>
      <c r="E106" s="6">
        <v>32197876</v>
      </c>
      <c r="F106" s="6" t="s">
        <v>2942</v>
      </c>
      <c r="G106" s="6" t="s">
        <v>2860</v>
      </c>
      <c r="H106" s="6" t="s">
        <v>47</v>
      </c>
    </row>
    <row r="107" spans="1:8" x14ac:dyDescent="0.3">
      <c r="A107" s="6" t="s">
        <v>2858</v>
      </c>
      <c r="B107" s="6" t="s">
        <v>2934</v>
      </c>
      <c r="C107" s="6" t="s">
        <v>2861</v>
      </c>
      <c r="D107" s="6">
        <v>14</v>
      </c>
      <c r="E107" s="6">
        <v>32143053</v>
      </c>
      <c r="F107" s="6" t="s">
        <v>2943</v>
      </c>
      <c r="G107" s="6" t="s">
        <v>2860</v>
      </c>
      <c r="H107" s="6" t="s">
        <v>35</v>
      </c>
    </row>
    <row r="108" spans="1:8" x14ac:dyDescent="0.3">
      <c r="A108" s="6" t="s">
        <v>2858</v>
      </c>
      <c r="B108" s="6" t="s">
        <v>2934</v>
      </c>
      <c r="C108" s="6" t="s">
        <v>2861</v>
      </c>
      <c r="D108" s="6">
        <v>14</v>
      </c>
      <c r="E108" s="6">
        <v>32046016</v>
      </c>
      <c r="F108" s="6" t="s">
        <v>2944</v>
      </c>
      <c r="G108" s="6" t="s">
        <v>2860</v>
      </c>
      <c r="H108" s="6" t="s">
        <v>1584</v>
      </c>
    </row>
    <row r="109" spans="1:8" x14ac:dyDescent="0.3">
      <c r="A109" s="6" t="s">
        <v>2858</v>
      </c>
      <c r="B109" s="6" t="s">
        <v>2934</v>
      </c>
      <c r="C109" s="6" t="s">
        <v>2861</v>
      </c>
      <c r="D109" s="6">
        <v>14</v>
      </c>
      <c r="E109" s="6">
        <v>32045507</v>
      </c>
      <c r="F109" s="6" t="s">
        <v>2945</v>
      </c>
      <c r="G109" s="6" t="s">
        <v>2860</v>
      </c>
      <c r="H109" s="6" t="s">
        <v>35</v>
      </c>
    </row>
    <row r="110" spans="1:8" x14ac:dyDescent="0.3">
      <c r="A110" s="6" t="s">
        <v>2858</v>
      </c>
      <c r="B110" s="6" t="s">
        <v>2934</v>
      </c>
      <c r="C110" s="6" t="s">
        <v>2861</v>
      </c>
      <c r="D110" s="6">
        <v>14</v>
      </c>
      <c r="E110" s="6">
        <v>32046553</v>
      </c>
      <c r="F110" s="6" t="s">
        <v>2946</v>
      </c>
      <c r="G110" s="6" t="s">
        <v>2860</v>
      </c>
      <c r="H110" s="6" t="s">
        <v>44</v>
      </c>
    </row>
    <row r="111" spans="1:8" x14ac:dyDescent="0.3">
      <c r="A111" s="6" t="s">
        <v>2858</v>
      </c>
      <c r="B111" s="6" t="s">
        <v>2934</v>
      </c>
      <c r="C111" s="6" t="s">
        <v>2861</v>
      </c>
      <c r="D111" s="6">
        <v>14</v>
      </c>
      <c r="E111" s="6">
        <v>32146685</v>
      </c>
      <c r="F111" s="6" t="s">
        <v>1394</v>
      </c>
      <c r="G111" s="6" t="s">
        <v>2344</v>
      </c>
      <c r="H111" s="6" t="s">
        <v>2882</v>
      </c>
    </row>
    <row r="112" spans="1:8" x14ac:dyDescent="0.3">
      <c r="A112" s="6" t="s">
        <v>2858</v>
      </c>
      <c r="B112" s="6" t="str">
        <f>VLOOKUP(E112,'[3]RELACION EQUIPOS AUTO PEO'!$C$5:$E$810,3,FALSE)</f>
        <v xml:space="preserve">CHANGOS </v>
      </c>
      <c r="C112" s="6" t="s">
        <v>2861</v>
      </c>
      <c r="D112" s="6">
        <f>VLOOKUP(E112,'[3]RELACION EQUIPOS AUTO PEO'!$C$5:$F$810,4,FALSE)</f>
        <v>2</v>
      </c>
      <c r="E112" s="6">
        <v>32148618</v>
      </c>
      <c r="F112" s="6" t="str">
        <f>VLOOKUP(E112,'[3]RELACION EQUIPOS AUTO PEO'!$C$5:$D$810,2,FALSE)</f>
        <v>Omar Torres Zapata</v>
      </c>
      <c r="G112" s="6" t="s">
        <v>2860</v>
      </c>
      <c r="H112" s="6" t="s">
        <v>35</v>
      </c>
    </row>
    <row r="113" spans="1:8" x14ac:dyDescent="0.3">
      <c r="A113" s="6" t="s">
        <v>2858</v>
      </c>
      <c r="B113" s="6" t="str">
        <f>VLOOKUP(E113,'[3]RELACION EQUIPOS AUTO PEO'!$C$5:$E$810,3,FALSE)</f>
        <v xml:space="preserve">CHANGOS </v>
      </c>
      <c r="C113" s="6" t="s">
        <v>2861</v>
      </c>
      <c r="D113" s="6">
        <f>VLOOKUP(E113,'[3]RELACION EQUIPOS AUTO PEO'!$C$5:$F$810,4,FALSE)</f>
        <v>2</v>
      </c>
      <c r="E113" s="6">
        <v>32044113</v>
      </c>
      <c r="F113" s="6" t="str">
        <f>VLOOKUP(E113,'[3]RELACION EQUIPOS AUTO PEO'!$C$5:$D$810,2,FALSE)</f>
        <v>J. Jesus Reyes Campos</v>
      </c>
      <c r="G113" s="6" t="s">
        <v>2860</v>
      </c>
      <c r="H113" s="6" t="s">
        <v>38</v>
      </c>
    </row>
    <row r="114" spans="1:8" x14ac:dyDescent="0.3">
      <c r="A114" s="6" t="s">
        <v>2858</v>
      </c>
      <c r="B114" s="6" t="str">
        <f>VLOOKUP(E114,'[3]RELACION EQUIPOS AUTO PEO'!$C$5:$E$810,3,FALSE)</f>
        <v xml:space="preserve">CHANGOS </v>
      </c>
      <c r="C114" s="6" t="s">
        <v>2861</v>
      </c>
      <c r="D114" s="6">
        <f>VLOOKUP(E114,'[3]RELACION EQUIPOS AUTO PEO'!$C$5:$F$810,4,FALSE)</f>
        <v>2</v>
      </c>
      <c r="E114" s="6">
        <v>32044609</v>
      </c>
      <c r="F114" s="6" t="str">
        <f>VLOOKUP(E114,'[3]RELACION EQUIPOS AUTO PEO'!$C$5:$D$810,2,FALSE)</f>
        <v>Ismael Sanchez Rodriguez</v>
      </c>
      <c r="G114" s="6" t="s">
        <v>2860</v>
      </c>
      <c r="H114" s="6" t="s">
        <v>47</v>
      </c>
    </row>
    <row r="115" spans="1:8" x14ac:dyDescent="0.3">
      <c r="A115" s="6" t="s">
        <v>2858</v>
      </c>
      <c r="B115" s="6" t="s">
        <v>2947</v>
      </c>
      <c r="C115" s="6" t="s">
        <v>2861</v>
      </c>
      <c r="D115" s="6">
        <v>2</v>
      </c>
      <c r="E115" s="6">
        <v>32199334</v>
      </c>
      <c r="F115" s="6" t="s">
        <v>2948</v>
      </c>
      <c r="G115" s="6" t="s">
        <v>2860</v>
      </c>
      <c r="H115" s="6" t="s">
        <v>62</v>
      </c>
    </row>
    <row r="116" spans="1:8" x14ac:dyDescent="0.3">
      <c r="A116" s="6" t="s">
        <v>2858</v>
      </c>
      <c r="B116" s="6" t="str">
        <f>VLOOKUP(E116,'[3]RELACION EQUIPOS AUTO PEO'!$C$5:$E$810,3,FALSE)</f>
        <v xml:space="preserve">CHANGOS </v>
      </c>
      <c r="C116" s="6" t="s">
        <v>2861</v>
      </c>
      <c r="D116" s="6">
        <f>VLOOKUP(E116,'[3]RELACION EQUIPOS AUTO PEO'!$C$5:$F$810,4,FALSE)</f>
        <v>2</v>
      </c>
      <c r="E116" s="6">
        <v>32188131</v>
      </c>
      <c r="F116" s="6" t="str">
        <f>VLOOKUP(E116,'[3]RELACION EQUIPOS AUTO PEO'!$C$5:$D$810,2,FALSE)</f>
        <v>Adrian Moreno Martinez</v>
      </c>
      <c r="G116" s="6" t="s">
        <v>2860</v>
      </c>
      <c r="H116" s="6" t="s">
        <v>41</v>
      </c>
    </row>
    <row r="117" spans="1:8" x14ac:dyDescent="0.3">
      <c r="A117" s="6" t="s">
        <v>2858</v>
      </c>
      <c r="B117" s="6" t="s">
        <v>2947</v>
      </c>
      <c r="C117" s="6" t="s">
        <v>2861</v>
      </c>
      <c r="D117" s="6">
        <v>2</v>
      </c>
      <c r="E117" s="6">
        <v>32147380</v>
      </c>
      <c r="F117" s="6" t="s">
        <v>386</v>
      </c>
      <c r="G117" s="6" t="s">
        <v>2344</v>
      </c>
      <c r="H117" s="6" t="s">
        <v>2882</v>
      </c>
    </row>
    <row r="118" spans="1:8" x14ac:dyDescent="0.3">
      <c r="A118" s="6" t="s">
        <v>2858</v>
      </c>
      <c r="B118" s="6" t="s">
        <v>2949</v>
      </c>
      <c r="C118" s="6" t="s">
        <v>2861</v>
      </c>
      <c r="D118" s="6">
        <v>12</v>
      </c>
      <c r="E118" s="6">
        <v>32140576</v>
      </c>
      <c r="F118" s="6" t="s">
        <v>1207</v>
      </c>
      <c r="G118" s="6" t="s">
        <v>2860</v>
      </c>
      <c r="H118" s="6" t="s">
        <v>44</v>
      </c>
    </row>
    <row r="119" spans="1:8" x14ac:dyDescent="0.3">
      <c r="A119" s="6" t="s">
        <v>2858</v>
      </c>
      <c r="B119" s="6" t="s">
        <v>2949</v>
      </c>
      <c r="C119" s="6" t="s">
        <v>2861</v>
      </c>
      <c r="D119" s="6">
        <v>12</v>
      </c>
      <c r="E119" s="6">
        <v>32150657</v>
      </c>
      <c r="F119" s="6" t="s">
        <v>2950</v>
      </c>
      <c r="G119" s="6" t="s">
        <v>2860</v>
      </c>
      <c r="H119" s="6" t="s">
        <v>44</v>
      </c>
    </row>
    <row r="120" spans="1:8" x14ac:dyDescent="0.3">
      <c r="A120" s="6" t="s">
        <v>2858</v>
      </c>
      <c r="B120" s="6" t="s">
        <v>2949</v>
      </c>
      <c r="C120" s="6" t="s">
        <v>2861</v>
      </c>
      <c r="D120" s="6">
        <v>12</v>
      </c>
      <c r="E120" s="6">
        <v>32143665</v>
      </c>
      <c r="F120" s="6" t="s">
        <v>1211</v>
      </c>
      <c r="G120" s="6" t="s">
        <v>2860</v>
      </c>
      <c r="H120" s="6" t="s">
        <v>47</v>
      </c>
    </row>
    <row r="121" spans="1:8" x14ac:dyDescent="0.3">
      <c r="A121" s="6" t="s">
        <v>2858</v>
      </c>
      <c r="B121" s="6" t="s">
        <v>2949</v>
      </c>
      <c r="C121" s="6" t="s">
        <v>2861</v>
      </c>
      <c r="D121" s="6">
        <v>12</v>
      </c>
      <c r="E121" s="6">
        <v>32046671</v>
      </c>
      <c r="F121" s="6" t="s">
        <v>1205</v>
      </c>
      <c r="G121" s="6" t="s">
        <v>2860</v>
      </c>
      <c r="H121" s="6" t="s">
        <v>41</v>
      </c>
    </row>
    <row r="122" spans="1:8" x14ac:dyDescent="0.3">
      <c r="A122" s="6" t="s">
        <v>2858</v>
      </c>
      <c r="B122" s="6" t="s">
        <v>2949</v>
      </c>
      <c r="C122" s="6" t="s">
        <v>2861</v>
      </c>
      <c r="D122" s="6">
        <v>12</v>
      </c>
      <c r="E122" s="6">
        <v>32044370</v>
      </c>
      <c r="F122" s="6" t="s">
        <v>1195</v>
      </c>
      <c r="G122" s="6" t="s">
        <v>2860</v>
      </c>
      <c r="H122" s="6" t="s">
        <v>38</v>
      </c>
    </row>
    <row r="123" spans="1:8" x14ac:dyDescent="0.3">
      <c r="A123" s="6" t="s">
        <v>2858</v>
      </c>
      <c r="B123" s="6" t="s">
        <v>2949</v>
      </c>
      <c r="C123" s="6" t="s">
        <v>2861</v>
      </c>
      <c r="D123" s="6">
        <v>12</v>
      </c>
      <c r="E123" s="6">
        <v>32044075</v>
      </c>
      <c r="F123" s="6" t="s">
        <v>1193</v>
      </c>
      <c r="G123" s="6" t="s">
        <v>2860</v>
      </c>
      <c r="H123" s="6" t="s">
        <v>38</v>
      </c>
    </row>
    <row r="124" spans="1:8" x14ac:dyDescent="0.3">
      <c r="A124" s="6" t="s">
        <v>2858</v>
      </c>
      <c r="B124" s="6" t="s">
        <v>2949</v>
      </c>
      <c r="C124" s="6" t="s">
        <v>2861</v>
      </c>
      <c r="D124" s="6">
        <v>12</v>
      </c>
      <c r="E124" s="6">
        <v>32046355</v>
      </c>
      <c r="F124" s="6" t="s">
        <v>1201</v>
      </c>
      <c r="G124" s="6" t="s">
        <v>2860</v>
      </c>
      <c r="H124" s="6" t="s">
        <v>62</v>
      </c>
    </row>
    <row r="125" spans="1:8" x14ac:dyDescent="0.3">
      <c r="A125" s="6" t="s">
        <v>2858</v>
      </c>
      <c r="B125" s="6" t="s">
        <v>2949</v>
      </c>
      <c r="C125" s="6" t="s">
        <v>2861</v>
      </c>
      <c r="D125" s="6">
        <v>12</v>
      </c>
      <c r="E125" s="6">
        <v>32046159</v>
      </c>
      <c r="F125" s="6" t="s">
        <v>1199</v>
      </c>
      <c r="G125" s="6" t="s">
        <v>2860</v>
      </c>
      <c r="H125" s="6" t="s">
        <v>1584</v>
      </c>
    </row>
    <row r="126" spans="1:8" x14ac:dyDescent="0.3">
      <c r="A126" s="6" t="s">
        <v>2858</v>
      </c>
      <c r="B126" s="6" t="s">
        <v>2949</v>
      </c>
      <c r="C126" s="6" t="s">
        <v>2861</v>
      </c>
      <c r="D126" s="6">
        <v>12</v>
      </c>
      <c r="E126" s="6">
        <v>32044561</v>
      </c>
      <c r="F126" s="6" t="s">
        <v>1197</v>
      </c>
      <c r="G126" s="6" t="s">
        <v>2860</v>
      </c>
      <c r="H126" s="6" t="s">
        <v>62</v>
      </c>
    </row>
    <row r="127" spans="1:8" x14ac:dyDescent="0.3">
      <c r="A127" s="6" t="s">
        <v>2858</v>
      </c>
      <c r="B127" s="6" t="s">
        <v>2949</v>
      </c>
      <c r="C127" s="6" t="s">
        <v>2861</v>
      </c>
      <c r="D127" s="6">
        <v>12</v>
      </c>
      <c r="E127" s="6">
        <v>32143625</v>
      </c>
      <c r="F127" s="6" t="s">
        <v>1209</v>
      </c>
      <c r="G127" s="6" t="s">
        <v>2860</v>
      </c>
      <c r="H127" s="6" t="s">
        <v>35</v>
      </c>
    </row>
    <row r="128" spans="1:8" x14ac:dyDescent="0.3">
      <c r="A128" s="6" t="s">
        <v>2858</v>
      </c>
      <c r="B128" s="6" t="s">
        <v>2949</v>
      </c>
      <c r="C128" s="6" t="s">
        <v>2861</v>
      </c>
      <c r="D128" s="6">
        <v>12</v>
      </c>
      <c r="E128" s="6">
        <v>32046569</v>
      </c>
      <c r="F128" s="6" t="s">
        <v>1203</v>
      </c>
      <c r="G128" s="6" t="s">
        <v>2860</v>
      </c>
      <c r="H128" s="6" t="s">
        <v>1584</v>
      </c>
    </row>
    <row r="129" spans="1:8" x14ac:dyDescent="0.3">
      <c r="A129" s="6" t="s">
        <v>2858</v>
      </c>
      <c r="B129" s="6" t="s">
        <v>2949</v>
      </c>
      <c r="C129" s="6" t="s">
        <v>2861</v>
      </c>
      <c r="D129" s="6">
        <v>12</v>
      </c>
      <c r="E129" s="6">
        <v>32231920</v>
      </c>
      <c r="F129" s="6" t="s">
        <v>2951</v>
      </c>
      <c r="G129" s="6" t="s">
        <v>2344</v>
      </c>
      <c r="H129" s="6" t="s">
        <v>2882</v>
      </c>
    </row>
    <row r="130" spans="1:8" x14ac:dyDescent="0.3">
      <c r="A130" s="6" t="s">
        <v>2858</v>
      </c>
      <c r="B130" s="6" t="s">
        <v>4</v>
      </c>
      <c r="C130" s="6" t="s">
        <v>2864</v>
      </c>
      <c r="D130" s="6" t="s">
        <v>1991</v>
      </c>
      <c r="E130" s="6">
        <v>32043758</v>
      </c>
      <c r="F130" s="6" t="s">
        <v>1994</v>
      </c>
      <c r="G130" s="6" t="s">
        <v>2860</v>
      </c>
      <c r="H130" s="6" t="s">
        <v>38</v>
      </c>
    </row>
    <row r="131" spans="1:8" x14ac:dyDescent="0.3">
      <c r="A131" s="6" t="s">
        <v>2858</v>
      </c>
      <c r="B131" s="6" t="s">
        <v>4</v>
      </c>
      <c r="C131" s="6" t="s">
        <v>2864</v>
      </c>
      <c r="D131" s="6" t="s">
        <v>1991</v>
      </c>
      <c r="E131" s="6">
        <v>32045388</v>
      </c>
      <c r="F131" s="6" t="s">
        <v>1996</v>
      </c>
      <c r="G131" s="6" t="s">
        <v>2860</v>
      </c>
      <c r="H131" s="6" t="s">
        <v>47</v>
      </c>
    </row>
    <row r="132" spans="1:8" x14ac:dyDescent="0.3">
      <c r="A132" s="6" t="s">
        <v>2858</v>
      </c>
      <c r="B132" s="6" t="s">
        <v>4</v>
      </c>
      <c r="C132" s="6" t="s">
        <v>2864</v>
      </c>
      <c r="D132" s="6" t="s">
        <v>1991</v>
      </c>
      <c r="E132" s="6">
        <v>32045383</v>
      </c>
      <c r="F132" s="6" t="s">
        <v>1998</v>
      </c>
      <c r="G132" s="6" t="s">
        <v>2860</v>
      </c>
      <c r="H132" s="6" t="s">
        <v>44</v>
      </c>
    </row>
    <row r="133" spans="1:8" x14ac:dyDescent="0.3">
      <c r="A133" s="6" t="s">
        <v>2858</v>
      </c>
      <c r="B133" s="6" t="s">
        <v>4</v>
      </c>
      <c r="C133" s="6" t="s">
        <v>2864</v>
      </c>
      <c r="D133" s="6" t="s">
        <v>1991</v>
      </c>
      <c r="E133" s="6">
        <v>32045143</v>
      </c>
      <c r="F133" s="6" t="s">
        <v>2000</v>
      </c>
      <c r="G133" s="6" t="s">
        <v>2860</v>
      </c>
      <c r="H133" s="6" t="s">
        <v>35</v>
      </c>
    </row>
    <row r="134" spans="1:8" x14ac:dyDescent="0.3">
      <c r="A134" s="6" t="s">
        <v>2858</v>
      </c>
      <c r="B134" s="6" t="s">
        <v>4</v>
      </c>
      <c r="C134" s="6" t="s">
        <v>2864</v>
      </c>
      <c r="D134" s="6" t="s">
        <v>2882</v>
      </c>
      <c r="E134" s="6">
        <v>32110715</v>
      </c>
      <c r="F134" s="6" t="s">
        <v>1992</v>
      </c>
      <c r="G134" s="6" t="s">
        <v>2344</v>
      </c>
      <c r="H134" s="6" t="s">
        <v>2882</v>
      </c>
    </row>
    <row r="135" spans="1:8" x14ac:dyDescent="0.3">
      <c r="A135" s="6" t="s">
        <v>2858</v>
      </c>
      <c r="B135" s="6" t="s">
        <v>2952</v>
      </c>
      <c r="C135" s="6" t="s">
        <v>2861</v>
      </c>
      <c r="D135" s="6">
        <v>13</v>
      </c>
      <c r="E135" s="6">
        <v>32044722</v>
      </c>
      <c r="F135" s="6" t="s">
        <v>1243</v>
      </c>
      <c r="G135" s="6" t="s">
        <v>2860</v>
      </c>
      <c r="H135" s="6" t="s">
        <v>44</v>
      </c>
    </row>
    <row r="136" spans="1:8" x14ac:dyDescent="0.3">
      <c r="A136" s="6" t="s">
        <v>2858</v>
      </c>
      <c r="B136" s="6" t="s">
        <v>2952</v>
      </c>
      <c r="C136" s="6" t="s">
        <v>2861</v>
      </c>
      <c r="D136" s="6">
        <v>13</v>
      </c>
      <c r="E136" s="6">
        <v>32186050</v>
      </c>
      <c r="F136" s="6" t="s">
        <v>2953</v>
      </c>
      <c r="G136" s="6" t="s">
        <v>2860</v>
      </c>
      <c r="H136" s="6" t="s">
        <v>47</v>
      </c>
    </row>
    <row r="137" spans="1:8" x14ac:dyDescent="0.3">
      <c r="A137" s="6" t="s">
        <v>2858</v>
      </c>
      <c r="B137" s="6" t="s">
        <v>2952</v>
      </c>
      <c r="C137" s="6" t="s">
        <v>2861</v>
      </c>
      <c r="D137" s="6">
        <v>13</v>
      </c>
      <c r="E137" s="6">
        <v>32111144</v>
      </c>
      <c r="F137" s="6" t="s">
        <v>1254</v>
      </c>
      <c r="G137" s="6" t="s">
        <v>2860</v>
      </c>
      <c r="H137" s="6" t="s">
        <v>35</v>
      </c>
    </row>
    <row r="138" spans="1:8" x14ac:dyDescent="0.3">
      <c r="A138" s="6" t="s">
        <v>2858</v>
      </c>
      <c r="B138" s="6" t="s">
        <v>2952</v>
      </c>
      <c r="C138" s="6" t="s">
        <v>2861</v>
      </c>
      <c r="D138" s="6">
        <v>13</v>
      </c>
      <c r="E138" s="6">
        <v>32044243</v>
      </c>
      <c r="F138" s="6" t="s">
        <v>1239</v>
      </c>
      <c r="G138" s="6" t="s">
        <v>2860</v>
      </c>
      <c r="H138" s="6" t="s">
        <v>35</v>
      </c>
    </row>
    <row r="139" spans="1:8" x14ac:dyDescent="0.3">
      <c r="A139" s="6" t="s">
        <v>2858</v>
      </c>
      <c r="B139" s="6" t="s">
        <v>2952</v>
      </c>
      <c r="C139" s="6" t="s">
        <v>2861</v>
      </c>
      <c r="D139" s="6">
        <v>13</v>
      </c>
      <c r="E139" s="6">
        <v>32197873</v>
      </c>
      <c r="F139" s="6" t="s">
        <v>2954</v>
      </c>
      <c r="G139" s="6" t="s">
        <v>2860</v>
      </c>
      <c r="H139" s="6" t="s">
        <v>41</v>
      </c>
    </row>
    <row r="140" spans="1:8" x14ac:dyDescent="0.3">
      <c r="A140" s="6" t="s">
        <v>2858</v>
      </c>
      <c r="B140" s="6" t="s">
        <v>2952</v>
      </c>
      <c r="C140" s="6" t="s">
        <v>2861</v>
      </c>
      <c r="D140" s="6">
        <v>13</v>
      </c>
      <c r="E140" s="6">
        <v>32044993</v>
      </c>
      <c r="F140" s="6" t="s">
        <v>1246</v>
      </c>
      <c r="G140" s="6" t="s">
        <v>2860</v>
      </c>
      <c r="H140" s="6" t="s">
        <v>47</v>
      </c>
    </row>
    <row r="141" spans="1:8" x14ac:dyDescent="0.3">
      <c r="A141" s="6" t="s">
        <v>2858</v>
      </c>
      <c r="B141" s="6" t="s">
        <v>2952</v>
      </c>
      <c r="C141" s="6" t="s">
        <v>2861</v>
      </c>
      <c r="D141" s="6">
        <v>13</v>
      </c>
      <c r="E141" s="6">
        <v>32067154</v>
      </c>
      <c r="F141" s="6" t="s">
        <v>1252</v>
      </c>
      <c r="G141" s="6" t="s">
        <v>2860</v>
      </c>
      <c r="H141" s="6" t="s">
        <v>41</v>
      </c>
    </row>
    <row r="142" spans="1:8" x14ac:dyDescent="0.3">
      <c r="A142" s="6" t="s">
        <v>2858</v>
      </c>
      <c r="B142" s="6" t="s">
        <v>2952</v>
      </c>
      <c r="C142" s="6" t="s">
        <v>2861</v>
      </c>
      <c r="D142" s="6">
        <v>13</v>
      </c>
      <c r="E142" s="6">
        <v>32132604</v>
      </c>
      <c r="F142" s="6" t="s">
        <v>1258</v>
      </c>
      <c r="G142" s="6" t="s">
        <v>2860</v>
      </c>
      <c r="H142" s="6" t="s">
        <v>41</v>
      </c>
    </row>
    <row r="143" spans="1:8" x14ac:dyDescent="0.3">
      <c r="A143" s="6" t="s">
        <v>2858</v>
      </c>
      <c r="B143" s="6" t="s">
        <v>2952</v>
      </c>
      <c r="C143" s="6" t="s">
        <v>2861</v>
      </c>
      <c r="D143" s="6">
        <v>13</v>
      </c>
      <c r="E143" s="6">
        <v>32044487</v>
      </c>
      <c r="F143" s="6" t="s">
        <v>1241</v>
      </c>
      <c r="G143" s="6" t="s">
        <v>2860</v>
      </c>
      <c r="H143" s="6" t="s">
        <v>38</v>
      </c>
    </row>
    <row r="144" spans="1:8" x14ac:dyDescent="0.3">
      <c r="A144" s="6" t="s">
        <v>2858</v>
      </c>
      <c r="B144" s="6" t="s">
        <v>2952</v>
      </c>
      <c r="C144" s="6" t="s">
        <v>2861</v>
      </c>
      <c r="D144" s="6">
        <v>13</v>
      </c>
      <c r="E144" s="6">
        <v>32132047</v>
      </c>
      <c r="F144" s="6" t="s">
        <v>1256</v>
      </c>
      <c r="G144" s="6" t="s">
        <v>2860</v>
      </c>
      <c r="H144" s="6" t="s">
        <v>62</v>
      </c>
    </row>
    <row r="145" spans="1:8" x14ac:dyDescent="0.3">
      <c r="A145" s="6" t="s">
        <v>2858</v>
      </c>
      <c r="B145" s="6" t="s">
        <v>2952</v>
      </c>
      <c r="C145" s="6" t="s">
        <v>2861</v>
      </c>
      <c r="D145" s="6">
        <v>13</v>
      </c>
      <c r="E145" s="6">
        <v>32045601</v>
      </c>
      <c r="F145" s="6" t="s">
        <v>1248</v>
      </c>
      <c r="G145" s="6" t="s">
        <v>2860</v>
      </c>
      <c r="H145" s="6" t="s">
        <v>44</v>
      </c>
    </row>
    <row r="146" spans="1:8" x14ac:dyDescent="0.3">
      <c r="A146" s="6" t="s">
        <v>2858</v>
      </c>
      <c r="B146" s="6" t="s">
        <v>2952</v>
      </c>
      <c r="C146" s="6" t="s">
        <v>2861</v>
      </c>
      <c r="D146" s="6">
        <v>13</v>
      </c>
      <c r="E146" s="6">
        <v>32045798</v>
      </c>
      <c r="F146" s="6" t="s">
        <v>2955</v>
      </c>
      <c r="G146" s="6" t="s">
        <v>2860</v>
      </c>
      <c r="H146" s="6" t="s">
        <v>62</v>
      </c>
    </row>
    <row r="147" spans="1:8" x14ac:dyDescent="0.3">
      <c r="A147" s="6" t="s">
        <v>2858</v>
      </c>
      <c r="B147" s="6" t="s">
        <v>2952</v>
      </c>
      <c r="C147" s="6" t="s">
        <v>2861</v>
      </c>
      <c r="D147" s="6">
        <v>13</v>
      </c>
      <c r="E147" s="6">
        <v>32143096</v>
      </c>
      <c r="F147" s="6" t="s">
        <v>2956</v>
      </c>
      <c r="G147" s="6" t="s">
        <v>2344</v>
      </c>
      <c r="H147" s="6" t="s">
        <v>2882</v>
      </c>
    </row>
    <row r="148" spans="1:8" x14ac:dyDescent="0.3">
      <c r="A148" s="6" t="s">
        <v>2858</v>
      </c>
      <c r="B148" s="159" t="s">
        <v>2957</v>
      </c>
      <c r="C148" s="6" t="s">
        <v>2861</v>
      </c>
      <c r="D148" s="6">
        <v>4</v>
      </c>
      <c r="E148" s="6">
        <v>32046030</v>
      </c>
      <c r="F148" s="159" t="s">
        <v>2958</v>
      </c>
      <c r="G148" s="6" t="s">
        <v>2860</v>
      </c>
      <c r="H148" s="6" t="s">
        <v>38</v>
      </c>
    </row>
    <row r="149" spans="1:8" x14ac:dyDescent="0.3">
      <c r="A149" s="6" t="s">
        <v>2858</v>
      </c>
      <c r="B149" s="159" t="s">
        <v>2957</v>
      </c>
      <c r="C149" s="6" t="s">
        <v>2861</v>
      </c>
      <c r="D149" s="6">
        <v>4</v>
      </c>
      <c r="E149" s="6">
        <v>32044737</v>
      </c>
      <c r="F149" s="556" t="s">
        <v>2959</v>
      </c>
      <c r="G149" s="6" t="s">
        <v>2860</v>
      </c>
      <c r="H149" s="6" t="s">
        <v>2960</v>
      </c>
    </row>
    <row r="150" spans="1:8" x14ac:dyDescent="0.3">
      <c r="A150" s="6" t="s">
        <v>2858</v>
      </c>
      <c r="B150" s="159" t="s">
        <v>2957</v>
      </c>
      <c r="C150" s="6" t="s">
        <v>2861</v>
      </c>
      <c r="D150" s="6">
        <v>4</v>
      </c>
      <c r="E150" s="6">
        <v>32044684</v>
      </c>
      <c r="F150" s="159" t="s">
        <v>517</v>
      </c>
      <c r="G150" s="6" t="s">
        <v>2860</v>
      </c>
      <c r="H150" s="6" t="s">
        <v>1584</v>
      </c>
    </row>
    <row r="151" spans="1:8" x14ac:dyDescent="0.3">
      <c r="A151" s="6" t="s">
        <v>2858</v>
      </c>
      <c r="B151" s="159" t="s">
        <v>2957</v>
      </c>
      <c r="C151" s="6" t="s">
        <v>2861</v>
      </c>
      <c r="D151" s="6">
        <v>4</v>
      </c>
      <c r="E151" s="6">
        <v>32071028</v>
      </c>
      <c r="F151" s="159" t="s">
        <v>2961</v>
      </c>
      <c r="G151" s="6" t="s">
        <v>2860</v>
      </c>
      <c r="H151" s="6" t="s">
        <v>47</v>
      </c>
    </row>
    <row r="152" spans="1:8" x14ac:dyDescent="0.3">
      <c r="A152" s="6" t="s">
        <v>2858</v>
      </c>
      <c r="B152" s="159" t="s">
        <v>2957</v>
      </c>
      <c r="C152" s="6" t="s">
        <v>2861</v>
      </c>
      <c r="D152" s="6">
        <v>4</v>
      </c>
      <c r="E152" s="6">
        <v>32143050</v>
      </c>
      <c r="F152" s="556" t="s">
        <v>2962</v>
      </c>
      <c r="G152" s="6" t="s">
        <v>2860</v>
      </c>
      <c r="H152" s="6" t="s">
        <v>62</v>
      </c>
    </row>
    <row r="153" spans="1:8" x14ac:dyDescent="0.3">
      <c r="A153" s="6" t="s">
        <v>2858</v>
      </c>
      <c r="B153" s="159" t="s">
        <v>2957</v>
      </c>
      <c r="C153" s="6" t="s">
        <v>2861</v>
      </c>
      <c r="D153" s="6">
        <v>4</v>
      </c>
      <c r="E153" s="6">
        <v>32132058</v>
      </c>
      <c r="F153" s="159" t="s">
        <v>2963</v>
      </c>
      <c r="G153" s="6" t="s">
        <v>2860</v>
      </c>
      <c r="H153" s="6" t="s">
        <v>44</v>
      </c>
    </row>
    <row r="154" spans="1:8" x14ac:dyDescent="0.3">
      <c r="A154" s="6" t="s">
        <v>2858</v>
      </c>
      <c r="B154" s="159" t="s">
        <v>2957</v>
      </c>
      <c r="C154" s="6" t="s">
        <v>2861</v>
      </c>
      <c r="D154" s="6">
        <v>4</v>
      </c>
      <c r="E154" s="6">
        <v>32199342</v>
      </c>
      <c r="F154" s="159" t="s">
        <v>2964</v>
      </c>
      <c r="G154" s="6" t="s">
        <v>2860</v>
      </c>
      <c r="H154" s="6" t="s">
        <v>35</v>
      </c>
    </row>
    <row r="155" spans="1:8" x14ac:dyDescent="0.3">
      <c r="A155" s="6" t="s">
        <v>2858</v>
      </c>
      <c r="B155" s="159" t="s">
        <v>2957</v>
      </c>
      <c r="C155" s="6" t="s">
        <v>2861</v>
      </c>
      <c r="D155" s="6">
        <v>4</v>
      </c>
      <c r="E155" s="6">
        <v>32096443</v>
      </c>
      <c r="F155" s="556" t="s">
        <v>2965</v>
      </c>
      <c r="G155" s="6" t="s">
        <v>2860</v>
      </c>
      <c r="H155" s="6" t="s">
        <v>38</v>
      </c>
    </row>
    <row r="156" spans="1:8" x14ac:dyDescent="0.3">
      <c r="A156" s="6" t="s">
        <v>2858</v>
      </c>
      <c r="B156" s="159" t="s">
        <v>2957</v>
      </c>
      <c r="C156" s="6" t="s">
        <v>2861</v>
      </c>
      <c r="D156" s="6">
        <v>4</v>
      </c>
      <c r="E156" s="6">
        <v>32197883</v>
      </c>
      <c r="F156" s="556" t="s">
        <v>2966</v>
      </c>
      <c r="G156" s="6" t="s">
        <v>2860</v>
      </c>
      <c r="H156" s="6" t="s">
        <v>41</v>
      </c>
    </row>
    <row r="157" spans="1:8" x14ac:dyDescent="0.3">
      <c r="A157" s="6" t="s">
        <v>2858</v>
      </c>
      <c r="B157" s="159" t="s">
        <v>2957</v>
      </c>
      <c r="C157" s="6" t="s">
        <v>2861</v>
      </c>
      <c r="D157" s="6">
        <v>4</v>
      </c>
      <c r="E157" s="6">
        <v>32142779</v>
      </c>
      <c r="F157" s="159" t="s">
        <v>545</v>
      </c>
      <c r="G157" s="6" t="s">
        <v>2860</v>
      </c>
      <c r="H157" s="6" t="s">
        <v>38</v>
      </c>
    </row>
    <row r="158" spans="1:8" x14ac:dyDescent="0.3">
      <c r="A158" s="6" t="s">
        <v>2858</v>
      </c>
      <c r="B158" s="159" t="s">
        <v>2957</v>
      </c>
      <c r="C158" s="6" t="s">
        <v>2861</v>
      </c>
      <c r="D158" s="6">
        <v>4</v>
      </c>
      <c r="E158" s="6">
        <v>32045654</v>
      </c>
      <c r="F158" s="556" t="s">
        <v>2967</v>
      </c>
      <c r="G158" s="6" t="s">
        <v>2860</v>
      </c>
      <c r="H158" s="6" t="s">
        <v>41</v>
      </c>
    </row>
    <row r="159" spans="1:8" x14ac:dyDescent="0.3">
      <c r="A159" s="6" t="s">
        <v>2858</v>
      </c>
      <c r="B159" s="159" t="s">
        <v>2957</v>
      </c>
      <c r="C159" s="6" t="s">
        <v>2861</v>
      </c>
      <c r="D159" s="6">
        <v>4</v>
      </c>
      <c r="E159" s="6">
        <v>32071020</v>
      </c>
      <c r="F159" s="556" t="s">
        <v>2968</v>
      </c>
      <c r="G159" s="6" t="s">
        <v>2860</v>
      </c>
      <c r="H159" s="6" t="s">
        <v>44</v>
      </c>
    </row>
    <row r="160" spans="1:8" x14ac:dyDescent="0.3">
      <c r="A160" s="6" t="s">
        <v>2858</v>
      </c>
      <c r="B160" s="159" t="s">
        <v>2957</v>
      </c>
      <c r="C160" s="6" t="s">
        <v>2861</v>
      </c>
      <c r="D160" s="6">
        <v>4</v>
      </c>
      <c r="E160" s="6">
        <v>32045356</v>
      </c>
      <c r="F160" s="159" t="s">
        <v>2969</v>
      </c>
      <c r="G160" s="6" t="s">
        <v>2860</v>
      </c>
      <c r="H160" s="6" t="s">
        <v>62</v>
      </c>
    </row>
    <row r="161" spans="1:8" x14ac:dyDescent="0.3">
      <c r="A161" s="6" t="s">
        <v>2858</v>
      </c>
      <c r="B161" s="159" t="s">
        <v>2957</v>
      </c>
      <c r="C161" s="6" t="s">
        <v>2861</v>
      </c>
      <c r="D161" s="6">
        <v>4</v>
      </c>
      <c r="E161" s="6">
        <v>32046440</v>
      </c>
      <c r="F161" s="159" t="s">
        <v>2970</v>
      </c>
      <c r="G161" s="6" t="s">
        <v>2860</v>
      </c>
      <c r="H161" s="6" t="s">
        <v>47</v>
      </c>
    </row>
    <row r="162" spans="1:8" x14ac:dyDescent="0.3">
      <c r="A162" s="6" t="s">
        <v>2858</v>
      </c>
      <c r="B162" s="159" t="s">
        <v>2957</v>
      </c>
      <c r="C162" s="6" t="s">
        <v>2861</v>
      </c>
      <c r="D162" s="6">
        <v>4</v>
      </c>
      <c r="E162" s="6">
        <v>32057512</v>
      </c>
      <c r="F162" s="159" t="s">
        <v>2971</v>
      </c>
      <c r="G162" s="6" t="s">
        <v>2860</v>
      </c>
      <c r="H162" s="6" t="s">
        <v>1584</v>
      </c>
    </row>
    <row r="163" spans="1:8" x14ac:dyDescent="0.3">
      <c r="A163" s="6" t="s">
        <v>2858</v>
      </c>
      <c r="B163" s="159" t="s">
        <v>2957</v>
      </c>
      <c r="C163" s="6" t="s">
        <v>2861</v>
      </c>
      <c r="D163" s="6">
        <v>4</v>
      </c>
      <c r="E163" s="6">
        <v>32149066</v>
      </c>
      <c r="F163" s="159" t="s">
        <v>2972</v>
      </c>
      <c r="G163" s="6" t="s">
        <v>2860</v>
      </c>
      <c r="H163" s="6" t="s">
        <v>35</v>
      </c>
    </row>
    <row r="164" spans="1:8" x14ac:dyDescent="0.3">
      <c r="A164" s="6" t="s">
        <v>2858</v>
      </c>
      <c r="B164" s="159" t="s">
        <v>2957</v>
      </c>
      <c r="C164" s="6" t="s">
        <v>2861</v>
      </c>
      <c r="D164" s="6">
        <v>4</v>
      </c>
      <c r="E164" s="6">
        <v>32149965</v>
      </c>
      <c r="F164" s="159" t="s">
        <v>495</v>
      </c>
      <c r="G164" s="6" t="s">
        <v>2344</v>
      </c>
      <c r="H164" s="6" t="s">
        <v>2882</v>
      </c>
    </row>
    <row r="165" spans="1:8" x14ac:dyDescent="0.3">
      <c r="A165" s="6" t="s">
        <v>2858</v>
      </c>
      <c r="B165" s="6" t="s">
        <v>2973</v>
      </c>
      <c r="C165" s="6" t="s">
        <v>2861</v>
      </c>
      <c r="D165" s="6">
        <v>1</v>
      </c>
      <c r="E165" s="6">
        <v>32046253</v>
      </c>
      <c r="F165" s="6" t="s">
        <v>2974</v>
      </c>
      <c r="G165" s="6" t="s">
        <v>2860</v>
      </c>
      <c r="H165" s="6" t="s">
        <v>41</v>
      </c>
    </row>
    <row r="166" spans="1:8" x14ac:dyDescent="0.3">
      <c r="A166" s="6" t="s">
        <v>2858</v>
      </c>
      <c r="B166" s="6" t="s">
        <v>2973</v>
      </c>
      <c r="C166" s="6" t="s">
        <v>2861</v>
      </c>
      <c r="D166" s="6">
        <v>1</v>
      </c>
      <c r="E166" s="6">
        <v>32136855</v>
      </c>
      <c r="F166" s="6" t="s">
        <v>2975</v>
      </c>
      <c r="G166" s="6" t="s">
        <v>2860</v>
      </c>
      <c r="H166" s="6" t="s">
        <v>44</v>
      </c>
    </row>
    <row r="167" spans="1:8" x14ac:dyDescent="0.3">
      <c r="A167" s="6" t="s">
        <v>2858</v>
      </c>
      <c r="B167" s="6" t="s">
        <v>2973</v>
      </c>
      <c r="C167" s="6" t="s">
        <v>2861</v>
      </c>
      <c r="D167" s="6">
        <v>1</v>
      </c>
      <c r="E167" s="6">
        <v>32067736</v>
      </c>
      <c r="F167" s="6" t="s">
        <v>2976</v>
      </c>
      <c r="G167" s="6" t="s">
        <v>2860</v>
      </c>
      <c r="H167" s="6" t="s">
        <v>47</v>
      </c>
    </row>
    <row r="168" spans="1:8" x14ac:dyDescent="0.3">
      <c r="A168" s="6" t="s">
        <v>2858</v>
      </c>
      <c r="B168" s="6" t="s">
        <v>2973</v>
      </c>
      <c r="C168" s="6" t="s">
        <v>2861</v>
      </c>
      <c r="D168" s="6">
        <v>1</v>
      </c>
      <c r="E168" s="6">
        <v>32057054</v>
      </c>
      <c r="F168" s="6" t="s">
        <v>2977</v>
      </c>
      <c r="G168" s="6" t="s">
        <v>2860</v>
      </c>
      <c r="H168" s="6" t="s">
        <v>38</v>
      </c>
    </row>
    <row r="169" spans="1:8" x14ac:dyDescent="0.3">
      <c r="A169" s="6" t="s">
        <v>2858</v>
      </c>
      <c r="B169" s="6" t="s">
        <v>2973</v>
      </c>
      <c r="C169" s="6" t="s">
        <v>2861</v>
      </c>
      <c r="D169" s="6">
        <v>1</v>
      </c>
      <c r="E169" s="6">
        <v>32046354</v>
      </c>
      <c r="F169" s="6" t="s">
        <v>2978</v>
      </c>
      <c r="G169" s="6" t="s">
        <v>2860</v>
      </c>
      <c r="H169" s="6" t="s">
        <v>62</v>
      </c>
    </row>
    <row r="170" spans="1:8" x14ac:dyDescent="0.3">
      <c r="A170" s="6" t="s">
        <v>2858</v>
      </c>
      <c r="B170" s="6" t="s">
        <v>2973</v>
      </c>
      <c r="C170" s="6" t="s">
        <v>2861</v>
      </c>
      <c r="D170" s="6">
        <v>1</v>
      </c>
      <c r="E170" s="6">
        <v>32046175</v>
      </c>
      <c r="F170" s="6" t="s">
        <v>2979</v>
      </c>
      <c r="G170" s="6" t="s">
        <v>2860</v>
      </c>
      <c r="H170" s="6" t="s">
        <v>35</v>
      </c>
    </row>
    <row r="171" spans="1:8" x14ac:dyDescent="0.3">
      <c r="A171" s="6" t="s">
        <v>2858</v>
      </c>
      <c r="B171" s="6" t="s">
        <v>2973</v>
      </c>
      <c r="C171" s="6" t="s">
        <v>2861</v>
      </c>
      <c r="D171" s="6">
        <v>1</v>
      </c>
      <c r="E171" s="6">
        <v>32046689</v>
      </c>
      <c r="F171" s="6" t="s">
        <v>365</v>
      </c>
      <c r="G171" s="6" t="s">
        <v>2344</v>
      </c>
      <c r="H171" s="6" t="s">
        <v>2882</v>
      </c>
    </row>
    <row r="172" spans="1:8" x14ac:dyDescent="0.3">
      <c r="A172" s="6" t="s">
        <v>2858</v>
      </c>
      <c r="B172" s="6" t="s">
        <v>2980</v>
      </c>
      <c r="C172" s="6" t="s">
        <v>2861</v>
      </c>
      <c r="D172" s="6">
        <v>5</v>
      </c>
      <c r="E172" s="6">
        <v>32060917</v>
      </c>
      <c r="F172" s="6" t="s">
        <v>2981</v>
      </c>
      <c r="G172" s="6" t="s">
        <v>2860</v>
      </c>
      <c r="H172" s="6" t="s">
        <v>38</v>
      </c>
    </row>
    <row r="173" spans="1:8" x14ac:dyDescent="0.3">
      <c r="A173" s="6" t="s">
        <v>2858</v>
      </c>
      <c r="B173" s="6" t="s">
        <v>2980</v>
      </c>
      <c r="C173" s="6" t="s">
        <v>2861</v>
      </c>
      <c r="D173" s="6">
        <v>5</v>
      </c>
      <c r="E173" s="6">
        <v>32142777</v>
      </c>
      <c r="F173" s="6" t="s">
        <v>2982</v>
      </c>
      <c r="G173" s="6" t="s">
        <v>2860</v>
      </c>
      <c r="H173" s="6" t="s">
        <v>47</v>
      </c>
    </row>
    <row r="174" spans="1:8" x14ac:dyDescent="0.3">
      <c r="A174" s="6" t="s">
        <v>2858</v>
      </c>
      <c r="B174" s="6" t="s">
        <v>2980</v>
      </c>
      <c r="C174" s="6" t="s">
        <v>2861</v>
      </c>
      <c r="D174" s="6">
        <v>5</v>
      </c>
      <c r="E174" s="6">
        <v>32149610</v>
      </c>
      <c r="F174" s="6" t="s">
        <v>671</v>
      </c>
      <c r="G174" s="6" t="s">
        <v>2860</v>
      </c>
      <c r="H174" s="6" t="s">
        <v>1584</v>
      </c>
    </row>
    <row r="175" spans="1:8" x14ac:dyDescent="0.3">
      <c r="A175" s="6" t="s">
        <v>2858</v>
      </c>
      <c r="B175" s="6" t="s">
        <v>2980</v>
      </c>
      <c r="C175" s="6" t="s">
        <v>2861</v>
      </c>
      <c r="D175" s="6">
        <v>5</v>
      </c>
      <c r="E175" s="6">
        <v>32045011</v>
      </c>
      <c r="F175" s="6" t="s">
        <v>647</v>
      </c>
      <c r="G175" s="6" t="s">
        <v>2860</v>
      </c>
      <c r="H175" s="6" t="s">
        <v>62</v>
      </c>
    </row>
    <row r="176" spans="1:8" x14ac:dyDescent="0.3">
      <c r="A176" s="6" t="s">
        <v>2858</v>
      </c>
      <c r="B176" s="6" t="s">
        <v>2980</v>
      </c>
      <c r="C176" s="6" t="s">
        <v>2861</v>
      </c>
      <c r="D176" s="6">
        <v>5</v>
      </c>
      <c r="E176" s="6">
        <v>32046142</v>
      </c>
      <c r="F176" s="6" t="s">
        <v>2983</v>
      </c>
      <c r="G176" s="6" t="s">
        <v>2860</v>
      </c>
      <c r="H176" s="6" t="s">
        <v>47</v>
      </c>
    </row>
    <row r="177" spans="1:8" x14ac:dyDescent="0.3">
      <c r="A177" s="6" t="s">
        <v>2858</v>
      </c>
      <c r="B177" s="6" t="s">
        <v>2980</v>
      </c>
      <c r="C177" s="6" t="s">
        <v>2861</v>
      </c>
      <c r="D177" s="6">
        <v>5</v>
      </c>
      <c r="E177" s="6">
        <v>32096528</v>
      </c>
      <c r="F177" s="6" t="s">
        <v>660</v>
      </c>
      <c r="G177" s="6" t="s">
        <v>2860</v>
      </c>
      <c r="H177" s="6" t="s">
        <v>41</v>
      </c>
    </row>
    <row r="178" spans="1:8" x14ac:dyDescent="0.3">
      <c r="A178" s="6" t="s">
        <v>2858</v>
      </c>
      <c r="B178" s="6" t="s">
        <v>2980</v>
      </c>
      <c r="C178" s="6" t="s">
        <v>2861</v>
      </c>
      <c r="D178" s="6">
        <v>5</v>
      </c>
      <c r="E178" s="6">
        <v>32143307</v>
      </c>
      <c r="F178" s="6" t="s">
        <v>669</v>
      </c>
      <c r="G178" s="6" t="s">
        <v>2860</v>
      </c>
      <c r="H178" s="6" t="s">
        <v>1584</v>
      </c>
    </row>
    <row r="179" spans="1:8" x14ac:dyDescent="0.3">
      <c r="A179" s="6" t="s">
        <v>2858</v>
      </c>
      <c r="B179" s="6" t="s">
        <v>2980</v>
      </c>
      <c r="C179" s="6" t="s">
        <v>2861</v>
      </c>
      <c r="D179" s="6">
        <v>5</v>
      </c>
      <c r="E179" s="6">
        <v>32044741</v>
      </c>
      <c r="F179" s="6" t="s">
        <v>645</v>
      </c>
      <c r="G179" s="6" t="s">
        <v>2860</v>
      </c>
      <c r="H179" s="6" t="s">
        <v>44</v>
      </c>
    </row>
    <row r="180" spans="1:8" x14ac:dyDescent="0.3">
      <c r="A180" s="6" t="s">
        <v>2858</v>
      </c>
      <c r="B180" s="6" t="s">
        <v>2980</v>
      </c>
      <c r="C180" s="6" t="s">
        <v>2861</v>
      </c>
      <c r="D180" s="6">
        <v>5</v>
      </c>
      <c r="E180" s="6">
        <v>32143289</v>
      </c>
      <c r="F180" s="6" t="s">
        <v>667</v>
      </c>
      <c r="G180" s="6" t="s">
        <v>2860</v>
      </c>
      <c r="H180" s="6" t="s">
        <v>47</v>
      </c>
    </row>
    <row r="181" spans="1:8" x14ac:dyDescent="0.3">
      <c r="A181" s="6" t="s">
        <v>2858</v>
      </c>
      <c r="B181" s="6" t="s">
        <v>2980</v>
      </c>
      <c r="C181" s="6" t="s">
        <v>2861</v>
      </c>
      <c r="D181" s="6">
        <v>5</v>
      </c>
      <c r="E181" s="6">
        <v>32096559</v>
      </c>
      <c r="F181" s="6" t="s">
        <v>2984</v>
      </c>
      <c r="G181" s="6" t="s">
        <v>2860</v>
      </c>
      <c r="H181" s="6" t="s">
        <v>1584</v>
      </c>
    </row>
    <row r="182" spans="1:8" x14ac:dyDescent="0.3">
      <c r="A182" s="6" t="s">
        <v>2858</v>
      </c>
      <c r="B182" s="6" t="s">
        <v>2980</v>
      </c>
      <c r="C182" s="6" t="s">
        <v>2861</v>
      </c>
      <c r="D182" s="6">
        <v>5</v>
      </c>
      <c r="E182" s="6">
        <v>32045693</v>
      </c>
      <c r="F182" s="6" t="s">
        <v>652</v>
      </c>
      <c r="G182" s="6" t="s">
        <v>2860</v>
      </c>
      <c r="H182" s="6" t="s">
        <v>2960</v>
      </c>
    </row>
    <row r="183" spans="1:8" x14ac:dyDescent="0.3">
      <c r="A183" s="6" t="s">
        <v>2858</v>
      </c>
      <c r="B183" s="6" t="s">
        <v>2980</v>
      </c>
      <c r="C183" s="6" t="s">
        <v>2861</v>
      </c>
      <c r="D183" s="6">
        <v>5</v>
      </c>
      <c r="E183" s="6">
        <v>32067182</v>
      </c>
      <c r="F183" s="6" t="s">
        <v>657</v>
      </c>
      <c r="G183" s="6" t="s">
        <v>2860</v>
      </c>
      <c r="H183" s="6" t="s">
        <v>62</v>
      </c>
    </row>
    <row r="184" spans="1:8" x14ac:dyDescent="0.3">
      <c r="A184" s="6" t="s">
        <v>2858</v>
      </c>
      <c r="B184" s="6" t="s">
        <v>2980</v>
      </c>
      <c r="C184" s="6" t="s">
        <v>2861</v>
      </c>
      <c r="D184" s="6">
        <v>5</v>
      </c>
      <c r="E184" s="6">
        <v>32044721</v>
      </c>
      <c r="F184" s="6" t="s">
        <v>641</v>
      </c>
      <c r="G184" s="6" t="s">
        <v>2860</v>
      </c>
      <c r="H184" s="6" t="s">
        <v>44</v>
      </c>
    </row>
    <row r="185" spans="1:8" x14ac:dyDescent="0.3">
      <c r="A185" s="6" t="s">
        <v>2858</v>
      </c>
      <c r="B185" s="6" t="s">
        <v>2980</v>
      </c>
      <c r="C185" s="6" t="s">
        <v>2861</v>
      </c>
      <c r="D185" s="6">
        <v>5</v>
      </c>
      <c r="E185" s="6">
        <v>32045202</v>
      </c>
      <c r="F185" s="6" t="s">
        <v>2985</v>
      </c>
      <c r="G185" s="6" t="s">
        <v>2860</v>
      </c>
      <c r="H185" s="6" t="s">
        <v>41</v>
      </c>
    </row>
    <row r="186" spans="1:8" x14ac:dyDescent="0.3">
      <c r="A186" s="6" t="s">
        <v>2858</v>
      </c>
      <c r="B186" s="6" t="s">
        <v>2980</v>
      </c>
      <c r="C186" s="6" t="s">
        <v>2861</v>
      </c>
      <c r="D186" s="6">
        <v>5</v>
      </c>
      <c r="E186" s="6">
        <v>32046547</v>
      </c>
      <c r="F186" s="6" t="s">
        <v>653</v>
      </c>
      <c r="G186" s="6" t="s">
        <v>2860</v>
      </c>
      <c r="H186" s="6" t="s">
        <v>38</v>
      </c>
    </row>
    <row r="187" spans="1:8" x14ac:dyDescent="0.3">
      <c r="A187" s="6" t="s">
        <v>2858</v>
      </c>
      <c r="B187" s="6" t="s">
        <v>2980</v>
      </c>
      <c r="C187" s="6" t="s">
        <v>2861</v>
      </c>
      <c r="D187" s="6">
        <v>5</v>
      </c>
      <c r="E187" s="6">
        <v>32044733</v>
      </c>
      <c r="F187" s="6" t="s">
        <v>643</v>
      </c>
      <c r="G187" s="6" t="s">
        <v>2860</v>
      </c>
      <c r="H187" s="6" t="s">
        <v>38</v>
      </c>
    </row>
    <row r="188" spans="1:8" x14ac:dyDescent="0.3">
      <c r="A188" s="6" t="s">
        <v>2858</v>
      </c>
      <c r="B188" s="6" t="s">
        <v>2980</v>
      </c>
      <c r="C188" s="6" t="s">
        <v>2861</v>
      </c>
      <c r="D188" s="6">
        <v>5</v>
      </c>
      <c r="E188" s="6">
        <v>32141851</v>
      </c>
      <c r="F188" s="6" t="s">
        <v>606</v>
      </c>
      <c r="G188" s="6" t="s">
        <v>2344</v>
      </c>
      <c r="H188" s="6" t="s">
        <v>2882</v>
      </c>
    </row>
    <row r="189" spans="1:8" x14ac:dyDescent="0.3">
      <c r="A189" s="6" t="s">
        <v>2858</v>
      </c>
      <c r="B189" s="6" t="s">
        <v>2986</v>
      </c>
      <c r="C189" s="6" t="s">
        <v>2861</v>
      </c>
      <c r="D189" s="6">
        <v>11</v>
      </c>
      <c r="E189" s="6">
        <v>32046379</v>
      </c>
      <c r="F189" s="6" t="s">
        <v>2987</v>
      </c>
      <c r="G189" s="6" t="s">
        <v>2860</v>
      </c>
      <c r="H189" s="6" t="s">
        <v>41</v>
      </c>
    </row>
    <row r="190" spans="1:8" x14ac:dyDescent="0.3">
      <c r="A190" s="6" t="s">
        <v>2858</v>
      </c>
      <c r="B190" s="6" t="s">
        <v>2986</v>
      </c>
      <c r="C190" s="6" t="s">
        <v>2861</v>
      </c>
      <c r="D190" s="6">
        <v>11</v>
      </c>
      <c r="E190" s="6">
        <v>32148858</v>
      </c>
      <c r="F190" s="6" t="s">
        <v>2988</v>
      </c>
      <c r="G190" s="6" t="s">
        <v>2860</v>
      </c>
      <c r="H190" s="6" t="s">
        <v>1584</v>
      </c>
    </row>
    <row r="191" spans="1:8" x14ac:dyDescent="0.3">
      <c r="A191" s="6" t="s">
        <v>2858</v>
      </c>
      <c r="B191" s="6" t="s">
        <v>2986</v>
      </c>
      <c r="C191" s="6" t="s">
        <v>2861</v>
      </c>
      <c r="D191" s="6">
        <v>11</v>
      </c>
      <c r="E191" s="6">
        <v>32044172</v>
      </c>
      <c r="F191" s="6" t="s">
        <v>2989</v>
      </c>
      <c r="G191" s="6" t="s">
        <v>2860</v>
      </c>
      <c r="H191" s="6" t="s">
        <v>44</v>
      </c>
    </row>
    <row r="192" spans="1:8" x14ac:dyDescent="0.3">
      <c r="A192" s="6" t="s">
        <v>2858</v>
      </c>
      <c r="B192" s="6" t="s">
        <v>2986</v>
      </c>
      <c r="C192" s="6" t="s">
        <v>2861</v>
      </c>
      <c r="D192" s="6">
        <v>11</v>
      </c>
      <c r="E192" s="6">
        <v>32046022</v>
      </c>
      <c r="F192" s="6" t="s">
        <v>2990</v>
      </c>
      <c r="G192" s="6" t="s">
        <v>2860</v>
      </c>
      <c r="H192" s="6" t="s">
        <v>35</v>
      </c>
    </row>
    <row r="193" spans="1:8" x14ac:dyDescent="0.3">
      <c r="A193" s="6" t="s">
        <v>2858</v>
      </c>
      <c r="B193" s="6" t="s">
        <v>2986</v>
      </c>
      <c r="C193" s="6" t="s">
        <v>2861</v>
      </c>
      <c r="D193" s="6">
        <v>11</v>
      </c>
      <c r="E193" s="6">
        <v>32045052</v>
      </c>
      <c r="F193" s="6" t="s">
        <v>1121</v>
      </c>
      <c r="G193" s="6" t="s">
        <v>2860</v>
      </c>
      <c r="H193" s="6" t="s">
        <v>62</v>
      </c>
    </row>
    <row r="194" spans="1:8" x14ac:dyDescent="0.3">
      <c r="A194" s="6" t="s">
        <v>2858</v>
      </c>
      <c r="B194" s="6" t="s">
        <v>2986</v>
      </c>
      <c r="C194" s="6" t="s">
        <v>2861</v>
      </c>
      <c r="D194" s="6">
        <v>11</v>
      </c>
      <c r="E194" s="6">
        <v>32138048</v>
      </c>
      <c r="F194" s="6" t="s">
        <v>1133</v>
      </c>
      <c r="G194" s="6" t="s">
        <v>2860</v>
      </c>
      <c r="H194" s="6" t="s">
        <v>47</v>
      </c>
    </row>
    <row r="195" spans="1:8" x14ac:dyDescent="0.3">
      <c r="A195" s="6" t="s">
        <v>2858</v>
      </c>
      <c r="B195" s="6" t="s">
        <v>2986</v>
      </c>
      <c r="C195" s="6" t="s">
        <v>2861</v>
      </c>
      <c r="D195" s="6">
        <v>11</v>
      </c>
      <c r="E195" s="6">
        <v>32132226</v>
      </c>
      <c r="F195" s="6" t="s">
        <v>1131</v>
      </c>
      <c r="G195" s="6" t="s">
        <v>2860</v>
      </c>
      <c r="H195" s="6" t="s">
        <v>44</v>
      </c>
    </row>
    <row r="196" spans="1:8" x14ac:dyDescent="0.3">
      <c r="A196" s="6" t="s">
        <v>2858</v>
      </c>
      <c r="B196" s="6" t="s">
        <v>2986</v>
      </c>
      <c r="C196" s="6" t="s">
        <v>2861</v>
      </c>
      <c r="D196" s="6">
        <v>11</v>
      </c>
      <c r="E196" s="6">
        <v>32046009</v>
      </c>
      <c r="F196" s="6" t="s">
        <v>2991</v>
      </c>
      <c r="G196" s="6" t="s">
        <v>2860</v>
      </c>
      <c r="H196" s="6" t="s">
        <v>62</v>
      </c>
    </row>
    <row r="197" spans="1:8" x14ac:dyDescent="0.3">
      <c r="A197" s="6" t="s">
        <v>2858</v>
      </c>
      <c r="B197" s="6" t="s">
        <v>2986</v>
      </c>
      <c r="C197" s="6" t="s">
        <v>2861</v>
      </c>
      <c r="D197" s="6">
        <v>11</v>
      </c>
      <c r="E197" s="6">
        <v>32044809</v>
      </c>
      <c r="F197" s="6" t="s">
        <v>2992</v>
      </c>
      <c r="G197" s="6" t="s">
        <v>2860</v>
      </c>
      <c r="H197" s="6" t="s">
        <v>38</v>
      </c>
    </row>
    <row r="198" spans="1:8" x14ac:dyDescent="0.3">
      <c r="A198" s="6" t="s">
        <v>2858</v>
      </c>
      <c r="B198" s="6" t="s">
        <v>2986</v>
      </c>
      <c r="C198" s="6" t="s">
        <v>2861</v>
      </c>
      <c r="D198" s="6">
        <v>11</v>
      </c>
      <c r="E198" s="6">
        <v>32045219</v>
      </c>
      <c r="F198" s="6" t="s">
        <v>2993</v>
      </c>
      <c r="G198" s="6" t="s">
        <v>2860</v>
      </c>
      <c r="H198" s="6" t="s">
        <v>41</v>
      </c>
    </row>
    <row r="199" spans="1:8" x14ac:dyDescent="0.3">
      <c r="A199" s="6" t="s">
        <v>2858</v>
      </c>
      <c r="B199" s="6" t="s">
        <v>2986</v>
      </c>
      <c r="C199" s="6" t="s">
        <v>2861</v>
      </c>
      <c r="D199" s="6">
        <v>11</v>
      </c>
      <c r="E199" s="6">
        <v>32231920</v>
      </c>
      <c r="F199" s="6" t="s">
        <v>2951</v>
      </c>
      <c r="G199" s="6" t="s">
        <v>2344</v>
      </c>
      <c r="H199" s="6" t="s">
        <v>2882</v>
      </c>
    </row>
    <row r="200" spans="1:8" x14ac:dyDescent="0.3">
      <c r="A200" s="6" t="s">
        <v>2858</v>
      </c>
      <c r="B200" s="6" t="s">
        <v>264</v>
      </c>
      <c r="C200" s="6" t="s">
        <v>2865</v>
      </c>
      <c r="D200" s="6">
        <v>0</v>
      </c>
      <c r="E200" s="6">
        <v>32198258</v>
      </c>
      <c r="F200" s="6" t="s">
        <v>273</v>
      </c>
      <c r="G200" s="6" t="s">
        <v>2860</v>
      </c>
      <c r="H200" s="6" t="s">
        <v>38</v>
      </c>
    </row>
    <row r="201" spans="1:8" x14ac:dyDescent="0.3">
      <c r="A201" s="6" t="s">
        <v>2858</v>
      </c>
      <c r="B201" s="6" t="s">
        <v>264</v>
      </c>
      <c r="C201" s="6" t="s">
        <v>2865</v>
      </c>
      <c r="D201" s="6">
        <v>0</v>
      </c>
      <c r="E201" s="6">
        <v>32102191</v>
      </c>
      <c r="F201" s="6" t="s">
        <v>267</v>
      </c>
      <c r="G201" s="6" t="s">
        <v>2860</v>
      </c>
      <c r="H201" s="6" t="s">
        <v>35</v>
      </c>
    </row>
    <row r="202" spans="1:8" x14ac:dyDescent="0.3">
      <c r="A202" s="6" t="s">
        <v>2858</v>
      </c>
      <c r="B202" s="6" t="s">
        <v>264</v>
      </c>
      <c r="C202" s="6" t="s">
        <v>2865</v>
      </c>
      <c r="D202" s="6">
        <v>0</v>
      </c>
      <c r="E202" s="6">
        <v>32222225</v>
      </c>
      <c r="F202" s="6" t="s">
        <v>269</v>
      </c>
      <c r="G202" s="6" t="s">
        <v>2860</v>
      </c>
      <c r="H202" s="6" t="s">
        <v>47</v>
      </c>
    </row>
    <row r="203" spans="1:8" x14ac:dyDescent="0.3">
      <c r="A203" s="6" t="s">
        <v>2858</v>
      </c>
      <c r="B203" s="6" t="s">
        <v>264</v>
      </c>
      <c r="C203" s="6" t="s">
        <v>2865</v>
      </c>
      <c r="D203" s="6">
        <v>0</v>
      </c>
      <c r="E203" s="6">
        <v>32209454</v>
      </c>
      <c r="F203" s="6" t="s">
        <v>319</v>
      </c>
      <c r="G203" s="6" t="s">
        <v>2860</v>
      </c>
      <c r="H203" s="6" t="s">
        <v>1584</v>
      </c>
    </row>
    <row r="204" spans="1:8" x14ac:dyDescent="0.3">
      <c r="A204" s="6" t="s">
        <v>2858</v>
      </c>
      <c r="B204" s="6" t="s">
        <v>264</v>
      </c>
      <c r="C204" s="6" t="s">
        <v>2865</v>
      </c>
      <c r="D204" s="6">
        <v>0</v>
      </c>
      <c r="E204" s="6">
        <v>32237827</v>
      </c>
      <c r="F204" s="6" t="s">
        <v>274</v>
      </c>
      <c r="G204" s="6" t="s">
        <v>2860</v>
      </c>
      <c r="H204" s="6" t="s">
        <v>41</v>
      </c>
    </row>
    <row r="205" spans="1:8" x14ac:dyDescent="0.3">
      <c r="A205" s="6" t="s">
        <v>2858</v>
      </c>
      <c r="B205" s="6" t="s">
        <v>264</v>
      </c>
      <c r="C205" s="6" t="s">
        <v>2865</v>
      </c>
      <c r="D205" s="6" t="s">
        <v>2882</v>
      </c>
      <c r="E205" s="6">
        <v>32231912</v>
      </c>
      <c r="F205" s="6" t="s">
        <v>265</v>
      </c>
      <c r="G205" s="6" t="s">
        <v>2860</v>
      </c>
      <c r="H205" s="6" t="s">
        <v>44</v>
      </c>
    </row>
    <row r="206" spans="1:8" x14ac:dyDescent="0.3">
      <c r="A206" s="6" t="s">
        <v>2858</v>
      </c>
      <c r="B206" s="6" t="s">
        <v>264</v>
      </c>
      <c r="C206" s="6" t="s">
        <v>2865</v>
      </c>
      <c r="D206" s="6">
        <v>0</v>
      </c>
      <c r="E206" s="6">
        <v>32204264</v>
      </c>
      <c r="F206" s="6" t="s">
        <v>328</v>
      </c>
      <c r="G206" s="6" t="s">
        <v>2860</v>
      </c>
      <c r="H206" s="6" t="s">
        <v>62</v>
      </c>
    </row>
    <row r="207" spans="1:8" x14ac:dyDescent="0.3">
      <c r="A207" s="6" t="s">
        <v>2858</v>
      </c>
      <c r="B207" s="6" t="s">
        <v>264</v>
      </c>
      <c r="C207" s="6" t="s">
        <v>2865</v>
      </c>
      <c r="D207" s="6">
        <v>0</v>
      </c>
      <c r="E207" s="6">
        <v>32044502</v>
      </c>
      <c r="F207" s="6" t="s">
        <v>275</v>
      </c>
      <c r="G207" s="6" t="s">
        <v>2860</v>
      </c>
      <c r="H207" s="6" t="s">
        <v>1584</v>
      </c>
    </row>
    <row r="208" spans="1:8" x14ac:dyDescent="0.3">
      <c r="A208" s="6" t="s">
        <v>2858</v>
      </c>
      <c r="B208" s="6" t="s">
        <v>264</v>
      </c>
      <c r="C208" s="6" t="s">
        <v>2865</v>
      </c>
      <c r="E208" s="6">
        <v>32045531</v>
      </c>
      <c r="F208" s="6" t="s">
        <v>2994</v>
      </c>
      <c r="G208" s="6" t="s">
        <v>2344</v>
      </c>
      <c r="H208" s="6" t="s">
        <v>2882</v>
      </c>
    </row>
    <row r="209" spans="1:8" x14ac:dyDescent="0.3">
      <c r="A209" s="6" t="s">
        <v>2858</v>
      </c>
      <c r="B209" s="6" t="s">
        <v>2866</v>
      </c>
      <c r="C209" s="6" t="s">
        <v>2862</v>
      </c>
      <c r="D209" s="6" t="s">
        <v>2054</v>
      </c>
      <c r="E209" s="6">
        <v>32072210</v>
      </c>
      <c r="F209" s="6" t="s">
        <v>2074</v>
      </c>
      <c r="G209" s="6" t="s">
        <v>2860</v>
      </c>
      <c r="H209" s="6" t="s">
        <v>62</v>
      </c>
    </row>
    <row r="210" spans="1:8" x14ac:dyDescent="0.3">
      <c r="A210" s="6" t="s">
        <v>2858</v>
      </c>
      <c r="B210" s="6" t="s">
        <v>2866</v>
      </c>
      <c r="C210" s="6" t="s">
        <v>2862</v>
      </c>
      <c r="D210" s="6" t="s">
        <v>2078</v>
      </c>
      <c r="E210" s="6">
        <v>32045559</v>
      </c>
      <c r="F210" s="6" t="s">
        <v>2079</v>
      </c>
      <c r="G210" s="6" t="s">
        <v>2860</v>
      </c>
      <c r="H210" s="6" t="s">
        <v>47</v>
      </c>
    </row>
    <row r="211" spans="1:8" x14ac:dyDescent="0.3">
      <c r="A211" s="6" t="s">
        <v>2858</v>
      </c>
      <c r="B211" s="6" t="s">
        <v>2866</v>
      </c>
      <c r="C211" s="6" t="s">
        <v>2862</v>
      </c>
      <c r="D211" s="6" t="s">
        <v>2081</v>
      </c>
      <c r="E211" s="6">
        <v>32043914</v>
      </c>
      <c r="F211" s="6" t="s">
        <v>2082</v>
      </c>
      <c r="G211" s="6" t="s">
        <v>2860</v>
      </c>
      <c r="H211" s="6" t="s">
        <v>38</v>
      </c>
    </row>
    <row r="212" spans="1:8" x14ac:dyDescent="0.3">
      <c r="A212" s="6" t="s">
        <v>2858</v>
      </c>
      <c r="B212" s="6" t="s">
        <v>2866</v>
      </c>
      <c r="C212" s="6" t="s">
        <v>2862</v>
      </c>
      <c r="D212" s="6" t="s">
        <v>2066</v>
      </c>
      <c r="E212" s="6">
        <v>32044817</v>
      </c>
      <c r="F212" s="6" t="s">
        <v>2084</v>
      </c>
      <c r="G212" s="6" t="s">
        <v>2860</v>
      </c>
      <c r="H212" s="6" t="s">
        <v>44</v>
      </c>
    </row>
    <row r="213" spans="1:8" x14ac:dyDescent="0.3">
      <c r="A213" s="6" t="s">
        <v>2858</v>
      </c>
      <c r="B213" s="6" t="s">
        <v>2866</v>
      </c>
      <c r="C213" s="6" t="s">
        <v>2862</v>
      </c>
      <c r="D213" s="6" t="s">
        <v>2060</v>
      </c>
      <c r="E213" s="6">
        <v>32045543</v>
      </c>
      <c r="F213" s="6" t="s">
        <v>2069</v>
      </c>
      <c r="G213" s="6" t="s">
        <v>2860</v>
      </c>
      <c r="H213" s="6" t="s">
        <v>35</v>
      </c>
    </row>
    <row r="214" spans="1:8" x14ac:dyDescent="0.3">
      <c r="A214" s="6" t="s">
        <v>2858</v>
      </c>
      <c r="B214" s="6" t="s">
        <v>2866</v>
      </c>
      <c r="C214" s="6" t="s">
        <v>2862</v>
      </c>
      <c r="D214" s="6" t="s">
        <v>2060</v>
      </c>
      <c r="E214" s="6">
        <v>32155923</v>
      </c>
      <c r="F214" s="6" t="s">
        <v>2086</v>
      </c>
      <c r="G214" s="6" t="s">
        <v>2860</v>
      </c>
      <c r="H214" s="6" t="s">
        <v>41</v>
      </c>
    </row>
    <row r="215" spans="1:8" x14ac:dyDescent="0.3">
      <c r="A215" s="6" t="s">
        <v>2858</v>
      </c>
      <c r="B215" s="6" t="s">
        <v>2866</v>
      </c>
      <c r="C215" s="6" t="s">
        <v>2862</v>
      </c>
      <c r="D215" s="6" t="s">
        <v>2882</v>
      </c>
      <c r="E215" s="6">
        <v>32217652</v>
      </c>
      <c r="F215" s="6" t="s">
        <v>2072</v>
      </c>
      <c r="G215" s="6" t="s">
        <v>2344</v>
      </c>
      <c r="H215" s="6" t="s">
        <v>2882</v>
      </c>
    </row>
    <row r="216" spans="1:8" x14ac:dyDescent="0.3">
      <c r="A216" s="6" t="s">
        <v>2858</v>
      </c>
      <c r="B216" s="6" t="s">
        <v>2210</v>
      </c>
      <c r="C216" s="6" t="s">
        <v>2859</v>
      </c>
      <c r="D216" s="6" t="s">
        <v>2882</v>
      </c>
      <c r="E216" s="6">
        <v>32068308</v>
      </c>
      <c r="F216" s="6" t="s">
        <v>2211</v>
      </c>
      <c r="G216" s="6" t="s">
        <v>2344</v>
      </c>
      <c r="H216" s="6" t="s">
        <v>2882</v>
      </c>
    </row>
    <row r="217" spans="1:8" x14ac:dyDescent="0.3">
      <c r="A217" s="6" t="s">
        <v>2858</v>
      </c>
      <c r="B217" s="6" t="s">
        <v>2210</v>
      </c>
      <c r="C217" s="6" t="s">
        <v>2859</v>
      </c>
      <c r="D217" s="6" t="s">
        <v>2182</v>
      </c>
      <c r="E217" s="6">
        <v>32045843</v>
      </c>
      <c r="F217" s="6" t="s">
        <v>2214</v>
      </c>
      <c r="G217" s="6" t="s">
        <v>2860</v>
      </c>
      <c r="H217" s="6" t="s">
        <v>35</v>
      </c>
    </row>
    <row r="218" spans="1:8" x14ac:dyDescent="0.3">
      <c r="A218" s="6" t="s">
        <v>2858</v>
      </c>
      <c r="B218" s="6" t="s">
        <v>2210</v>
      </c>
      <c r="C218" s="6" t="s">
        <v>2859</v>
      </c>
      <c r="D218" s="6" t="s">
        <v>2182</v>
      </c>
      <c r="E218" s="6">
        <v>32072205</v>
      </c>
      <c r="F218" s="6" t="s">
        <v>2215</v>
      </c>
      <c r="G218" s="6" t="s">
        <v>2860</v>
      </c>
      <c r="H218" s="6" t="s">
        <v>44</v>
      </c>
    </row>
    <row r="219" spans="1:8" x14ac:dyDescent="0.3">
      <c r="A219" s="6" t="s">
        <v>2858</v>
      </c>
      <c r="B219" s="6" t="s">
        <v>2210</v>
      </c>
      <c r="C219" s="6" t="s">
        <v>2859</v>
      </c>
      <c r="D219" s="6" t="s">
        <v>2182</v>
      </c>
      <c r="E219" s="6">
        <v>32043831</v>
      </c>
      <c r="F219" s="6" t="s">
        <v>2217</v>
      </c>
      <c r="G219" s="6" t="s">
        <v>2860</v>
      </c>
      <c r="H219" s="6" t="s">
        <v>38</v>
      </c>
    </row>
    <row r="220" spans="1:8" x14ac:dyDescent="0.3">
      <c r="A220" s="6" t="s">
        <v>2858</v>
      </c>
      <c r="B220" s="6" t="s">
        <v>2210</v>
      </c>
      <c r="C220" s="6" t="s">
        <v>2859</v>
      </c>
      <c r="D220" s="6" t="s">
        <v>2182</v>
      </c>
      <c r="E220" s="6">
        <v>32149265</v>
      </c>
      <c r="F220" s="6" t="s">
        <v>2216</v>
      </c>
      <c r="G220" s="6" t="s">
        <v>2860</v>
      </c>
      <c r="H220" s="6" t="s">
        <v>47</v>
      </c>
    </row>
    <row r="221" spans="1:8" x14ac:dyDescent="0.3">
      <c r="A221" s="6" t="s">
        <v>2858</v>
      </c>
      <c r="B221" s="6" t="s">
        <v>2210</v>
      </c>
      <c r="C221" s="6" t="s">
        <v>2859</v>
      </c>
      <c r="D221" s="6" t="s">
        <v>2182</v>
      </c>
      <c r="E221" s="6">
        <v>32043918</v>
      </c>
      <c r="F221" s="6" t="s">
        <v>2213</v>
      </c>
      <c r="G221" s="6" t="s">
        <v>2860</v>
      </c>
      <c r="H221" s="6" t="s">
        <v>41</v>
      </c>
    </row>
    <row r="222" spans="1:8" x14ac:dyDescent="0.3">
      <c r="A222" s="6" t="s">
        <v>2858</v>
      </c>
      <c r="B222" s="6" t="s">
        <v>2210</v>
      </c>
      <c r="C222" s="6" t="s">
        <v>2859</v>
      </c>
      <c r="D222" s="6" t="s">
        <v>2182</v>
      </c>
      <c r="E222" s="6">
        <v>32045926</v>
      </c>
      <c r="F222" s="6" t="s">
        <v>2218</v>
      </c>
      <c r="G222" s="6" t="s">
        <v>2860</v>
      </c>
      <c r="H222" s="6" t="s">
        <v>44</v>
      </c>
    </row>
    <row r="223" spans="1:8" x14ac:dyDescent="0.3">
      <c r="A223" s="6" t="s">
        <v>2858</v>
      </c>
      <c r="B223" s="6" t="s">
        <v>2210</v>
      </c>
      <c r="C223" s="6" t="s">
        <v>2859</v>
      </c>
      <c r="D223" s="6" t="s">
        <v>2182</v>
      </c>
      <c r="E223" s="6">
        <v>32044605</v>
      </c>
      <c r="F223" s="6" t="s">
        <v>2212</v>
      </c>
      <c r="G223" s="6" t="s">
        <v>2860</v>
      </c>
      <c r="H223" s="6" t="s">
        <v>62</v>
      </c>
    </row>
    <row r="224" spans="1:8" x14ac:dyDescent="0.3">
      <c r="A224" s="6" t="s">
        <v>2858</v>
      </c>
      <c r="B224" s="6" t="s">
        <v>2210</v>
      </c>
      <c r="C224" s="6" t="s">
        <v>2859</v>
      </c>
      <c r="D224" s="6" t="s">
        <v>2182</v>
      </c>
      <c r="E224" s="6">
        <v>32044693</v>
      </c>
      <c r="F224" s="6" t="s">
        <v>2219</v>
      </c>
      <c r="G224" s="6" t="s">
        <v>2860</v>
      </c>
      <c r="H224" s="6" t="s">
        <v>62</v>
      </c>
    </row>
    <row r="225" spans="1:8" x14ac:dyDescent="0.3">
      <c r="A225" s="6" t="s">
        <v>2858</v>
      </c>
      <c r="B225" s="6" t="s">
        <v>2995</v>
      </c>
      <c r="C225" s="6" t="s">
        <v>2861</v>
      </c>
      <c r="D225" s="6">
        <v>7</v>
      </c>
      <c r="E225" s="6">
        <v>32147381</v>
      </c>
      <c r="F225" s="6" t="s">
        <v>2996</v>
      </c>
      <c r="G225" s="6" t="s">
        <v>2344</v>
      </c>
      <c r="H225" s="6" t="s">
        <v>2882</v>
      </c>
    </row>
    <row r="226" spans="1:8" x14ac:dyDescent="0.3">
      <c r="A226" s="6" t="s">
        <v>2858</v>
      </c>
      <c r="B226" s="6" t="s">
        <v>2995</v>
      </c>
      <c r="C226" s="6" t="s">
        <v>2861</v>
      </c>
      <c r="D226" s="6">
        <v>7</v>
      </c>
      <c r="E226" s="6">
        <v>32197919</v>
      </c>
      <c r="F226" s="6" t="s">
        <v>873</v>
      </c>
      <c r="G226" s="6" t="s">
        <v>2860</v>
      </c>
      <c r="H226" s="6" t="s">
        <v>38</v>
      </c>
    </row>
    <row r="227" spans="1:8" x14ac:dyDescent="0.3">
      <c r="A227" s="6" t="s">
        <v>2858</v>
      </c>
      <c r="B227" s="6" t="s">
        <v>2995</v>
      </c>
      <c r="C227" s="6" t="s">
        <v>2861</v>
      </c>
      <c r="D227" s="6">
        <v>7</v>
      </c>
      <c r="E227" s="6">
        <v>32044451</v>
      </c>
      <c r="F227" s="6" t="s">
        <v>2997</v>
      </c>
      <c r="G227" s="6" t="s">
        <v>2860</v>
      </c>
      <c r="H227" s="6" t="s">
        <v>47</v>
      </c>
    </row>
    <row r="228" spans="1:8" x14ac:dyDescent="0.3">
      <c r="A228" s="6" t="s">
        <v>2858</v>
      </c>
      <c r="B228" s="6" t="s">
        <v>2995</v>
      </c>
      <c r="C228" s="6" t="s">
        <v>2861</v>
      </c>
      <c r="D228" s="6">
        <v>7</v>
      </c>
      <c r="E228" s="6">
        <v>32155903</v>
      </c>
      <c r="F228" s="6" t="s">
        <v>2998</v>
      </c>
      <c r="G228" s="6" t="s">
        <v>2860</v>
      </c>
      <c r="H228" s="6" t="s">
        <v>62</v>
      </c>
    </row>
    <row r="229" spans="1:8" x14ac:dyDescent="0.3">
      <c r="A229" s="6" t="s">
        <v>2858</v>
      </c>
      <c r="B229" s="6" t="s">
        <v>2995</v>
      </c>
      <c r="C229" s="6" t="s">
        <v>2861</v>
      </c>
      <c r="D229" s="6">
        <v>7</v>
      </c>
      <c r="E229" s="6">
        <v>32043822</v>
      </c>
      <c r="F229" s="6" t="s">
        <v>2999</v>
      </c>
      <c r="G229" s="6" t="s">
        <v>2860</v>
      </c>
      <c r="H229" s="6" t="s">
        <v>47</v>
      </c>
    </row>
    <row r="230" spans="1:8" x14ac:dyDescent="0.3">
      <c r="A230" s="6" t="s">
        <v>2858</v>
      </c>
      <c r="B230" s="6" t="s">
        <v>2995</v>
      </c>
      <c r="C230" s="6" t="s">
        <v>2861</v>
      </c>
      <c r="D230" s="6">
        <v>7</v>
      </c>
      <c r="E230" s="6">
        <v>32044326</v>
      </c>
      <c r="F230" s="6" t="s">
        <v>3000</v>
      </c>
      <c r="G230" s="6" t="s">
        <v>2860</v>
      </c>
      <c r="H230" s="6" t="s">
        <v>35</v>
      </c>
    </row>
    <row r="231" spans="1:8" x14ac:dyDescent="0.3">
      <c r="A231" s="6" t="s">
        <v>2858</v>
      </c>
      <c r="B231" s="6" t="s">
        <v>2995</v>
      </c>
      <c r="C231" s="6" t="s">
        <v>2861</v>
      </c>
      <c r="D231" s="6">
        <v>7</v>
      </c>
      <c r="E231" s="6">
        <v>32177944</v>
      </c>
      <c r="F231" s="6" t="s">
        <v>3001</v>
      </c>
      <c r="G231" s="6" t="s">
        <v>2860</v>
      </c>
      <c r="H231" s="6" t="s">
        <v>35</v>
      </c>
    </row>
    <row r="232" spans="1:8" x14ac:dyDescent="0.3">
      <c r="A232" s="6" t="s">
        <v>2858</v>
      </c>
      <c r="B232" s="6" t="s">
        <v>2995</v>
      </c>
      <c r="C232" s="6" t="s">
        <v>2861</v>
      </c>
      <c r="D232" s="6">
        <v>7</v>
      </c>
      <c r="E232" s="6">
        <v>32143045</v>
      </c>
      <c r="F232" s="6" t="s">
        <v>3002</v>
      </c>
      <c r="G232" s="6" t="s">
        <v>2860</v>
      </c>
      <c r="H232" s="6" t="s">
        <v>44</v>
      </c>
    </row>
    <row r="233" spans="1:8" x14ac:dyDescent="0.3">
      <c r="A233" s="6" t="s">
        <v>2858</v>
      </c>
      <c r="B233" s="6" t="s">
        <v>2995</v>
      </c>
      <c r="C233" s="6" t="s">
        <v>2861</v>
      </c>
      <c r="D233" s="6">
        <v>7</v>
      </c>
      <c r="E233" s="6">
        <v>32045785</v>
      </c>
      <c r="F233" s="6" t="s">
        <v>3003</v>
      </c>
      <c r="G233" s="6" t="s">
        <v>2860</v>
      </c>
      <c r="H233" s="6" t="s">
        <v>38</v>
      </c>
    </row>
    <row r="234" spans="1:8" x14ac:dyDescent="0.3">
      <c r="A234" s="6" t="s">
        <v>2858</v>
      </c>
      <c r="B234" s="6" t="s">
        <v>2995</v>
      </c>
      <c r="C234" s="6" t="s">
        <v>2861</v>
      </c>
      <c r="D234" s="6">
        <v>7</v>
      </c>
      <c r="E234" s="6">
        <v>32149065</v>
      </c>
      <c r="F234" s="6" t="s">
        <v>3004</v>
      </c>
      <c r="G234" s="6" t="s">
        <v>2860</v>
      </c>
      <c r="H234" s="6" t="s">
        <v>47</v>
      </c>
    </row>
    <row r="235" spans="1:8" x14ac:dyDescent="0.3">
      <c r="A235" s="6" t="s">
        <v>2858</v>
      </c>
      <c r="B235" s="6" t="s">
        <v>2995</v>
      </c>
      <c r="C235" s="6" t="s">
        <v>2861</v>
      </c>
      <c r="D235" s="6">
        <v>7</v>
      </c>
      <c r="E235" s="6">
        <v>32197887</v>
      </c>
      <c r="F235" s="6" t="s">
        <v>3005</v>
      </c>
      <c r="G235" s="6" t="s">
        <v>2860</v>
      </c>
      <c r="H235" s="6" t="s">
        <v>44</v>
      </c>
    </row>
    <row r="236" spans="1:8" x14ac:dyDescent="0.3">
      <c r="A236" s="6" t="s">
        <v>2858</v>
      </c>
      <c r="B236" s="6" t="s">
        <v>2995</v>
      </c>
      <c r="C236" s="6" t="s">
        <v>2861</v>
      </c>
      <c r="D236" s="6">
        <v>7</v>
      </c>
      <c r="E236" s="6">
        <v>32155886</v>
      </c>
      <c r="F236" s="6" t="s">
        <v>3006</v>
      </c>
      <c r="G236" s="6" t="s">
        <v>2860</v>
      </c>
      <c r="H236" s="6" t="s">
        <v>47</v>
      </c>
    </row>
    <row r="237" spans="1:8" x14ac:dyDescent="0.3">
      <c r="A237" s="6" t="s">
        <v>2858</v>
      </c>
      <c r="B237" s="6" t="s">
        <v>2995</v>
      </c>
      <c r="C237" s="6" t="s">
        <v>2861</v>
      </c>
      <c r="D237" s="6">
        <v>7</v>
      </c>
      <c r="E237" s="6">
        <v>32143283</v>
      </c>
      <c r="F237" s="6" t="s">
        <v>3007</v>
      </c>
      <c r="G237" s="6" t="s">
        <v>2860</v>
      </c>
      <c r="H237" s="6" t="s">
        <v>38</v>
      </c>
    </row>
    <row r="238" spans="1:8" x14ac:dyDescent="0.3">
      <c r="A238" s="6" t="s">
        <v>2858</v>
      </c>
      <c r="B238" s="6" t="s">
        <v>2995</v>
      </c>
      <c r="C238" s="6" t="s">
        <v>2861</v>
      </c>
      <c r="D238" s="6">
        <v>7</v>
      </c>
      <c r="E238" s="6">
        <v>32045614</v>
      </c>
      <c r="F238" s="6" t="s">
        <v>3008</v>
      </c>
      <c r="G238" s="6" t="s">
        <v>2860</v>
      </c>
      <c r="H238" s="6" t="s">
        <v>38</v>
      </c>
    </row>
    <row r="239" spans="1:8" x14ac:dyDescent="0.3">
      <c r="A239" s="6" t="s">
        <v>2858</v>
      </c>
      <c r="B239" s="6" t="s">
        <v>2995</v>
      </c>
      <c r="C239" s="6" t="s">
        <v>2861</v>
      </c>
      <c r="D239" s="6">
        <v>7</v>
      </c>
      <c r="E239" s="6">
        <v>32043910</v>
      </c>
      <c r="F239" s="6" t="s">
        <v>3009</v>
      </c>
      <c r="G239" s="6" t="s">
        <v>2860</v>
      </c>
      <c r="H239" s="6" t="s">
        <v>35</v>
      </c>
    </row>
    <row r="240" spans="1:8" x14ac:dyDescent="0.3">
      <c r="A240" s="6" t="s">
        <v>2858</v>
      </c>
      <c r="B240" s="6" t="s">
        <v>2995</v>
      </c>
      <c r="C240" s="6" t="s">
        <v>2861</v>
      </c>
      <c r="D240" s="6">
        <v>7</v>
      </c>
      <c r="E240" s="6">
        <v>32044014</v>
      </c>
      <c r="F240" s="6" t="s">
        <v>3010</v>
      </c>
      <c r="G240" s="6" t="s">
        <v>2860</v>
      </c>
      <c r="H240" s="6" t="s">
        <v>62</v>
      </c>
    </row>
    <row r="241" spans="1:8" x14ac:dyDescent="0.3">
      <c r="A241" s="6" t="s">
        <v>2858</v>
      </c>
      <c r="B241" s="6" t="s">
        <v>1869</v>
      </c>
      <c r="C241" s="6" t="s">
        <v>2868</v>
      </c>
      <c r="D241" s="6">
        <v>0</v>
      </c>
      <c r="E241" s="6">
        <v>32044171</v>
      </c>
      <c r="F241" s="6" t="s">
        <v>1872</v>
      </c>
      <c r="G241" s="6" t="s">
        <v>2860</v>
      </c>
      <c r="H241" s="6" t="s">
        <v>38</v>
      </c>
    </row>
    <row r="242" spans="1:8" x14ac:dyDescent="0.3">
      <c r="A242" s="6" t="s">
        <v>2858</v>
      </c>
      <c r="B242" s="6" t="s">
        <v>1869</v>
      </c>
      <c r="C242" s="6" t="s">
        <v>2868</v>
      </c>
      <c r="D242" s="6">
        <v>0</v>
      </c>
      <c r="E242" s="6">
        <v>32222294</v>
      </c>
      <c r="F242" s="6" t="s">
        <v>1874</v>
      </c>
      <c r="G242" s="6" t="s">
        <v>2860</v>
      </c>
      <c r="H242" s="6" t="s">
        <v>47</v>
      </c>
    </row>
    <row r="243" spans="1:8" x14ac:dyDescent="0.3">
      <c r="A243" s="6" t="s">
        <v>2858</v>
      </c>
      <c r="B243" s="6" t="s">
        <v>1869</v>
      </c>
      <c r="C243" s="6" t="s">
        <v>2868</v>
      </c>
      <c r="D243" s="6">
        <v>0</v>
      </c>
      <c r="E243" s="6">
        <v>32132176</v>
      </c>
      <c r="F243" s="6" t="s">
        <v>1878</v>
      </c>
      <c r="G243" s="6" t="s">
        <v>2860</v>
      </c>
      <c r="H243" s="6" t="s">
        <v>44</v>
      </c>
    </row>
    <row r="244" spans="1:8" x14ac:dyDescent="0.3">
      <c r="A244" s="6" t="s">
        <v>2858</v>
      </c>
      <c r="B244" s="6" t="s">
        <v>1869</v>
      </c>
      <c r="C244" s="6" t="s">
        <v>2868</v>
      </c>
      <c r="D244" s="6">
        <v>0</v>
      </c>
      <c r="E244" s="6">
        <v>32136495</v>
      </c>
      <c r="F244" s="6" t="s">
        <v>1880</v>
      </c>
      <c r="G244" s="6" t="s">
        <v>2860</v>
      </c>
      <c r="H244" s="6" t="s">
        <v>41</v>
      </c>
    </row>
    <row r="245" spans="1:8" x14ac:dyDescent="0.3">
      <c r="A245" s="6" t="s">
        <v>2858</v>
      </c>
      <c r="B245" s="6" t="s">
        <v>1869</v>
      </c>
      <c r="C245" s="6" t="s">
        <v>2868</v>
      </c>
      <c r="D245" s="6">
        <v>0</v>
      </c>
      <c r="E245" s="6">
        <v>32046099</v>
      </c>
      <c r="F245" s="6" t="s">
        <v>1882</v>
      </c>
      <c r="G245" s="6" t="s">
        <v>2860</v>
      </c>
      <c r="H245" s="6" t="s">
        <v>44</v>
      </c>
    </row>
    <row r="246" spans="1:8" x14ac:dyDescent="0.3">
      <c r="A246" s="6" t="s">
        <v>2858</v>
      </c>
      <c r="B246" s="6" t="s">
        <v>1869</v>
      </c>
      <c r="C246" s="6" t="s">
        <v>2868</v>
      </c>
      <c r="D246" s="6">
        <v>0</v>
      </c>
      <c r="E246" s="6">
        <v>32043967</v>
      </c>
      <c r="F246" s="6" t="s">
        <v>1884</v>
      </c>
      <c r="G246" s="6" t="s">
        <v>2860</v>
      </c>
      <c r="H246" s="6" t="s">
        <v>35</v>
      </c>
    </row>
    <row r="247" spans="1:8" x14ac:dyDescent="0.3">
      <c r="A247" s="6" t="s">
        <v>2858</v>
      </c>
      <c r="B247" s="6" t="s">
        <v>1869</v>
      </c>
      <c r="C247" s="6" t="s">
        <v>2868</v>
      </c>
      <c r="D247" s="6">
        <v>0</v>
      </c>
      <c r="E247" s="6">
        <v>32043915</v>
      </c>
      <c r="F247" s="6" t="s">
        <v>1886</v>
      </c>
      <c r="G247" s="6" t="s">
        <v>2860</v>
      </c>
      <c r="H247" s="6" t="s">
        <v>1584</v>
      </c>
    </row>
    <row r="248" spans="1:8" x14ac:dyDescent="0.3">
      <c r="A248" s="6" t="s">
        <v>2858</v>
      </c>
      <c r="B248" s="6" t="s">
        <v>1869</v>
      </c>
      <c r="C248" s="6" t="s">
        <v>2868</v>
      </c>
      <c r="D248" s="6">
        <v>0</v>
      </c>
      <c r="E248" s="6">
        <v>32043836</v>
      </c>
      <c r="F248" s="6" t="s">
        <v>1890</v>
      </c>
      <c r="G248" s="6" t="s">
        <v>2860</v>
      </c>
      <c r="H248" s="6" t="s">
        <v>41</v>
      </c>
    </row>
    <row r="249" spans="1:8" x14ac:dyDescent="0.3">
      <c r="A249" s="6" t="s">
        <v>2858</v>
      </c>
      <c r="B249" s="6" t="s">
        <v>1869</v>
      </c>
      <c r="C249" s="6" t="s">
        <v>2868</v>
      </c>
      <c r="D249" s="6">
        <v>0</v>
      </c>
      <c r="E249" s="6">
        <v>32043856</v>
      </c>
      <c r="F249" s="6" t="s">
        <v>1892</v>
      </c>
      <c r="G249" s="6" t="s">
        <v>2860</v>
      </c>
      <c r="H249" s="6" t="s">
        <v>35</v>
      </c>
    </row>
    <row r="250" spans="1:8" x14ac:dyDescent="0.3">
      <c r="A250" s="6" t="s">
        <v>2858</v>
      </c>
      <c r="B250" s="6" t="s">
        <v>1869</v>
      </c>
      <c r="C250" s="6" t="s">
        <v>2868</v>
      </c>
      <c r="D250" s="6" t="s">
        <v>2882</v>
      </c>
      <c r="E250" s="6">
        <v>32172003</v>
      </c>
      <c r="F250" s="6" t="s">
        <v>1870</v>
      </c>
      <c r="G250" s="6" t="s">
        <v>2344</v>
      </c>
      <c r="H250" s="6" t="s">
        <v>2882</v>
      </c>
    </row>
    <row r="251" spans="1:8" x14ac:dyDescent="0.3">
      <c r="A251" s="6" t="s">
        <v>2858</v>
      </c>
      <c r="B251" s="6" t="s">
        <v>2273</v>
      </c>
      <c r="C251" s="6" t="s">
        <v>2859</v>
      </c>
      <c r="D251" s="6" t="s">
        <v>2235</v>
      </c>
      <c r="E251" s="6">
        <v>32044072</v>
      </c>
      <c r="F251" s="6" t="s">
        <v>2280</v>
      </c>
      <c r="G251" s="6" t="s">
        <v>2860</v>
      </c>
      <c r="H251" s="6" t="s">
        <v>35</v>
      </c>
    </row>
    <row r="252" spans="1:8" x14ac:dyDescent="0.3">
      <c r="A252" s="6" t="s">
        <v>2858</v>
      </c>
      <c r="B252" s="6" t="s">
        <v>2273</v>
      </c>
      <c r="C252" s="6" t="s">
        <v>2859</v>
      </c>
      <c r="D252" s="6" t="s">
        <v>2235</v>
      </c>
      <c r="E252" s="6">
        <v>32044814</v>
      </c>
      <c r="F252" s="6" t="s">
        <v>2278</v>
      </c>
      <c r="G252" s="6" t="s">
        <v>2860</v>
      </c>
      <c r="H252" s="6" t="s">
        <v>62</v>
      </c>
    </row>
    <row r="253" spans="1:8" x14ac:dyDescent="0.3">
      <c r="A253" s="6" t="s">
        <v>2858</v>
      </c>
      <c r="B253" s="6" t="s">
        <v>2273</v>
      </c>
      <c r="C253" s="6" t="s">
        <v>2859</v>
      </c>
      <c r="D253" s="6" t="s">
        <v>2235</v>
      </c>
      <c r="E253" s="6">
        <v>32043950</v>
      </c>
      <c r="F253" s="6" t="s">
        <v>2275</v>
      </c>
      <c r="G253" s="6" t="s">
        <v>2860</v>
      </c>
      <c r="H253" s="6" t="s">
        <v>38</v>
      </c>
    </row>
    <row r="254" spans="1:8" x14ac:dyDescent="0.3">
      <c r="A254" s="6" t="s">
        <v>2858</v>
      </c>
      <c r="B254" s="6" t="s">
        <v>2273</v>
      </c>
      <c r="C254" s="6" t="s">
        <v>2859</v>
      </c>
      <c r="D254" s="6" t="s">
        <v>2235</v>
      </c>
      <c r="E254" s="6">
        <v>32146281</v>
      </c>
      <c r="F254" s="6" t="s">
        <v>2282</v>
      </c>
      <c r="G254" s="6" t="s">
        <v>2860</v>
      </c>
      <c r="H254" s="6" t="s">
        <v>41</v>
      </c>
    </row>
    <row r="255" spans="1:8" x14ac:dyDescent="0.3">
      <c r="A255" s="6" t="s">
        <v>2858</v>
      </c>
      <c r="B255" s="6" t="s">
        <v>2273</v>
      </c>
      <c r="C255" s="6" t="s">
        <v>2859</v>
      </c>
      <c r="D255" s="6" t="s">
        <v>2235</v>
      </c>
      <c r="E255" s="6">
        <v>32045476</v>
      </c>
      <c r="F255" s="6" t="s">
        <v>2283</v>
      </c>
      <c r="G255" s="6" t="s">
        <v>2860</v>
      </c>
      <c r="H255" s="6" t="s">
        <v>44</v>
      </c>
    </row>
    <row r="256" spans="1:8" x14ac:dyDescent="0.3">
      <c r="A256" s="6" t="s">
        <v>2858</v>
      </c>
      <c r="B256" s="6" t="s">
        <v>2273</v>
      </c>
      <c r="C256" s="6" t="s">
        <v>2859</v>
      </c>
      <c r="D256" s="6" t="s">
        <v>2235</v>
      </c>
      <c r="E256" s="6">
        <v>32146000</v>
      </c>
      <c r="F256" s="6" t="s">
        <v>2277</v>
      </c>
      <c r="G256" s="6" t="s">
        <v>2860</v>
      </c>
      <c r="H256" s="6" t="s">
        <v>44</v>
      </c>
    </row>
    <row r="257" spans="1:8" x14ac:dyDescent="0.3">
      <c r="A257" s="6" t="s">
        <v>2858</v>
      </c>
      <c r="B257" s="6" t="s">
        <v>2273</v>
      </c>
      <c r="C257" s="6" t="s">
        <v>2859</v>
      </c>
      <c r="D257" s="6" t="s">
        <v>2235</v>
      </c>
      <c r="E257" s="6">
        <v>32061266</v>
      </c>
      <c r="F257" s="558" t="s">
        <v>2281</v>
      </c>
      <c r="G257" s="6" t="s">
        <v>2860</v>
      </c>
      <c r="H257" s="6" t="s">
        <v>47</v>
      </c>
    </row>
    <row r="258" spans="1:8" x14ac:dyDescent="0.3">
      <c r="A258" s="6" t="s">
        <v>2858</v>
      </c>
      <c r="B258" s="6" t="s">
        <v>2273</v>
      </c>
      <c r="C258" s="6" t="s">
        <v>2859</v>
      </c>
      <c r="D258" s="6" t="s">
        <v>2235</v>
      </c>
      <c r="E258" s="6">
        <v>32044357</v>
      </c>
      <c r="F258" s="6" t="s">
        <v>2279</v>
      </c>
      <c r="G258" s="6" t="s">
        <v>2860</v>
      </c>
      <c r="H258" s="6" t="s">
        <v>38</v>
      </c>
    </row>
    <row r="259" spans="1:8" x14ac:dyDescent="0.3">
      <c r="A259" s="6" t="s">
        <v>2858</v>
      </c>
      <c r="B259" s="6" t="s">
        <v>2273</v>
      </c>
      <c r="C259" s="6" t="s">
        <v>2859</v>
      </c>
      <c r="D259" s="6" t="s">
        <v>2882</v>
      </c>
      <c r="E259" s="6">
        <v>32044061</v>
      </c>
      <c r="F259" s="6" t="s">
        <v>2274</v>
      </c>
      <c r="G259" s="6" t="s">
        <v>2344</v>
      </c>
      <c r="H259" s="6" t="s">
        <v>2882</v>
      </c>
    </row>
    <row r="260" spans="1:8" x14ac:dyDescent="0.3">
      <c r="A260" s="6" t="s">
        <v>2858</v>
      </c>
      <c r="B260" s="6" t="s">
        <v>3011</v>
      </c>
      <c r="C260" s="6" t="s">
        <v>2861</v>
      </c>
      <c r="D260" s="6">
        <v>6</v>
      </c>
      <c r="E260" s="6">
        <v>32156641</v>
      </c>
      <c r="F260" s="6" t="s">
        <v>3012</v>
      </c>
      <c r="G260" s="6" t="s">
        <v>2344</v>
      </c>
      <c r="H260" s="6" t="s">
        <v>2882</v>
      </c>
    </row>
    <row r="261" spans="1:8" x14ac:dyDescent="0.3">
      <c r="A261" s="6" t="s">
        <v>2858</v>
      </c>
      <c r="B261" s="6" t="s">
        <v>3011</v>
      </c>
      <c r="C261" s="6" t="s">
        <v>2861</v>
      </c>
      <c r="D261" s="6">
        <v>6</v>
      </c>
      <c r="E261" s="6">
        <v>32171442</v>
      </c>
      <c r="F261" s="6" t="s">
        <v>3013</v>
      </c>
      <c r="G261" s="6" t="s">
        <v>2860</v>
      </c>
      <c r="H261" s="6" t="s">
        <v>62</v>
      </c>
    </row>
    <row r="262" spans="1:8" x14ac:dyDescent="0.3">
      <c r="A262" s="6" t="s">
        <v>2858</v>
      </c>
      <c r="B262" s="6" t="s">
        <v>3011</v>
      </c>
      <c r="C262" s="6" t="s">
        <v>2861</v>
      </c>
      <c r="D262" s="6">
        <v>6</v>
      </c>
      <c r="E262" s="6">
        <v>32153098</v>
      </c>
      <c r="F262" s="6" t="s">
        <v>3014</v>
      </c>
      <c r="G262" s="6" t="s">
        <v>2860</v>
      </c>
      <c r="H262" s="6" t="s">
        <v>35</v>
      </c>
    </row>
    <row r="263" spans="1:8" x14ac:dyDescent="0.3">
      <c r="A263" s="6" t="s">
        <v>2858</v>
      </c>
      <c r="B263" s="6" t="s">
        <v>3011</v>
      </c>
      <c r="C263" s="6" t="s">
        <v>2861</v>
      </c>
      <c r="D263" s="6">
        <v>6</v>
      </c>
      <c r="E263" s="6">
        <v>32045625</v>
      </c>
      <c r="F263" s="6" t="s">
        <v>3015</v>
      </c>
      <c r="G263" s="6" t="s">
        <v>2860</v>
      </c>
      <c r="H263" s="6" t="s">
        <v>44</v>
      </c>
    </row>
    <row r="264" spans="1:8" x14ac:dyDescent="0.3">
      <c r="A264" s="6" t="s">
        <v>2858</v>
      </c>
      <c r="B264" s="6" t="s">
        <v>3011</v>
      </c>
      <c r="C264" s="6" t="s">
        <v>2861</v>
      </c>
      <c r="D264" s="6">
        <v>6</v>
      </c>
      <c r="E264" s="6">
        <v>32136718</v>
      </c>
      <c r="F264" s="6" t="s">
        <v>3016</v>
      </c>
      <c r="G264" s="6" t="s">
        <v>2860</v>
      </c>
      <c r="H264" s="6" t="s">
        <v>44</v>
      </c>
    </row>
    <row r="265" spans="1:8" x14ac:dyDescent="0.3">
      <c r="A265" s="6" t="s">
        <v>2858</v>
      </c>
      <c r="B265" s="6" t="s">
        <v>3011</v>
      </c>
      <c r="C265" s="6" t="s">
        <v>2861</v>
      </c>
      <c r="D265" s="6">
        <v>6</v>
      </c>
      <c r="E265" s="6">
        <v>32198298</v>
      </c>
      <c r="F265" s="6" t="s">
        <v>3017</v>
      </c>
      <c r="G265" s="6" t="s">
        <v>2860</v>
      </c>
      <c r="H265" s="6" t="s">
        <v>41</v>
      </c>
    </row>
    <row r="266" spans="1:8" x14ac:dyDescent="0.3">
      <c r="A266" s="6" t="s">
        <v>2858</v>
      </c>
      <c r="B266" s="6" t="s">
        <v>3011</v>
      </c>
      <c r="C266" s="6" t="s">
        <v>2861</v>
      </c>
      <c r="D266" s="6">
        <v>6</v>
      </c>
      <c r="E266" s="6">
        <v>32148867</v>
      </c>
      <c r="F266" s="6" t="s">
        <v>3018</v>
      </c>
      <c r="G266" s="6" t="s">
        <v>2860</v>
      </c>
      <c r="H266" s="6" t="s">
        <v>62</v>
      </c>
    </row>
    <row r="267" spans="1:8" x14ac:dyDescent="0.3">
      <c r="A267" s="6" t="s">
        <v>2858</v>
      </c>
      <c r="B267" s="6" t="s">
        <v>3011</v>
      </c>
      <c r="C267" s="6" t="s">
        <v>2861</v>
      </c>
      <c r="D267" s="6">
        <v>6</v>
      </c>
      <c r="E267" s="6">
        <v>32197892</v>
      </c>
      <c r="F267" s="6" t="s">
        <v>3019</v>
      </c>
      <c r="G267" s="6" t="s">
        <v>2860</v>
      </c>
      <c r="H267" s="6" t="s">
        <v>47</v>
      </c>
    </row>
    <row r="268" spans="1:8" x14ac:dyDescent="0.3">
      <c r="A268" s="6" t="s">
        <v>2858</v>
      </c>
      <c r="B268" s="6" t="s">
        <v>3011</v>
      </c>
      <c r="C268" s="6" t="s">
        <v>2861</v>
      </c>
      <c r="D268" s="6">
        <v>6</v>
      </c>
      <c r="E268" s="6">
        <v>32045186</v>
      </c>
      <c r="F268" s="6" t="s">
        <v>3020</v>
      </c>
      <c r="G268" s="6" t="s">
        <v>2860</v>
      </c>
      <c r="H268" s="6" t="s">
        <v>35</v>
      </c>
    </row>
    <row r="269" spans="1:8" x14ac:dyDescent="0.3">
      <c r="A269" s="6" t="s">
        <v>2858</v>
      </c>
      <c r="B269" s="6" t="s">
        <v>3011</v>
      </c>
      <c r="C269" s="6" t="s">
        <v>2861</v>
      </c>
      <c r="D269" s="6">
        <v>6</v>
      </c>
      <c r="E269" s="6">
        <v>32045964</v>
      </c>
      <c r="F269" s="6" t="s">
        <v>3021</v>
      </c>
      <c r="G269" s="6" t="s">
        <v>2860</v>
      </c>
      <c r="H269" s="6" t="s">
        <v>1584</v>
      </c>
    </row>
    <row r="270" spans="1:8" x14ac:dyDescent="0.3">
      <c r="A270" s="6" t="s">
        <v>2858</v>
      </c>
      <c r="B270" s="6" t="s">
        <v>3011</v>
      </c>
      <c r="C270" s="6" t="s">
        <v>2861</v>
      </c>
      <c r="D270" s="6">
        <v>6</v>
      </c>
      <c r="E270" s="6">
        <v>32046048</v>
      </c>
      <c r="F270" s="6" t="s">
        <v>3022</v>
      </c>
      <c r="G270" s="6" t="s">
        <v>2860</v>
      </c>
      <c r="H270" s="6" t="s">
        <v>38</v>
      </c>
    </row>
    <row r="271" spans="1:8" x14ac:dyDescent="0.3">
      <c r="A271" s="6" t="s">
        <v>2858</v>
      </c>
      <c r="B271" s="6" t="s">
        <v>3011</v>
      </c>
      <c r="C271" s="6" t="s">
        <v>2861</v>
      </c>
      <c r="D271" s="6">
        <v>6</v>
      </c>
      <c r="E271" s="6">
        <v>32197863</v>
      </c>
      <c r="F271" s="6" t="s">
        <v>3023</v>
      </c>
      <c r="G271" s="6" t="s">
        <v>2860</v>
      </c>
      <c r="H271" s="6" t="s">
        <v>47</v>
      </c>
    </row>
    <row r="272" spans="1:8" x14ac:dyDescent="0.3">
      <c r="A272" s="6" t="s">
        <v>2858</v>
      </c>
      <c r="B272" s="6" t="s">
        <v>3011</v>
      </c>
      <c r="C272" s="6" t="s">
        <v>2861</v>
      </c>
      <c r="D272" s="6">
        <v>6</v>
      </c>
      <c r="E272" s="6">
        <v>32046494</v>
      </c>
      <c r="F272" s="6" t="s">
        <v>3024</v>
      </c>
      <c r="G272" s="6" t="s">
        <v>2860</v>
      </c>
      <c r="H272" s="6" t="s">
        <v>38</v>
      </c>
    </row>
    <row r="273" spans="1:8" x14ac:dyDescent="0.3">
      <c r="A273" s="6" t="s">
        <v>2858</v>
      </c>
      <c r="B273" s="6" t="s">
        <v>3011</v>
      </c>
      <c r="C273" s="6" t="s">
        <v>2861</v>
      </c>
      <c r="D273" s="6">
        <v>6</v>
      </c>
      <c r="E273" s="6">
        <v>32132180</v>
      </c>
      <c r="F273" s="6" t="s">
        <v>3025</v>
      </c>
      <c r="G273" s="6" t="s">
        <v>2860</v>
      </c>
      <c r="H273" s="6" t="s">
        <v>41</v>
      </c>
    </row>
    <row r="274" spans="1:8" x14ac:dyDescent="0.3">
      <c r="A274" s="6" t="s">
        <v>2858</v>
      </c>
      <c r="B274" s="6" t="s">
        <v>3011</v>
      </c>
      <c r="C274" s="6" t="s">
        <v>2861</v>
      </c>
      <c r="D274" s="6">
        <v>6</v>
      </c>
      <c r="E274" s="6">
        <v>32197855</v>
      </c>
      <c r="F274" s="6" t="s">
        <v>3026</v>
      </c>
      <c r="G274" s="6" t="s">
        <v>2860</v>
      </c>
      <c r="H274" s="6" t="s">
        <v>1584</v>
      </c>
    </row>
    <row r="275" spans="1:8" x14ac:dyDescent="0.3">
      <c r="A275" s="6" t="s">
        <v>2858</v>
      </c>
      <c r="B275" s="6" t="s">
        <v>3011</v>
      </c>
      <c r="C275" s="6" t="s">
        <v>2861</v>
      </c>
      <c r="D275" s="6">
        <v>6</v>
      </c>
      <c r="E275" s="6">
        <v>32197853</v>
      </c>
      <c r="F275" s="6" t="s">
        <v>3027</v>
      </c>
      <c r="G275" s="6" t="s">
        <v>2860</v>
      </c>
      <c r="H275" s="6" t="s">
        <v>62</v>
      </c>
    </row>
    <row r="276" spans="1:8" x14ac:dyDescent="0.3">
      <c r="A276" s="6" t="s">
        <v>2858</v>
      </c>
      <c r="B276" s="6" t="s">
        <v>3028</v>
      </c>
      <c r="C276" s="6" t="s">
        <v>2861</v>
      </c>
      <c r="D276" s="6">
        <v>12</v>
      </c>
      <c r="E276" s="6">
        <v>32045392</v>
      </c>
      <c r="F276" s="6" t="s">
        <v>1180</v>
      </c>
      <c r="G276" s="6" t="s">
        <v>2860</v>
      </c>
      <c r="H276" s="6" t="s">
        <v>62</v>
      </c>
    </row>
    <row r="277" spans="1:8" x14ac:dyDescent="0.3">
      <c r="A277" s="6" t="s">
        <v>2858</v>
      </c>
      <c r="B277" s="6" t="s">
        <v>3028</v>
      </c>
      <c r="C277" s="6" t="s">
        <v>2861</v>
      </c>
      <c r="D277" s="6">
        <v>12</v>
      </c>
      <c r="E277" s="6">
        <v>32044228</v>
      </c>
      <c r="F277" s="6" t="s">
        <v>3029</v>
      </c>
      <c r="G277" s="6" t="s">
        <v>2860</v>
      </c>
      <c r="H277" s="6" t="s">
        <v>1584</v>
      </c>
    </row>
    <row r="278" spans="1:8" ht="23.25" customHeight="1" x14ac:dyDescent="0.3">
      <c r="A278" s="6" t="s">
        <v>2858</v>
      </c>
      <c r="B278" s="6" t="s">
        <v>3028</v>
      </c>
      <c r="C278" s="6" t="s">
        <v>2861</v>
      </c>
      <c r="D278" s="6">
        <v>12</v>
      </c>
      <c r="E278" s="6">
        <v>32046515</v>
      </c>
      <c r="F278" s="6" t="s">
        <v>1185</v>
      </c>
      <c r="G278" s="6" t="s">
        <v>2860</v>
      </c>
      <c r="H278" s="6" t="s">
        <v>38</v>
      </c>
    </row>
    <row r="279" spans="1:8" x14ac:dyDescent="0.3">
      <c r="A279" s="6" t="s">
        <v>2858</v>
      </c>
      <c r="B279" s="6" t="s">
        <v>3028</v>
      </c>
      <c r="C279" s="6" t="s">
        <v>2861</v>
      </c>
      <c r="D279" s="6">
        <v>12</v>
      </c>
      <c r="E279" s="6">
        <v>32046089</v>
      </c>
      <c r="F279" s="6" t="s">
        <v>1183</v>
      </c>
      <c r="G279" s="6" t="s">
        <v>2860</v>
      </c>
      <c r="H279" s="6" t="s">
        <v>41</v>
      </c>
    </row>
    <row r="280" spans="1:8" x14ac:dyDescent="0.3">
      <c r="A280" s="6" t="s">
        <v>2858</v>
      </c>
      <c r="B280" s="6" t="s">
        <v>3028</v>
      </c>
      <c r="C280" s="6" t="s">
        <v>2861</v>
      </c>
      <c r="D280" s="6">
        <v>12</v>
      </c>
      <c r="E280" s="6">
        <v>32108994</v>
      </c>
      <c r="F280" s="6" t="s">
        <v>1189</v>
      </c>
      <c r="G280" s="6" t="s">
        <v>2860</v>
      </c>
      <c r="H280" s="6" t="s">
        <v>44</v>
      </c>
    </row>
    <row r="281" spans="1:8" x14ac:dyDescent="0.3">
      <c r="A281" s="6" t="s">
        <v>2858</v>
      </c>
      <c r="B281" s="6" t="s">
        <v>3028</v>
      </c>
      <c r="C281" s="6" t="s">
        <v>2861</v>
      </c>
      <c r="D281" s="6">
        <v>12</v>
      </c>
      <c r="E281" s="6">
        <v>32044156</v>
      </c>
      <c r="F281" s="6" t="s">
        <v>1174</v>
      </c>
      <c r="G281" s="6" t="s">
        <v>2860</v>
      </c>
      <c r="H281" s="6" t="s">
        <v>47</v>
      </c>
    </row>
    <row r="282" spans="1:8" x14ac:dyDescent="0.3">
      <c r="A282" s="6" t="s">
        <v>2858</v>
      </c>
      <c r="B282" s="6" t="s">
        <v>3028</v>
      </c>
      <c r="C282" s="6" t="s">
        <v>2861</v>
      </c>
      <c r="D282" s="6">
        <v>12</v>
      </c>
      <c r="E282" s="6">
        <v>32132048</v>
      </c>
      <c r="F282" s="6" t="s">
        <v>3030</v>
      </c>
      <c r="G282" s="6" t="s">
        <v>2860</v>
      </c>
      <c r="H282" s="6" t="s">
        <v>35</v>
      </c>
    </row>
    <row r="283" spans="1:8" x14ac:dyDescent="0.3">
      <c r="A283" s="6" t="s">
        <v>2858</v>
      </c>
      <c r="B283" s="6" t="s">
        <v>3028</v>
      </c>
      <c r="C283" s="6" t="s">
        <v>2861</v>
      </c>
      <c r="D283" s="6">
        <v>12</v>
      </c>
      <c r="E283" s="6">
        <v>32043890</v>
      </c>
      <c r="F283" s="6" t="s">
        <v>1172</v>
      </c>
      <c r="G283" s="6" t="s">
        <v>2860</v>
      </c>
      <c r="H283" s="6" t="s">
        <v>44</v>
      </c>
    </row>
    <row r="284" spans="1:8" x14ac:dyDescent="0.3">
      <c r="A284" s="6" t="s">
        <v>2858</v>
      </c>
      <c r="B284" s="6" t="s">
        <v>3028</v>
      </c>
      <c r="C284" s="6" t="s">
        <v>2861</v>
      </c>
      <c r="D284" s="6">
        <v>12</v>
      </c>
      <c r="E284" s="6">
        <v>32045179</v>
      </c>
      <c r="F284" s="6" t="s">
        <v>1178</v>
      </c>
      <c r="G284" s="6" t="s">
        <v>2860</v>
      </c>
      <c r="H284" s="6" t="s">
        <v>38</v>
      </c>
    </row>
    <row r="285" spans="1:8" x14ac:dyDescent="0.3">
      <c r="A285" s="6" t="s">
        <v>2858</v>
      </c>
      <c r="B285" s="6" t="s">
        <v>3028</v>
      </c>
      <c r="C285" s="6" t="s">
        <v>2861</v>
      </c>
      <c r="D285" s="6">
        <v>12</v>
      </c>
      <c r="E285" s="6">
        <v>32045643</v>
      </c>
      <c r="F285" s="6" t="s">
        <v>1182</v>
      </c>
      <c r="G285" s="6" t="s">
        <v>2860</v>
      </c>
      <c r="H285" s="6" t="s">
        <v>62</v>
      </c>
    </row>
    <row r="286" spans="1:8" x14ac:dyDescent="0.3">
      <c r="A286" s="6" t="s">
        <v>2858</v>
      </c>
      <c r="B286" s="6" t="s">
        <v>3028</v>
      </c>
      <c r="C286" s="6" t="s">
        <v>2861</v>
      </c>
      <c r="D286" s="6">
        <v>12</v>
      </c>
      <c r="E286" s="6">
        <v>32057876</v>
      </c>
      <c r="F286" s="6" t="s">
        <v>1187</v>
      </c>
      <c r="G286" s="6" t="s">
        <v>2860</v>
      </c>
      <c r="H286" s="6" t="s">
        <v>41</v>
      </c>
    </row>
    <row r="287" spans="1:8" x14ac:dyDescent="0.3">
      <c r="A287" s="6" t="s">
        <v>2858</v>
      </c>
      <c r="B287" s="6" t="s">
        <v>3028</v>
      </c>
      <c r="C287" s="6" t="s">
        <v>2861</v>
      </c>
      <c r="D287" s="6">
        <v>12</v>
      </c>
      <c r="E287" s="6">
        <v>32096563</v>
      </c>
      <c r="F287" s="6" t="s">
        <v>1094</v>
      </c>
      <c r="G287" s="6" t="s">
        <v>2344</v>
      </c>
      <c r="H287" s="6" t="s">
        <v>2882</v>
      </c>
    </row>
    <row r="288" spans="1:8" x14ac:dyDescent="0.3">
      <c r="A288" s="6" t="s">
        <v>2858</v>
      </c>
      <c r="B288" s="6" t="s">
        <v>2248</v>
      </c>
      <c r="C288" s="6" t="s">
        <v>2859</v>
      </c>
      <c r="D288" s="6" t="s">
        <v>2235</v>
      </c>
      <c r="E288" s="6">
        <v>32043999</v>
      </c>
      <c r="F288" s="6" t="s">
        <v>2252</v>
      </c>
      <c r="G288" s="6" t="s">
        <v>2860</v>
      </c>
      <c r="H288" s="6" t="s">
        <v>44</v>
      </c>
    </row>
    <row r="289" spans="1:8" x14ac:dyDescent="0.3">
      <c r="A289" s="6" t="s">
        <v>2858</v>
      </c>
      <c r="B289" s="6" t="s">
        <v>2248</v>
      </c>
      <c r="C289" s="6" t="s">
        <v>2859</v>
      </c>
      <c r="D289" s="6" t="s">
        <v>2235</v>
      </c>
      <c r="E289" s="6">
        <v>32045788</v>
      </c>
      <c r="F289" s="6" t="s">
        <v>2251</v>
      </c>
      <c r="G289" s="6" t="s">
        <v>2860</v>
      </c>
      <c r="H289" s="6" t="s">
        <v>35</v>
      </c>
    </row>
    <row r="290" spans="1:8" x14ac:dyDescent="0.3">
      <c r="A290" s="6" t="s">
        <v>2858</v>
      </c>
      <c r="B290" s="6" t="s">
        <v>2248</v>
      </c>
      <c r="C290" s="6" t="s">
        <v>2859</v>
      </c>
      <c r="D290" s="6" t="s">
        <v>2235</v>
      </c>
      <c r="E290" s="6">
        <v>32044181</v>
      </c>
      <c r="F290" s="6" t="s">
        <v>2249</v>
      </c>
      <c r="G290" s="6" t="s">
        <v>2860</v>
      </c>
      <c r="H290" s="6" t="s">
        <v>41</v>
      </c>
    </row>
    <row r="291" spans="1:8" x14ac:dyDescent="0.3">
      <c r="A291" s="6" t="s">
        <v>2858</v>
      </c>
      <c r="B291" s="6" t="s">
        <v>2248</v>
      </c>
      <c r="C291" s="6" t="s">
        <v>2859</v>
      </c>
      <c r="D291" s="6" t="s">
        <v>2235</v>
      </c>
      <c r="E291" s="6">
        <v>32067987</v>
      </c>
      <c r="F291" s="6" t="s">
        <v>2250</v>
      </c>
      <c r="G291" s="6" t="s">
        <v>2860</v>
      </c>
      <c r="H291" s="6" t="s">
        <v>62</v>
      </c>
    </row>
    <row r="292" spans="1:8" x14ac:dyDescent="0.3">
      <c r="A292" s="6" t="s">
        <v>2858</v>
      </c>
      <c r="B292" s="6" t="s">
        <v>2248</v>
      </c>
      <c r="C292" s="6" t="s">
        <v>2859</v>
      </c>
      <c r="D292" s="6" t="s">
        <v>2882</v>
      </c>
      <c r="E292" s="6">
        <v>32145055</v>
      </c>
      <c r="F292" s="6" t="s">
        <v>2244</v>
      </c>
      <c r="G292" s="6" t="s">
        <v>2344</v>
      </c>
      <c r="H292" s="6" t="s">
        <v>2882</v>
      </c>
    </row>
    <row r="293" spans="1:8" x14ac:dyDescent="0.3">
      <c r="A293" s="6" t="s">
        <v>2858</v>
      </c>
      <c r="B293" s="6" t="s">
        <v>2227</v>
      </c>
      <c r="C293" s="6" t="s">
        <v>2859</v>
      </c>
      <c r="D293" s="6" t="s">
        <v>2182</v>
      </c>
      <c r="E293" s="6">
        <v>32072179</v>
      </c>
      <c r="F293" s="6" t="s">
        <v>2232</v>
      </c>
      <c r="G293" s="6" t="s">
        <v>2860</v>
      </c>
      <c r="H293" s="6" t="s">
        <v>35</v>
      </c>
    </row>
    <row r="294" spans="1:8" x14ac:dyDescent="0.3">
      <c r="A294" s="6" t="s">
        <v>2858</v>
      </c>
      <c r="B294" s="6" t="s">
        <v>2227</v>
      </c>
      <c r="C294" s="6" t="s">
        <v>2859</v>
      </c>
      <c r="D294" s="6" t="s">
        <v>2182</v>
      </c>
      <c r="E294" s="6">
        <v>32146010</v>
      </c>
      <c r="F294" s="6" t="s">
        <v>2234</v>
      </c>
      <c r="G294" s="6" t="s">
        <v>2860</v>
      </c>
      <c r="H294" s="6" t="s">
        <v>41</v>
      </c>
    </row>
    <row r="295" spans="1:8" x14ac:dyDescent="0.3">
      <c r="A295" s="6" t="s">
        <v>2858</v>
      </c>
      <c r="B295" s="6" t="s">
        <v>2227</v>
      </c>
      <c r="C295" s="6" t="s">
        <v>2859</v>
      </c>
      <c r="D295" s="6" t="s">
        <v>2182</v>
      </c>
      <c r="E295" s="6">
        <v>32043744</v>
      </c>
      <c r="F295" s="6" t="s">
        <v>2233</v>
      </c>
      <c r="G295" s="6" t="s">
        <v>2860</v>
      </c>
      <c r="H295" s="6" t="s">
        <v>38</v>
      </c>
    </row>
    <row r="296" spans="1:8" x14ac:dyDescent="0.3">
      <c r="A296" s="6" t="s">
        <v>2858</v>
      </c>
      <c r="B296" s="6" t="s">
        <v>2227</v>
      </c>
      <c r="C296" s="6" t="s">
        <v>2859</v>
      </c>
      <c r="D296" s="6" t="s">
        <v>2182</v>
      </c>
      <c r="E296" s="6">
        <v>32045730</v>
      </c>
      <c r="F296" s="6" t="s">
        <v>2229</v>
      </c>
      <c r="G296" s="6" t="s">
        <v>2860</v>
      </c>
      <c r="H296" s="6" t="s">
        <v>41</v>
      </c>
    </row>
    <row r="297" spans="1:8" x14ac:dyDescent="0.3">
      <c r="A297" s="6" t="s">
        <v>2858</v>
      </c>
      <c r="B297" s="6" t="s">
        <v>2227</v>
      </c>
      <c r="C297" s="6" t="s">
        <v>2859</v>
      </c>
      <c r="D297" s="6" t="s">
        <v>2182</v>
      </c>
      <c r="E297" s="6">
        <v>32044408</v>
      </c>
      <c r="F297" s="6" t="s">
        <v>2230</v>
      </c>
      <c r="G297" s="6" t="s">
        <v>2860</v>
      </c>
      <c r="H297" s="6" t="s">
        <v>62</v>
      </c>
    </row>
    <row r="298" spans="1:8" x14ac:dyDescent="0.3">
      <c r="A298" s="6" t="s">
        <v>2858</v>
      </c>
      <c r="B298" s="6" t="s">
        <v>2227</v>
      </c>
      <c r="C298" s="6" t="s">
        <v>2859</v>
      </c>
      <c r="D298" s="6" t="s">
        <v>2182</v>
      </c>
      <c r="E298" s="6">
        <v>32044529</v>
      </c>
      <c r="F298" s="6" t="s">
        <v>2231</v>
      </c>
      <c r="G298" s="6" t="s">
        <v>2860</v>
      </c>
      <c r="H298" s="6" t="s">
        <v>44</v>
      </c>
    </row>
    <row r="299" spans="1:8" x14ac:dyDescent="0.3">
      <c r="A299" s="6" t="s">
        <v>2858</v>
      </c>
      <c r="B299" s="6" t="s">
        <v>2227</v>
      </c>
      <c r="C299" s="6" t="s">
        <v>2859</v>
      </c>
      <c r="D299" s="6" t="s">
        <v>2882</v>
      </c>
      <c r="E299" s="6">
        <v>32172669</v>
      </c>
      <c r="F299" s="6" t="s">
        <v>2228</v>
      </c>
      <c r="G299" s="6" t="s">
        <v>2344</v>
      </c>
      <c r="H299" s="6" t="s">
        <v>2882</v>
      </c>
    </row>
    <row r="300" spans="1:8" x14ac:dyDescent="0.3">
      <c r="A300" s="6" t="s">
        <v>2858</v>
      </c>
      <c r="B300" s="6" t="str">
        <f>VLOOKUP(E300,'[3]RELACION EQUIPOS AUTO PEO'!$C$5:$E$810,3,FALSE)</f>
        <v xml:space="preserve">EXOTICOS </v>
      </c>
      <c r="C300" s="6" t="s">
        <v>2861</v>
      </c>
      <c r="D300" s="6">
        <f>VLOOKUP(E300,'[3]RELACION EQUIPOS AUTO PEO'!$C$5:$F$810,4,FALSE)</f>
        <v>1</v>
      </c>
      <c r="E300" s="6">
        <v>32143041</v>
      </c>
      <c r="F300" s="6" t="str">
        <f>VLOOKUP(E300,'[3]RELACION EQUIPOS AUTO PEO'!$C$5:$D$810,2,FALSE)</f>
        <v>Jose Isabel Rodriguez De La Cruz</v>
      </c>
      <c r="G300" s="6" t="s">
        <v>2860</v>
      </c>
      <c r="H300" s="6" t="s">
        <v>41</v>
      </c>
    </row>
    <row r="301" spans="1:8" x14ac:dyDescent="0.3">
      <c r="A301" s="6" t="s">
        <v>2858</v>
      </c>
      <c r="B301" s="6" t="s">
        <v>3031</v>
      </c>
      <c r="C301" s="6" t="s">
        <v>2861</v>
      </c>
      <c r="D301" s="6">
        <v>1</v>
      </c>
      <c r="E301" s="6">
        <v>32131837</v>
      </c>
      <c r="F301" s="6" t="s">
        <v>3032</v>
      </c>
      <c r="G301" s="6" t="s">
        <v>2860</v>
      </c>
      <c r="H301" s="6" t="s">
        <v>35</v>
      </c>
    </row>
    <row r="302" spans="1:8" ht="19.5" customHeight="1" x14ac:dyDescent="0.3">
      <c r="A302" s="6" t="s">
        <v>2858</v>
      </c>
      <c r="B302" s="6" t="s">
        <v>3031</v>
      </c>
      <c r="C302" s="6" t="s">
        <v>2861</v>
      </c>
      <c r="D302" s="6">
        <v>1</v>
      </c>
      <c r="E302" s="6">
        <v>32145468</v>
      </c>
      <c r="F302" s="6" t="s">
        <v>3033</v>
      </c>
      <c r="G302" s="6" t="s">
        <v>2860</v>
      </c>
      <c r="H302" s="6" t="s">
        <v>47</v>
      </c>
    </row>
    <row r="303" spans="1:8" x14ac:dyDescent="0.3">
      <c r="A303" s="6" t="s">
        <v>2858</v>
      </c>
      <c r="B303" s="6" t="s">
        <v>3031</v>
      </c>
      <c r="C303" s="6" t="s">
        <v>2861</v>
      </c>
      <c r="D303" s="6">
        <v>1</v>
      </c>
      <c r="E303" s="6">
        <v>32107322</v>
      </c>
      <c r="F303" s="6" t="s">
        <v>3034</v>
      </c>
      <c r="G303" s="6" t="s">
        <v>2860</v>
      </c>
      <c r="H303" s="6" t="s">
        <v>62</v>
      </c>
    </row>
    <row r="304" spans="1:8" x14ac:dyDescent="0.3">
      <c r="A304" s="6" t="s">
        <v>2858</v>
      </c>
      <c r="B304" s="6" t="s">
        <v>3031</v>
      </c>
      <c r="C304" s="6" t="s">
        <v>2861</v>
      </c>
      <c r="D304" s="6">
        <v>1</v>
      </c>
      <c r="E304" s="6">
        <v>32046388</v>
      </c>
      <c r="F304" s="6" t="s">
        <v>3035</v>
      </c>
      <c r="G304" s="6" t="s">
        <v>2860</v>
      </c>
      <c r="H304" s="6" t="s">
        <v>38</v>
      </c>
    </row>
    <row r="305" spans="1:8" x14ac:dyDescent="0.3">
      <c r="A305" s="6" t="s">
        <v>2858</v>
      </c>
      <c r="B305" s="6" t="s">
        <v>3031</v>
      </c>
      <c r="C305" s="6" t="s">
        <v>2861</v>
      </c>
      <c r="D305" s="6">
        <v>1</v>
      </c>
      <c r="E305" s="6">
        <v>32046339</v>
      </c>
      <c r="F305" s="6" t="s">
        <v>3036</v>
      </c>
      <c r="G305" s="6" t="s">
        <v>2860</v>
      </c>
      <c r="H305" s="6" t="s">
        <v>44</v>
      </c>
    </row>
    <row r="306" spans="1:8" ht="16.8" x14ac:dyDescent="0.3">
      <c r="A306" s="6" t="s">
        <v>2858</v>
      </c>
      <c r="B306" s="6" t="s">
        <v>3031</v>
      </c>
      <c r="C306" s="6" t="s">
        <v>2861</v>
      </c>
      <c r="D306" s="6">
        <v>1</v>
      </c>
      <c r="E306" s="6">
        <v>32147380</v>
      </c>
      <c r="F306" s="557" t="s">
        <v>386</v>
      </c>
      <c r="G306" s="6" t="s">
        <v>2344</v>
      </c>
      <c r="H306" s="6" t="s">
        <v>2882</v>
      </c>
    </row>
    <row r="307" spans="1:8" x14ac:dyDescent="0.3">
      <c r="A307" s="6" t="s">
        <v>2858</v>
      </c>
      <c r="B307" s="6" t="s">
        <v>3037</v>
      </c>
      <c r="C307" s="6" t="s">
        <v>2861</v>
      </c>
      <c r="D307" s="6">
        <v>7</v>
      </c>
      <c r="E307" s="6">
        <v>32148202</v>
      </c>
      <c r="F307" s="6" t="s">
        <v>1004</v>
      </c>
      <c r="G307" s="6" t="s">
        <v>2344</v>
      </c>
      <c r="H307" s="6" t="s">
        <v>2882</v>
      </c>
    </row>
    <row r="308" spans="1:8" x14ac:dyDescent="0.3">
      <c r="A308" s="6" t="s">
        <v>2858</v>
      </c>
      <c r="B308" s="6" t="s">
        <v>3037</v>
      </c>
      <c r="C308" s="6" t="s">
        <v>2861</v>
      </c>
      <c r="D308" s="6">
        <v>7</v>
      </c>
      <c r="E308" s="6">
        <v>32046481</v>
      </c>
      <c r="F308" s="6" t="s">
        <v>895</v>
      </c>
      <c r="G308" s="6" t="s">
        <v>2860</v>
      </c>
      <c r="H308" s="6" t="s">
        <v>1584</v>
      </c>
    </row>
    <row r="309" spans="1:8" x14ac:dyDescent="0.3">
      <c r="A309" s="6" t="s">
        <v>2858</v>
      </c>
      <c r="B309" s="6" t="s">
        <v>3037</v>
      </c>
      <c r="C309" s="6" t="s">
        <v>2861</v>
      </c>
      <c r="D309" s="6">
        <v>7</v>
      </c>
      <c r="E309" s="6">
        <v>32045393</v>
      </c>
      <c r="F309" s="6" t="s">
        <v>3038</v>
      </c>
      <c r="G309" s="6" t="s">
        <v>2860</v>
      </c>
      <c r="H309" s="6" t="s">
        <v>44</v>
      </c>
    </row>
    <row r="310" spans="1:8" x14ac:dyDescent="0.3">
      <c r="A310" s="6" t="s">
        <v>2858</v>
      </c>
      <c r="B310" s="6" t="s">
        <v>3037</v>
      </c>
      <c r="C310" s="6" t="s">
        <v>2861</v>
      </c>
      <c r="D310" s="6">
        <v>7</v>
      </c>
      <c r="E310" s="6">
        <v>32148627</v>
      </c>
      <c r="F310" s="6" t="s">
        <v>905</v>
      </c>
      <c r="G310" s="6" t="s">
        <v>2860</v>
      </c>
      <c r="H310" s="6" t="s">
        <v>44</v>
      </c>
    </row>
    <row r="311" spans="1:8" x14ac:dyDescent="0.3">
      <c r="A311" s="6" t="s">
        <v>2858</v>
      </c>
      <c r="B311" s="6" t="s">
        <v>3037</v>
      </c>
      <c r="C311" s="6" t="s">
        <v>2861</v>
      </c>
      <c r="D311" s="6">
        <v>7</v>
      </c>
      <c r="E311" s="6">
        <v>32142977</v>
      </c>
      <c r="F311" s="6" t="s">
        <v>901</v>
      </c>
      <c r="G311" s="6" t="s">
        <v>2860</v>
      </c>
      <c r="H311" s="6" t="s">
        <v>62</v>
      </c>
    </row>
    <row r="312" spans="1:8" x14ac:dyDescent="0.3">
      <c r="A312" s="6" t="s">
        <v>2858</v>
      </c>
      <c r="B312" s="6" t="s">
        <v>3037</v>
      </c>
      <c r="C312" s="6" t="s">
        <v>2861</v>
      </c>
      <c r="D312" s="6">
        <v>7</v>
      </c>
      <c r="E312" s="6">
        <v>32044901</v>
      </c>
      <c r="F312" s="6" t="s">
        <v>887</v>
      </c>
      <c r="G312" s="6" t="s">
        <v>2860</v>
      </c>
      <c r="H312" s="6" t="s">
        <v>35</v>
      </c>
    </row>
    <row r="313" spans="1:8" x14ac:dyDescent="0.3">
      <c r="A313" s="6" t="s">
        <v>2858</v>
      </c>
      <c r="B313" s="6" t="s">
        <v>3037</v>
      </c>
      <c r="C313" s="6" t="s">
        <v>2861</v>
      </c>
      <c r="D313" s="6">
        <v>7</v>
      </c>
      <c r="E313" s="6">
        <v>32044281</v>
      </c>
      <c r="F313" s="6" t="s">
        <v>880</v>
      </c>
      <c r="G313" s="6" t="s">
        <v>2860</v>
      </c>
      <c r="H313" s="6" t="s">
        <v>44</v>
      </c>
    </row>
    <row r="314" spans="1:8" x14ac:dyDescent="0.3">
      <c r="A314" s="6" t="s">
        <v>2858</v>
      </c>
      <c r="B314" s="6" t="s">
        <v>3037</v>
      </c>
      <c r="C314" s="6" t="s">
        <v>2861</v>
      </c>
      <c r="D314" s="6">
        <v>7</v>
      </c>
      <c r="E314" s="6">
        <v>32061461</v>
      </c>
      <c r="F314" s="6" t="s">
        <v>3039</v>
      </c>
      <c r="G314" s="6" t="s">
        <v>2860</v>
      </c>
      <c r="H314" s="6" t="s">
        <v>62</v>
      </c>
    </row>
    <row r="315" spans="1:8" x14ac:dyDescent="0.3">
      <c r="A315" s="6" t="s">
        <v>2858</v>
      </c>
      <c r="B315" s="6" t="s">
        <v>3037</v>
      </c>
      <c r="C315" s="6" t="s">
        <v>2861</v>
      </c>
      <c r="D315" s="6">
        <v>7</v>
      </c>
      <c r="E315" s="6">
        <v>32177849</v>
      </c>
      <c r="F315" s="6" t="s">
        <v>900</v>
      </c>
      <c r="G315" s="6" t="s">
        <v>2860</v>
      </c>
      <c r="H315" s="6" t="s">
        <v>38</v>
      </c>
    </row>
    <row r="316" spans="1:8" x14ac:dyDescent="0.3">
      <c r="A316" s="6" t="s">
        <v>2858</v>
      </c>
      <c r="B316" s="6" t="s">
        <v>3037</v>
      </c>
      <c r="C316" s="6" t="s">
        <v>2861</v>
      </c>
      <c r="D316" s="6">
        <v>7</v>
      </c>
      <c r="E316" s="6">
        <v>32148624</v>
      </c>
      <c r="F316" s="6" t="s">
        <v>903</v>
      </c>
      <c r="G316" s="6" t="s">
        <v>2860</v>
      </c>
      <c r="H316" s="6" t="s">
        <v>35</v>
      </c>
    </row>
    <row r="317" spans="1:8" x14ac:dyDescent="0.3">
      <c r="A317" s="6" t="s">
        <v>2858</v>
      </c>
      <c r="B317" s="6" t="s">
        <v>3037</v>
      </c>
      <c r="C317" s="6" t="s">
        <v>2861</v>
      </c>
      <c r="D317" s="6">
        <v>7</v>
      </c>
      <c r="E317" s="6">
        <v>32043894</v>
      </c>
      <c r="F317" s="6" t="s">
        <v>878</v>
      </c>
      <c r="G317" s="6" t="s">
        <v>2860</v>
      </c>
      <c r="H317" s="6" t="s">
        <v>62</v>
      </c>
    </row>
    <row r="318" spans="1:8" x14ac:dyDescent="0.3">
      <c r="A318" s="6" t="s">
        <v>2858</v>
      </c>
      <c r="B318" s="6" t="s">
        <v>3037</v>
      </c>
      <c r="C318" s="6" t="s">
        <v>2861</v>
      </c>
      <c r="D318" s="6">
        <v>7</v>
      </c>
      <c r="E318" s="6">
        <v>32045740</v>
      </c>
      <c r="F318" s="6" t="s">
        <v>891</v>
      </c>
      <c r="G318" s="6" t="s">
        <v>2860</v>
      </c>
      <c r="H318" s="6" t="s">
        <v>1584</v>
      </c>
    </row>
    <row r="319" spans="1:8" x14ac:dyDescent="0.3">
      <c r="A319" s="6" t="s">
        <v>2858</v>
      </c>
      <c r="B319" s="6" t="s">
        <v>3037</v>
      </c>
      <c r="C319" s="6" t="s">
        <v>2861</v>
      </c>
      <c r="D319" s="6">
        <v>7</v>
      </c>
      <c r="E319" s="6">
        <v>32043866</v>
      </c>
      <c r="F319" s="6" t="s">
        <v>876</v>
      </c>
      <c r="G319" s="6" t="s">
        <v>2860</v>
      </c>
      <c r="H319" s="6" t="s">
        <v>38</v>
      </c>
    </row>
    <row r="320" spans="1:8" x14ac:dyDescent="0.3">
      <c r="A320" s="6" t="s">
        <v>2858</v>
      </c>
      <c r="B320" s="6" t="s">
        <v>3037</v>
      </c>
      <c r="C320" s="6" t="s">
        <v>2861</v>
      </c>
      <c r="D320" s="6">
        <v>7</v>
      </c>
      <c r="E320" s="6">
        <v>32046346</v>
      </c>
      <c r="F320" s="6" t="s">
        <v>893</v>
      </c>
      <c r="G320" s="6" t="s">
        <v>2860</v>
      </c>
      <c r="H320" s="6" t="s">
        <v>41</v>
      </c>
    </row>
    <row r="321" spans="1:8" x14ac:dyDescent="0.3">
      <c r="A321" s="6" t="s">
        <v>2858</v>
      </c>
      <c r="B321" s="6" t="s">
        <v>3037</v>
      </c>
      <c r="C321" s="6" t="s">
        <v>2861</v>
      </c>
      <c r="D321" s="6">
        <v>7</v>
      </c>
      <c r="E321" s="6">
        <v>32044285</v>
      </c>
      <c r="F321" s="6" t="s">
        <v>882</v>
      </c>
      <c r="G321" s="6" t="s">
        <v>2860</v>
      </c>
      <c r="H321" s="6" t="s">
        <v>47</v>
      </c>
    </row>
    <row r="322" spans="1:8" x14ac:dyDescent="0.3">
      <c r="A322" s="6" t="s">
        <v>2858</v>
      </c>
      <c r="B322" s="6" t="s">
        <v>3037</v>
      </c>
      <c r="C322" s="6" t="s">
        <v>2861</v>
      </c>
      <c r="D322" s="6">
        <v>7</v>
      </c>
      <c r="E322" s="6">
        <v>32044618</v>
      </c>
      <c r="F322" s="6" t="s">
        <v>884</v>
      </c>
      <c r="G322" s="6" t="s">
        <v>2860</v>
      </c>
      <c r="H322" s="6" t="s">
        <v>41</v>
      </c>
    </row>
    <row r="323" spans="1:8" x14ac:dyDescent="0.3">
      <c r="A323" s="6" t="s">
        <v>2858</v>
      </c>
      <c r="B323" s="6" t="s">
        <v>1736</v>
      </c>
      <c r="C323" s="6" t="s">
        <v>2869</v>
      </c>
      <c r="D323" s="6" t="s">
        <v>1735</v>
      </c>
      <c r="E323" s="6">
        <v>32216902</v>
      </c>
      <c r="F323" s="6" t="s">
        <v>1739</v>
      </c>
      <c r="G323" s="6" t="s">
        <v>2860</v>
      </c>
      <c r="H323" s="6" t="s">
        <v>44</v>
      </c>
    </row>
    <row r="324" spans="1:8" x14ac:dyDescent="0.3">
      <c r="A324" s="6" t="s">
        <v>2858</v>
      </c>
      <c r="B324" s="6" t="s">
        <v>1736</v>
      </c>
      <c r="C324" s="6" t="s">
        <v>2869</v>
      </c>
      <c r="D324" s="6" t="s">
        <v>1735</v>
      </c>
      <c r="E324" s="6">
        <v>32046598</v>
      </c>
      <c r="F324" s="6" t="s">
        <v>2870</v>
      </c>
      <c r="G324" s="6" t="s">
        <v>2860</v>
      </c>
      <c r="H324" s="6" t="s">
        <v>62</v>
      </c>
    </row>
    <row r="325" spans="1:8" x14ac:dyDescent="0.3">
      <c r="A325" s="6" t="s">
        <v>2858</v>
      </c>
      <c r="B325" s="6" t="s">
        <v>1736</v>
      </c>
      <c r="C325" s="6" t="s">
        <v>2869</v>
      </c>
      <c r="D325" s="6" t="s">
        <v>1735</v>
      </c>
      <c r="E325" s="6">
        <v>32045325</v>
      </c>
      <c r="F325" s="6" t="s">
        <v>1742</v>
      </c>
      <c r="G325" s="6" t="s">
        <v>2860</v>
      </c>
      <c r="H325" s="6" t="s">
        <v>38</v>
      </c>
    </row>
    <row r="326" spans="1:8" x14ac:dyDescent="0.3">
      <c r="A326" s="6" t="s">
        <v>2858</v>
      </c>
      <c r="B326" s="6" t="s">
        <v>1736</v>
      </c>
      <c r="C326" s="6" t="s">
        <v>2869</v>
      </c>
      <c r="D326" s="6" t="s">
        <v>1735</v>
      </c>
      <c r="E326" s="6">
        <v>32044358</v>
      </c>
      <c r="F326" s="6" t="s">
        <v>2871</v>
      </c>
      <c r="G326" s="6" t="s">
        <v>2860</v>
      </c>
      <c r="H326" s="6" t="s">
        <v>38</v>
      </c>
    </row>
    <row r="327" spans="1:8" x14ac:dyDescent="0.3">
      <c r="A327" s="6" t="s">
        <v>2858</v>
      </c>
      <c r="B327" s="6" t="s">
        <v>1736</v>
      </c>
      <c r="C327" s="6" t="s">
        <v>2869</v>
      </c>
      <c r="D327" s="6" t="s">
        <v>1735</v>
      </c>
      <c r="E327" s="6">
        <v>32045068</v>
      </c>
      <c r="F327" s="6" t="s">
        <v>1744</v>
      </c>
      <c r="G327" s="6" t="s">
        <v>2860</v>
      </c>
      <c r="H327" s="6" t="s">
        <v>47</v>
      </c>
    </row>
    <row r="328" spans="1:8" x14ac:dyDescent="0.3">
      <c r="A328" s="6" t="s">
        <v>2858</v>
      </c>
      <c r="B328" s="6" t="s">
        <v>1736</v>
      </c>
      <c r="C328" s="6" t="s">
        <v>2869</v>
      </c>
      <c r="D328" s="6" t="s">
        <v>1735</v>
      </c>
      <c r="E328" s="6">
        <v>32046004</v>
      </c>
      <c r="F328" s="6" t="s">
        <v>3040</v>
      </c>
      <c r="G328" s="6" t="s">
        <v>2860</v>
      </c>
      <c r="H328" s="6" t="s">
        <v>41</v>
      </c>
    </row>
    <row r="329" spans="1:8" x14ac:dyDescent="0.3">
      <c r="A329" s="6" t="s">
        <v>2858</v>
      </c>
      <c r="B329" s="6" t="s">
        <v>1736</v>
      </c>
      <c r="C329" s="6" t="s">
        <v>2869</v>
      </c>
      <c r="D329" s="6" t="s">
        <v>1735</v>
      </c>
      <c r="E329" s="6">
        <v>32046184</v>
      </c>
      <c r="F329" s="6" t="s">
        <v>2872</v>
      </c>
      <c r="G329" s="6" t="s">
        <v>2860</v>
      </c>
      <c r="H329" s="6" t="s">
        <v>41</v>
      </c>
    </row>
    <row r="330" spans="1:8" x14ac:dyDescent="0.3">
      <c r="A330" s="6" t="s">
        <v>2858</v>
      </c>
      <c r="B330" s="6" t="s">
        <v>1736</v>
      </c>
      <c r="C330" s="6" t="s">
        <v>2869</v>
      </c>
      <c r="D330" s="6" t="s">
        <v>2882</v>
      </c>
      <c r="E330" s="6">
        <v>32225725</v>
      </c>
      <c r="F330" s="6" t="s">
        <v>1737</v>
      </c>
      <c r="G330" s="6" t="s">
        <v>2344</v>
      </c>
      <c r="H330" s="6" t="s">
        <v>2882</v>
      </c>
    </row>
    <row r="331" spans="1:8" x14ac:dyDescent="0.3">
      <c r="A331" s="6" t="s">
        <v>2858</v>
      </c>
      <c r="B331" s="6" t="s">
        <v>2147</v>
      </c>
      <c r="C331" s="6" t="s">
        <v>2859</v>
      </c>
      <c r="D331" s="6" t="s">
        <v>2128</v>
      </c>
      <c r="E331" s="6">
        <v>32044531</v>
      </c>
      <c r="F331" s="6" t="s">
        <v>2150</v>
      </c>
      <c r="G331" s="6" t="s">
        <v>2860</v>
      </c>
      <c r="H331" s="6" t="s">
        <v>44</v>
      </c>
    </row>
    <row r="332" spans="1:8" x14ac:dyDescent="0.3">
      <c r="A332" s="6" t="s">
        <v>2858</v>
      </c>
      <c r="B332" s="6" t="s">
        <v>2147</v>
      </c>
      <c r="C332" s="6" t="s">
        <v>2859</v>
      </c>
      <c r="D332" s="6" t="s">
        <v>2128</v>
      </c>
      <c r="E332" s="6">
        <v>32044635</v>
      </c>
      <c r="F332" s="6" t="s">
        <v>2152</v>
      </c>
      <c r="G332" s="6" t="s">
        <v>2860</v>
      </c>
      <c r="H332" s="6" t="s">
        <v>35</v>
      </c>
    </row>
    <row r="333" spans="1:8" x14ac:dyDescent="0.3">
      <c r="A333" s="6" t="s">
        <v>2858</v>
      </c>
      <c r="B333" s="6" t="s">
        <v>2147</v>
      </c>
      <c r="C333" s="6" t="s">
        <v>2859</v>
      </c>
      <c r="D333" s="6" t="s">
        <v>2128</v>
      </c>
      <c r="E333" s="6">
        <v>32044398</v>
      </c>
      <c r="F333" s="6" t="s">
        <v>2149</v>
      </c>
      <c r="G333" s="6" t="s">
        <v>2860</v>
      </c>
      <c r="H333" s="6" t="s">
        <v>41</v>
      </c>
    </row>
    <row r="334" spans="1:8" x14ac:dyDescent="0.3">
      <c r="A334" s="6" t="s">
        <v>2858</v>
      </c>
      <c r="B334" s="6" t="s">
        <v>2147</v>
      </c>
      <c r="C334" s="6" t="s">
        <v>2859</v>
      </c>
      <c r="D334" s="6" t="s">
        <v>2128</v>
      </c>
      <c r="E334" s="6">
        <v>32044617</v>
      </c>
      <c r="F334" s="6" t="s">
        <v>2151</v>
      </c>
      <c r="G334" s="6" t="s">
        <v>2860</v>
      </c>
      <c r="H334" s="6" t="s">
        <v>62</v>
      </c>
    </row>
    <row r="335" spans="1:8" x14ac:dyDescent="0.3">
      <c r="A335" s="6" t="s">
        <v>2858</v>
      </c>
      <c r="B335" s="6" t="s">
        <v>2147</v>
      </c>
      <c r="C335" s="6" t="s">
        <v>2859</v>
      </c>
      <c r="D335" s="6" t="s">
        <v>2882</v>
      </c>
      <c r="E335" s="6">
        <v>32151314</v>
      </c>
      <c r="F335" s="6" t="s">
        <v>2148</v>
      </c>
      <c r="G335" s="6" t="s">
        <v>2344</v>
      </c>
      <c r="H335" s="6" t="s">
        <v>2882</v>
      </c>
    </row>
    <row r="336" spans="1:8" x14ac:dyDescent="0.3">
      <c r="A336" s="6" t="s">
        <v>2858</v>
      </c>
      <c r="B336" s="6" t="s">
        <v>2183</v>
      </c>
      <c r="C336" s="6" t="s">
        <v>2859</v>
      </c>
      <c r="D336" s="6" t="s">
        <v>2182</v>
      </c>
      <c r="E336" s="6">
        <v>32044339</v>
      </c>
      <c r="F336" s="6" t="s">
        <v>2186</v>
      </c>
      <c r="G336" s="6" t="s">
        <v>2860</v>
      </c>
      <c r="H336" s="6" t="s">
        <v>62</v>
      </c>
    </row>
    <row r="337" spans="1:8" x14ac:dyDescent="0.3">
      <c r="A337" s="6" t="s">
        <v>2858</v>
      </c>
      <c r="B337" s="6" t="s">
        <v>2183</v>
      </c>
      <c r="C337" s="6" t="s">
        <v>2859</v>
      </c>
      <c r="D337" s="6" t="s">
        <v>2182</v>
      </c>
      <c r="E337" s="6">
        <v>32045869</v>
      </c>
      <c r="F337" s="6" t="s">
        <v>2194</v>
      </c>
      <c r="G337" s="6" t="s">
        <v>2860</v>
      </c>
      <c r="H337" s="6" t="s">
        <v>47</v>
      </c>
    </row>
    <row r="338" spans="1:8" x14ac:dyDescent="0.3">
      <c r="A338" s="6" t="s">
        <v>2858</v>
      </c>
      <c r="B338" s="6" t="s">
        <v>2183</v>
      </c>
      <c r="C338" s="6" t="s">
        <v>2859</v>
      </c>
      <c r="D338" s="6" t="s">
        <v>2182</v>
      </c>
      <c r="E338" s="6">
        <v>32045129</v>
      </c>
      <c r="F338" s="6" t="s">
        <v>2187</v>
      </c>
      <c r="G338" s="6" t="s">
        <v>2860</v>
      </c>
      <c r="H338" s="6" t="s">
        <v>44</v>
      </c>
    </row>
    <row r="339" spans="1:8" x14ac:dyDescent="0.3">
      <c r="A339" s="6" t="s">
        <v>2858</v>
      </c>
      <c r="B339" s="6" t="s">
        <v>2183</v>
      </c>
      <c r="C339" s="6" t="s">
        <v>2859</v>
      </c>
      <c r="D339" s="6" t="s">
        <v>2182</v>
      </c>
      <c r="E339" s="6">
        <v>32045080</v>
      </c>
      <c r="F339" s="6" t="s">
        <v>2188</v>
      </c>
      <c r="G339" s="6" t="s">
        <v>2860</v>
      </c>
      <c r="H339" s="6" t="s">
        <v>44</v>
      </c>
    </row>
    <row r="340" spans="1:8" x14ac:dyDescent="0.3">
      <c r="A340" s="6" t="s">
        <v>2858</v>
      </c>
      <c r="B340" s="6" t="s">
        <v>2183</v>
      </c>
      <c r="C340" s="6" t="s">
        <v>2859</v>
      </c>
      <c r="D340" s="6" t="s">
        <v>2182</v>
      </c>
      <c r="E340" s="6">
        <v>32064463</v>
      </c>
      <c r="F340" s="6" t="s">
        <v>2189</v>
      </c>
      <c r="G340" s="6" t="s">
        <v>2860</v>
      </c>
      <c r="H340" s="6" t="s">
        <v>41</v>
      </c>
    </row>
    <row r="341" spans="1:8" x14ac:dyDescent="0.3">
      <c r="A341" s="6" t="s">
        <v>2858</v>
      </c>
      <c r="B341" s="6" t="s">
        <v>2183</v>
      </c>
      <c r="C341" s="6" t="s">
        <v>2859</v>
      </c>
      <c r="D341" s="6" t="s">
        <v>2182</v>
      </c>
      <c r="E341" s="6">
        <v>32043976</v>
      </c>
      <c r="F341" s="6" t="s">
        <v>2190</v>
      </c>
      <c r="G341" s="6" t="s">
        <v>2860</v>
      </c>
      <c r="H341" s="6" t="s">
        <v>35</v>
      </c>
    </row>
    <row r="342" spans="1:8" x14ac:dyDescent="0.3">
      <c r="A342" s="6" t="s">
        <v>2858</v>
      </c>
      <c r="B342" s="6" t="s">
        <v>2183</v>
      </c>
      <c r="C342" s="6" t="s">
        <v>2859</v>
      </c>
      <c r="D342" s="6" t="s">
        <v>2182</v>
      </c>
      <c r="E342" s="6">
        <v>32045277</v>
      </c>
      <c r="F342" s="6" t="s">
        <v>2185</v>
      </c>
      <c r="G342" s="6" t="s">
        <v>2860</v>
      </c>
      <c r="H342" s="6" t="s">
        <v>38</v>
      </c>
    </row>
    <row r="343" spans="1:8" x14ac:dyDescent="0.3">
      <c r="A343" s="6" t="s">
        <v>2858</v>
      </c>
      <c r="B343" s="6" t="s">
        <v>2183</v>
      </c>
      <c r="C343" s="6" t="s">
        <v>2859</v>
      </c>
      <c r="D343" s="6" t="s">
        <v>2182</v>
      </c>
      <c r="E343" s="6">
        <v>32045049</v>
      </c>
      <c r="F343" s="6" t="s">
        <v>2193</v>
      </c>
      <c r="G343" s="6" t="s">
        <v>2860</v>
      </c>
      <c r="H343" s="6" t="s">
        <v>41</v>
      </c>
    </row>
    <row r="344" spans="1:8" x14ac:dyDescent="0.3">
      <c r="A344" s="6" t="s">
        <v>2858</v>
      </c>
      <c r="B344" s="6" t="s">
        <v>2183</v>
      </c>
      <c r="C344" s="6" t="s">
        <v>2859</v>
      </c>
      <c r="D344" s="6" t="s">
        <v>2182</v>
      </c>
      <c r="E344" s="6">
        <v>32061267</v>
      </c>
      <c r="F344" s="6" t="s">
        <v>2192</v>
      </c>
      <c r="G344" s="6" t="s">
        <v>2860</v>
      </c>
      <c r="H344" s="6" t="s">
        <v>38</v>
      </c>
    </row>
    <row r="345" spans="1:8" x14ac:dyDescent="0.3">
      <c r="A345" s="6" t="s">
        <v>2858</v>
      </c>
      <c r="B345" s="6" t="s">
        <v>2183</v>
      </c>
      <c r="C345" s="6" t="s">
        <v>2859</v>
      </c>
      <c r="D345" s="6" t="s">
        <v>2182</v>
      </c>
      <c r="E345" s="6">
        <v>32045421</v>
      </c>
      <c r="F345" s="6" t="s">
        <v>2191</v>
      </c>
      <c r="G345" s="6" t="s">
        <v>2860</v>
      </c>
      <c r="H345" s="6" t="s">
        <v>35</v>
      </c>
    </row>
    <row r="346" spans="1:8" x14ac:dyDescent="0.3">
      <c r="A346" s="6" t="s">
        <v>2858</v>
      </c>
      <c r="B346" s="6" t="s">
        <v>2183</v>
      </c>
      <c r="C346" s="6" t="s">
        <v>2859</v>
      </c>
      <c r="D346" s="6" t="s">
        <v>2882</v>
      </c>
      <c r="E346" s="6">
        <v>32172813</v>
      </c>
      <c r="F346" s="6" t="s">
        <v>2184</v>
      </c>
      <c r="G346" s="6" t="s">
        <v>2344</v>
      </c>
      <c r="H346" s="6" t="s">
        <v>2882</v>
      </c>
    </row>
    <row r="347" spans="1:8" x14ac:dyDescent="0.3">
      <c r="A347" s="6" t="s">
        <v>2858</v>
      </c>
      <c r="B347" s="6" t="s">
        <v>3041</v>
      </c>
      <c r="C347" s="6" t="s">
        <v>2861</v>
      </c>
      <c r="D347" s="6">
        <v>7</v>
      </c>
      <c r="E347" s="6">
        <v>32187989</v>
      </c>
      <c r="F347" s="6" t="s">
        <v>3042</v>
      </c>
      <c r="G347" s="6" t="s">
        <v>2860</v>
      </c>
      <c r="H347" s="6" t="s">
        <v>1584</v>
      </c>
    </row>
    <row r="348" spans="1:8" x14ac:dyDescent="0.3">
      <c r="A348" s="6" t="s">
        <v>2858</v>
      </c>
      <c r="B348" s="6" t="s">
        <v>3041</v>
      </c>
      <c r="C348" s="6" t="s">
        <v>2861</v>
      </c>
      <c r="D348" s="6">
        <v>7</v>
      </c>
      <c r="E348" s="6">
        <v>32043889</v>
      </c>
      <c r="F348" s="6" t="s">
        <v>3043</v>
      </c>
      <c r="G348" s="6" t="s">
        <v>2860</v>
      </c>
      <c r="H348" s="6" t="s">
        <v>35</v>
      </c>
    </row>
    <row r="349" spans="1:8" x14ac:dyDescent="0.3">
      <c r="A349" s="6" t="s">
        <v>2858</v>
      </c>
      <c r="B349" s="6" t="s">
        <v>3041</v>
      </c>
      <c r="C349" s="6" t="s">
        <v>2861</v>
      </c>
      <c r="D349" s="6">
        <v>7</v>
      </c>
      <c r="E349" s="6">
        <v>32067183</v>
      </c>
      <c r="F349" s="6" t="s">
        <v>3044</v>
      </c>
      <c r="G349" s="6" t="s">
        <v>2860</v>
      </c>
      <c r="H349" s="6" t="s">
        <v>38</v>
      </c>
    </row>
    <row r="350" spans="1:8" x14ac:dyDescent="0.3">
      <c r="A350" s="6" t="s">
        <v>2858</v>
      </c>
      <c r="B350" s="6" t="s">
        <v>3041</v>
      </c>
      <c r="C350" s="6" t="s">
        <v>2861</v>
      </c>
      <c r="D350" s="6">
        <v>7</v>
      </c>
      <c r="E350" s="6">
        <v>32044169</v>
      </c>
      <c r="F350" s="6" t="s">
        <v>3045</v>
      </c>
      <c r="G350" s="6" t="s">
        <v>2860</v>
      </c>
      <c r="H350" s="6" t="s">
        <v>41</v>
      </c>
    </row>
    <row r="351" spans="1:8" x14ac:dyDescent="0.3">
      <c r="A351" s="6" t="s">
        <v>2858</v>
      </c>
      <c r="B351" s="6" t="s">
        <v>3041</v>
      </c>
      <c r="C351" s="6" t="s">
        <v>2861</v>
      </c>
      <c r="D351" s="6">
        <v>7</v>
      </c>
      <c r="E351" s="6">
        <v>32067174</v>
      </c>
      <c r="F351" s="6" t="s">
        <v>3046</v>
      </c>
      <c r="G351" s="6" t="s">
        <v>2860</v>
      </c>
      <c r="H351" s="6" t="s">
        <v>1584</v>
      </c>
    </row>
    <row r="352" spans="1:8" x14ac:dyDescent="0.3">
      <c r="A352" s="6" t="s">
        <v>2858</v>
      </c>
      <c r="B352" s="6" t="s">
        <v>3041</v>
      </c>
      <c r="C352" s="6" t="s">
        <v>2861</v>
      </c>
      <c r="D352" s="6">
        <v>7</v>
      </c>
      <c r="E352" s="6">
        <v>32046414</v>
      </c>
      <c r="F352" s="6" t="s">
        <v>3047</v>
      </c>
      <c r="G352" s="6" t="s">
        <v>2860</v>
      </c>
      <c r="H352" s="6" t="s">
        <v>44</v>
      </c>
    </row>
    <row r="353" spans="1:8" x14ac:dyDescent="0.3">
      <c r="A353" s="6" t="s">
        <v>2858</v>
      </c>
      <c r="B353" s="6" t="s">
        <v>3041</v>
      </c>
      <c r="C353" s="6" t="s">
        <v>2861</v>
      </c>
      <c r="D353" s="6">
        <v>7</v>
      </c>
      <c r="E353" s="6">
        <v>32046401</v>
      </c>
      <c r="F353" s="6" t="s">
        <v>3048</v>
      </c>
      <c r="G353" s="6" t="s">
        <v>2860</v>
      </c>
      <c r="H353" s="6" t="s">
        <v>41</v>
      </c>
    </row>
    <row r="354" spans="1:8" x14ac:dyDescent="0.3">
      <c r="A354" s="6" t="s">
        <v>2858</v>
      </c>
      <c r="B354" s="6" t="s">
        <v>3041</v>
      </c>
      <c r="C354" s="6" t="s">
        <v>2861</v>
      </c>
      <c r="D354" s="6">
        <v>7</v>
      </c>
      <c r="E354" s="6">
        <v>32132056</v>
      </c>
      <c r="F354" s="6" t="s">
        <v>3049</v>
      </c>
      <c r="G354" s="6" t="s">
        <v>2860</v>
      </c>
      <c r="H354" s="6" t="s">
        <v>38</v>
      </c>
    </row>
    <row r="355" spans="1:8" x14ac:dyDescent="0.3">
      <c r="A355" s="6" t="s">
        <v>2858</v>
      </c>
      <c r="B355" s="6" t="s">
        <v>3041</v>
      </c>
      <c r="C355" s="6" t="s">
        <v>2861</v>
      </c>
      <c r="D355" s="6">
        <v>7</v>
      </c>
      <c r="E355" s="6">
        <v>32072429</v>
      </c>
      <c r="F355" s="6" t="s">
        <v>3050</v>
      </c>
      <c r="G355" s="6" t="s">
        <v>2860</v>
      </c>
      <c r="H355" s="6" t="s">
        <v>62</v>
      </c>
    </row>
    <row r="356" spans="1:8" x14ac:dyDescent="0.3">
      <c r="A356" s="6" t="s">
        <v>2858</v>
      </c>
      <c r="B356" s="6" t="s">
        <v>3041</v>
      </c>
      <c r="C356" s="6" t="s">
        <v>2861</v>
      </c>
      <c r="D356" s="6">
        <v>7</v>
      </c>
      <c r="E356" s="6">
        <v>32044074</v>
      </c>
      <c r="F356" s="6" t="s">
        <v>3051</v>
      </c>
      <c r="G356" s="6" t="s">
        <v>2860</v>
      </c>
      <c r="H356" s="6" t="s">
        <v>38</v>
      </c>
    </row>
    <row r="357" spans="1:8" x14ac:dyDescent="0.3">
      <c r="A357" s="6" t="s">
        <v>2858</v>
      </c>
      <c r="B357" s="6" t="s">
        <v>3041</v>
      </c>
      <c r="C357" s="6" t="s">
        <v>2861</v>
      </c>
      <c r="D357" s="6">
        <v>7</v>
      </c>
      <c r="E357" s="6">
        <v>32046478</v>
      </c>
      <c r="F357" s="6" t="s">
        <v>3052</v>
      </c>
      <c r="G357" s="6" t="s">
        <v>2860</v>
      </c>
      <c r="H357" s="6" t="s">
        <v>44</v>
      </c>
    </row>
    <row r="358" spans="1:8" x14ac:dyDescent="0.3">
      <c r="A358" s="6" t="s">
        <v>2858</v>
      </c>
      <c r="B358" s="6" t="s">
        <v>3041</v>
      </c>
      <c r="C358" s="6" t="s">
        <v>2861</v>
      </c>
      <c r="D358" s="6">
        <v>7</v>
      </c>
      <c r="E358" s="6">
        <v>32043978</v>
      </c>
      <c r="F358" s="6" t="s">
        <v>3053</v>
      </c>
      <c r="G358" s="6" t="s">
        <v>2860</v>
      </c>
      <c r="H358" s="6" t="s">
        <v>62</v>
      </c>
    </row>
    <row r="359" spans="1:8" x14ac:dyDescent="0.3">
      <c r="A359" s="6" t="s">
        <v>2858</v>
      </c>
      <c r="B359" s="6" t="s">
        <v>3041</v>
      </c>
      <c r="C359" s="6" t="s">
        <v>2861</v>
      </c>
      <c r="D359" s="6">
        <v>7</v>
      </c>
      <c r="E359" s="6">
        <v>32143691</v>
      </c>
      <c r="F359" s="6" t="s">
        <v>3054</v>
      </c>
      <c r="G359" s="6" t="s">
        <v>2860</v>
      </c>
      <c r="H359" s="6" t="s">
        <v>47</v>
      </c>
    </row>
    <row r="360" spans="1:8" x14ac:dyDescent="0.3">
      <c r="A360" s="6" t="s">
        <v>2858</v>
      </c>
      <c r="B360" s="6" t="s">
        <v>3041</v>
      </c>
      <c r="C360" s="6" t="s">
        <v>2861</v>
      </c>
      <c r="D360" s="6">
        <v>7</v>
      </c>
      <c r="E360" s="6">
        <v>32044167</v>
      </c>
      <c r="F360" s="6" t="s">
        <v>3055</v>
      </c>
      <c r="G360" s="6" t="s">
        <v>2860</v>
      </c>
      <c r="H360" s="6" t="s">
        <v>62</v>
      </c>
    </row>
    <row r="361" spans="1:8" x14ac:dyDescent="0.3">
      <c r="A361" s="6" t="s">
        <v>2858</v>
      </c>
      <c r="B361" s="6" t="s">
        <v>3041</v>
      </c>
      <c r="C361" s="6" t="s">
        <v>2861</v>
      </c>
      <c r="D361" s="6">
        <v>7</v>
      </c>
      <c r="E361" s="6">
        <v>32145330</v>
      </c>
      <c r="F361" s="6" t="s">
        <v>3056</v>
      </c>
      <c r="G361" s="6" t="s">
        <v>2860</v>
      </c>
      <c r="H361" s="6" t="s">
        <v>35</v>
      </c>
    </row>
    <row r="362" spans="1:8" x14ac:dyDescent="0.3">
      <c r="A362" s="6" t="s">
        <v>2858</v>
      </c>
      <c r="B362" s="6" t="s">
        <v>3041</v>
      </c>
      <c r="C362" s="6" t="s">
        <v>2861</v>
      </c>
      <c r="D362" s="6">
        <v>7</v>
      </c>
      <c r="E362" s="6">
        <v>32045820</v>
      </c>
      <c r="F362" s="6" t="s">
        <v>3057</v>
      </c>
      <c r="G362" s="6" t="s">
        <v>2344</v>
      </c>
      <c r="H362" s="6" t="s">
        <v>2882</v>
      </c>
    </row>
    <row r="363" spans="1:8" x14ac:dyDescent="0.3">
      <c r="A363" s="6" t="s">
        <v>2858</v>
      </c>
      <c r="B363" s="6" t="s">
        <v>3058</v>
      </c>
      <c r="C363" s="6" t="s">
        <v>2869</v>
      </c>
      <c r="D363" s="6" t="s">
        <v>1589</v>
      </c>
      <c r="E363" s="6">
        <v>32198244</v>
      </c>
      <c r="F363" s="6" t="s">
        <v>1593</v>
      </c>
      <c r="G363" s="6" t="s">
        <v>2860</v>
      </c>
      <c r="H363" s="6" t="s">
        <v>47</v>
      </c>
    </row>
    <row r="364" spans="1:8" x14ac:dyDescent="0.3">
      <c r="A364" s="6" t="s">
        <v>2858</v>
      </c>
      <c r="B364" s="6" t="s">
        <v>3058</v>
      </c>
      <c r="C364" s="6" t="s">
        <v>2869</v>
      </c>
      <c r="D364" s="6" t="s">
        <v>1589</v>
      </c>
      <c r="E364" s="6">
        <v>32198252</v>
      </c>
      <c r="F364" s="6" t="s">
        <v>1595</v>
      </c>
      <c r="G364" s="6" t="s">
        <v>2860</v>
      </c>
      <c r="H364" s="6" t="s">
        <v>35</v>
      </c>
    </row>
    <row r="365" spans="1:8" x14ac:dyDescent="0.3">
      <c r="A365" s="6" t="s">
        <v>2858</v>
      </c>
      <c r="B365" s="6" t="s">
        <v>3058</v>
      </c>
      <c r="C365" s="6" t="s">
        <v>2869</v>
      </c>
      <c r="D365" s="6" t="s">
        <v>1589</v>
      </c>
      <c r="E365" s="6">
        <v>32197852</v>
      </c>
      <c r="F365" s="6" t="s">
        <v>1596</v>
      </c>
      <c r="G365" s="6" t="s">
        <v>2860</v>
      </c>
      <c r="H365" s="6" t="s">
        <v>44</v>
      </c>
    </row>
    <row r="366" spans="1:8" x14ac:dyDescent="0.3">
      <c r="A366" s="6" t="s">
        <v>2858</v>
      </c>
      <c r="B366" s="6" t="s">
        <v>3058</v>
      </c>
      <c r="C366" s="6" t="s">
        <v>2869</v>
      </c>
      <c r="D366" s="6" t="s">
        <v>1589</v>
      </c>
      <c r="E366" s="6">
        <v>32198260</v>
      </c>
      <c r="F366" s="6" t="s">
        <v>1598</v>
      </c>
      <c r="G366" s="6" t="s">
        <v>2860</v>
      </c>
      <c r="H366" s="6" t="s">
        <v>41</v>
      </c>
    </row>
    <row r="367" spans="1:8" x14ac:dyDescent="0.3">
      <c r="A367" s="6" t="s">
        <v>2858</v>
      </c>
      <c r="B367" s="6" t="s">
        <v>3058</v>
      </c>
      <c r="C367" s="6" t="s">
        <v>2869</v>
      </c>
      <c r="D367" s="6" t="s">
        <v>2882</v>
      </c>
      <c r="E367" s="6">
        <v>32173125</v>
      </c>
      <c r="F367" s="6" t="s">
        <v>1591</v>
      </c>
      <c r="G367" s="6" t="s">
        <v>2344</v>
      </c>
      <c r="H367" s="6" t="s">
        <v>2882</v>
      </c>
    </row>
    <row r="368" spans="1:8" x14ac:dyDescent="0.3">
      <c r="A368" s="6" t="s">
        <v>2858</v>
      </c>
      <c r="B368" s="6" t="s">
        <v>3059</v>
      </c>
      <c r="C368" s="6" t="s">
        <v>2861</v>
      </c>
      <c r="D368" s="6">
        <v>10</v>
      </c>
      <c r="E368" s="6">
        <v>32144347</v>
      </c>
      <c r="F368" s="6" t="s">
        <v>3060</v>
      </c>
      <c r="G368" s="6" t="s">
        <v>2860</v>
      </c>
      <c r="H368" s="6" t="s">
        <v>44</v>
      </c>
    </row>
    <row r="369" spans="1:8" x14ac:dyDescent="0.3">
      <c r="A369" s="6" t="s">
        <v>2858</v>
      </c>
      <c r="B369" s="6" t="s">
        <v>3059</v>
      </c>
      <c r="C369" s="6" t="s">
        <v>2861</v>
      </c>
      <c r="D369" s="6">
        <v>10</v>
      </c>
      <c r="E369" s="6">
        <v>32044881</v>
      </c>
      <c r="F369" s="6" t="s">
        <v>3061</v>
      </c>
      <c r="G369" s="6" t="s">
        <v>2860</v>
      </c>
      <c r="H369" s="6" t="s">
        <v>62</v>
      </c>
    </row>
    <row r="370" spans="1:8" x14ac:dyDescent="0.3">
      <c r="A370" s="6" t="s">
        <v>2858</v>
      </c>
      <c r="B370" s="6" t="s">
        <v>3059</v>
      </c>
      <c r="C370" s="6" t="s">
        <v>2861</v>
      </c>
      <c r="D370" s="6">
        <v>10</v>
      </c>
      <c r="E370" s="6">
        <v>32046338</v>
      </c>
      <c r="F370" s="6" t="s">
        <v>3062</v>
      </c>
      <c r="G370" s="6" t="s">
        <v>2860</v>
      </c>
      <c r="H370" s="6" t="s">
        <v>41</v>
      </c>
    </row>
    <row r="371" spans="1:8" x14ac:dyDescent="0.3">
      <c r="A371" s="6" t="s">
        <v>2858</v>
      </c>
      <c r="B371" s="6" t="s">
        <v>3059</v>
      </c>
      <c r="C371" s="6" t="s">
        <v>2861</v>
      </c>
      <c r="D371" s="6">
        <v>10</v>
      </c>
      <c r="E371" s="6">
        <v>32044475</v>
      </c>
      <c r="F371" s="6" t="s">
        <v>3063</v>
      </c>
      <c r="G371" s="6" t="s">
        <v>2860</v>
      </c>
      <c r="H371" s="6" t="s">
        <v>47</v>
      </c>
    </row>
    <row r="372" spans="1:8" x14ac:dyDescent="0.3">
      <c r="A372" s="6" t="s">
        <v>2858</v>
      </c>
      <c r="B372" s="6" t="s">
        <v>3059</v>
      </c>
      <c r="C372" s="6" t="s">
        <v>2861</v>
      </c>
      <c r="D372" s="6">
        <v>10</v>
      </c>
      <c r="E372" s="6">
        <v>32058105</v>
      </c>
      <c r="F372" s="6" t="s">
        <v>3064</v>
      </c>
      <c r="G372" s="6" t="s">
        <v>2860</v>
      </c>
      <c r="H372" s="6" t="s">
        <v>62</v>
      </c>
    </row>
    <row r="373" spans="1:8" x14ac:dyDescent="0.3">
      <c r="A373" s="6" t="s">
        <v>2858</v>
      </c>
      <c r="B373" s="6" t="s">
        <v>3059</v>
      </c>
      <c r="C373" s="6" t="s">
        <v>2861</v>
      </c>
      <c r="D373" s="6">
        <v>10</v>
      </c>
      <c r="E373" s="6">
        <v>32059341</v>
      </c>
      <c r="F373" s="6" t="s">
        <v>3065</v>
      </c>
      <c r="G373" s="6" t="s">
        <v>2860</v>
      </c>
      <c r="H373" s="6" t="s">
        <v>41</v>
      </c>
    </row>
    <row r="374" spans="1:8" x14ac:dyDescent="0.3">
      <c r="A374" s="6" t="s">
        <v>2858</v>
      </c>
      <c r="B374" s="6" t="s">
        <v>3059</v>
      </c>
      <c r="C374" s="6" t="s">
        <v>2861</v>
      </c>
      <c r="D374" s="6">
        <v>10</v>
      </c>
      <c r="E374" s="6">
        <v>32046256</v>
      </c>
      <c r="F374" s="6" t="s">
        <v>3066</v>
      </c>
      <c r="G374" s="6" t="s">
        <v>2860</v>
      </c>
      <c r="H374" s="6" t="s">
        <v>35</v>
      </c>
    </row>
    <row r="375" spans="1:8" x14ac:dyDescent="0.3">
      <c r="A375" s="6" t="s">
        <v>2858</v>
      </c>
      <c r="B375" s="6" t="s">
        <v>3059</v>
      </c>
      <c r="C375" s="6" t="s">
        <v>2861</v>
      </c>
      <c r="D375" s="6">
        <v>10</v>
      </c>
      <c r="E375" s="6">
        <v>32132224</v>
      </c>
      <c r="F375" s="6" t="s">
        <v>3067</v>
      </c>
      <c r="G375" s="6" t="s">
        <v>2860</v>
      </c>
      <c r="H375" s="6" t="s">
        <v>1584</v>
      </c>
    </row>
    <row r="376" spans="1:8" x14ac:dyDescent="0.3">
      <c r="A376" s="6" t="s">
        <v>2858</v>
      </c>
      <c r="B376" s="6" t="s">
        <v>3059</v>
      </c>
      <c r="C376" s="6" t="s">
        <v>2861</v>
      </c>
      <c r="D376" s="6">
        <v>10</v>
      </c>
      <c r="E376" s="6">
        <v>32149078</v>
      </c>
      <c r="F376" s="6" t="s">
        <v>3068</v>
      </c>
      <c r="G376" s="6" t="s">
        <v>2860</v>
      </c>
      <c r="H376" s="6" t="s">
        <v>44</v>
      </c>
    </row>
    <row r="377" spans="1:8" x14ac:dyDescent="0.3">
      <c r="A377" s="6" t="s">
        <v>2858</v>
      </c>
      <c r="B377" s="6" t="s">
        <v>3059</v>
      </c>
      <c r="C377" s="6" t="s">
        <v>2861</v>
      </c>
      <c r="D377" s="6">
        <v>10</v>
      </c>
      <c r="E377" s="6">
        <v>32143043</v>
      </c>
      <c r="F377" s="6" t="s">
        <v>3069</v>
      </c>
      <c r="G377" s="6" t="s">
        <v>2860</v>
      </c>
      <c r="H377" s="6" t="s">
        <v>38</v>
      </c>
    </row>
    <row r="378" spans="1:8" x14ac:dyDescent="0.3">
      <c r="A378" s="6" t="s">
        <v>2858</v>
      </c>
      <c r="B378" s="6" t="s">
        <v>3059</v>
      </c>
      <c r="C378" s="6" t="s">
        <v>2861</v>
      </c>
      <c r="D378" s="6">
        <v>10</v>
      </c>
      <c r="E378" s="6">
        <v>32231917</v>
      </c>
      <c r="F378" s="6" t="s">
        <v>1466</v>
      </c>
      <c r="G378" s="6" t="s">
        <v>2344</v>
      </c>
      <c r="H378" s="6" t="s">
        <v>2882</v>
      </c>
    </row>
    <row r="379" spans="1:8" x14ac:dyDescent="0.3">
      <c r="A379" s="6" t="s">
        <v>2858</v>
      </c>
      <c r="B379" s="6" t="s">
        <v>6</v>
      </c>
      <c r="C379" s="6" t="s">
        <v>2864</v>
      </c>
      <c r="D379" s="6" t="s">
        <v>1991</v>
      </c>
      <c r="E379" s="6">
        <v>32150508</v>
      </c>
      <c r="F379" s="6" t="s">
        <v>2003</v>
      </c>
      <c r="G379" s="6" t="s">
        <v>2860</v>
      </c>
      <c r="H379" s="6" t="s">
        <v>35</v>
      </c>
    </row>
    <row r="380" spans="1:8" x14ac:dyDescent="0.3">
      <c r="A380" s="6" t="s">
        <v>2858</v>
      </c>
      <c r="B380" s="6" t="s">
        <v>6</v>
      </c>
      <c r="C380" s="6" t="s">
        <v>2864</v>
      </c>
      <c r="D380" s="6" t="s">
        <v>1991</v>
      </c>
      <c r="E380" s="6">
        <v>32045391</v>
      </c>
      <c r="F380" s="6" t="s">
        <v>2005</v>
      </c>
      <c r="G380" s="6" t="s">
        <v>2860</v>
      </c>
      <c r="H380" s="6" t="s">
        <v>44</v>
      </c>
    </row>
    <row r="381" spans="1:8" x14ac:dyDescent="0.3">
      <c r="A381" s="6" t="s">
        <v>2858</v>
      </c>
      <c r="B381" s="6" t="s">
        <v>6</v>
      </c>
      <c r="C381" s="6" t="s">
        <v>2864</v>
      </c>
      <c r="D381" s="6" t="s">
        <v>1991</v>
      </c>
      <c r="E381" s="6">
        <v>32044268</v>
      </c>
      <c r="F381" s="6" t="s">
        <v>2007</v>
      </c>
      <c r="G381" s="6" t="s">
        <v>2860</v>
      </c>
      <c r="H381" s="6" t="s">
        <v>47</v>
      </c>
    </row>
    <row r="382" spans="1:8" x14ac:dyDescent="0.3">
      <c r="A382" s="6" t="s">
        <v>2858</v>
      </c>
      <c r="B382" s="6" t="s">
        <v>6</v>
      </c>
      <c r="C382" s="6" t="s">
        <v>2864</v>
      </c>
      <c r="D382" s="6" t="s">
        <v>1991</v>
      </c>
      <c r="E382" s="6">
        <v>32043716</v>
      </c>
      <c r="F382" s="6" t="s">
        <v>2009</v>
      </c>
      <c r="G382" s="6" t="s">
        <v>2860</v>
      </c>
      <c r="H382" s="6" t="s">
        <v>62</v>
      </c>
    </row>
    <row r="383" spans="1:8" x14ac:dyDescent="0.3">
      <c r="A383" s="6" t="s">
        <v>2858</v>
      </c>
      <c r="B383" s="6" t="s">
        <v>6</v>
      </c>
      <c r="C383" s="6" t="s">
        <v>2864</v>
      </c>
      <c r="D383" s="6" t="s">
        <v>1991</v>
      </c>
      <c r="E383" s="6">
        <v>32144782</v>
      </c>
      <c r="F383" s="6" t="s">
        <v>2011</v>
      </c>
      <c r="G383" s="6" t="s">
        <v>2860</v>
      </c>
      <c r="H383" s="6" t="s">
        <v>38</v>
      </c>
    </row>
    <row r="384" spans="1:8" x14ac:dyDescent="0.3">
      <c r="A384" s="6" t="s">
        <v>2858</v>
      </c>
      <c r="B384" s="6" t="s">
        <v>6</v>
      </c>
      <c r="C384" s="6" t="s">
        <v>2864</v>
      </c>
      <c r="D384" s="6" t="s">
        <v>2882</v>
      </c>
      <c r="E384" s="6">
        <v>32045105</v>
      </c>
      <c r="F384" s="6" t="s">
        <v>7</v>
      </c>
      <c r="G384" s="6" t="s">
        <v>2344</v>
      </c>
      <c r="H384" s="6" t="s">
        <v>2882</v>
      </c>
    </row>
    <row r="385" spans="1:8" x14ac:dyDescent="0.3">
      <c r="A385" s="6" t="s">
        <v>2858</v>
      </c>
      <c r="B385" s="6" t="s">
        <v>2353</v>
      </c>
      <c r="C385" s="6" t="s">
        <v>2861</v>
      </c>
      <c r="D385" s="6">
        <v>4</v>
      </c>
      <c r="E385" s="6">
        <v>32148105</v>
      </c>
      <c r="F385" s="6" t="s">
        <v>515</v>
      </c>
      <c r="G385" s="6" t="s">
        <v>2344</v>
      </c>
      <c r="H385" s="6" t="s">
        <v>2882</v>
      </c>
    </row>
    <row r="386" spans="1:8" x14ac:dyDescent="0.3">
      <c r="A386" s="6" t="s">
        <v>2858</v>
      </c>
      <c r="B386" s="6" t="s">
        <v>2353</v>
      </c>
      <c r="C386" s="6" t="s">
        <v>2861</v>
      </c>
      <c r="D386" s="6">
        <v>4</v>
      </c>
      <c r="E386" s="6">
        <v>32148612</v>
      </c>
      <c r="F386" s="6" t="s">
        <v>3070</v>
      </c>
      <c r="G386" s="6" t="s">
        <v>2860</v>
      </c>
      <c r="H386" s="6" t="s">
        <v>1584</v>
      </c>
    </row>
    <row r="387" spans="1:8" x14ac:dyDescent="0.3">
      <c r="A387" s="6" t="s">
        <v>2858</v>
      </c>
      <c r="B387" s="6" t="s">
        <v>2353</v>
      </c>
      <c r="C387" s="6" t="s">
        <v>2861</v>
      </c>
      <c r="D387" s="6">
        <v>4</v>
      </c>
      <c r="E387" s="6">
        <v>32044615</v>
      </c>
      <c r="F387" s="6" t="s">
        <v>3071</v>
      </c>
      <c r="G387" s="6" t="s">
        <v>2860</v>
      </c>
      <c r="H387" s="6" t="s">
        <v>1584</v>
      </c>
    </row>
    <row r="388" spans="1:8" x14ac:dyDescent="0.3">
      <c r="A388" s="6" t="s">
        <v>2858</v>
      </c>
      <c r="B388" s="6" t="s">
        <v>2353</v>
      </c>
      <c r="C388" s="6" t="s">
        <v>2861</v>
      </c>
      <c r="D388" s="6">
        <v>4</v>
      </c>
      <c r="E388" s="6">
        <v>32044578</v>
      </c>
      <c r="F388" s="6" t="s">
        <v>3072</v>
      </c>
      <c r="G388" s="6" t="s">
        <v>2860</v>
      </c>
      <c r="H388" s="6" t="s">
        <v>47</v>
      </c>
    </row>
    <row r="389" spans="1:8" x14ac:dyDescent="0.3">
      <c r="A389" s="6" t="s">
        <v>2858</v>
      </c>
      <c r="B389" s="6" t="s">
        <v>2353</v>
      </c>
      <c r="C389" s="6" t="s">
        <v>2861</v>
      </c>
      <c r="D389" s="6">
        <v>4</v>
      </c>
      <c r="E389" s="6">
        <v>32045613</v>
      </c>
      <c r="F389" s="6" t="s">
        <v>569</v>
      </c>
      <c r="G389" s="6" t="s">
        <v>2860</v>
      </c>
      <c r="H389" s="6" t="s">
        <v>44</v>
      </c>
    </row>
    <row r="390" spans="1:8" x14ac:dyDescent="0.3">
      <c r="A390" s="6" t="s">
        <v>2858</v>
      </c>
      <c r="B390" s="6" t="s">
        <v>2353</v>
      </c>
      <c r="C390" s="6" t="s">
        <v>2861</v>
      </c>
      <c r="D390" s="6">
        <v>4</v>
      </c>
      <c r="E390" s="6">
        <v>32067003</v>
      </c>
      <c r="F390" s="6" t="s">
        <v>579</v>
      </c>
      <c r="G390" s="6" t="s">
        <v>2860</v>
      </c>
      <c r="H390" s="6" t="s">
        <v>47</v>
      </c>
    </row>
    <row r="391" spans="1:8" x14ac:dyDescent="0.3">
      <c r="A391" s="6" t="s">
        <v>2858</v>
      </c>
      <c r="B391" s="6" t="s">
        <v>2353</v>
      </c>
      <c r="C391" s="6" t="s">
        <v>2861</v>
      </c>
      <c r="D391" s="6">
        <v>4</v>
      </c>
      <c r="E391" s="6">
        <v>32046353</v>
      </c>
      <c r="F391" s="6" t="s">
        <v>576</v>
      </c>
      <c r="G391" s="6" t="s">
        <v>2860</v>
      </c>
      <c r="H391" s="6" t="s">
        <v>44</v>
      </c>
    </row>
    <row r="392" spans="1:8" x14ac:dyDescent="0.3">
      <c r="A392" s="6" t="s">
        <v>2858</v>
      </c>
      <c r="B392" s="6" t="s">
        <v>2353</v>
      </c>
      <c r="C392" s="6" t="s">
        <v>2861</v>
      </c>
      <c r="D392" s="6">
        <v>4</v>
      </c>
      <c r="E392" s="6">
        <v>32132237</v>
      </c>
      <c r="F392" s="6" t="s">
        <v>585</v>
      </c>
      <c r="G392" s="6" t="s">
        <v>2860</v>
      </c>
      <c r="H392" s="6" t="s">
        <v>35</v>
      </c>
    </row>
    <row r="393" spans="1:8" x14ac:dyDescent="0.3">
      <c r="A393" s="6" t="s">
        <v>2858</v>
      </c>
      <c r="B393" s="6" t="s">
        <v>2353</v>
      </c>
      <c r="C393" s="6" t="s">
        <v>2861</v>
      </c>
      <c r="D393" s="6">
        <v>4</v>
      </c>
      <c r="E393" s="6">
        <v>32180204</v>
      </c>
      <c r="F393" s="6" t="s">
        <v>603</v>
      </c>
      <c r="G393" s="6" t="s">
        <v>2860</v>
      </c>
      <c r="H393" s="6" t="s">
        <v>41</v>
      </c>
    </row>
    <row r="394" spans="1:8" x14ac:dyDescent="0.3">
      <c r="A394" s="6" t="s">
        <v>2858</v>
      </c>
      <c r="B394" s="6" t="s">
        <v>2353</v>
      </c>
      <c r="C394" s="6" t="s">
        <v>2861</v>
      </c>
      <c r="D394" s="6">
        <v>4</v>
      </c>
      <c r="E394" s="6">
        <v>32132045</v>
      </c>
      <c r="F394" s="6" t="s">
        <v>582</v>
      </c>
      <c r="G394" s="6" t="s">
        <v>2860</v>
      </c>
      <c r="H394" s="6" t="s">
        <v>47</v>
      </c>
    </row>
    <row r="395" spans="1:8" x14ac:dyDescent="0.3">
      <c r="A395" s="6" t="s">
        <v>2858</v>
      </c>
      <c r="B395" s="6" t="s">
        <v>2353</v>
      </c>
      <c r="C395" s="6" t="s">
        <v>2861</v>
      </c>
      <c r="D395" s="6">
        <v>4</v>
      </c>
      <c r="E395" s="6">
        <v>32045807</v>
      </c>
      <c r="F395" s="6" t="s">
        <v>572</v>
      </c>
      <c r="G395" s="6" t="s">
        <v>2860</v>
      </c>
      <c r="H395" s="6" t="s">
        <v>38</v>
      </c>
    </row>
    <row r="396" spans="1:8" x14ac:dyDescent="0.3">
      <c r="A396" s="6" t="s">
        <v>2858</v>
      </c>
      <c r="B396" s="6" t="s">
        <v>2353</v>
      </c>
      <c r="C396" s="6" t="s">
        <v>2861</v>
      </c>
      <c r="D396" s="6">
        <v>4</v>
      </c>
      <c r="E396" s="6">
        <v>32045344</v>
      </c>
      <c r="F396" s="6" t="s">
        <v>3073</v>
      </c>
      <c r="G396" s="6" t="s">
        <v>2860</v>
      </c>
      <c r="H396" s="6" t="s">
        <v>1584</v>
      </c>
    </row>
    <row r="397" spans="1:8" x14ac:dyDescent="0.3">
      <c r="A397" s="6" t="s">
        <v>2858</v>
      </c>
      <c r="B397" s="6" t="s">
        <v>2353</v>
      </c>
      <c r="C397" s="6" t="s">
        <v>2861</v>
      </c>
      <c r="D397" s="6">
        <v>4</v>
      </c>
      <c r="E397" s="6">
        <v>32143658</v>
      </c>
      <c r="F397" s="6" t="s">
        <v>597</v>
      </c>
      <c r="G397" s="6" t="s">
        <v>2860</v>
      </c>
      <c r="H397" s="6" t="s">
        <v>41</v>
      </c>
    </row>
    <row r="398" spans="1:8" x14ac:dyDescent="0.3">
      <c r="A398" s="6" t="s">
        <v>2858</v>
      </c>
      <c r="B398" s="6" t="s">
        <v>2353</v>
      </c>
      <c r="C398" s="6" t="s">
        <v>2861</v>
      </c>
      <c r="D398" s="6">
        <v>4</v>
      </c>
      <c r="E398" s="6">
        <v>32046155</v>
      </c>
      <c r="F398" s="6" t="s">
        <v>3074</v>
      </c>
      <c r="G398" s="6" t="s">
        <v>2860</v>
      </c>
      <c r="H398" s="6" t="s">
        <v>44</v>
      </c>
    </row>
    <row r="399" spans="1:8" x14ac:dyDescent="0.3">
      <c r="A399" s="6" t="s">
        <v>2858</v>
      </c>
      <c r="B399" s="6" t="s">
        <v>2353</v>
      </c>
      <c r="C399" s="6" t="s">
        <v>2861</v>
      </c>
      <c r="D399" s="6">
        <v>4</v>
      </c>
      <c r="E399" s="6">
        <v>32143287</v>
      </c>
      <c r="F399" s="6" t="s">
        <v>591</v>
      </c>
      <c r="G399" s="6" t="s">
        <v>2860</v>
      </c>
      <c r="H399" s="6" t="s">
        <v>35</v>
      </c>
    </row>
    <row r="400" spans="1:8" x14ac:dyDescent="0.3">
      <c r="A400" s="6" t="s">
        <v>2858</v>
      </c>
      <c r="B400" s="6" t="s">
        <v>2353</v>
      </c>
      <c r="C400" s="6" t="s">
        <v>2861</v>
      </c>
      <c r="D400" s="6">
        <v>4</v>
      </c>
      <c r="E400" s="6">
        <v>32143281</v>
      </c>
      <c r="F400" s="6" t="s">
        <v>588</v>
      </c>
      <c r="G400" s="6" t="s">
        <v>2860</v>
      </c>
      <c r="H400" s="6" t="s">
        <v>38</v>
      </c>
    </row>
    <row r="401" spans="1:8" x14ac:dyDescent="0.3">
      <c r="A401" s="6" t="s">
        <v>2858</v>
      </c>
      <c r="B401" s="6" t="s">
        <v>2353</v>
      </c>
      <c r="C401" s="6" t="s">
        <v>2861</v>
      </c>
      <c r="D401" s="6">
        <v>4</v>
      </c>
      <c r="E401" s="6">
        <v>32143290</v>
      </c>
      <c r="F401" s="6" t="s">
        <v>594</v>
      </c>
      <c r="G401" s="6" t="s">
        <v>2860</v>
      </c>
      <c r="H401" s="6" t="s">
        <v>62</v>
      </c>
    </row>
    <row r="402" spans="1:8" x14ac:dyDescent="0.3">
      <c r="A402" s="6" t="s">
        <v>2858</v>
      </c>
      <c r="B402" s="6" t="s">
        <v>1601</v>
      </c>
      <c r="C402" s="6" t="s">
        <v>2869</v>
      </c>
      <c r="D402" s="6" t="s">
        <v>2882</v>
      </c>
      <c r="E402" s="6">
        <v>32043728</v>
      </c>
      <c r="F402" s="6" t="s">
        <v>1602</v>
      </c>
      <c r="G402" s="6" t="s">
        <v>2344</v>
      </c>
      <c r="H402" s="6" t="s">
        <v>2882</v>
      </c>
    </row>
    <row r="403" spans="1:8" x14ac:dyDescent="0.3">
      <c r="A403" s="6" t="s">
        <v>2858</v>
      </c>
      <c r="B403" s="6" t="s">
        <v>1601</v>
      </c>
      <c r="C403" s="6" t="s">
        <v>2869</v>
      </c>
      <c r="D403" s="6" t="s">
        <v>1600</v>
      </c>
      <c r="E403" s="6">
        <v>32227735</v>
      </c>
      <c r="F403" s="6" t="s">
        <v>1613</v>
      </c>
      <c r="G403" s="6" t="s">
        <v>2860</v>
      </c>
      <c r="H403" s="6" t="s">
        <v>1584</v>
      </c>
    </row>
    <row r="404" spans="1:8" x14ac:dyDescent="0.3">
      <c r="A404" s="6" t="s">
        <v>2858</v>
      </c>
      <c r="B404" s="6" t="s">
        <v>1601</v>
      </c>
      <c r="C404" s="6" t="s">
        <v>2869</v>
      </c>
      <c r="D404" s="6" t="s">
        <v>1600</v>
      </c>
      <c r="E404" s="6">
        <v>32072461</v>
      </c>
      <c r="F404" s="6" t="s">
        <v>1612</v>
      </c>
      <c r="G404" s="6" t="s">
        <v>2860</v>
      </c>
      <c r="H404" s="6" t="s">
        <v>41</v>
      </c>
    </row>
    <row r="405" spans="1:8" x14ac:dyDescent="0.3">
      <c r="A405" s="6" t="s">
        <v>2858</v>
      </c>
      <c r="B405" s="6" t="s">
        <v>1601</v>
      </c>
      <c r="C405" s="6" t="s">
        <v>2869</v>
      </c>
      <c r="D405" s="6" t="s">
        <v>1600</v>
      </c>
      <c r="E405" s="6">
        <v>32045688</v>
      </c>
      <c r="F405" s="6" t="s">
        <v>1611</v>
      </c>
      <c r="G405" s="6" t="s">
        <v>2860</v>
      </c>
      <c r="H405" s="6" t="s">
        <v>1584</v>
      </c>
    </row>
    <row r="406" spans="1:8" x14ac:dyDescent="0.3">
      <c r="A406" s="6" t="s">
        <v>2858</v>
      </c>
      <c r="B406" s="6" t="s">
        <v>1601</v>
      </c>
      <c r="C406" s="6" t="s">
        <v>2869</v>
      </c>
      <c r="D406" s="6" t="s">
        <v>1600</v>
      </c>
      <c r="E406" s="6">
        <v>32211557</v>
      </c>
      <c r="F406" s="6" t="s">
        <v>1609</v>
      </c>
      <c r="G406" s="6" t="s">
        <v>2860</v>
      </c>
      <c r="H406" s="6" t="s">
        <v>62</v>
      </c>
    </row>
    <row r="407" spans="1:8" x14ac:dyDescent="0.3">
      <c r="A407" s="6" t="s">
        <v>2858</v>
      </c>
      <c r="B407" s="6" t="s">
        <v>1601</v>
      </c>
      <c r="C407" s="6" t="s">
        <v>2869</v>
      </c>
      <c r="D407" s="6" t="s">
        <v>1600</v>
      </c>
      <c r="E407" s="6">
        <v>32218618</v>
      </c>
      <c r="F407" s="6" t="s">
        <v>1608</v>
      </c>
      <c r="G407" s="6" t="s">
        <v>2860</v>
      </c>
      <c r="H407" s="6" t="s">
        <v>44</v>
      </c>
    </row>
    <row r="408" spans="1:8" x14ac:dyDescent="0.3">
      <c r="A408" s="6" t="s">
        <v>2858</v>
      </c>
      <c r="B408" s="6" t="s">
        <v>1601</v>
      </c>
      <c r="C408" s="6" t="s">
        <v>2869</v>
      </c>
      <c r="D408" s="6" t="s">
        <v>1600</v>
      </c>
      <c r="E408" s="6">
        <v>32045830</v>
      </c>
      <c r="F408" s="6" t="s">
        <v>1607</v>
      </c>
      <c r="G408" s="6" t="s">
        <v>2860</v>
      </c>
      <c r="H408" s="6" t="s">
        <v>44</v>
      </c>
    </row>
    <row r="409" spans="1:8" x14ac:dyDescent="0.3">
      <c r="A409" s="6" t="s">
        <v>2858</v>
      </c>
      <c r="B409" s="6" t="s">
        <v>1601</v>
      </c>
      <c r="C409" s="6" t="s">
        <v>2869</v>
      </c>
      <c r="D409" s="6" t="s">
        <v>1600</v>
      </c>
      <c r="E409" s="6">
        <v>32045650</v>
      </c>
      <c r="F409" s="6" t="s">
        <v>1606</v>
      </c>
      <c r="G409" s="6" t="s">
        <v>2860</v>
      </c>
      <c r="H409" s="6" t="s">
        <v>38</v>
      </c>
    </row>
    <row r="410" spans="1:8" x14ac:dyDescent="0.3">
      <c r="A410" s="6" t="s">
        <v>2858</v>
      </c>
      <c r="B410" s="6" t="s">
        <v>1601</v>
      </c>
      <c r="C410" s="6" t="s">
        <v>2869</v>
      </c>
      <c r="D410" s="6" t="s">
        <v>1600</v>
      </c>
      <c r="E410" s="6">
        <v>32210326</v>
      </c>
      <c r="F410" s="6" t="s">
        <v>1605</v>
      </c>
      <c r="G410" s="6" t="s">
        <v>2860</v>
      </c>
      <c r="H410" s="6" t="s">
        <v>35</v>
      </c>
    </row>
    <row r="411" spans="1:8" x14ac:dyDescent="0.3">
      <c r="A411" s="6" t="s">
        <v>2858</v>
      </c>
      <c r="B411" s="6" t="s">
        <v>1601</v>
      </c>
      <c r="C411" s="6" t="s">
        <v>2869</v>
      </c>
      <c r="D411" s="6" t="s">
        <v>1600</v>
      </c>
      <c r="E411" s="6">
        <v>32216501</v>
      </c>
      <c r="F411" s="6" t="s">
        <v>1604</v>
      </c>
      <c r="G411" s="6" t="s">
        <v>2860</v>
      </c>
      <c r="H411" s="6" t="s">
        <v>47</v>
      </c>
    </row>
    <row r="412" spans="1:8" x14ac:dyDescent="0.3">
      <c r="A412" s="6" t="s">
        <v>2858</v>
      </c>
      <c r="B412" s="6" t="s">
        <v>3075</v>
      </c>
      <c r="C412" s="6" t="s">
        <v>2861</v>
      </c>
      <c r="D412" s="6">
        <v>14</v>
      </c>
      <c r="E412" s="6">
        <v>32046695</v>
      </c>
      <c r="F412" s="6" t="s">
        <v>3076</v>
      </c>
      <c r="G412" s="6" t="s">
        <v>2344</v>
      </c>
      <c r="H412" s="6" t="s">
        <v>2882</v>
      </c>
    </row>
    <row r="413" spans="1:8" x14ac:dyDescent="0.3">
      <c r="A413" s="6" t="s">
        <v>2858</v>
      </c>
      <c r="B413" s="6" t="s">
        <v>3075</v>
      </c>
      <c r="C413" s="6" t="s">
        <v>2861</v>
      </c>
      <c r="D413" s="6">
        <v>14</v>
      </c>
      <c r="E413" s="6">
        <v>32045237</v>
      </c>
      <c r="F413" s="6" t="s">
        <v>3077</v>
      </c>
      <c r="G413" s="6" t="s">
        <v>2860</v>
      </c>
      <c r="H413" s="6" t="s">
        <v>44</v>
      </c>
    </row>
    <row r="414" spans="1:8" x14ac:dyDescent="0.3">
      <c r="A414" s="6" t="s">
        <v>2858</v>
      </c>
      <c r="B414" s="6" t="s">
        <v>3075</v>
      </c>
      <c r="C414" s="6" t="s">
        <v>2861</v>
      </c>
      <c r="D414" s="6">
        <v>14</v>
      </c>
      <c r="E414" s="6">
        <v>32046217</v>
      </c>
      <c r="F414" s="6" t="s">
        <v>3078</v>
      </c>
      <c r="G414" s="6" t="s">
        <v>2860</v>
      </c>
      <c r="H414" s="6" t="s">
        <v>47</v>
      </c>
    </row>
    <row r="415" spans="1:8" x14ac:dyDescent="0.3">
      <c r="A415" s="6" t="s">
        <v>2858</v>
      </c>
      <c r="B415" s="6" t="s">
        <v>3075</v>
      </c>
      <c r="C415" s="6" t="s">
        <v>2861</v>
      </c>
      <c r="D415" s="6">
        <v>14</v>
      </c>
      <c r="E415" s="6">
        <v>32045206</v>
      </c>
      <c r="F415" s="6" t="s">
        <v>3079</v>
      </c>
      <c r="G415" s="6" t="s">
        <v>2860</v>
      </c>
      <c r="H415" s="6" t="s">
        <v>35</v>
      </c>
    </row>
    <row r="416" spans="1:8" x14ac:dyDescent="0.3">
      <c r="A416" s="6" t="s">
        <v>2858</v>
      </c>
      <c r="B416" s="6" t="s">
        <v>3075</v>
      </c>
      <c r="C416" s="6" t="s">
        <v>2861</v>
      </c>
      <c r="D416" s="6">
        <v>14</v>
      </c>
      <c r="E416" s="6">
        <v>32046080</v>
      </c>
      <c r="F416" s="6" t="s">
        <v>3080</v>
      </c>
      <c r="G416" s="6" t="s">
        <v>2860</v>
      </c>
      <c r="H416" s="6" t="s">
        <v>44</v>
      </c>
    </row>
    <row r="417" spans="1:8" x14ac:dyDescent="0.3">
      <c r="A417" s="6" t="s">
        <v>2858</v>
      </c>
      <c r="B417" s="6" t="s">
        <v>3075</v>
      </c>
      <c r="C417" s="6" t="s">
        <v>2861</v>
      </c>
      <c r="D417" s="6">
        <v>14</v>
      </c>
      <c r="E417" s="6">
        <v>32044865</v>
      </c>
      <c r="F417" s="6" t="s">
        <v>3081</v>
      </c>
      <c r="G417" s="6" t="s">
        <v>2860</v>
      </c>
      <c r="H417" s="6" t="s">
        <v>38</v>
      </c>
    </row>
    <row r="418" spans="1:8" x14ac:dyDescent="0.3">
      <c r="A418" s="6" t="s">
        <v>2858</v>
      </c>
      <c r="B418" s="6" t="s">
        <v>3075</v>
      </c>
      <c r="C418" s="6" t="s">
        <v>2861</v>
      </c>
      <c r="D418" s="6">
        <v>14</v>
      </c>
      <c r="E418" s="6">
        <v>32044729</v>
      </c>
      <c r="F418" s="6" t="s">
        <v>3082</v>
      </c>
      <c r="G418" s="6" t="s">
        <v>2860</v>
      </c>
      <c r="H418" s="6" t="s">
        <v>62</v>
      </c>
    </row>
    <row r="419" spans="1:8" x14ac:dyDescent="0.3">
      <c r="A419" s="6" t="s">
        <v>2858</v>
      </c>
      <c r="B419" s="6" t="s">
        <v>3075</v>
      </c>
      <c r="C419" s="6" t="s">
        <v>2861</v>
      </c>
      <c r="D419" s="6">
        <v>14</v>
      </c>
      <c r="E419" s="6">
        <v>32044915</v>
      </c>
      <c r="F419" s="6" t="s">
        <v>3083</v>
      </c>
      <c r="G419" s="6" t="s">
        <v>2860</v>
      </c>
      <c r="H419" s="6" t="s">
        <v>1584</v>
      </c>
    </row>
    <row r="420" spans="1:8" x14ac:dyDescent="0.3">
      <c r="A420" s="6" t="s">
        <v>2858</v>
      </c>
      <c r="B420" s="6" t="s">
        <v>3075</v>
      </c>
      <c r="C420" s="6" t="s">
        <v>2861</v>
      </c>
      <c r="D420" s="6">
        <v>14</v>
      </c>
      <c r="E420" s="6">
        <v>32202290</v>
      </c>
      <c r="F420" s="6" t="s">
        <v>3084</v>
      </c>
      <c r="G420" s="6" t="s">
        <v>2860</v>
      </c>
      <c r="H420" s="6" t="s">
        <v>47</v>
      </c>
    </row>
    <row r="421" spans="1:8" x14ac:dyDescent="0.3">
      <c r="A421" s="6" t="s">
        <v>2858</v>
      </c>
      <c r="B421" s="6" t="s">
        <v>3075</v>
      </c>
      <c r="C421" s="6" t="s">
        <v>2861</v>
      </c>
      <c r="D421" s="6">
        <v>14</v>
      </c>
      <c r="E421" s="6">
        <v>32132046</v>
      </c>
      <c r="F421" s="6" t="s">
        <v>3085</v>
      </c>
      <c r="G421" s="6" t="s">
        <v>2860</v>
      </c>
      <c r="H421" s="6" t="s">
        <v>41</v>
      </c>
    </row>
    <row r="422" spans="1:8" x14ac:dyDescent="0.3">
      <c r="A422" s="6" t="s">
        <v>2858</v>
      </c>
      <c r="B422" s="6" t="s">
        <v>3075</v>
      </c>
      <c r="C422" s="6" t="s">
        <v>2861</v>
      </c>
      <c r="D422" s="6">
        <v>14</v>
      </c>
      <c r="E422" s="6">
        <v>32132234</v>
      </c>
      <c r="F422" s="6" t="s">
        <v>3086</v>
      </c>
      <c r="G422" s="6" t="s">
        <v>2860</v>
      </c>
      <c r="H422" s="6" t="s">
        <v>38</v>
      </c>
    </row>
    <row r="423" spans="1:8" x14ac:dyDescent="0.3">
      <c r="A423" s="6" t="s">
        <v>2858</v>
      </c>
      <c r="B423" s="6" t="s">
        <v>3075</v>
      </c>
      <c r="C423" s="6" t="s">
        <v>2861</v>
      </c>
      <c r="D423" s="6">
        <v>14</v>
      </c>
      <c r="E423" s="6">
        <v>32044731</v>
      </c>
      <c r="F423" s="6" t="s">
        <v>3087</v>
      </c>
      <c r="G423" s="6" t="s">
        <v>2860</v>
      </c>
      <c r="H423" s="6" t="s">
        <v>62</v>
      </c>
    </row>
    <row r="424" spans="1:8" x14ac:dyDescent="0.3">
      <c r="A424" s="6" t="s">
        <v>2858</v>
      </c>
      <c r="B424" s="6" t="s">
        <v>3088</v>
      </c>
      <c r="C424" s="6" t="s">
        <v>2869</v>
      </c>
      <c r="D424" s="6" t="s">
        <v>1614</v>
      </c>
      <c r="E424" s="6">
        <v>32045439</v>
      </c>
      <c r="F424" s="6" t="s">
        <v>1637</v>
      </c>
      <c r="G424" s="6" t="s">
        <v>2860</v>
      </c>
      <c r="H424" s="6" t="s">
        <v>41</v>
      </c>
    </row>
    <row r="425" spans="1:8" x14ac:dyDescent="0.3">
      <c r="A425" s="6" t="s">
        <v>2858</v>
      </c>
      <c r="B425" s="6" t="s">
        <v>3088</v>
      </c>
      <c r="C425" s="6" t="s">
        <v>2869</v>
      </c>
      <c r="D425" s="6" t="s">
        <v>1614</v>
      </c>
      <c r="E425" s="6">
        <v>32197851</v>
      </c>
      <c r="F425" s="6" t="s">
        <v>1636</v>
      </c>
      <c r="G425" s="6" t="s">
        <v>2860</v>
      </c>
      <c r="H425" s="6" t="s">
        <v>35</v>
      </c>
    </row>
    <row r="426" spans="1:8" x14ac:dyDescent="0.3">
      <c r="A426" s="6" t="s">
        <v>2858</v>
      </c>
      <c r="B426" s="6" t="s">
        <v>3088</v>
      </c>
      <c r="C426" s="6" t="s">
        <v>2869</v>
      </c>
      <c r="D426" s="6" t="s">
        <v>1614</v>
      </c>
      <c r="E426" s="6">
        <v>32045631</v>
      </c>
      <c r="F426" s="6" t="s">
        <v>1635</v>
      </c>
      <c r="G426" s="6" t="s">
        <v>2860</v>
      </c>
      <c r="H426" s="6" t="s">
        <v>1584</v>
      </c>
    </row>
    <row r="427" spans="1:8" x14ac:dyDescent="0.3">
      <c r="A427" s="6" t="s">
        <v>2858</v>
      </c>
      <c r="B427" s="6" t="s">
        <v>3088</v>
      </c>
      <c r="C427" s="6" t="s">
        <v>2869</v>
      </c>
      <c r="D427" s="6" t="s">
        <v>1614</v>
      </c>
      <c r="E427" s="6">
        <v>32046085</v>
      </c>
      <c r="F427" s="6" t="s">
        <v>1634</v>
      </c>
      <c r="G427" s="6" t="s">
        <v>2860</v>
      </c>
      <c r="H427" s="6" t="s">
        <v>62</v>
      </c>
    </row>
    <row r="428" spans="1:8" x14ac:dyDescent="0.3">
      <c r="A428" s="6" t="s">
        <v>2858</v>
      </c>
      <c r="B428" s="6" t="s">
        <v>3088</v>
      </c>
      <c r="C428" s="6" t="s">
        <v>2869</v>
      </c>
      <c r="D428" s="6" t="s">
        <v>1614</v>
      </c>
      <c r="E428" s="6">
        <v>32044337</v>
      </c>
      <c r="F428" s="6" t="s">
        <v>1633</v>
      </c>
      <c r="G428" s="6" t="s">
        <v>2860</v>
      </c>
      <c r="H428" s="6" t="s">
        <v>47</v>
      </c>
    </row>
    <row r="429" spans="1:8" x14ac:dyDescent="0.3">
      <c r="A429" s="6" t="s">
        <v>2858</v>
      </c>
      <c r="B429" s="6" t="s">
        <v>3088</v>
      </c>
      <c r="C429" s="6" t="s">
        <v>2869</v>
      </c>
      <c r="D429" s="6" t="s">
        <v>1614</v>
      </c>
      <c r="E429" s="6">
        <v>32046212</v>
      </c>
      <c r="F429" s="6" t="s">
        <v>1632</v>
      </c>
      <c r="G429" s="6" t="s">
        <v>2860</v>
      </c>
      <c r="H429" s="6" t="s">
        <v>47</v>
      </c>
    </row>
    <row r="430" spans="1:8" x14ac:dyDescent="0.3">
      <c r="A430" s="6" t="s">
        <v>2858</v>
      </c>
      <c r="B430" s="6" t="s">
        <v>3088</v>
      </c>
      <c r="C430" s="6" t="s">
        <v>2869</v>
      </c>
      <c r="D430" s="6" t="s">
        <v>1614</v>
      </c>
      <c r="E430" s="6">
        <v>32044062</v>
      </c>
      <c r="F430" s="6" t="s">
        <v>1630</v>
      </c>
      <c r="G430" s="6" t="s">
        <v>2860</v>
      </c>
      <c r="H430" s="6" t="s">
        <v>35</v>
      </c>
    </row>
    <row r="431" spans="1:8" x14ac:dyDescent="0.3">
      <c r="A431" s="6" t="s">
        <v>2858</v>
      </c>
      <c r="B431" s="6" t="s">
        <v>3088</v>
      </c>
      <c r="C431" s="6" t="s">
        <v>2869</v>
      </c>
      <c r="D431" s="6" t="s">
        <v>1614</v>
      </c>
      <c r="E431" s="6">
        <v>32055892</v>
      </c>
      <c r="F431" s="6" t="s">
        <v>1628</v>
      </c>
      <c r="G431" s="6" t="s">
        <v>2860</v>
      </c>
      <c r="H431" s="6" t="s">
        <v>1584</v>
      </c>
    </row>
    <row r="432" spans="1:8" x14ac:dyDescent="0.3">
      <c r="A432" s="6" t="s">
        <v>2858</v>
      </c>
      <c r="B432" s="6" t="s">
        <v>3088</v>
      </c>
      <c r="C432" s="6" t="s">
        <v>2869</v>
      </c>
      <c r="D432" s="6" t="s">
        <v>1614</v>
      </c>
      <c r="E432" s="6">
        <v>32217098</v>
      </c>
      <c r="F432" s="6" t="s">
        <v>1627</v>
      </c>
      <c r="G432" s="6" t="s">
        <v>2860</v>
      </c>
      <c r="H432" s="6" t="s">
        <v>41</v>
      </c>
    </row>
    <row r="433" spans="1:8" x14ac:dyDescent="0.3">
      <c r="A433" s="6" t="s">
        <v>2858</v>
      </c>
      <c r="B433" s="6" t="s">
        <v>3088</v>
      </c>
      <c r="C433" s="6" t="s">
        <v>2869</v>
      </c>
      <c r="D433" s="6" t="s">
        <v>1614</v>
      </c>
      <c r="E433" s="6">
        <v>32044255</v>
      </c>
      <c r="F433" s="6" t="s">
        <v>1626</v>
      </c>
      <c r="G433" s="6" t="s">
        <v>2860</v>
      </c>
      <c r="H433" s="6" t="s">
        <v>41</v>
      </c>
    </row>
    <row r="434" spans="1:8" x14ac:dyDescent="0.3">
      <c r="A434" s="6" t="s">
        <v>2858</v>
      </c>
      <c r="B434" s="6" t="s">
        <v>3088</v>
      </c>
      <c r="C434" s="6" t="s">
        <v>2869</v>
      </c>
      <c r="D434" s="6" t="s">
        <v>1614</v>
      </c>
      <c r="E434" s="6">
        <v>32197843</v>
      </c>
      <c r="F434" s="6" t="s">
        <v>1625</v>
      </c>
      <c r="G434" s="6" t="s">
        <v>2860</v>
      </c>
      <c r="H434" s="6" t="s">
        <v>44</v>
      </c>
    </row>
    <row r="435" spans="1:8" x14ac:dyDescent="0.3">
      <c r="A435" s="6" t="s">
        <v>2858</v>
      </c>
      <c r="B435" s="6" t="s">
        <v>3088</v>
      </c>
      <c r="C435" s="6" t="s">
        <v>2869</v>
      </c>
      <c r="D435" s="6" t="s">
        <v>1614</v>
      </c>
      <c r="E435" s="6">
        <v>32058883</v>
      </c>
      <c r="F435" s="6" t="s">
        <v>1624</v>
      </c>
      <c r="G435" s="6" t="s">
        <v>2860</v>
      </c>
      <c r="H435" s="6" t="s">
        <v>62</v>
      </c>
    </row>
    <row r="436" spans="1:8" x14ac:dyDescent="0.3">
      <c r="A436" s="6" t="s">
        <v>2858</v>
      </c>
      <c r="B436" s="6" t="s">
        <v>3088</v>
      </c>
      <c r="C436" s="6" t="s">
        <v>2869</v>
      </c>
      <c r="D436" s="6" t="s">
        <v>1614</v>
      </c>
      <c r="E436" s="6">
        <v>32046185</v>
      </c>
      <c r="F436" s="6" t="s">
        <v>1622</v>
      </c>
      <c r="G436" s="6" t="s">
        <v>2860</v>
      </c>
      <c r="H436" s="6" t="s">
        <v>44</v>
      </c>
    </row>
    <row r="437" spans="1:8" x14ac:dyDescent="0.3">
      <c r="A437" s="6" t="s">
        <v>2858</v>
      </c>
      <c r="B437" s="6" t="s">
        <v>3088</v>
      </c>
      <c r="C437" s="6" t="s">
        <v>2869</v>
      </c>
      <c r="D437" s="6" t="s">
        <v>1614</v>
      </c>
      <c r="E437" s="6">
        <v>32198224</v>
      </c>
      <c r="F437" s="6" t="s">
        <v>1620</v>
      </c>
      <c r="G437" s="6" t="s">
        <v>2860</v>
      </c>
      <c r="H437" s="6" t="s">
        <v>41</v>
      </c>
    </row>
    <row r="438" spans="1:8" x14ac:dyDescent="0.3">
      <c r="A438" s="6" t="s">
        <v>2858</v>
      </c>
      <c r="B438" s="6" t="s">
        <v>3088</v>
      </c>
      <c r="C438" s="6" t="s">
        <v>2869</v>
      </c>
      <c r="D438" s="6" t="s">
        <v>1614</v>
      </c>
      <c r="E438" s="6">
        <v>32209494</v>
      </c>
      <c r="F438" s="6" t="s">
        <v>1638</v>
      </c>
      <c r="G438" s="6" t="s">
        <v>2860</v>
      </c>
      <c r="H438" s="6" t="s">
        <v>38</v>
      </c>
    </row>
    <row r="439" spans="1:8" x14ac:dyDescent="0.3">
      <c r="A439" s="6" t="s">
        <v>2858</v>
      </c>
      <c r="B439" s="6" t="s">
        <v>3088</v>
      </c>
      <c r="C439" s="6" t="s">
        <v>2869</v>
      </c>
      <c r="D439" s="6" t="s">
        <v>1614</v>
      </c>
      <c r="E439" s="6">
        <v>32064295</v>
      </c>
      <c r="F439" s="6" t="s">
        <v>1618</v>
      </c>
      <c r="G439" s="6" t="s">
        <v>2860</v>
      </c>
      <c r="H439" s="6" t="s">
        <v>38</v>
      </c>
    </row>
    <row r="440" spans="1:8" x14ac:dyDescent="0.3">
      <c r="A440" s="6" t="s">
        <v>2858</v>
      </c>
      <c r="B440" s="6" t="s">
        <v>3088</v>
      </c>
      <c r="C440" s="6" t="s">
        <v>2869</v>
      </c>
      <c r="D440" s="6" t="s">
        <v>2882</v>
      </c>
      <c r="E440" s="6">
        <v>32198477</v>
      </c>
      <c r="F440" s="6" t="s">
        <v>3089</v>
      </c>
      <c r="G440" s="6" t="s">
        <v>2344</v>
      </c>
      <c r="H440" s="6" t="s">
        <v>2882</v>
      </c>
    </row>
    <row r="441" spans="1:8" x14ac:dyDescent="0.3">
      <c r="A441" s="6" t="s">
        <v>2858</v>
      </c>
      <c r="B441" s="6" t="s">
        <v>2873</v>
      </c>
      <c r="C441" s="6" t="s">
        <v>2864</v>
      </c>
      <c r="D441" s="6" t="s">
        <v>2882</v>
      </c>
      <c r="E441" s="6">
        <v>32232970</v>
      </c>
      <c r="F441" s="6" t="s">
        <v>2043</v>
      </c>
      <c r="G441" s="6" t="s">
        <v>2344</v>
      </c>
      <c r="H441" s="6" t="s">
        <v>2882</v>
      </c>
    </row>
    <row r="442" spans="1:8" x14ac:dyDescent="0.3">
      <c r="A442" s="6" t="s">
        <v>2858</v>
      </c>
      <c r="B442" s="6" t="s">
        <v>2873</v>
      </c>
      <c r="C442" s="6" t="s">
        <v>2864</v>
      </c>
      <c r="D442" s="6" t="s">
        <v>1991</v>
      </c>
      <c r="E442" s="6">
        <v>32144783</v>
      </c>
      <c r="F442" s="6" t="s">
        <v>2045</v>
      </c>
      <c r="G442" s="6" t="s">
        <v>2860</v>
      </c>
      <c r="H442" s="6" t="s">
        <v>44</v>
      </c>
    </row>
    <row r="443" spans="1:8" x14ac:dyDescent="0.3">
      <c r="A443" s="6" t="s">
        <v>2858</v>
      </c>
      <c r="B443" s="6" t="s">
        <v>2873</v>
      </c>
      <c r="C443" s="6" t="s">
        <v>2864</v>
      </c>
      <c r="D443" s="6" t="s">
        <v>1991</v>
      </c>
      <c r="E443" s="6">
        <v>32044335</v>
      </c>
      <c r="F443" s="6" t="s">
        <v>2047</v>
      </c>
      <c r="G443" s="6" t="s">
        <v>2860</v>
      </c>
      <c r="H443" s="6" t="s">
        <v>38</v>
      </c>
    </row>
    <row r="444" spans="1:8" x14ac:dyDescent="0.3">
      <c r="A444" s="6" t="s">
        <v>2858</v>
      </c>
      <c r="B444" s="6" t="s">
        <v>2873</v>
      </c>
      <c r="C444" s="6" t="s">
        <v>2864</v>
      </c>
      <c r="D444" s="6" t="s">
        <v>1991</v>
      </c>
      <c r="E444" s="6">
        <v>32045056</v>
      </c>
      <c r="F444" s="6" t="s">
        <v>2049</v>
      </c>
      <c r="G444" s="6" t="s">
        <v>2860</v>
      </c>
      <c r="H444" s="6" t="s">
        <v>47</v>
      </c>
    </row>
    <row r="445" spans="1:8" x14ac:dyDescent="0.3">
      <c r="A445" s="6" t="s">
        <v>2858</v>
      </c>
      <c r="B445" s="6" t="s">
        <v>2873</v>
      </c>
      <c r="C445" s="6" t="s">
        <v>2864</v>
      </c>
      <c r="D445" s="6" t="s">
        <v>1991</v>
      </c>
      <c r="E445" s="6">
        <v>32045071</v>
      </c>
      <c r="F445" s="6" t="s">
        <v>2051</v>
      </c>
      <c r="G445" s="6" t="s">
        <v>2860</v>
      </c>
      <c r="H445" s="6" t="s">
        <v>35</v>
      </c>
    </row>
    <row r="446" spans="1:8" x14ac:dyDescent="0.3">
      <c r="A446" s="6" t="s">
        <v>2858</v>
      </c>
      <c r="B446" s="6" t="s">
        <v>3090</v>
      </c>
      <c r="C446" s="6" t="s">
        <v>2861</v>
      </c>
      <c r="D446" s="6">
        <v>4</v>
      </c>
      <c r="E446" s="6">
        <v>32174771</v>
      </c>
      <c r="F446" s="6" t="s">
        <v>3091</v>
      </c>
      <c r="G446" s="6" t="s">
        <v>2344</v>
      </c>
      <c r="H446" s="6" t="s">
        <v>2882</v>
      </c>
    </row>
    <row r="447" spans="1:8" x14ac:dyDescent="0.3">
      <c r="A447" s="6" t="s">
        <v>2858</v>
      </c>
      <c r="B447" s="6" t="s">
        <v>3090</v>
      </c>
      <c r="C447" s="6" t="s">
        <v>2861</v>
      </c>
      <c r="D447" s="6">
        <v>4</v>
      </c>
      <c r="E447" s="6">
        <v>32044946</v>
      </c>
      <c r="F447" s="6" t="s">
        <v>611</v>
      </c>
      <c r="G447" s="6" t="s">
        <v>2860</v>
      </c>
      <c r="H447" s="6" t="s">
        <v>62</v>
      </c>
    </row>
    <row r="448" spans="1:8" x14ac:dyDescent="0.3">
      <c r="A448" s="6" t="s">
        <v>2858</v>
      </c>
      <c r="B448" s="6" t="s">
        <v>3090</v>
      </c>
      <c r="C448" s="6" t="s">
        <v>2861</v>
      </c>
      <c r="D448" s="6">
        <v>4</v>
      </c>
      <c r="E448" s="6">
        <v>32045731</v>
      </c>
      <c r="F448" s="6" t="s">
        <v>621</v>
      </c>
      <c r="G448" s="6" t="s">
        <v>2860</v>
      </c>
      <c r="H448" s="6" t="s">
        <v>1584</v>
      </c>
    </row>
    <row r="449" spans="1:8" x14ac:dyDescent="0.3">
      <c r="A449" s="6" t="s">
        <v>2858</v>
      </c>
      <c r="B449" s="6" t="s">
        <v>3090</v>
      </c>
      <c r="C449" s="6" t="s">
        <v>2861</v>
      </c>
      <c r="D449" s="6">
        <v>4</v>
      </c>
      <c r="E449" s="6">
        <v>32044554</v>
      </c>
      <c r="F449" s="6" t="s">
        <v>609</v>
      </c>
      <c r="G449" s="6" t="s">
        <v>2860</v>
      </c>
      <c r="H449" s="6" t="s">
        <v>38</v>
      </c>
    </row>
    <row r="450" spans="1:8" x14ac:dyDescent="0.3">
      <c r="A450" s="6" t="s">
        <v>2858</v>
      </c>
      <c r="B450" s="6" t="s">
        <v>3090</v>
      </c>
      <c r="C450" s="6" t="s">
        <v>2861</v>
      </c>
      <c r="D450" s="6">
        <v>4</v>
      </c>
      <c r="E450" s="6">
        <v>32046135</v>
      </c>
      <c r="F450" s="6" t="s">
        <v>628</v>
      </c>
      <c r="G450" s="6" t="s">
        <v>2860</v>
      </c>
      <c r="H450" s="6" t="s">
        <v>38</v>
      </c>
    </row>
    <row r="451" spans="1:8" x14ac:dyDescent="0.3">
      <c r="A451" s="6" t="s">
        <v>2858</v>
      </c>
      <c r="B451" s="6" t="s">
        <v>3090</v>
      </c>
      <c r="C451" s="6" t="s">
        <v>2861</v>
      </c>
      <c r="D451" s="6">
        <v>4</v>
      </c>
      <c r="E451" s="6">
        <v>32044201</v>
      </c>
      <c r="F451" s="6" t="s">
        <v>608</v>
      </c>
      <c r="G451" s="6" t="s">
        <v>2860</v>
      </c>
      <c r="H451" s="6" t="s">
        <v>41</v>
      </c>
    </row>
    <row r="452" spans="1:8" x14ac:dyDescent="0.3">
      <c r="A452" s="6" t="s">
        <v>2858</v>
      </c>
      <c r="B452" s="6" t="s">
        <v>3090</v>
      </c>
      <c r="C452" s="6" t="s">
        <v>2861</v>
      </c>
      <c r="D452" s="6">
        <v>4</v>
      </c>
      <c r="E452" s="6">
        <v>32046511</v>
      </c>
      <c r="F452" s="6" t="s">
        <v>637</v>
      </c>
      <c r="G452" s="6" t="s">
        <v>2860</v>
      </c>
      <c r="H452" s="6" t="s">
        <v>62</v>
      </c>
    </row>
    <row r="453" spans="1:8" x14ac:dyDescent="0.3">
      <c r="A453" s="6" t="s">
        <v>2858</v>
      </c>
      <c r="B453" s="6" t="s">
        <v>3090</v>
      </c>
      <c r="C453" s="6" t="s">
        <v>2861</v>
      </c>
      <c r="D453" s="6">
        <v>4</v>
      </c>
      <c r="E453" s="6">
        <v>32045629</v>
      </c>
      <c r="F453" s="6" t="s">
        <v>619</v>
      </c>
      <c r="G453" s="6" t="s">
        <v>2860</v>
      </c>
      <c r="H453" s="6" t="s">
        <v>44</v>
      </c>
    </row>
    <row r="454" spans="1:8" x14ac:dyDescent="0.3">
      <c r="A454" s="6" t="s">
        <v>2858</v>
      </c>
      <c r="B454" s="6" t="s">
        <v>3090</v>
      </c>
      <c r="C454" s="6" t="s">
        <v>2861</v>
      </c>
      <c r="D454" s="6">
        <v>4</v>
      </c>
      <c r="E454" s="6">
        <v>32045593</v>
      </c>
      <c r="F454" s="6" t="s">
        <v>3092</v>
      </c>
      <c r="G454" s="6" t="s">
        <v>2860</v>
      </c>
      <c r="H454" s="6" t="s">
        <v>35</v>
      </c>
    </row>
    <row r="455" spans="1:8" x14ac:dyDescent="0.3">
      <c r="A455" s="6" t="s">
        <v>2858</v>
      </c>
      <c r="B455" s="6" t="s">
        <v>3090</v>
      </c>
      <c r="C455" s="6" t="s">
        <v>2861</v>
      </c>
      <c r="D455" s="6">
        <v>4</v>
      </c>
      <c r="E455" s="6">
        <v>32045754</v>
      </c>
      <c r="F455" s="6" t="s">
        <v>624</v>
      </c>
      <c r="G455" s="6" t="s">
        <v>2860</v>
      </c>
      <c r="H455" s="6" t="s">
        <v>47</v>
      </c>
    </row>
    <row r="456" spans="1:8" x14ac:dyDescent="0.3">
      <c r="A456" s="6" t="s">
        <v>2858</v>
      </c>
      <c r="B456" s="6" t="s">
        <v>3090</v>
      </c>
      <c r="C456" s="6" t="s">
        <v>2861</v>
      </c>
      <c r="D456" s="6">
        <v>4</v>
      </c>
      <c r="E456" s="6">
        <v>32044986</v>
      </c>
      <c r="F456" s="6" t="s">
        <v>613</v>
      </c>
      <c r="G456" s="6" t="s">
        <v>2860</v>
      </c>
      <c r="H456" s="6" t="s">
        <v>44</v>
      </c>
    </row>
    <row r="457" spans="1:8" x14ac:dyDescent="0.3">
      <c r="A457" s="6" t="s">
        <v>2858</v>
      </c>
      <c r="B457" s="6" t="s">
        <v>3090</v>
      </c>
      <c r="C457" s="6" t="s">
        <v>2861</v>
      </c>
      <c r="D457" s="6">
        <v>4</v>
      </c>
      <c r="E457" s="6">
        <v>32045137</v>
      </c>
      <c r="F457" s="6" t="s">
        <v>615</v>
      </c>
      <c r="G457" s="6" t="s">
        <v>2860</v>
      </c>
      <c r="H457" s="6" t="s">
        <v>47</v>
      </c>
    </row>
    <row r="458" spans="1:8" x14ac:dyDescent="0.3">
      <c r="A458" s="6" t="s">
        <v>2858</v>
      </c>
      <c r="B458" s="6" t="s">
        <v>3090</v>
      </c>
      <c r="C458" s="6" t="s">
        <v>2861</v>
      </c>
      <c r="D458" s="6">
        <v>4</v>
      </c>
      <c r="E458" s="6">
        <v>32063475</v>
      </c>
      <c r="F458" s="6" t="s">
        <v>638</v>
      </c>
      <c r="G458" s="6" t="s">
        <v>2860</v>
      </c>
      <c r="H458" s="6" t="s">
        <v>35</v>
      </c>
    </row>
    <row r="459" spans="1:8" x14ac:dyDescent="0.3">
      <c r="A459" s="6" t="s">
        <v>2858</v>
      </c>
      <c r="B459" s="6" t="s">
        <v>3090</v>
      </c>
      <c r="C459" s="6" t="s">
        <v>2861</v>
      </c>
      <c r="D459" s="6">
        <v>4</v>
      </c>
      <c r="E459" s="6">
        <v>32046165</v>
      </c>
      <c r="F459" s="6" t="s">
        <v>633</v>
      </c>
      <c r="G459" s="6" t="s">
        <v>2860</v>
      </c>
      <c r="H459" s="6" t="s">
        <v>1584</v>
      </c>
    </row>
    <row r="460" spans="1:8" x14ac:dyDescent="0.3">
      <c r="A460" s="6" t="s">
        <v>2858</v>
      </c>
      <c r="B460" s="6" t="s">
        <v>3090</v>
      </c>
      <c r="C460" s="6" t="s">
        <v>2861</v>
      </c>
      <c r="D460" s="6">
        <v>4</v>
      </c>
      <c r="E460" s="6">
        <v>32046468</v>
      </c>
      <c r="F460" s="6" t="s">
        <v>635</v>
      </c>
      <c r="G460" s="6" t="s">
        <v>2860</v>
      </c>
      <c r="H460" s="6" t="s">
        <v>35</v>
      </c>
    </row>
    <row r="461" spans="1:8" x14ac:dyDescent="0.3">
      <c r="A461" s="6" t="s">
        <v>2858</v>
      </c>
      <c r="B461" s="6" t="s">
        <v>3090</v>
      </c>
      <c r="C461" s="6" t="s">
        <v>2861</v>
      </c>
      <c r="D461" s="6">
        <v>4</v>
      </c>
      <c r="E461" s="6">
        <v>32045768</v>
      </c>
      <c r="F461" s="6" t="s">
        <v>626</v>
      </c>
      <c r="G461" s="6" t="s">
        <v>2860</v>
      </c>
      <c r="H461" s="6" t="s">
        <v>41</v>
      </c>
    </row>
    <row r="462" spans="1:8" x14ac:dyDescent="0.3">
      <c r="A462" s="6" t="s">
        <v>2858</v>
      </c>
      <c r="B462" s="6" t="s">
        <v>3093</v>
      </c>
      <c r="C462" s="6" t="s">
        <v>2861</v>
      </c>
      <c r="D462" s="6">
        <v>6</v>
      </c>
      <c r="E462" s="6">
        <v>32067180</v>
      </c>
      <c r="F462" s="6" t="s">
        <v>808</v>
      </c>
      <c r="G462" s="6" t="s">
        <v>2860</v>
      </c>
      <c r="H462" s="6" t="s">
        <v>44</v>
      </c>
    </row>
    <row r="463" spans="1:8" x14ac:dyDescent="0.3">
      <c r="A463" s="6" t="s">
        <v>2858</v>
      </c>
      <c r="B463" s="6" t="s">
        <v>3093</v>
      </c>
      <c r="C463" s="6" t="s">
        <v>2861</v>
      </c>
      <c r="D463" s="6">
        <v>6</v>
      </c>
      <c r="E463" s="6">
        <v>32044354</v>
      </c>
      <c r="F463" s="6" t="s">
        <v>3094</v>
      </c>
      <c r="G463" s="6" t="s">
        <v>2860</v>
      </c>
      <c r="H463" s="6" t="s">
        <v>44</v>
      </c>
    </row>
    <row r="464" spans="1:8" x14ac:dyDescent="0.3">
      <c r="A464" s="6" t="s">
        <v>2858</v>
      </c>
      <c r="B464" s="6" t="s">
        <v>3093</v>
      </c>
      <c r="C464" s="6" t="s">
        <v>2861</v>
      </c>
      <c r="D464" s="6">
        <v>6</v>
      </c>
      <c r="E464" s="6">
        <v>32155905</v>
      </c>
      <c r="F464" s="6" t="s">
        <v>813</v>
      </c>
      <c r="G464" s="6" t="s">
        <v>2860</v>
      </c>
      <c r="H464" s="6" t="s">
        <v>44</v>
      </c>
    </row>
    <row r="465" spans="1:8" x14ac:dyDescent="0.3">
      <c r="A465" s="6" t="s">
        <v>2858</v>
      </c>
      <c r="B465" s="6" t="s">
        <v>3093</v>
      </c>
      <c r="C465" s="6" t="s">
        <v>2861</v>
      </c>
      <c r="D465" s="6">
        <v>6</v>
      </c>
      <c r="E465" s="6">
        <v>32044703</v>
      </c>
      <c r="F465" s="6" t="s">
        <v>791</v>
      </c>
      <c r="G465" s="6" t="s">
        <v>2860</v>
      </c>
      <c r="H465" s="6" t="s">
        <v>1584</v>
      </c>
    </row>
    <row r="466" spans="1:8" x14ac:dyDescent="0.3">
      <c r="A466" s="6" t="s">
        <v>2858</v>
      </c>
      <c r="B466" s="6" t="s">
        <v>3093</v>
      </c>
      <c r="C466" s="6" t="s">
        <v>2861</v>
      </c>
      <c r="D466" s="6">
        <v>6</v>
      </c>
      <c r="E466" s="6">
        <v>32044710</v>
      </c>
      <c r="F466" s="6" t="s">
        <v>793</v>
      </c>
      <c r="G466" s="6" t="s">
        <v>2860</v>
      </c>
      <c r="H466" s="6" t="s">
        <v>1584</v>
      </c>
    </row>
    <row r="467" spans="1:8" x14ac:dyDescent="0.3">
      <c r="A467" s="6" t="s">
        <v>2858</v>
      </c>
      <c r="B467" s="6" t="s">
        <v>3093</v>
      </c>
      <c r="C467" s="6" t="s">
        <v>2861</v>
      </c>
      <c r="D467" s="6">
        <v>6</v>
      </c>
      <c r="E467" s="6">
        <v>32045623</v>
      </c>
      <c r="F467" s="6" t="s">
        <v>3095</v>
      </c>
      <c r="G467" s="6" t="s">
        <v>2860</v>
      </c>
      <c r="H467" s="6" t="s">
        <v>38</v>
      </c>
    </row>
    <row r="468" spans="1:8" x14ac:dyDescent="0.3">
      <c r="A468" s="6" t="s">
        <v>2858</v>
      </c>
      <c r="B468" s="6" t="s">
        <v>3093</v>
      </c>
      <c r="C468" s="6" t="s">
        <v>2861</v>
      </c>
      <c r="D468" s="6">
        <v>6</v>
      </c>
      <c r="E468" s="6">
        <v>32045551</v>
      </c>
      <c r="F468" s="6" t="s">
        <v>797</v>
      </c>
      <c r="G468" s="6" t="s">
        <v>2860</v>
      </c>
      <c r="H468" s="6" t="s">
        <v>47</v>
      </c>
    </row>
    <row r="469" spans="1:8" x14ac:dyDescent="0.3">
      <c r="A469" s="6" t="s">
        <v>2858</v>
      </c>
      <c r="B469" s="6" t="s">
        <v>3093</v>
      </c>
      <c r="C469" s="6" t="s">
        <v>2861</v>
      </c>
      <c r="D469" s="6">
        <v>6</v>
      </c>
      <c r="E469" s="6">
        <v>32132588</v>
      </c>
      <c r="F469" s="6" t="s">
        <v>3096</v>
      </c>
      <c r="G469" s="6" t="s">
        <v>2860</v>
      </c>
      <c r="H469" s="6" t="s">
        <v>38</v>
      </c>
    </row>
    <row r="470" spans="1:8" x14ac:dyDescent="0.3">
      <c r="A470" s="6" t="s">
        <v>2858</v>
      </c>
      <c r="B470" s="6" t="s">
        <v>3093</v>
      </c>
      <c r="C470" s="6" t="s">
        <v>2861</v>
      </c>
      <c r="D470" s="6">
        <v>6</v>
      </c>
      <c r="E470" s="6">
        <v>32067156</v>
      </c>
      <c r="F470" s="6" t="s">
        <v>805</v>
      </c>
      <c r="G470" s="6" t="s">
        <v>2860</v>
      </c>
      <c r="H470" s="6" t="s">
        <v>62</v>
      </c>
    </row>
    <row r="471" spans="1:8" x14ac:dyDescent="0.3">
      <c r="A471" s="6" t="s">
        <v>2858</v>
      </c>
      <c r="B471" s="6" t="s">
        <v>3093</v>
      </c>
      <c r="C471" s="6" t="s">
        <v>2861</v>
      </c>
      <c r="D471" s="6">
        <v>6</v>
      </c>
      <c r="E471" s="6">
        <v>32056899</v>
      </c>
      <c r="F471" s="6" t="s">
        <v>801</v>
      </c>
      <c r="G471" s="6" t="s">
        <v>2860</v>
      </c>
      <c r="H471" s="6" t="s">
        <v>47</v>
      </c>
    </row>
    <row r="472" spans="1:8" x14ac:dyDescent="0.3">
      <c r="A472" s="6" t="s">
        <v>2858</v>
      </c>
      <c r="B472" s="6" t="s">
        <v>3093</v>
      </c>
      <c r="C472" s="6" t="s">
        <v>2861</v>
      </c>
      <c r="D472" s="6">
        <v>6</v>
      </c>
      <c r="E472" s="6">
        <v>32058093</v>
      </c>
      <c r="F472" s="6" t="s">
        <v>803</v>
      </c>
      <c r="G472" s="6" t="s">
        <v>2860</v>
      </c>
      <c r="H472" s="6" t="s">
        <v>62</v>
      </c>
    </row>
    <row r="473" spans="1:8" x14ac:dyDescent="0.3">
      <c r="A473" s="6" t="s">
        <v>2858</v>
      </c>
      <c r="B473" s="6" t="s">
        <v>3093</v>
      </c>
      <c r="C473" s="6" t="s">
        <v>2861</v>
      </c>
      <c r="D473" s="6">
        <v>6</v>
      </c>
      <c r="E473" s="6">
        <v>32043943</v>
      </c>
      <c r="F473" s="6" t="s">
        <v>783</v>
      </c>
      <c r="G473" s="6" t="s">
        <v>2860</v>
      </c>
      <c r="H473" s="6" t="s">
        <v>38</v>
      </c>
    </row>
    <row r="474" spans="1:8" x14ac:dyDescent="0.3">
      <c r="A474" s="6" t="s">
        <v>2858</v>
      </c>
      <c r="B474" s="6" t="s">
        <v>3093</v>
      </c>
      <c r="C474" s="6" t="s">
        <v>2861</v>
      </c>
      <c r="D474" s="6">
        <v>6</v>
      </c>
      <c r="E474" s="6">
        <v>32044745</v>
      </c>
      <c r="F474" s="6" t="s">
        <v>795</v>
      </c>
      <c r="G474" s="6" t="s">
        <v>2860</v>
      </c>
      <c r="H474" s="6" t="s">
        <v>47</v>
      </c>
    </row>
    <row r="475" spans="1:8" x14ac:dyDescent="0.3">
      <c r="A475" s="6" t="s">
        <v>2858</v>
      </c>
      <c r="B475" s="6" t="s">
        <v>3093</v>
      </c>
      <c r="C475" s="6" t="s">
        <v>2861</v>
      </c>
      <c r="D475" s="6">
        <v>6</v>
      </c>
      <c r="E475" s="6">
        <v>32044444</v>
      </c>
      <c r="F475" s="6" t="s">
        <v>787</v>
      </c>
      <c r="G475" s="6" t="s">
        <v>2860</v>
      </c>
      <c r="H475" s="6" t="s">
        <v>38</v>
      </c>
    </row>
    <row r="476" spans="1:8" x14ac:dyDescent="0.3">
      <c r="A476" s="6" t="s">
        <v>2858</v>
      </c>
      <c r="B476" s="6" t="s">
        <v>3093</v>
      </c>
      <c r="C476" s="6" t="s">
        <v>2861</v>
      </c>
      <c r="D476" s="6">
        <v>6</v>
      </c>
      <c r="E476" s="6">
        <v>32044622</v>
      </c>
      <c r="F476" s="6" t="s">
        <v>789</v>
      </c>
      <c r="G476" s="6" t="s">
        <v>2860</v>
      </c>
      <c r="H476" s="6" t="s">
        <v>62</v>
      </c>
    </row>
    <row r="477" spans="1:8" x14ac:dyDescent="0.3">
      <c r="A477" s="6" t="s">
        <v>2858</v>
      </c>
      <c r="B477" s="6" t="s">
        <v>3093</v>
      </c>
      <c r="C477" s="6" t="s">
        <v>2861</v>
      </c>
      <c r="D477" s="6">
        <v>6</v>
      </c>
      <c r="E477" s="6">
        <v>32171445</v>
      </c>
      <c r="F477" s="6" t="s">
        <v>815</v>
      </c>
      <c r="G477" s="6" t="s">
        <v>2860</v>
      </c>
      <c r="H477" s="6" t="s">
        <v>47</v>
      </c>
    </row>
    <row r="478" spans="1:8" x14ac:dyDescent="0.3">
      <c r="A478" s="6" t="s">
        <v>2858</v>
      </c>
      <c r="B478" s="6" t="s">
        <v>3093</v>
      </c>
      <c r="C478" s="6" t="s">
        <v>2861</v>
      </c>
      <c r="D478" s="6">
        <v>6</v>
      </c>
      <c r="E478" s="6">
        <v>32141851</v>
      </c>
      <c r="F478" s="6" t="s">
        <v>606</v>
      </c>
      <c r="G478" s="6" t="s">
        <v>2344</v>
      </c>
      <c r="H478" s="6" t="s">
        <v>2882</v>
      </c>
    </row>
    <row r="479" spans="1:8" x14ac:dyDescent="0.3">
      <c r="A479" s="6" t="s">
        <v>2858</v>
      </c>
      <c r="B479" s="6" t="s">
        <v>3097</v>
      </c>
      <c r="C479" s="6" t="s">
        <v>2861</v>
      </c>
      <c r="D479" s="6">
        <v>2</v>
      </c>
      <c r="E479" s="6">
        <v>32046689</v>
      </c>
      <c r="F479" s="6" t="s">
        <v>365</v>
      </c>
      <c r="G479" s="6" t="s">
        <v>2344</v>
      </c>
      <c r="H479" s="6" t="s">
        <v>2882</v>
      </c>
    </row>
    <row r="480" spans="1:8" x14ac:dyDescent="0.3">
      <c r="A480" s="6" t="s">
        <v>2858</v>
      </c>
      <c r="B480" s="6" t="s">
        <v>3097</v>
      </c>
      <c r="C480" s="6" t="s">
        <v>2861</v>
      </c>
      <c r="D480" s="6">
        <v>2</v>
      </c>
      <c r="E480" s="6">
        <v>32044448</v>
      </c>
      <c r="F480" s="6" t="s">
        <v>3098</v>
      </c>
      <c r="G480" s="6" t="s">
        <v>2860</v>
      </c>
      <c r="H480" s="6" t="s">
        <v>62</v>
      </c>
    </row>
    <row r="481" spans="1:8" x14ac:dyDescent="0.3">
      <c r="A481" s="6" t="s">
        <v>2858</v>
      </c>
      <c r="B481" s="6" t="s">
        <v>3097</v>
      </c>
      <c r="C481" s="6" t="s">
        <v>2861</v>
      </c>
      <c r="D481" s="6">
        <v>2</v>
      </c>
      <c r="E481" s="6">
        <v>32046406</v>
      </c>
      <c r="F481" s="6" t="s">
        <v>3099</v>
      </c>
      <c r="G481" s="6" t="s">
        <v>2860</v>
      </c>
      <c r="H481" s="6" t="s">
        <v>41</v>
      </c>
    </row>
    <row r="482" spans="1:8" x14ac:dyDescent="0.3">
      <c r="A482" s="6" t="s">
        <v>2858</v>
      </c>
      <c r="B482" s="6" t="s">
        <v>3097</v>
      </c>
      <c r="C482" s="6" t="s">
        <v>2861</v>
      </c>
      <c r="D482" s="6">
        <v>2</v>
      </c>
      <c r="E482" s="6">
        <v>32131821</v>
      </c>
      <c r="F482" s="6" t="s">
        <v>3100</v>
      </c>
      <c r="G482" s="6" t="s">
        <v>2860</v>
      </c>
      <c r="H482" s="6" t="s">
        <v>44</v>
      </c>
    </row>
    <row r="483" spans="1:8" x14ac:dyDescent="0.3">
      <c r="A483" s="6" t="s">
        <v>2858</v>
      </c>
      <c r="B483" s="6" t="s">
        <v>3097</v>
      </c>
      <c r="C483" s="6" t="s">
        <v>2861</v>
      </c>
      <c r="D483" s="6">
        <v>2</v>
      </c>
      <c r="E483" s="6">
        <v>32155897</v>
      </c>
      <c r="F483" s="6" t="s">
        <v>3101</v>
      </c>
      <c r="G483" s="6" t="s">
        <v>2860</v>
      </c>
      <c r="H483" s="6" t="s">
        <v>38</v>
      </c>
    </row>
    <row r="484" spans="1:8" x14ac:dyDescent="0.3">
      <c r="A484" s="6" t="s">
        <v>2858</v>
      </c>
      <c r="B484" s="6" t="s">
        <v>3097</v>
      </c>
      <c r="C484" s="6" t="s">
        <v>2861</v>
      </c>
      <c r="D484" s="6">
        <v>2</v>
      </c>
      <c r="E484" s="6">
        <v>32198267</v>
      </c>
      <c r="F484" s="6" t="s">
        <v>3102</v>
      </c>
      <c r="G484" s="6" t="s">
        <v>2860</v>
      </c>
      <c r="H484" s="6" t="s">
        <v>35</v>
      </c>
    </row>
    <row r="485" spans="1:8" x14ac:dyDescent="0.3">
      <c r="A485" s="6" t="s">
        <v>2858</v>
      </c>
      <c r="B485" s="6" t="s">
        <v>3103</v>
      </c>
      <c r="C485" s="6" t="s">
        <v>2861</v>
      </c>
      <c r="D485" s="6">
        <v>11</v>
      </c>
      <c r="E485" s="6">
        <v>32132049</v>
      </c>
      <c r="F485" s="6" t="s">
        <v>1150</v>
      </c>
      <c r="G485" s="6" t="s">
        <v>2860</v>
      </c>
      <c r="H485" s="6" t="s">
        <v>41</v>
      </c>
    </row>
    <row r="486" spans="1:8" x14ac:dyDescent="0.3">
      <c r="A486" s="6" t="s">
        <v>2858</v>
      </c>
      <c r="B486" s="6" t="s">
        <v>3103</v>
      </c>
      <c r="C486" s="6" t="s">
        <v>2861</v>
      </c>
      <c r="D486" s="6">
        <v>11</v>
      </c>
      <c r="E486" s="6">
        <v>32044476</v>
      </c>
      <c r="F486" s="6" t="s">
        <v>1138</v>
      </c>
      <c r="G486" s="6" t="s">
        <v>2860</v>
      </c>
      <c r="H486" s="6" t="s">
        <v>62</v>
      </c>
    </row>
    <row r="487" spans="1:8" x14ac:dyDescent="0.3">
      <c r="A487" s="6" t="s">
        <v>2858</v>
      </c>
      <c r="B487" s="6" t="s">
        <v>3103</v>
      </c>
      <c r="C487" s="6" t="s">
        <v>2861</v>
      </c>
      <c r="D487" s="6">
        <v>11</v>
      </c>
      <c r="E487" s="6">
        <v>32044836</v>
      </c>
      <c r="F487" s="6" t="s">
        <v>1144</v>
      </c>
      <c r="G487" s="6" t="s">
        <v>2860</v>
      </c>
      <c r="H487" s="6" t="s">
        <v>1584</v>
      </c>
    </row>
    <row r="488" spans="1:8" x14ac:dyDescent="0.3">
      <c r="A488" s="6" t="s">
        <v>2858</v>
      </c>
      <c r="B488" s="6" t="s">
        <v>3103</v>
      </c>
      <c r="C488" s="6" t="s">
        <v>2861</v>
      </c>
      <c r="D488" s="6">
        <v>11</v>
      </c>
      <c r="E488" s="6">
        <v>32132018</v>
      </c>
      <c r="F488" s="6" t="s">
        <v>1148</v>
      </c>
      <c r="G488" s="6" t="s">
        <v>2860</v>
      </c>
      <c r="H488" s="6" t="s">
        <v>41</v>
      </c>
    </row>
    <row r="489" spans="1:8" x14ac:dyDescent="0.3">
      <c r="A489" s="6" t="s">
        <v>2858</v>
      </c>
      <c r="B489" s="6" t="s">
        <v>3103</v>
      </c>
      <c r="C489" s="6" t="s">
        <v>2861</v>
      </c>
      <c r="D489" s="6">
        <v>11</v>
      </c>
      <c r="E489" s="6">
        <v>32132236</v>
      </c>
      <c r="F489" s="6" t="s">
        <v>1154</v>
      </c>
      <c r="G489" s="6" t="s">
        <v>2860</v>
      </c>
      <c r="H489" s="6" t="s">
        <v>44</v>
      </c>
    </row>
    <row r="490" spans="1:8" x14ac:dyDescent="0.3">
      <c r="A490" s="6" t="s">
        <v>2858</v>
      </c>
      <c r="B490" s="6" t="s">
        <v>3103</v>
      </c>
      <c r="C490" s="6" t="s">
        <v>2861</v>
      </c>
      <c r="D490" s="6">
        <v>11</v>
      </c>
      <c r="E490" s="6">
        <v>32044522</v>
      </c>
      <c r="F490" s="6" t="s">
        <v>1140</v>
      </c>
      <c r="G490" s="6" t="s">
        <v>2860</v>
      </c>
      <c r="H490" s="6" t="s">
        <v>47</v>
      </c>
    </row>
    <row r="491" spans="1:8" x14ac:dyDescent="0.3">
      <c r="A491" s="6" t="s">
        <v>2858</v>
      </c>
      <c r="B491" s="6" t="s">
        <v>3103</v>
      </c>
      <c r="C491" s="6" t="s">
        <v>2861</v>
      </c>
      <c r="D491" s="6">
        <v>11</v>
      </c>
      <c r="E491" s="6">
        <v>32132181</v>
      </c>
      <c r="F491" s="6" t="s">
        <v>1152</v>
      </c>
      <c r="G491" s="6" t="s">
        <v>2860</v>
      </c>
      <c r="H491" s="6" t="s">
        <v>35</v>
      </c>
    </row>
    <row r="492" spans="1:8" x14ac:dyDescent="0.3">
      <c r="A492" s="6" t="s">
        <v>2858</v>
      </c>
      <c r="B492" s="6" t="s">
        <v>3103</v>
      </c>
      <c r="C492" s="6" t="s">
        <v>2861</v>
      </c>
      <c r="D492" s="6">
        <v>11</v>
      </c>
      <c r="E492" s="6">
        <v>32044641</v>
      </c>
      <c r="F492" s="6" t="s">
        <v>1142</v>
      </c>
      <c r="G492" s="6" t="s">
        <v>2860</v>
      </c>
      <c r="H492" s="6" t="s">
        <v>62</v>
      </c>
    </row>
    <row r="493" spans="1:8" x14ac:dyDescent="0.3">
      <c r="A493" s="6" t="s">
        <v>2858</v>
      </c>
      <c r="B493" s="6" t="s">
        <v>3103</v>
      </c>
      <c r="C493" s="6" t="s">
        <v>2861</v>
      </c>
      <c r="D493" s="6">
        <v>11</v>
      </c>
      <c r="E493" s="6">
        <v>32057057</v>
      </c>
      <c r="F493" s="6" t="s">
        <v>1146</v>
      </c>
      <c r="G493" s="6" t="s">
        <v>2860</v>
      </c>
      <c r="H493" s="6" t="s">
        <v>1584</v>
      </c>
    </row>
    <row r="494" spans="1:8" x14ac:dyDescent="0.3">
      <c r="A494" s="6" t="s">
        <v>2858</v>
      </c>
      <c r="B494" s="6" t="s">
        <v>3103</v>
      </c>
      <c r="C494" s="6" t="s">
        <v>2861</v>
      </c>
      <c r="D494" s="6">
        <v>11</v>
      </c>
      <c r="E494" s="6">
        <v>32231917</v>
      </c>
      <c r="F494" s="6" t="s">
        <v>1466</v>
      </c>
      <c r="G494" s="6" t="s">
        <v>2344</v>
      </c>
      <c r="H494" s="6" t="s">
        <v>2882</v>
      </c>
    </row>
    <row r="495" spans="1:8" x14ac:dyDescent="0.3">
      <c r="A495" s="6" t="s">
        <v>2858</v>
      </c>
      <c r="B495" s="6" t="s">
        <v>1802</v>
      </c>
      <c r="C495" s="6" t="s">
        <v>2869</v>
      </c>
      <c r="D495" s="6" t="s">
        <v>1585</v>
      </c>
      <c r="E495" s="6">
        <v>32045430</v>
      </c>
      <c r="F495" s="6" t="s">
        <v>1816</v>
      </c>
      <c r="G495" s="6" t="s">
        <v>2860</v>
      </c>
      <c r="H495" s="6" t="s">
        <v>41</v>
      </c>
    </row>
    <row r="496" spans="1:8" x14ac:dyDescent="0.3">
      <c r="A496" s="6" t="s">
        <v>2858</v>
      </c>
      <c r="B496" s="6" t="s">
        <v>1802</v>
      </c>
      <c r="C496" s="6" t="s">
        <v>2869</v>
      </c>
      <c r="D496" s="6" t="s">
        <v>1585</v>
      </c>
      <c r="E496" s="6">
        <v>32044138</v>
      </c>
      <c r="F496" s="6" t="s">
        <v>1814</v>
      </c>
      <c r="G496" s="6" t="s">
        <v>2860</v>
      </c>
      <c r="H496" s="6" t="s">
        <v>62</v>
      </c>
    </row>
    <row r="497" spans="1:8" x14ac:dyDescent="0.3">
      <c r="A497" s="6" t="s">
        <v>2858</v>
      </c>
      <c r="B497" s="6" t="s">
        <v>1802</v>
      </c>
      <c r="C497" s="6" t="s">
        <v>2869</v>
      </c>
      <c r="D497" s="6" t="s">
        <v>1585</v>
      </c>
      <c r="E497" s="6">
        <v>32045696</v>
      </c>
      <c r="F497" s="6" t="s">
        <v>1812</v>
      </c>
      <c r="G497" s="6" t="s">
        <v>2860</v>
      </c>
      <c r="H497" s="6" t="s">
        <v>38</v>
      </c>
    </row>
    <row r="498" spans="1:8" x14ac:dyDescent="0.3">
      <c r="A498" s="6" t="s">
        <v>2858</v>
      </c>
      <c r="B498" s="6" t="s">
        <v>1802</v>
      </c>
      <c r="C498" s="6" t="s">
        <v>2869</v>
      </c>
      <c r="D498" s="6" t="s">
        <v>1585</v>
      </c>
      <c r="E498" s="6">
        <v>32046204</v>
      </c>
      <c r="F498" s="6" t="s">
        <v>1811</v>
      </c>
      <c r="G498" s="6" t="s">
        <v>2860</v>
      </c>
      <c r="H498" s="6" t="s">
        <v>41</v>
      </c>
    </row>
    <row r="499" spans="1:8" x14ac:dyDescent="0.3">
      <c r="A499" s="6" t="s">
        <v>2858</v>
      </c>
      <c r="B499" s="6" t="s">
        <v>1802</v>
      </c>
      <c r="C499" s="6" t="s">
        <v>2869</v>
      </c>
      <c r="D499" s="6" t="s">
        <v>1585</v>
      </c>
      <c r="E499" s="6">
        <v>32044555</v>
      </c>
      <c r="F499" s="6" t="s">
        <v>1809</v>
      </c>
      <c r="G499" s="6" t="s">
        <v>2860</v>
      </c>
      <c r="H499" s="6" t="s">
        <v>35</v>
      </c>
    </row>
    <row r="500" spans="1:8" x14ac:dyDescent="0.3">
      <c r="A500" s="6" t="s">
        <v>2858</v>
      </c>
      <c r="B500" s="6" t="s">
        <v>1802</v>
      </c>
      <c r="C500" s="6" t="s">
        <v>2869</v>
      </c>
      <c r="D500" s="6" t="s">
        <v>1585</v>
      </c>
      <c r="E500" s="6">
        <v>32043795</v>
      </c>
      <c r="F500" s="6" t="s">
        <v>1807</v>
      </c>
      <c r="G500" s="6" t="s">
        <v>2860</v>
      </c>
      <c r="H500" s="6" t="s">
        <v>47</v>
      </c>
    </row>
    <row r="501" spans="1:8" x14ac:dyDescent="0.3">
      <c r="A501" s="6" t="s">
        <v>2858</v>
      </c>
      <c r="B501" s="6" t="s">
        <v>1802</v>
      </c>
      <c r="C501" s="6" t="s">
        <v>2869</v>
      </c>
      <c r="D501" s="6" t="s">
        <v>1585</v>
      </c>
      <c r="E501" s="6">
        <v>32044661</v>
      </c>
      <c r="F501" s="6" t="s">
        <v>1805</v>
      </c>
      <c r="G501" s="6" t="s">
        <v>2860</v>
      </c>
      <c r="H501" s="6" t="s">
        <v>62</v>
      </c>
    </row>
    <row r="502" spans="1:8" x14ac:dyDescent="0.3">
      <c r="A502" s="6" t="s">
        <v>2858</v>
      </c>
      <c r="B502" s="6" t="s">
        <v>1802</v>
      </c>
      <c r="C502" s="6" t="s">
        <v>2869</v>
      </c>
      <c r="D502" s="6" t="s">
        <v>1585</v>
      </c>
      <c r="E502" s="6">
        <v>32046512</v>
      </c>
      <c r="F502" s="6" t="s">
        <v>1804</v>
      </c>
      <c r="G502" s="6" t="s">
        <v>2860</v>
      </c>
      <c r="H502" s="6" t="s">
        <v>44</v>
      </c>
    </row>
    <row r="503" spans="1:8" x14ac:dyDescent="0.3">
      <c r="A503" s="6" t="s">
        <v>2858</v>
      </c>
      <c r="B503" s="6" t="s">
        <v>1802</v>
      </c>
      <c r="C503" s="6" t="s">
        <v>2869</v>
      </c>
      <c r="D503" s="6" t="s">
        <v>1585</v>
      </c>
      <c r="E503" s="6">
        <v>32227660</v>
      </c>
      <c r="F503" s="6" t="s">
        <v>1801</v>
      </c>
      <c r="G503" s="6" t="s">
        <v>2860</v>
      </c>
      <c r="H503" s="6" t="s">
        <v>44</v>
      </c>
    </row>
    <row r="504" spans="1:8" x14ac:dyDescent="0.3">
      <c r="A504" s="6" t="s">
        <v>2858</v>
      </c>
      <c r="B504" s="6" t="s">
        <v>1802</v>
      </c>
      <c r="C504" s="6" t="s">
        <v>2869</v>
      </c>
      <c r="D504" s="6" t="s">
        <v>2882</v>
      </c>
      <c r="E504" s="6">
        <v>32068459</v>
      </c>
      <c r="F504" s="6" t="s">
        <v>1800</v>
      </c>
      <c r="G504" s="6" t="s">
        <v>2344</v>
      </c>
      <c r="H504" s="6" t="s">
        <v>2882</v>
      </c>
    </row>
    <row r="505" spans="1:8" x14ac:dyDescent="0.3">
      <c r="A505" s="6" t="s">
        <v>2858</v>
      </c>
      <c r="B505" s="6" t="s">
        <v>2285</v>
      </c>
      <c r="C505" s="6" t="s">
        <v>2859</v>
      </c>
      <c r="D505" s="6" t="s">
        <v>2284</v>
      </c>
      <c r="E505" s="6">
        <v>32046050</v>
      </c>
      <c r="F505" s="6" t="s">
        <v>2294</v>
      </c>
      <c r="G505" s="6" t="s">
        <v>2860</v>
      </c>
      <c r="H505" s="6" t="s">
        <v>35</v>
      </c>
    </row>
    <row r="506" spans="1:8" x14ac:dyDescent="0.3">
      <c r="A506" s="6" t="s">
        <v>2858</v>
      </c>
      <c r="B506" s="6" t="s">
        <v>2285</v>
      </c>
      <c r="C506" s="6" t="s">
        <v>2859</v>
      </c>
      <c r="D506" s="6" t="s">
        <v>2284</v>
      </c>
      <c r="E506" s="6">
        <v>32045883</v>
      </c>
      <c r="F506" s="6" t="s">
        <v>2291</v>
      </c>
      <c r="G506" s="6" t="s">
        <v>2860</v>
      </c>
      <c r="H506" s="6" t="s">
        <v>44</v>
      </c>
    </row>
    <row r="507" spans="1:8" x14ac:dyDescent="0.3">
      <c r="A507" s="6" t="s">
        <v>2858</v>
      </c>
      <c r="B507" s="6" t="s">
        <v>2285</v>
      </c>
      <c r="C507" s="6" t="s">
        <v>2859</v>
      </c>
      <c r="D507" s="6" t="s">
        <v>2284</v>
      </c>
      <c r="E507" s="6">
        <v>32044685</v>
      </c>
      <c r="F507" s="6" t="s">
        <v>2289</v>
      </c>
      <c r="G507" s="6" t="s">
        <v>2860</v>
      </c>
      <c r="H507" s="6" t="s">
        <v>62</v>
      </c>
    </row>
    <row r="508" spans="1:8" x14ac:dyDescent="0.3">
      <c r="A508" s="6" t="s">
        <v>2858</v>
      </c>
      <c r="B508" s="6" t="s">
        <v>2285</v>
      </c>
      <c r="C508" s="6" t="s">
        <v>2859</v>
      </c>
      <c r="D508" s="6" t="s">
        <v>2284</v>
      </c>
      <c r="E508" s="6">
        <v>32044248</v>
      </c>
      <c r="F508" s="6" t="s">
        <v>2287</v>
      </c>
      <c r="G508" s="6" t="s">
        <v>2860</v>
      </c>
      <c r="H508" s="6" t="s">
        <v>47</v>
      </c>
    </row>
    <row r="509" spans="1:8" x14ac:dyDescent="0.3">
      <c r="A509" s="6" t="s">
        <v>2858</v>
      </c>
      <c r="B509" s="6" t="s">
        <v>2285</v>
      </c>
      <c r="C509" s="6" t="s">
        <v>2859</v>
      </c>
      <c r="D509" s="6" t="s">
        <v>2284</v>
      </c>
      <c r="E509" s="6">
        <v>32044677</v>
      </c>
      <c r="F509" s="6" t="s">
        <v>2295</v>
      </c>
      <c r="G509" s="6" t="s">
        <v>2860</v>
      </c>
      <c r="H509" s="6" t="s">
        <v>47</v>
      </c>
    </row>
    <row r="510" spans="1:8" x14ac:dyDescent="0.3">
      <c r="A510" s="6" t="s">
        <v>2858</v>
      </c>
      <c r="B510" s="6" t="s">
        <v>2285</v>
      </c>
      <c r="C510" s="6" t="s">
        <v>2859</v>
      </c>
      <c r="D510" s="6" t="s">
        <v>2284</v>
      </c>
      <c r="E510" s="6">
        <v>32045217</v>
      </c>
      <c r="F510" s="6" t="s">
        <v>2290</v>
      </c>
      <c r="G510" s="6" t="s">
        <v>2860</v>
      </c>
      <c r="H510" s="6" t="s">
        <v>38</v>
      </c>
    </row>
    <row r="511" spans="1:8" x14ac:dyDescent="0.3">
      <c r="A511" s="6" t="s">
        <v>2858</v>
      </c>
      <c r="B511" s="6" t="s">
        <v>2285</v>
      </c>
      <c r="C511" s="6" t="s">
        <v>2859</v>
      </c>
      <c r="D511" s="6" t="s">
        <v>2284</v>
      </c>
      <c r="E511" s="6">
        <v>32044925</v>
      </c>
      <c r="F511" s="6" t="s">
        <v>2293</v>
      </c>
      <c r="G511" s="6" t="s">
        <v>2860</v>
      </c>
      <c r="H511" s="6" t="s">
        <v>38</v>
      </c>
    </row>
    <row r="512" spans="1:8" x14ac:dyDescent="0.3">
      <c r="A512" s="6" t="s">
        <v>2858</v>
      </c>
      <c r="B512" s="6" t="s">
        <v>2285</v>
      </c>
      <c r="C512" s="6" t="s">
        <v>2859</v>
      </c>
      <c r="D512" s="6" t="s">
        <v>2284</v>
      </c>
      <c r="E512" s="6">
        <v>32044491</v>
      </c>
      <c r="F512" s="6" t="s">
        <v>2288</v>
      </c>
      <c r="G512" s="6" t="s">
        <v>2860</v>
      </c>
      <c r="H512" s="6" t="s">
        <v>41</v>
      </c>
    </row>
    <row r="513" spans="1:8" x14ac:dyDescent="0.3">
      <c r="A513" s="6" t="s">
        <v>2858</v>
      </c>
      <c r="B513" s="6" t="s">
        <v>2285</v>
      </c>
      <c r="C513" s="6" t="s">
        <v>2859</v>
      </c>
      <c r="D513" s="6" t="s">
        <v>2284</v>
      </c>
      <c r="E513" s="6">
        <v>32043986</v>
      </c>
      <c r="F513" s="6" t="s">
        <v>2296</v>
      </c>
      <c r="G513" s="6" t="s">
        <v>2860</v>
      </c>
      <c r="H513" s="6" t="s">
        <v>47</v>
      </c>
    </row>
    <row r="514" spans="1:8" x14ac:dyDescent="0.3">
      <c r="A514" s="6" t="s">
        <v>2858</v>
      </c>
      <c r="B514" s="6" t="s">
        <v>2285</v>
      </c>
      <c r="C514" s="6" t="s">
        <v>2859</v>
      </c>
      <c r="D514" s="6" t="s">
        <v>2284</v>
      </c>
      <c r="E514" s="6">
        <v>32044063</v>
      </c>
      <c r="F514" s="6" t="s">
        <v>2292</v>
      </c>
      <c r="G514" s="6" t="s">
        <v>2860</v>
      </c>
      <c r="H514" s="6" t="s">
        <v>44</v>
      </c>
    </row>
    <row r="515" spans="1:8" x14ac:dyDescent="0.3">
      <c r="A515" s="6" t="s">
        <v>2858</v>
      </c>
      <c r="B515" s="6" t="s">
        <v>2285</v>
      </c>
      <c r="C515" s="6" t="s">
        <v>2859</v>
      </c>
      <c r="D515" s="6" t="s">
        <v>2882</v>
      </c>
      <c r="E515" s="6">
        <v>32044913</v>
      </c>
      <c r="F515" s="6" t="s">
        <v>2286</v>
      </c>
      <c r="G515" s="6" t="s">
        <v>2344</v>
      </c>
      <c r="H515" s="6" t="s">
        <v>2882</v>
      </c>
    </row>
    <row r="516" spans="1:8" x14ac:dyDescent="0.3">
      <c r="A516" s="6" t="s">
        <v>2858</v>
      </c>
      <c r="B516" s="6" t="s">
        <v>1417</v>
      </c>
      <c r="C516" s="6" t="s">
        <v>2861</v>
      </c>
      <c r="D516" s="6">
        <v>2</v>
      </c>
      <c r="E516" s="6">
        <v>32061471</v>
      </c>
      <c r="F516" s="6" t="s">
        <v>1421</v>
      </c>
      <c r="G516" s="6" t="s">
        <v>2860</v>
      </c>
      <c r="H516" s="6" t="s">
        <v>38</v>
      </c>
    </row>
    <row r="517" spans="1:8" x14ac:dyDescent="0.3">
      <c r="A517" s="6" t="s">
        <v>2858</v>
      </c>
      <c r="B517" s="6" t="s">
        <v>1417</v>
      </c>
      <c r="C517" s="6" t="s">
        <v>2861</v>
      </c>
      <c r="D517" s="6">
        <v>2</v>
      </c>
      <c r="E517" s="6">
        <v>32060912</v>
      </c>
      <c r="F517" s="6" t="s">
        <v>1423</v>
      </c>
      <c r="G517" s="6" t="s">
        <v>2860</v>
      </c>
      <c r="H517" s="6" t="s">
        <v>35</v>
      </c>
    </row>
    <row r="518" spans="1:8" x14ac:dyDescent="0.3">
      <c r="A518" s="6" t="s">
        <v>2858</v>
      </c>
      <c r="B518" s="6" t="s">
        <v>1417</v>
      </c>
      <c r="C518" s="6" t="s">
        <v>2861</v>
      </c>
      <c r="D518" s="6">
        <v>2</v>
      </c>
      <c r="E518" s="6">
        <v>32197846</v>
      </c>
      <c r="F518" s="6" t="s">
        <v>3104</v>
      </c>
      <c r="G518" s="6" t="s">
        <v>2860</v>
      </c>
      <c r="H518" s="6" t="s">
        <v>41</v>
      </c>
    </row>
    <row r="519" spans="1:8" x14ac:dyDescent="0.3">
      <c r="A519" s="6" t="s">
        <v>2858</v>
      </c>
      <c r="B519" s="6" t="s">
        <v>1417</v>
      </c>
      <c r="C519" s="6" t="s">
        <v>2861</v>
      </c>
      <c r="D519" s="6">
        <v>2</v>
      </c>
      <c r="E519" s="6">
        <v>32188121</v>
      </c>
      <c r="F519" s="6" t="s">
        <v>3105</v>
      </c>
      <c r="G519" s="6" t="s">
        <v>2860</v>
      </c>
      <c r="H519" s="6" t="s">
        <v>44</v>
      </c>
    </row>
    <row r="520" spans="1:8" x14ac:dyDescent="0.3">
      <c r="A520" s="6" t="s">
        <v>2858</v>
      </c>
      <c r="B520" s="6" t="s">
        <v>1417</v>
      </c>
      <c r="C520" s="6" t="s">
        <v>2861</v>
      </c>
      <c r="D520" s="6">
        <v>2</v>
      </c>
      <c r="E520" s="6">
        <v>32067355</v>
      </c>
      <c r="F520" s="6" t="s">
        <v>1427</v>
      </c>
      <c r="G520" s="6" t="s">
        <v>2860</v>
      </c>
      <c r="H520" s="6" t="s">
        <v>47</v>
      </c>
    </row>
    <row r="521" spans="1:8" x14ac:dyDescent="0.3">
      <c r="A521" s="6" t="s">
        <v>2858</v>
      </c>
      <c r="B521" s="6" t="s">
        <v>1417</v>
      </c>
      <c r="C521" s="6" t="s">
        <v>2861</v>
      </c>
      <c r="D521" s="6">
        <v>2</v>
      </c>
      <c r="E521" s="6">
        <v>32044535</v>
      </c>
      <c r="F521" s="6" t="s">
        <v>1429</v>
      </c>
      <c r="G521" s="6" t="s">
        <v>2860</v>
      </c>
      <c r="H521" s="6" t="s">
        <v>62</v>
      </c>
    </row>
    <row r="522" spans="1:8" x14ac:dyDescent="0.3">
      <c r="A522" s="6" t="s">
        <v>2858</v>
      </c>
      <c r="B522" s="6" t="s">
        <v>1417</v>
      </c>
      <c r="C522" s="6" t="s">
        <v>2861</v>
      </c>
      <c r="D522" s="6">
        <v>2</v>
      </c>
      <c r="E522" s="6">
        <v>32168008</v>
      </c>
      <c r="F522" s="6" t="s">
        <v>3106</v>
      </c>
      <c r="G522" s="6" t="s">
        <v>2344</v>
      </c>
      <c r="H522" s="6" t="s">
        <v>2882</v>
      </c>
    </row>
    <row r="523" spans="1:8" x14ac:dyDescent="0.3">
      <c r="A523" s="6" t="s">
        <v>2858</v>
      </c>
      <c r="B523" s="6" t="s">
        <v>12</v>
      </c>
      <c r="C523" s="6" t="s">
        <v>2864</v>
      </c>
      <c r="D523" s="6" t="s">
        <v>2014</v>
      </c>
      <c r="E523" s="6">
        <v>32045610</v>
      </c>
      <c r="F523" s="6" t="s">
        <v>2015</v>
      </c>
      <c r="G523" s="6" t="s">
        <v>2860</v>
      </c>
      <c r="H523" s="6" t="s">
        <v>44</v>
      </c>
    </row>
    <row r="524" spans="1:8" x14ac:dyDescent="0.3">
      <c r="A524" s="6" t="s">
        <v>2858</v>
      </c>
      <c r="B524" s="6" t="s">
        <v>12</v>
      </c>
      <c r="C524" s="6" t="s">
        <v>2864</v>
      </c>
      <c r="D524" s="6" t="s">
        <v>2014</v>
      </c>
      <c r="E524" s="6">
        <v>32202308</v>
      </c>
      <c r="F524" s="6" t="s">
        <v>2017</v>
      </c>
      <c r="G524" s="6" t="s">
        <v>2860</v>
      </c>
      <c r="H524" s="6" t="s">
        <v>35</v>
      </c>
    </row>
    <row r="525" spans="1:8" x14ac:dyDescent="0.3">
      <c r="A525" s="6" t="s">
        <v>2858</v>
      </c>
      <c r="B525" s="6" t="s">
        <v>12</v>
      </c>
      <c r="C525" s="6" t="s">
        <v>2864</v>
      </c>
      <c r="D525" s="6" t="s">
        <v>2014</v>
      </c>
      <c r="E525" s="6">
        <v>32236750</v>
      </c>
      <c r="F525" s="6" t="s">
        <v>2029</v>
      </c>
      <c r="G525" s="6" t="s">
        <v>2860</v>
      </c>
      <c r="H525" s="6" t="s">
        <v>62</v>
      </c>
    </row>
    <row r="526" spans="1:8" x14ac:dyDescent="0.3">
      <c r="A526" s="6" t="s">
        <v>2858</v>
      </c>
      <c r="B526" s="6" t="s">
        <v>12</v>
      </c>
      <c r="C526" s="6" t="s">
        <v>2864</v>
      </c>
      <c r="D526" s="6" t="s">
        <v>2014</v>
      </c>
      <c r="E526" s="6">
        <v>32045120</v>
      </c>
      <c r="F526" s="6" t="s">
        <v>2019</v>
      </c>
      <c r="G526" s="6" t="s">
        <v>2860</v>
      </c>
      <c r="H526" s="6" t="s">
        <v>41</v>
      </c>
    </row>
    <row r="527" spans="1:8" x14ac:dyDescent="0.3">
      <c r="A527" s="6" t="s">
        <v>2858</v>
      </c>
      <c r="B527" s="6" t="s">
        <v>12</v>
      </c>
      <c r="C527" s="6" t="s">
        <v>2864</v>
      </c>
      <c r="D527" s="6" t="s">
        <v>2014</v>
      </c>
      <c r="E527" s="6">
        <v>32045931</v>
      </c>
      <c r="F527" s="6" t="s">
        <v>2022</v>
      </c>
      <c r="G527" s="6" t="s">
        <v>2860</v>
      </c>
      <c r="H527" s="6" t="s">
        <v>3107</v>
      </c>
    </row>
    <row r="528" spans="1:8" x14ac:dyDescent="0.3">
      <c r="A528" s="6" t="s">
        <v>2858</v>
      </c>
      <c r="B528" s="6" t="s">
        <v>12</v>
      </c>
      <c r="C528" s="6" t="s">
        <v>2864</v>
      </c>
      <c r="D528" s="6" t="s">
        <v>2014</v>
      </c>
      <c r="E528" s="6">
        <v>32044445</v>
      </c>
      <c r="F528" s="6" t="s">
        <v>2025</v>
      </c>
      <c r="G528" s="6" t="s">
        <v>2860</v>
      </c>
      <c r="H528" s="6" t="s">
        <v>1584</v>
      </c>
    </row>
    <row r="529" spans="1:8" x14ac:dyDescent="0.3">
      <c r="A529" s="6" t="s">
        <v>2858</v>
      </c>
      <c r="B529" s="6" t="s">
        <v>12</v>
      </c>
      <c r="C529" s="6" t="s">
        <v>2864</v>
      </c>
      <c r="D529" s="6" t="s">
        <v>2014</v>
      </c>
      <c r="E529" s="6">
        <v>32045070</v>
      </c>
      <c r="F529" s="6" t="s">
        <v>2027</v>
      </c>
      <c r="G529" s="6" t="s">
        <v>2860</v>
      </c>
      <c r="H529" s="6" t="s">
        <v>47</v>
      </c>
    </row>
    <row r="530" spans="1:8" x14ac:dyDescent="0.3">
      <c r="A530" s="6" t="s">
        <v>2858</v>
      </c>
      <c r="B530" s="6" t="s">
        <v>12</v>
      </c>
      <c r="C530" s="6" t="s">
        <v>2864</v>
      </c>
      <c r="D530" s="6" t="s">
        <v>2882</v>
      </c>
      <c r="E530" s="6">
        <v>32149491</v>
      </c>
      <c r="F530" s="6" t="s">
        <v>13</v>
      </c>
      <c r="G530" s="6" t="s">
        <v>2344</v>
      </c>
      <c r="H530" s="6" t="s">
        <v>2882</v>
      </c>
    </row>
    <row r="531" spans="1:8" x14ac:dyDescent="0.3">
      <c r="A531" s="6" t="s">
        <v>2858</v>
      </c>
      <c r="B531" s="6" t="s">
        <v>3108</v>
      </c>
      <c r="C531" s="6" t="s">
        <v>2861</v>
      </c>
      <c r="D531" s="6">
        <v>11</v>
      </c>
      <c r="E531" s="6">
        <v>32155922</v>
      </c>
      <c r="F531" s="6" t="s">
        <v>3109</v>
      </c>
      <c r="G531" s="6" t="s">
        <v>2860</v>
      </c>
      <c r="H531" s="6" t="s">
        <v>35</v>
      </c>
    </row>
    <row r="532" spans="1:8" x14ac:dyDescent="0.3">
      <c r="A532" s="6" t="s">
        <v>2858</v>
      </c>
      <c r="B532" s="6" t="s">
        <v>3108</v>
      </c>
      <c r="C532" s="6" t="s">
        <v>2861</v>
      </c>
      <c r="D532" s="6">
        <v>11</v>
      </c>
      <c r="E532" s="6">
        <v>32067361</v>
      </c>
      <c r="F532" s="6" t="s">
        <v>1169</v>
      </c>
      <c r="G532" s="6" t="s">
        <v>2860</v>
      </c>
      <c r="H532" s="6" t="s">
        <v>62</v>
      </c>
    </row>
    <row r="533" spans="1:8" x14ac:dyDescent="0.3">
      <c r="A533" s="6" t="s">
        <v>2858</v>
      </c>
      <c r="B533" s="6" t="s">
        <v>3108</v>
      </c>
      <c r="C533" s="6" t="s">
        <v>2861</v>
      </c>
      <c r="D533" s="6">
        <v>11</v>
      </c>
      <c r="E533" s="6">
        <v>32044973</v>
      </c>
      <c r="F533" s="6" t="s">
        <v>1159</v>
      </c>
      <c r="G533" s="6" t="s">
        <v>2860</v>
      </c>
      <c r="H533" s="6" t="s">
        <v>38</v>
      </c>
    </row>
    <row r="534" spans="1:8" x14ac:dyDescent="0.3">
      <c r="A534" s="6" t="s">
        <v>2858</v>
      </c>
      <c r="B534" s="6" t="s">
        <v>3108</v>
      </c>
      <c r="C534" s="6" t="s">
        <v>2861</v>
      </c>
      <c r="D534" s="6">
        <v>11</v>
      </c>
      <c r="E534" s="6">
        <v>32044327</v>
      </c>
      <c r="F534" s="6" t="s">
        <v>1157</v>
      </c>
      <c r="G534" s="6" t="s">
        <v>2860</v>
      </c>
      <c r="H534" s="6" t="s">
        <v>1584</v>
      </c>
    </row>
    <row r="535" spans="1:8" x14ac:dyDescent="0.3">
      <c r="A535" s="6" t="s">
        <v>2858</v>
      </c>
      <c r="B535" s="6" t="s">
        <v>3108</v>
      </c>
      <c r="C535" s="6" t="s">
        <v>2861</v>
      </c>
      <c r="D535" s="6">
        <v>11</v>
      </c>
      <c r="E535" s="6">
        <v>32045611</v>
      </c>
      <c r="F535" s="6" t="s">
        <v>1163</v>
      </c>
      <c r="G535" s="6" t="s">
        <v>2860</v>
      </c>
      <c r="H535" s="6" t="s">
        <v>44</v>
      </c>
    </row>
    <row r="536" spans="1:8" x14ac:dyDescent="0.3">
      <c r="A536" s="6" t="s">
        <v>2858</v>
      </c>
      <c r="B536" s="6" t="s">
        <v>3108</v>
      </c>
      <c r="C536" s="6" t="s">
        <v>2861</v>
      </c>
      <c r="D536" s="6">
        <v>11</v>
      </c>
      <c r="E536" s="6">
        <v>32045813</v>
      </c>
      <c r="F536" s="6" t="s">
        <v>1165</v>
      </c>
      <c r="G536" s="6" t="s">
        <v>2860</v>
      </c>
      <c r="H536" s="6" t="s">
        <v>47</v>
      </c>
    </row>
    <row r="537" spans="1:8" x14ac:dyDescent="0.3">
      <c r="A537" s="6" t="s">
        <v>2858</v>
      </c>
      <c r="B537" s="6" t="s">
        <v>3108</v>
      </c>
      <c r="C537" s="6" t="s">
        <v>2861</v>
      </c>
      <c r="D537" s="6">
        <v>11</v>
      </c>
      <c r="E537" s="6">
        <v>32045145</v>
      </c>
      <c r="F537" s="6" t="s">
        <v>1161</v>
      </c>
      <c r="G537" s="6" t="s">
        <v>2860</v>
      </c>
      <c r="H537" s="6" t="s">
        <v>41</v>
      </c>
    </row>
    <row r="538" spans="1:8" x14ac:dyDescent="0.3">
      <c r="A538" s="6" t="s">
        <v>2858</v>
      </c>
      <c r="B538" s="6" t="s">
        <v>3108</v>
      </c>
      <c r="C538" s="6" t="s">
        <v>2861</v>
      </c>
      <c r="D538" s="6">
        <v>11</v>
      </c>
      <c r="E538" s="6">
        <v>32096563</v>
      </c>
      <c r="F538" s="6" t="s">
        <v>1094</v>
      </c>
      <c r="G538" s="6" t="s">
        <v>2344</v>
      </c>
      <c r="H538" s="6" t="s">
        <v>2882</v>
      </c>
    </row>
    <row r="539" spans="1:8" x14ac:dyDescent="0.3">
      <c r="A539" s="6" t="s">
        <v>2858</v>
      </c>
      <c r="B539" s="6" t="s">
        <v>677</v>
      </c>
      <c r="C539" s="6" t="s">
        <v>2861</v>
      </c>
      <c r="D539" s="6">
        <v>5</v>
      </c>
      <c r="E539" s="6">
        <v>32046005</v>
      </c>
      <c r="F539" s="6" t="s">
        <v>558</v>
      </c>
      <c r="G539" s="6" t="s">
        <v>2344</v>
      </c>
      <c r="H539" s="6" t="s">
        <v>2882</v>
      </c>
    </row>
    <row r="540" spans="1:8" x14ac:dyDescent="0.3">
      <c r="A540" s="6" t="s">
        <v>2858</v>
      </c>
      <c r="B540" s="6" t="s">
        <v>677</v>
      </c>
      <c r="C540" s="6" t="s">
        <v>2861</v>
      </c>
      <c r="D540" s="6">
        <v>5</v>
      </c>
      <c r="E540" s="6">
        <v>32150519</v>
      </c>
      <c r="F540" s="6" t="s">
        <v>3110</v>
      </c>
      <c r="G540" s="6" t="s">
        <v>2860</v>
      </c>
      <c r="H540" s="6" t="s">
        <v>62</v>
      </c>
    </row>
    <row r="541" spans="1:8" x14ac:dyDescent="0.3">
      <c r="A541" s="6" t="s">
        <v>2858</v>
      </c>
      <c r="B541" s="6" t="s">
        <v>677</v>
      </c>
      <c r="C541" s="6" t="s">
        <v>2861</v>
      </c>
      <c r="D541" s="6">
        <v>5</v>
      </c>
      <c r="E541" s="6">
        <v>32046178</v>
      </c>
      <c r="F541" s="6" t="s">
        <v>3111</v>
      </c>
      <c r="G541" s="6" t="s">
        <v>2860</v>
      </c>
      <c r="H541" s="6" t="s">
        <v>1584</v>
      </c>
    </row>
    <row r="542" spans="1:8" x14ac:dyDescent="0.3">
      <c r="A542" s="6" t="s">
        <v>2858</v>
      </c>
      <c r="B542" s="6" t="s">
        <v>677</v>
      </c>
      <c r="C542" s="6" t="s">
        <v>2861</v>
      </c>
      <c r="D542" s="6">
        <v>5</v>
      </c>
      <c r="E542" s="6">
        <v>32044464</v>
      </c>
      <c r="F542" s="6" t="s">
        <v>3112</v>
      </c>
      <c r="G542" s="6" t="s">
        <v>2860</v>
      </c>
      <c r="H542" s="6" t="s">
        <v>41</v>
      </c>
    </row>
    <row r="543" spans="1:8" x14ac:dyDescent="0.3">
      <c r="A543" s="6" t="s">
        <v>2858</v>
      </c>
      <c r="B543" s="6" t="s">
        <v>677</v>
      </c>
      <c r="C543" s="6" t="s">
        <v>2861</v>
      </c>
      <c r="D543" s="6">
        <v>5</v>
      </c>
      <c r="E543" s="6">
        <v>32145464</v>
      </c>
      <c r="F543" s="6" t="s">
        <v>3113</v>
      </c>
      <c r="G543" s="6" t="s">
        <v>2860</v>
      </c>
      <c r="H543" s="6" t="s">
        <v>47</v>
      </c>
    </row>
    <row r="544" spans="1:8" x14ac:dyDescent="0.3">
      <c r="A544" s="6" t="s">
        <v>2858</v>
      </c>
      <c r="B544" s="6" t="s">
        <v>677</v>
      </c>
      <c r="C544" s="6" t="s">
        <v>2861</v>
      </c>
      <c r="D544" s="6">
        <v>5</v>
      </c>
      <c r="E544" s="6">
        <v>32045652</v>
      </c>
      <c r="F544" s="6" t="s">
        <v>3114</v>
      </c>
      <c r="G544" s="6" t="s">
        <v>2860</v>
      </c>
      <c r="H544" s="6" t="s">
        <v>38</v>
      </c>
    </row>
    <row r="545" spans="1:8" x14ac:dyDescent="0.3">
      <c r="A545" s="6" t="s">
        <v>2858</v>
      </c>
      <c r="B545" s="6" t="s">
        <v>677</v>
      </c>
      <c r="C545" s="6" t="s">
        <v>2861</v>
      </c>
      <c r="D545" s="6">
        <v>5</v>
      </c>
      <c r="E545" s="6">
        <v>32132022</v>
      </c>
      <c r="F545" s="6" t="s">
        <v>3115</v>
      </c>
      <c r="G545" s="6" t="s">
        <v>2860</v>
      </c>
      <c r="H545" s="6" t="s">
        <v>1584</v>
      </c>
    </row>
    <row r="546" spans="1:8" x14ac:dyDescent="0.3">
      <c r="A546" s="6" t="s">
        <v>2858</v>
      </c>
      <c r="B546" s="6" t="s">
        <v>677</v>
      </c>
      <c r="C546" s="6" t="s">
        <v>2861</v>
      </c>
      <c r="D546" s="6">
        <v>5</v>
      </c>
      <c r="E546" s="6">
        <v>32045397</v>
      </c>
      <c r="F546" s="6" t="s">
        <v>3116</v>
      </c>
      <c r="G546" s="6" t="s">
        <v>2860</v>
      </c>
      <c r="H546" s="6" t="s">
        <v>44</v>
      </c>
    </row>
    <row r="547" spans="1:8" x14ac:dyDescent="0.3">
      <c r="A547" s="6" t="s">
        <v>2858</v>
      </c>
      <c r="B547" s="6" t="s">
        <v>677</v>
      </c>
      <c r="C547" s="6" t="s">
        <v>2861</v>
      </c>
      <c r="D547" s="6">
        <v>5</v>
      </c>
      <c r="E547" s="6">
        <v>32139709</v>
      </c>
      <c r="F547" s="6" t="s">
        <v>3117</v>
      </c>
      <c r="G547" s="6" t="s">
        <v>2860</v>
      </c>
      <c r="H547" s="6" t="s">
        <v>38</v>
      </c>
    </row>
    <row r="548" spans="1:8" x14ac:dyDescent="0.3">
      <c r="A548" s="6" t="s">
        <v>2858</v>
      </c>
      <c r="B548" s="6" t="s">
        <v>677</v>
      </c>
      <c r="C548" s="6" t="s">
        <v>2861</v>
      </c>
      <c r="D548" s="6">
        <v>5</v>
      </c>
      <c r="E548" s="6">
        <v>32046143</v>
      </c>
      <c r="F548" s="6" t="s">
        <v>3118</v>
      </c>
      <c r="G548" s="6" t="s">
        <v>2860</v>
      </c>
      <c r="H548" s="6" t="s">
        <v>1584</v>
      </c>
    </row>
    <row r="549" spans="1:8" x14ac:dyDescent="0.3">
      <c r="A549" s="6" t="s">
        <v>2858</v>
      </c>
      <c r="B549" s="6" t="s">
        <v>677</v>
      </c>
      <c r="C549" s="6" t="s">
        <v>2861</v>
      </c>
      <c r="D549" s="6">
        <v>5</v>
      </c>
      <c r="E549" s="6">
        <v>32067738</v>
      </c>
      <c r="F549" s="6" t="s">
        <v>3119</v>
      </c>
      <c r="G549" s="6" t="s">
        <v>2860</v>
      </c>
      <c r="H549" s="6" t="s">
        <v>62</v>
      </c>
    </row>
    <row r="550" spans="1:8" x14ac:dyDescent="0.3">
      <c r="A550" s="6" t="s">
        <v>2858</v>
      </c>
      <c r="B550" s="6" t="s">
        <v>677</v>
      </c>
      <c r="C550" s="6" t="s">
        <v>2861</v>
      </c>
      <c r="D550" s="6">
        <v>5</v>
      </c>
      <c r="E550" s="6">
        <v>32044307</v>
      </c>
      <c r="F550" s="6" t="s">
        <v>3120</v>
      </c>
      <c r="G550" s="6" t="s">
        <v>2860</v>
      </c>
      <c r="H550" s="6" t="s">
        <v>38</v>
      </c>
    </row>
    <row r="551" spans="1:8" x14ac:dyDescent="0.3">
      <c r="A551" s="6" t="s">
        <v>2858</v>
      </c>
      <c r="B551" s="6" t="s">
        <v>677</v>
      </c>
      <c r="C551" s="6" t="s">
        <v>2861</v>
      </c>
      <c r="D551" s="6">
        <v>5</v>
      </c>
      <c r="E551" s="6">
        <v>32186049</v>
      </c>
      <c r="F551" s="6" t="s">
        <v>3121</v>
      </c>
      <c r="G551" s="6" t="s">
        <v>2860</v>
      </c>
      <c r="H551" s="6" t="s">
        <v>41</v>
      </c>
    </row>
    <row r="552" spans="1:8" x14ac:dyDescent="0.3">
      <c r="A552" s="6" t="s">
        <v>2858</v>
      </c>
      <c r="B552" s="6" t="s">
        <v>677</v>
      </c>
      <c r="C552" s="6" t="s">
        <v>2861</v>
      </c>
      <c r="D552" s="6">
        <v>5</v>
      </c>
      <c r="E552" s="6">
        <v>32198273</v>
      </c>
      <c r="F552" s="6" t="s">
        <v>3122</v>
      </c>
      <c r="G552" s="6" t="s">
        <v>2860</v>
      </c>
      <c r="H552" s="6" t="s">
        <v>47</v>
      </c>
    </row>
    <row r="553" spans="1:8" x14ac:dyDescent="0.3">
      <c r="A553" s="6" t="s">
        <v>2858</v>
      </c>
      <c r="B553" s="6" t="s">
        <v>677</v>
      </c>
      <c r="C553" s="6" t="s">
        <v>2861</v>
      </c>
      <c r="D553" s="6">
        <v>5</v>
      </c>
      <c r="E553" s="6">
        <v>32044086</v>
      </c>
      <c r="F553" s="6" t="s">
        <v>3123</v>
      </c>
      <c r="G553" s="6" t="s">
        <v>2860</v>
      </c>
      <c r="H553" s="6" t="s">
        <v>44</v>
      </c>
    </row>
    <row r="554" spans="1:8" x14ac:dyDescent="0.3">
      <c r="A554" s="6" t="s">
        <v>2858</v>
      </c>
      <c r="B554" s="6" t="s">
        <v>3124</v>
      </c>
      <c r="C554" s="6" t="s">
        <v>2861</v>
      </c>
      <c r="D554" s="6">
        <v>3</v>
      </c>
      <c r="E554" s="6">
        <v>32174771</v>
      </c>
      <c r="F554" s="6" t="s">
        <v>3091</v>
      </c>
      <c r="G554" s="6" t="s">
        <v>2344</v>
      </c>
      <c r="H554" s="6" t="s">
        <v>2882</v>
      </c>
    </row>
    <row r="555" spans="1:8" x14ac:dyDescent="0.3">
      <c r="A555" s="6" t="s">
        <v>2858</v>
      </c>
      <c r="B555" s="6" t="s">
        <v>3124</v>
      </c>
      <c r="C555" s="6" t="s">
        <v>2861</v>
      </c>
      <c r="D555" s="6">
        <v>3</v>
      </c>
      <c r="E555" s="6">
        <v>32044283</v>
      </c>
      <c r="F555" s="6" t="s">
        <v>3125</v>
      </c>
      <c r="G555" s="6" t="s">
        <v>2860</v>
      </c>
      <c r="H555" s="6" t="s">
        <v>38</v>
      </c>
    </row>
    <row r="556" spans="1:8" x14ac:dyDescent="0.3">
      <c r="A556" s="6" t="s">
        <v>2858</v>
      </c>
      <c r="B556" s="6" t="s">
        <v>3124</v>
      </c>
      <c r="C556" s="6" t="s">
        <v>2861</v>
      </c>
      <c r="D556" s="6">
        <v>3</v>
      </c>
      <c r="E556" s="6">
        <v>32043938</v>
      </c>
      <c r="F556" s="6" t="s">
        <v>497</v>
      </c>
      <c r="G556" s="6" t="s">
        <v>2860</v>
      </c>
      <c r="H556" s="6" t="s">
        <v>62</v>
      </c>
    </row>
    <row r="557" spans="1:8" x14ac:dyDescent="0.3">
      <c r="A557" s="6" t="s">
        <v>2858</v>
      </c>
      <c r="B557" s="6" t="s">
        <v>3124</v>
      </c>
      <c r="C557" s="6" t="s">
        <v>2861</v>
      </c>
      <c r="D557" s="6">
        <v>3</v>
      </c>
      <c r="E557" s="6">
        <v>32045054</v>
      </c>
      <c r="F557" s="6" t="s">
        <v>3126</v>
      </c>
      <c r="G557" s="6" t="s">
        <v>2860</v>
      </c>
      <c r="H557" s="6" t="s">
        <v>41</v>
      </c>
    </row>
    <row r="558" spans="1:8" x14ac:dyDescent="0.3">
      <c r="A558" s="6" t="s">
        <v>2858</v>
      </c>
      <c r="B558" s="6" t="s">
        <v>3124</v>
      </c>
      <c r="C558" s="6" t="s">
        <v>2861</v>
      </c>
      <c r="D558" s="6">
        <v>3</v>
      </c>
      <c r="E558" s="6">
        <v>32198302</v>
      </c>
      <c r="F558" s="6" t="s">
        <v>3127</v>
      </c>
      <c r="G558" s="6" t="s">
        <v>2860</v>
      </c>
      <c r="H558" s="6" t="s">
        <v>47</v>
      </c>
    </row>
    <row r="559" spans="1:8" x14ac:dyDescent="0.3">
      <c r="A559" s="6" t="s">
        <v>2858</v>
      </c>
      <c r="B559" s="6" t="s">
        <v>3124</v>
      </c>
      <c r="C559" s="6" t="s">
        <v>2861</v>
      </c>
      <c r="D559" s="6">
        <v>3</v>
      </c>
      <c r="E559" s="6">
        <v>32198296</v>
      </c>
      <c r="F559" s="6" t="s">
        <v>502</v>
      </c>
      <c r="G559" s="6" t="s">
        <v>2860</v>
      </c>
      <c r="H559" s="6" t="s">
        <v>1584</v>
      </c>
    </row>
    <row r="560" spans="1:8" x14ac:dyDescent="0.3">
      <c r="A560" s="6" t="s">
        <v>2858</v>
      </c>
      <c r="B560" s="6" t="s">
        <v>3124</v>
      </c>
      <c r="C560" s="6" t="s">
        <v>2861</v>
      </c>
      <c r="D560" s="6">
        <v>3</v>
      </c>
      <c r="E560" s="6">
        <v>32198290</v>
      </c>
      <c r="F560" s="6" t="s">
        <v>3128</v>
      </c>
      <c r="G560" s="6" t="s">
        <v>2860</v>
      </c>
      <c r="H560" s="6" t="s">
        <v>44</v>
      </c>
    </row>
    <row r="561" spans="1:8" x14ac:dyDescent="0.3">
      <c r="A561" s="6" t="s">
        <v>2858</v>
      </c>
      <c r="B561" s="6" t="s">
        <v>3124</v>
      </c>
      <c r="C561" s="6" t="s">
        <v>2861</v>
      </c>
      <c r="D561" s="6">
        <v>3</v>
      </c>
      <c r="E561" s="6">
        <v>32044951</v>
      </c>
      <c r="F561" s="6" t="s">
        <v>3129</v>
      </c>
      <c r="G561" s="6" t="s">
        <v>2860</v>
      </c>
      <c r="H561" s="6" t="s">
        <v>35</v>
      </c>
    </row>
    <row r="562" spans="1:8" x14ac:dyDescent="0.3">
      <c r="A562" s="6" t="s">
        <v>2858</v>
      </c>
      <c r="B562" s="6" t="s">
        <v>3124</v>
      </c>
      <c r="C562" s="6" t="s">
        <v>2861</v>
      </c>
      <c r="D562" s="6">
        <v>3</v>
      </c>
      <c r="E562" s="6">
        <v>32150512</v>
      </c>
      <c r="F562" s="6" t="s">
        <v>509</v>
      </c>
      <c r="G562" s="6" t="s">
        <v>2860</v>
      </c>
      <c r="H562" s="6" t="s">
        <v>35</v>
      </c>
    </row>
    <row r="563" spans="1:8" x14ac:dyDescent="0.3">
      <c r="A563" s="6" t="s">
        <v>2858</v>
      </c>
      <c r="B563" s="6" t="s">
        <v>30</v>
      </c>
      <c r="C563" s="6" t="s">
        <v>2865</v>
      </c>
      <c r="D563" s="6" t="s">
        <v>2882</v>
      </c>
      <c r="E563" s="159">
        <v>32052981</v>
      </c>
      <c r="F563" s="159" t="s">
        <v>85</v>
      </c>
      <c r="G563" s="6" t="s">
        <v>2344</v>
      </c>
      <c r="H563" s="6" t="s">
        <v>35</v>
      </c>
    </row>
    <row r="564" spans="1:8" x14ac:dyDescent="0.3">
      <c r="A564" s="6" t="s">
        <v>2858</v>
      </c>
      <c r="B564" s="6" t="s">
        <v>30</v>
      </c>
      <c r="C564" s="6" t="s">
        <v>2865</v>
      </c>
      <c r="D564" s="6" t="s">
        <v>83</v>
      </c>
      <c r="E564" s="6">
        <v>32044036</v>
      </c>
      <c r="F564" s="6" t="s">
        <v>123</v>
      </c>
      <c r="G564" s="6" t="s">
        <v>2860</v>
      </c>
      <c r="H564" s="6" t="s">
        <v>47</v>
      </c>
    </row>
    <row r="565" spans="1:8" x14ac:dyDescent="0.3">
      <c r="A565" s="6" t="s">
        <v>2858</v>
      </c>
      <c r="B565" s="6" t="s">
        <v>30</v>
      </c>
      <c r="C565" s="6" t="s">
        <v>2865</v>
      </c>
      <c r="D565" s="6" t="s">
        <v>29</v>
      </c>
      <c r="E565" s="159">
        <v>32143106</v>
      </c>
      <c r="F565" s="159" t="s">
        <v>3130</v>
      </c>
      <c r="G565" s="6" t="s">
        <v>2860</v>
      </c>
      <c r="H565" s="6" t="s">
        <v>1584</v>
      </c>
    </row>
    <row r="566" spans="1:8" x14ac:dyDescent="0.3">
      <c r="A566" s="6" t="s">
        <v>2858</v>
      </c>
      <c r="B566" s="6" t="s">
        <v>30</v>
      </c>
      <c r="C566" s="6" t="s">
        <v>2865</v>
      </c>
      <c r="D566" s="6" t="s">
        <v>83</v>
      </c>
      <c r="E566" s="6">
        <v>32132025</v>
      </c>
      <c r="F566" s="6" t="s">
        <v>154</v>
      </c>
      <c r="G566" s="6" t="s">
        <v>2860</v>
      </c>
      <c r="H566" s="6" t="s">
        <v>35</v>
      </c>
    </row>
    <row r="567" spans="1:8" x14ac:dyDescent="0.3">
      <c r="A567" s="6" t="s">
        <v>2858</v>
      </c>
      <c r="B567" s="6" t="s">
        <v>30</v>
      </c>
      <c r="C567" s="6" t="s">
        <v>2865</v>
      </c>
      <c r="D567" s="6" t="s">
        <v>83</v>
      </c>
      <c r="E567" s="159">
        <v>32188512</v>
      </c>
      <c r="F567" s="159" t="s">
        <v>3131</v>
      </c>
      <c r="G567" s="6" t="s">
        <v>2860</v>
      </c>
      <c r="H567" s="6" t="s">
        <v>41</v>
      </c>
    </row>
    <row r="568" spans="1:8" x14ac:dyDescent="0.3">
      <c r="A568" s="6" t="s">
        <v>2858</v>
      </c>
      <c r="B568" s="6" t="s">
        <v>30</v>
      </c>
      <c r="C568" s="6" t="s">
        <v>2865</v>
      </c>
      <c r="D568" s="6" t="s">
        <v>29</v>
      </c>
      <c r="E568" s="159">
        <v>32045139</v>
      </c>
      <c r="F568" s="159" t="s">
        <v>3132</v>
      </c>
      <c r="G568" s="6" t="s">
        <v>2860</v>
      </c>
      <c r="H568" s="6" t="s">
        <v>47</v>
      </c>
    </row>
    <row r="569" spans="1:8" x14ac:dyDescent="0.3">
      <c r="A569" s="6" t="s">
        <v>2858</v>
      </c>
      <c r="B569" s="6" t="s">
        <v>30</v>
      </c>
      <c r="C569" s="6" t="s">
        <v>2865</v>
      </c>
      <c r="D569" s="6" t="s">
        <v>29</v>
      </c>
      <c r="E569" s="6">
        <v>32045134</v>
      </c>
      <c r="F569" s="6" t="s">
        <v>33</v>
      </c>
      <c r="G569" s="6" t="s">
        <v>2860</v>
      </c>
      <c r="H569" s="6" t="s">
        <v>41</v>
      </c>
    </row>
    <row r="570" spans="1:8" x14ac:dyDescent="0.3">
      <c r="A570" s="6" t="s">
        <v>2858</v>
      </c>
      <c r="B570" s="6" t="s">
        <v>30</v>
      </c>
      <c r="C570" s="6" t="s">
        <v>2865</v>
      </c>
      <c r="D570" s="6" t="s">
        <v>83</v>
      </c>
      <c r="E570" s="6">
        <v>32213349</v>
      </c>
      <c r="F570" s="6" t="s">
        <v>3133</v>
      </c>
      <c r="G570" s="6" t="s">
        <v>2860</v>
      </c>
      <c r="H570" s="6" t="s">
        <v>44</v>
      </c>
    </row>
    <row r="571" spans="1:8" x14ac:dyDescent="0.3">
      <c r="A571" s="6" t="s">
        <v>2858</v>
      </c>
      <c r="B571" s="6" t="s">
        <v>30</v>
      </c>
      <c r="C571" s="6" t="s">
        <v>2865</v>
      </c>
      <c r="D571" s="6" t="s">
        <v>29</v>
      </c>
      <c r="E571" s="6">
        <v>32043849</v>
      </c>
      <c r="F571" s="6" t="s">
        <v>105</v>
      </c>
      <c r="G571" s="6" t="s">
        <v>2860</v>
      </c>
      <c r="H571" s="6" t="s">
        <v>62</v>
      </c>
    </row>
    <row r="572" spans="1:8" x14ac:dyDescent="0.3">
      <c r="A572" s="6" t="s">
        <v>2858</v>
      </c>
      <c r="B572" s="6" t="s">
        <v>30</v>
      </c>
      <c r="C572" s="6" t="s">
        <v>2865</v>
      </c>
      <c r="D572" s="6" t="s">
        <v>83</v>
      </c>
      <c r="E572" s="6">
        <v>32144777</v>
      </c>
      <c r="F572" s="6" t="s">
        <v>153</v>
      </c>
      <c r="G572" s="6" t="s">
        <v>2860</v>
      </c>
      <c r="H572" s="6" t="s">
        <v>47</v>
      </c>
    </row>
    <row r="573" spans="1:8" x14ac:dyDescent="0.3">
      <c r="A573" s="6" t="s">
        <v>2858</v>
      </c>
      <c r="B573" s="6" t="s">
        <v>30</v>
      </c>
      <c r="C573" s="6" t="s">
        <v>2865</v>
      </c>
      <c r="D573" s="6" t="s">
        <v>83</v>
      </c>
      <c r="E573" s="6">
        <v>32188117</v>
      </c>
      <c r="F573" s="6" t="s">
        <v>60</v>
      </c>
      <c r="G573" s="6" t="s">
        <v>2860</v>
      </c>
      <c r="H573" s="6" t="s">
        <v>38</v>
      </c>
    </row>
    <row r="574" spans="1:8" x14ac:dyDescent="0.3">
      <c r="A574" s="6" t="s">
        <v>2858</v>
      </c>
      <c r="B574" s="6" t="s">
        <v>30</v>
      </c>
      <c r="C574" s="6" t="s">
        <v>2865</v>
      </c>
      <c r="D574" s="6" t="s">
        <v>83</v>
      </c>
      <c r="E574" s="6">
        <v>32197834</v>
      </c>
      <c r="F574" s="6" t="s">
        <v>3134</v>
      </c>
      <c r="G574" s="6" t="s">
        <v>2860</v>
      </c>
      <c r="H574" s="6" t="s">
        <v>1584</v>
      </c>
    </row>
    <row r="575" spans="1:8" x14ac:dyDescent="0.3">
      <c r="A575" s="6" t="s">
        <v>2858</v>
      </c>
      <c r="B575" s="6" t="s">
        <v>30</v>
      </c>
      <c r="C575" s="6" t="s">
        <v>2865</v>
      </c>
      <c r="D575" s="6" t="s">
        <v>29</v>
      </c>
      <c r="E575" s="159">
        <v>32045116</v>
      </c>
      <c r="F575" s="159" t="s">
        <v>3135</v>
      </c>
      <c r="G575" s="6" t="s">
        <v>2860</v>
      </c>
      <c r="H575" s="6" t="s">
        <v>62</v>
      </c>
    </row>
    <row r="576" spans="1:8" x14ac:dyDescent="0.3">
      <c r="A576" s="6" t="s">
        <v>2858</v>
      </c>
      <c r="B576" s="6" t="s">
        <v>30</v>
      </c>
      <c r="C576" s="6" t="s">
        <v>2865</v>
      </c>
      <c r="D576" s="6" t="s">
        <v>29</v>
      </c>
      <c r="E576" s="6">
        <v>32173446</v>
      </c>
      <c r="F576" s="6" t="s">
        <v>75</v>
      </c>
      <c r="G576" s="6" t="s">
        <v>2860</v>
      </c>
      <c r="H576" s="6" t="s">
        <v>62</v>
      </c>
    </row>
    <row r="577" spans="1:8" x14ac:dyDescent="0.3">
      <c r="A577" s="6" t="s">
        <v>2858</v>
      </c>
      <c r="B577" s="6" t="s">
        <v>30</v>
      </c>
      <c r="C577" s="6" t="s">
        <v>2865</v>
      </c>
      <c r="D577" s="6" t="s">
        <v>29</v>
      </c>
      <c r="E577" s="6">
        <v>32149607</v>
      </c>
      <c r="F577" s="6" t="s">
        <v>77</v>
      </c>
      <c r="G577" s="6" t="s">
        <v>2860</v>
      </c>
      <c r="H577" s="6" t="s">
        <v>44</v>
      </c>
    </row>
    <row r="578" spans="1:8" x14ac:dyDescent="0.3">
      <c r="A578" s="6" t="s">
        <v>2858</v>
      </c>
      <c r="B578" s="6" t="s">
        <v>30</v>
      </c>
      <c r="C578" s="6" t="s">
        <v>2865</v>
      </c>
      <c r="D578" s="6" t="s">
        <v>29</v>
      </c>
      <c r="E578" s="6">
        <v>32157221</v>
      </c>
      <c r="F578" s="6" t="s">
        <v>39</v>
      </c>
      <c r="G578" s="6" t="s">
        <v>2860</v>
      </c>
      <c r="H578" s="6" t="s">
        <v>38</v>
      </c>
    </row>
    <row r="579" spans="1:8" x14ac:dyDescent="0.3">
      <c r="A579" s="6" t="s">
        <v>2858</v>
      </c>
      <c r="B579" s="6" t="s">
        <v>30</v>
      </c>
      <c r="C579" s="6" t="s">
        <v>2865</v>
      </c>
      <c r="D579" s="6" t="s">
        <v>83</v>
      </c>
      <c r="E579" s="6">
        <v>32043880</v>
      </c>
      <c r="F579" s="6" t="s">
        <v>135</v>
      </c>
      <c r="G579" s="6" t="s">
        <v>2860</v>
      </c>
      <c r="H579" s="6" t="s">
        <v>38</v>
      </c>
    </row>
    <row r="580" spans="1:8" x14ac:dyDescent="0.3">
      <c r="A580" s="6" t="s">
        <v>2858</v>
      </c>
      <c r="B580" s="6" t="s">
        <v>49</v>
      </c>
      <c r="C580" s="6" t="s">
        <v>2865</v>
      </c>
      <c r="D580" s="6" t="s">
        <v>2882</v>
      </c>
      <c r="E580" s="159">
        <v>32044049</v>
      </c>
      <c r="F580" s="159" t="s">
        <v>97</v>
      </c>
      <c r="G580" s="6" t="s">
        <v>2344</v>
      </c>
      <c r="H580" s="6" t="s">
        <v>47</v>
      </c>
    </row>
    <row r="581" spans="1:8" x14ac:dyDescent="0.3">
      <c r="A581" s="6" t="s">
        <v>2858</v>
      </c>
      <c r="B581" s="6" t="s">
        <v>49</v>
      </c>
      <c r="C581" s="6" t="s">
        <v>2865</v>
      </c>
      <c r="D581" s="6" t="s">
        <v>83</v>
      </c>
      <c r="E581" s="6">
        <v>32045556</v>
      </c>
      <c r="F581" s="6" t="s">
        <v>99</v>
      </c>
      <c r="G581" s="6" t="s">
        <v>2860</v>
      </c>
      <c r="H581" s="6" t="s">
        <v>47</v>
      </c>
    </row>
    <row r="582" spans="1:8" x14ac:dyDescent="0.3">
      <c r="A582" s="6" t="s">
        <v>2858</v>
      </c>
      <c r="B582" s="6" t="s">
        <v>49</v>
      </c>
      <c r="C582" s="6" t="s">
        <v>2865</v>
      </c>
      <c r="D582" s="6" t="s">
        <v>83</v>
      </c>
      <c r="E582" s="6">
        <v>32044771</v>
      </c>
      <c r="F582" s="6" t="s">
        <v>129</v>
      </c>
      <c r="G582" s="6" t="s">
        <v>2860</v>
      </c>
      <c r="H582" s="6" t="s">
        <v>47</v>
      </c>
    </row>
    <row r="583" spans="1:8" x14ac:dyDescent="0.3">
      <c r="A583" s="6" t="s">
        <v>2858</v>
      </c>
      <c r="B583" s="6" t="s">
        <v>49</v>
      </c>
      <c r="C583" s="6" t="s">
        <v>2865</v>
      </c>
      <c r="D583" s="6" t="s">
        <v>29</v>
      </c>
      <c r="E583" s="6">
        <v>32043886</v>
      </c>
      <c r="F583" s="6" t="s">
        <v>70</v>
      </c>
      <c r="G583" s="6" t="s">
        <v>2860</v>
      </c>
      <c r="H583" s="6" t="s">
        <v>38</v>
      </c>
    </row>
    <row r="584" spans="1:8" x14ac:dyDescent="0.3">
      <c r="A584" s="6" t="s">
        <v>2858</v>
      </c>
      <c r="B584" s="6" t="s">
        <v>49</v>
      </c>
      <c r="C584" s="6" t="s">
        <v>2865</v>
      </c>
      <c r="D584" s="6" t="s">
        <v>29</v>
      </c>
      <c r="E584" s="6">
        <v>32045574</v>
      </c>
      <c r="F584" s="6" t="s">
        <v>142</v>
      </c>
      <c r="G584" s="6" t="s">
        <v>2860</v>
      </c>
      <c r="H584" s="6" t="s">
        <v>38</v>
      </c>
    </row>
    <row r="585" spans="1:8" x14ac:dyDescent="0.3">
      <c r="A585" s="6" t="s">
        <v>2858</v>
      </c>
      <c r="B585" s="6" t="s">
        <v>49</v>
      </c>
      <c r="C585" s="6" t="s">
        <v>2865</v>
      </c>
      <c r="D585" s="6" t="s">
        <v>83</v>
      </c>
      <c r="E585" s="6">
        <v>32209921</v>
      </c>
      <c r="F585" s="6" t="s">
        <v>3136</v>
      </c>
      <c r="G585" s="6" t="s">
        <v>2860</v>
      </c>
      <c r="H585" s="6" t="s">
        <v>38</v>
      </c>
    </row>
    <row r="586" spans="1:8" x14ac:dyDescent="0.3">
      <c r="A586" s="6" t="s">
        <v>2858</v>
      </c>
      <c r="B586" s="6" t="s">
        <v>49</v>
      </c>
      <c r="C586" s="6" t="s">
        <v>2865</v>
      </c>
      <c r="D586" s="6" t="s">
        <v>83</v>
      </c>
      <c r="E586" s="6">
        <v>32044760</v>
      </c>
      <c r="F586" s="6" t="s">
        <v>156</v>
      </c>
      <c r="G586" s="6" t="s">
        <v>2860</v>
      </c>
      <c r="H586" s="6" t="s">
        <v>41</v>
      </c>
    </row>
    <row r="587" spans="1:8" x14ac:dyDescent="0.3">
      <c r="A587" s="6" t="s">
        <v>2858</v>
      </c>
      <c r="B587" s="6" t="s">
        <v>49</v>
      </c>
      <c r="C587" s="6" t="s">
        <v>2865</v>
      </c>
      <c r="D587" s="6" t="s">
        <v>83</v>
      </c>
      <c r="E587" s="6">
        <v>32044514</v>
      </c>
      <c r="F587" s="6" t="s">
        <v>133</v>
      </c>
      <c r="G587" s="6" t="s">
        <v>2860</v>
      </c>
      <c r="H587" s="6" t="s">
        <v>1584</v>
      </c>
    </row>
    <row r="588" spans="1:8" x14ac:dyDescent="0.3">
      <c r="A588" s="6" t="s">
        <v>2858</v>
      </c>
      <c r="B588" s="6" t="s">
        <v>49</v>
      </c>
      <c r="C588" s="6" t="s">
        <v>2865</v>
      </c>
      <c r="D588" s="6" t="s">
        <v>29</v>
      </c>
      <c r="E588" s="159">
        <v>32146003</v>
      </c>
      <c r="F588" s="159" t="s">
        <v>3137</v>
      </c>
      <c r="G588" s="6" t="s">
        <v>2860</v>
      </c>
      <c r="H588" s="6" t="s">
        <v>44</v>
      </c>
    </row>
    <row r="589" spans="1:8" x14ac:dyDescent="0.3">
      <c r="A589" s="6" t="s">
        <v>2858</v>
      </c>
      <c r="B589" s="6" t="s">
        <v>49</v>
      </c>
      <c r="C589" s="6" t="s">
        <v>2865</v>
      </c>
      <c r="D589" s="6" t="s">
        <v>83</v>
      </c>
      <c r="E589" s="6">
        <v>32044751</v>
      </c>
      <c r="F589" s="6" t="s">
        <v>159</v>
      </c>
      <c r="G589" s="6" t="s">
        <v>2860</v>
      </c>
      <c r="H589" s="6" t="s">
        <v>62</v>
      </c>
    </row>
    <row r="590" spans="1:8" x14ac:dyDescent="0.3">
      <c r="A590" s="6" t="s">
        <v>2858</v>
      </c>
      <c r="B590" s="6" t="s">
        <v>49</v>
      </c>
      <c r="C590" s="6" t="s">
        <v>2865</v>
      </c>
      <c r="D590" s="6" t="s">
        <v>83</v>
      </c>
      <c r="E590" s="6">
        <v>32197833</v>
      </c>
      <c r="F590" s="6" t="s">
        <v>65</v>
      </c>
      <c r="G590" s="6" t="s">
        <v>2860</v>
      </c>
      <c r="H590" s="6" t="s">
        <v>47</v>
      </c>
    </row>
    <row r="591" spans="1:8" x14ac:dyDescent="0.3">
      <c r="A591" s="6" t="s">
        <v>2858</v>
      </c>
      <c r="B591" s="6" t="s">
        <v>49</v>
      </c>
      <c r="C591" s="6" t="s">
        <v>2865</v>
      </c>
      <c r="D591" s="6" t="s">
        <v>29</v>
      </c>
      <c r="E591" s="159">
        <v>32044235</v>
      </c>
      <c r="F591" s="159" t="s">
        <v>3138</v>
      </c>
      <c r="G591" s="6" t="s">
        <v>2860</v>
      </c>
      <c r="H591" s="6" t="s">
        <v>35</v>
      </c>
    </row>
    <row r="592" spans="1:8" x14ac:dyDescent="0.3">
      <c r="A592" s="6" t="s">
        <v>2858</v>
      </c>
      <c r="B592" s="6" t="s">
        <v>49</v>
      </c>
      <c r="C592" s="6" t="s">
        <v>2865</v>
      </c>
      <c r="D592" s="6" t="s">
        <v>83</v>
      </c>
      <c r="E592" s="159">
        <v>32233327</v>
      </c>
      <c r="F592" s="159" t="s">
        <v>3139</v>
      </c>
      <c r="G592" s="6" t="s">
        <v>2860</v>
      </c>
      <c r="H592" s="6" t="s">
        <v>35</v>
      </c>
    </row>
    <row r="593" spans="1:8" x14ac:dyDescent="0.3">
      <c r="A593" s="6" t="s">
        <v>2858</v>
      </c>
      <c r="B593" s="6" t="s">
        <v>49</v>
      </c>
      <c r="C593" s="6" t="s">
        <v>2865</v>
      </c>
      <c r="D593" s="6" t="s">
        <v>83</v>
      </c>
      <c r="E593" s="6">
        <v>32142953</v>
      </c>
      <c r="F593" s="6" t="s">
        <v>107</v>
      </c>
      <c r="G593" s="6" t="s">
        <v>2860</v>
      </c>
      <c r="H593" s="6" t="s">
        <v>1584</v>
      </c>
    </row>
    <row r="594" spans="1:8" x14ac:dyDescent="0.3">
      <c r="A594" s="6" t="s">
        <v>2858</v>
      </c>
      <c r="B594" s="6" t="s">
        <v>49</v>
      </c>
      <c r="C594" s="6" t="s">
        <v>2865</v>
      </c>
      <c r="D594" s="6" t="s">
        <v>29</v>
      </c>
      <c r="E594" s="6">
        <v>32111307</v>
      </c>
      <c r="F594" s="6" t="s">
        <v>146</v>
      </c>
      <c r="G594" s="6" t="s">
        <v>2860</v>
      </c>
      <c r="H594" s="6" t="s">
        <v>35</v>
      </c>
    </row>
    <row r="595" spans="1:8" x14ac:dyDescent="0.3">
      <c r="A595" s="6" t="s">
        <v>2858</v>
      </c>
      <c r="B595" s="6" t="s">
        <v>49</v>
      </c>
      <c r="C595" s="6" t="s">
        <v>2865</v>
      </c>
      <c r="D595" s="6" t="s">
        <v>29</v>
      </c>
      <c r="E595" s="159">
        <v>32224377</v>
      </c>
      <c r="F595" s="159" t="s">
        <v>110</v>
      </c>
      <c r="G595" s="6" t="s">
        <v>2860</v>
      </c>
      <c r="H595" s="6" t="s">
        <v>1584</v>
      </c>
    </row>
    <row r="596" spans="1:8" x14ac:dyDescent="0.3">
      <c r="A596" s="6" t="s">
        <v>2858</v>
      </c>
      <c r="B596" s="6" t="s">
        <v>49</v>
      </c>
      <c r="C596" s="6" t="s">
        <v>2865</v>
      </c>
      <c r="D596" s="6" t="s">
        <v>29</v>
      </c>
      <c r="E596" s="6">
        <v>32043891</v>
      </c>
      <c r="F596" s="6" t="s">
        <v>148</v>
      </c>
      <c r="G596" s="6" t="s">
        <v>2860</v>
      </c>
      <c r="H596" s="6" t="s">
        <v>38</v>
      </c>
    </row>
    <row r="597" spans="1:8" x14ac:dyDescent="0.3">
      <c r="A597" s="6" t="s">
        <v>2858</v>
      </c>
      <c r="B597" s="6" t="s">
        <v>67</v>
      </c>
      <c r="C597" s="6" t="s">
        <v>2865</v>
      </c>
      <c r="D597" s="6" t="s">
        <v>2882</v>
      </c>
      <c r="E597" s="159">
        <v>32045174</v>
      </c>
      <c r="F597" s="159" t="s">
        <v>68</v>
      </c>
      <c r="G597" s="6" t="s">
        <v>2344</v>
      </c>
      <c r="H597" s="6" t="s">
        <v>41</v>
      </c>
    </row>
    <row r="598" spans="1:8" x14ac:dyDescent="0.3">
      <c r="A598" s="6" t="s">
        <v>2858</v>
      </c>
      <c r="B598" s="6" t="s">
        <v>67</v>
      </c>
      <c r="C598" s="6" t="s">
        <v>2865</v>
      </c>
      <c r="D598" s="6" t="s">
        <v>29</v>
      </c>
      <c r="E598" s="6">
        <v>32222224</v>
      </c>
      <c r="F598" s="6" t="s">
        <v>52</v>
      </c>
      <c r="G598" s="6" t="s">
        <v>2860</v>
      </c>
      <c r="H598" s="6" t="s">
        <v>41</v>
      </c>
    </row>
    <row r="599" spans="1:8" x14ac:dyDescent="0.3">
      <c r="A599" s="6" t="s">
        <v>2858</v>
      </c>
      <c r="B599" s="6" t="s">
        <v>67</v>
      </c>
      <c r="C599" s="6" t="s">
        <v>2865</v>
      </c>
      <c r="D599" s="6" t="s">
        <v>83</v>
      </c>
      <c r="E599" s="6">
        <v>32149238</v>
      </c>
      <c r="F599" s="6" t="s">
        <v>54</v>
      </c>
      <c r="G599" s="6" t="s">
        <v>2860</v>
      </c>
      <c r="H599" s="6" t="s">
        <v>1584</v>
      </c>
    </row>
    <row r="600" spans="1:8" x14ac:dyDescent="0.3">
      <c r="A600" s="6" t="s">
        <v>2858</v>
      </c>
      <c r="B600" s="6" t="s">
        <v>67</v>
      </c>
      <c r="C600" s="6" t="s">
        <v>2865</v>
      </c>
      <c r="D600" s="6" t="s">
        <v>29</v>
      </c>
      <c r="E600" s="159">
        <v>32044246</v>
      </c>
      <c r="F600" s="159" t="s">
        <v>3140</v>
      </c>
      <c r="G600" s="6" t="s">
        <v>2860</v>
      </c>
      <c r="H600" s="6" t="s">
        <v>62</v>
      </c>
    </row>
    <row r="601" spans="1:8" x14ac:dyDescent="0.3">
      <c r="A601" s="6" t="s">
        <v>2858</v>
      </c>
      <c r="B601" s="6" t="s">
        <v>67</v>
      </c>
      <c r="C601" s="6" t="s">
        <v>2865</v>
      </c>
      <c r="D601" s="6" t="s">
        <v>83</v>
      </c>
      <c r="E601" s="6">
        <v>32197835</v>
      </c>
      <c r="F601" s="6" t="s">
        <v>63</v>
      </c>
      <c r="G601" s="6" t="s">
        <v>2860</v>
      </c>
      <c r="H601" s="6" t="s">
        <v>35</v>
      </c>
    </row>
    <row r="602" spans="1:8" x14ac:dyDescent="0.3">
      <c r="A602" s="6" t="s">
        <v>2858</v>
      </c>
      <c r="B602" s="6" t="s">
        <v>67</v>
      </c>
      <c r="C602" s="6" t="s">
        <v>2865</v>
      </c>
      <c r="D602" s="6" t="s">
        <v>83</v>
      </c>
      <c r="E602" s="6">
        <v>32213345</v>
      </c>
      <c r="F602" s="6" t="s">
        <v>131</v>
      </c>
      <c r="G602" s="6" t="s">
        <v>2860</v>
      </c>
      <c r="H602" s="6" t="s">
        <v>1584</v>
      </c>
    </row>
    <row r="603" spans="1:8" x14ac:dyDescent="0.3">
      <c r="A603" s="6" t="s">
        <v>2858</v>
      </c>
      <c r="B603" s="6" t="s">
        <v>67</v>
      </c>
      <c r="C603" s="6" t="s">
        <v>2865</v>
      </c>
      <c r="D603" s="6" t="s">
        <v>29</v>
      </c>
      <c r="E603" s="6">
        <v>32045396</v>
      </c>
      <c r="F603" s="6" t="s">
        <v>114</v>
      </c>
      <c r="G603" s="6" t="s">
        <v>2860</v>
      </c>
      <c r="H603" s="6" t="s">
        <v>35</v>
      </c>
    </row>
    <row r="604" spans="1:8" x14ac:dyDescent="0.3">
      <c r="A604" s="6" t="s">
        <v>2858</v>
      </c>
      <c r="B604" s="6" t="s">
        <v>67</v>
      </c>
      <c r="C604" s="6" t="s">
        <v>2865</v>
      </c>
      <c r="D604" s="6" t="s">
        <v>29</v>
      </c>
      <c r="E604" s="6">
        <v>32201712</v>
      </c>
      <c r="F604" s="6" t="s">
        <v>116</v>
      </c>
      <c r="G604" s="6" t="s">
        <v>2860</v>
      </c>
      <c r="H604" s="6" t="s">
        <v>44</v>
      </c>
    </row>
    <row r="605" spans="1:8" x14ac:dyDescent="0.3">
      <c r="A605" s="6" t="s">
        <v>2858</v>
      </c>
      <c r="B605" s="6" t="s">
        <v>67</v>
      </c>
      <c r="C605" s="6" t="s">
        <v>2865</v>
      </c>
      <c r="D605" s="6" t="s">
        <v>83</v>
      </c>
      <c r="E605" s="6">
        <v>32044513</v>
      </c>
      <c r="F605" s="6" t="s">
        <v>137</v>
      </c>
      <c r="G605" s="6" t="s">
        <v>2860</v>
      </c>
      <c r="H605" s="6" t="s">
        <v>47</v>
      </c>
    </row>
    <row r="606" spans="1:8" x14ac:dyDescent="0.3">
      <c r="A606" s="6" t="s">
        <v>2858</v>
      </c>
      <c r="B606" s="6" t="s">
        <v>67</v>
      </c>
      <c r="C606" s="6" t="s">
        <v>2865</v>
      </c>
      <c r="D606" s="6" t="s">
        <v>83</v>
      </c>
      <c r="E606" s="6">
        <v>32045357</v>
      </c>
      <c r="F606" s="6" t="s">
        <v>93</v>
      </c>
      <c r="G606" s="6" t="s">
        <v>2860</v>
      </c>
      <c r="H606" s="6" t="s">
        <v>38</v>
      </c>
    </row>
    <row r="607" spans="1:8" x14ac:dyDescent="0.3">
      <c r="A607" s="6" t="s">
        <v>2858</v>
      </c>
      <c r="B607" s="6" t="s">
        <v>67</v>
      </c>
      <c r="C607" s="6" t="s">
        <v>2865</v>
      </c>
      <c r="D607" s="6" t="s">
        <v>83</v>
      </c>
      <c r="E607" s="159">
        <v>32188513</v>
      </c>
      <c r="F607" s="159" t="s">
        <v>3141</v>
      </c>
      <c r="G607" s="6" t="s">
        <v>2860</v>
      </c>
      <c r="H607" s="6" t="s">
        <v>44</v>
      </c>
    </row>
    <row r="608" spans="1:8" x14ac:dyDescent="0.3">
      <c r="A608" s="6" t="s">
        <v>2858</v>
      </c>
      <c r="B608" s="6" t="s">
        <v>67</v>
      </c>
      <c r="C608" s="6" t="s">
        <v>2865</v>
      </c>
      <c r="D608" s="6" t="s">
        <v>29</v>
      </c>
      <c r="E608" s="6">
        <v>32045076</v>
      </c>
      <c r="F608" s="6" t="s">
        <v>79</v>
      </c>
      <c r="G608" s="6" t="s">
        <v>2860</v>
      </c>
      <c r="H608" s="6" t="s">
        <v>44</v>
      </c>
    </row>
    <row r="609" spans="1:8" x14ac:dyDescent="0.3">
      <c r="A609" s="6" t="s">
        <v>2858</v>
      </c>
      <c r="B609" s="6" t="s">
        <v>67</v>
      </c>
      <c r="C609" s="6" t="s">
        <v>2865</v>
      </c>
      <c r="D609" s="6" t="s">
        <v>83</v>
      </c>
      <c r="E609" s="6">
        <v>32045149</v>
      </c>
      <c r="F609" s="6" t="s">
        <v>161</v>
      </c>
      <c r="G609" s="6" t="s">
        <v>2860</v>
      </c>
      <c r="H609" s="6" t="s">
        <v>62</v>
      </c>
    </row>
    <row r="610" spans="1:8" x14ac:dyDescent="0.3">
      <c r="A610" s="6" t="s">
        <v>2858</v>
      </c>
      <c r="B610" s="6" t="s">
        <v>67</v>
      </c>
      <c r="C610" s="6" t="s">
        <v>2865</v>
      </c>
      <c r="D610" s="6" t="s">
        <v>29</v>
      </c>
      <c r="E610" s="159">
        <v>32154634</v>
      </c>
      <c r="F610" s="159" t="s">
        <v>3142</v>
      </c>
      <c r="G610" s="6" t="s">
        <v>2860</v>
      </c>
      <c r="H610" s="6" t="s">
        <v>41</v>
      </c>
    </row>
    <row r="611" spans="1:8" x14ac:dyDescent="0.3">
      <c r="A611" s="6" t="s">
        <v>2858</v>
      </c>
      <c r="B611" s="6" t="s">
        <v>67</v>
      </c>
      <c r="C611" s="6" t="s">
        <v>2865</v>
      </c>
      <c r="D611" s="6" t="s">
        <v>29</v>
      </c>
      <c r="E611" s="6">
        <v>32043902</v>
      </c>
      <c r="F611" s="6" t="s">
        <v>118</v>
      </c>
      <c r="G611" s="6" t="s">
        <v>2860</v>
      </c>
      <c r="H611" s="6" t="s">
        <v>62</v>
      </c>
    </row>
    <row r="612" spans="1:8" x14ac:dyDescent="0.3">
      <c r="A612" s="6" t="s">
        <v>2858</v>
      </c>
      <c r="B612" s="6" t="s">
        <v>67</v>
      </c>
      <c r="C612" s="6" t="s">
        <v>2865</v>
      </c>
      <c r="D612" s="6" t="s">
        <v>29</v>
      </c>
      <c r="E612" s="159">
        <v>32231910</v>
      </c>
      <c r="F612" s="159" t="s">
        <v>3143</v>
      </c>
      <c r="G612" s="6" t="s">
        <v>2860</v>
      </c>
      <c r="H612" s="6" t="s">
        <v>38</v>
      </c>
    </row>
    <row r="613" spans="1:8" x14ac:dyDescent="0.3">
      <c r="A613" s="6" t="s">
        <v>2858</v>
      </c>
      <c r="B613" s="6" t="s">
        <v>67</v>
      </c>
      <c r="C613" s="6" t="s">
        <v>2865</v>
      </c>
      <c r="D613" s="6" t="s">
        <v>29</v>
      </c>
      <c r="E613" s="6">
        <v>32188009</v>
      </c>
      <c r="F613" s="6" t="s">
        <v>45</v>
      </c>
      <c r="G613" s="6" t="s">
        <v>2860</v>
      </c>
      <c r="H613" s="6" t="s">
        <v>47</v>
      </c>
    </row>
    <row r="614" spans="1:8" x14ac:dyDescent="0.3">
      <c r="A614" s="6" t="s">
        <v>2858</v>
      </c>
      <c r="B614" s="6" t="s">
        <v>277</v>
      </c>
      <c r="C614" s="6" t="s">
        <v>2865</v>
      </c>
      <c r="D614" s="6">
        <v>0</v>
      </c>
      <c r="E614" s="6">
        <v>32197423</v>
      </c>
      <c r="F614" s="6" t="s">
        <v>280</v>
      </c>
      <c r="G614" s="6" t="s">
        <v>2860</v>
      </c>
      <c r="H614" s="6" t="s">
        <v>62</v>
      </c>
    </row>
    <row r="615" spans="1:8" x14ac:dyDescent="0.3">
      <c r="A615" s="6" t="s">
        <v>2858</v>
      </c>
      <c r="B615" s="6" t="s">
        <v>277</v>
      </c>
      <c r="C615" s="6" t="s">
        <v>2865</v>
      </c>
      <c r="D615" s="6">
        <v>0</v>
      </c>
      <c r="E615" s="6">
        <v>32233326</v>
      </c>
      <c r="F615" s="6" t="s">
        <v>3144</v>
      </c>
      <c r="G615" s="6" t="s">
        <v>2860</v>
      </c>
      <c r="H615" s="6" t="s">
        <v>44</v>
      </c>
    </row>
    <row r="616" spans="1:8" x14ac:dyDescent="0.3">
      <c r="A616" s="6" t="s">
        <v>2858</v>
      </c>
      <c r="B616" s="6" t="s">
        <v>277</v>
      </c>
      <c r="C616" s="6" t="s">
        <v>2865</v>
      </c>
      <c r="D616" s="6">
        <v>0</v>
      </c>
      <c r="E616" s="6">
        <v>32044788</v>
      </c>
      <c r="F616" s="6" t="s">
        <v>3145</v>
      </c>
      <c r="G616" s="6" t="s">
        <v>2860</v>
      </c>
      <c r="H616" s="6" t="s">
        <v>62</v>
      </c>
    </row>
    <row r="617" spans="1:8" x14ac:dyDescent="0.3">
      <c r="A617" s="6" t="s">
        <v>2858</v>
      </c>
      <c r="B617" s="6" t="s">
        <v>277</v>
      </c>
      <c r="C617" s="6" t="s">
        <v>2865</v>
      </c>
      <c r="D617" s="6">
        <v>0</v>
      </c>
      <c r="E617" s="6">
        <v>32202297</v>
      </c>
      <c r="F617" s="6" t="s">
        <v>333</v>
      </c>
      <c r="G617" s="6" t="s">
        <v>2860</v>
      </c>
      <c r="H617" s="6" t="s">
        <v>44</v>
      </c>
    </row>
    <row r="618" spans="1:8" x14ac:dyDescent="0.3">
      <c r="A618" s="6" t="s">
        <v>2858</v>
      </c>
      <c r="B618" s="6" t="s">
        <v>277</v>
      </c>
      <c r="C618" s="6" t="s">
        <v>2865</v>
      </c>
      <c r="D618" s="6">
        <v>0</v>
      </c>
      <c r="E618" s="6">
        <v>32218817</v>
      </c>
      <c r="F618" s="6" t="s">
        <v>3146</v>
      </c>
      <c r="G618" s="6" t="s">
        <v>2860</v>
      </c>
      <c r="H618" s="6" t="s">
        <v>41</v>
      </c>
    </row>
    <row r="619" spans="1:8" x14ac:dyDescent="0.3">
      <c r="A619" s="6" t="s">
        <v>2858</v>
      </c>
      <c r="B619" s="6" t="s">
        <v>277</v>
      </c>
      <c r="C619" s="6" t="s">
        <v>2865</v>
      </c>
      <c r="D619" s="6">
        <v>0</v>
      </c>
      <c r="E619" s="6">
        <v>32043796</v>
      </c>
      <c r="F619" s="6" t="s">
        <v>282</v>
      </c>
      <c r="G619" s="6" t="s">
        <v>2860</v>
      </c>
      <c r="H619" s="6" t="s">
        <v>35</v>
      </c>
    </row>
    <row r="620" spans="1:8" x14ac:dyDescent="0.3">
      <c r="A620" s="6" t="s">
        <v>2858</v>
      </c>
      <c r="B620" s="6" t="s">
        <v>277</v>
      </c>
      <c r="C620" s="6" t="s">
        <v>2865</v>
      </c>
      <c r="D620" s="6">
        <v>0</v>
      </c>
      <c r="E620" s="6">
        <v>32148922</v>
      </c>
      <c r="F620" s="6" t="s">
        <v>284</v>
      </c>
      <c r="G620" s="6" t="s">
        <v>2860</v>
      </c>
      <c r="H620" s="6" t="s">
        <v>1584</v>
      </c>
    </row>
    <row r="621" spans="1:8" x14ac:dyDescent="0.3">
      <c r="A621" s="6" t="s">
        <v>2858</v>
      </c>
      <c r="B621" s="6" t="s">
        <v>277</v>
      </c>
      <c r="C621" s="6" t="s">
        <v>2865</v>
      </c>
      <c r="D621" s="6">
        <v>0</v>
      </c>
      <c r="E621" s="6">
        <v>32044838</v>
      </c>
      <c r="F621" s="6" t="s">
        <v>289</v>
      </c>
      <c r="G621" s="6" t="s">
        <v>2860</v>
      </c>
      <c r="H621" s="6" t="s">
        <v>38</v>
      </c>
    </row>
    <row r="622" spans="1:8" x14ac:dyDescent="0.3">
      <c r="A622" s="6" t="s">
        <v>2858</v>
      </c>
      <c r="B622" s="6" t="s">
        <v>277</v>
      </c>
      <c r="C622" s="6" t="s">
        <v>2865</v>
      </c>
      <c r="D622" s="6">
        <v>0</v>
      </c>
      <c r="E622" s="6">
        <v>32237830</v>
      </c>
      <c r="F622" s="6" t="s">
        <v>3147</v>
      </c>
      <c r="G622" s="6" t="s">
        <v>2860</v>
      </c>
      <c r="H622" s="6" t="s">
        <v>47</v>
      </c>
    </row>
    <row r="623" spans="1:8" x14ac:dyDescent="0.3">
      <c r="A623" s="6" t="s">
        <v>2858</v>
      </c>
      <c r="B623" s="6" t="s">
        <v>277</v>
      </c>
      <c r="C623" s="6" t="s">
        <v>2865</v>
      </c>
      <c r="D623" s="6" t="s">
        <v>2882</v>
      </c>
      <c r="E623" s="6">
        <v>32174889</v>
      </c>
      <c r="F623" s="6" t="s">
        <v>278</v>
      </c>
      <c r="G623" s="6" t="s">
        <v>2344</v>
      </c>
      <c r="H623" s="6" t="s">
        <v>2882</v>
      </c>
    </row>
    <row r="624" spans="1:8" x14ac:dyDescent="0.3">
      <c r="A624" s="6" t="s">
        <v>2858</v>
      </c>
      <c r="B624" s="6" t="s">
        <v>2030</v>
      </c>
      <c r="C624" s="6" t="s">
        <v>2864</v>
      </c>
      <c r="D624" s="6" t="s">
        <v>1991</v>
      </c>
      <c r="E624" s="6">
        <v>32043794</v>
      </c>
      <c r="F624" s="6" t="s">
        <v>2033</v>
      </c>
      <c r="G624" s="6" t="s">
        <v>2860</v>
      </c>
      <c r="H624" s="6" t="s">
        <v>44</v>
      </c>
    </row>
    <row r="625" spans="1:8" x14ac:dyDescent="0.3">
      <c r="A625" s="6" t="s">
        <v>2858</v>
      </c>
      <c r="B625" s="6" t="s">
        <v>2030</v>
      </c>
      <c r="C625" s="6" t="s">
        <v>2864</v>
      </c>
      <c r="D625" s="6" t="s">
        <v>1991</v>
      </c>
      <c r="E625" s="6">
        <v>32181713</v>
      </c>
      <c r="F625" s="6" t="s">
        <v>2035</v>
      </c>
      <c r="G625" s="6" t="s">
        <v>2860</v>
      </c>
      <c r="H625" s="6" t="s">
        <v>38</v>
      </c>
    </row>
    <row r="626" spans="1:8" x14ac:dyDescent="0.3">
      <c r="A626" s="6" t="s">
        <v>2858</v>
      </c>
      <c r="B626" s="6" t="s">
        <v>2030</v>
      </c>
      <c r="C626" s="6" t="s">
        <v>2864</v>
      </c>
      <c r="D626" s="6" t="s">
        <v>1991</v>
      </c>
      <c r="E626" s="6">
        <v>32043868</v>
      </c>
      <c r="F626" s="6" t="s">
        <v>2037</v>
      </c>
      <c r="G626" s="6" t="s">
        <v>2860</v>
      </c>
      <c r="H626" s="6" t="s">
        <v>35</v>
      </c>
    </row>
    <row r="627" spans="1:8" x14ac:dyDescent="0.3">
      <c r="A627" s="6" t="s">
        <v>2858</v>
      </c>
      <c r="B627" s="6" t="s">
        <v>2030</v>
      </c>
      <c r="C627" s="6" t="s">
        <v>2864</v>
      </c>
      <c r="D627" s="6" t="s">
        <v>1991</v>
      </c>
      <c r="E627" s="6">
        <v>32233422</v>
      </c>
      <c r="F627" s="6" t="s">
        <v>2039</v>
      </c>
      <c r="G627" s="6" t="s">
        <v>2860</v>
      </c>
      <c r="H627" s="6" t="s">
        <v>41</v>
      </c>
    </row>
    <row r="628" spans="1:8" x14ac:dyDescent="0.3">
      <c r="A628" s="6" t="s">
        <v>2858</v>
      </c>
      <c r="B628" s="6" t="s">
        <v>2030</v>
      </c>
      <c r="C628" s="6" t="s">
        <v>2864</v>
      </c>
      <c r="D628" s="6" t="s">
        <v>2882</v>
      </c>
      <c r="E628" s="6">
        <v>32044637</v>
      </c>
      <c r="F628" s="6" t="s">
        <v>2031</v>
      </c>
      <c r="G628" s="6" t="s">
        <v>2344</v>
      </c>
      <c r="H628" s="6" t="s">
        <v>2882</v>
      </c>
    </row>
    <row r="629" spans="1:8" x14ac:dyDescent="0.3">
      <c r="A629" s="6" t="s">
        <v>2858</v>
      </c>
      <c r="B629" s="6" t="s">
        <v>120</v>
      </c>
      <c r="C629" s="6" t="s">
        <v>2865</v>
      </c>
      <c r="D629" s="6" t="s">
        <v>83</v>
      </c>
      <c r="E629" s="6">
        <v>32144776</v>
      </c>
      <c r="F629" s="6" t="s">
        <v>87</v>
      </c>
      <c r="G629" s="6" t="s">
        <v>2860</v>
      </c>
      <c r="H629" s="6" t="s">
        <v>44</v>
      </c>
    </row>
    <row r="630" spans="1:8" x14ac:dyDescent="0.3">
      <c r="A630" s="6" t="s">
        <v>2858</v>
      </c>
      <c r="B630" s="6" t="s">
        <v>120</v>
      </c>
      <c r="C630" s="6" t="s">
        <v>2865</v>
      </c>
      <c r="D630" s="6" t="s">
        <v>83</v>
      </c>
      <c r="E630" s="6">
        <v>32196366</v>
      </c>
      <c r="F630" s="6" t="s">
        <v>89</v>
      </c>
      <c r="G630" s="6" t="s">
        <v>2860</v>
      </c>
      <c r="H630" s="6" t="s">
        <v>62</v>
      </c>
    </row>
    <row r="631" spans="1:8" x14ac:dyDescent="0.3">
      <c r="A631" s="6" t="s">
        <v>2858</v>
      </c>
      <c r="B631" s="6" t="s">
        <v>120</v>
      </c>
      <c r="C631" s="6" t="s">
        <v>2865</v>
      </c>
      <c r="D631" s="6" t="s">
        <v>29</v>
      </c>
      <c r="E631" s="6">
        <v>32224001</v>
      </c>
      <c r="F631" s="6" t="s">
        <v>3148</v>
      </c>
      <c r="G631" s="6" t="s">
        <v>2860</v>
      </c>
      <c r="H631" s="6" t="s">
        <v>41</v>
      </c>
    </row>
    <row r="632" spans="1:8" x14ac:dyDescent="0.3">
      <c r="A632" s="6" t="s">
        <v>2858</v>
      </c>
      <c r="B632" s="6" t="s">
        <v>120</v>
      </c>
      <c r="C632" s="6" t="s">
        <v>2865</v>
      </c>
      <c r="D632" s="6" t="s">
        <v>29</v>
      </c>
      <c r="E632" s="159">
        <v>32231307</v>
      </c>
      <c r="F632" s="159" t="s">
        <v>3149</v>
      </c>
      <c r="G632" s="6" t="s">
        <v>2860</v>
      </c>
      <c r="H632" s="6" t="s">
        <v>35</v>
      </c>
    </row>
    <row r="633" spans="1:8" x14ac:dyDescent="0.3">
      <c r="A633" s="6" t="s">
        <v>2858</v>
      </c>
      <c r="B633" s="6" t="s">
        <v>120</v>
      </c>
      <c r="C633" s="6" t="s">
        <v>2865</v>
      </c>
      <c r="D633" s="6" t="s">
        <v>29</v>
      </c>
      <c r="E633" s="6">
        <v>32201713</v>
      </c>
      <c r="F633" s="6" t="s">
        <v>112</v>
      </c>
      <c r="G633" s="6" t="s">
        <v>2860</v>
      </c>
      <c r="H633" s="6" t="s">
        <v>47</v>
      </c>
    </row>
    <row r="634" spans="1:8" x14ac:dyDescent="0.3">
      <c r="A634" s="6" t="s">
        <v>2858</v>
      </c>
      <c r="B634" s="6" t="s">
        <v>120</v>
      </c>
      <c r="C634" s="6" t="s">
        <v>2865</v>
      </c>
      <c r="D634" s="6" t="s">
        <v>29</v>
      </c>
      <c r="E634" s="6">
        <v>32045410</v>
      </c>
      <c r="F634" s="6" t="s">
        <v>101</v>
      </c>
      <c r="G634" s="6" t="s">
        <v>2860</v>
      </c>
      <c r="H634" s="6" t="s">
        <v>62</v>
      </c>
    </row>
    <row r="635" spans="1:8" x14ac:dyDescent="0.3">
      <c r="A635" s="6" t="s">
        <v>2858</v>
      </c>
      <c r="B635" s="6" t="s">
        <v>120</v>
      </c>
      <c r="C635" s="6" t="s">
        <v>2865</v>
      </c>
      <c r="D635" s="6" t="s">
        <v>83</v>
      </c>
      <c r="E635" s="159">
        <v>32196674</v>
      </c>
      <c r="F635" s="159" t="s">
        <v>198</v>
      </c>
      <c r="G635" s="6" t="s">
        <v>2860</v>
      </c>
      <c r="H635" s="6" t="s">
        <v>35</v>
      </c>
    </row>
    <row r="636" spans="1:8" x14ac:dyDescent="0.3">
      <c r="A636" s="6" t="s">
        <v>2858</v>
      </c>
      <c r="B636" s="6" t="s">
        <v>120</v>
      </c>
      <c r="C636" s="6" t="s">
        <v>2865</v>
      </c>
      <c r="D636" s="6" t="s">
        <v>29</v>
      </c>
      <c r="E636" s="6">
        <v>32149605</v>
      </c>
      <c r="F636" s="6" t="s">
        <v>36</v>
      </c>
      <c r="G636" s="6" t="s">
        <v>2860</v>
      </c>
      <c r="H636" s="6" t="s">
        <v>41</v>
      </c>
    </row>
    <row r="637" spans="1:8" x14ac:dyDescent="0.3">
      <c r="A637" s="6" t="s">
        <v>2858</v>
      </c>
      <c r="B637" s="6" t="s">
        <v>120</v>
      </c>
      <c r="C637" s="6" t="s">
        <v>2865</v>
      </c>
      <c r="D637" s="6" t="s">
        <v>83</v>
      </c>
      <c r="E637" s="6">
        <v>32144778</v>
      </c>
      <c r="F637" s="6" t="s">
        <v>91</v>
      </c>
      <c r="G637" s="6" t="s">
        <v>2860</v>
      </c>
      <c r="H637" s="6" t="s">
        <v>38</v>
      </c>
    </row>
    <row r="638" spans="1:8" x14ac:dyDescent="0.3">
      <c r="A638" s="6" t="s">
        <v>2858</v>
      </c>
      <c r="B638" s="6" t="s">
        <v>120</v>
      </c>
      <c r="C638" s="6" t="s">
        <v>2865</v>
      </c>
      <c r="D638" s="6" t="s">
        <v>29</v>
      </c>
      <c r="E638" s="6">
        <v>32209922</v>
      </c>
      <c r="F638" s="6" t="s">
        <v>73</v>
      </c>
      <c r="G638" s="6" t="s">
        <v>2860</v>
      </c>
      <c r="H638" s="6" t="s">
        <v>44</v>
      </c>
    </row>
    <row r="639" spans="1:8" x14ac:dyDescent="0.3">
      <c r="A639" s="6" t="s">
        <v>2858</v>
      </c>
      <c r="B639" s="6" t="s">
        <v>120</v>
      </c>
      <c r="C639" s="6" t="s">
        <v>2865</v>
      </c>
      <c r="D639" s="6" t="s">
        <v>29</v>
      </c>
      <c r="E639" s="6">
        <v>32045128</v>
      </c>
      <c r="F639" s="6" t="s">
        <v>42</v>
      </c>
      <c r="G639" s="6" t="s">
        <v>2860</v>
      </c>
      <c r="H639" s="6" t="s">
        <v>38</v>
      </c>
    </row>
    <row r="640" spans="1:8" x14ac:dyDescent="0.3">
      <c r="A640" s="6" t="s">
        <v>2858</v>
      </c>
      <c r="B640" s="6" t="s">
        <v>120</v>
      </c>
      <c r="C640" s="6" t="s">
        <v>2865</v>
      </c>
      <c r="D640" s="6" t="s">
        <v>29</v>
      </c>
      <c r="E640" s="6">
        <v>32222223</v>
      </c>
      <c r="F640" s="6" t="s">
        <v>144</v>
      </c>
      <c r="G640" s="6" t="s">
        <v>2860</v>
      </c>
      <c r="H640" s="6" t="s">
        <v>1584</v>
      </c>
    </row>
    <row r="641" spans="1:8" x14ac:dyDescent="0.3">
      <c r="A641" s="6" t="s">
        <v>2858</v>
      </c>
      <c r="B641" s="6" t="s">
        <v>120</v>
      </c>
      <c r="C641" s="6" t="s">
        <v>2865</v>
      </c>
      <c r="D641" s="6" t="s">
        <v>83</v>
      </c>
      <c r="E641" s="6">
        <v>32222222</v>
      </c>
      <c r="F641" s="6" t="s">
        <v>81</v>
      </c>
      <c r="G641" s="6" t="s">
        <v>2860</v>
      </c>
      <c r="H641" s="6" t="s">
        <v>47</v>
      </c>
    </row>
    <row r="642" spans="1:8" x14ac:dyDescent="0.3">
      <c r="A642" s="6" t="s">
        <v>2858</v>
      </c>
      <c r="B642" s="6" t="s">
        <v>120</v>
      </c>
      <c r="C642" s="6" t="s">
        <v>2865</v>
      </c>
      <c r="D642" s="6" t="s">
        <v>83</v>
      </c>
      <c r="E642" s="6">
        <v>32044776</v>
      </c>
      <c r="F642" s="6" t="s">
        <v>94</v>
      </c>
      <c r="G642" s="6" t="s">
        <v>2860</v>
      </c>
      <c r="H642" s="6" t="s">
        <v>35</v>
      </c>
    </row>
    <row r="643" spans="1:8" x14ac:dyDescent="0.3">
      <c r="A643" s="6" t="s">
        <v>2858</v>
      </c>
      <c r="B643" s="6" t="s">
        <v>120</v>
      </c>
      <c r="C643" s="6" t="s">
        <v>2865</v>
      </c>
      <c r="D643" s="6" t="s">
        <v>83</v>
      </c>
      <c r="E643" s="159">
        <v>32231911</v>
      </c>
      <c r="F643" s="159" t="s">
        <v>3150</v>
      </c>
      <c r="G643" s="6" t="s">
        <v>2860</v>
      </c>
      <c r="H643" s="6" t="s">
        <v>47</v>
      </c>
    </row>
    <row r="644" spans="1:8" x14ac:dyDescent="0.3">
      <c r="A644" s="6" t="s">
        <v>2858</v>
      </c>
      <c r="B644" s="6" t="s">
        <v>120</v>
      </c>
      <c r="C644" s="6" t="s">
        <v>2865</v>
      </c>
      <c r="D644" s="6" t="s">
        <v>2882</v>
      </c>
      <c r="E644" s="159">
        <v>32146677</v>
      </c>
      <c r="F644" s="159" t="s">
        <v>121</v>
      </c>
      <c r="G644" s="6" t="s">
        <v>2344</v>
      </c>
      <c r="H644" s="6" t="s">
        <v>38</v>
      </c>
    </row>
    <row r="645" spans="1:8" x14ac:dyDescent="0.3">
      <c r="A645" s="6" t="s">
        <v>2858</v>
      </c>
      <c r="B645" s="6" t="s">
        <v>1819</v>
      </c>
      <c r="C645" s="6" t="s">
        <v>2869</v>
      </c>
      <c r="D645" s="6" t="s">
        <v>1818</v>
      </c>
      <c r="E645" s="6">
        <v>32044598</v>
      </c>
      <c r="F645" s="6" t="s">
        <v>1830</v>
      </c>
      <c r="G645" s="6" t="s">
        <v>2860</v>
      </c>
      <c r="H645" s="6" t="s">
        <v>35</v>
      </c>
    </row>
    <row r="646" spans="1:8" x14ac:dyDescent="0.3">
      <c r="A646" s="6" t="s">
        <v>2858</v>
      </c>
      <c r="B646" s="6" t="s">
        <v>1819</v>
      </c>
      <c r="C646" s="6" t="s">
        <v>2869</v>
      </c>
      <c r="D646" s="6" t="s">
        <v>1818</v>
      </c>
      <c r="E646" s="6">
        <v>32091768</v>
      </c>
      <c r="F646" s="6" t="s">
        <v>1829</v>
      </c>
      <c r="G646" s="6" t="s">
        <v>2860</v>
      </c>
      <c r="H646" s="6" t="s">
        <v>47</v>
      </c>
    </row>
    <row r="647" spans="1:8" x14ac:dyDescent="0.3">
      <c r="A647" s="6" t="s">
        <v>2858</v>
      </c>
      <c r="B647" s="6" t="s">
        <v>1819</v>
      </c>
      <c r="C647" s="6" t="s">
        <v>2869</v>
      </c>
      <c r="D647" s="6" t="s">
        <v>1818</v>
      </c>
      <c r="E647" s="6">
        <v>32046427</v>
      </c>
      <c r="F647" s="6" t="s">
        <v>1828</v>
      </c>
      <c r="G647" s="6" t="s">
        <v>2860</v>
      </c>
      <c r="H647" s="6" t="s">
        <v>62</v>
      </c>
    </row>
    <row r="648" spans="1:8" x14ac:dyDescent="0.3">
      <c r="A648" s="6" t="s">
        <v>2858</v>
      </c>
      <c r="B648" s="6" t="s">
        <v>1819</v>
      </c>
      <c r="C648" s="6" t="s">
        <v>2869</v>
      </c>
      <c r="D648" s="6" t="s">
        <v>1818</v>
      </c>
      <c r="E648" s="6">
        <v>32046333</v>
      </c>
      <c r="F648" s="6" t="s">
        <v>1827</v>
      </c>
      <c r="G648" s="6" t="s">
        <v>2860</v>
      </c>
      <c r="H648" s="6" t="s">
        <v>1584</v>
      </c>
    </row>
    <row r="649" spans="1:8" x14ac:dyDescent="0.3">
      <c r="A649" s="6" t="s">
        <v>2858</v>
      </c>
      <c r="B649" s="6" t="s">
        <v>1819</v>
      </c>
      <c r="C649" s="6" t="s">
        <v>2869</v>
      </c>
      <c r="D649" s="6" t="s">
        <v>1818</v>
      </c>
      <c r="E649" s="6">
        <v>32046091</v>
      </c>
      <c r="F649" s="6" t="s">
        <v>1826</v>
      </c>
      <c r="G649" s="6" t="s">
        <v>2860</v>
      </c>
      <c r="H649" s="6" t="s">
        <v>38</v>
      </c>
    </row>
    <row r="650" spans="1:8" x14ac:dyDescent="0.3">
      <c r="A650" s="6" t="s">
        <v>2858</v>
      </c>
      <c r="B650" s="6" t="s">
        <v>1819</v>
      </c>
      <c r="C650" s="6" t="s">
        <v>2869</v>
      </c>
      <c r="D650" s="6" t="s">
        <v>1818</v>
      </c>
      <c r="E650" s="6">
        <v>32044948</v>
      </c>
      <c r="F650" s="6" t="s">
        <v>1825</v>
      </c>
      <c r="G650" s="6" t="s">
        <v>2860</v>
      </c>
      <c r="H650" s="6" t="s">
        <v>35</v>
      </c>
    </row>
    <row r="651" spans="1:8" x14ac:dyDescent="0.3">
      <c r="A651" s="6" t="s">
        <v>2858</v>
      </c>
      <c r="B651" s="6" t="s">
        <v>1819</v>
      </c>
      <c r="C651" s="6" t="s">
        <v>2869</v>
      </c>
      <c r="D651" s="6" t="s">
        <v>1818</v>
      </c>
      <c r="E651" s="6">
        <v>32044587</v>
      </c>
      <c r="F651" s="6" t="s">
        <v>1824</v>
      </c>
      <c r="G651" s="6" t="s">
        <v>2860</v>
      </c>
      <c r="H651" s="6" t="s">
        <v>44</v>
      </c>
    </row>
    <row r="652" spans="1:8" x14ac:dyDescent="0.3">
      <c r="A652" s="6" t="s">
        <v>2858</v>
      </c>
      <c r="B652" s="6" t="s">
        <v>1819</v>
      </c>
      <c r="C652" s="6" t="s">
        <v>2869</v>
      </c>
      <c r="D652" s="6" t="s">
        <v>1818</v>
      </c>
      <c r="E652" s="6">
        <v>32045738</v>
      </c>
      <c r="F652" s="6" t="s">
        <v>1823</v>
      </c>
      <c r="G652" s="6" t="s">
        <v>2860</v>
      </c>
      <c r="H652" s="6" t="s">
        <v>41</v>
      </c>
    </row>
    <row r="653" spans="1:8" x14ac:dyDescent="0.3">
      <c r="A653" s="6" t="s">
        <v>2858</v>
      </c>
      <c r="B653" s="6" t="s">
        <v>1819</v>
      </c>
      <c r="C653" s="6" t="s">
        <v>2869</v>
      </c>
      <c r="D653" s="6" t="s">
        <v>1818</v>
      </c>
      <c r="E653" s="6">
        <v>32068982</v>
      </c>
      <c r="F653" s="6" t="s">
        <v>1822</v>
      </c>
      <c r="G653" s="6" t="s">
        <v>2860</v>
      </c>
      <c r="H653" s="6" t="s">
        <v>41</v>
      </c>
    </row>
    <row r="654" spans="1:8" x14ac:dyDescent="0.3">
      <c r="A654" s="6" t="s">
        <v>2858</v>
      </c>
      <c r="B654" s="6" t="s">
        <v>1819</v>
      </c>
      <c r="C654" s="6" t="s">
        <v>2869</v>
      </c>
      <c r="D654" s="6" t="s">
        <v>1818</v>
      </c>
      <c r="E654" s="6">
        <v>32092191</v>
      </c>
      <c r="F654" s="6" t="s">
        <v>1821</v>
      </c>
      <c r="G654" s="6" t="s">
        <v>2860</v>
      </c>
      <c r="H654" s="6" t="s">
        <v>47</v>
      </c>
    </row>
    <row r="655" spans="1:8" x14ac:dyDescent="0.3">
      <c r="A655" s="6" t="s">
        <v>2858</v>
      </c>
      <c r="B655" s="6" t="s">
        <v>1819</v>
      </c>
      <c r="C655" s="6" t="s">
        <v>2869</v>
      </c>
      <c r="D655" s="6" t="s">
        <v>2882</v>
      </c>
      <c r="E655" s="6">
        <v>32218551</v>
      </c>
      <c r="F655" s="6" t="s">
        <v>1820</v>
      </c>
      <c r="G655" s="6" t="s">
        <v>2344</v>
      </c>
      <c r="H655" s="6" t="s">
        <v>2882</v>
      </c>
    </row>
    <row r="656" spans="1:8" x14ac:dyDescent="0.3">
      <c r="A656" s="6" t="s">
        <v>2858</v>
      </c>
      <c r="B656" s="6" t="s">
        <v>3151</v>
      </c>
      <c r="C656" s="6" t="s">
        <v>2869</v>
      </c>
      <c r="D656" s="6" t="s">
        <v>1614</v>
      </c>
      <c r="E656" s="6">
        <v>32045303</v>
      </c>
      <c r="F656" s="6" t="s">
        <v>3152</v>
      </c>
      <c r="G656" s="6" t="s">
        <v>2860</v>
      </c>
      <c r="H656" s="6" t="s">
        <v>38</v>
      </c>
    </row>
    <row r="657" spans="1:8" x14ac:dyDescent="0.3">
      <c r="A657" s="6" t="s">
        <v>2858</v>
      </c>
      <c r="B657" s="6" t="s">
        <v>3151</v>
      </c>
      <c r="C657" s="6" t="s">
        <v>2869</v>
      </c>
      <c r="D657" s="6" t="s">
        <v>1614</v>
      </c>
      <c r="E657" s="6">
        <v>32045999</v>
      </c>
      <c r="F657" s="6" t="s">
        <v>3153</v>
      </c>
      <c r="G657" s="6" t="s">
        <v>2860</v>
      </c>
      <c r="H657" s="6" t="s">
        <v>44</v>
      </c>
    </row>
    <row r="658" spans="1:8" x14ac:dyDescent="0.3">
      <c r="A658" s="6" t="s">
        <v>2858</v>
      </c>
      <c r="B658" s="6" t="s">
        <v>3151</v>
      </c>
      <c r="C658" s="6" t="s">
        <v>2869</v>
      </c>
      <c r="D658" s="6" t="s">
        <v>1614</v>
      </c>
      <c r="E658" s="6">
        <v>32057506</v>
      </c>
      <c r="F658" s="6" t="s">
        <v>3154</v>
      </c>
      <c r="G658" s="6" t="s">
        <v>2860</v>
      </c>
      <c r="H658" s="6" t="s">
        <v>44</v>
      </c>
    </row>
    <row r="659" spans="1:8" x14ac:dyDescent="0.3">
      <c r="A659" s="6" t="s">
        <v>2858</v>
      </c>
      <c r="B659" s="6" t="s">
        <v>3151</v>
      </c>
      <c r="C659" s="6" t="s">
        <v>2869</v>
      </c>
      <c r="D659" s="6" t="s">
        <v>1614</v>
      </c>
      <c r="E659" s="6">
        <v>32043944</v>
      </c>
      <c r="F659" s="6" t="s">
        <v>3155</v>
      </c>
      <c r="G659" s="6" t="s">
        <v>2860</v>
      </c>
      <c r="H659" s="6" t="s">
        <v>35</v>
      </c>
    </row>
    <row r="660" spans="1:8" x14ac:dyDescent="0.3">
      <c r="A660" s="6" t="s">
        <v>2858</v>
      </c>
      <c r="B660" s="6" t="s">
        <v>3151</v>
      </c>
      <c r="C660" s="6" t="s">
        <v>2869</v>
      </c>
      <c r="D660" s="6" t="s">
        <v>1614</v>
      </c>
      <c r="E660" s="6">
        <v>32044856</v>
      </c>
      <c r="F660" s="6" t="s">
        <v>3156</v>
      </c>
      <c r="G660" s="6" t="s">
        <v>2860</v>
      </c>
      <c r="H660" s="6" t="s">
        <v>44</v>
      </c>
    </row>
    <row r="661" spans="1:8" x14ac:dyDescent="0.3">
      <c r="A661" s="6" t="s">
        <v>2858</v>
      </c>
      <c r="B661" s="6" t="s">
        <v>3151</v>
      </c>
      <c r="C661" s="6" t="s">
        <v>2869</v>
      </c>
      <c r="D661" s="6" t="s">
        <v>1614</v>
      </c>
      <c r="E661" s="6">
        <v>32043830</v>
      </c>
      <c r="F661" s="6" t="s">
        <v>2402</v>
      </c>
      <c r="G661" s="6" t="s">
        <v>2860</v>
      </c>
      <c r="H661" s="6" t="s">
        <v>38</v>
      </c>
    </row>
    <row r="662" spans="1:8" x14ac:dyDescent="0.3">
      <c r="A662" s="6" t="s">
        <v>2858</v>
      </c>
      <c r="B662" s="6" t="s">
        <v>3151</v>
      </c>
      <c r="C662" s="6" t="s">
        <v>2869</v>
      </c>
      <c r="D662" s="6" t="s">
        <v>1614</v>
      </c>
      <c r="E662" s="6">
        <v>32198243</v>
      </c>
      <c r="F662" s="6" t="s">
        <v>3157</v>
      </c>
      <c r="G662" s="6" t="s">
        <v>2860</v>
      </c>
      <c r="H662" s="6" t="s">
        <v>1584</v>
      </c>
    </row>
    <row r="663" spans="1:8" x14ac:dyDescent="0.3">
      <c r="A663" s="6" t="s">
        <v>2858</v>
      </c>
      <c r="B663" s="6" t="s">
        <v>3151</v>
      </c>
      <c r="C663" s="6" t="s">
        <v>2869</v>
      </c>
      <c r="D663" s="6" t="s">
        <v>1614</v>
      </c>
      <c r="E663" s="6">
        <v>32213382</v>
      </c>
      <c r="F663" s="6" t="s">
        <v>3158</v>
      </c>
      <c r="G663" s="6" t="s">
        <v>2860</v>
      </c>
      <c r="H663" s="6" t="s">
        <v>41</v>
      </c>
    </row>
    <row r="664" spans="1:8" x14ac:dyDescent="0.3">
      <c r="A664" s="6" t="s">
        <v>2858</v>
      </c>
      <c r="B664" s="6" t="s">
        <v>3151</v>
      </c>
      <c r="C664" s="6" t="s">
        <v>2869</v>
      </c>
      <c r="D664" s="6" t="s">
        <v>1614</v>
      </c>
      <c r="E664" s="6">
        <v>32044178</v>
      </c>
      <c r="F664" s="6" t="s">
        <v>3159</v>
      </c>
      <c r="G664" s="6" t="s">
        <v>2860</v>
      </c>
      <c r="H664" s="6" t="s">
        <v>41</v>
      </c>
    </row>
    <row r="665" spans="1:8" x14ac:dyDescent="0.3">
      <c r="A665" s="6" t="s">
        <v>2858</v>
      </c>
      <c r="B665" s="6" t="s">
        <v>3151</v>
      </c>
      <c r="C665" s="6" t="s">
        <v>2869</v>
      </c>
      <c r="D665" s="6" t="s">
        <v>1614</v>
      </c>
      <c r="E665" s="6">
        <v>32067573</v>
      </c>
      <c r="F665" s="6" t="s">
        <v>3160</v>
      </c>
      <c r="G665" s="6" t="s">
        <v>2860</v>
      </c>
      <c r="H665" s="6" t="s">
        <v>47</v>
      </c>
    </row>
    <row r="666" spans="1:8" x14ac:dyDescent="0.3">
      <c r="A666" s="6" t="s">
        <v>2858</v>
      </c>
      <c r="B666" s="6" t="s">
        <v>3151</v>
      </c>
      <c r="C666" s="6" t="s">
        <v>2869</v>
      </c>
      <c r="D666" s="6" t="s">
        <v>1614</v>
      </c>
      <c r="E666" s="6">
        <v>32060915</v>
      </c>
      <c r="F666" s="6" t="s">
        <v>3161</v>
      </c>
      <c r="G666" s="6" t="s">
        <v>2860</v>
      </c>
      <c r="H666" s="6" t="s">
        <v>35</v>
      </c>
    </row>
    <row r="667" spans="1:8" x14ac:dyDescent="0.3">
      <c r="A667" s="6" t="s">
        <v>2858</v>
      </c>
      <c r="B667" s="6" t="s">
        <v>3151</v>
      </c>
      <c r="C667" s="6" t="s">
        <v>2869</v>
      </c>
      <c r="D667" s="6" t="s">
        <v>1614</v>
      </c>
      <c r="E667" s="6">
        <v>32187773</v>
      </c>
      <c r="F667" s="6" t="s">
        <v>3162</v>
      </c>
      <c r="G667" s="6" t="s">
        <v>2860</v>
      </c>
      <c r="H667" s="6" t="s">
        <v>41</v>
      </c>
    </row>
    <row r="668" spans="1:8" x14ac:dyDescent="0.3">
      <c r="A668" s="6" t="s">
        <v>2858</v>
      </c>
      <c r="B668" s="6" t="s">
        <v>3151</v>
      </c>
      <c r="C668" s="6" t="s">
        <v>2869</v>
      </c>
      <c r="D668" s="6" t="s">
        <v>1614</v>
      </c>
      <c r="E668" s="6">
        <v>32043968</v>
      </c>
      <c r="F668" s="6" t="s">
        <v>3163</v>
      </c>
      <c r="G668" s="6" t="s">
        <v>2860</v>
      </c>
      <c r="H668" s="6" t="s">
        <v>47</v>
      </c>
    </row>
    <row r="669" spans="1:8" x14ac:dyDescent="0.3">
      <c r="A669" s="6" t="s">
        <v>2858</v>
      </c>
      <c r="B669" s="6" t="s">
        <v>3151</v>
      </c>
      <c r="C669" s="6" t="s">
        <v>2869</v>
      </c>
      <c r="D669" s="6" t="s">
        <v>1614</v>
      </c>
      <c r="E669" s="6">
        <v>32197842</v>
      </c>
      <c r="F669" s="6" t="s">
        <v>3164</v>
      </c>
      <c r="G669" s="6" t="s">
        <v>2860</v>
      </c>
      <c r="H669" s="6" t="s">
        <v>1584</v>
      </c>
    </row>
    <row r="670" spans="1:8" x14ac:dyDescent="0.3">
      <c r="A670" s="6" t="s">
        <v>2858</v>
      </c>
      <c r="B670" s="6" t="s">
        <v>3151</v>
      </c>
      <c r="C670" s="6" t="s">
        <v>2869</v>
      </c>
      <c r="D670" s="6" t="s">
        <v>1614</v>
      </c>
      <c r="E670" s="6">
        <v>32044726</v>
      </c>
      <c r="F670" s="6" t="s">
        <v>3165</v>
      </c>
      <c r="G670" s="6" t="s">
        <v>2860</v>
      </c>
      <c r="H670" s="6" t="s">
        <v>62</v>
      </c>
    </row>
    <row r="671" spans="1:8" x14ac:dyDescent="0.3">
      <c r="A671" s="6" t="s">
        <v>2858</v>
      </c>
      <c r="B671" s="6" t="s">
        <v>3151</v>
      </c>
      <c r="C671" s="6" t="s">
        <v>2869</v>
      </c>
      <c r="D671" s="6" t="s">
        <v>1614</v>
      </c>
      <c r="E671" s="6">
        <v>32045311</v>
      </c>
      <c r="F671" s="6" t="s">
        <v>3166</v>
      </c>
      <c r="G671" s="6" t="s">
        <v>2860</v>
      </c>
      <c r="H671" s="6" t="s">
        <v>41</v>
      </c>
    </row>
    <row r="672" spans="1:8" x14ac:dyDescent="0.3">
      <c r="A672" s="6" t="s">
        <v>2858</v>
      </c>
      <c r="B672" s="6" t="s">
        <v>3151</v>
      </c>
      <c r="C672" s="6" t="s">
        <v>2869</v>
      </c>
      <c r="D672" s="6" t="s">
        <v>2882</v>
      </c>
      <c r="E672" s="6">
        <v>32229979</v>
      </c>
      <c r="F672" s="6" t="s">
        <v>3167</v>
      </c>
      <c r="G672" s="6" t="s">
        <v>2344</v>
      </c>
      <c r="H672" s="6" t="s">
        <v>2882</v>
      </c>
    </row>
    <row r="673" spans="1:8" x14ac:dyDescent="0.3">
      <c r="A673" s="6" t="s">
        <v>2858</v>
      </c>
      <c r="B673" s="6" t="s">
        <v>740</v>
      </c>
      <c r="C673" s="6" t="s">
        <v>2861</v>
      </c>
      <c r="D673" s="6">
        <v>5</v>
      </c>
      <c r="E673" s="6">
        <v>32142764</v>
      </c>
      <c r="F673" s="6" t="s">
        <v>3168</v>
      </c>
      <c r="G673" s="6" t="s">
        <v>2860</v>
      </c>
      <c r="H673" s="6" t="s">
        <v>35</v>
      </c>
    </row>
    <row r="674" spans="1:8" x14ac:dyDescent="0.3">
      <c r="A674" s="6" t="s">
        <v>2858</v>
      </c>
      <c r="B674" s="6" t="s">
        <v>740</v>
      </c>
      <c r="C674" s="6" t="s">
        <v>2861</v>
      </c>
      <c r="D674" s="6">
        <v>5</v>
      </c>
      <c r="E674" s="6">
        <v>32044647</v>
      </c>
      <c r="F674" s="6" t="s">
        <v>3169</v>
      </c>
      <c r="G674" s="6" t="s">
        <v>2860</v>
      </c>
      <c r="H674" s="6" t="s">
        <v>44</v>
      </c>
    </row>
    <row r="675" spans="1:8" x14ac:dyDescent="0.3">
      <c r="A675" s="6" t="s">
        <v>2858</v>
      </c>
      <c r="B675" s="6" t="s">
        <v>740</v>
      </c>
      <c r="C675" s="6" t="s">
        <v>2861</v>
      </c>
      <c r="D675" s="6">
        <v>5</v>
      </c>
      <c r="E675" s="6">
        <v>32045395</v>
      </c>
      <c r="F675" s="6" t="s">
        <v>3170</v>
      </c>
      <c r="G675" s="6" t="s">
        <v>2860</v>
      </c>
      <c r="H675" s="6" t="s">
        <v>1584</v>
      </c>
    </row>
    <row r="676" spans="1:8" x14ac:dyDescent="0.3">
      <c r="A676" s="6" t="s">
        <v>2858</v>
      </c>
      <c r="B676" s="6" t="s">
        <v>740</v>
      </c>
      <c r="C676" s="6" t="s">
        <v>2861</v>
      </c>
      <c r="D676" s="6">
        <v>5</v>
      </c>
      <c r="E676" s="6">
        <v>32045118</v>
      </c>
      <c r="F676" s="6" t="s">
        <v>3171</v>
      </c>
      <c r="G676" s="6" t="s">
        <v>2860</v>
      </c>
      <c r="H676" s="6" t="s">
        <v>38</v>
      </c>
    </row>
    <row r="677" spans="1:8" x14ac:dyDescent="0.3">
      <c r="A677" s="6" t="s">
        <v>2858</v>
      </c>
      <c r="B677" s="6" t="s">
        <v>740</v>
      </c>
      <c r="C677" s="6" t="s">
        <v>2861</v>
      </c>
      <c r="D677" s="6">
        <v>5</v>
      </c>
      <c r="E677" s="6">
        <v>32045599</v>
      </c>
      <c r="F677" s="6" t="s">
        <v>3172</v>
      </c>
      <c r="G677" s="6" t="s">
        <v>2860</v>
      </c>
      <c r="H677" s="6" t="s">
        <v>47</v>
      </c>
    </row>
    <row r="678" spans="1:8" x14ac:dyDescent="0.3">
      <c r="A678" s="6" t="s">
        <v>2858</v>
      </c>
      <c r="B678" s="6" t="s">
        <v>740</v>
      </c>
      <c r="C678" s="6" t="s">
        <v>2861</v>
      </c>
      <c r="D678" s="6">
        <v>5</v>
      </c>
      <c r="E678" s="6">
        <v>32045170</v>
      </c>
      <c r="F678" s="6" t="s">
        <v>3173</v>
      </c>
      <c r="G678" s="6" t="s">
        <v>2860</v>
      </c>
      <c r="H678" s="6" t="s">
        <v>62</v>
      </c>
    </row>
    <row r="679" spans="1:8" x14ac:dyDescent="0.3">
      <c r="A679" s="6" t="s">
        <v>2858</v>
      </c>
      <c r="B679" s="6" t="s">
        <v>740</v>
      </c>
      <c r="C679" s="6" t="s">
        <v>2861</v>
      </c>
      <c r="D679" s="6">
        <v>5</v>
      </c>
      <c r="E679" s="6">
        <v>32045656</v>
      </c>
      <c r="F679" s="6" t="s">
        <v>3174</v>
      </c>
      <c r="G679" s="6" t="s">
        <v>2860</v>
      </c>
      <c r="H679" s="6" t="s">
        <v>44</v>
      </c>
    </row>
    <row r="680" spans="1:8" x14ac:dyDescent="0.3">
      <c r="A680" s="6" t="s">
        <v>2858</v>
      </c>
      <c r="B680" s="6" t="s">
        <v>740</v>
      </c>
      <c r="C680" s="6" t="s">
        <v>2861</v>
      </c>
      <c r="D680" s="6">
        <v>5</v>
      </c>
      <c r="E680" s="6">
        <v>32149072</v>
      </c>
      <c r="F680" s="6" t="s">
        <v>3175</v>
      </c>
      <c r="G680" s="6" t="s">
        <v>2860</v>
      </c>
      <c r="H680" s="6" t="s">
        <v>47</v>
      </c>
    </row>
    <row r="681" spans="1:8" x14ac:dyDescent="0.3">
      <c r="A681" s="6" t="s">
        <v>2858</v>
      </c>
      <c r="B681" s="6" t="s">
        <v>740</v>
      </c>
      <c r="C681" s="6" t="s">
        <v>2861</v>
      </c>
      <c r="D681" s="6">
        <v>5</v>
      </c>
      <c r="E681" s="6">
        <v>32143263</v>
      </c>
      <c r="F681" s="6" t="s">
        <v>3176</v>
      </c>
      <c r="G681" s="6" t="s">
        <v>2860</v>
      </c>
      <c r="H681" s="6" t="s">
        <v>41</v>
      </c>
    </row>
    <row r="682" spans="1:8" x14ac:dyDescent="0.3">
      <c r="A682" s="6" t="s">
        <v>2858</v>
      </c>
      <c r="B682" s="6" t="s">
        <v>740</v>
      </c>
      <c r="C682" s="6" t="s">
        <v>2861</v>
      </c>
      <c r="D682" s="6">
        <v>5</v>
      </c>
      <c r="E682" s="6">
        <v>32046615</v>
      </c>
      <c r="F682" s="6" t="s">
        <v>3177</v>
      </c>
      <c r="G682" s="6" t="s">
        <v>2860</v>
      </c>
      <c r="H682" s="6" t="s">
        <v>1584</v>
      </c>
    </row>
    <row r="683" spans="1:8" x14ac:dyDescent="0.3">
      <c r="A683" s="6" t="s">
        <v>2858</v>
      </c>
      <c r="B683" s="6" t="s">
        <v>740</v>
      </c>
      <c r="C683" s="6" t="s">
        <v>2861</v>
      </c>
      <c r="D683" s="6">
        <v>5</v>
      </c>
      <c r="E683" s="6">
        <v>32180918</v>
      </c>
      <c r="F683" s="6" t="s">
        <v>3178</v>
      </c>
      <c r="G683" s="6" t="s">
        <v>2860</v>
      </c>
      <c r="H683" s="6" t="s">
        <v>44</v>
      </c>
    </row>
    <row r="684" spans="1:8" x14ac:dyDescent="0.3">
      <c r="A684" s="6" t="s">
        <v>2858</v>
      </c>
      <c r="B684" s="6" t="s">
        <v>740</v>
      </c>
      <c r="C684" s="6" t="s">
        <v>2861</v>
      </c>
      <c r="D684" s="6">
        <v>5</v>
      </c>
      <c r="E684" s="6">
        <v>32045207</v>
      </c>
      <c r="F684" s="6" t="s">
        <v>3179</v>
      </c>
      <c r="G684" s="6" t="s">
        <v>2860</v>
      </c>
      <c r="H684" s="6" t="s">
        <v>41</v>
      </c>
    </row>
    <row r="685" spans="1:8" x14ac:dyDescent="0.3">
      <c r="A685" s="6" t="s">
        <v>2858</v>
      </c>
      <c r="B685" s="6" t="s">
        <v>740</v>
      </c>
      <c r="C685" s="6" t="s">
        <v>2861</v>
      </c>
      <c r="D685" s="6">
        <v>5</v>
      </c>
      <c r="E685" s="6">
        <v>32132188</v>
      </c>
      <c r="F685" s="6" t="s">
        <v>3180</v>
      </c>
      <c r="G685" s="6" t="s">
        <v>2860</v>
      </c>
      <c r="H685" s="6" t="s">
        <v>38</v>
      </c>
    </row>
    <row r="686" spans="1:8" x14ac:dyDescent="0.3">
      <c r="A686" s="6" t="s">
        <v>2858</v>
      </c>
      <c r="B686" s="6" t="s">
        <v>740</v>
      </c>
      <c r="C686" s="6" t="s">
        <v>2861</v>
      </c>
      <c r="D686" s="6">
        <v>5</v>
      </c>
      <c r="E686" s="6">
        <v>32044226</v>
      </c>
      <c r="F686" s="6" t="s">
        <v>3181</v>
      </c>
      <c r="G686" s="6" t="s">
        <v>2860</v>
      </c>
      <c r="H686" s="6" t="s">
        <v>62</v>
      </c>
    </row>
    <row r="687" spans="1:8" x14ac:dyDescent="0.3">
      <c r="A687" s="6" t="s">
        <v>2858</v>
      </c>
      <c r="B687" s="6" t="s">
        <v>740</v>
      </c>
      <c r="C687" s="6" t="s">
        <v>2861</v>
      </c>
      <c r="D687" s="6">
        <v>5</v>
      </c>
      <c r="E687" s="6">
        <v>32045977</v>
      </c>
      <c r="F687" s="6" t="s">
        <v>744</v>
      </c>
      <c r="G687" s="6" t="s">
        <v>2344</v>
      </c>
      <c r="H687" s="6" t="s">
        <v>2882</v>
      </c>
    </row>
    <row r="688" spans="1:8" x14ac:dyDescent="0.3">
      <c r="A688" s="6" t="s">
        <v>2858</v>
      </c>
      <c r="B688" s="6" t="s">
        <v>2875</v>
      </c>
      <c r="C688" s="6" t="s">
        <v>2862</v>
      </c>
      <c r="D688" s="6" t="s">
        <v>2882</v>
      </c>
      <c r="E688" s="6">
        <v>32149492</v>
      </c>
      <c r="F688" s="6" t="s">
        <v>2092</v>
      </c>
      <c r="G688" s="6" t="s">
        <v>2344</v>
      </c>
      <c r="H688" s="6" t="s">
        <v>2882</v>
      </c>
    </row>
    <row r="689" spans="1:8" x14ac:dyDescent="0.3">
      <c r="A689" s="6" t="s">
        <v>2858</v>
      </c>
      <c r="B689" s="6" t="s">
        <v>2875</v>
      </c>
      <c r="C689" s="6" t="s">
        <v>2862</v>
      </c>
      <c r="D689" s="6" t="s">
        <v>2095</v>
      </c>
      <c r="E689" s="6">
        <v>32043646</v>
      </c>
      <c r="F689" s="6" t="s">
        <v>2097</v>
      </c>
      <c r="G689" s="6" t="s">
        <v>2860</v>
      </c>
      <c r="H689" s="6" t="s">
        <v>41</v>
      </c>
    </row>
    <row r="690" spans="1:8" x14ac:dyDescent="0.3">
      <c r="A690" s="6" t="s">
        <v>2858</v>
      </c>
      <c r="B690" s="6" t="s">
        <v>2875</v>
      </c>
      <c r="C690" s="6" t="s">
        <v>2862</v>
      </c>
      <c r="D690" s="6" t="s">
        <v>2090</v>
      </c>
      <c r="E690" s="6">
        <v>32231913</v>
      </c>
      <c r="F690" s="6" t="s">
        <v>2099</v>
      </c>
      <c r="G690" s="6" t="s">
        <v>2860</v>
      </c>
      <c r="H690" s="6" t="s">
        <v>62</v>
      </c>
    </row>
    <row r="691" spans="1:8" x14ac:dyDescent="0.3">
      <c r="A691" s="6" t="s">
        <v>2858</v>
      </c>
      <c r="B691" s="6" t="s">
        <v>2875</v>
      </c>
      <c r="C691" s="6" t="s">
        <v>2862</v>
      </c>
      <c r="D691" s="6" t="s">
        <v>2090</v>
      </c>
      <c r="E691" s="6">
        <v>32045424</v>
      </c>
      <c r="F691" s="6" t="s">
        <v>2093</v>
      </c>
      <c r="G691" s="6" t="s">
        <v>2860</v>
      </c>
      <c r="H691" s="6" t="s">
        <v>1584</v>
      </c>
    </row>
    <row r="692" spans="1:8" x14ac:dyDescent="0.3">
      <c r="A692" s="6" t="s">
        <v>2858</v>
      </c>
      <c r="B692" s="6" t="s">
        <v>2875</v>
      </c>
      <c r="C692" s="6" t="s">
        <v>2862</v>
      </c>
      <c r="D692" s="6" t="s">
        <v>2101</v>
      </c>
      <c r="E692" s="6">
        <v>32044344</v>
      </c>
      <c r="F692" s="6" t="s">
        <v>2102</v>
      </c>
      <c r="G692" s="6" t="s">
        <v>2860</v>
      </c>
      <c r="H692" s="6" t="s">
        <v>38</v>
      </c>
    </row>
    <row r="693" spans="1:8" x14ac:dyDescent="0.3">
      <c r="A693" s="6" t="s">
        <v>2858</v>
      </c>
      <c r="B693" s="6" t="s">
        <v>2875</v>
      </c>
      <c r="C693" s="6" t="s">
        <v>2862</v>
      </c>
      <c r="D693" s="6" t="s">
        <v>2076</v>
      </c>
      <c r="E693" s="6">
        <v>32044492</v>
      </c>
      <c r="F693" s="6" t="s">
        <v>2104</v>
      </c>
      <c r="G693" s="6" t="s">
        <v>2860</v>
      </c>
      <c r="H693" s="6" t="s">
        <v>44</v>
      </c>
    </row>
    <row r="694" spans="1:8" x14ac:dyDescent="0.3">
      <c r="A694" s="6" t="s">
        <v>2858</v>
      </c>
      <c r="B694" s="6" t="s">
        <v>2875</v>
      </c>
      <c r="C694" s="6" t="s">
        <v>2862</v>
      </c>
      <c r="D694" s="6" t="s">
        <v>2060</v>
      </c>
      <c r="E694" s="6">
        <v>32043771</v>
      </c>
      <c r="F694" s="6" t="s">
        <v>2106</v>
      </c>
      <c r="G694" s="6" t="s">
        <v>2860</v>
      </c>
      <c r="H694" s="6" t="s">
        <v>47</v>
      </c>
    </row>
    <row r="695" spans="1:8" x14ac:dyDescent="0.3">
      <c r="A695" s="6" t="s">
        <v>2858</v>
      </c>
      <c r="B695" s="6" t="s">
        <v>2875</v>
      </c>
      <c r="C695" s="6" t="s">
        <v>2862</v>
      </c>
      <c r="D695" s="6" t="s">
        <v>2060</v>
      </c>
      <c r="E695" s="6">
        <v>32043979</v>
      </c>
      <c r="F695" s="6" t="s">
        <v>2108</v>
      </c>
      <c r="G695" s="6" t="s">
        <v>2860</v>
      </c>
      <c r="H695" s="6" t="s">
        <v>35</v>
      </c>
    </row>
    <row r="696" spans="1:8" x14ac:dyDescent="0.3">
      <c r="A696" s="6" t="s">
        <v>2858</v>
      </c>
      <c r="B696" s="6" t="s">
        <v>974</v>
      </c>
      <c r="C696" s="6" t="s">
        <v>2861</v>
      </c>
      <c r="D696" s="6">
        <v>9</v>
      </c>
      <c r="E696" s="6">
        <v>32045820</v>
      </c>
      <c r="F696" s="6" t="s">
        <v>3182</v>
      </c>
      <c r="G696" s="6" t="s">
        <v>2344</v>
      </c>
      <c r="H696" s="6" t="s">
        <v>2882</v>
      </c>
    </row>
    <row r="697" spans="1:8" x14ac:dyDescent="0.3">
      <c r="A697" s="6" t="s">
        <v>2858</v>
      </c>
      <c r="B697" s="6" t="s">
        <v>974</v>
      </c>
      <c r="C697" s="6" t="s">
        <v>2861</v>
      </c>
      <c r="D697" s="6">
        <v>9</v>
      </c>
      <c r="E697" s="6">
        <v>32148854</v>
      </c>
      <c r="F697" s="6" t="s">
        <v>999</v>
      </c>
      <c r="G697" s="6" t="s">
        <v>2860</v>
      </c>
      <c r="H697" s="6" t="s">
        <v>47</v>
      </c>
    </row>
    <row r="698" spans="1:8" x14ac:dyDescent="0.3">
      <c r="A698" s="6" t="s">
        <v>2858</v>
      </c>
      <c r="B698" s="6" t="s">
        <v>974</v>
      </c>
      <c r="C698" s="6" t="s">
        <v>2861</v>
      </c>
      <c r="D698" s="6">
        <v>9</v>
      </c>
      <c r="E698" s="6">
        <v>32068002</v>
      </c>
      <c r="F698" s="6" t="s">
        <v>3183</v>
      </c>
      <c r="G698" s="6" t="s">
        <v>2860</v>
      </c>
      <c r="H698" s="6" t="s">
        <v>62</v>
      </c>
    </row>
    <row r="699" spans="1:8" x14ac:dyDescent="0.3">
      <c r="A699" s="6" t="s">
        <v>2858</v>
      </c>
      <c r="B699" s="6" t="s">
        <v>974</v>
      </c>
      <c r="C699" s="6" t="s">
        <v>2861</v>
      </c>
      <c r="D699" s="6">
        <v>9</v>
      </c>
      <c r="E699" s="6">
        <v>32044919</v>
      </c>
      <c r="F699" s="6" t="s">
        <v>982</v>
      </c>
      <c r="G699" s="6" t="s">
        <v>2860</v>
      </c>
      <c r="H699" s="6" t="s">
        <v>38</v>
      </c>
    </row>
    <row r="700" spans="1:8" x14ac:dyDescent="0.3">
      <c r="A700" s="6" t="s">
        <v>2858</v>
      </c>
      <c r="B700" s="6" t="s">
        <v>974</v>
      </c>
      <c r="C700" s="6" t="s">
        <v>2861</v>
      </c>
      <c r="D700" s="6">
        <v>9</v>
      </c>
      <c r="E700" s="6">
        <v>32046585</v>
      </c>
      <c r="F700" s="6" t="s">
        <v>987</v>
      </c>
      <c r="G700" s="6" t="s">
        <v>2860</v>
      </c>
      <c r="H700" s="6" t="s">
        <v>62</v>
      </c>
    </row>
    <row r="701" spans="1:8" x14ac:dyDescent="0.3">
      <c r="A701" s="6" t="s">
        <v>2858</v>
      </c>
      <c r="B701" s="6" t="s">
        <v>974</v>
      </c>
      <c r="C701" s="6" t="s">
        <v>2861</v>
      </c>
      <c r="D701" s="6">
        <v>9</v>
      </c>
      <c r="E701" s="6">
        <v>32067168</v>
      </c>
      <c r="F701" s="6" t="s">
        <v>993</v>
      </c>
      <c r="G701" s="6" t="s">
        <v>2860</v>
      </c>
      <c r="H701" s="6" t="s">
        <v>38</v>
      </c>
    </row>
    <row r="702" spans="1:8" x14ac:dyDescent="0.3">
      <c r="A702" s="6" t="s">
        <v>2858</v>
      </c>
      <c r="B702" s="6" t="s">
        <v>974</v>
      </c>
      <c r="C702" s="6" t="s">
        <v>2861</v>
      </c>
      <c r="D702" s="6">
        <v>9</v>
      </c>
      <c r="E702" s="6">
        <v>32046602</v>
      </c>
      <c r="F702" s="6" t="s">
        <v>3184</v>
      </c>
      <c r="G702" s="6" t="s">
        <v>2860</v>
      </c>
      <c r="H702" s="6" t="s">
        <v>35</v>
      </c>
    </row>
    <row r="703" spans="1:8" x14ac:dyDescent="0.3">
      <c r="A703" s="6" t="s">
        <v>2858</v>
      </c>
      <c r="B703" s="6" t="s">
        <v>974</v>
      </c>
      <c r="C703" s="6" t="s">
        <v>2861</v>
      </c>
      <c r="D703" s="6">
        <v>9</v>
      </c>
      <c r="E703" s="6">
        <v>32067739</v>
      </c>
      <c r="F703" s="6" t="s">
        <v>3185</v>
      </c>
      <c r="G703" s="6" t="s">
        <v>2860</v>
      </c>
      <c r="H703" s="6" t="s">
        <v>1584</v>
      </c>
    </row>
    <row r="704" spans="1:8" x14ac:dyDescent="0.3">
      <c r="A704" s="6" t="s">
        <v>2858</v>
      </c>
      <c r="B704" s="6" t="s">
        <v>974</v>
      </c>
      <c r="C704" s="6" t="s">
        <v>2861</v>
      </c>
      <c r="D704" s="6">
        <v>9</v>
      </c>
      <c r="E704" s="6">
        <v>32043983</v>
      </c>
      <c r="F704" s="6" t="s">
        <v>3186</v>
      </c>
      <c r="G704" s="6" t="s">
        <v>2860</v>
      </c>
      <c r="H704" s="6" t="s">
        <v>47</v>
      </c>
    </row>
    <row r="705" spans="1:8" x14ac:dyDescent="0.3">
      <c r="A705" s="6" t="s">
        <v>2858</v>
      </c>
      <c r="B705" s="6" t="s">
        <v>974</v>
      </c>
      <c r="C705" s="6" t="s">
        <v>2861</v>
      </c>
      <c r="D705" s="6">
        <v>9</v>
      </c>
      <c r="E705" s="6">
        <v>32044009</v>
      </c>
      <c r="F705" s="6" t="s">
        <v>3187</v>
      </c>
      <c r="G705" s="6" t="s">
        <v>2860</v>
      </c>
      <c r="H705" s="6" t="s">
        <v>41</v>
      </c>
    </row>
    <row r="706" spans="1:8" x14ac:dyDescent="0.3">
      <c r="A706" s="6" t="s">
        <v>2858</v>
      </c>
      <c r="B706" s="6" t="s">
        <v>974</v>
      </c>
      <c r="C706" s="6" t="s">
        <v>2861</v>
      </c>
      <c r="D706" s="6">
        <v>9</v>
      </c>
      <c r="E706" s="6">
        <v>32044772</v>
      </c>
      <c r="F706" s="6" t="s">
        <v>980</v>
      </c>
      <c r="G706" s="6" t="s">
        <v>2860</v>
      </c>
      <c r="H706" s="6" t="s">
        <v>1584</v>
      </c>
    </row>
    <row r="707" spans="1:8" x14ac:dyDescent="0.3">
      <c r="A707" s="6" t="s">
        <v>2858</v>
      </c>
      <c r="B707" s="6" t="s">
        <v>974</v>
      </c>
      <c r="C707" s="6" t="s">
        <v>2861</v>
      </c>
      <c r="D707" s="6">
        <v>9</v>
      </c>
      <c r="E707" s="6">
        <v>32046156</v>
      </c>
      <c r="F707" s="6" t="s">
        <v>3188</v>
      </c>
      <c r="G707" s="6" t="s">
        <v>2860</v>
      </c>
      <c r="H707" s="6" t="s">
        <v>35</v>
      </c>
    </row>
    <row r="708" spans="1:8" x14ac:dyDescent="0.3">
      <c r="A708" s="6" t="s">
        <v>2858</v>
      </c>
      <c r="B708" s="6" t="s">
        <v>974</v>
      </c>
      <c r="C708" s="6" t="s">
        <v>2861</v>
      </c>
      <c r="D708" s="6">
        <v>9</v>
      </c>
      <c r="E708" s="6">
        <v>32202288</v>
      </c>
      <c r="F708" s="6" t="s">
        <v>3189</v>
      </c>
      <c r="G708" s="6" t="s">
        <v>2860</v>
      </c>
      <c r="H708" s="6" t="s">
        <v>35</v>
      </c>
    </row>
    <row r="709" spans="1:8" x14ac:dyDescent="0.3">
      <c r="A709" s="6" t="s">
        <v>2858</v>
      </c>
      <c r="B709" s="6" t="s">
        <v>974</v>
      </c>
      <c r="C709" s="6" t="s">
        <v>2861</v>
      </c>
      <c r="D709" s="6">
        <v>9</v>
      </c>
      <c r="E709" s="6">
        <v>32046584</v>
      </c>
      <c r="F709" s="6" t="s">
        <v>986</v>
      </c>
      <c r="G709" s="6" t="s">
        <v>2860</v>
      </c>
      <c r="H709" s="6" t="s">
        <v>44</v>
      </c>
    </row>
    <row r="710" spans="1:8" x14ac:dyDescent="0.3">
      <c r="A710" s="6" t="s">
        <v>2858</v>
      </c>
      <c r="B710" s="6" t="s">
        <v>974</v>
      </c>
      <c r="C710" s="6" t="s">
        <v>2861</v>
      </c>
      <c r="D710" s="6">
        <v>9</v>
      </c>
      <c r="E710" s="6">
        <v>32044117</v>
      </c>
      <c r="F710" s="6" t="s">
        <v>3190</v>
      </c>
      <c r="G710" s="6" t="s">
        <v>2860</v>
      </c>
      <c r="H710" s="6" t="s">
        <v>47</v>
      </c>
    </row>
    <row r="711" spans="1:8" x14ac:dyDescent="0.3">
      <c r="A711" s="6" t="s">
        <v>2858</v>
      </c>
      <c r="B711" s="6" t="s">
        <v>974</v>
      </c>
      <c r="C711" s="6" t="s">
        <v>2861</v>
      </c>
      <c r="D711" s="6">
        <v>9</v>
      </c>
      <c r="E711" s="6">
        <v>32044869</v>
      </c>
      <c r="F711" s="6" t="s">
        <v>981</v>
      </c>
      <c r="G711" s="6" t="s">
        <v>2860</v>
      </c>
      <c r="H711" s="6" t="s">
        <v>44</v>
      </c>
    </row>
    <row r="712" spans="1:8" x14ac:dyDescent="0.3">
      <c r="A712" s="6" t="s">
        <v>2858</v>
      </c>
      <c r="B712" s="6" t="s">
        <v>974</v>
      </c>
      <c r="C712" s="6" t="s">
        <v>2861</v>
      </c>
      <c r="D712" s="6">
        <v>9</v>
      </c>
      <c r="E712" s="6">
        <v>32046469</v>
      </c>
      <c r="F712" s="6" t="s">
        <v>3191</v>
      </c>
      <c r="G712" s="6" t="s">
        <v>2860</v>
      </c>
      <c r="H712" s="6" t="s">
        <v>44</v>
      </c>
    </row>
    <row r="713" spans="1:8" x14ac:dyDescent="0.3">
      <c r="A713" s="6" t="s">
        <v>2858</v>
      </c>
      <c r="B713" s="6" t="s">
        <v>974</v>
      </c>
      <c r="C713" s="6" t="s">
        <v>2861</v>
      </c>
      <c r="D713" s="6">
        <v>9</v>
      </c>
      <c r="E713" s="6">
        <v>32061474</v>
      </c>
      <c r="F713" s="6" t="s">
        <v>991</v>
      </c>
      <c r="G713" s="6" t="s">
        <v>2860</v>
      </c>
      <c r="H713" s="6" t="s">
        <v>41</v>
      </c>
    </row>
    <row r="714" spans="1:8" x14ac:dyDescent="0.3">
      <c r="A714" s="6" t="s">
        <v>2858</v>
      </c>
      <c r="B714" s="159" t="s">
        <v>291</v>
      </c>
      <c r="C714" s="6" t="s">
        <v>2876</v>
      </c>
      <c r="D714" s="6" t="s">
        <v>2882</v>
      </c>
      <c r="E714" s="159">
        <v>32045495</v>
      </c>
      <c r="F714" s="159" t="s">
        <v>292</v>
      </c>
      <c r="G714" s="6" t="s">
        <v>2344</v>
      </c>
      <c r="H714" s="6" t="s">
        <v>35</v>
      </c>
    </row>
    <row r="715" spans="1:8" x14ac:dyDescent="0.3">
      <c r="A715" s="6" t="s">
        <v>2858</v>
      </c>
      <c r="B715" s="6" t="s">
        <v>291</v>
      </c>
      <c r="C715" s="6" t="s">
        <v>2876</v>
      </c>
      <c r="D715" s="6">
        <v>0</v>
      </c>
      <c r="E715" s="6">
        <v>32043900</v>
      </c>
      <c r="F715" s="6" t="s">
        <v>294</v>
      </c>
      <c r="G715" s="6" t="s">
        <v>2860</v>
      </c>
      <c r="H715" s="6" t="s">
        <v>47</v>
      </c>
    </row>
    <row r="716" spans="1:8" x14ac:dyDescent="0.3">
      <c r="A716" s="6" t="s">
        <v>2858</v>
      </c>
      <c r="B716" s="6" t="s">
        <v>291</v>
      </c>
      <c r="C716" s="6" t="s">
        <v>2876</v>
      </c>
      <c r="D716" s="6">
        <v>0</v>
      </c>
      <c r="E716" s="6">
        <v>32044316</v>
      </c>
      <c r="F716" s="6" t="s">
        <v>296</v>
      </c>
      <c r="G716" s="6" t="s">
        <v>2860</v>
      </c>
      <c r="H716" s="6" t="s">
        <v>44</v>
      </c>
    </row>
    <row r="717" spans="1:8" x14ac:dyDescent="0.3">
      <c r="A717" s="6" t="s">
        <v>2858</v>
      </c>
      <c r="B717" s="6" t="s">
        <v>291</v>
      </c>
      <c r="C717" s="6" t="s">
        <v>2876</v>
      </c>
      <c r="D717" s="6">
        <v>0</v>
      </c>
      <c r="E717" s="6">
        <v>32173442</v>
      </c>
      <c r="F717" s="6" t="s">
        <v>298</v>
      </c>
      <c r="G717" s="6" t="s">
        <v>2860</v>
      </c>
      <c r="H717" s="6" t="s">
        <v>1584</v>
      </c>
    </row>
    <row r="718" spans="1:8" x14ac:dyDescent="0.3">
      <c r="A718" s="6" t="s">
        <v>2858</v>
      </c>
      <c r="B718" s="6" t="s">
        <v>291</v>
      </c>
      <c r="C718" s="6" t="s">
        <v>2876</v>
      </c>
      <c r="D718" s="6">
        <v>0</v>
      </c>
      <c r="E718" s="6">
        <v>32149490</v>
      </c>
      <c r="F718" s="6" t="s">
        <v>300</v>
      </c>
      <c r="G718" s="6" t="s">
        <v>2860</v>
      </c>
      <c r="H718" s="6" t="s">
        <v>179</v>
      </c>
    </row>
    <row r="719" spans="1:8" x14ac:dyDescent="0.3">
      <c r="A719" s="6" t="s">
        <v>2858</v>
      </c>
      <c r="B719" s="6" t="s">
        <v>291</v>
      </c>
      <c r="C719" s="6" t="s">
        <v>2876</v>
      </c>
      <c r="D719" s="6">
        <v>0</v>
      </c>
      <c r="E719" s="6">
        <v>32092747</v>
      </c>
      <c r="F719" s="6" t="s">
        <v>302</v>
      </c>
      <c r="G719" s="6" t="s">
        <v>2860</v>
      </c>
      <c r="H719" s="6" t="s">
        <v>47</v>
      </c>
    </row>
    <row r="720" spans="1:8" x14ac:dyDescent="0.3">
      <c r="A720" s="6" t="s">
        <v>2858</v>
      </c>
      <c r="B720" s="6" t="s">
        <v>291</v>
      </c>
      <c r="C720" s="6" t="s">
        <v>2876</v>
      </c>
      <c r="D720" s="6">
        <v>0</v>
      </c>
      <c r="E720" s="6">
        <v>32145333</v>
      </c>
      <c r="F720" s="6" t="s">
        <v>306</v>
      </c>
      <c r="G720" s="6" t="s">
        <v>2860</v>
      </c>
      <c r="H720" s="6" t="s">
        <v>35</v>
      </c>
    </row>
    <row r="721" spans="1:8" x14ac:dyDescent="0.3">
      <c r="A721" s="6" t="s">
        <v>2858</v>
      </c>
      <c r="B721" s="6" t="s">
        <v>291</v>
      </c>
      <c r="C721" s="6" t="s">
        <v>2876</v>
      </c>
      <c r="D721" s="6">
        <v>0</v>
      </c>
      <c r="E721" s="6">
        <v>32199772</v>
      </c>
      <c r="F721" s="6" t="s">
        <v>308</v>
      </c>
      <c r="G721" s="6" t="s">
        <v>2860</v>
      </c>
      <c r="H721" s="6" t="s">
        <v>44</v>
      </c>
    </row>
    <row r="722" spans="1:8" x14ac:dyDescent="0.3">
      <c r="A722" s="6" t="s">
        <v>2858</v>
      </c>
      <c r="B722" s="6" t="s">
        <v>291</v>
      </c>
      <c r="C722" s="6" t="s">
        <v>2876</v>
      </c>
      <c r="D722" s="6">
        <v>0</v>
      </c>
      <c r="E722" s="6">
        <v>32045469</v>
      </c>
      <c r="F722" s="6" t="s">
        <v>310</v>
      </c>
      <c r="G722" s="6" t="s">
        <v>2860</v>
      </c>
      <c r="H722" s="6" t="s">
        <v>41</v>
      </c>
    </row>
    <row r="723" spans="1:8" x14ac:dyDescent="0.3">
      <c r="A723" s="6" t="s">
        <v>2858</v>
      </c>
      <c r="B723" s="6" t="s">
        <v>291</v>
      </c>
      <c r="C723" s="6" t="s">
        <v>2876</v>
      </c>
      <c r="D723" s="6">
        <v>0</v>
      </c>
      <c r="E723" s="6">
        <v>32043301</v>
      </c>
      <c r="F723" s="6" t="s">
        <v>3192</v>
      </c>
      <c r="G723" s="6" t="s">
        <v>2860</v>
      </c>
      <c r="H723" s="6" t="s">
        <v>62</v>
      </c>
    </row>
    <row r="724" spans="1:8" x14ac:dyDescent="0.3">
      <c r="A724" s="6" t="s">
        <v>2858</v>
      </c>
      <c r="B724" s="6" t="s">
        <v>291</v>
      </c>
      <c r="C724" s="6" t="s">
        <v>2876</v>
      </c>
      <c r="D724" s="6">
        <v>0</v>
      </c>
      <c r="E724" s="6">
        <v>32044251</v>
      </c>
      <c r="F724" s="6" t="s">
        <v>3193</v>
      </c>
      <c r="G724" s="6" t="s">
        <v>2860</v>
      </c>
      <c r="H724" s="6" t="s">
        <v>38</v>
      </c>
    </row>
    <row r="725" spans="1:8" x14ac:dyDescent="0.3">
      <c r="A725" s="6" t="s">
        <v>2858</v>
      </c>
      <c r="B725" s="6" t="s">
        <v>291</v>
      </c>
      <c r="C725" s="6" t="s">
        <v>2876</v>
      </c>
      <c r="D725" s="6">
        <v>0</v>
      </c>
      <c r="E725" s="6">
        <v>32043835</v>
      </c>
      <c r="F725" s="6" t="s">
        <v>3194</v>
      </c>
      <c r="G725" s="6" t="s">
        <v>2860</v>
      </c>
      <c r="H725" s="6" t="s">
        <v>38</v>
      </c>
    </row>
    <row r="726" spans="1:8" x14ac:dyDescent="0.3">
      <c r="A726" s="6" t="s">
        <v>2858</v>
      </c>
      <c r="B726" s="6" t="s">
        <v>291</v>
      </c>
      <c r="C726" s="6" t="s">
        <v>2876</v>
      </c>
      <c r="D726" s="6">
        <v>0</v>
      </c>
      <c r="E726" s="6">
        <v>32043861</v>
      </c>
      <c r="F726" s="6" t="s">
        <v>3195</v>
      </c>
      <c r="G726" s="6" t="s">
        <v>2860</v>
      </c>
      <c r="H726" s="6" t="s">
        <v>41</v>
      </c>
    </row>
    <row r="727" spans="1:8" x14ac:dyDescent="0.3">
      <c r="A727" s="6" t="s">
        <v>2858</v>
      </c>
      <c r="B727" s="6" t="s">
        <v>291</v>
      </c>
      <c r="C727" s="6" t="s">
        <v>2876</v>
      </c>
      <c r="D727" s="6">
        <v>0</v>
      </c>
      <c r="E727" s="6">
        <v>32043314</v>
      </c>
      <c r="F727" s="6" t="s">
        <v>3196</v>
      </c>
      <c r="G727" s="6" t="s">
        <v>2860</v>
      </c>
      <c r="H727" s="6" t="s">
        <v>35</v>
      </c>
    </row>
    <row r="728" spans="1:8" x14ac:dyDescent="0.3">
      <c r="A728" s="6" t="s">
        <v>2858</v>
      </c>
      <c r="B728" s="6" t="s">
        <v>312</v>
      </c>
      <c r="C728" s="6" t="s">
        <v>2865</v>
      </c>
      <c r="D728" s="6" t="s">
        <v>2882</v>
      </c>
      <c r="E728" s="6">
        <v>32209640</v>
      </c>
      <c r="F728" s="6" t="s">
        <v>331</v>
      </c>
      <c r="G728" s="6" t="s">
        <v>2344</v>
      </c>
      <c r="H728" s="6" t="s">
        <v>2882</v>
      </c>
    </row>
    <row r="729" spans="1:8" x14ac:dyDescent="0.3">
      <c r="A729" s="6" t="s">
        <v>2858</v>
      </c>
      <c r="B729" s="6" t="s">
        <v>312</v>
      </c>
      <c r="C729" s="6" t="s">
        <v>2865</v>
      </c>
      <c r="D729" s="6">
        <v>0</v>
      </c>
      <c r="E729" s="6">
        <v>32044783</v>
      </c>
      <c r="F729" s="6" t="s">
        <v>315</v>
      </c>
      <c r="G729" s="6" t="s">
        <v>2860</v>
      </c>
      <c r="H729" s="6" t="s">
        <v>1584</v>
      </c>
    </row>
    <row r="730" spans="1:8" x14ac:dyDescent="0.3">
      <c r="A730" s="6" t="s">
        <v>2858</v>
      </c>
      <c r="B730" s="6" t="s">
        <v>312</v>
      </c>
      <c r="C730" s="6" t="s">
        <v>2865</v>
      </c>
      <c r="D730" s="6">
        <v>0</v>
      </c>
      <c r="E730" s="6">
        <v>32132054</v>
      </c>
      <c r="F730" s="6" t="s">
        <v>3197</v>
      </c>
      <c r="G730" s="6" t="s">
        <v>2860</v>
      </c>
      <c r="H730" s="6" t="s">
        <v>47</v>
      </c>
    </row>
    <row r="731" spans="1:8" x14ac:dyDescent="0.3">
      <c r="A731" s="6" t="s">
        <v>2858</v>
      </c>
      <c r="B731" s="6" t="s">
        <v>312</v>
      </c>
      <c r="C731" s="6" t="s">
        <v>2865</v>
      </c>
      <c r="D731" s="6">
        <v>0</v>
      </c>
      <c r="E731" s="6">
        <v>32131972</v>
      </c>
      <c r="F731" s="6" t="s">
        <v>3198</v>
      </c>
      <c r="G731" s="6" t="s">
        <v>2860</v>
      </c>
      <c r="H731" s="6" t="s">
        <v>44</v>
      </c>
    </row>
    <row r="732" spans="1:8" x14ac:dyDescent="0.3">
      <c r="A732" s="6" t="s">
        <v>2858</v>
      </c>
      <c r="B732" s="6" t="s">
        <v>312</v>
      </c>
      <c r="C732" s="6" t="s">
        <v>2865</v>
      </c>
      <c r="D732" s="6">
        <v>0</v>
      </c>
      <c r="E732" s="6">
        <v>32044892</v>
      </c>
      <c r="F732" s="6" t="s">
        <v>317</v>
      </c>
      <c r="G732" s="6" t="s">
        <v>2860</v>
      </c>
      <c r="H732" s="6" t="s">
        <v>1584</v>
      </c>
    </row>
    <row r="733" spans="1:8" x14ac:dyDescent="0.3">
      <c r="A733" s="6" t="s">
        <v>2858</v>
      </c>
      <c r="B733" s="6" t="s">
        <v>312</v>
      </c>
      <c r="C733" s="6" t="s">
        <v>2865</v>
      </c>
      <c r="D733" s="6">
        <v>0</v>
      </c>
      <c r="E733" s="6">
        <v>32188007</v>
      </c>
      <c r="F733" s="6" t="s">
        <v>355</v>
      </c>
      <c r="G733" s="6" t="s">
        <v>2860</v>
      </c>
      <c r="H733" s="6" t="s">
        <v>38</v>
      </c>
    </row>
    <row r="734" spans="1:8" x14ac:dyDescent="0.3">
      <c r="A734" s="6" t="s">
        <v>2858</v>
      </c>
      <c r="B734" s="6" t="s">
        <v>312</v>
      </c>
      <c r="C734" s="6" t="s">
        <v>2865</v>
      </c>
      <c r="D734" s="6" t="s">
        <v>2882</v>
      </c>
      <c r="E734" s="159">
        <v>32045378</v>
      </c>
      <c r="F734" s="159" t="s">
        <v>313</v>
      </c>
      <c r="G734" s="6" t="s">
        <v>2860</v>
      </c>
      <c r="H734" s="6" t="s">
        <v>62</v>
      </c>
    </row>
    <row r="735" spans="1:8" x14ac:dyDescent="0.3">
      <c r="A735" s="6" t="s">
        <v>2858</v>
      </c>
      <c r="B735" s="6" t="s">
        <v>312</v>
      </c>
      <c r="C735" s="6" t="s">
        <v>2865</v>
      </c>
      <c r="D735" s="6">
        <v>0</v>
      </c>
      <c r="E735" s="6">
        <v>32045438</v>
      </c>
      <c r="F735" s="6" t="s">
        <v>326</v>
      </c>
      <c r="G735" s="6" t="s">
        <v>2860</v>
      </c>
      <c r="H735" s="6" t="s">
        <v>35</v>
      </c>
    </row>
    <row r="736" spans="1:8" x14ac:dyDescent="0.3">
      <c r="A736" s="6" t="s">
        <v>2858</v>
      </c>
      <c r="B736" s="6" t="s">
        <v>312</v>
      </c>
      <c r="C736" s="6" t="s">
        <v>2865</v>
      </c>
      <c r="D736" s="6">
        <v>0</v>
      </c>
      <c r="E736" s="6">
        <v>32132194</v>
      </c>
      <c r="F736" s="6" t="s">
        <v>359</v>
      </c>
      <c r="G736" s="6" t="s">
        <v>2860</v>
      </c>
      <c r="H736" s="6" t="s">
        <v>41</v>
      </c>
    </row>
    <row r="737" spans="1:8" x14ac:dyDescent="0.3">
      <c r="A737" s="6" t="s">
        <v>2858</v>
      </c>
      <c r="B737" s="6" t="s">
        <v>312</v>
      </c>
      <c r="C737" s="6" t="s">
        <v>2865</v>
      </c>
      <c r="D737" s="6">
        <v>0</v>
      </c>
      <c r="E737" s="6">
        <v>32209189</v>
      </c>
      <c r="F737" s="6" t="s">
        <v>346</v>
      </c>
      <c r="G737" s="6" t="s">
        <v>2860</v>
      </c>
      <c r="H737" s="6" t="s">
        <v>35</v>
      </c>
    </row>
    <row r="738" spans="1:8" x14ac:dyDescent="0.3">
      <c r="A738" s="6" t="s">
        <v>2858</v>
      </c>
      <c r="B738" s="6" t="s">
        <v>1894</v>
      </c>
      <c r="C738" s="6" t="s">
        <v>2868</v>
      </c>
      <c r="D738" s="6">
        <v>0</v>
      </c>
      <c r="E738" s="6">
        <v>32044273</v>
      </c>
      <c r="F738" s="6" t="s">
        <v>1897</v>
      </c>
      <c r="G738" s="6" t="s">
        <v>2860</v>
      </c>
      <c r="H738" s="6" t="s">
        <v>35</v>
      </c>
    </row>
    <row r="739" spans="1:8" x14ac:dyDescent="0.3">
      <c r="A739" s="6" t="s">
        <v>2858</v>
      </c>
      <c r="B739" s="6" t="s">
        <v>1894</v>
      </c>
      <c r="C739" s="6" t="s">
        <v>2868</v>
      </c>
      <c r="D739" s="6">
        <v>0</v>
      </c>
      <c r="E739" s="6">
        <v>32044433</v>
      </c>
      <c r="F739" s="6" t="s">
        <v>1899</v>
      </c>
      <c r="G739" s="6" t="s">
        <v>2860</v>
      </c>
      <c r="H739" s="6" t="s">
        <v>41</v>
      </c>
    </row>
    <row r="740" spans="1:8" x14ac:dyDescent="0.3">
      <c r="A740" s="6" t="s">
        <v>2858</v>
      </c>
      <c r="B740" s="6" t="s">
        <v>1894</v>
      </c>
      <c r="C740" s="6" t="s">
        <v>2868</v>
      </c>
      <c r="D740" s="6">
        <v>0</v>
      </c>
      <c r="E740" s="6">
        <v>32043851</v>
      </c>
      <c r="F740" s="6" t="s">
        <v>1901</v>
      </c>
      <c r="G740" s="6" t="s">
        <v>2860</v>
      </c>
      <c r="H740" s="6" t="s">
        <v>1584</v>
      </c>
    </row>
    <row r="741" spans="1:8" x14ac:dyDescent="0.3">
      <c r="A741" s="6" t="s">
        <v>2858</v>
      </c>
      <c r="B741" s="6" t="s">
        <v>1894</v>
      </c>
      <c r="C741" s="6" t="s">
        <v>2868</v>
      </c>
      <c r="D741" s="6">
        <v>0</v>
      </c>
      <c r="E741" s="6">
        <v>32044204</v>
      </c>
      <c r="F741" s="6" t="s">
        <v>1903</v>
      </c>
      <c r="G741" s="6" t="s">
        <v>2860</v>
      </c>
      <c r="H741" s="6" t="s">
        <v>41</v>
      </c>
    </row>
    <row r="742" spans="1:8" x14ac:dyDescent="0.3">
      <c r="A742" s="6" t="s">
        <v>2858</v>
      </c>
      <c r="B742" s="6" t="s">
        <v>1894</v>
      </c>
      <c r="C742" s="6" t="s">
        <v>2868</v>
      </c>
      <c r="D742" s="6">
        <v>0</v>
      </c>
      <c r="E742" s="6">
        <v>32045864</v>
      </c>
      <c r="F742" s="6" t="s">
        <v>1905</v>
      </c>
      <c r="G742" s="6" t="s">
        <v>2860</v>
      </c>
      <c r="H742" s="6" t="s">
        <v>38</v>
      </c>
    </row>
    <row r="743" spans="1:8" x14ac:dyDescent="0.3">
      <c r="A743" s="6" t="s">
        <v>2858</v>
      </c>
      <c r="B743" s="6" t="s">
        <v>1894</v>
      </c>
      <c r="C743" s="6" t="s">
        <v>2868</v>
      </c>
      <c r="D743" s="6">
        <v>0</v>
      </c>
      <c r="E743" s="6">
        <v>32044888</v>
      </c>
      <c r="F743" s="6" t="s">
        <v>1907</v>
      </c>
      <c r="G743" s="6" t="s">
        <v>2860</v>
      </c>
      <c r="H743" s="6" t="s">
        <v>44</v>
      </c>
    </row>
    <row r="744" spans="1:8" x14ac:dyDescent="0.3">
      <c r="A744" s="6" t="s">
        <v>2858</v>
      </c>
      <c r="B744" s="6" t="s">
        <v>1894</v>
      </c>
      <c r="C744" s="6" t="s">
        <v>2868</v>
      </c>
      <c r="D744" s="6">
        <v>0</v>
      </c>
      <c r="E744" s="6">
        <v>32044303</v>
      </c>
      <c r="F744" s="6" t="s">
        <v>1909</v>
      </c>
      <c r="G744" s="6" t="s">
        <v>2860</v>
      </c>
      <c r="H744" s="6" t="s">
        <v>47</v>
      </c>
    </row>
    <row r="745" spans="1:8" x14ac:dyDescent="0.3">
      <c r="A745" s="6" t="s">
        <v>2858</v>
      </c>
      <c r="B745" s="6" t="s">
        <v>1894</v>
      </c>
      <c r="C745" s="6" t="s">
        <v>2868</v>
      </c>
      <c r="D745" s="6" t="s">
        <v>2882</v>
      </c>
      <c r="E745" s="6">
        <v>32164996</v>
      </c>
      <c r="F745" s="6" t="s">
        <v>1895</v>
      </c>
      <c r="G745" s="6" t="s">
        <v>2344</v>
      </c>
      <c r="H745" s="6" t="s">
        <v>2882</v>
      </c>
    </row>
    <row r="746" spans="1:8" x14ac:dyDescent="0.3">
      <c r="A746" s="6" t="s">
        <v>2858</v>
      </c>
      <c r="B746" s="6" t="s">
        <v>1832</v>
      </c>
      <c r="C746" s="6" t="s">
        <v>2869</v>
      </c>
      <c r="D746" s="6" t="s">
        <v>1831</v>
      </c>
      <c r="E746" s="6">
        <v>32044906</v>
      </c>
      <c r="F746" s="6" t="s">
        <v>1838</v>
      </c>
      <c r="G746" s="6" t="s">
        <v>2860</v>
      </c>
      <c r="H746" s="6" t="s">
        <v>35</v>
      </c>
    </row>
    <row r="747" spans="1:8" x14ac:dyDescent="0.3">
      <c r="A747" s="6" t="s">
        <v>2858</v>
      </c>
      <c r="B747" s="6" t="s">
        <v>1832</v>
      </c>
      <c r="C747" s="6" t="s">
        <v>2869</v>
      </c>
      <c r="D747" s="6" t="s">
        <v>1831</v>
      </c>
      <c r="E747" s="6">
        <v>32197845</v>
      </c>
      <c r="F747" s="6" t="s">
        <v>1836</v>
      </c>
      <c r="G747" s="6" t="s">
        <v>2860</v>
      </c>
      <c r="H747" s="6" t="s">
        <v>3199</v>
      </c>
    </row>
    <row r="748" spans="1:8" x14ac:dyDescent="0.3">
      <c r="A748" s="6" t="s">
        <v>2858</v>
      </c>
      <c r="B748" s="6" t="s">
        <v>1832</v>
      </c>
      <c r="C748" s="6" t="s">
        <v>2869</v>
      </c>
      <c r="D748" s="6" t="s">
        <v>1831</v>
      </c>
      <c r="E748" s="6">
        <v>32046447</v>
      </c>
      <c r="F748" s="6" t="s">
        <v>1835</v>
      </c>
      <c r="G748" s="6" t="s">
        <v>2860</v>
      </c>
      <c r="H748" s="6" t="s">
        <v>62</v>
      </c>
    </row>
    <row r="749" spans="1:8" x14ac:dyDescent="0.3">
      <c r="A749" s="6" t="s">
        <v>2858</v>
      </c>
      <c r="B749" s="6" t="s">
        <v>1832</v>
      </c>
      <c r="C749" s="6" t="s">
        <v>2869</v>
      </c>
      <c r="D749" s="6" t="s">
        <v>1831</v>
      </c>
      <c r="E749" s="6">
        <v>32230863</v>
      </c>
      <c r="F749" s="6" t="s">
        <v>1834</v>
      </c>
      <c r="G749" s="6" t="s">
        <v>2860</v>
      </c>
      <c r="H749" s="6" t="s">
        <v>47</v>
      </c>
    </row>
    <row r="750" spans="1:8" x14ac:dyDescent="0.3">
      <c r="A750" s="6" t="s">
        <v>2858</v>
      </c>
      <c r="B750" s="6" t="s">
        <v>1832</v>
      </c>
      <c r="C750" s="6" t="s">
        <v>2869</v>
      </c>
      <c r="D750" s="6" t="s">
        <v>2882</v>
      </c>
      <c r="E750" s="6">
        <v>32195392</v>
      </c>
      <c r="F750" s="6" t="s">
        <v>3200</v>
      </c>
      <c r="G750" s="6" t="s">
        <v>2344</v>
      </c>
      <c r="H750" s="6" t="s">
        <v>2882</v>
      </c>
    </row>
    <row r="751" spans="1:8" x14ac:dyDescent="0.3">
      <c r="A751" s="6" t="s">
        <v>2858</v>
      </c>
      <c r="B751" s="6" t="s">
        <v>2880</v>
      </c>
      <c r="C751" s="6" t="s">
        <v>2868</v>
      </c>
      <c r="D751" s="6" t="s">
        <v>2882</v>
      </c>
      <c r="E751" s="6">
        <v>32045881</v>
      </c>
      <c r="F751" s="6" t="s">
        <v>1963</v>
      </c>
      <c r="G751" s="6" t="s">
        <v>2344</v>
      </c>
      <c r="H751" s="6" t="s">
        <v>2882</v>
      </c>
    </row>
    <row r="752" spans="1:8" x14ac:dyDescent="0.3">
      <c r="A752" s="6" t="s">
        <v>2858</v>
      </c>
      <c r="B752" s="6" t="s">
        <v>2880</v>
      </c>
      <c r="C752" s="6" t="s">
        <v>2868</v>
      </c>
      <c r="D752" s="6">
        <v>0</v>
      </c>
      <c r="E752" s="6">
        <v>32045544</v>
      </c>
      <c r="F752" s="6" t="s">
        <v>1965</v>
      </c>
      <c r="G752" s="6" t="s">
        <v>2860</v>
      </c>
      <c r="H752" s="6" t="s">
        <v>41</v>
      </c>
    </row>
    <row r="753" spans="1:8" x14ac:dyDescent="0.3">
      <c r="A753" s="6" t="s">
        <v>2858</v>
      </c>
      <c r="B753" s="6" t="s">
        <v>2880</v>
      </c>
      <c r="C753" s="6" t="s">
        <v>2868</v>
      </c>
      <c r="D753" s="6">
        <v>0</v>
      </c>
      <c r="E753" s="6">
        <v>32044266</v>
      </c>
      <c r="F753" s="6" t="s">
        <v>1967</v>
      </c>
      <c r="G753" s="6" t="s">
        <v>2860</v>
      </c>
      <c r="H753" s="6" t="s">
        <v>41</v>
      </c>
    </row>
    <row r="754" spans="1:8" x14ac:dyDescent="0.3">
      <c r="A754" s="6" t="s">
        <v>2858</v>
      </c>
      <c r="B754" s="6" t="s">
        <v>2880</v>
      </c>
      <c r="C754" s="6" t="s">
        <v>2868</v>
      </c>
      <c r="D754" s="6">
        <v>0</v>
      </c>
      <c r="E754" s="6">
        <v>32045442</v>
      </c>
      <c r="F754" s="6" t="s">
        <v>1969</v>
      </c>
      <c r="G754" s="6" t="s">
        <v>2860</v>
      </c>
      <c r="H754" s="6" t="s">
        <v>41</v>
      </c>
    </row>
    <row r="755" spans="1:8" x14ac:dyDescent="0.3">
      <c r="A755" s="6" t="s">
        <v>2858</v>
      </c>
      <c r="B755" s="6" t="s">
        <v>2880</v>
      </c>
      <c r="C755" s="6" t="s">
        <v>2868</v>
      </c>
      <c r="D755" s="6">
        <v>0</v>
      </c>
      <c r="E755" s="6">
        <v>32045490</v>
      </c>
      <c r="F755" s="6" t="s">
        <v>1971</v>
      </c>
      <c r="G755" s="6" t="s">
        <v>2860</v>
      </c>
      <c r="H755" s="6" t="s">
        <v>38</v>
      </c>
    </row>
    <row r="756" spans="1:8" x14ac:dyDescent="0.3">
      <c r="A756" s="6" t="s">
        <v>2858</v>
      </c>
      <c r="B756" s="6" t="s">
        <v>2880</v>
      </c>
      <c r="C756" s="6" t="s">
        <v>2868</v>
      </c>
      <c r="D756" s="6">
        <v>0</v>
      </c>
      <c r="E756" s="6">
        <v>32045840</v>
      </c>
      <c r="F756" s="6" t="s">
        <v>1973</v>
      </c>
      <c r="G756" s="6" t="s">
        <v>2860</v>
      </c>
      <c r="H756" s="6" t="s">
        <v>41</v>
      </c>
    </row>
    <row r="757" spans="1:8" x14ac:dyDescent="0.3">
      <c r="A757" s="6" t="s">
        <v>2858</v>
      </c>
      <c r="B757" s="6" t="s">
        <v>2880</v>
      </c>
      <c r="C757" s="6" t="s">
        <v>2868</v>
      </c>
      <c r="D757" s="6">
        <v>0</v>
      </c>
      <c r="E757" s="6">
        <v>32045441</v>
      </c>
      <c r="F757" s="6" t="s">
        <v>1975</v>
      </c>
      <c r="G757" s="6" t="s">
        <v>2860</v>
      </c>
      <c r="H757" s="6" t="s">
        <v>38</v>
      </c>
    </row>
    <row r="758" spans="1:8" x14ac:dyDescent="0.3">
      <c r="A758" s="6" t="s">
        <v>2858</v>
      </c>
      <c r="B758" s="6" t="s">
        <v>2880</v>
      </c>
      <c r="C758" s="6" t="s">
        <v>2868</v>
      </c>
      <c r="D758" s="6">
        <v>0</v>
      </c>
      <c r="E758" s="6">
        <v>32132187</v>
      </c>
      <c r="F758" s="6" t="s">
        <v>1977</v>
      </c>
      <c r="G758" s="6" t="s">
        <v>2860</v>
      </c>
      <c r="H758" s="6" t="s">
        <v>47</v>
      </c>
    </row>
    <row r="759" spans="1:8" x14ac:dyDescent="0.3">
      <c r="A759" s="6" t="s">
        <v>2858</v>
      </c>
      <c r="B759" s="6" t="s">
        <v>2880</v>
      </c>
      <c r="C759" s="6" t="s">
        <v>2868</v>
      </c>
      <c r="D759" s="6">
        <v>0</v>
      </c>
      <c r="E759" s="6">
        <v>32045491</v>
      </c>
      <c r="F759" s="6" t="s">
        <v>1979</v>
      </c>
      <c r="G759" s="6" t="s">
        <v>2860</v>
      </c>
      <c r="H759" s="6" t="s">
        <v>44</v>
      </c>
    </row>
    <row r="760" spans="1:8" x14ac:dyDescent="0.3">
      <c r="A760" s="6" t="s">
        <v>2858</v>
      </c>
      <c r="B760" s="6" t="s">
        <v>2880</v>
      </c>
      <c r="C760" s="6" t="s">
        <v>2868</v>
      </c>
      <c r="D760" s="6">
        <v>0</v>
      </c>
      <c r="E760" s="6">
        <v>32045857</v>
      </c>
      <c r="F760" s="6" t="s">
        <v>1981</v>
      </c>
      <c r="G760" s="6" t="s">
        <v>2860</v>
      </c>
      <c r="H760" s="6" t="s">
        <v>47</v>
      </c>
    </row>
    <row r="761" spans="1:8" x14ac:dyDescent="0.3">
      <c r="A761" s="6" t="s">
        <v>2858</v>
      </c>
      <c r="B761" s="6" t="s">
        <v>2880</v>
      </c>
      <c r="C761" s="6" t="s">
        <v>2868</v>
      </c>
      <c r="D761" s="6">
        <v>0</v>
      </c>
      <c r="E761" s="6">
        <v>32045419</v>
      </c>
      <c r="F761" s="6" t="s">
        <v>1983</v>
      </c>
      <c r="G761" s="6" t="s">
        <v>2860</v>
      </c>
      <c r="H761" s="6" t="s">
        <v>44</v>
      </c>
    </row>
    <row r="762" spans="1:8" x14ac:dyDescent="0.3">
      <c r="A762" s="6" t="s">
        <v>2858</v>
      </c>
      <c r="B762" s="6" t="s">
        <v>2880</v>
      </c>
      <c r="C762" s="6" t="s">
        <v>2868</v>
      </c>
      <c r="D762" s="6">
        <v>0</v>
      </c>
      <c r="E762" s="6">
        <v>32044798</v>
      </c>
      <c r="F762" s="6" t="s">
        <v>1985</v>
      </c>
      <c r="G762" s="6" t="s">
        <v>2860</v>
      </c>
      <c r="H762" s="6" t="s">
        <v>38</v>
      </c>
    </row>
    <row r="763" spans="1:8" x14ac:dyDescent="0.3">
      <c r="A763" s="6" t="s">
        <v>2858</v>
      </c>
      <c r="B763" s="6" t="s">
        <v>2880</v>
      </c>
      <c r="C763" s="6" t="s">
        <v>2868</v>
      </c>
      <c r="D763" s="6">
        <v>0</v>
      </c>
      <c r="E763" s="6">
        <v>32044309</v>
      </c>
      <c r="F763" s="6" t="s">
        <v>1987</v>
      </c>
      <c r="G763" s="6" t="s">
        <v>2860</v>
      </c>
      <c r="H763" s="6" t="s">
        <v>44</v>
      </c>
    </row>
    <row r="764" spans="1:8" x14ac:dyDescent="0.3">
      <c r="A764" s="6" t="s">
        <v>2858</v>
      </c>
      <c r="B764" s="6" t="s">
        <v>2880</v>
      </c>
      <c r="C764" s="6" t="s">
        <v>2868</v>
      </c>
      <c r="D764" s="6">
        <v>0</v>
      </c>
      <c r="E764" s="6">
        <v>32044517</v>
      </c>
      <c r="F764" s="6" t="s">
        <v>1989</v>
      </c>
      <c r="G764" s="6" t="s">
        <v>2860</v>
      </c>
      <c r="H764" s="6" t="s">
        <v>47</v>
      </c>
    </row>
    <row r="765" spans="1:8" x14ac:dyDescent="0.3">
      <c r="A765" s="6" t="s">
        <v>2858</v>
      </c>
      <c r="B765" s="6" t="s">
        <v>1911</v>
      </c>
      <c r="C765" s="6" t="s">
        <v>2868</v>
      </c>
      <c r="D765" s="6" t="s">
        <v>2882</v>
      </c>
      <c r="E765" s="6">
        <v>32045053</v>
      </c>
      <c r="F765" s="6" t="s">
        <v>1912</v>
      </c>
      <c r="G765" s="6" t="s">
        <v>2344</v>
      </c>
      <c r="H765" s="6" t="s">
        <v>2882</v>
      </c>
    </row>
    <row r="766" spans="1:8" x14ac:dyDescent="0.3">
      <c r="A766" s="6" t="s">
        <v>2858</v>
      </c>
      <c r="B766" s="6" t="s">
        <v>1911</v>
      </c>
      <c r="C766" s="6" t="s">
        <v>2868</v>
      </c>
      <c r="D766" s="6">
        <v>0</v>
      </c>
      <c r="E766" s="6">
        <v>32043834</v>
      </c>
      <c r="F766" s="6" t="s">
        <v>1914</v>
      </c>
      <c r="G766" s="6" t="s">
        <v>2860</v>
      </c>
      <c r="H766" s="6" t="s">
        <v>44</v>
      </c>
    </row>
    <row r="767" spans="1:8" x14ac:dyDescent="0.3">
      <c r="A767" s="6" t="s">
        <v>2858</v>
      </c>
      <c r="B767" s="6" t="s">
        <v>1911</v>
      </c>
      <c r="C767" s="6" t="s">
        <v>2868</v>
      </c>
      <c r="D767" s="6">
        <v>0</v>
      </c>
      <c r="E767" s="6">
        <v>32045336</v>
      </c>
      <c r="F767" s="6" t="s">
        <v>1916</v>
      </c>
      <c r="G767" s="6" t="s">
        <v>2860</v>
      </c>
      <c r="H767" s="6" t="s">
        <v>38</v>
      </c>
    </row>
    <row r="768" spans="1:8" x14ac:dyDescent="0.3">
      <c r="A768" s="6" t="s">
        <v>2858</v>
      </c>
      <c r="B768" s="6" t="s">
        <v>1911</v>
      </c>
      <c r="C768" s="6" t="s">
        <v>2868</v>
      </c>
      <c r="D768" s="6">
        <v>0</v>
      </c>
      <c r="E768" s="6">
        <v>32043751</v>
      </c>
      <c r="F768" s="6" t="s">
        <v>1918</v>
      </c>
      <c r="G768" s="6" t="s">
        <v>2860</v>
      </c>
      <c r="H768" s="6" t="s">
        <v>41</v>
      </c>
    </row>
    <row r="769" spans="1:8" x14ac:dyDescent="0.3">
      <c r="A769" s="6" t="s">
        <v>2858</v>
      </c>
      <c r="B769" s="6" t="s">
        <v>1911</v>
      </c>
      <c r="C769" s="6" t="s">
        <v>2868</v>
      </c>
      <c r="D769" s="6">
        <v>0</v>
      </c>
      <c r="E769" s="6">
        <v>32045705</v>
      </c>
      <c r="F769" s="6" t="s">
        <v>1920</v>
      </c>
      <c r="G769" s="6" t="s">
        <v>2860</v>
      </c>
      <c r="H769" s="6" t="s">
        <v>41</v>
      </c>
    </row>
    <row r="770" spans="1:8" x14ac:dyDescent="0.3">
      <c r="A770" s="6" t="s">
        <v>2858</v>
      </c>
      <c r="B770" s="6" t="s">
        <v>1911</v>
      </c>
      <c r="C770" s="6" t="s">
        <v>2868</v>
      </c>
      <c r="D770" s="6">
        <v>0</v>
      </c>
      <c r="E770" s="6">
        <v>32043737</v>
      </c>
      <c r="F770" s="6" t="s">
        <v>1922</v>
      </c>
      <c r="G770" s="6" t="s">
        <v>2860</v>
      </c>
      <c r="H770" s="6" t="s">
        <v>41</v>
      </c>
    </row>
    <row r="771" spans="1:8" x14ac:dyDescent="0.3">
      <c r="A771" s="6" t="s">
        <v>2858</v>
      </c>
      <c r="B771" s="6" t="s">
        <v>1911</v>
      </c>
      <c r="C771" s="6" t="s">
        <v>2868</v>
      </c>
      <c r="D771" s="6">
        <v>0</v>
      </c>
      <c r="E771" s="6">
        <v>32045786</v>
      </c>
      <c r="F771" s="6" t="s">
        <v>1924</v>
      </c>
      <c r="G771" s="6" t="s">
        <v>2860</v>
      </c>
      <c r="H771" s="6" t="s">
        <v>35</v>
      </c>
    </row>
    <row r="772" spans="1:8" x14ac:dyDescent="0.3">
      <c r="A772" s="6" t="s">
        <v>2858</v>
      </c>
      <c r="B772" s="6" t="s">
        <v>1911</v>
      </c>
      <c r="C772" s="6" t="s">
        <v>2868</v>
      </c>
      <c r="D772" s="6">
        <v>0</v>
      </c>
      <c r="E772" s="6">
        <v>32045497</v>
      </c>
      <c r="F772" s="6" t="s">
        <v>1926</v>
      </c>
      <c r="G772" s="6" t="s">
        <v>2860</v>
      </c>
      <c r="H772" s="6" t="s">
        <v>41</v>
      </c>
    </row>
    <row r="773" spans="1:8" x14ac:dyDescent="0.3">
      <c r="A773" s="6" t="s">
        <v>2858</v>
      </c>
      <c r="B773" s="6" t="s">
        <v>1911</v>
      </c>
      <c r="C773" s="6" t="s">
        <v>2868</v>
      </c>
      <c r="D773" s="6">
        <v>0</v>
      </c>
      <c r="E773" s="6">
        <v>32094845</v>
      </c>
      <c r="F773" s="6" t="s">
        <v>1928</v>
      </c>
      <c r="G773" s="6" t="s">
        <v>2860</v>
      </c>
      <c r="H773" s="6" t="s">
        <v>35</v>
      </c>
    </row>
    <row r="774" spans="1:8" x14ac:dyDescent="0.3">
      <c r="A774" s="6" t="s">
        <v>2858</v>
      </c>
      <c r="B774" s="6" t="s">
        <v>1911</v>
      </c>
      <c r="C774" s="6" t="s">
        <v>2868</v>
      </c>
      <c r="D774" s="6">
        <v>0</v>
      </c>
      <c r="E774" s="6">
        <v>32044432</v>
      </c>
      <c r="F774" s="6" t="s">
        <v>1930</v>
      </c>
      <c r="G774" s="6" t="s">
        <v>2860</v>
      </c>
      <c r="H774" s="6" t="s">
        <v>38</v>
      </c>
    </row>
    <row r="775" spans="1:8" x14ac:dyDescent="0.3">
      <c r="A775" s="6" t="s">
        <v>2858</v>
      </c>
      <c r="B775" s="6" t="s">
        <v>1911</v>
      </c>
      <c r="C775" s="6" t="s">
        <v>2868</v>
      </c>
      <c r="D775" s="6">
        <v>0</v>
      </c>
      <c r="E775" s="6">
        <v>32044261</v>
      </c>
      <c r="F775" s="6" t="s">
        <v>1932</v>
      </c>
      <c r="G775" s="6" t="s">
        <v>2860</v>
      </c>
      <c r="H775" s="6" t="s">
        <v>47</v>
      </c>
    </row>
    <row r="776" spans="1:8" x14ac:dyDescent="0.3">
      <c r="A776" s="6" t="s">
        <v>2858</v>
      </c>
      <c r="B776" s="6" t="s">
        <v>3201</v>
      </c>
      <c r="C776" s="6" t="s">
        <v>2869</v>
      </c>
      <c r="D776" s="6" t="s">
        <v>1639</v>
      </c>
      <c r="E776" s="6">
        <v>32227720</v>
      </c>
      <c r="F776" s="6" t="s">
        <v>1643</v>
      </c>
      <c r="G776" s="6" t="s">
        <v>2860</v>
      </c>
      <c r="H776" s="6" t="s">
        <v>47</v>
      </c>
    </row>
    <row r="777" spans="1:8" x14ac:dyDescent="0.3">
      <c r="A777" s="6" t="s">
        <v>2858</v>
      </c>
      <c r="B777" s="6" t="s">
        <v>3201</v>
      </c>
      <c r="C777" s="6" t="s">
        <v>2869</v>
      </c>
      <c r="D777" s="6" t="s">
        <v>1639</v>
      </c>
      <c r="E777" s="6">
        <v>32197848</v>
      </c>
      <c r="F777" s="6" t="s">
        <v>1644</v>
      </c>
      <c r="G777" s="6" t="s">
        <v>2860</v>
      </c>
      <c r="H777" s="6" t="s">
        <v>1584</v>
      </c>
    </row>
    <row r="778" spans="1:8" x14ac:dyDescent="0.3">
      <c r="A778" s="6" t="s">
        <v>2858</v>
      </c>
      <c r="B778" s="6" t="s">
        <v>3201</v>
      </c>
      <c r="C778" s="6" t="s">
        <v>2869</v>
      </c>
      <c r="D778" s="6" t="s">
        <v>2882</v>
      </c>
      <c r="E778" s="6">
        <v>32172282</v>
      </c>
      <c r="F778" s="6" t="s">
        <v>1641</v>
      </c>
      <c r="G778" s="6" t="s">
        <v>2344</v>
      </c>
      <c r="H778" s="6" t="s">
        <v>2882</v>
      </c>
    </row>
    <row r="779" spans="1:8" x14ac:dyDescent="0.3">
      <c r="A779" s="6" t="s">
        <v>2858</v>
      </c>
      <c r="B779" s="6" t="s">
        <v>2264</v>
      </c>
      <c r="C779" s="6" t="s">
        <v>2859</v>
      </c>
      <c r="D779" s="6" t="s">
        <v>2882</v>
      </c>
      <c r="E779" s="6">
        <v>32151318</v>
      </c>
      <c r="F779" s="6" t="s">
        <v>2265</v>
      </c>
      <c r="G779" s="6" t="s">
        <v>2344</v>
      </c>
      <c r="H779" s="6" t="s">
        <v>2882</v>
      </c>
    </row>
    <row r="780" spans="1:8" x14ac:dyDescent="0.3">
      <c r="A780" s="6" t="s">
        <v>2858</v>
      </c>
      <c r="B780" s="6" t="s">
        <v>2264</v>
      </c>
      <c r="C780" s="6" t="s">
        <v>2859</v>
      </c>
      <c r="D780" s="6" t="s">
        <v>2235</v>
      </c>
      <c r="E780" s="6">
        <v>32137944</v>
      </c>
      <c r="F780" s="6" t="s">
        <v>2272</v>
      </c>
      <c r="G780" s="6" t="s">
        <v>2860</v>
      </c>
      <c r="H780" s="6" t="s">
        <v>47</v>
      </c>
    </row>
    <row r="781" spans="1:8" x14ac:dyDescent="0.3">
      <c r="A781" s="6" t="s">
        <v>2858</v>
      </c>
      <c r="B781" s="6" t="s">
        <v>2264</v>
      </c>
      <c r="C781" s="6" t="s">
        <v>2859</v>
      </c>
      <c r="D781" s="6" t="s">
        <v>2235</v>
      </c>
      <c r="E781" s="6">
        <v>32045518</v>
      </c>
      <c r="F781" s="6" t="s">
        <v>2266</v>
      </c>
      <c r="G781" s="6" t="s">
        <v>2860</v>
      </c>
      <c r="H781" s="6" t="s">
        <v>44</v>
      </c>
    </row>
    <row r="782" spans="1:8" x14ac:dyDescent="0.3">
      <c r="A782" s="6" t="s">
        <v>2858</v>
      </c>
      <c r="B782" s="6" t="s">
        <v>2264</v>
      </c>
      <c r="C782" s="6" t="s">
        <v>2859</v>
      </c>
      <c r="D782" s="6" t="s">
        <v>2235</v>
      </c>
      <c r="E782" s="6">
        <v>32044297</v>
      </c>
      <c r="F782" s="6" t="s">
        <v>2269</v>
      </c>
      <c r="G782" s="6" t="s">
        <v>2860</v>
      </c>
      <c r="H782" s="6" t="s">
        <v>41</v>
      </c>
    </row>
    <row r="783" spans="1:8" x14ac:dyDescent="0.3">
      <c r="A783" s="6" t="s">
        <v>2858</v>
      </c>
      <c r="B783" s="6" t="s">
        <v>2264</v>
      </c>
      <c r="C783" s="6" t="s">
        <v>2859</v>
      </c>
      <c r="D783" s="6" t="s">
        <v>2235</v>
      </c>
      <c r="E783" s="6">
        <v>32045905</v>
      </c>
      <c r="F783" s="6" t="s">
        <v>2267</v>
      </c>
      <c r="G783" s="6" t="s">
        <v>2860</v>
      </c>
      <c r="H783" s="6" t="s">
        <v>62</v>
      </c>
    </row>
    <row r="784" spans="1:8" x14ac:dyDescent="0.3">
      <c r="A784" s="6" t="s">
        <v>2858</v>
      </c>
      <c r="B784" s="6" t="s">
        <v>2264</v>
      </c>
      <c r="C784" s="6" t="s">
        <v>2859</v>
      </c>
      <c r="D784" s="6" t="s">
        <v>2235</v>
      </c>
      <c r="E784" s="6">
        <v>32044401</v>
      </c>
      <c r="F784" s="6" t="s">
        <v>2271</v>
      </c>
      <c r="G784" s="6" t="s">
        <v>2860</v>
      </c>
      <c r="H784" s="6" t="s">
        <v>47</v>
      </c>
    </row>
    <row r="785" spans="1:8" x14ac:dyDescent="0.3">
      <c r="A785" s="6" t="s">
        <v>2858</v>
      </c>
      <c r="B785" s="6" t="s">
        <v>2264</v>
      </c>
      <c r="C785" s="6" t="s">
        <v>2859</v>
      </c>
      <c r="D785" s="6" t="s">
        <v>2235</v>
      </c>
      <c r="E785" s="6">
        <v>32072230</v>
      </c>
      <c r="F785" s="6" t="s">
        <v>2270</v>
      </c>
      <c r="G785" s="6" t="s">
        <v>2860</v>
      </c>
      <c r="H785" s="6" t="s">
        <v>38</v>
      </c>
    </row>
    <row r="786" spans="1:8" x14ac:dyDescent="0.3">
      <c r="A786" s="6" t="s">
        <v>2858</v>
      </c>
      <c r="B786" s="6" t="s">
        <v>2264</v>
      </c>
      <c r="C786" s="6" t="s">
        <v>2859</v>
      </c>
      <c r="D786" s="6" t="s">
        <v>2235</v>
      </c>
      <c r="E786" s="6">
        <v>32044988</v>
      </c>
      <c r="F786" s="6" t="s">
        <v>2268</v>
      </c>
      <c r="G786" s="6" t="s">
        <v>2860</v>
      </c>
      <c r="H786" s="6" t="s">
        <v>35</v>
      </c>
    </row>
    <row r="787" spans="1:8" x14ac:dyDescent="0.3">
      <c r="A787" s="6" t="s">
        <v>2858</v>
      </c>
      <c r="B787" s="6" t="s">
        <v>3202</v>
      </c>
      <c r="C787" s="6" t="s">
        <v>2861</v>
      </c>
      <c r="D787" s="6">
        <v>7</v>
      </c>
      <c r="E787" s="6">
        <v>32156641</v>
      </c>
      <c r="F787" s="6" t="s">
        <v>3012</v>
      </c>
      <c r="G787" s="6" t="s">
        <v>2344</v>
      </c>
      <c r="H787" s="6" t="s">
        <v>2882</v>
      </c>
    </row>
    <row r="788" spans="1:8" x14ac:dyDescent="0.3">
      <c r="A788" s="6" t="s">
        <v>2858</v>
      </c>
      <c r="B788" s="6" t="s">
        <v>3202</v>
      </c>
      <c r="C788" s="6" t="s">
        <v>2861</v>
      </c>
      <c r="D788" s="6">
        <v>7</v>
      </c>
      <c r="E788" s="6">
        <v>32046570</v>
      </c>
      <c r="F788" s="6" t="s">
        <v>3203</v>
      </c>
      <c r="G788" s="6" t="s">
        <v>2860</v>
      </c>
      <c r="H788" s="6" t="s">
        <v>35</v>
      </c>
    </row>
    <row r="789" spans="1:8" x14ac:dyDescent="0.3">
      <c r="A789" s="6" t="s">
        <v>2858</v>
      </c>
      <c r="B789" s="6" t="s">
        <v>3202</v>
      </c>
      <c r="C789" s="6" t="s">
        <v>2861</v>
      </c>
      <c r="D789" s="6">
        <v>7</v>
      </c>
      <c r="E789" s="6">
        <v>32044082</v>
      </c>
      <c r="F789" s="6" t="s">
        <v>3204</v>
      </c>
      <c r="G789" s="6" t="s">
        <v>2860</v>
      </c>
      <c r="H789" s="6" t="s">
        <v>62</v>
      </c>
    </row>
    <row r="790" spans="1:8" x14ac:dyDescent="0.3">
      <c r="A790" s="6" t="s">
        <v>2858</v>
      </c>
      <c r="B790" s="6" t="s">
        <v>3202</v>
      </c>
      <c r="C790" s="6" t="s">
        <v>2861</v>
      </c>
      <c r="D790" s="6">
        <v>7</v>
      </c>
      <c r="E790" s="6">
        <v>32132050</v>
      </c>
      <c r="F790" s="6" t="s">
        <v>3205</v>
      </c>
      <c r="G790" s="6" t="s">
        <v>2860</v>
      </c>
      <c r="H790" s="6" t="s">
        <v>41</v>
      </c>
    </row>
    <row r="791" spans="1:8" x14ac:dyDescent="0.3">
      <c r="A791" s="6" t="s">
        <v>2858</v>
      </c>
      <c r="B791" s="6" t="s">
        <v>3202</v>
      </c>
      <c r="C791" s="6" t="s">
        <v>2861</v>
      </c>
      <c r="D791" s="6">
        <v>7</v>
      </c>
      <c r="E791" s="6">
        <v>32044094</v>
      </c>
      <c r="F791" s="6" t="s">
        <v>3206</v>
      </c>
      <c r="G791" s="6" t="s">
        <v>2860</v>
      </c>
      <c r="H791" s="6" t="s">
        <v>35</v>
      </c>
    </row>
    <row r="792" spans="1:8" x14ac:dyDescent="0.3">
      <c r="A792" s="6" t="s">
        <v>2858</v>
      </c>
      <c r="B792" s="6" t="s">
        <v>3202</v>
      </c>
      <c r="C792" s="6" t="s">
        <v>2861</v>
      </c>
      <c r="D792" s="6">
        <v>7</v>
      </c>
      <c r="E792" s="6">
        <v>32149861</v>
      </c>
      <c r="F792" s="6" t="s">
        <v>3207</v>
      </c>
      <c r="G792" s="6" t="s">
        <v>2860</v>
      </c>
      <c r="H792" s="6" t="s">
        <v>44</v>
      </c>
    </row>
    <row r="793" spans="1:8" x14ac:dyDescent="0.3">
      <c r="A793" s="6" t="s">
        <v>2858</v>
      </c>
      <c r="B793" s="6" t="s">
        <v>3202</v>
      </c>
      <c r="C793" s="6" t="s">
        <v>2861</v>
      </c>
      <c r="D793" s="6">
        <v>7</v>
      </c>
      <c r="E793" s="6">
        <v>32046248</v>
      </c>
      <c r="F793" s="6" t="s">
        <v>3208</v>
      </c>
      <c r="G793" s="6" t="s">
        <v>2860</v>
      </c>
      <c r="H793" s="6" t="s">
        <v>1584</v>
      </c>
    </row>
    <row r="794" spans="1:8" x14ac:dyDescent="0.3">
      <c r="A794" s="6" t="s">
        <v>2858</v>
      </c>
      <c r="B794" s="6" t="s">
        <v>3202</v>
      </c>
      <c r="C794" s="6" t="s">
        <v>2861</v>
      </c>
      <c r="D794" s="6">
        <v>7</v>
      </c>
      <c r="E794" s="6">
        <v>32197895</v>
      </c>
      <c r="F794" s="6" t="s">
        <v>1527</v>
      </c>
      <c r="G794" s="6" t="s">
        <v>2860</v>
      </c>
      <c r="H794" s="6" t="s">
        <v>44</v>
      </c>
    </row>
    <row r="795" spans="1:8" x14ac:dyDescent="0.3">
      <c r="A795" s="6" t="s">
        <v>2858</v>
      </c>
      <c r="B795" s="6" t="s">
        <v>3202</v>
      </c>
      <c r="C795" s="6" t="s">
        <v>2861</v>
      </c>
      <c r="D795" s="6">
        <v>7</v>
      </c>
      <c r="E795" s="6">
        <v>32046391</v>
      </c>
      <c r="F795" s="6" t="s">
        <v>3209</v>
      </c>
      <c r="G795" s="6" t="s">
        <v>2860</v>
      </c>
      <c r="H795" s="6" t="s">
        <v>38</v>
      </c>
    </row>
    <row r="796" spans="1:8" x14ac:dyDescent="0.3">
      <c r="A796" s="6" t="s">
        <v>2858</v>
      </c>
      <c r="B796" s="6" t="s">
        <v>3202</v>
      </c>
      <c r="C796" s="6" t="s">
        <v>2861</v>
      </c>
      <c r="D796" s="6">
        <v>7</v>
      </c>
      <c r="E796" s="6">
        <v>32132238</v>
      </c>
      <c r="F796" s="6" t="s">
        <v>3210</v>
      </c>
      <c r="G796" s="6" t="s">
        <v>2860</v>
      </c>
      <c r="H796" s="6" t="s">
        <v>1584</v>
      </c>
    </row>
    <row r="797" spans="1:8" x14ac:dyDescent="0.3">
      <c r="A797" s="6" t="s">
        <v>2858</v>
      </c>
      <c r="B797" s="6" t="s">
        <v>3202</v>
      </c>
      <c r="C797" s="6" t="s">
        <v>2861</v>
      </c>
      <c r="D797" s="6">
        <v>7</v>
      </c>
      <c r="E797" s="6">
        <v>32149250</v>
      </c>
      <c r="F797" s="6" t="s">
        <v>3211</v>
      </c>
      <c r="G797" s="6" t="s">
        <v>2860</v>
      </c>
      <c r="H797" s="6" t="s">
        <v>47</v>
      </c>
    </row>
    <row r="798" spans="1:8" x14ac:dyDescent="0.3">
      <c r="A798" s="6" t="s">
        <v>2858</v>
      </c>
      <c r="B798" s="6" t="s">
        <v>3202</v>
      </c>
      <c r="C798" s="6" t="s">
        <v>2861</v>
      </c>
      <c r="D798" s="6">
        <v>7</v>
      </c>
      <c r="E798" s="6">
        <v>32139710</v>
      </c>
      <c r="F798" s="6" t="s">
        <v>3212</v>
      </c>
      <c r="G798" s="6" t="s">
        <v>2860</v>
      </c>
      <c r="H798" s="6" t="s">
        <v>47</v>
      </c>
    </row>
    <row r="799" spans="1:8" x14ac:dyDescent="0.3">
      <c r="A799" s="6" t="s">
        <v>2858</v>
      </c>
      <c r="B799" s="6" t="s">
        <v>3202</v>
      </c>
      <c r="C799" s="6" t="s">
        <v>2861</v>
      </c>
      <c r="D799" s="6">
        <v>7</v>
      </c>
      <c r="E799" s="6">
        <v>32044873</v>
      </c>
      <c r="F799" s="6" t="s">
        <v>3213</v>
      </c>
      <c r="G799" s="6" t="s">
        <v>2860</v>
      </c>
      <c r="H799" s="6" t="s">
        <v>41</v>
      </c>
    </row>
    <row r="800" spans="1:8" x14ac:dyDescent="0.3">
      <c r="A800" s="6" t="s">
        <v>2858</v>
      </c>
      <c r="B800" s="6" t="s">
        <v>3214</v>
      </c>
      <c r="C800" s="6" t="s">
        <v>2861</v>
      </c>
      <c r="D800" s="6">
        <v>10</v>
      </c>
      <c r="E800" s="6">
        <v>32045984</v>
      </c>
      <c r="F800" s="6" t="s">
        <v>3215</v>
      </c>
      <c r="G800" s="6" t="s">
        <v>2860</v>
      </c>
      <c r="H800" s="6" t="s">
        <v>1584</v>
      </c>
    </row>
    <row r="801" spans="1:8" x14ac:dyDescent="0.3">
      <c r="A801" s="6" t="s">
        <v>2858</v>
      </c>
      <c r="B801" s="6" t="s">
        <v>3214</v>
      </c>
      <c r="C801" s="6" t="s">
        <v>2861</v>
      </c>
      <c r="D801" s="6">
        <v>10</v>
      </c>
      <c r="E801" s="6">
        <v>32046198</v>
      </c>
      <c r="F801" s="6" t="s">
        <v>1567</v>
      </c>
      <c r="G801" s="6" t="s">
        <v>2860</v>
      </c>
      <c r="H801" s="6" t="s">
        <v>44</v>
      </c>
    </row>
    <row r="802" spans="1:8" x14ac:dyDescent="0.3">
      <c r="A802" s="6" t="s">
        <v>2858</v>
      </c>
      <c r="B802" s="6" t="s">
        <v>3214</v>
      </c>
      <c r="C802" s="6" t="s">
        <v>2861</v>
      </c>
      <c r="D802" s="6">
        <v>10</v>
      </c>
      <c r="E802" s="6">
        <v>32046310</v>
      </c>
      <c r="F802" s="6" t="s">
        <v>1568</v>
      </c>
      <c r="G802" s="6" t="s">
        <v>2860</v>
      </c>
      <c r="H802" s="6" t="s">
        <v>41</v>
      </c>
    </row>
    <row r="803" spans="1:8" x14ac:dyDescent="0.3">
      <c r="A803" s="6" t="s">
        <v>2858</v>
      </c>
      <c r="B803" s="6" t="s">
        <v>3214</v>
      </c>
      <c r="C803" s="6" t="s">
        <v>2861</v>
      </c>
      <c r="D803" s="6">
        <v>10</v>
      </c>
      <c r="E803" s="6">
        <v>32148632</v>
      </c>
      <c r="F803" s="6" t="s">
        <v>3216</v>
      </c>
      <c r="G803" s="6" t="s">
        <v>2860</v>
      </c>
      <c r="H803" s="6" t="s">
        <v>44</v>
      </c>
    </row>
    <row r="804" spans="1:8" x14ac:dyDescent="0.3">
      <c r="A804" s="6" t="s">
        <v>2858</v>
      </c>
      <c r="B804" s="6" t="s">
        <v>3214</v>
      </c>
      <c r="C804" s="6" t="s">
        <v>2861</v>
      </c>
      <c r="D804" s="6">
        <v>10</v>
      </c>
      <c r="E804" s="6">
        <v>32046154</v>
      </c>
      <c r="F804" s="6" t="s">
        <v>1565</v>
      </c>
      <c r="G804" s="6" t="s">
        <v>2860</v>
      </c>
      <c r="H804" s="6" t="s">
        <v>41</v>
      </c>
    </row>
    <row r="805" spans="1:8" x14ac:dyDescent="0.3">
      <c r="A805" s="6" t="s">
        <v>2858</v>
      </c>
      <c r="B805" s="6" t="s">
        <v>3214</v>
      </c>
      <c r="C805" s="6" t="s">
        <v>2861</v>
      </c>
      <c r="D805" s="6">
        <v>10</v>
      </c>
      <c r="E805" s="6">
        <v>32046029</v>
      </c>
      <c r="F805" s="6" t="s">
        <v>1563</v>
      </c>
      <c r="G805" s="6" t="s">
        <v>2860</v>
      </c>
      <c r="H805" s="6" t="s">
        <v>62</v>
      </c>
    </row>
    <row r="806" spans="1:8" x14ac:dyDescent="0.3">
      <c r="A806" s="6" t="s">
        <v>2858</v>
      </c>
      <c r="B806" s="6" t="s">
        <v>3214</v>
      </c>
      <c r="C806" s="6" t="s">
        <v>2861</v>
      </c>
      <c r="D806" s="6">
        <v>10</v>
      </c>
      <c r="E806" s="6">
        <v>32149071</v>
      </c>
      <c r="F806" s="6" t="s">
        <v>1580</v>
      </c>
      <c r="G806" s="6" t="s">
        <v>2860</v>
      </c>
      <c r="H806" s="6" t="s">
        <v>1584</v>
      </c>
    </row>
    <row r="807" spans="1:8" x14ac:dyDescent="0.3">
      <c r="A807" s="6" t="s">
        <v>2858</v>
      </c>
      <c r="B807" s="6" t="s">
        <v>3214</v>
      </c>
      <c r="C807" s="6" t="s">
        <v>2861</v>
      </c>
      <c r="D807" s="6">
        <v>10</v>
      </c>
      <c r="E807" s="6">
        <v>32046348</v>
      </c>
      <c r="F807" s="6" t="s">
        <v>1570</v>
      </c>
      <c r="G807" s="6" t="s">
        <v>2860</v>
      </c>
      <c r="H807" s="6" t="s">
        <v>38</v>
      </c>
    </row>
    <row r="808" spans="1:8" x14ac:dyDescent="0.3">
      <c r="A808" s="6" t="s">
        <v>2858</v>
      </c>
      <c r="B808" s="6" t="s">
        <v>3214</v>
      </c>
      <c r="C808" s="6" t="s">
        <v>2861</v>
      </c>
      <c r="D808" s="6">
        <v>10</v>
      </c>
      <c r="E808" s="6">
        <v>32186046</v>
      </c>
      <c r="F808" s="6" t="s">
        <v>3217</v>
      </c>
      <c r="G808" s="6" t="s">
        <v>2860</v>
      </c>
      <c r="H808" s="6" t="s">
        <v>62</v>
      </c>
    </row>
    <row r="809" spans="1:8" x14ac:dyDescent="0.3">
      <c r="A809" s="6" t="s">
        <v>2858</v>
      </c>
      <c r="B809" s="6" t="s">
        <v>3214</v>
      </c>
      <c r="C809" s="6" t="s">
        <v>2861</v>
      </c>
      <c r="D809" s="6">
        <v>10</v>
      </c>
      <c r="E809" s="6">
        <v>32132599</v>
      </c>
      <c r="F809" s="6" t="s">
        <v>3218</v>
      </c>
      <c r="G809" s="6" t="s">
        <v>2860</v>
      </c>
      <c r="H809" s="6" t="s">
        <v>47</v>
      </c>
    </row>
    <row r="810" spans="1:8" x14ac:dyDescent="0.3">
      <c r="A810" s="6" t="s">
        <v>2858</v>
      </c>
      <c r="B810" s="6" t="s">
        <v>3214</v>
      </c>
      <c r="C810" s="6" t="s">
        <v>2861</v>
      </c>
      <c r="D810" s="6">
        <v>10</v>
      </c>
      <c r="E810" s="6">
        <v>32046591</v>
      </c>
      <c r="F810" s="6" t="s">
        <v>3219</v>
      </c>
      <c r="G810" s="6" t="s">
        <v>2860</v>
      </c>
      <c r="H810" s="6" t="s">
        <v>44</v>
      </c>
    </row>
    <row r="811" spans="1:8" x14ac:dyDescent="0.3">
      <c r="A811" s="6" t="s">
        <v>2858</v>
      </c>
      <c r="B811" s="6" t="s">
        <v>3214</v>
      </c>
      <c r="C811" s="6" t="s">
        <v>2861</v>
      </c>
      <c r="D811" s="6">
        <v>10</v>
      </c>
      <c r="E811" s="6">
        <v>32046503</v>
      </c>
      <c r="F811" s="6" t="s">
        <v>1572</v>
      </c>
      <c r="G811" s="6" t="s">
        <v>2860</v>
      </c>
      <c r="H811" s="6" t="s">
        <v>35</v>
      </c>
    </row>
    <row r="812" spans="1:8" x14ac:dyDescent="0.3">
      <c r="A812" s="6" t="s">
        <v>2858</v>
      </c>
      <c r="B812" s="6" t="s">
        <v>3214</v>
      </c>
      <c r="C812" s="6" t="s">
        <v>2861</v>
      </c>
      <c r="D812" s="6">
        <v>10</v>
      </c>
      <c r="E812" s="6">
        <v>32232769</v>
      </c>
      <c r="F812" s="6" t="s">
        <v>3220</v>
      </c>
      <c r="G812" s="6" t="s">
        <v>2344</v>
      </c>
      <c r="H812" s="6" t="s">
        <v>2882</v>
      </c>
    </row>
    <row r="813" spans="1:8" x14ac:dyDescent="0.3">
      <c r="A813" s="6" t="s">
        <v>2858</v>
      </c>
      <c r="B813" s="6" t="s">
        <v>3221</v>
      </c>
      <c r="C813" s="6" t="s">
        <v>2861</v>
      </c>
      <c r="D813" s="6">
        <v>1</v>
      </c>
      <c r="E813" s="6">
        <v>32045229</v>
      </c>
      <c r="F813" s="6" t="s">
        <v>3222</v>
      </c>
      <c r="G813" s="6" t="s">
        <v>2860</v>
      </c>
      <c r="H813" s="6" t="s">
        <v>1584</v>
      </c>
    </row>
    <row r="814" spans="1:8" x14ac:dyDescent="0.3">
      <c r="A814" s="6" t="s">
        <v>2858</v>
      </c>
      <c r="B814" s="6" t="s">
        <v>3221</v>
      </c>
      <c r="C814" s="6" t="s">
        <v>2861</v>
      </c>
      <c r="D814" s="6">
        <v>1</v>
      </c>
      <c r="E814" s="6">
        <v>32044863</v>
      </c>
      <c r="F814" s="6" t="s">
        <v>3223</v>
      </c>
      <c r="G814" s="6" t="s">
        <v>2860</v>
      </c>
      <c r="H814" s="6" t="s">
        <v>47</v>
      </c>
    </row>
    <row r="815" spans="1:8" x14ac:dyDescent="0.3">
      <c r="A815" s="6" t="s">
        <v>2858</v>
      </c>
      <c r="B815" s="6" t="s">
        <v>3221</v>
      </c>
      <c r="C815" s="6" t="s">
        <v>2861</v>
      </c>
      <c r="D815" s="6">
        <v>1</v>
      </c>
      <c r="E815" s="6">
        <v>32046582</v>
      </c>
      <c r="F815" s="6" t="s">
        <v>3224</v>
      </c>
      <c r="G815" s="6" t="s">
        <v>2860</v>
      </c>
      <c r="H815" s="6" t="s">
        <v>62</v>
      </c>
    </row>
    <row r="816" spans="1:8" x14ac:dyDescent="0.3">
      <c r="A816" s="6" t="s">
        <v>2858</v>
      </c>
      <c r="B816" s="6" t="s">
        <v>3221</v>
      </c>
      <c r="C816" s="6" t="s">
        <v>2861</v>
      </c>
      <c r="D816" s="6">
        <v>1</v>
      </c>
      <c r="E816" s="6">
        <v>32197891</v>
      </c>
      <c r="F816" s="6" t="s">
        <v>3225</v>
      </c>
      <c r="G816" s="6" t="s">
        <v>2860</v>
      </c>
      <c r="H816" s="6" t="s">
        <v>44</v>
      </c>
    </row>
    <row r="817" spans="1:8" x14ac:dyDescent="0.3">
      <c r="A817" s="6" t="s">
        <v>2858</v>
      </c>
      <c r="B817" s="6" t="s">
        <v>3221</v>
      </c>
      <c r="C817" s="6" t="s">
        <v>2861</v>
      </c>
      <c r="D817" s="6">
        <v>1</v>
      </c>
      <c r="E817" s="6">
        <v>32132064</v>
      </c>
      <c r="F817" s="6" t="s">
        <v>3226</v>
      </c>
      <c r="G817" s="6" t="s">
        <v>2860</v>
      </c>
      <c r="H817" s="6" t="s">
        <v>35</v>
      </c>
    </row>
    <row r="818" spans="1:8" x14ac:dyDescent="0.3">
      <c r="A818" s="6" t="s">
        <v>2858</v>
      </c>
      <c r="B818" s="6" t="s">
        <v>3221</v>
      </c>
      <c r="C818" s="6" t="s">
        <v>2861</v>
      </c>
      <c r="D818" s="6">
        <v>1</v>
      </c>
      <c r="E818" s="6">
        <v>32046520</v>
      </c>
      <c r="F818" s="6" t="s">
        <v>3227</v>
      </c>
      <c r="G818" s="6" t="s">
        <v>2860</v>
      </c>
      <c r="H818" s="6" t="s">
        <v>38</v>
      </c>
    </row>
    <row r="819" spans="1:8" x14ac:dyDescent="0.3">
      <c r="A819" s="6" t="s">
        <v>2858</v>
      </c>
      <c r="B819" s="6" t="s">
        <v>3221</v>
      </c>
      <c r="C819" s="6" t="s">
        <v>2861</v>
      </c>
      <c r="D819" s="6">
        <v>1</v>
      </c>
      <c r="E819" s="6">
        <v>32146001</v>
      </c>
      <c r="F819" s="6" t="s">
        <v>2905</v>
      </c>
      <c r="G819" s="6" t="s">
        <v>2344</v>
      </c>
      <c r="H819" s="6" t="s">
        <v>2882</v>
      </c>
    </row>
    <row r="820" spans="1:8" x14ac:dyDescent="0.3">
      <c r="A820" s="6" t="s">
        <v>2858</v>
      </c>
      <c r="B820" s="6" t="s">
        <v>330</v>
      </c>
      <c r="C820" s="6" t="s">
        <v>2865</v>
      </c>
      <c r="D820" s="6" t="s">
        <v>2882</v>
      </c>
      <c r="E820" s="159">
        <v>32044518</v>
      </c>
      <c r="F820" s="159" t="s">
        <v>3228</v>
      </c>
      <c r="G820" s="6" t="s">
        <v>2344</v>
      </c>
      <c r="H820" s="6" t="s">
        <v>179</v>
      </c>
    </row>
    <row r="821" spans="1:8" x14ac:dyDescent="0.3">
      <c r="A821" s="6" t="s">
        <v>2858</v>
      </c>
      <c r="B821" s="6" t="s">
        <v>330</v>
      </c>
      <c r="C821" s="6" t="s">
        <v>2865</v>
      </c>
      <c r="D821" s="6" t="s">
        <v>2882</v>
      </c>
      <c r="E821" s="159">
        <v>32186666</v>
      </c>
      <c r="F821" s="159" t="s">
        <v>3229</v>
      </c>
      <c r="G821" s="6" t="s">
        <v>2860</v>
      </c>
      <c r="H821" s="6" t="s">
        <v>62</v>
      </c>
    </row>
    <row r="822" spans="1:8" x14ac:dyDescent="0.3">
      <c r="A822" s="6" t="s">
        <v>2858</v>
      </c>
      <c r="B822" s="6" t="s">
        <v>330</v>
      </c>
      <c r="C822" s="6" t="s">
        <v>2865</v>
      </c>
      <c r="D822" s="6">
        <v>0</v>
      </c>
      <c r="E822" s="6">
        <v>32148846</v>
      </c>
      <c r="F822" s="6" t="s">
        <v>353</v>
      </c>
      <c r="G822" s="6" t="s">
        <v>2860</v>
      </c>
      <c r="H822" s="6" t="s">
        <v>44</v>
      </c>
    </row>
    <row r="823" spans="1:8" x14ac:dyDescent="0.3">
      <c r="A823" s="6" t="s">
        <v>2858</v>
      </c>
      <c r="B823" s="6" t="s">
        <v>330</v>
      </c>
      <c r="C823" s="6" t="s">
        <v>2865</v>
      </c>
      <c r="D823" s="6">
        <v>0</v>
      </c>
      <c r="E823" s="6">
        <v>32044839</v>
      </c>
      <c r="F823" s="6" t="s">
        <v>337</v>
      </c>
      <c r="G823" s="6" t="s">
        <v>2860</v>
      </c>
      <c r="H823" s="6" t="s">
        <v>1584</v>
      </c>
    </row>
    <row r="824" spans="1:8" x14ac:dyDescent="0.3">
      <c r="A824" s="6" t="s">
        <v>2858</v>
      </c>
      <c r="B824" s="6" t="s">
        <v>330</v>
      </c>
      <c r="C824" s="6" t="s">
        <v>2865</v>
      </c>
      <c r="D824" s="6">
        <v>0</v>
      </c>
      <c r="E824" s="6">
        <v>32045510</v>
      </c>
      <c r="F824" s="6" t="s">
        <v>339</v>
      </c>
      <c r="G824" s="6" t="s">
        <v>2860</v>
      </c>
      <c r="H824" s="6" t="s">
        <v>38</v>
      </c>
    </row>
    <row r="825" spans="1:8" x14ac:dyDescent="0.3">
      <c r="A825" s="6" t="s">
        <v>2858</v>
      </c>
      <c r="B825" s="6" t="s">
        <v>330</v>
      </c>
      <c r="C825" s="6" t="s">
        <v>2865</v>
      </c>
      <c r="D825" s="6">
        <v>0</v>
      </c>
      <c r="E825" s="6">
        <v>32045572</v>
      </c>
      <c r="F825" s="6" t="s">
        <v>324</v>
      </c>
      <c r="G825" s="6" t="s">
        <v>2860</v>
      </c>
      <c r="H825" s="6" t="s">
        <v>41</v>
      </c>
    </row>
    <row r="826" spans="1:8" x14ac:dyDescent="0.3">
      <c r="A826" s="6" t="s">
        <v>2858</v>
      </c>
      <c r="B826" s="6" t="s">
        <v>330</v>
      </c>
      <c r="C826" s="6" t="s">
        <v>2865</v>
      </c>
      <c r="D826" s="6">
        <v>0</v>
      </c>
      <c r="E826" s="6">
        <v>32197427</v>
      </c>
      <c r="F826" s="6" t="s">
        <v>345</v>
      </c>
      <c r="G826" s="6" t="s">
        <v>2860</v>
      </c>
      <c r="H826" s="6" t="s">
        <v>47</v>
      </c>
    </row>
    <row r="827" spans="1:8" x14ac:dyDescent="0.3">
      <c r="A827" s="6" t="s">
        <v>2858</v>
      </c>
      <c r="B827" s="6" t="s">
        <v>330</v>
      </c>
      <c r="C827" s="6" t="s">
        <v>2865</v>
      </c>
      <c r="D827" s="6">
        <v>0</v>
      </c>
      <c r="E827" s="6">
        <v>32222227</v>
      </c>
      <c r="F827" s="6" t="s">
        <v>271</v>
      </c>
      <c r="G827" s="6" t="s">
        <v>2860</v>
      </c>
      <c r="H827" s="6" t="s">
        <v>62</v>
      </c>
    </row>
    <row r="828" spans="1:8" x14ac:dyDescent="0.3">
      <c r="A828" s="6" t="s">
        <v>2858</v>
      </c>
      <c r="B828" s="6" t="s">
        <v>330</v>
      </c>
      <c r="C828" s="6" t="s">
        <v>2865</v>
      </c>
      <c r="D828" s="6">
        <v>0</v>
      </c>
      <c r="E828" s="6">
        <v>32045409</v>
      </c>
      <c r="F828" s="6" t="s">
        <v>348</v>
      </c>
      <c r="G828" s="6" t="s">
        <v>2860</v>
      </c>
      <c r="H828" s="6" t="s">
        <v>35</v>
      </c>
    </row>
    <row r="829" spans="1:8" x14ac:dyDescent="0.3">
      <c r="A829" s="6" t="s">
        <v>2858</v>
      </c>
      <c r="B829" s="6" t="s">
        <v>3230</v>
      </c>
      <c r="C829" s="6" t="s">
        <v>2869</v>
      </c>
      <c r="D829" s="6" t="s">
        <v>1648</v>
      </c>
      <c r="E829" s="6">
        <v>32045252</v>
      </c>
      <c r="F829" s="6" t="s">
        <v>1660</v>
      </c>
      <c r="G829" s="6" t="s">
        <v>2860</v>
      </c>
      <c r="H829" s="6" t="s">
        <v>41</v>
      </c>
    </row>
    <row r="830" spans="1:8" x14ac:dyDescent="0.3">
      <c r="A830" s="6" t="s">
        <v>2858</v>
      </c>
      <c r="B830" s="6" t="s">
        <v>3230</v>
      </c>
      <c r="C830" s="6" t="s">
        <v>2869</v>
      </c>
      <c r="D830" s="6" t="s">
        <v>1648</v>
      </c>
      <c r="E830" s="6">
        <v>32045981</v>
      </c>
      <c r="F830" s="6" t="s">
        <v>1659</v>
      </c>
      <c r="G830" s="6" t="s">
        <v>2860</v>
      </c>
      <c r="H830" s="6" t="s">
        <v>35</v>
      </c>
    </row>
    <row r="831" spans="1:8" x14ac:dyDescent="0.3">
      <c r="A831" s="6" t="s">
        <v>2858</v>
      </c>
      <c r="B831" s="6" t="s">
        <v>3230</v>
      </c>
      <c r="C831" s="6" t="s">
        <v>2869</v>
      </c>
      <c r="D831" s="6" t="s">
        <v>1648</v>
      </c>
      <c r="E831" s="6">
        <v>32046444</v>
      </c>
      <c r="F831" s="6" t="s">
        <v>1658</v>
      </c>
      <c r="G831" s="6" t="s">
        <v>2860</v>
      </c>
      <c r="H831" s="6" t="s">
        <v>47</v>
      </c>
    </row>
    <row r="832" spans="1:8" x14ac:dyDescent="0.3">
      <c r="A832" s="6" t="s">
        <v>2858</v>
      </c>
      <c r="B832" s="6" t="s">
        <v>3230</v>
      </c>
      <c r="C832" s="6" t="s">
        <v>2869</v>
      </c>
      <c r="D832" s="6" t="s">
        <v>1648</v>
      </c>
      <c r="E832" s="6">
        <v>32046191</v>
      </c>
      <c r="F832" s="6" t="s">
        <v>1657</v>
      </c>
      <c r="G832" s="6" t="s">
        <v>2860</v>
      </c>
      <c r="H832" s="6" t="s">
        <v>38</v>
      </c>
    </row>
    <row r="833" spans="1:8" x14ac:dyDescent="0.3">
      <c r="A833" s="6" t="s">
        <v>2858</v>
      </c>
      <c r="B833" s="6" t="s">
        <v>3230</v>
      </c>
      <c r="C833" s="6" t="s">
        <v>2869</v>
      </c>
      <c r="D833" s="6" t="s">
        <v>1648</v>
      </c>
      <c r="E833" s="6">
        <v>32046425</v>
      </c>
      <c r="F833" s="6" t="s">
        <v>1656</v>
      </c>
      <c r="G833" s="6" t="s">
        <v>2860</v>
      </c>
      <c r="H833" s="6" t="s">
        <v>1584</v>
      </c>
    </row>
    <row r="834" spans="1:8" x14ac:dyDescent="0.3">
      <c r="A834" s="6" t="s">
        <v>2858</v>
      </c>
      <c r="B834" s="6" t="s">
        <v>3230</v>
      </c>
      <c r="C834" s="6" t="s">
        <v>2869</v>
      </c>
      <c r="D834" s="6" t="s">
        <v>1648</v>
      </c>
      <c r="E834" s="6">
        <v>32044576</v>
      </c>
      <c r="F834" s="6" t="s">
        <v>1655</v>
      </c>
      <c r="G834" s="6" t="s">
        <v>2860</v>
      </c>
      <c r="H834" s="6" t="s">
        <v>44</v>
      </c>
    </row>
    <row r="835" spans="1:8" x14ac:dyDescent="0.3">
      <c r="A835" s="6" t="s">
        <v>2858</v>
      </c>
      <c r="B835" s="6" t="s">
        <v>3230</v>
      </c>
      <c r="C835" s="6" t="s">
        <v>2869</v>
      </c>
      <c r="D835" s="6" t="s">
        <v>1648</v>
      </c>
      <c r="E835" s="6">
        <v>32057881</v>
      </c>
      <c r="F835" s="6" t="s">
        <v>1654</v>
      </c>
      <c r="G835" s="6" t="s">
        <v>2860</v>
      </c>
      <c r="H835" s="6" t="s">
        <v>41</v>
      </c>
    </row>
    <row r="836" spans="1:8" x14ac:dyDescent="0.3">
      <c r="A836" s="6" t="s">
        <v>2858</v>
      </c>
      <c r="B836" s="6" t="s">
        <v>3230</v>
      </c>
      <c r="C836" s="6" t="s">
        <v>2869</v>
      </c>
      <c r="D836" s="6" t="s">
        <v>1648</v>
      </c>
      <c r="E836" s="6">
        <v>32046166</v>
      </c>
      <c r="F836" s="6" t="s">
        <v>1653</v>
      </c>
      <c r="G836" s="6" t="s">
        <v>2860</v>
      </c>
      <c r="H836" s="6" t="s">
        <v>62</v>
      </c>
    </row>
    <row r="837" spans="1:8" x14ac:dyDescent="0.3">
      <c r="A837" s="6" t="s">
        <v>2858</v>
      </c>
      <c r="B837" s="6" t="s">
        <v>3230</v>
      </c>
      <c r="C837" s="6" t="s">
        <v>2869</v>
      </c>
      <c r="D837" s="6" t="s">
        <v>1648</v>
      </c>
      <c r="E837" s="6">
        <v>32043715</v>
      </c>
      <c r="F837" s="6" t="s">
        <v>1652</v>
      </c>
      <c r="G837" s="6" t="s">
        <v>2860</v>
      </c>
      <c r="H837" s="6" t="s">
        <v>38</v>
      </c>
    </row>
    <row r="838" spans="1:8" x14ac:dyDescent="0.3">
      <c r="A838" s="6" t="s">
        <v>2858</v>
      </c>
      <c r="B838" s="6" t="s">
        <v>3230</v>
      </c>
      <c r="C838" s="6" t="s">
        <v>2869</v>
      </c>
      <c r="D838" s="6" t="s">
        <v>2882</v>
      </c>
      <c r="E838" s="6">
        <v>32217529</v>
      </c>
      <c r="F838" s="6" t="s">
        <v>3231</v>
      </c>
      <c r="G838" s="6" t="s">
        <v>2344</v>
      </c>
      <c r="H838" s="6" t="s">
        <v>2882</v>
      </c>
    </row>
    <row r="839" spans="1:8" x14ac:dyDescent="0.3">
      <c r="A839" s="6" t="s">
        <v>2858</v>
      </c>
      <c r="B839" s="6" t="s">
        <v>3232</v>
      </c>
      <c r="C839" s="6" t="s">
        <v>2861</v>
      </c>
      <c r="D839" s="6">
        <v>14</v>
      </c>
      <c r="E839" s="6">
        <v>32060808</v>
      </c>
      <c r="F839" s="6" t="s">
        <v>1265</v>
      </c>
      <c r="G839" s="6" t="s">
        <v>2344</v>
      </c>
      <c r="H839" s="6" t="s">
        <v>2882</v>
      </c>
    </row>
    <row r="840" spans="1:8" x14ac:dyDescent="0.3">
      <c r="A840" s="6" t="s">
        <v>2858</v>
      </c>
      <c r="B840" s="6" t="s">
        <v>3232</v>
      </c>
      <c r="C840" s="6" t="s">
        <v>2861</v>
      </c>
      <c r="D840" s="6">
        <v>14</v>
      </c>
      <c r="E840" s="6">
        <v>32046367</v>
      </c>
      <c r="F840" s="6" t="s">
        <v>1364</v>
      </c>
      <c r="G840" s="6" t="s">
        <v>2860</v>
      </c>
      <c r="H840" s="6" t="s">
        <v>1584</v>
      </c>
    </row>
    <row r="841" spans="1:8" x14ac:dyDescent="0.3">
      <c r="A841" s="6" t="s">
        <v>2858</v>
      </c>
      <c r="B841" s="6" t="s">
        <v>3232</v>
      </c>
      <c r="C841" s="6" t="s">
        <v>2861</v>
      </c>
      <c r="D841" s="6">
        <v>14</v>
      </c>
      <c r="E841" s="6">
        <v>32046352</v>
      </c>
      <c r="F841" s="6" t="s">
        <v>1362</v>
      </c>
      <c r="G841" s="6" t="s">
        <v>2860</v>
      </c>
      <c r="H841" s="6" t="s">
        <v>38</v>
      </c>
    </row>
    <row r="842" spans="1:8" x14ac:dyDescent="0.3">
      <c r="A842" s="6" t="s">
        <v>2858</v>
      </c>
      <c r="B842" s="6" t="s">
        <v>3232</v>
      </c>
      <c r="C842" s="6" t="s">
        <v>2861</v>
      </c>
      <c r="D842" s="6">
        <v>14</v>
      </c>
      <c r="E842" s="6">
        <v>32148861</v>
      </c>
      <c r="F842" s="6" t="s">
        <v>1360</v>
      </c>
      <c r="G842" s="6" t="s">
        <v>2860</v>
      </c>
      <c r="H842" s="6" t="s">
        <v>41</v>
      </c>
    </row>
    <row r="843" spans="1:8" x14ac:dyDescent="0.3">
      <c r="A843" s="6" t="s">
        <v>2858</v>
      </c>
      <c r="B843" s="6" t="s">
        <v>3232</v>
      </c>
      <c r="C843" s="6" t="s">
        <v>2861</v>
      </c>
      <c r="D843" s="6">
        <v>14</v>
      </c>
      <c r="E843" s="6">
        <v>32102190</v>
      </c>
      <c r="F843" s="6" t="s">
        <v>1358</v>
      </c>
      <c r="G843" s="6" t="s">
        <v>2860</v>
      </c>
      <c r="H843" s="6" t="s">
        <v>35</v>
      </c>
    </row>
    <row r="844" spans="1:8" x14ac:dyDescent="0.3">
      <c r="A844" s="6" t="s">
        <v>2858</v>
      </c>
      <c r="B844" s="6" t="s">
        <v>3232</v>
      </c>
      <c r="C844" s="6" t="s">
        <v>2861</v>
      </c>
      <c r="D844" s="6">
        <v>14</v>
      </c>
      <c r="E844" s="6">
        <v>32138049</v>
      </c>
      <c r="F844" s="6" t="s">
        <v>3233</v>
      </c>
      <c r="G844" s="6" t="s">
        <v>2860</v>
      </c>
      <c r="H844" s="6" t="s">
        <v>38</v>
      </c>
    </row>
    <row r="845" spans="1:8" x14ac:dyDescent="0.3">
      <c r="A845" s="6" t="s">
        <v>2858</v>
      </c>
      <c r="B845" s="6" t="s">
        <v>3232</v>
      </c>
      <c r="C845" s="6" t="s">
        <v>2861</v>
      </c>
      <c r="D845" s="6">
        <v>14</v>
      </c>
      <c r="E845" s="6">
        <v>32044961</v>
      </c>
      <c r="F845" s="6" t="s">
        <v>3234</v>
      </c>
      <c r="G845" s="6" t="s">
        <v>2860</v>
      </c>
      <c r="H845" s="6" t="s">
        <v>35</v>
      </c>
    </row>
    <row r="846" spans="1:8" x14ac:dyDescent="0.3">
      <c r="A846" s="6" t="s">
        <v>2858</v>
      </c>
      <c r="B846" s="6" t="s">
        <v>3232</v>
      </c>
      <c r="C846" s="6" t="s">
        <v>2861</v>
      </c>
      <c r="D846" s="6">
        <v>14</v>
      </c>
      <c r="E846" s="6">
        <v>32187990</v>
      </c>
      <c r="F846" s="6" t="s">
        <v>3235</v>
      </c>
      <c r="G846" s="6" t="s">
        <v>2860</v>
      </c>
      <c r="H846" s="6" t="s">
        <v>62</v>
      </c>
    </row>
    <row r="847" spans="1:8" x14ac:dyDescent="0.3">
      <c r="A847" s="6" t="s">
        <v>2858</v>
      </c>
      <c r="B847" s="6" t="s">
        <v>3232</v>
      </c>
      <c r="C847" s="6" t="s">
        <v>2861</v>
      </c>
      <c r="D847" s="6">
        <v>14</v>
      </c>
      <c r="E847" s="6">
        <v>32045523</v>
      </c>
      <c r="F847" s="6" t="s">
        <v>1349</v>
      </c>
      <c r="G847" s="6" t="s">
        <v>2860</v>
      </c>
      <c r="H847" s="6" t="s">
        <v>62</v>
      </c>
    </row>
    <row r="848" spans="1:8" x14ac:dyDescent="0.3">
      <c r="A848" s="6" t="s">
        <v>2858</v>
      </c>
      <c r="B848" s="6" t="s">
        <v>3232</v>
      </c>
      <c r="C848" s="6" t="s">
        <v>2861</v>
      </c>
      <c r="D848" s="6">
        <v>14</v>
      </c>
      <c r="E848" s="6">
        <v>32136509</v>
      </c>
      <c r="F848" s="6" t="s">
        <v>3236</v>
      </c>
      <c r="G848" s="6" t="s">
        <v>2860</v>
      </c>
      <c r="H848" s="6" t="s">
        <v>47</v>
      </c>
    </row>
    <row r="849" spans="1:8" x14ac:dyDescent="0.3">
      <c r="A849" s="6" t="s">
        <v>2858</v>
      </c>
      <c r="B849" s="6" t="s">
        <v>3232</v>
      </c>
      <c r="C849" s="6" t="s">
        <v>2861</v>
      </c>
      <c r="D849" s="6">
        <v>14</v>
      </c>
      <c r="E849" s="6">
        <v>32131879</v>
      </c>
      <c r="F849" s="6" t="s">
        <v>1346</v>
      </c>
      <c r="G849" s="6" t="s">
        <v>2860</v>
      </c>
      <c r="H849" s="6" t="s">
        <v>44</v>
      </c>
    </row>
    <row r="850" spans="1:8" x14ac:dyDescent="0.3">
      <c r="A850" s="6" t="s">
        <v>2858</v>
      </c>
      <c r="B850" s="6" t="s">
        <v>3232</v>
      </c>
      <c r="C850" s="6" t="s">
        <v>2861</v>
      </c>
      <c r="D850" s="6">
        <v>14</v>
      </c>
      <c r="E850" s="6">
        <v>32107030</v>
      </c>
      <c r="F850" s="6" t="s">
        <v>3237</v>
      </c>
      <c r="G850" s="6" t="s">
        <v>2860</v>
      </c>
      <c r="H850" s="6" t="s">
        <v>35</v>
      </c>
    </row>
    <row r="851" spans="1:8" x14ac:dyDescent="0.3">
      <c r="A851" s="6" t="s">
        <v>2858</v>
      </c>
      <c r="B851" s="6" t="s">
        <v>3238</v>
      </c>
      <c r="C851" s="6" t="s">
        <v>2861</v>
      </c>
      <c r="D851" s="6">
        <v>4</v>
      </c>
      <c r="E851" s="6">
        <v>32198294</v>
      </c>
      <c r="F851" s="6" t="s">
        <v>3239</v>
      </c>
      <c r="G851" s="6" t="s">
        <v>2860</v>
      </c>
      <c r="H851" s="6" t="s">
        <v>1584</v>
      </c>
    </row>
    <row r="852" spans="1:8" x14ac:dyDescent="0.3">
      <c r="A852" s="6" t="s">
        <v>2858</v>
      </c>
      <c r="B852" s="6" t="s">
        <v>3238</v>
      </c>
      <c r="C852" s="6" t="s">
        <v>2861</v>
      </c>
      <c r="D852" s="6">
        <v>4</v>
      </c>
      <c r="E852" s="6">
        <v>32044553</v>
      </c>
      <c r="F852" s="6" t="s">
        <v>1471</v>
      </c>
      <c r="G852" s="6" t="s">
        <v>2860</v>
      </c>
      <c r="H852" s="6" t="s">
        <v>44</v>
      </c>
    </row>
    <row r="853" spans="1:8" x14ac:dyDescent="0.3">
      <c r="A853" s="6" t="s">
        <v>2858</v>
      </c>
      <c r="B853" s="6" t="s">
        <v>3238</v>
      </c>
      <c r="C853" s="6" t="s">
        <v>2861</v>
      </c>
      <c r="D853" s="6">
        <v>4</v>
      </c>
      <c r="E853" s="6">
        <v>32044454</v>
      </c>
      <c r="F853" s="6" t="s">
        <v>3240</v>
      </c>
      <c r="G853" s="6" t="s">
        <v>2860</v>
      </c>
      <c r="H853" s="6" t="s">
        <v>47</v>
      </c>
    </row>
    <row r="854" spans="1:8" x14ac:dyDescent="0.3">
      <c r="A854" s="6" t="s">
        <v>2858</v>
      </c>
      <c r="B854" s="6" t="s">
        <v>3238</v>
      </c>
      <c r="C854" s="6" t="s">
        <v>2861</v>
      </c>
      <c r="D854" s="6">
        <v>4</v>
      </c>
      <c r="E854" s="6">
        <v>32046209</v>
      </c>
      <c r="F854" s="6" t="s">
        <v>1473</v>
      </c>
      <c r="G854" s="6" t="s">
        <v>2860</v>
      </c>
      <c r="H854" s="6" t="s">
        <v>35</v>
      </c>
    </row>
    <row r="855" spans="1:8" x14ac:dyDescent="0.3">
      <c r="A855" s="6" t="s">
        <v>2858</v>
      </c>
      <c r="B855" s="6" t="s">
        <v>3238</v>
      </c>
      <c r="C855" s="6" t="s">
        <v>2861</v>
      </c>
      <c r="D855" s="6">
        <v>4</v>
      </c>
      <c r="E855" s="6">
        <v>32044871</v>
      </c>
      <c r="F855" s="6" t="s">
        <v>1475</v>
      </c>
      <c r="G855" s="6" t="s">
        <v>2860</v>
      </c>
      <c r="H855" s="6" t="s">
        <v>38</v>
      </c>
    </row>
    <row r="856" spans="1:8" x14ac:dyDescent="0.3">
      <c r="A856" s="6" t="s">
        <v>2858</v>
      </c>
      <c r="B856" s="6" t="s">
        <v>3238</v>
      </c>
      <c r="C856" s="6" t="s">
        <v>2861</v>
      </c>
      <c r="D856" s="6">
        <v>4</v>
      </c>
      <c r="E856" s="6">
        <v>32045621</v>
      </c>
      <c r="F856" s="6" t="s">
        <v>1477</v>
      </c>
      <c r="G856" s="6" t="s">
        <v>2860</v>
      </c>
      <c r="H856" s="6" t="s">
        <v>1584</v>
      </c>
    </row>
    <row r="857" spans="1:8" x14ac:dyDescent="0.3">
      <c r="A857" s="6" t="s">
        <v>2858</v>
      </c>
      <c r="B857" s="6" t="s">
        <v>3238</v>
      </c>
      <c r="C857" s="6" t="s">
        <v>2861</v>
      </c>
      <c r="D857" s="6">
        <v>4</v>
      </c>
      <c r="E857" s="6">
        <v>32132603</v>
      </c>
      <c r="F857" s="6" t="s">
        <v>1482</v>
      </c>
      <c r="G857" s="6" t="s">
        <v>2860</v>
      </c>
      <c r="H857" s="6" t="s">
        <v>47</v>
      </c>
    </row>
    <row r="858" spans="1:8" x14ac:dyDescent="0.3">
      <c r="A858" s="6" t="s">
        <v>2858</v>
      </c>
      <c r="B858" s="6" t="s">
        <v>3238</v>
      </c>
      <c r="C858" s="6" t="s">
        <v>2861</v>
      </c>
      <c r="D858" s="6">
        <v>4</v>
      </c>
      <c r="E858" s="6">
        <v>32149603</v>
      </c>
      <c r="F858" s="6" t="s">
        <v>1484</v>
      </c>
      <c r="G858" s="6" t="s">
        <v>2860</v>
      </c>
      <c r="H858" s="6" t="s">
        <v>41</v>
      </c>
    </row>
    <row r="859" spans="1:8" x14ac:dyDescent="0.3">
      <c r="A859" s="6" t="s">
        <v>2858</v>
      </c>
      <c r="B859" s="6" t="s">
        <v>3238</v>
      </c>
      <c r="C859" s="6" t="s">
        <v>2861</v>
      </c>
      <c r="D859" s="6">
        <v>4</v>
      </c>
      <c r="E859" s="6">
        <v>32197860</v>
      </c>
      <c r="F859" s="6" t="s">
        <v>1467</v>
      </c>
      <c r="G859" s="6" t="s">
        <v>2860</v>
      </c>
      <c r="H859" s="6" t="s">
        <v>62</v>
      </c>
    </row>
    <row r="860" spans="1:8" x14ac:dyDescent="0.3">
      <c r="A860" s="6" t="s">
        <v>2858</v>
      </c>
      <c r="B860" s="6" t="s">
        <v>3238</v>
      </c>
      <c r="C860" s="6" t="s">
        <v>2861</v>
      </c>
      <c r="D860" s="6">
        <v>4</v>
      </c>
      <c r="E860" s="6">
        <v>32149609</v>
      </c>
      <c r="F860" s="6" t="s">
        <v>1492</v>
      </c>
      <c r="G860" s="6" t="s">
        <v>2860</v>
      </c>
      <c r="H860" s="6" t="s">
        <v>35</v>
      </c>
    </row>
    <row r="861" spans="1:8" x14ac:dyDescent="0.3">
      <c r="A861" s="6" t="s">
        <v>2858</v>
      </c>
      <c r="B861" s="6" t="s">
        <v>3238</v>
      </c>
      <c r="C861" s="6" t="s">
        <v>2861</v>
      </c>
      <c r="D861" s="6">
        <v>4</v>
      </c>
      <c r="E861" s="6">
        <v>32107323</v>
      </c>
      <c r="F861" s="6" t="s">
        <v>3241</v>
      </c>
      <c r="G861" s="6" t="s">
        <v>2860</v>
      </c>
      <c r="H861" s="6" t="s">
        <v>62</v>
      </c>
    </row>
    <row r="862" spans="1:8" x14ac:dyDescent="0.3">
      <c r="A862" s="6" t="s">
        <v>2858</v>
      </c>
      <c r="B862" s="6" t="s">
        <v>3238</v>
      </c>
      <c r="C862" s="6" t="s">
        <v>2861</v>
      </c>
      <c r="D862" s="6">
        <v>4</v>
      </c>
      <c r="E862" s="6">
        <v>32148616</v>
      </c>
      <c r="F862" s="6" t="s">
        <v>1494</v>
      </c>
      <c r="G862" s="6" t="s">
        <v>2860</v>
      </c>
      <c r="H862" s="6" t="s">
        <v>47</v>
      </c>
    </row>
    <row r="863" spans="1:8" x14ac:dyDescent="0.3">
      <c r="A863" s="6" t="s">
        <v>2858</v>
      </c>
      <c r="B863" s="6" t="s">
        <v>3238</v>
      </c>
      <c r="C863" s="6" t="s">
        <v>2861</v>
      </c>
      <c r="D863" s="6">
        <v>4</v>
      </c>
      <c r="E863" s="6">
        <v>32132174</v>
      </c>
      <c r="F863" s="6" t="s">
        <v>1496</v>
      </c>
      <c r="G863" s="6" t="s">
        <v>2860</v>
      </c>
      <c r="H863" s="6" t="s">
        <v>38</v>
      </c>
    </row>
    <row r="864" spans="1:8" x14ac:dyDescent="0.3">
      <c r="A864" s="6" t="s">
        <v>2858</v>
      </c>
      <c r="B864" s="6" t="s">
        <v>3238</v>
      </c>
      <c r="C864" s="6" t="s">
        <v>2861</v>
      </c>
      <c r="D864" s="6">
        <v>4</v>
      </c>
      <c r="E864" s="6">
        <v>32045535</v>
      </c>
      <c r="F864" s="6" t="s">
        <v>1498</v>
      </c>
      <c r="G864" s="6" t="s">
        <v>2860</v>
      </c>
      <c r="H864" s="6" t="s">
        <v>62</v>
      </c>
    </row>
    <row r="865" spans="1:8" x14ac:dyDescent="0.3">
      <c r="A865" s="6" t="s">
        <v>2858</v>
      </c>
      <c r="B865" s="6" t="s">
        <v>3238</v>
      </c>
      <c r="C865" s="6" t="s">
        <v>2861</v>
      </c>
      <c r="D865" s="6">
        <v>4</v>
      </c>
      <c r="E865" s="6">
        <v>32060942</v>
      </c>
      <c r="F865" s="6" t="s">
        <v>1500</v>
      </c>
      <c r="G865" s="6" t="s">
        <v>2860</v>
      </c>
      <c r="H865" s="6" t="s">
        <v>44</v>
      </c>
    </row>
    <row r="866" spans="1:8" x14ac:dyDescent="0.3">
      <c r="A866" s="6" t="s">
        <v>2858</v>
      </c>
      <c r="B866" s="6" t="s">
        <v>3238</v>
      </c>
      <c r="C866" s="6" t="s">
        <v>2861</v>
      </c>
      <c r="D866" s="6">
        <v>4</v>
      </c>
      <c r="E866" s="6">
        <v>32168008</v>
      </c>
      <c r="F866" s="6" t="s">
        <v>3106</v>
      </c>
      <c r="G866" s="6" t="s">
        <v>2344</v>
      </c>
      <c r="H866" s="6" t="s">
        <v>2882</v>
      </c>
    </row>
    <row r="867" spans="1:8" x14ac:dyDescent="0.3">
      <c r="A867" s="6" t="s">
        <v>2858</v>
      </c>
      <c r="B867" s="6" t="s">
        <v>350</v>
      </c>
      <c r="C867" s="6" t="s">
        <v>2865</v>
      </c>
      <c r="D867" s="6">
        <v>0</v>
      </c>
      <c r="E867" s="159">
        <v>32144668</v>
      </c>
      <c r="F867" s="159" t="s">
        <v>3242</v>
      </c>
      <c r="G867" s="6" t="s">
        <v>3243</v>
      </c>
      <c r="H867" s="6" t="s">
        <v>38</v>
      </c>
    </row>
    <row r="868" spans="1:8" x14ac:dyDescent="0.3">
      <c r="A868" s="6" t="s">
        <v>2858</v>
      </c>
      <c r="B868" s="6" t="s">
        <v>350</v>
      </c>
      <c r="C868" s="6" t="s">
        <v>2865</v>
      </c>
      <c r="D868" s="6">
        <v>0</v>
      </c>
      <c r="E868" s="159">
        <v>32044983</v>
      </c>
      <c r="F868" s="159" t="s">
        <v>351</v>
      </c>
      <c r="G868" s="6" t="s">
        <v>2860</v>
      </c>
      <c r="H868" s="6" t="s">
        <v>38</v>
      </c>
    </row>
    <row r="869" spans="1:8" x14ac:dyDescent="0.3">
      <c r="A869" s="6" t="s">
        <v>2858</v>
      </c>
      <c r="B869" s="6" t="s">
        <v>350</v>
      </c>
      <c r="C869" s="6" t="s">
        <v>2865</v>
      </c>
      <c r="D869" s="6">
        <v>0</v>
      </c>
      <c r="E869" s="159">
        <v>32151919</v>
      </c>
      <c r="F869" s="159" t="s">
        <v>3244</v>
      </c>
      <c r="G869" s="6" t="s">
        <v>2860</v>
      </c>
      <c r="H869" s="6" t="s">
        <v>62</v>
      </c>
    </row>
    <row r="870" spans="1:8" x14ac:dyDescent="0.3">
      <c r="A870" s="6" t="s">
        <v>2858</v>
      </c>
      <c r="B870" s="6" t="s">
        <v>350</v>
      </c>
      <c r="C870" s="6" t="s">
        <v>2865</v>
      </c>
      <c r="D870" s="6">
        <v>0</v>
      </c>
      <c r="E870" s="6">
        <v>32044037</v>
      </c>
      <c r="F870" s="6" t="s">
        <v>335</v>
      </c>
      <c r="G870" s="6" t="s">
        <v>2860</v>
      </c>
      <c r="H870" s="6" t="s">
        <v>1584</v>
      </c>
    </row>
    <row r="871" spans="1:8" x14ac:dyDescent="0.3">
      <c r="A871" s="6" t="s">
        <v>2858</v>
      </c>
      <c r="B871" s="6" t="s">
        <v>350</v>
      </c>
      <c r="C871" s="6" t="s">
        <v>2865</v>
      </c>
      <c r="D871" s="6">
        <v>0</v>
      </c>
      <c r="E871" s="6">
        <v>32173445</v>
      </c>
      <c r="F871" s="6" t="s">
        <v>286</v>
      </c>
      <c r="G871" s="6" t="s">
        <v>2860</v>
      </c>
      <c r="H871" s="6" t="s">
        <v>44</v>
      </c>
    </row>
    <row r="872" spans="1:8" x14ac:dyDescent="0.3">
      <c r="A872" s="6" t="s">
        <v>2858</v>
      </c>
      <c r="B872" s="6" t="s">
        <v>350</v>
      </c>
      <c r="C872" s="6" t="s">
        <v>2865</v>
      </c>
      <c r="D872" s="6">
        <v>0</v>
      </c>
      <c r="E872" s="6">
        <v>32046259</v>
      </c>
      <c r="F872" s="6" t="s">
        <v>321</v>
      </c>
      <c r="G872" s="6" t="s">
        <v>2860</v>
      </c>
      <c r="H872" s="6" t="s">
        <v>47</v>
      </c>
    </row>
    <row r="873" spans="1:8" x14ac:dyDescent="0.3">
      <c r="A873" s="6" t="s">
        <v>2858</v>
      </c>
      <c r="B873" s="6" t="s">
        <v>350</v>
      </c>
      <c r="C873" s="6" t="s">
        <v>2865</v>
      </c>
      <c r="D873" s="6">
        <v>0</v>
      </c>
      <c r="E873" s="6">
        <v>32132055</v>
      </c>
      <c r="F873" s="6" t="s">
        <v>357</v>
      </c>
      <c r="G873" s="6" t="s">
        <v>2860</v>
      </c>
      <c r="H873" s="6" t="s">
        <v>47</v>
      </c>
    </row>
    <row r="874" spans="1:8" x14ac:dyDescent="0.3">
      <c r="A874" s="6" t="s">
        <v>2858</v>
      </c>
      <c r="B874" s="6" t="s">
        <v>350</v>
      </c>
      <c r="C874" s="6" t="s">
        <v>2865</v>
      </c>
      <c r="D874" s="6">
        <v>0</v>
      </c>
      <c r="E874" s="6">
        <v>32045004</v>
      </c>
      <c r="F874" s="6" t="s">
        <v>341</v>
      </c>
      <c r="G874" s="6" t="s">
        <v>2860</v>
      </c>
      <c r="H874" s="6" t="s">
        <v>41</v>
      </c>
    </row>
    <row r="875" spans="1:8" x14ac:dyDescent="0.3">
      <c r="A875" s="6" t="s">
        <v>2858</v>
      </c>
      <c r="B875" s="6" t="s">
        <v>350</v>
      </c>
      <c r="C875" s="6" t="s">
        <v>2865</v>
      </c>
      <c r="D875" s="6">
        <v>0</v>
      </c>
      <c r="E875" s="6">
        <v>32137247</v>
      </c>
      <c r="F875" s="6" t="s">
        <v>343</v>
      </c>
      <c r="G875" s="6" t="s">
        <v>2860</v>
      </c>
      <c r="H875" s="6" t="s">
        <v>44</v>
      </c>
    </row>
    <row r="876" spans="1:8" x14ac:dyDescent="0.3">
      <c r="A876" s="6" t="s">
        <v>2858</v>
      </c>
      <c r="B876" s="6" t="s">
        <v>350</v>
      </c>
      <c r="C876" s="6" t="s">
        <v>2865</v>
      </c>
      <c r="D876" s="6">
        <v>0</v>
      </c>
      <c r="E876" s="6">
        <v>32177483</v>
      </c>
      <c r="F876" s="6" t="s">
        <v>361</v>
      </c>
      <c r="G876" s="6" t="s">
        <v>2860</v>
      </c>
      <c r="H876" s="6" t="s">
        <v>35</v>
      </c>
    </row>
    <row r="877" spans="1:8" x14ac:dyDescent="0.3">
      <c r="A877" s="6" t="s">
        <v>2858</v>
      </c>
      <c r="B877" s="6" t="s">
        <v>164</v>
      </c>
      <c r="C877" s="6" t="s">
        <v>2876</v>
      </c>
      <c r="D877" s="6" t="s">
        <v>2882</v>
      </c>
      <c r="E877" s="6">
        <v>32043857</v>
      </c>
      <c r="F877" s="6" t="s">
        <v>165</v>
      </c>
      <c r="G877" s="6" t="s">
        <v>2344</v>
      </c>
      <c r="H877" s="6" t="s">
        <v>2882</v>
      </c>
    </row>
    <row r="878" spans="1:8" x14ac:dyDescent="0.3">
      <c r="A878" s="6" t="s">
        <v>2858</v>
      </c>
      <c r="B878" s="6" t="s">
        <v>164</v>
      </c>
      <c r="C878" s="6" t="s">
        <v>2876</v>
      </c>
      <c r="D878" s="6" t="s">
        <v>163</v>
      </c>
      <c r="E878" s="6">
        <v>32045952</v>
      </c>
      <c r="F878" s="6" t="s">
        <v>167</v>
      </c>
      <c r="G878" s="6" t="s">
        <v>2860</v>
      </c>
      <c r="H878" s="6" t="s">
        <v>47</v>
      </c>
    </row>
    <row r="879" spans="1:8" x14ac:dyDescent="0.3">
      <c r="A879" s="6" t="s">
        <v>2858</v>
      </c>
      <c r="B879" s="6" t="s">
        <v>164</v>
      </c>
      <c r="C879" s="6" t="s">
        <v>2876</v>
      </c>
      <c r="D879" s="6" t="s">
        <v>163</v>
      </c>
      <c r="E879" s="6">
        <v>32044478</v>
      </c>
      <c r="F879" s="6" t="s">
        <v>169</v>
      </c>
      <c r="G879" s="6" t="s">
        <v>2860</v>
      </c>
      <c r="H879" s="6" t="s">
        <v>44</v>
      </c>
    </row>
    <row r="880" spans="1:8" x14ac:dyDescent="0.3">
      <c r="A880" s="6" t="s">
        <v>2858</v>
      </c>
      <c r="B880" s="6" t="s">
        <v>164</v>
      </c>
      <c r="C880" s="6" t="s">
        <v>2876</v>
      </c>
      <c r="D880" s="6" t="s">
        <v>163</v>
      </c>
      <c r="E880" s="6">
        <v>32146005</v>
      </c>
      <c r="F880" s="6" t="s">
        <v>171</v>
      </c>
      <c r="G880" s="6" t="s">
        <v>2860</v>
      </c>
      <c r="H880" s="6" t="s">
        <v>41</v>
      </c>
    </row>
    <row r="881" spans="1:8" x14ac:dyDescent="0.3">
      <c r="A881" s="6" t="s">
        <v>2858</v>
      </c>
      <c r="B881" s="6" t="s">
        <v>164</v>
      </c>
      <c r="C881" s="6" t="s">
        <v>2876</v>
      </c>
      <c r="D881" s="6" t="s">
        <v>163</v>
      </c>
      <c r="E881" s="6">
        <v>32219006</v>
      </c>
      <c r="F881" s="6" t="s">
        <v>173</v>
      </c>
      <c r="G881" s="6" t="s">
        <v>2860</v>
      </c>
      <c r="H881" s="6" t="s">
        <v>44</v>
      </c>
    </row>
    <row r="882" spans="1:8" x14ac:dyDescent="0.3">
      <c r="A882" s="6" t="s">
        <v>2858</v>
      </c>
      <c r="B882" s="6" t="s">
        <v>164</v>
      </c>
      <c r="C882" s="6" t="s">
        <v>2876</v>
      </c>
      <c r="D882" s="6" t="s">
        <v>163</v>
      </c>
      <c r="E882" s="6">
        <v>32045769</v>
      </c>
      <c r="F882" s="6" t="s">
        <v>190</v>
      </c>
      <c r="G882" s="6" t="s">
        <v>2860</v>
      </c>
      <c r="H882" s="6" t="s">
        <v>35</v>
      </c>
    </row>
    <row r="883" spans="1:8" x14ac:dyDescent="0.3">
      <c r="A883" s="6" t="s">
        <v>2858</v>
      </c>
      <c r="B883" s="6" t="s">
        <v>164</v>
      </c>
      <c r="C883" s="6" t="s">
        <v>2876</v>
      </c>
      <c r="D883" s="6" t="s">
        <v>163</v>
      </c>
      <c r="E883" s="6">
        <v>32199794</v>
      </c>
      <c r="F883" s="6" t="s">
        <v>175</v>
      </c>
      <c r="G883" s="6" t="s">
        <v>2860</v>
      </c>
      <c r="H883" s="6" t="s">
        <v>41</v>
      </c>
    </row>
    <row r="884" spans="1:8" x14ac:dyDescent="0.3">
      <c r="A884" s="6" t="s">
        <v>2858</v>
      </c>
      <c r="B884" s="6" t="s">
        <v>164</v>
      </c>
      <c r="C884" s="6" t="s">
        <v>2876</v>
      </c>
      <c r="D884" s="6" t="s">
        <v>163</v>
      </c>
      <c r="E884" s="6">
        <v>32045043</v>
      </c>
      <c r="F884" s="6" t="s">
        <v>177</v>
      </c>
      <c r="G884" s="6" t="s">
        <v>2860</v>
      </c>
      <c r="H884" s="6" t="s">
        <v>62</v>
      </c>
    </row>
    <row r="885" spans="1:8" x14ac:dyDescent="0.3">
      <c r="A885" s="6" t="s">
        <v>2858</v>
      </c>
      <c r="B885" s="6" t="s">
        <v>164</v>
      </c>
      <c r="C885" s="6" t="s">
        <v>2876</v>
      </c>
      <c r="D885" s="6" t="s">
        <v>163</v>
      </c>
      <c r="E885" s="6">
        <v>32045769</v>
      </c>
      <c r="F885" s="6" t="s">
        <v>191</v>
      </c>
      <c r="G885" s="6" t="s">
        <v>2860</v>
      </c>
      <c r="H885" s="6" t="s">
        <v>35</v>
      </c>
    </row>
    <row r="886" spans="1:8" x14ac:dyDescent="0.3">
      <c r="A886" s="6" t="s">
        <v>2858</v>
      </c>
      <c r="B886" s="6" t="s">
        <v>164</v>
      </c>
      <c r="C886" s="6" t="s">
        <v>2876</v>
      </c>
      <c r="D886" s="6" t="s">
        <v>163</v>
      </c>
      <c r="E886" s="6">
        <v>32045769</v>
      </c>
      <c r="F886" s="6" t="s">
        <v>180</v>
      </c>
      <c r="G886" s="6" t="s">
        <v>2860</v>
      </c>
      <c r="H886" s="6" t="s">
        <v>35</v>
      </c>
    </row>
    <row r="887" spans="1:8" x14ac:dyDescent="0.3">
      <c r="A887" s="6" t="s">
        <v>2858</v>
      </c>
      <c r="B887" s="6" t="s">
        <v>164</v>
      </c>
      <c r="C887" s="6" t="s">
        <v>2876</v>
      </c>
      <c r="D887" s="6" t="s">
        <v>163</v>
      </c>
      <c r="E887" s="6">
        <v>32044789</v>
      </c>
      <c r="F887" s="6" t="s">
        <v>182</v>
      </c>
      <c r="G887" s="6" t="s">
        <v>2860</v>
      </c>
      <c r="H887" s="6" t="s">
        <v>35</v>
      </c>
    </row>
    <row r="888" spans="1:8" x14ac:dyDescent="0.3">
      <c r="A888" s="6" t="s">
        <v>2858</v>
      </c>
      <c r="B888" s="6" t="s">
        <v>164</v>
      </c>
      <c r="C888" s="6" t="s">
        <v>2876</v>
      </c>
      <c r="D888" s="6" t="s">
        <v>163</v>
      </c>
      <c r="E888" s="6">
        <v>32176714</v>
      </c>
      <c r="F888" s="6" t="s">
        <v>184</v>
      </c>
      <c r="G888" s="6" t="s">
        <v>2860</v>
      </c>
      <c r="H888" s="6" t="s">
        <v>47</v>
      </c>
    </row>
    <row r="889" spans="1:8" x14ac:dyDescent="0.3">
      <c r="A889" s="6" t="s">
        <v>2858</v>
      </c>
      <c r="B889" s="6" t="s">
        <v>164</v>
      </c>
      <c r="C889" s="6" t="s">
        <v>2876</v>
      </c>
      <c r="D889" s="6" t="s">
        <v>163</v>
      </c>
      <c r="E889" s="6">
        <v>32044909</v>
      </c>
      <c r="F889" s="6" t="s">
        <v>186</v>
      </c>
      <c r="G889" s="6" t="s">
        <v>2860</v>
      </c>
      <c r="H889" s="6" t="s">
        <v>44</v>
      </c>
    </row>
    <row r="890" spans="1:8" x14ac:dyDescent="0.3">
      <c r="A890" s="6" t="s">
        <v>2858</v>
      </c>
      <c r="B890" s="6" t="s">
        <v>164</v>
      </c>
      <c r="C890" s="6" t="s">
        <v>2876</v>
      </c>
      <c r="D890" s="6" t="s">
        <v>163</v>
      </c>
      <c r="E890" s="6">
        <v>32045106</v>
      </c>
      <c r="F890" s="6" t="s">
        <v>188</v>
      </c>
      <c r="G890" s="6" t="s">
        <v>2860</v>
      </c>
      <c r="H890" s="6" t="s">
        <v>62</v>
      </c>
    </row>
    <row r="891" spans="1:8" x14ac:dyDescent="0.3">
      <c r="A891" s="6" t="s">
        <v>2858</v>
      </c>
      <c r="B891" s="6" t="s">
        <v>164</v>
      </c>
      <c r="C891" s="6" t="s">
        <v>2876</v>
      </c>
      <c r="D891" s="6" t="s">
        <v>163</v>
      </c>
      <c r="E891" s="6">
        <v>32043804</v>
      </c>
      <c r="F891" s="6" t="s">
        <v>192</v>
      </c>
      <c r="G891" s="6" t="s">
        <v>2860</v>
      </c>
      <c r="H891" s="6" t="s">
        <v>38</v>
      </c>
    </row>
    <row r="892" spans="1:8" x14ac:dyDescent="0.3">
      <c r="A892" s="6" t="s">
        <v>2858</v>
      </c>
      <c r="B892" s="6" t="s">
        <v>164</v>
      </c>
      <c r="C892" s="6" t="s">
        <v>2876</v>
      </c>
      <c r="D892" s="6" t="s">
        <v>163</v>
      </c>
      <c r="E892" s="6">
        <v>32173447</v>
      </c>
      <c r="F892" s="6" t="s">
        <v>194</v>
      </c>
      <c r="G892" s="6" t="s">
        <v>2860</v>
      </c>
      <c r="H892" s="6" t="s">
        <v>38</v>
      </c>
    </row>
    <row r="893" spans="1:8" x14ac:dyDescent="0.3">
      <c r="A893" s="6" t="s">
        <v>2858</v>
      </c>
      <c r="B893" s="6" t="s">
        <v>3245</v>
      </c>
      <c r="C893" s="6" t="s">
        <v>2869</v>
      </c>
      <c r="D893" s="6" t="s">
        <v>2882</v>
      </c>
      <c r="E893" s="6">
        <v>32198469</v>
      </c>
      <c r="F893" s="6" t="s">
        <v>3246</v>
      </c>
      <c r="G893" s="6" t="s">
        <v>2344</v>
      </c>
      <c r="H893" s="6" t="s">
        <v>2882</v>
      </c>
    </row>
    <row r="894" spans="1:8" x14ac:dyDescent="0.3">
      <c r="A894" s="6" t="s">
        <v>2858</v>
      </c>
      <c r="B894" s="6" t="s">
        <v>3245</v>
      </c>
      <c r="C894" s="6" t="s">
        <v>2869</v>
      </c>
      <c r="D894" s="6" t="s">
        <v>1585</v>
      </c>
      <c r="E894" s="6">
        <v>32063478</v>
      </c>
      <c r="F894" s="6" t="s">
        <v>1670</v>
      </c>
      <c r="G894" s="6" t="s">
        <v>2860</v>
      </c>
      <c r="H894" s="6" t="s">
        <v>35</v>
      </c>
    </row>
    <row r="895" spans="1:8" x14ac:dyDescent="0.3">
      <c r="A895" s="6" t="s">
        <v>2858</v>
      </c>
      <c r="B895" s="6" t="s">
        <v>3245</v>
      </c>
      <c r="C895" s="6" t="s">
        <v>2869</v>
      </c>
      <c r="D895" s="6" t="s">
        <v>1585</v>
      </c>
      <c r="E895" s="6">
        <v>32045010</v>
      </c>
      <c r="F895" s="6" t="s">
        <v>1669</v>
      </c>
      <c r="G895" s="6" t="s">
        <v>2860</v>
      </c>
      <c r="H895" s="6" t="s">
        <v>47</v>
      </c>
    </row>
    <row r="896" spans="1:8" x14ac:dyDescent="0.3">
      <c r="A896" s="6" t="s">
        <v>2858</v>
      </c>
      <c r="B896" s="6" t="s">
        <v>3245</v>
      </c>
      <c r="C896" s="6" t="s">
        <v>2869</v>
      </c>
      <c r="D896" s="6" t="s">
        <v>1585</v>
      </c>
      <c r="E896" s="6">
        <v>32230188</v>
      </c>
      <c r="F896" s="6" t="s">
        <v>1668</v>
      </c>
      <c r="G896" s="6" t="s">
        <v>2860</v>
      </c>
      <c r="H896" s="6" t="s">
        <v>44</v>
      </c>
    </row>
    <row r="897" spans="1:8" x14ac:dyDescent="0.3">
      <c r="A897" s="6" t="s">
        <v>2858</v>
      </c>
      <c r="B897" s="6" t="s">
        <v>3245</v>
      </c>
      <c r="C897" s="6" t="s">
        <v>2869</v>
      </c>
      <c r="D897" s="6" t="s">
        <v>1585</v>
      </c>
      <c r="E897" s="6">
        <v>32046393</v>
      </c>
      <c r="F897" s="6" t="s">
        <v>1667</v>
      </c>
      <c r="G897" s="6" t="s">
        <v>2860</v>
      </c>
      <c r="H897" s="6" t="s">
        <v>41</v>
      </c>
    </row>
    <row r="898" spans="1:8" x14ac:dyDescent="0.3">
      <c r="A898" s="6" t="s">
        <v>2858</v>
      </c>
      <c r="B898" s="6" t="s">
        <v>3245</v>
      </c>
      <c r="C898" s="6" t="s">
        <v>2869</v>
      </c>
      <c r="D898" s="6" t="s">
        <v>1585</v>
      </c>
      <c r="E898" s="6">
        <v>32044359</v>
      </c>
      <c r="F898" s="6" t="s">
        <v>1666</v>
      </c>
      <c r="G898" s="6" t="s">
        <v>2860</v>
      </c>
      <c r="H898" s="6" t="s">
        <v>35</v>
      </c>
    </row>
    <row r="899" spans="1:8" x14ac:dyDescent="0.3">
      <c r="A899" s="6" t="s">
        <v>2858</v>
      </c>
      <c r="B899" s="6" t="s">
        <v>3245</v>
      </c>
      <c r="C899" s="6" t="s">
        <v>2869</v>
      </c>
      <c r="D899" s="6" t="s">
        <v>1585</v>
      </c>
      <c r="E899" s="6">
        <v>32217092</v>
      </c>
      <c r="F899" s="6" t="s">
        <v>1665</v>
      </c>
      <c r="G899" s="6" t="s">
        <v>2860</v>
      </c>
      <c r="H899" s="6" t="s">
        <v>44</v>
      </c>
    </row>
    <row r="900" spans="1:8" x14ac:dyDescent="0.3">
      <c r="A900" s="6" t="s">
        <v>2858</v>
      </c>
      <c r="B900" s="6" t="s">
        <v>3245</v>
      </c>
      <c r="C900" s="6" t="s">
        <v>2869</v>
      </c>
      <c r="D900" s="6" t="s">
        <v>1585</v>
      </c>
      <c r="E900" s="6">
        <v>32061297</v>
      </c>
      <c r="F900" s="6" t="s">
        <v>1663</v>
      </c>
      <c r="G900" s="6" t="s">
        <v>2860</v>
      </c>
      <c r="H900" s="6" t="s">
        <v>1584</v>
      </c>
    </row>
    <row r="901" spans="1:8" x14ac:dyDescent="0.3">
      <c r="A901" s="6" t="s">
        <v>2858</v>
      </c>
      <c r="B901" s="6" t="s">
        <v>3245</v>
      </c>
      <c r="C901" s="6" t="s">
        <v>2869</v>
      </c>
      <c r="D901" s="6" t="s">
        <v>1585</v>
      </c>
      <c r="E901" s="6">
        <v>32046276</v>
      </c>
      <c r="F901" s="6" t="s">
        <v>1664</v>
      </c>
      <c r="G901" s="6" t="s">
        <v>2860</v>
      </c>
      <c r="H901" s="6" t="s">
        <v>41</v>
      </c>
    </row>
    <row r="902" spans="1:8" x14ac:dyDescent="0.3">
      <c r="A902" s="6" t="s">
        <v>2858</v>
      </c>
      <c r="B902" s="6" t="s">
        <v>3245</v>
      </c>
      <c r="C902" s="6" t="s">
        <v>2869</v>
      </c>
      <c r="D902" s="6" t="s">
        <v>1585</v>
      </c>
      <c r="E902" s="6">
        <v>32178732</v>
      </c>
      <c r="F902" s="6" t="s">
        <v>1662</v>
      </c>
      <c r="G902" s="6" t="s">
        <v>2860</v>
      </c>
      <c r="H902" s="6" t="s">
        <v>62</v>
      </c>
    </row>
    <row r="903" spans="1:8" x14ac:dyDescent="0.3">
      <c r="A903" s="6" t="s">
        <v>2858</v>
      </c>
      <c r="B903" s="6" t="s">
        <v>3245</v>
      </c>
      <c r="C903" s="6" t="s">
        <v>2869</v>
      </c>
      <c r="D903" s="6" t="s">
        <v>1585</v>
      </c>
      <c r="E903" s="6">
        <v>32057882</v>
      </c>
      <c r="F903" s="6" t="s">
        <v>1661</v>
      </c>
      <c r="G903" s="6" t="s">
        <v>2860</v>
      </c>
      <c r="H903" s="6" t="s">
        <v>38</v>
      </c>
    </row>
    <row r="904" spans="1:8" x14ac:dyDescent="0.3">
      <c r="A904" s="6" t="s">
        <v>2858</v>
      </c>
      <c r="B904" s="6" t="s">
        <v>3245</v>
      </c>
      <c r="C904" s="6" t="s">
        <v>2869</v>
      </c>
      <c r="D904" s="6" t="s">
        <v>1585</v>
      </c>
      <c r="E904" s="6">
        <v>32178734</v>
      </c>
      <c r="F904" s="6" t="s">
        <v>1588</v>
      </c>
      <c r="G904" s="6" t="s">
        <v>2860</v>
      </c>
      <c r="H904" s="6" t="s">
        <v>1584</v>
      </c>
    </row>
    <row r="905" spans="1:8" x14ac:dyDescent="0.3">
      <c r="A905" s="6" t="s">
        <v>2858</v>
      </c>
      <c r="B905" s="6" t="s">
        <v>2312</v>
      </c>
      <c r="C905" s="6" t="s">
        <v>2859</v>
      </c>
      <c r="D905" s="6" t="s">
        <v>2882</v>
      </c>
      <c r="E905" s="6">
        <v>32045081</v>
      </c>
      <c r="F905" s="6" t="s">
        <v>2313</v>
      </c>
      <c r="G905" s="6" t="s">
        <v>2344</v>
      </c>
      <c r="H905" s="6" t="s">
        <v>2882</v>
      </c>
    </row>
    <row r="906" spans="1:8" x14ac:dyDescent="0.3">
      <c r="A906" s="6" t="s">
        <v>2858</v>
      </c>
      <c r="B906" s="6" t="s">
        <v>2312</v>
      </c>
      <c r="C906" s="6" t="s">
        <v>2859</v>
      </c>
      <c r="D906" s="6" t="s">
        <v>2311</v>
      </c>
      <c r="E906" s="6">
        <v>32043846</v>
      </c>
      <c r="F906" s="6" t="s">
        <v>2318</v>
      </c>
      <c r="G906" s="6" t="s">
        <v>2860</v>
      </c>
      <c r="H906" s="6" t="s">
        <v>38</v>
      </c>
    </row>
    <row r="907" spans="1:8" x14ac:dyDescent="0.3">
      <c r="A907" s="6" t="s">
        <v>2858</v>
      </c>
      <c r="B907" s="6" t="s">
        <v>2312</v>
      </c>
      <c r="C907" s="6" t="s">
        <v>2859</v>
      </c>
      <c r="D907" s="6" t="s">
        <v>2311</v>
      </c>
      <c r="E907" s="6">
        <v>32045048</v>
      </c>
      <c r="F907" s="6" t="s">
        <v>2317</v>
      </c>
      <c r="G907" s="6" t="s">
        <v>2860</v>
      </c>
      <c r="H907" s="6" t="s">
        <v>47</v>
      </c>
    </row>
    <row r="908" spans="1:8" x14ac:dyDescent="0.3">
      <c r="A908" s="6" t="s">
        <v>2858</v>
      </c>
      <c r="B908" s="6" t="s">
        <v>2312</v>
      </c>
      <c r="C908" s="6" t="s">
        <v>2859</v>
      </c>
      <c r="D908" s="6" t="s">
        <v>2311</v>
      </c>
      <c r="E908" s="6">
        <v>32044306</v>
      </c>
      <c r="F908" s="6" t="s">
        <v>2314</v>
      </c>
      <c r="G908" s="6" t="s">
        <v>2860</v>
      </c>
      <c r="H908" s="6" t="s">
        <v>44</v>
      </c>
    </row>
    <row r="909" spans="1:8" x14ac:dyDescent="0.3">
      <c r="A909" s="6" t="s">
        <v>2858</v>
      </c>
      <c r="B909" s="6" t="s">
        <v>2312</v>
      </c>
      <c r="C909" s="6" t="s">
        <v>2859</v>
      </c>
      <c r="D909" s="6" t="s">
        <v>2311</v>
      </c>
      <c r="E909" s="6">
        <v>32064462</v>
      </c>
      <c r="F909" s="6" t="s">
        <v>2315</v>
      </c>
      <c r="G909" s="6" t="s">
        <v>2860</v>
      </c>
      <c r="H909" s="6" t="s">
        <v>62</v>
      </c>
    </row>
    <row r="910" spans="1:8" x14ac:dyDescent="0.3">
      <c r="A910" s="6" t="s">
        <v>2858</v>
      </c>
      <c r="B910" s="6" t="s">
        <v>2312</v>
      </c>
      <c r="C910" s="6" t="s">
        <v>2859</v>
      </c>
      <c r="D910" s="6" t="s">
        <v>2311</v>
      </c>
      <c r="E910" s="6">
        <v>32043837</v>
      </c>
      <c r="F910" s="6" t="s">
        <v>2316</v>
      </c>
      <c r="G910" s="6" t="s">
        <v>2860</v>
      </c>
      <c r="H910" s="6" t="s">
        <v>35</v>
      </c>
    </row>
    <row r="911" spans="1:8" x14ac:dyDescent="0.3">
      <c r="A911" s="6" t="s">
        <v>2858</v>
      </c>
      <c r="B911" s="6" t="s">
        <v>2153</v>
      </c>
      <c r="C911" s="6" t="s">
        <v>2859</v>
      </c>
      <c r="D911" s="6" t="s">
        <v>2128</v>
      </c>
      <c r="E911" s="6">
        <v>32044441</v>
      </c>
      <c r="F911" s="6" t="s">
        <v>2156</v>
      </c>
      <c r="G911" s="6" t="s">
        <v>2860</v>
      </c>
      <c r="H911" s="6" t="s">
        <v>44</v>
      </c>
    </row>
    <row r="912" spans="1:8" x14ac:dyDescent="0.3">
      <c r="A912" s="6" t="s">
        <v>2858</v>
      </c>
      <c r="B912" s="6" t="s">
        <v>2153</v>
      </c>
      <c r="C912" s="6" t="s">
        <v>2859</v>
      </c>
      <c r="D912" s="6" t="s">
        <v>2128</v>
      </c>
      <c r="E912" s="6">
        <v>32044825</v>
      </c>
      <c r="F912" s="6" t="s">
        <v>2160</v>
      </c>
      <c r="G912" s="6" t="s">
        <v>2860</v>
      </c>
      <c r="H912" s="6" t="s">
        <v>41</v>
      </c>
    </row>
    <row r="913" spans="1:8" x14ac:dyDescent="0.3">
      <c r="A913" s="6" t="s">
        <v>2858</v>
      </c>
      <c r="B913" s="6" t="s">
        <v>2153</v>
      </c>
      <c r="C913" s="6" t="s">
        <v>2859</v>
      </c>
      <c r="D913" s="6" t="s">
        <v>2128</v>
      </c>
      <c r="E913" s="6">
        <v>32044065</v>
      </c>
      <c r="F913" s="6" t="s">
        <v>2161</v>
      </c>
      <c r="G913" s="6" t="s">
        <v>2860</v>
      </c>
      <c r="H913" s="6" t="s">
        <v>47</v>
      </c>
    </row>
    <row r="914" spans="1:8" x14ac:dyDescent="0.3">
      <c r="A914" s="6" t="s">
        <v>2858</v>
      </c>
      <c r="B914" s="6" t="s">
        <v>2153</v>
      </c>
      <c r="C914" s="6" t="s">
        <v>2859</v>
      </c>
      <c r="D914" s="6" t="s">
        <v>2128</v>
      </c>
      <c r="E914" s="6">
        <v>32044526</v>
      </c>
      <c r="F914" s="6" t="s">
        <v>2155</v>
      </c>
      <c r="G914" s="6" t="s">
        <v>2860</v>
      </c>
      <c r="H914" s="6" t="s">
        <v>62</v>
      </c>
    </row>
    <row r="915" spans="1:8" x14ac:dyDescent="0.3">
      <c r="A915" s="6" t="s">
        <v>2858</v>
      </c>
      <c r="B915" s="6" t="s">
        <v>2153</v>
      </c>
      <c r="C915" s="6" t="s">
        <v>2859</v>
      </c>
      <c r="D915" s="6" t="s">
        <v>2128</v>
      </c>
      <c r="E915" s="6">
        <v>32044223</v>
      </c>
      <c r="F915" s="6" t="s">
        <v>2159</v>
      </c>
      <c r="G915" s="6" t="s">
        <v>2860</v>
      </c>
      <c r="H915" s="6" t="s">
        <v>38</v>
      </c>
    </row>
    <row r="916" spans="1:8" x14ac:dyDescent="0.3">
      <c r="A916" s="6" t="s">
        <v>2858</v>
      </c>
      <c r="B916" s="6" t="s">
        <v>2153</v>
      </c>
      <c r="C916" s="6" t="s">
        <v>2859</v>
      </c>
      <c r="D916" s="6" t="s">
        <v>2128</v>
      </c>
      <c r="E916" s="6">
        <v>32046677</v>
      </c>
      <c r="F916" s="6" t="s">
        <v>2157</v>
      </c>
      <c r="G916" s="6" t="s">
        <v>2860</v>
      </c>
      <c r="H916" s="6" t="s">
        <v>44</v>
      </c>
    </row>
    <row r="917" spans="1:8" x14ac:dyDescent="0.3">
      <c r="A917" s="6" t="s">
        <v>2858</v>
      </c>
      <c r="B917" s="6" t="s">
        <v>2153</v>
      </c>
      <c r="C917" s="6" t="s">
        <v>2859</v>
      </c>
      <c r="D917" s="6" t="s">
        <v>2128</v>
      </c>
      <c r="E917" s="6">
        <v>32149469</v>
      </c>
      <c r="F917" s="6" t="s">
        <v>2158</v>
      </c>
      <c r="G917" s="6" t="s">
        <v>2860</v>
      </c>
      <c r="H917" s="6" t="s">
        <v>35</v>
      </c>
    </row>
    <row r="918" spans="1:8" x14ac:dyDescent="0.3">
      <c r="A918" s="6" t="s">
        <v>2858</v>
      </c>
      <c r="B918" s="6" t="s">
        <v>2153</v>
      </c>
      <c r="C918" s="6" t="s">
        <v>2859</v>
      </c>
      <c r="D918" s="6" t="s">
        <v>2882</v>
      </c>
      <c r="E918" s="6">
        <v>32055317</v>
      </c>
      <c r="F918" s="6" t="s">
        <v>2154</v>
      </c>
      <c r="G918" s="6" t="s">
        <v>2344</v>
      </c>
      <c r="H918" s="6" t="s">
        <v>2882</v>
      </c>
    </row>
    <row r="919" spans="1:8" x14ac:dyDescent="0.3">
      <c r="A919" s="6" t="s">
        <v>2858</v>
      </c>
      <c r="B919" s="6" t="s">
        <v>2877</v>
      </c>
      <c r="C919" s="6" t="s">
        <v>2869</v>
      </c>
      <c r="D919" s="6" t="s">
        <v>1671</v>
      </c>
      <c r="E919" s="6">
        <v>32046210</v>
      </c>
      <c r="F919" s="6" t="s">
        <v>1675</v>
      </c>
      <c r="G919" s="6" t="s">
        <v>2860</v>
      </c>
      <c r="H919" s="6" t="s">
        <v>47</v>
      </c>
    </row>
    <row r="920" spans="1:8" x14ac:dyDescent="0.3">
      <c r="A920" s="6" t="s">
        <v>2858</v>
      </c>
      <c r="B920" s="6" t="s">
        <v>2877</v>
      </c>
      <c r="C920" s="6" t="s">
        <v>2869</v>
      </c>
      <c r="D920" s="6" t="s">
        <v>1671</v>
      </c>
      <c r="E920" s="6">
        <v>32044876</v>
      </c>
      <c r="F920" s="6" t="s">
        <v>1678</v>
      </c>
      <c r="G920" s="6" t="s">
        <v>2860</v>
      </c>
      <c r="H920" s="6" t="s">
        <v>38</v>
      </c>
    </row>
    <row r="921" spans="1:8" x14ac:dyDescent="0.3">
      <c r="A921" s="6" t="s">
        <v>2858</v>
      </c>
      <c r="B921" s="6" t="s">
        <v>2877</v>
      </c>
      <c r="C921" s="6" t="s">
        <v>2869</v>
      </c>
      <c r="D921" s="6" t="s">
        <v>1671</v>
      </c>
      <c r="E921" s="6">
        <v>32045800</v>
      </c>
      <c r="F921" s="6" t="s">
        <v>1680</v>
      </c>
      <c r="G921" s="6" t="s">
        <v>2860</v>
      </c>
      <c r="H921" s="6" t="s">
        <v>41</v>
      </c>
    </row>
    <row r="922" spans="1:8" x14ac:dyDescent="0.3">
      <c r="A922" s="6" t="s">
        <v>2858</v>
      </c>
      <c r="B922" s="6" t="s">
        <v>2877</v>
      </c>
      <c r="C922" s="6" t="s">
        <v>2869</v>
      </c>
      <c r="D922" s="6" t="s">
        <v>1671</v>
      </c>
      <c r="E922" s="6">
        <v>32045381</v>
      </c>
      <c r="F922" s="6" t="s">
        <v>1682</v>
      </c>
      <c r="G922" s="6" t="s">
        <v>2860</v>
      </c>
      <c r="H922" s="6" t="s">
        <v>35</v>
      </c>
    </row>
    <row r="923" spans="1:8" x14ac:dyDescent="0.3">
      <c r="A923" s="6" t="s">
        <v>2858</v>
      </c>
      <c r="B923" s="6" t="s">
        <v>2877</v>
      </c>
      <c r="C923" s="6" t="s">
        <v>2869</v>
      </c>
      <c r="D923" s="6" t="s">
        <v>1671</v>
      </c>
      <c r="E923" s="6">
        <v>32045992</v>
      </c>
      <c r="F923" s="6" t="s">
        <v>1685</v>
      </c>
      <c r="G923" s="6" t="s">
        <v>2860</v>
      </c>
      <c r="H923" s="6" t="s">
        <v>44</v>
      </c>
    </row>
    <row r="924" spans="1:8" x14ac:dyDescent="0.3">
      <c r="A924" s="6" t="s">
        <v>2858</v>
      </c>
      <c r="B924" s="6" t="s">
        <v>2877</v>
      </c>
      <c r="C924" s="6" t="s">
        <v>2869</v>
      </c>
      <c r="D924" s="6" t="s">
        <v>1671</v>
      </c>
      <c r="E924" s="6">
        <v>32229412</v>
      </c>
      <c r="F924" s="6" t="s">
        <v>1687</v>
      </c>
      <c r="G924" s="6" t="s">
        <v>2860</v>
      </c>
      <c r="H924" s="6" t="s">
        <v>62</v>
      </c>
    </row>
    <row r="925" spans="1:8" x14ac:dyDescent="0.3">
      <c r="A925" s="6" t="s">
        <v>2858</v>
      </c>
      <c r="B925" s="6" t="s">
        <v>2877</v>
      </c>
      <c r="C925" s="6" t="s">
        <v>2869</v>
      </c>
      <c r="D925" s="6" t="s">
        <v>2882</v>
      </c>
      <c r="E925" s="6">
        <v>32174892</v>
      </c>
      <c r="F925" s="6" t="s">
        <v>1673</v>
      </c>
      <c r="G925" s="6" t="s">
        <v>2344</v>
      </c>
      <c r="H925" s="6" t="s">
        <v>2882</v>
      </c>
    </row>
    <row r="926" spans="1:8" x14ac:dyDescent="0.3">
      <c r="A926" s="6" t="s">
        <v>2858</v>
      </c>
      <c r="B926" s="6" t="s">
        <v>3247</v>
      </c>
      <c r="C926" s="6" t="s">
        <v>2869</v>
      </c>
      <c r="D926" s="6" t="s">
        <v>1648</v>
      </c>
      <c r="E926" s="6">
        <v>32045088</v>
      </c>
      <c r="F926" s="6" t="s">
        <v>1700</v>
      </c>
      <c r="G926" s="6" t="s">
        <v>2860</v>
      </c>
      <c r="H926" s="6" t="s">
        <v>41</v>
      </c>
    </row>
    <row r="927" spans="1:8" x14ac:dyDescent="0.3">
      <c r="A927" s="6" t="s">
        <v>2858</v>
      </c>
      <c r="B927" s="6" t="s">
        <v>3247</v>
      </c>
      <c r="C927" s="6" t="s">
        <v>2869</v>
      </c>
      <c r="D927" s="6" t="s">
        <v>1648</v>
      </c>
      <c r="E927" s="6">
        <v>32187877</v>
      </c>
      <c r="F927" s="6" t="s">
        <v>1699</v>
      </c>
      <c r="G927" s="6" t="s">
        <v>2860</v>
      </c>
      <c r="H927" s="6" t="s">
        <v>35</v>
      </c>
    </row>
    <row r="928" spans="1:8" x14ac:dyDescent="0.3">
      <c r="A928" s="6" t="s">
        <v>2858</v>
      </c>
      <c r="B928" s="6" t="s">
        <v>3247</v>
      </c>
      <c r="C928" s="6" t="s">
        <v>2869</v>
      </c>
      <c r="D928" s="6" t="s">
        <v>1697</v>
      </c>
      <c r="E928" s="6">
        <v>32180379</v>
      </c>
      <c r="F928" s="6" t="s">
        <v>1698</v>
      </c>
      <c r="G928" s="6" t="s">
        <v>2860</v>
      </c>
      <c r="H928" s="6" t="s">
        <v>44</v>
      </c>
    </row>
    <row r="929" spans="1:8" x14ac:dyDescent="0.3">
      <c r="A929" s="6" t="s">
        <v>2858</v>
      </c>
      <c r="B929" s="6" t="s">
        <v>3247</v>
      </c>
      <c r="C929" s="6" t="s">
        <v>2869</v>
      </c>
      <c r="D929" s="6" t="s">
        <v>1648</v>
      </c>
      <c r="E929" s="6">
        <v>32187874</v>
      </c>
      <c r="F929" s="6" t="s">
        <v>1696</v>
      </c>
      <c r="G929" s="6" t="s">
        <v>2860</v>
      </c>
      <c r="H929" s="6" t="s">
        <v>62</v>
      </c>
    </row>
    <row r="930" spans="1:8" x14ac:dyDescent="0.3">
      <c r="A930" s="6" t="s">
        <v>2858</v>
      </c>
      <c r="B930" s="6" t="s">
        <v>3247</v>
      </c>
      <c r="C930" s="6" t="s">
        <v>2869</v>
      </c>
      <c r="D930" s="6" t="s">
        <v>1648</v>
      </c>
      <c r="E930" s="6">
        <v>32046180</v>
      </c>
      <c r="F930" s="6" t="s">
        <v>1695</v>
      </c>
      <c r="G930" s="6" t="s">
        <v>2860</v>
      </c>
      <c r="H930" s="6" t="s">
        <v>44</v>
      </c>
    </row>
    <row r="931" spans="1:8" x14ac:dyDescent="0.3">
      <c r="A931" s="6" t="s">
        <v>2858</v>
      </c>
      <c r="B931" s="6" t="s">
        <v>3247</v>
      </c>
      <c r="C931" s="6" t="s">
        <v>2869</v>
      </c>
      <c r="D931" s="6" t="s">
        <v>1648</v>
      </c>
      <c r="E931" s="6">
        <v>32137228</v>
      </c>
      <c r="F931" s="6" t="s">
        <v>1694</v>
      </c>
      <c r="G931" s="6" t="s">
        <v>2860</v>
      </c>
      <c r="H931" s="6" t="s">
        <v>38</v>
      </c>
    </row>
    <row r="932" spans="1:8" x14ac:dyDescent="0.3">
      <c r="A932" s="6" t="s">
        <v>2858</v>
      </c>
      <c r="B932" s="6" t="s">
        <v>3247</v>
      </c>
      <c r="C932" s="6" t="s">
        <v>2869</v>
      </c>
      <c r="D932" s="6" t="s">
        <v>2882</v>
      </c>
      <c r="E932" s="6">
        <v>32217868</v>
      </c>
      <c r="F932" s="6" t="s">
        <v>3248</v>
      </c>
      <c r="G932" s="6" t="s">
        <v>2344</v>
      </c>
      <c r="H932" s="6" t="s">
        <v>2882</v>
      </c>
    </row>
    <row r="933" spans="1:8" x14ac:dyDescent="0.3">
      <c r="A933" s="6" t="s">
        <v>2858</v>
      </c>
      <c r="B933" s="6" t="s">
        <v>3247</v>
      </c>
      <c r="C933" s="6" t="s">
        <v>2869</v>
      </c>
      <c r="D933" s="6" t="s">
        <v>1648</v>
      </c>
      <c r="E933" s="6">
        <v>32044690</v>
      </c>
      <c r="F933" s="6" t="s">
        <v>1693</v>
      </c>
      <c r="G933" s="6" t="s">
        <v>2860</v>
      </c>
      <c r="H933" s="6" t="s">
        <v>62</v>
      </c>
    </row>
    <row r="934" spans="1:8" x14ac:dyDescent="0.3">
      <c r="A934" s="6" t="s">
        <v>2858</v>
      </c>
      <c r="B934" s="6" t="s">
        <v>3247</v>
      </c>
      <c r="C934" s="6" t="s">
        <v>2869</v>
      </c>
      <c r="D934" s="6" t="s">
        <v>1648</v>
      </c>
      <c r="E934" s="6">
        <v>32217065</v>
      </c>
      <c r="F934" s="6" t="s">
        <v>1692</v>
      </c>
      <c r="G934" s="6" t="s">
        <v>2860</v>
      </c>
      <c r="H934" s="6" t="s">
        <v>41</v>
      </c>
    </row>
    <row r="935" spans="1:8" x14ac:dyDescent="0.3">
      <c r="A935" s="6" t="s">
        <v>2858</v>
      </c>
      <c r="B935" s="6" t="s">
        <v>3247</v>
      </c>
      <c r="C935" s="6" t="s">
        <v>2869</v>
      </c>
      <c r="D935" s="6" t="s">
        <v>1648</v>
      </c>
      <c r="E935" s="6">
        <v>32045005</v>
      </c>
      <c r="F935" s="6" t="s">
        <v>1691</v>
      </c>
      <c r="G935" s="6" t="s">
        <v>2860</v>
      </c>
      <c r="H935" s="6" t="s">
        <v>1584</v>
      </c>
    </row>
    <row r="936" spans="1:8" x14ac:dyDescent="0.3">
      <c r="A936" s="6" t="s">
        <v>2858</v>
      </c>
      <c r="B936" s="6" t="s">
        <v>3249</v>
      </c>
      <c r="C936" s="6" t="s">
        <v>2861</v>
      </c>
      <c r="D936" s="6">
        <v>12</v>
      </c>
      <c r="E936" s="6">
        <v>32045140</v>
      </c>
      <c r="F936" s="6" t="s">
        <v>1231</v>
      </c>
      <c r="G936" s="6" t="s">
        <v>2860</v>
      </c>
      <c r="H936" s="6" t="s">
        <v>38</v>
      </c>
    </row>
    <row r="937" spans="1:8" x14ac:dyDescent="0.3">
      <c r="A937" s="6" t="s">
        <v>2858</v>
      </c>
      <c r="B937" s="6" t="s">
        <v>3249</v>
      </c>
      <c r="C937" s="6" t="s">
        <v>2861</v>
      </c>
      <c r="D937" s="6">
        <v>12</v>
      </c>
      <c r="E937" s="6">
        <v>32044046</v>
      </c>
      <c r="F937" s="6" t="s">
        <v>3250</v>
      </c>
      <c r="G937" s="6" t="s">
        <v>2860</v>
      </c>
      <c r="H937" s="6" t="s">
        <v>44</v>
      </c>
    </row>
    <row r="938" spans="1:8" x14ac:dyDescent="0.3">
      <c r="A938" s="6" t="s">
        <v>2858</v>
      </c>
      <c r="B938" s="6" t="s">
        <v>3249</v>
      </c>
      <c r="C938" s="6" t="s">
        <v>2861</v>
      </c>
      <c r="D938" s="6">
        <v>12</v>
      </c>
      <c r="E938" s="6">
        <v>32046657</v>
      </c>
      <c r="F938" s="6" t="s">
        <v>1227</v>
      </c>
      <c r="G938" s="6" t="s">
        <v>2860</v>
      </c>
      <c r="H938" s="6" t="s">
        <v>38</v>
      </c>
    </row>
    <row r="939" spans="1:8" x14ac:dyDescent="0.3">
      <c r="A939" s="6" t="s">
        <v>2858</v>
      </c>
      <c r="B939" s="6" t="s">
        <v>3249</v>
      </c>
      <c r="C939" s="6" t="s">
        <v>2861</v>
      </c>
      <c r="D939" s="6">
        <v>12</v>
      </c>
      <c r="E939" s="6">
        <v>32043920</v>
      </c>
      <c r="F939" s="6" t="s">
        <v>1216</v>
      </c>
      <c r="G939" s="6" t="s">
        <v>2860</v>
      </c>
      <c r="H939" s="6" t="s">
        <v>41</v>
      </c>
    </row>
    <row r="940" spans="1:8" x14ac:dyDescent="0.3">
      <c r="A940" s="6" t="s">
        <v>2858</v>
      </c>
      <c r="B940" s="6" t="s">
        <v>3249</v>
      </c>
      <c r="C940" s="6" t="s">
        <v>2861</v>
      </c>
      <c r="D940" s="6">
        <v>12</v>
      </c>
      <c r="E940" s="6">
        <v>32044164</v>
      </c>
      <c r="F940" s="6" t="s">
        <v>1220</v>
      </c>
      <c r="G940" s="6" t="s">
        <v>2860</v>
      </c>
      <c r="H940" s="6" t="s">
        <v>35</v>
      </c>
    </row>
    <row r="941" spans="1:8" x14ac:dyDescent="0.3">
      <c r="A941" s="6" t="s">
        <v>2858</v>
      </c>
      <c r="B941" s="6" t="s">
        <v>3249</v>
      </c>
      <c r="C941" s="6" t="s">
        <v>2861</v>
      </c>
      <c r="D941" s="6">
        <v>12</v>
      </c>
      <c r="E941" s="6">
        <v>32044644</v>
      </c>
      <c r="F941" s="6" t="s">
        <v>1222</v>
      </c>
      <c r="G941" s="6" t="s">
        <v>2860</v>
      </c>
      <c r="H941" s="6" t="s">
        <v>62</v>
      </c>
    </row>
    <row r="942" spans="1:8" x14ac:dyDescent="0.3">
      <c r="A942" s="6" t="s">
        <v>2858</v>
      </c>
      <c r="B942" s="6" t="s">
        <v>3249</v>
      </c>
      <c r="C942" s="6" t="s">
        <v>2861</v>
      </c>
      <c r="D942" s="6">
        <v>12</v>
      </c>
      <c r="E942" s="6">
        <v>32044852</v>
      </c>
      <c r="F942" s="6" t="s">
        <v>1223</v>
      </c>
      <c r="G942" s="6" t="s">
        <v>2860</v>
      </c>
      <c r="H942" s="6" t="s">
        <v>41</v>
      </c>
    </row>
    <row r="943" spans="1:8" x14ac:dyDescent="0.3">
      <c r="A943" s="6" t="s">
        <v>2858</v>
      </c>
      <c r="B943" s="6" t="s">
        <v>3249</v>
      </c>
      <c r="C943" s="6" t="s">
        <v>2861</v>
      </c>
      <c r="D943" s="6">
        <v>12</v>
      </c>
      <c r="E943" s="6">
        <v>32106989</v>
      </c>
      <c r="F943" s="6" t="s">
        <v>1229</v>
      </c>
      <c r="G943" s="6" t="s">
        <v>2860</v>
      </c>
      <c r="H943" s="6" t="s">
        <v>44</v>
      </c>
    </row>
    <row r="944" spans="1:8" x14ac:dyDescent="0.3">
      <c r="A944" s="6" t="s">
        <v>2858</v>
      </c>
      <c r="B944" s="6" t="s">
        <v>3249</v>
      </c>
      <c r="C944" s="6" t="s">
        <v>2861</v>
      </c>
      <c r="D944" s="6">
        <v>12</v>
      </c>
      <c r="E944" s="6">
        <v>32132186</v>
      </c>
      <c r="F944" s="6" t="s">
        <v>1232</v>
      </c>
      <c r="G944" s="6" t="s">
        <v>2860</v>
      </c>
      <c r="H944" s="6" t="s">
        <v>1584</v>
      </c>
    </row>
    <row r="945" spans="1:8" x14ac:dyDescent="0.3">
      <c r="A945" s="6" t="s">
        <v>2858</v>
      </c>
      <c r="B945" s="6" t="s">
        <v>3249</v>
      </c>
      <c r="C945" s="6" t="s">
        <v>2861</v>
      </c>
      <c r="D945" s="6">
        <v>12</v>
      </c>
      <c r="E945" s="6">
        <v>32044051</v>
      </c>
      <c r="F945" s="6" t="s">
        <v>1218</v>
      </c>
      <c r="G945" s="6" t="s">
        <v>2860</v>
      </c>
      <c r="H945" s="6" t="s">
        <v>62</v>
      </c>
    </row>
    <row r="946" spans="1:8" x14ac:dyDescent="0.3">
      <c r="A946" s="6" t="s">
        <v>2858</v>
      </c>
      <c r="B946" s="6" t="s">
        <v>3249</v>
      </c>
      <c r="C946" s="6" t="s">
        <v>2861</v>
      </c>
      <c r="D946" s="6">
        <v>12</v>
      </c>
      <c r="E946" s="6">
        <v>32132193</v>
      </c>
      <c r="F946" s="6" t="s">
        <v>1234</v>
      </c>
      <c r="G946" s="6" t="s">
        <v>2860</v>
      </c>
      <c r="H946" s="6" t="s">
        <v>47</v>
      </c>
    </row>
    <row r="947" spans="1:8" x14ac:dyDescent="0.3">
      <c r="A947" s="6" t="s">
        <v>2858</v>
      </c>
      <c r="B947" s="6" t="s">
        <v>3249</v>
      </c>
      <c r="C947" s="6" t="s">
        <v>2861</v>
      </c>
      <c r="D947" s="6">
        <v>12</v>
      </c>
      <c r="E947" s="6">
        <v>32231917</v>
      </c>
      <c r="F947" s="6" t="s">
        <v>1466</v>
      </c>
      <c r="G947" s="6" t="s">
        <v>2344</v>
      </c>
      <c r="H947" s="6" t="s">
        <v>2882</v>
      </c>
    </row>
    <row r="948" spans="1:8" x14ac:dyDescent="0.3">
      <c r="A948" s="6" t="s">
        <v>2858</v>
      </c>
      <c r="B948" s="6" t="s">
        <v>3251</v>
      </c>
      <c r="C948" s="6" t="s">
        <v>2869</v>
      </c>
      <c r="D948" s="6" t="s">
        <v>2882</v>
      </c>
      <c r="E948" s="6">
        <v>32199317</v>
      </c>
      <c r="F948" s="6" t="s">
        <v>1616</v>
      </c>
      <c r="G948" s="6" t="s">
        <v>2344</v>
      </c>
      <c r="H948" s="6" t="s">
        <v>2882</v>
      </c>
    </row>
    <row r="949" spans="1:8" x14ac:dyDescent="0.3">
      <c r="A949" s="6" t="s">
        <v>2858</v>
      </c>
      <c r="B949" s="6" t="s">
        <v>3251</v>
      </c>
      <c r="C949" s="6" t="s">
        <v>2869</v>
      </c>
      <c r="D949" s="6" t="s">
        <v>1614</v>
      </c>
      <c r="E949" s="6">
        <v>32096550</v>
      </c>
      <c r="F949" s="6" t="s">
        <v>1720</v>
      </c>
      <c r="G949" s="6" t="s">
        <v>2860</v>
      </c>
      <c r="H949" s="6" t="s">
        <v>47</v>
      </c>
    </row>
    <row r="950" spans="1:8" x14ac:dyDescent="0.3">
      <c r="A950" s="6" t="s">
        <v>2858</v>
      </c>
      <c r="B950" s="6" t="s">
        <v>3251</v>
      </c>
      <c r="C950" s="6" t="s">
        <v>2869</v>
      </c>
      <c r="D950" s="6" t="s">
        <v>1614</v>
      </c>
      <c r="E950" s="6">
        <v>32046470</v>
      </c>
      <c r="F950" s="6" t="s">
        <v>1719</v>
      </c>
      <c r="G950" s="6" t="s">
        <v>2860</v>
      </c>
      <c r="H950" s="6" t="s">
        <v>35</v>
      </c>
    </row>
    <row r="951" spans="1:8" x14ac:dyDescent="0.3">
      <c r="A951" s="6" t="s">
        <v>2858</v>
      </c>
      <c r="B951" s="6" t="s">
        <v>3251</v>
      </c>
      <c r="C951" s="6" t="s">
        <v>2869</v>
      </c>
      <c r="D951" s="6" t="s">
        <v>1614</v>
      </c>
      <c r="E951" s="6">
        <v>32055315</v>
      </c>
      <c r="F951" s="6" t="s">
        <v>1718</v>
      </c>
      <c r="G951" s="6" t="s">
        <v>2860</v>
      </c>
      <c r="H951" s="6" t="s">
        <v>1584</v>
      </c>
    </row>
    <row r="952" spans="1:8" x14ac:dyDescent="0.3">
      <c r="A952" s="6" t="s">
        <v>2858</v>
      </c>
      <c r="B952" s="6" t="s">
        <v>3251</v>
      </c>
      <c r="C952" s="6" t="s">
        <v>2869</v>
      </c>
      <c r="D952" s="6" t="s">
        <v>1614</v>
      </c>
      <c r="E952" s="6">
        <v>32060913</v>
      </c>
      <c r="F952" s="6" t="s">
        <v>1717</v>
      </c>
      <c r="G952" s="6" t="s">
        <v>2860</v>
      </c>
      <c r="H952" s="6" t="s">
        <v>1584</v>
      </c>
    </row>
    <row r="953" spans="1:8" x14ac:dyDescent="0.3">
      <c r="A953" s="6" t="s">
        <v>2858</v>
      </c>
      <c r="B953" s="6" t="s">
        <v>3251</v>
      </c>
      <c r="C953" s="6" t="s">
        <v>2869</v>
      </c>
      <c r="D953" s="6" t="s">
        <v>1614</v>
      </c>
      <c r="E953" s="6">
        <v>32045661</v>
      </c>
      <c r="F953" s="6" t="s">
        <v>1716</v>
      </c>
      <c r="G953" s="6" t="s">
        <v>2860</v>
      </c>
      <c r="H953" s="6" t="s">
        <v>44</v>
      </c>
    </row>
    <row r="954" spans="1:8" x14ac:dyDescent="0.3">
      <c r="A954" s="6" t="s">
        <v>2858</v>
      </c>
      <c r="B954" s="6" t="s">
        <v>3251</v>
      </c>
      <c r="C954" s="6" t="s">
        <v>2869</v>
      </c>
      <c r="D954" s="6" t="s">
        <v>1614</v>
      </c>
      <c r="E954" s="6">
        <v>32178730</v>
      </c>
      <c r="F954" s="6" t="s">
        <v>1715</v>
      </c>
      <c r="G954" s="6" t="s">
        <v>2860</v>
      </c>
      <c r="H954" s="6" t="s">
        <v>38</v>
      </c>
    </row>
    <row r="955" spans="1:8" x14ac:dyDescent="0.3">
      <c r="A955" s="6" t="s">
        <v>2858</v>
      </c>
      <c r="B955" s="6" t="s">
        <v>3251</v>
      </c>
      <c r="C955" s="6" t="s">
        <v>2869</v>
      </c>
      <c r="D955" s="6" t="s">
        <v>1614</v>
      </c>
      <c r="E955" s="6">
        <v>32044139</v>
      </c>
      <c r="F955" s="6" t="s">
        <v>1714</v>
      </c>
      <c r="G955" s="6" t="s">
        <v>2860</v>
      </c>
      <c r="H955" s="6" t="s">
        <v>41</v>
      </c>
    </row>
    <row r="956" spans="1:8" x14ac:dyDescent="0.3">
      <c r="A956" s="6" t="s">
        <v>2858</v>
      </c>
      <c r="B956" s="6" t="s">
        <v>3251</v>
      </c>
      <c r="C956" s="6" t="s">
        <v>2869</v>
      </c>
      <c r="D956" s="6" t="s">
        <v>1614</v>
      </c>
      <c r="E956" s="6">
        <v>32056896</v>
      </c>
      <c r="F956" s="6" t="s">
        <v>1713</v>
      </c>
      <c r="G956" s="6" t="s">
        <v>2860</v>
      </c>
      <c r="H956" s="6" t="s">
        <v>41</v>
      </c>
    </row>
    <row r="957" spans="1:8" x14ac:dyDescent="0.3">
      <c r="A957" s="6" t="s">
        <v>2858</v>
      </c>
      <c r="B957" s="6" t="s">
        <v>3251</v>
      </c>
      <c r="C957" s="6" t="s">
        <v>2869</v>
      </c>
      <c r="D957" s="6" t="s">
        <v>1614</v>
      </c>
      <c r="E957" s="6">
        <v>32046040</v>
      </c>
      <c r="F957" s="6" t="s">
        <v>1712</v>
      </c>
      <c r="G957" s="6" t="s">
        <v>2860</v>
      </c>
      <c r="H957" s="6" t="s">
        <v>35</v>
      </c>
    </row>
    <row r="958" spans="1:8" x14ac:dyDescent="0.3">
      <c r="A958" s="6" t="s">
        <v>2858</v>
      </c>
      <c r="B958" s="6" t="s">
        <v>3251</v>
      </c>
      <c r="C958" s="6" t="s">
        <v>2869</v>
      </c>
      <c r="D958" s="6" t="s">
        <v>1614</v>
      </c>
      <c r="E958" s="6">
        <v>32136861</v>
      </c>
      <c r="F958" s="6" t="s">
        <v>1711</v>
      </c>
      <c r="G958" s="6" t="s">
        <v>2860</v>
      </c>
      <c r="H958" s="6" t="s">
        <v>62</v>
      </c>
    </row>
    <row r="959" spans="1:8" x14ac:dyDescent="0.3">
      <c r="A959" s="6" t="s">
        <v>2858</v>
      </c>
      <c r="B959" s="6" t="s">
        <v>3251</v>
      </c>
      <c r="C959" s="6" t="s">
        <v>2869</v>
      </c>
      <c r="D959" s="6" t="s">
        <v>1614</v>
      </c>
      <c r="E959" s="6">
        <v>32043912</v>
      </c>
      <c r="F959" s="6" t="s">
        <v>1710</v>
      </c>
      <c r="G959" s="6" t="s">
        <v>2860</v>
      </c>
      <c r="H959" s="6" t="s">
        <v>47</v>
      </c>
    </row>
    <row r="960" spans="1:8" x14ac:dyDescent="0.3">
      <c r="A960" s="6" t="s">
        <v>2858</v>
      </c>
      <c r="B960" s="6" t="s">
        <v>3251</v>
      </c>
      <c r="C960" s="6" t="s">
        <v>2869</v>
      </c>
      <c r="D960" s="6" t="s">
        <v>1614</v>
      </c>
      <c r="E960" s="6">
        <v>32043937</v>
      </c>
      <c r="F960" s="6" t="s">
        <v>1709</v>
      </c>
      <c r="G960" s="6" t="s">
        <v>2860</v>
      </c>
      <c r="H960" s="6" t="s">
        <v>44</v>
      </c>
    </row>
    <row r="961" spans="1:8" x14ac:dyDescent="0.3">
      <c r="A961" s="6" t="s">
        <v>2858</v>
      </c>
      <c r="B961" s="6" t="s">
        <v>3251</v>
      </c>
      <c r="C961" s="6" t="s">
        <v>2869</v>
      </c>
      <c r="D961" s="6" t="s">
        <v>1614</v>
      </c>
      <c r="E961" s="6">
        <v>32046249</v>
      </c>
      <c r="F961" s="6" t="s">
        <v>1708</v>
      </c>
      <c r="G961" s="6" t="s">
        <v>2860</v>
      </c>
      <c r="H961" s="6" t="s">
        <v>44</v>
      </c>
    </row>
    <row r="962" spans="1:8" x14ac:dyDescent="0.3">
      <c r="A962" s="6" t="s">
        <v>2858</v>
      </c>
      <c r="B962" s="6" t="s">
        <v>3251</v>
      </c>
      <c r="C962" s="6" t="s">
        <v>2869</v>
      </c>
      <c r="D962" s="6" t="s">
        <v>1614</v>
      </c>
      <c r="E962" s="6">
        <v>32136857</v>
      </c>
      <c r="F962" s="6" t="s">
        <v>1707</v>
      </c>
      <c r="G962" s="6" t="s">
        <v>2860</v>
      </c>
      <c r="H962" s="6" t="s">
        <v>41</v>
      </c>
    </row>
    <row r="963" spans="1:8" x14ac:dyDescent="0.3">
      <c r="A963" s="6" t="s">
        <v>2858</v>
      </c>
      <c r="B963" s="6" t="s">
        <v>3251</v>
      </c>
      <c r="C963" s="6" t="s">
        <v>2869</v>
      </c>
      <c r="D963" s="6" t="s">
        <v>1614</v>
      </c>
      <c r="E963" s="6">
        <v>32046576</v>
      </c>
      <c r="F963" s="6" t="s">
        <v>1706</v>
      </c>
      <c r="G963" s="6" t="s">
        <v>2860</v>
      </c>
      <c r="H963" s="6" t="s">
        <v>62</v>
      </c>
    </row>
    <row r="964" spans="1:8" x14ac:dyDescent="0.3">
      <c r="A964" s="6" t="s">
        <v>2858</v>
      </c>
      <c r="B964" s="6" t="s">
        <v>3251</v>
      </c>
      <c r="C964" s="6" t="s">
        <v>2869</v>
      </c>
      <c r="D964" s="6" t="s">
        <v>1614</v>
      </c>
      <c r="E964" s="6">
        <v>32056674</v>
      </c>
      <c r="F964" s="6" t="s">
        <v>1705</v>
      </c>
      <c r="G964" s="6" t="s">
        <v>2860</v>
      </c>
      <c r="H964" s="6" t="s">
        <v>38</v>
      </c>
    </row>
    <row r="965" spans="1:8" x14ac:dyDescent="0.3">
      <c r="A965" s="6" t="s">
        <v>2858</v>
      </c>
      <c r="B965" s="6" t="s">
        <v>3251</v>
      </c>
      <c r="C965" s="6" t="s">
        <v>2869</v>
      </c>
      <c r="D965" s="6" t="s">
        <v>1614</v>
      </c>
      <c r="E965" s="6">
        <v>32229593</v>
      </c>
      <c r="F965" s="6" t="s">
        <v>1704</v>
      </c>
      <c r="G965" s="6" t="s">
        <v>2860</v>
      </c>
      <c r="H965" s="6" t="s">
        <v>41</v>
      </c>
    </row>
    <row r="966" spans="1:8" x14ac:dyDescent="0.3">
      <c r="A966" s="6" t="s">
        <v>2858</v>
      </c>
      <c r="B966" s="6" t="s">
        <v>3251</v>
      </c>
      <c r="C966" s="6" t="s">
        <v>2869</v>
      </c>
      <c r="D966" s="6" t="s">
        <v>1614</v>
      </c>
      <c r="E966" s="6">
        <v>32044785</v>
      </c>
      <c r="F966" s="6" t="s">
        <v>1703</v>
      </c>
      <c r="G966" s="6" t="s">
        <v>2860</v>
      </c>
      <c r="H966" s="6" t="s">
        <v>62</v>
      </c>
    </row>
    <row r="967" spans="1:8" x14ac:dyDescent="0.3">
      <c r="A967" s="6" t="s">
        <v>2858</v>
      </c>
      <c r="B967" s="6" t="s">
        <v>3252</v>
      </c>
      <c r="C967" s="6" t="s">
        <v>2869</v>
      </c>
      <c r="D967" s="6" t="s">
        <v>2882</v>
      </c>
      <c r="E967" s="6">
        <v>32045834</v>
      </c>
      <c r="F967" s="6" t="s">
        <v>1723</v>
      </c>
      <c r="G967" s="6" t="s">
        <v>2344</v>
      </c>
      <c r="H967" s="6" t="s">
        <v>2882</v>
      </c>
    </row>
    <row r="968" spans="1:8" x14ac:dyDescent="0.3">
      <c r="A968" s="6" t="s">
        <v>2858</v>
      </c>
      <c r="B968" s="6" t="s">
        <v>3252</v>
      </c>
      <c r="C968" s="6" t="s">
        <v>2869</v>
      </c>
      <c r="D968" s="6" t="s">
        <v>1721</v>
      </c>
      <c r="E968" s="6">
        <v>32044254</v>
      </c>
      <c r="F968" s="6" t="s">
        <v>1725</v>
      </c>
      <c r="G968" s="6" t="s">
        <v>2860</v>
      </c>
      <c r="H968" s="6" t="s">
        <v>38</v>
      </c>
    </row>
    <row r="969" spans="1:8" x14ac:dyDescent="0.3">
      <c r="A969" s="6" t="s">
        <v>2858</v>
      </c>
      <c r="B969" s="6" t="s">
        <v>3252</v>
      </c>
      <c r="C969" s="6" t="s">
        <v>2869</v>
      </c>
      <c r="D969" s="6" t="s">
        <v>1721</v>
      </c>
      <c r="E969" s="6">
        <v>32044024</v>
      </c>
      <c r="F969" s="6" t="s">
        <v>2878</v>
      </c>
      <c r="G969" s="6" t="s">
        <v>2860</v>
      </c>
      <c r="H969" s="6" t="s">
        <v>35</v>
      </c>
    </row>
    <row r="970" spans="1:8" x14ac:dyDescent="0.3">
      <c r="A970" s="6" t="s">
        <v>2858</v>
      </c>
      <c r="B970" s="6" t="s">
        <v>3252</v>
      </c>
      <c r="C970" s="6" t="s">
        <v>2869</v>
      </c>
      <c r="D970" s="6" t="s">
        <v>1721</v>
      </c>
      <c r="E970" s="6">
        <v>32057497</v>
      </c>
      <c r="F970" s="6" t="s">
        <v>2879</v>
      </c>
      <c r="G970" s="6" t="s">
        <v>2860</v>
      </c>
      <c r="H970" s="6" t="s">
        <v>41</v>
      </c>
    </row>
    <row r="971" spans="1:8" x14ac:dyDescent="0.3">
      <c r="A971" s="6" t="s">
        <v>2858</v>
      </c>
      <c r="B971" s="6" t="s">
        <v>3252</v>
      </c>
      <c r="C971" s="6" t="s">
        <v>2869</v>
      </c>
      <c r="D971" s="6" t="s">
        <v>1721</v>
      </c>
      <c r="E971" s="6">
        <v>32045689</v>
      </c>
      <c r="F971" s="6" t="s">
        <v>1727</v>
      </c>
      <c r="G971" s="6" t="s">
        <v>2860</v>
      </c>
      <c r="H971" s="6" t="s">
        <v>1584</v>
      </c>
    </row>
    <row r="972" spans="1:8" x14ac:dyDescent="0.3">
      <c r="A972" s="6" t="s">
        <v>2858</v>
      </c>
      <c r="B972" s="6" t="s">
        <v>3252</v>
      </c>
      <c r="C972" s="6" t="s">
        <v>2869</v>
      </c>
      <c r="D972" s="6" t="s">
        <v>1721</v>
      </c>
      <c r="E972" s="6">
        <v>32044362</v>
      </c>
      <c r="F972" s="6" t="s">
        <v>1729</v>
      </c>
      <c r="G972" s="6" t="s">
        <v>2860</v>
      </c>
      <c r="H972" s="6" t="s">
        <v>44</v>
      </c>
    </row>
    <row r="973" spans="1:8" x14ac:dyDescent="0.3">
      <c r="A973" s="6" t="s">
        <v>2858</v>
      </c>
      <c r="B973" s="6" t="s">
        <v>2195</v>
      </c>
      <c r="C973" s="6" t="s">
        <v>2859</v>
      </c>
      <c r="D973" s="6" t="s">
        <v>2882</v>
      </c>
      <c r="E973" s="6">
        <v>32149977</v>
      </c>
      <c r="F973" s="6" t="s">
        <v>2196</v>
      </c>
      <c r="G973" s="6" t="s">
        <v>2344</v>
      </c>
      <c r="H973" s="6" t="s">
        <v>2882</v>
      </c>
    </row>
    <row r="974" spans="1:8" x14ac:dyDescent="0.3">
      <c r="A974" s="6" t="s">
        <v>2858</v>
      </c>
      <c r="B974" s="6" t="s">
        <v>2195</v>
      </c>
      <c r="C974" s="6" t="s">
        <v>2859</v>
      </c>
      <c r="D974" s="6" t="s">
        <v>2182</v>
      </c>
      <c r="E974" s="6">
        <v>32044308</v>
      </c>
      <c r="F974" s="6" t="s">
        <v>2202</v>
      </c>
      <c r="G974" s="6" t="s">
        <v>2860</v>
      </c>
      <c r="H974" s="6" t="s">
        <v>38</v>
      </c>
    </row>
    <row r="975" spans="1:8" x14ac:dyDescent="0.3">
      <c r="A975" s="6" t="s">
        <v>2858</v>
      </c>
      <c r="B975" s="6" t="s">
        <v>2195</v>
      </c>
      <c r="C975" s="6" t="s">
        <v>2859</v>
      </c>
      <c r="D975" s="6" t="s">
        <v>2182</v>
      </c>
      <c r="E975" s="6">
        <v>32043647</v>
      </c>
      <c r="F975" s="6" t="s">
        <v>2198</v>
      </c>
      <c r="G975" s="6" t="s">
        <v>2860</v>
      </c>
      <c r="H975" s="6" t="s">
        <v>62</v>
      </c>
    </row>
    <row r="976" spans="1:8" x14ac:dyDescent="0.3">
      <c r="A976" s="6" t="s">
        <v>2858</v>
      </c>
      <c r="B976" s="6" t="s">
        <v>2195</v>
      </c>
      <c r="C976" s="6" t="s">
        <v>2859</v>
      </c>
      <c r="D976" s="6" t="s">
        <v>2182</v>
      </c>
      <c r="E976" s="6">
        <v>32045015</v>
      </c>
      <c r="F976" s="6" t="s">
        <v>2199</v>
      </c>
      <c r="G976" s="6" t="s">
        <v>2860</v>
      </c>
      <c r="H976" s="6" t="s">
        <v>44</v>
      </c>
    </row>
    <row r="977" spans="1:8" x14ac:dyDescent="0.3">
      <c r="A977" s="6" t="s">
        <v>2858</v>
      </c>
      <c r="B977" s="6" t="s">
        <v>2195</v>
      </c>
      <c r="C977" s="6" t="s">
        <v>2859</v>
      </c>
      <c r="D977" s="6" t="s">
        <v>2182</v>
      </c>
      <c r="E977" s="6">
        <v>32043723</v>
      </c>
      <c r="F977" s="6" t="s">
        <v>2197</v>
      </c>
      <c r="G977" s="6" t="s">
        <v>2860</v>
      </c>
      <c r="H977" s="6" t="s">
        <v>38</v>
      </c>
    </row>
    <row r="978" spans="1:8" x14ac:dyDescent="0.3">
      <c r="A978" s="6" t="s">
        <v>2858</v>
      </c>
      <c r="B978" s="6" t="s">
        <v>2195</v>
      </c>
      <c r="C978" s="6" t="s">
        <v>2859</v>
      </c>
      <c r="D978" s="6" t="s">
        <v>2182</v>
      </c>
      <c r="E978" s="6">
        <v>32045210</v>
      </c>
      <c r="F978" s="6" t="s">
        <v>2205</v>
      </c>
      <c r="G978" s="6" t="s">
        <v>2860</v>
      </c>
      <c r="H978" s="6" t="s">
        <v>35</v>
      </c>
    </row>
    <row r="979" spans="1:8" x14ac:dyDescent="0.3">
      <c r="A979" s="6" t="s">
        <v>2858</v>
      </c>
      <c r="B979" s="6" t="s">
        <v>2195</v>
      </c>
      <c r="C979" s="6" t="s">
        <v>2859</v>
      </c>
      <c r="D979" s="6" t="s">
        <v>2182</v>
      </c>
      <c r="E979" s="6">
        <v>32045901</v>
      </c>
      <c r="F979" s="6" t="s">
        <v>2201</v>
      </c>
      <c r="G979" s="6" t="s">
        <v>2860</v>
      </c>
      <c r="H979" s="6" t="s">
        <v>41</v>
      </c>
    </row>
    <row r="980" spans="1:8" x14ac:dyDescent="0.3">
      <c r="A980" s="6" t="s">
        <v>2858</v>
      </c>
      <c r="B980" s="6" t="s">
        <v>2195</v>
      </c>
      <c r="C980" s="6" t="s">
        <v>2859</v>
      </c>
      <c r="D980" s="6" t="s">
        <v>2182</v>
      </c>
      <c r="E980" s="6">
        <v>32044396</v>
      </c>
      <c r="F980" s="6" t="s">
        <v>2200</v>
      </c>
      <c r="G980" s="6" t="s">
        <v>2860</v>
      </c>
      <c r="H980" s="6" t="s">
        <v>35</v>
      </c>
    </row>
    <row r="981" spans="1:8" x14ac:dyDescent="0.3">
      <c r="A981" s="6" t="s">
        <v>2858</v>
      </c>
      <c r="B981" s="6" t="s">
        <v>2195</v>
      </c>
      <c r="C981" s="6" t="s">
        <v>2859</v>
      </c>
      <c r="D981" s="6" t="s">
        <v>2182</v>
      </c>
      <c r="E981" s="6">
        <v>32146008</v>
      </c>
      <c r="F981" s="6" t="s">
        <v>2203</v>
      </c>
      <c r="G981" s="6" t="s">
        <v>2860</v>
      </c>
      <c r="H981" s="6" t="s">
        <v>62</v>
      </c>
    </row>
    <row r="982" spans="1:8" x14ac:dyDescent="0.3">
      <c r="A982" s="6" t="s">
        <v>2858</v>
      </c>
      <c r="B982" s="6" t="s">
        <v>2195</v>
      </c>
      <c r="C982" s="6" t="s">
        <v>2859</v>
      </c>
      <c r="D982" s="6" t="s">
        <v>2182</v>
      </c>
      <c r="E982" s="6">
        <v>32149494</v>
      </c>
      <c r="F982" s="6" t="s">
        <v>2206</v>
      </c>
      <c r="G982" s="6" t="s">
        <v>2860</v>
      </c>
      <c r="H982" s="6" t="s">
        <v>41</v>
      </c>
    </row>
    <row r="983" spans="1:8" x14ac:dyDescent="0.3">
      <c r="A983" s="6" t="s">
        <v>2858</v>
      </c>
      <c r="B983" s="6" t="s">
        <v>2195</v>
      </c>
      <c r="C983" s="6" t="s">
        <v>2859</v>
      </c>
      <c r="D983" s="6" t="s">
        <v>2182</v>
      </c>
      <c r="E983" s="6">
        <v>32045045</v>
      </c>
      <c r="F983" s="6" t="s">
        <v>2208</v>
      </c>
      <c r="G983" s="6" t="s">
        <v>2860</v>
      </c>
      <c r="H983" s="6" t="s">
        <v>62</v>
      </c>
    </row>
    <row r="984" spans="1:8" x14ac:dyDescent="0.3">
      <c r="A984" s="6" t="s">
        <v>2858</v>
      </c>
      <c r="B984" s="6" t="s">
        <v>2195</v>
      </c>
      <c r="C984" s="6" t="s">
        <v>2859</v>
      </c>
      <c r="D984" s="6" t="s">
        <v>2182</v>
      </c>
      <c r="E984" s="6">
        <v>32046095</v>
      </c>
      <c r="F984" s="6" t="s">
        <v>2204</v>
      </c>
      <c r="G984" s="6" t="s">
        <v>2860</v>
      </c>
      <c r="H984" s="6" t="s">
        <v>44</v>
      </c>
    </row>
    <row r="985" spans="1:8" x14ac:dyDescent="0.3">
      <c r="A985" s="6" t="s">
        <v>2858</v>
      </c>
      <c r="B985" s="6" t="s">
        <v>2195</v>
      </c>
      <c r="C985" s="6" t="s">
        <v>2859</v>
      </c>
      <c r="D985" s="6" t="s">
        <v>2182</v>
      </c>
      <c r="E985" s="6">
        <v>32044984</v>
      </c>
      <c r="F985" s="6" t="s">
        <v>2207</v>
      </c>
      <c r="G985" s="6" t="s">
        <v>2860</v>
      </c>
      <c r="H985" s="6" t="s">
        <v>47</v>
      </c>
    </row>
    <row r="986" spans="1:8" x14ac:dyDescent="0.3">
      <c r="A986" s="6" t="s">
        <v>2858</v>
      </c>
      <c r="B986" s="6" t="s">
        <v>3253</v>
      </c>
      <c r="C986" s="6" t="s">
        <v>2861</v>
      </c>
      <c r="D986" s="6">
        <v>13</v>
      </c>
      <c r="E986" s="6">
        <v>32060808</v>
      </c>
      <c r="F986" s="6" t="s">
        <v>1265</v>
      </c>
      <c r="G986" s="6" t="s">
        <v>2344</v>
      </c>
      <c r="H986" s="6" t="s">
        <v>2882</v>
      </c>
    </row>
    <row r="987" spans="1:8" x14ac:dyDescent="0.3">
      <c r="A987" s="6" t="s">
        <v>2858</v>
      </c>
      <c r="B987" s="6" t="s">
        <v>3253</v>
      </c>
      <c r="C987" s="6" t="s">
        <v>2861</v>
      </c>
      <c r="D987" s="6">
        <v>13</v>
      </c>
      <c r="E987" s="6">
        <v>32046268</v>
      </c>
      <c r="F987" s="6" t="s">
        <v>3254</v>
      </c>
      <c r="G987" s="6" t="s">
        <v>2860</v>
      </c>
      <c r="H987" s="6" t="s">
        <v>62</v>
      </c>
    </row>
    <row r="988" spans="1:8" x14ac:dyDescent="0.3">
      <c r="A988" s="6" t="s">
        <v>2858</v>
      </c>
      <c r="B988" s="6" t="s">
        <v>3253</v>
      </c>
      <c r="C988" s="6" t="s">
        <v>2861</v>
      </c>
      <c r="D988" s="6">
        <v>13</v>
      </c>
      <c r="E988" s="6">
        <v>32043942</v>
      </c>
      <c r="F988" s="6" t="s">
        <v>3255</v>
      </c>
      <c r="G988" s="6" t="s">
        <v>2860</v>
      </c>
      <c r="H988" s="6" t="s">
        <v>47</v>
      </c>
    </row>
    <row r="989" spans="1:8" x14ac:dyDescent="0.3">
      <c r="A989" s="6" t="s">
        <v>2858</v>
      </c>
      <c r="B989" s="6" t="s">
        <v>3253</v>
      </c>
      <c r="C989" s="6" t="s">
        <v>2861</v>
      </c>
      <c r="D989" s="6">
        <v>13</v>
      </c>
      <c r="E989" s="6">
        <v>32045180</v>
      </c>
      <c r="F989" s="6" t="s">
        <v>3256</v>
      </c>
      <c r="G989" s="6" t="s">
        <v>2860</v>
      </c>
      <c r="H989" s="6" t="s">
        <v>35</v>
      </c>
    </row>
    <row r="990" spans="1:8" x14ac:dyDescent="0.3">
      <c r="A990" s="6" t="s">
        <v>2858</v>
      </c>
      <c r="B990" s="6" t="s">
        <v>3253</v>
      </c>
      <c r="C990" s="6" t="s">
        <v>2861</v>
      </c>
      <c r="D990" s="6">
        <v>13</v>
      </c>
      <c r="E990" s="6">
        <v>32044067</v>
      </c>
      <c r="F990" s="6" t="s">
        <v>3257</v>
      </c>
      <c r="G990" s="6" t="s">
        <v>2860</v>
      </c>
      <c r="H990" s="6" t="s">
        <v>38</v>
      </c>
    </row>
    <row r="991" spans="1:8" x14ac:dyDescent="0.3">
      <c r="A991" s="6" t="s">
        <v>2858</v>
      </c>
      <c r="B991" s="6" t="s">
        <v>3253</v>
      </c>
      <c r="C991" s="6" t="s">
        <v>2861</v>
      </c>
      <c r="D991" s="6">
        <v>13</v>
      </c>
      <c r="E991" s="6">
        <v>32138052</v>
      </c>
      <c r="F991" s="6" t="s">
        <v>3258</v>
      </c>
      <c r="G991" s="6" t="s">
        <v>2860</v>
      </c>
      <c r="H991" s="6" t="s">
        <v>47</v>
      </c>
    </row>
    <row r="992" spans="1:8" x14ac:dyDescent="0.3">
      <c r="A992" s="6" t="s">
        <v>2858</v>
      </c>
      <c r="B992" s="6" t="s">
        <v>3253</v>
      </c>
      <c r="C992" s="6" t="s">
        <v>2861</v>
      </c>
      <c r="D992" s="6">
        <v>13</v>
      </c>
      <c r="E992" s="6">
        <v>32140577</v>
      </c>
      <c r="F992" s="6" t="s">
        <v>3259</v>
      </c>
      <c r="G992" s="6" t="s">
        <v>2860</v>
      </c>
      <c r="H992" s="6" t="s">
        <v>41</v>
      </c>
    </row>
    <row r="993" spans="1:8" x14ac:dyDescent="0.3">
      <c r="A993" s="6" t="s">
        <v>2858</v>
      </c>
      <c r="B993" s="6" t="s">
        <v>3253</v>
      </c>
      <c r="C993" s="6" t="s">
        <v>2861</v>
      </c>
      <c r="D993" s="6">
        <v>13</v>
      </c>
      <c r="E993" s="6">
        <v>32142975</v>
      </c>
      <c r="F993" s="6" t="s">
        <v>3260</v>
      </c>
      <c r="G993" s="6" t="s">
        <v>2860</v>
      </c>
      <c r="H993" s="6" t="s">
        <v>41</v>
      </c>
    </row>
    <row r="994" spans="1:8" x14ac:dyDescent="0.3">
      <c r="A994" s="6" t="s">
        <v>2858</v>
      </c>
      <c r="B994" s="6" t="s">
        <v>3253</v>
      </c>
      <c r="C994" s="6" t="s">
        <v>2861</v>
      </c>
      <c r="D994" s="6">
        <v>13</v>
      </c>
      <c r="E994" s="6">
        <v>32198229</v>
      </c>
      <c r="F994" s="6" t="s">
        <v>3261</v>
      </c>
      <c r="G994" s="6" t="s">
        <v>2860</v>
      </c>
      <c r="H994" s="6" t="s">
        <v>62</v>
      </c>
    </row>
    <row r="995" spans="1:8" x14ac:dyDescent="0.3">
      <c r="A995" s="6" t="s">
        <v>2858</v>
      </c>
      <c r="B995" s="6" t="s">
        <v>3253</v>
      </c>
      <c r="C995" s="6" t="s">
        <v>2861</v>
      </c>
      <c r="D995" s="6">
        <v>13</v>
      </c>
      <c r="E995" s="6">
        <v>32045538</v>
      </c>
      <c r="F995" s="6" t="s">
        <v>3262</v>
      </c>
      <c r="G995" s="6" t="s">
        <v>2860</v>
      </c>
      <c r="H995" s="6" t="s">
        <v>44</v>
      </c>
    </row>
    <row r="996" spans="1:8" x14ac:dyDescent="0.3">
      <c r="A996" s="6" t="s">
        <v>2858</v>
      </c>
      <c r="B996" s="6" t="s">
        <v>3253</v>
      </c>
      <c r="C996" s="6" t="s">
        <v>2861</v>
      </c>
      <c r="D996" s="6">
        <v>13</v>
      </c>
      <c r="E996" s="6">
        <v>32044682</v>
      </c>
      <c r="F996" s="6" t="s">
        <v>3263</v>
      </c>
      <c r="G996" s="6" t="s">
        <v>2860</v>
      </c>
      <c r="H996" s="6" t="s">
        <v>38</v>
      </c>
    </row>
    <row r="997" spans="1:8" x14ac:dyDescent="0.3">
      <c r="A997" s="6" t="s">
        <v>2858</v>
      </c>
      <c r="B997" s="6" t="s">
        <v>3253</v>
      </c>
      <c r="C997" s="6" t="s">
        <v>2861</v>
      </c>
      <c r="D997" s="6">
        <v>13</v>
      </c>
      <c r="E997" s="6">
        <v>32142965</v>
      </c>
      <c r="F997" s="6" t="s">
        <v>3264</v>
      </c>
      <c r="G997" s="6" t="s">
        <v>2860</v>
      </c>
      <c r="H997" s="6" t="s">
        <v>1584</v>
      </c>
    </row>
    <row r="998" spans="1:8" x14ac:dyDescent="0.3">
      <c r="A998" s="6" t="s">
        <v>2858</v>
      </c>
      <c r="B998" s="6" t="s">
        <v>3253</v>
      </c>
      <c r="C998" s="6" t="s">
        <v>2861</v>
      </c>
      <c r="D998" s="6">
        <v>13</v>
      </c>
      <c r="E998" s="6">
        <v>32136709</v>
      </c>
      <c r="F998" s="6" t="s">
        <v>3265</v>
      </c>
      <c r="G998" s="6" t="s">
        <v>2860</v>
      </c>
      <c r="H998" s="6" t="s">
        <v>44</v>
      </c>
    </row>
    <row r="999" spans="1:8" x14ac:dyDescent="0.3">
      <c r="A999" s="6" t="s">
        <v>2858</v>
      </c>
      <c r="B999" s="6" t="s">
        <v>2243</v>
      </c>
      <c r="C999" s="6" t="s">
        <v>2859</v>
      </c>
      <c r="D999" s="6" t="s">
        <v>2235</v>
      </c>
      <c r="E999" s="6">
        <v>32043790</v>
      </c>
      <c r="F999" s="6" t="s">
        <v>2246</v>
      </c>
      <c r="G999" s="6" t="s">
        <v>2860</v>
      </c>
      <c r="H999" s="6" t="s">
        <v>44</v>
      </c>
    </row>
    <row r="1000" spans="1:8" x14ac:dyDescent="0.3">
      <c r="A1000" s="6" t="s">
        <v>2858</v>
      </c>
      <c r="B1000" s="6" t="s">
        <v>2243</v>
      </c>
      <c r="C1000" s="6" t="s">
        <v>2859</v>
      </c>
      <c r="D1000" s="6" t="s">
        <v>2235</v>
      </c>
      <c r="E1000" s="6">
        <v>32044976</v>
      </c>
      <c r="F1000" s="6" t="s">
        <v>2247</v>
      </c>
      <c r="G1000" s="6" t="s">
        <v>2860</v>
      </c>
      <c r="H1000" s="6" t="s">
        <v>47</v>
      </c>
    </row>
    <row r="1001" spans="1:8" x14ac:dyDescent="0.3">
      <c r="A1001" s="6" t="s">
        <v>2858</v>
      </c>
      <c r="B1001" s="6" t="s">
        <v>2243</v>
      </c>
      <c r="C1001" s="6" t="s">
        <v>2859</v>
      </c>
      <c r="D1001" s="6" t="s">
        <v>2235</v>
      </c>
      <c r="E1001" s="6">
        <v>32064464</v>
      </c>
      <c r="F1001" s="6" t="s">
        <v>2245</v>
      </c>
      <c r="G1001" s="6" t="s">
        <v>2860</v>
      </c>
      <c r="H1001" s="6" t="s">
        <v>41</v>
      </c>
    </row>
    <row r="1002" spans="1:8" x14ac:dyDescent="0.3">
      <c r="A1002" s="6" t="s">
        <v>2858</v>
      </c>
      <c r="B1002" s="6" t="s">
        <v>2243</v>
      </c>
      <c r="C1002" s="6" t="s">
        <v>2859</v>
      </c>
      <c r="D1002" s="6" t="s">
        <v>2882</v>
      </c>
      <c r="E1002" s="6">
        <v>32145055</v>
      </c>
      <c r="F1002" s="6" t="s">
        <v>2244</v>
      </c>
      <c r="G1002" s="6" t="s">
        <v>2344</v>
      </c>
      <c r="H1002" s="6" t="s">
        <v>2882</v>
      </c>
    </row>
    <row r="1003" spans="1:8" x14ac:dyDescent="0.3">
      <c r="A1003" s="6" t="s">
        <v>2858</v>
      </c>
      <c r="B1003" s="6" t="s">
        <v>3266</v>
      </c>
      <c r="C1003" s="6" t="s">
        <v>2861</v>
      </c>
      <c r="D1003" s="6">
        <v>10</v>
      </c>
      <c r="E1003" s="6">
        <v>32142776</v>
      </c>
      <c r="F1003" s="6" t="s">
        <v>3267</v>
      </c>
      <c r="G1003" s="6" t="s">
        <v>2860</v>
      </c>
      <c r="H1003" s="6" t="s">
        <v>62</v>
      </c>
    </row>
    <row r="1004" spans="1:8" x14ac:dyDescent="0.3">
      <c r="A1004" s="6" t="s">
        <v>2858</v>
      </c>
      <c r="B1004" s="6" t="s">
        <v>3266</v>
      </c>
      <c r="C1004" s="6" t="s">
        <v>2861</v>
      </c>
      <c r="D1004" s="6">
        <v>10</v>
      </c>
      <c r="E1004" s="6">
        <v>32045447</v>
      </c>
      <c r="F1004" s="6" t="s">
        <v>3268</v>
      </c>
      <c r="G1004" s="6" t="s">
        <v>2860</v>
      </c>
      <c r="H1004" s="6" t="s">
        <v>38</v>
      </c>
    </row>
    <row r="1005" spans="1:8" x14ac:dyDescent="0.3">
      <c r="A1005" s="6" t="s">
        <v>2858</v>
      </c>
      <c r="B1005" s="6" t="s">
        <v>3266</v>
      </c>
      <c r="C1005" s="6" t="s">
        <v>2861</v>
      </c>
      <c r="D1005" s="6">
        <v>10</v>
      </c>
      <c r="E1005" s="6">
        <v>32231920</v>
      </c>
      <c r="F1005" s="6" t="s">
        <v>2951</v>
      </c>
      <c r="G1005" s="6" t="s">
        <v>2344</v>
      </c>
      <c r="H1005" s="6" t="s">
        <v>2882</v>
      </c>
    </row>
    <row r="1006" spans="1:8" x14ac:dyDescent="0.3">
      <c r="A1006" s="6" t="s">
        <v>2858</v>
      </c>
      <c r="B1006" s="6" t="s">
        <v>3266</v>
      </c>
      <c r="C1006" s="6" t="s">
        <v>2861</v>
      </c>
      <c r="D1006" s="6">
        <v>10</v>
      </c>
      <c r="E1006" s="6">
        <v>32142784</v>
      </c>
      <c r="F1006" s="6" t="s">
        <v>3269</v>
      </c>
      <c r="G1006" s="6" t="s">
        <v>2860</v>
      </c>
      <c r="H1006" s="6" t="s">
        <v>44</v>
      </c>
    </row>
    <row r="1007" spans="1:8" x14ac:dyDescent="0.3">
      <c r="A1007" s="6" t="s">
        <v>2858</v>
      </c>
      <c r="B1007" s="6" t="s">
        <v>3266</v>
      </c>
      <c r="C1007" s="6" t="s">
        <v>2861</v>
      </c>
      <c r="D1007" s="6">
        <v>10</v>
      </c>
      <c r="E1007" s="6">
        <v>32044280</v>
      </c>
      <c r="F1007" s="6" t="s">
        <v>3270</v>
      </c>
      <c r="G1007" s="6" t="s">
        <v>2860</v>
      </c>
      <c r="H1007" s="6" t="s">
        <v>62</v>
      </c>
    </row>
    <row r="1008" spans="1:8" x14ac:dyDescent="0.3">
      <c r="A1008" s="6" t="s">
        <v>2858</v>
      </c>
      <c r="B1008" s="6" t="s">
        <v>3266</v>
      </c>
      <c r="C1008" s="6" t="s">
        <v>2861</v>
      </c>
      <c r="D1008" s="6">
        <v>10</v>
      </c>
      <c r="E1008" s="6">
        <v>32046327</v>
      </c>
      <c r="F1008" s="6" t="s">
        <v>3271</v>
      </c>
      <c r="G1008" s="6" t="s">
        <v>2860</v>
      </c>
      <c r="H1008" s="6" t="s">
        <v>1584</v>
      </c>
    </row>
    <row r="1009" spans="1:8" x14ac:dyDescent="0.3">
      <c r="A1009" s="6" t="s">
        <v>2858</v>
      </c>
      <c r="B1009" s="6" t="s">
        <v>3266</v>
      </c>
      <c r="C1009" s="6" t="s">
        <v>2861</v>
      </c>
      <c r="D1009" s="6">
        <v>10</v>
      </c>
      <c r="E1009" s="6">
        <v>32046635</v>
      </c>
      <c r="F1009" s="6" t="s">
        <v>3272</v>
      </c>
      <c r="G1009" s="6" t="s">
        <v>2860</v>
      </c>
      <c r="H1009" s="6" t="s">
        <v>41</v>
      </c>
    </row>
    <row r="1010" spans="1:8" x14ac:dyDescent="0.3">
      <c r="A1010" s="6" t="s">
        <v>2858</v>
      </c>
      <c r="B1010" s="6" t="s">
        <v>3266</v>
      </c>
      <c r="C1010" s="6" t="s">
        <v>2861</v>
      </c>
      <c r="D1010" s="6">
        <v>10</v>
      </c>
      <c r="E1010" s="6">
        <v>32044026</v>
      </c>
      <c r="F1010" s="6" t="s">
        <v>3273</v>
      </c>
      <c r="G1010" s="6" t="s">
        <v>2860</v>
      </c>
      <c r="H1010" s="6" t="s">
        <v>35</v>
      </c>
    </row>
    <row r="1011" spans="1:8" x14ac:dyDescent="0.3">
      <c r="A1011" s="6" t="s">
        <v>2858</v>
      </c>
      <c r="B1011" s="6" t="s">
        <v>2162</v>
      </c>
      <c r="C1011" s="6" t="s">
        <v>2859</v>
      </c>
      <c r="D1011" s="6" t="s">
        <v>2882</v>
      </c>
      <c r="E1011" s="6">
        <v>32172000</v>
      </c>
      <c r="F1011" s="6" t="s">
        <v>2163</v>
      </c>
      <c r="G1011" s="6" t="s">
        <v>2344</v>
      </c>
      <c r="H1011" s="6" t="s">
        <v>2882</v>
      </c>
    </row>
    <row r="1012" spans="1:8" x14ac:dyDescent="0.3">
      <c r="A1012" s="6" t="s">
        <v>2858</v>
      </c>
      <c r="B1012" s="6" t="s">
        <v>2162</v>
      </c>
      <c r="C1012" s="6" t="s">
        <v>2859</v>
      </c>
      <c r="D1012" s="6" t="s">
        <v>2128</v>
      </c>
      <c r="E1012" s="6">
        <v>32045706</v>
      </c>
      <c r="F1012" s="6" t="s">
        <v>2167</v>
      </c>
      <c r="G1012" s="6" t="s">
        <v>2860</v>
      </c>
      <c r="H1012" s="6" t="s">
        <v>35</v>
      </c>
    </row>
    <row r="1013" spans="1:8" x14ac:dyDescent="0.3">
      <c r="A1013" s="6" t="s">
        <v>2858</v>
      </c>
      <c r="B1013" s="6" t="s">
        <v>2162</v>
      </c>
      <c r="C1013" s="6" t="s">
        <v>2859</v>
      </c>
      <c r="D1013" s="6" t="s">
        <v>2128</v>
      </c>
      <c r="E1013" s="6">
        <v>32043982</v>
      </c>
      <c r="F1013" s="6" t="s">
        <v>2166</v>
      </c>
      <c r="G1013" s="6" t="s">
        <v>2860</v>
      </c>
      <c r="H1013" s="6" t="s">
        <v>41</v>
      </c>
    </row>
    <row r="1014" spans="1:8" x14ac:dyDescent="0.3">
      <c r="A1014" s="6" t="s">
        <v>2858</v>
      </c>
      <c r="B1014" s="6" t="s">
        <v>2162</v>
      </c>
      <c r="C1014" s="6" t="s">
        <v>2859</v>
      </c>
      <c r="D1014" s="6" t="s">
        <v>2128</v>
      </c>
      <c r="E1014" s="6">
        <v>32044212</v>
      </c>
      <c r="F1014" s="6" t="s">
        <v>2170</v>
      </c>
      <c r="G1014" s="6" t="s">
        <v>2860</v>
      </c>
      <c r="H1014" s="6" t="s">
        <v>44</v>
      </c>
    </row>
    <row r="1015" spans="1:8" x14ac:dyDescent="0.3">
      <c r="A1015" s="6" t="s">
        <v>2858</v>
      </c>
      <c r="B1015" s="6" t="s">
        <v>2162</v>
      </c>
      <c r="C1015" s="6" t="s">
        <v>2859</v>
      </c>
      <c r="D1015" s="6" t="s">
        <v>2128</v>
      </c>
      <c r="E1015" s="6">
        <v>32044078</v>
      </c>
      <c r="F1015" s="6" t="s">
        <v>2171</v>
      </c>
      <c r="G1015" s="6" t="s">
        <v>2860</v>
      </c>
      <c r="H1015" s="6" t="s">
        <v>35</v>
      </c>
    </row>
    <row r="1016" spans="1:8" x14ac:dyDescent="0.3">
      <c r="A1016" s="6" t="s">
        <v>2858</v>
      </c>
      <c r="B1016" s="6" t="s">
        <v>2162</v>
      </c>
      <c r="C1016" s="6" t="s">
        <v>2859</v>
      </c>
      <c r="D1016" s="6" t="s">
        <v>2128</v>
      </c>
      <c r="E1016" s="6">
        <v>32137942</v>
      </c>
      <c r="F1016" s="6" t="s">
        <v>2169</v>
      </c>
      <c r="G1016" s="6" t="s">
        <v>2860</v>
      </c>
      <c r="H1016" s="6" t="s">
        <v>62</v>
      </c>
    </row>
    <row r="1017" spans="1:8" x14ac:dyDescent="0.3">
      <c r="A1017" s="6" t="s">
        <v>2858</v>
      </c>
      <c r="B1017" s="6" t="s">
        <v>2162</v>
      </c>
      <c r="C1017" s="6" t="s">
        <v>2859</v>
      </c>
      <c r="D1017" s="6" t="s">
        <v>2128</v>
      </c>
      <c r="E1017" s="6">
        <v>32043975</v>
      </c>
      <c r="F1017" s="6" t="s">
        <v>2165</v>
      </c>
      <c r="G1017" s="6" t="s">
        <v>2860</v>
      </c>
      <c r="H1017" s="6" t="s">
        <v>44</v>
      </c>
    </row>
    <row r="1018" spans="1:8" x14ac:dyDescent="0.3">
      <c r="A1018" s="6" t="s">
        <v>2858</v>
      </c>
      <c r="B1018" s="6" t="s">
        <v>2162</v>
      </c>
      <c r="C1018" s="6" t="s">
        <v>2859</v>
      </c>
      <c r="D1018" s="6" t="s">
        <v>2128</v>
      </c>
      <c r="E1018" s="6">
        <v>32045496</v>
      </c>
      <c r="F1018" s="6" t="s">
        <v>2168</v>
      </c>
      <c r="G1018" s="6" t="s">
        <v>2860</v>
      </c>
      <c r="H1018" s="6" t="s">
        <v>47</v>
      </c>
    </row>
    <row r="1019" spans="1:8" x14ac:dyDescent="0.3">
      <c r="A1019" s="6" t="s">
        <v>2858</v>
      </c>
      <c r="B1019" s="6" t="s">
        <v>2162</v>
      </c>
      <c r="C1019" s="6" t="s">
        <v>2859</v>
      </c>
      <c r="D1019" s="6" t="s">
        <v>2128</v>
      </c>
      <c r="E1019" s="6">
        <v>32044803</v>
      </c>
      <c r="F1019" s="6" t="s">
        <v>2164</v>
      </c>
      <c r="G1019" s="6" t="s">
        <v>2860</v>
      </c>
      <c r="H1019" s="6" t="s">
        <v>62</v>
      </c>
    </row>
    <row r="1020" spans="1:8" x14ac:dyDescent="0.3">
      <c r="A1020" s="6" t="s">
        <v>2858</v>
      </c>
      <c r="B1020" s="6" t="s">
        <v>1934</v>
      </c>
      <c r="C1020" s="6" t="s">
        <v>2868</v>
      </c>
      <c r="D1020" s="6" t="s">
        <v>2882</v>
      </c>
      <c r="E1020" s="6">
        <v>32045909</v>
      </c>
      <c r="F1020" s="6" t="s">
        <v>1935</v>
      </c>
      <c r="G1020" s="6" t="s">
        <v>2344</v>
      </c>
      <c r="H1020" s="6" t="s">
        <v>2882</v>
      </c>
    </row>
    <row r="1021" spans="1:8" x14ac:dyDescent="0.3">
      <c r="A1021" s="6" t="s">
        <v>2858</v>
      </c>
      <c r="B1021" s="6" t="s">
        <v>1934</v>
      </c>
      <c r="C1021" s="6" t="s">
        <v>2868</v>
      </c>
      <c r="D1021" s="6">
        <v>0</v>
      </c>
      <c r="E1021" s="6">
        <v>32043813</v>
      </c>
      <c r="F1021" s="6" t="s">
        <v>1937</v>
      </c>
      <c r="G1021" s="6" t="s">
        <v>2860</v>
      </c>
      <c r="H1021" s="6" t="s">
        <v>41</v>
      </c>
    </row>
    <row r="1022" spans="1:8" x14ac:dyDescent="0.3">
      <c r="A1022" s="6" t="s">
        <v>2858</v>
      </c>
      <c r="B1022" s="6" t="s">
        <v>1934</v>
      </c>
      <c r="C1022" s="6" t="s">
        <v>2868</v>
      </c>
      <c r="D1022" s="6">
        <v>0</v>
      </c>
      <c r="E1022" s="6">
        <v>32045837</v>
      </c>
      <c r="F1022" s="6" t="s">
        <v>1939</v>
      </c>
      <c r="G1022" s="6" t="s">
        <v>2860</v>
      </c>
      <c r="H1022" s="6" t="s">
        <v>44</v>
      </c>
    </row>
    <row r="1023" spans="1:8" x14ac:dyDescent="0.3">
      <c r="A1023" s="6" t="s">
        <v>2858</v>
      </c>
      <c r="B1023" s="6" t="s">
        <v>1934</v>
      </c>
      <c r="C1023" s="6" t="s">
        <v>2868</v>
      </c>
      <c r="D1023" s="6">
        <v>0</v>
      </c>
      <c r="E1023" s="6">
        <v>32044591</v>
      </c>
      <c r="F1023" s="6" t="s">
        <v>1941</v>
      </c>
      <c r="G1023" s="6" t="s">
        <v>2860</v>
      </c>
      <c r="H1023" s="6" t="s">
        <v>38</v>
      </c>
    </row>
    <row r="1024" spans="1:8" x14ac:dyDescent="0.3">
      <c r="A1024" s="6" t="s">
        <v>2858</v>
      </c>
      <c r="B1024" s="6" t="s">
        <v>1934</v>
      </c>
      <c r="C1024" s="6" t="s">
        <v>2868</v>
      </c>
      <c r="D1024" s="6">
        <v>0</v>
      </c>
      <c r="E1024" s="6">
        <v>32044678</v>
      </c>
      <c r="F1024" s="6" t="s">
        <v>1943</v>
      </c>
      <c r="G1024" s="6" t="s">
        <v>2860</v>
      </c>
      <c r="H1024" s="6" t="s">
        <v>1584</v>
      </c>
    </row>
    <row r="1025" spans="1:8" x14ac:dyDescent="0.3">
      <c r="A1025" s="6" t="s">
        <v>2858</v>
      </c>
      <c r="B1025" s="6" t="s">
        <v>1934</v>
      </c>
      <c r="C1025" s="6" t="s">
        <v>2868</v>
      </c>
      <c r="D1025" s="6">
        <v>0</v>
      </c>
      <c r="E1025" s="6">
        <v>32044323</v>
      </c>
      <c r="F1025" s="6" t="s">
        <v>1945</v>
      </c>
      <c r="G1025" s="6" t="s">
        <v>2860</v>
      </c>
      <c r="H1025" s="6" t="s">
        <v>47</v>
      </c>
    </row>
    <row r="1026" spans="1:8" x14ac:dyDescent="0.3">
      <c r="A1026" s="6" t="s">
        <v>2858</v>
      </c>
      <c r="B1026" s="6" t="s">
        <v>1934</v>
      </c>
      <c r="C1026" s="6" t="s">
        <v>2868</v>
      </c>
      <c r="D1026" s="6">
        <v>0</v>
      </c>
      <c r="E1026" s="6">
        <v>32044422</v>
      </c>
      <c r="F1026" s="6" t="s">
        <v>1947</v>
      </c>
      <c r="G1026" s="6" t="s">
        <v>2860</v>
      </c>
      <c r="H1026" s="6" t="s">
        <v>44</v>
      </c>
    </row>
    <row r="1027" spans="1:8" x14ac:dyDescent="0.3">
      <c r="A1027" s="6" t="s">
        <v>2858</v>
      </c>
      <c r="B1027" s="6" t="s">
        <v>1934</v>
      </c>
      <c r="C1027" s="6" t="s">
        <v>2868</v>
      </c>
      <c r="D1027" s="6">
        <v>0</v>
      </c>
      <c r="E1027" s="6">
        <v>32044985</v>
      </c>
      <c r="F1027" s="6" t="s">
        <v>1949</v>
      </c>
      <c r="G1027" s="6" t="s">
        <v>2860</v>
      </c>
      <c r="H1027" s="6" t="s">
        <v>41</v>
      </c>
    </row>
    <row r="1028" spans="1:8" x14ac:dyDescent="0.3">
      <c r="A1028" s="6" t="s">
        <v>2858</v>
      </c>
      <c r="B1028" s="6" t="s">
        <v>3274</v>
      </c>
      <c r="C1028" s="6" t="s">
        <v>2869</v>
      </c>
      <c r="D1028" s="6" t="s">
        <v>2882</v>
      </c>
      <c r="E1028" s="6">
        <v>32223054</v>
      </c>
      <c r="F1028" s="6" t="s">
        <v>3275</v>
      </c>
      <c r="G1028" s="6" t="s">
        <v>2344</v>
      </c>
      <c r="H1028" s="6" t="s">
        <v>2882</v>
      </c>
    </row>
    <row r="1029" spans="1:8" x14ac:dyDescent="0.3">
      <c r="A1029" s="6" t="s">
        <v>2858</v>
      </c>
      <c r="B1029" s="6" t="s">
        <v>3274</v>
      </c>
      <c r="C1029" s="6" t="s">
        <v>2869</v>
      </c>
      <c r="D1029" s="6" t="s">
        <v>1648</v>
      </c>
      <c r="E1029" s="6">
        <v>32187780</v>
      </c>
      <c r="F1029" s="6" t="s">
        <v>3276</v>
      </c>
      <c r="G1029" s="6" t="s">
        <v>2860</v>
      </c>
      <c r="H1029" s="6" t="s">
        <v>41</v>
      </c>
    </row>
    <row r="1030" spans="1:8" x14ac:dyDescent="0.3">
      <c r="A1030" s="6" t="s">
        <v>2858</v>
      </c>
      <c r="B1030" s="6" t="s">
        <v>3274</v>
      </c>
      <c r="C1030" s="6" t="s">
        <v>2869</v>
      </c>
      <c r="D1030" s="6" t="s">
        <v>1648</v>
      </c>
      <c r="E1030" s="6">
        <v>32227718</v>
      </c>
      <c r="F1030" s="6" t="s">
        <v>3277</v>
      </c>
      <c r="G1030" s="6" t="s">
        <v>2860</v>
      </c>
      <c r="H1030" s="6" t="s">
        <v>1584</v>
      </c>
    </row>
    <row r="1031" spans="1:8" x14ac:dyDescent="0.3">
      <c r="A1031" s="6" t="s">
        <v>2858</v>
      </c>
      <c r="B1031" s="6" t="s">
        <v>3274</v>
      </c>
      <c r="C1031" s="6" t="s">
        <v>2869</v>
      </c>
      <c r="D1031" s="6" t="s">
        <v>1648</v>
      </c>
      <c r="E1031" s="6">
        <v>32215055</v>
      </c>
      <c r="F1031" s="6" t="s">
        <v>3278</v>
      </c>
      <c r="G1031" s="6" t="s">
        <v>2860</v>
      </c>
      <c r="H1031" s="6" t="s">
        <v>35</v>
      </c>
    </row>
    <row r="1032" spans="1:8" x14ac:dyDescent="0.3">
      <c r="A1032" s="6" t="s">
        <v>2858</v>
      </c>
      <c r="B1032" s="6" t="s">
        <v>3274</v>
      </c>
      <c r="C1032" s="6" t="s">
        <v>2869</v>
      </c>
      <c r="D1032" s="6" t="s">
        <v>1648</v>
      </c>
      <c r="E1032" s="6">
        <v>32227713</v>
      </c>
      <c r="F1032" s="6" t="s">
        <v>3279</v>
      </c>
      <c r="G1032" s="6" t="s">
        <v>2860</v>
      </c>
      <c r="H1032" s="6" t="s">
        <v>41</v>
      </c>
    </row>
    <row r="1033" spans="1:8" x14ac:dyDescent="0.3">
      <c r="A1033" s="6" t="s">
        <v>2858</v>
      </c>
      <c r="B1033" s="6" t="s">
        <v>3274</v>
      </c>
      <c r="C1033" s="6" t="s">
        <v>2869</v>
      </c>
      <c r="D1033" s="6" t="s">
        <v>1648</v>
      </c>
      <c r="E1033" s="6">
        <v>32046295</v>
      </c>
      <c r="F1033" s="6" t="s">
        <v>3280</v>
      </c>
      <c r="G1033" s="6" t="s">
        <v>2860</v>
      </c>
      <c r="H1033" s="6" t="s">
        <v>38</v>
      </c>
    </row>
    <row r="1034" spans="1:8" x14ac:dyDescent="0.3">
      <c r="A1034" s="6" t="s">
        <v>2858</v>
      </c>
      <c r="B1034" s="6" t="s">
        <v>3274</v>
      </c>
      <c r="C1034" s="6" t="s">
        <v>2869</v>
      </c>
      <c r="D1034" s="6" t="s">
        <v>1648</v>
      </c>
      <c r="E1034" s="6">
        <v>32064836</v>
      </c>
      <c r="F1034" s="6" t="s">
        <v>3281</v>
      </c>
      <c r="G1034" s="6" t="s">
        <v>2860</v>
      </c>
      <c r="H1034" s="6" t="s">
        <v>44</v>
      </c>
    </row>
    <row r="1035" spans="1:8" x14ac:dyDescent="0.3">
      <c r="A1035" s="6" t="s">
        <v>2858</v>
      </c>
      <c r="B1035" s="6" t="s">
        <v>3274</v>
      </c>
      <c r="C1035" s="6" t="s">
        <v>2869</v>
      </c>
      <c r="D1035" s="6" t="s">
        <v>1648</v>
      </c>
      <c r="E1035" s="6">
        <v>32044197</v>
      </c>
      <c r="F1035" s="6" t="s">
        <v>3282</v>
      </c>
      <c r="G1035" s="6" t="s">
        <v>2860</v>
      </c>
      <c r="H1035" s="6" t="s">
        <v>41</v>
      </c>
    </row>
    <row r="1036" spans="1:8" x14ac:dyDescent="0.3">
      <c r="A1036" s="6" t="s">
        <v>2858</v>
      </c>
      <c r="B1036" s="6" t="s">
        <v>3274</v>
      </c>
      <c r="C1036" s="6" t="s">
        <v>2869</v>
      </c>
      <c r="D1036" s="6" t="s">
        <v>1648</v>
      </c>
      <c r="E1036" s="6">
        <v>32211554</v>
      </c>
      <c r="F1036" s="6" t="s">
        <v>3283</v>
      </c>
      <c r="G1036" s="6" t="s">
        <v>2860</v>
      </c>
      <c r="H1036" s="6" t="s">
        <v>44</v>
      </c>
    </row>
    <row r="1037" spans="1:8" x14ac:dyDescent="0.3">
      <c r="A1037" s="6" t="s">
        <v>2858</v>
      </c>
      <c r="B1037" s="6" t="s">
        <v>3274</v>
      </c>
      <c r="C1037" s="6" t="s">
        <v>2869</v>
      </c>
      <c r="D1037" s="6" t="s">
        <v>1648</v>
      </c>
      <c r="E1037" s="6">
        <v>32046294</v>
      </c>
      <c r="F1037" s="6" t="s">
        <v>3284</v>
      </c>
      <c r="G1037" s="6" t="s">
        <v>2860</v>
      </c>
      <c r="H1037" s="6" t="s">
        <v>38</v>
      </c>
    </row>
    <row r="1038" spans="1:8" x14ac:dyDescent="0.3">
      <c r="A1038" s="6" t="s">
        <v>2858</v>
      </c>
      <c r="B1038" s="6" t="s">
        <v>3274</v>
      </c>
      <c r="C1038" s="6" t="s">
        <v>2869</v>
      </c>
      <c r="D1038" s="6" t="s">
        <v>1648</v>
      </c>
      <c r="E1038" s="6">
        <v>32217087</v>
      </c>
      <c r="F1038" s="6" t="s">
        <v>3285</v>
      </c>
      <c r="G1038" s="6" t="s">
        <v>2860</v>
      </c>
      <c r="H1038" s="6" t="s">
        <v>47</v>
      </c>
    </row>
    <row r="1039" spans="1:8" x14ac:dyDescent="0.3">
      <c r="A1039" s="6" t="s">
        <v>2858</v>
      </c>
      <c r="B1039" s="6" t="s">
        <v>3286</v>
      </c>
      <c r="C1039" s="6" t="s">
        <v>2861</v>
      </c>
      <c r="D1039" s="6">
        <v>9</v>
      </c>
      <c r="E1039" s="6">
        <v>32147381</v>
      </c>
      <c r="F1039" s="6" t="s">
        <v>2996</v>
      </c>
      <c r="G1039" s="6" t="s">
        <v>2344</v>
      </c>
      <c r="H1039" s="6" t="s">
        <v>2882</v>
      </c>
    </row>
    <row r="1040" spans="1:8" x14ac:dyDescent="0.3">
      <c r="A1040" s="6" t="s">
        <v>2858</v>
      </c>
      <c r="B1040" s="6" t="s">
        <v>3286</v>
      </c>
      <c r="C1040" s="6" t="s">
        <v>2861</v>
      </c>
      <c r="D1040" s="6">
        <v>9</v>
      </c>
      <c r="E1040" s="6">
        <v>32046386</v>
      </c>
      <c r="F1040" s="6" t="s">
        <v>3287</v>
      </c>
      <c r="G1040" s="6" t="s">
        <v>2860</v>
      </c>
      <c r="H1040" s="6" t="s">
        <v>35</v>
      </c>
    </row>
    <row r="1041" spans="1:8" x14ac:dyDescent="0.3">
      <c r="A1041" s="6" t="s">
        <v>2858</v>
      </c>
      <c r="B1041" s="6" t="s">
        <v>3286</v>
      </c>
      <c r="C1041" s="6" t="s">
        <v>2861</v>
      </c>
      <c r="D1041" s="6">
        <v>9</v>
      </c>
      <c r="E1041" s="6">
        <v>32149877</v>
      </c>
      <c r="F1041" s="6" t="s">
        <v>3288</v>
      </c>
      <c r="G1041" s="6" t="s">
        <v>2860</v>
      </c>
      <c r="H1041" s="6" t="s">
        <v>62</v>
      </c>
    </row>
    <row r="1042" spans="1:8" x14ac:dyDescent="0.3">
      <c r="A1042" s="6" t="s">
        <v>2858</v>
      </c>
      <c r="B1042" s="6" t="s">
        <v>3286</v>
      </c>
      <c r="C1042" s="6" t="s">
        <v>2861</v>
      </c>
      <c r="D1042" s="6">
        <v>9</v>
      </c>
      <c r="E1042" s="6">
        <v>32061941</v>
      </c>
      <c r="F1042" s="6" t="s">
        <v>3289</v>
      </c>
      <c r="G1042" s="6" t="s">
        <v>2860</v>
      </c>
      <c r="H1042" s="6" t="s">
        <v>38</v>
      </c>
    </row>
    <row r="1043" spans="1:8" x14ac:dyDescent="0.3">
      <c r="A1043" s="6" t="s">
        <v>2858</v>
      </c>
      <c r="B1043" s="6" t="s">
        <v>3286</v>
      </c>
      <c r="C1043" s="6" t="s">
        <v>2861</v>
      </c>
      <c r="D1043" s="6">
        <v>9</v>
      </c>
      <c r="E1043" s="6">
        <v>32153095</v>
      </c>
      <c r="F1043" s="6" t="s">
        <v>3290</v>
      </c>
      <c r="G1043" s="6" t="s">
        <v>2860</v>
      </c>
      <c r="H1043" s="6" t="s">
        <v>47</v>
      </c>
    </row>
    <row r="1044" spans="1:8" x14ac:dyDescent="0.3">
      <c r="A1044" s="6" t="s">
        <v>2858</v>
      </c>
      <c r="B1044" s="6" t="s">
        <v>3286</v>
      </c>
      <c r="C1044" s="6" t="s">
        <v>2861</v>
      </c>
      <c r="D1044" s="6">
        <v>9</v>
      </c>
      <c r="E1044" s="6">
        <v>32044265</v>
      </c>
      <c r="F1044" s="6" t="s">
        <v>3291</v>
      </c>
      <c r="G1044" s="6" t="s">
        <v>2860</v>
      </c>
      <c r="H1044" s="6" t="s">
        <v>47</v>
      </c>
    </row>
    <row r="1045" spans="1:8" x14ac:dyDescent="0.3">
      <c r="A1045" s="6" t="s">
        <v>2858</v>
      </c>
      <c r="B1045" s="6" t="s">
        <v>3286</v>
      </c>
      <c r="C1045" s="6" t="s">
        <v>2861</v>
      </c>
      <c r="D1045" s="6">
        <v>9</v>
      </c>
      <c r="E1045" s="6">
        <v>32149860</v>
      </c>
      <c r="F1045" s="6" t="s">
        <v>3292</v>
      </c>
      <c r="G1045" s="6" t="s">
        <v>2860</v>
      </c>
      <c r="H1045" s="6" t="s">
        <v>38</v>
      </c>
    </row>
    <row r="1046" spans="1:8" x14ac:dyDescent="0.3">
      <c r="A1046" s="6" t="s">
        <v>2858</v>
      </c>
      <c r="B1046" s="6" t="s">
        <v>3286</v>
      </c>
      <c r="C1046" s="6" t="s">
        <v>2861</v>
      </c>
      <c r="D1046" s="6">
        <v>9</v>
      </c>
      <c r="E1046" s="6">
        <v>32046415</v>
      </c>
      <c r="F1046" s="6" t="s">
        <v>3293</v>
      </c>
      <c r="G1046" s="6" t="s">
        <v>2860</v>
      </c>
      <c r="H1046" s="6" t="s">
        <v>38</v>
      </c>
    </row>
    <row r="1047" spans="1:8" x14ac:dyDescent="0.3">
      <c r="A1047" s="6" t="s">
        <v>2858</v>
      </c>
      <c r="B1047" s="6" t="s">
        <v>3286</v>
      </c>
      <c r="C1047" s="6" t="s">
        <v>2861</v>
      </c>
      <c r="D1047" s="6">
        <v>9</v>
      </c>
      <c r="E1047" s="6">
        <v>32045040</v>
      </c>
      <c r="F1047" s="6" t="s">
        <v>3294</v>
      </c>
      <c r="G1047" s="6" t="s">
        <v>2860</v>
      </c>
      <c r="H1047" s="6" t="s">
        <v>35</v>
      </c>
    </row>
    <row r="1048" spans="1:8" x14ac:dyDescent="0.3">
      <c r="A1048" s="6" t="s">
        <v>2858</v>
      </c>
      <c r="B1048" s="6" t="s">
        <v>3286</v>
      </c>
      <c r="C1048" s="6" t="s">
        <v>2861</v>
      </c>
      <c r="D1048" s="6">
        <v>9</v>
      </c>
      <c r="E1048" s="6">
        <v>32046149</v>
      </c>
      <c r="F1048" s="6" t="s">
        <v>3295</v>
      </c>
      <c r="G1048" s="6" t="s">
        <v>2860</v>
      </c>
      <c r="H1048" s="6" t="s">
        <v>38</v>
      </c>
    </row>
    <row r="1049" spans="1:8" x14ac:dyDescent="0.3">
      <c r="A1049" s="6" t="s">
        <v>2858</v>
      </c>
      <c r="B1049" s="6" t="s">
        <v>3286</v>
      </c>
      <c r="C1049" s="6" t="s">
        <v>2861</v>
      </c>
      <c r="D1049" s="6">
        <v>9</v>
      </c>
      <c r="E1049" s="6">
        <v>32046394</v>
      </c>
      <c r="F1049" s="6" t="s">
        <v>3296</v>
      </c>
      <c r="G1049" s="6" t="s">
        <v>2860</v>
      </c>
      <c r="H1049" s="6" t="s">
        <v>38</v>
      </c>
    </row>
    <row r="1050" spans="1:8" x14ac:dyDescent="0.3">
      <c r="A1050" s="6" t="s">
        <v>2858</v>
      </c>
      <c r="B1050" s="6" t="s">
        <v>3286</v>
      </c>
      <c r="C1050" s="6" t="s">
        <v>2861</v>
      </c>
      <c r="D1050" s="6">
        <v>9</v>
      </c>
      <c r="E1050" s="6">
        <v>32046230</v>
      </c>
      <c r="F1050" s="6" t="s">
        <v>3297</v>
      </c>
      <c r="G1050" s="6" t="s">
        <v>2860</v>
      </c>
      <c r="H1050" s="6" t="s">
        <v>62</v>
      </c>
    </row>
    <row r="1051" spans="1:8" x14ac:dyDescent="0.3">
      <c r="A1051" s="6" t="s">
        <v>2858</v>
      </c>
      <c r="B1051" s="6" t="s">
        <v>3286</v>
      </c>
      <c r="C1051" s="6" t="s">
        <v>2861</v>
      </c>
      <c r="D1051" s="6">
        <v>9</v>
      </c>
      <c r="E1051" s="6">
        <v>32046558</v>
      </c>
      <c r="F1051" s="6" t="s">
        <v>3298</v>
      </c>
      <c r="G1051" s="6" t="s">
        <v>2860</v>
      </c>
      <c r="H1051" s="6" t="s">
        <v>44</v>
      </c>
    </row>
    <row r="1052" spans="1:8" x14ac:dyDescent="0.3">
      <c r="A1052" s="6" t="s">
        <v>2858</v>
      </c>
      <c r="B1052" s="6" t="s">
        <v>3286</v>
      </c>
      <c r="C1052" s="6" t="s">
        <v>2861</v>
      </c>
      <c r="D1052" s="6">
        <v>9</v>
      </c>
      <c r="E1052" s="6">
        <v>32046073</v>
      </c>
      <c r="F1052" s="6" t="s">
        <v>3299</v>
      </c>
      <c r="G1052" s="6" t="s">
        <v>2860</v>
      </c>
      <c r="H1052" s="6" t="s">
        <v>38</v>
      </c>
    </row>
    <row r="1053" spans="1:8" x14ac:dyDescent="0.3">
      <c r="A1053" s="6" t="s">
        <v>2858</v>
      </c>
      <c r="B1053" s="6" t="s">
        <v>3286</v>
      </c>
      <c r="C1053" s="6" t="s">
        <v>2861</v>
      </c>
      <c r="D1053" s="6">
        <v>9</v>
      </c>
      <c r="E1053" s="6">
        <v>32045959</v>
      </c>
      <c r="F1053" s="6" t="s">
        <v>3300</v>
      </c>
      <c r="G1053" s="6" t="s">
        <v>2860</v>
      </c>
      <c r="H1053" s="6" t="s">
        <v>35</v>
      </c>
    </row>
    <row r="1054" spans="1:8" x14ac:dyDescent="0.3">
      <c r="A1054" s="6" t="s">
        <v>2858</v>
      </c>
      <c r="B1054" s="6" t="s">
        <v>3286</v>
      </c>
      <c r="C1054" s="6" t="s">
        <v>2861</v>
      </c>
      <c r="D1054" s="6">
        <v>9</v>
      </c>
      <c r="E1054" s="6">
        <v>32060919</v>
      </c>
      <c r="F1054" s="6" t="s">
        <v>3301</v>
      </c>
      <c r="G1054" s="6" t="s">
        <v>2860</v>
      </c>
      <c r="H1054" s="6" t="s">
        <v>44</v>
      </c>
    </row>
    <row r="1055" spans="1:8" x14ac:dyDescent="0.3">
      <c r="A1055" s="6" t="s">
        <v>2858</v>
      </c>
      <c r="B1055" s="6" t="s">
        <v>197</v>
      </c>
      <c r="C1055" s="6" t="s">
        <v>2865</v>
      </c>
      <c r="D1055" s="6" t="s">
        <v>2882</v>
      </c>
      <c r="E1055" s="159">
        <v>32146684</v>
      </c>
      <c r="F1055" s="159" t="s">
        <v>31</v>
      </c>
      <c r="G1055" s="6" t="s">
        <v>2344</v>
      </c>
      <c r="H1055" s="6" t="s">
        <v>62</v>
      </c>
    </row>
    <row r="1056" spans="1:8" x14ac:dyDescent="0.3">
      <c r="A1056" s="6" t="s">
        <v>2858</v>
      </c>
      <c r="B1056" s="6" t="s">
        <v>197</v>
      </c>
      <c r="C1056" s="6" t="s">
        <v>2865</v>
      </c>
      <c r="D1056" s="6" t="s">
        <v>3302</v>
      </c>
      <c r="E1056" s="6">
        <v>32175115</v>
      </c>
      <c r="F1056" s="6" t="s">
        <v>199</v>
      </c>
      <c r="G1056" s="6" t="s">
        <v>2860</v>
      </c>
      <c r="H1056" s="6" t="s">
        <v>41</v>
      </c>
    </row>
    <row r="1057" spans="1:8" x14ac:dyDescent="0.3">
      <c r="A1057" s="6" t="s">
        <v>2858</v>
      </c>
      <c r="B1057" s="6" t="s">
        <v>197</v>
      </c>
      <c r="C1057" s="6" t="s">
        <v>2865</v>
      </c>
      <c r="D1057" s="6" t="s">
        <v>3302</v>
      </c>
      <c r="E1057" s="6">
        <v>32197975</v>
      </c>
      <c r="F1057" s="6" t="s">
        <v>201</v>
      </c>
      <c r="G1057" s="6" t="s">
        <v>2860</v>
      </c>
      <c r="H1057" s="6" t="s">
        <v>44</v>
      </c>
    </row>
    <row r="1058" spans="1:8" x14ac:dyDescent="0.3">
      <c r="A1058" s="6" t="s">
        <v>2858</v>
      </c>
      <c r="B1058" s="6" t="s">
        <v>197</v>
      </c>
      <c r="C1058" s="6" t="s">
        <v>2865</v>
      </c>
      <c r="D1058" s="6" t="s">
        <v>3302</v>
      </c>
      <c r="E1058" s="6">
        <v>32183480</v>
      </c>
      <c r="F1058" s="6" t="s">
        <v>203</v>
      </c>
      <c r="G1058" s="6" t="s">
        <v>2860</v>
      </c>
      <c r="H1058" s="6" t="s">
        <v>1584</v>
      </c>
    </row>
    <row r="1059" spans="1:8" x14ac:dyDescent="0.3">
      <c r="A1059" s="6" t="s">
        <v>2858</v>
      </c>
      <c r="B1059" s="6" t="s">
        <v>197</v>
      </c>
      <c r="C1059" s="6" t="s">
        <v>2865</v>
      </c>
      <c r="D1059" s="6" t="s">
        <v>3302</v>
      </c>
      <c r="E1059" s="6">
        <v>32176720</v>
      </c>
      <c r="F1059" s="6" t="s">
        <v>205</v>
      </c>
      <c r="G1059" s="6" t="s">
        <v>2860</v>
      </c>
      <c r="H1059" s="6" t="s">
        <v>47</v>
      </c>
    </row>
    <row r="1060" spans="1:8" x14ac:dyDescent="0.3">
      <c r="A1060" s="6" t="s">
        <v>2858</v>
      </c>
      <c r="B1060" s="6" t="s">
        <v>197</v>
      </c>
      <c r="C1060" s="6" t="s">
        <v>2865</v>
      </c>
      <c r="D1060" s="6" t="s">
        <v>3302</v>
      </c>
      <c r="E1060" s="6">
        <v>32149237</v>
      </c>
      <c r="F1060" s="6" t="s">
        <v>207</v>
      </c>
      <c r="G1060" s="6" t="s">
        <v>2860</v>
      </c>
      <c r="H1060" s="6" t="s">
        <v>35</v>
      </c>
    </row>
    <row r="1061" spans="1:8" x14ac:dyDescent="0.3">
      <c r="A1061" s="6" t="s">
        <v>2858</v>
      </c>
      <c r="B1061" s="6" t="s">
        <v>197</v>
      </c>
      <c r="C1061" s="6" t="s">
        <v>2865</v>
      </c>
      <c r="D1061" s="6" t="s">
        <v>3302</v>
      </c>
      <c r="E1061" s="6">
        <v>32181712</v>
      </c>
      <c r="F1061" s="6" t="s">
        <v>209</v>
      </c>
      <c r="G1061" s="6" t="s">
        <v>2860</v>
      </c>
      <c r="H1061" s="6" t="s">
        <v>38</v>
      </c>
    </row>
    <row r="1062" spans="1:8" x14ac:dyDescent="0.3">
      <c r="A1062" s="6" t="s">
        <v>2858</v>
      </c>
      <c r="B1062" s="6" t="s">
        <v>3303</v>
      </c>
      <c r="C1062" s="6" t="s">
        <v>2861</v>
      </c>
      <c r="D1062" s="6">
        <v>14</v>
      </c>
      <c r="E1062" s="6">
        <v>32143096</v>
      </c>
      <c r="F1062" s="6" t="s">
        <v>3304</v>
      </c>
      <c r="G1062" s="6" t="s">
        <v>2344</v>
      </c>
      <c r="H1062" s="6" t="s">
        <v>2882</v>
      </c>
    </row>
    <row r="1063" spans="1:8" x14ac:dyDescent="0.3">
      <c r="A1063" s="6" t="s">
        <v>2858</v>
      </c>
      <c r="B1063" s="6" t="s">
        <v>3303</v>
      </c>
      <c r="C1063" s="6" t="s">
        <v>2861</v>
      </c>
      <c r="D1063" s="6">
        <v>14</v>
      </c>
      <c r="E1063" s="6">
        <v>32044466</v>
      </c>
      <c r="F1063" s="6" t="s">
        <v>1390</v>
      </c>
      <c r="G1063" s="6" t="s">
        <v>2860</v>
      </c>
      <c r="H1063" s="6" t="s">
        <v>38</v>
      </c>
    </row>
    <row r="1064" spans="1:8" x14ac:dyDescent="0.3">
      <c r="A1064" s="6" t="s">
        <v>2858</v>
      </c>
      <c r="B1064" s="6" t="s">
        <v>3303</v>
      </c>
      <c r="C1064" s="6" t="s">
        <v>2861</v>
      </c>
      <c r="D1064" s="6">
        <v>14</v>
      </c>
      <c r="E1064" s="6">
        <v>32199797</v>
      </c>
      <c r="F1064" s="6" t="s">
        <v>3305</v>
      </c>
      <c r="G1064" s="6" t="s">
        <v>2860</v>
      </c>
      <c r="H1064" s="6" t="s">
        <v>47</v>
      </c>
    </row>
    <row r="1065" spans="1:8" x14ac:dyDescent="0.3">
      <c r="A1065" s="6" t="s">
        <v>2858</v>
      </c>
      <c r="B1065" s="6" t="s">
        <v>3303</v>
      </c>
      <c r="C1065" s="6" t="s">
        <v>2861</v>
      </c>
      <c r="D1065" s="6">
        <v>14</v>
      </c>
      <c r="E1065" s="6">
        <v>32046340</v>
      </c>
      <c r="F1065" s="6" t="s">
        <v>3306</v>
      </c>
      <c r="G1065" s="6" t="s">
        <v>2860</v>
      </c>
      <c r="H1065" s="6" t="s">
        <v>62</v>
      </c>
    </row>
    <row r="1066" spans="1:8" x14ac:dyDescent="0.3">
      <c r="A1066" s="6" t="s">
        <v>2858</v>
      </c>
      <c r="B1066" s="6" t="s">
        <v>3303</v>
      </c>
      <c r="C1066" s="6" t="s">
        <v>2861</v>
      </c>
      <c r="D1066" s="6">
        <v>14</v>
      </c>
      <c r="E1066" s="6">
        <v>32046176</v>
      </c>
      <c r="F1066" s="6" t="s">
        <v>1388</v>
      </c>
      <c r="G1066" s="6" t="s">
        <v>2860</v>
      </c>
      <c r="H1066" s="6" t="s">
        <v>44</v>
      </c>
    </row>
    <row r="1067" spans="1:8" x14ac:dyDescent="0.3">
      <c r="A1067" s="6" t="s">
        <v>2858</v>
      </c>
      <c r="B1067" s="6" t="s">
        <v>3303</v>
      </c>
      <c r="C1067" s="6" t="s">
        <v>2861</v>
      </c>
      <c r="D1067" s="6">
        <v>14</v>
      </c>
      <c r="E1067" s="6">
        <v>32044462</v>
      </c>
      <c r="F1067" s="6" t="s">
        <v>3307</v>
      </c>
      <c r="G1067" s="6" t="s">
        <v>2860</v>
      </c>
      <c r="H1067" s="6" t="s">
        <v>35</v>
      </c>
    </row>
    <row r="1068" spans="1:8" x14ac:dyDescent="0.3">
      <c r="A1068" s="6" t="s">
        <v>2858</v>
      </c>
      <c r="B1068" s="6" t="s">
        <v>3303</v>
      </c>
      <c r="C1068" s="6" t="s">
        <v>2861</v>
      </c>
      <c r="D1068" s="6">
        <v>14</v>
      </c>
      <c r="E1068" s="6">
        <v>32044903</v>
      </c>
      <c r="F1068" s="6" t="s">
        <v>3308</v>
      </c>
      <c r="G1068" s="6" t="s">
        <v>2860</v>
      </c>
      <c r="H1068" s="6" t="s">
        <v>62</v>
      </c>
    </row>
    <row r="1069" spans="1:8" x14ac:dyDescent="0.3">
      <c r="A1069" s="6" t="s">
        <v>2858</v>
      </c>
      <c r="B1069" s="6" t="s">
        <v>3303</v>
      </c>
      <c r="C1069" s="6" t="s">
        <v>2861</v>
      </c>
      <c r="D1069" s="6">
        <v>14</v>
      </c>
      <c r="E1069" s="6">
        <v>32044998</v>
      </c>
      <c r="F1069" s="6" t="s">
        <v>1386</v>
      </c>
      <c r="G1069" s="6" t="s">
        <v>2860</v>
      </c>
      <c r="H1069" s="6" t="s">
        <v>47</v>
      </c>
    </row>
    <row r="1070" spans="1:8" x14ac:dyDescent="0.3">
      <c r="A1070" s="6" t="s">
        <v>2858</v>
      </c>
      <c r="B1070" s="6" t="s">
        <v>3303</v>
      </c>
      <c r="C1070" s="6" t="s">
        <v>2861</v>
      </c>
      <c r="D1070" s="6">
        <v>14</v>
      </c>
      <c r="E1070" s="6">
        <v>32046372</v>
      </c>
      <c r="F1070" s="6" t="s">
        <v>1383</v>
      </c>
      <c r="G1070" s="6" t="s">
        <v>2860</v>
      </c>
      <c r="H1070" s="6" t="s">
        <v>44</v>
      </c>
    </row>
    <row r="1071" spans="1:8" x14ac:dyDescent="0.3">
      <c r="A1071" s="6" t="s">
        <v>2858</v>
      </c>
      <c r="B1071" s="6" t="s">
        <v>3303</v>
      </c>
      <c r="C1071" s="6" t="s">
        <v>2861</v>
      </c>
      <c r="D1071" s="6">
        <v>14</v>
      </c>
      <c r="E1071" s="6">
        <v>32148856</v>
      </c>
      <c r="F1071" s="6" t="s">
        <v>3309</v>
      </c>
      <c r="G1071" s="6" t="s">
        <v>2860</v>
      </c>
      <c r="H1071" s="6" t="s">
        <v>47</v>
      </c>
    </row>
    <row r="1072" spans="1:8" x14ac:dyDescent="0.3">
      <c r="A1072" s="6" t="s">
        <v>2858</v>
      </c>
      <c r="B1072" s="6" t="s">
        <v>3303</v>
      </c>
      <c r="C1072" s="6" t="s">
        <v>2861</v>
      </c>
      <c r="D1072" s="6">
        <v>14</v>
      </c>
      <c r="E1072" s="6">
        <v>32045962</v>
      </c>
      <c r="F1072" s="6" t="s">
        <v>1377</v>
      </c>
      <c r="G1072" s="6" t="s">
        <v>2860</v>
      </c>
      <c r="H1072" s="6" t="s">
        <v>41</v>
      </c>
    </row>
    <row r="1073" spans="1:8" x14ac:dyDescent="0.3">
      <c r="A1073" s="6" t="s">
        <v>2858</v>
      </c>
      <c r="B1073" s="6" t="s">
        <v>3303</v>
      </c>
      <c r="C1073" s="6" t="s">
        <v>2861</v>
      </c>
      <c r="D1073" s="6">
        <v>14</v>
      </c>
      <c r="E1073" s="6">
        <v>32045791</v>
      </c>
      <c r="F1073" s="6" t="s">
        <v>3310</v>
      </c>
      <c r="G1073" s="6" t="s">
        <v>2860</v>
      </c>
      <c r="H1073" s="6" t="s">
        <v>41</v>
      </c>
    </row>
    <row r="1074" spans="1:8" x14ac:dyDescent="0.3">
      <c r="A1074" s="6" t="s">
        <v>2858</v>
      </c>
      <c r="B1074" s="6" t="s">
        <v>2172</v>
      </c>
      <c r="C1074" s="6" t="s">
        <v>2859</v>
      </c>
      <c r="D1074" s="6" t="s">
        <v>2882</v>
      </c>
      <c r="E1074" s="6">
        <v>32149973</v>
      </c>
      <c r="F1074" s="6" t="s">
        <v>2173</v>
      </c>
      <c r="G1074" s="6" t="s">
        <v>2344</v>
      </c>
      <c r="H1074" s="6" t="s">
        <v>2882</v>
      </c>
    </row>
    <row r="1075" spans="1:8" x14ac:dyDescent="0.3">
      <c r="A1075" s="6" t="s">
        <v>2858</v>
      </c>
      <c r="B1075" s="6" t="s">
        <v>2172</v>
      </c>
      <c r="C1075" s="6" t="s">
        <v>2859</v>
      </c>
      <c r="D1075" s="6" t="s">
        <v>2128</v>
      </c>
      <c r="E1075" s="6">
        <v>32045757</v>
      </c>
      <c r="F1075" s="6" t="s">
        <v>2174</v>
      </c>
      <c r="G1075" s="6" t="s">
        <v>2860</v>
      </c>
      <c r="H1075" s="6" t="s">
        <v>62</v>
      </c>
    </row>
    <row r="1076" spans="1:8" x14ac:dyDescent="0.3">
      <c r="A1076" s="6" t="s">
        <v>2858</v>
      </c>
      <c r="B1076" s="6" t="s">
        <v>2172</v>
      </c>
      <c r="C1076" s="6" t="s">
        <v>2859</v>
      </c>
      <c r="D1076" s="6" t="s">
        <v>2128</v>
      </c>
      <c r="E1076" s="6">
        <v>32137941</v>
      </c>
      <c r="F1076" s="6" t="s">
        <v>2179</v>
      </c>
      <c r="G1076" s="6" t="s">
        <v>2860</v>
      </c>
      <c r="H1076" s="6" t="s">
        <v>38</v>
      </c>
    </row>
    <row r="1077" spans="1:8" x14ac:dyDescent="0.3">
      <c r="A1077" s="6" t="s">
        <v>2858</v>
      </c>
      <c r="B1077" s="6" t="s">
        <v>2172</v>
      </c>
      <c r="C1077" s="6" t="s">
        <v>2859</v>
      </c>
      <c r="D1077" s="6" t="s">
        <v>2128</v>
      </c>
      <c r="E1077" s="6">
        <v>32231723</v>
      </c>
      <c r="F1077" s="6" t="s">
        <v>2181</v>
      </c>
      <c r="G1077" s="6" t="s">
        <v>2860</v>
      </c>
      <c r="H1077" s="6" t="s">
        <v>44</v>
      </c>
    </row>
    <row r="1078" spans="1:8" x14ac:dyDescent="0.3">
      <c r="A1078" s="6" t="s">
        <v>2858</v>
      </c>
      <c r="B1078" s="6" t="s">
        <v>2172</v>
      </c>
      <c r="C1078" s="6" t="s">
        <v>2859</v>
      </c>
      <c r="D1078" s="6" t="s">
        <v>2128</v>
      </c>
      <c r="E1078" s="6">
        <v>32061784</v>
      </c>
      <c r="F1078" s="6" t="s">
        <v>2175</v>
      </c>
      <c r="G1078" s="6" t="s">
        <v>2860</v>
      </c>
      <c r="H1078" s="6" t="s">
        <v>62</v>
      </c>
    </row>
    <row r="1079" spans="1:8" x14ac:dyDescent="0.3">
      <c r="A1079" s="6" t="s">
        <v>2858</v>
      </c>
      <c r="B1079" s="6" t="s">
        <v>2172</v>
      </c>
      <c r="C1079" s="6" t="s">
        <v>2859</v>
      </c>
      <c r="D1079" s="6" t="s">
        <v>2128</v>
      </c>
      <c r="E1079" s="6">
        <v>32044189</v>
      </c>
      <c r="F1079" s="6" t="s">
        <v>2176</v>
      </c>
      <c r="G1079" s="6" t="s">
        <v>2860</v>
      </c>
      <c r="H1079" s="6" t="s">
        <v>41</v>
      </c>
    </row>
    <row r="1080" spans="1:8" x14ac:dyDescent="0.3">
      <c r="A1080" s="6" t="s">
        <v>2858</v>
      </c>
      <c r="B1080" s="6" t="s">
        <v>2172</v>
      </c>
      <c r="C1080" s="6" t="s">
        <v>2859</v>
      </c>
      <c r="D1080" s="6" t="s">
        <v>2128</v>
      </c>
      <c r="E1080" s="6">
        <v>32149475</v>
      </c>
      <c r="F1080" s="6" t="s">
        <v>2178</v>
      </c>
      <c r="G1080" s="6" t="s">
        <v>2860</v>
      </c>
      <c r="H1080" s="6" t="s">
        <v>35</v>
      </c>
    </row>
    <row r="1081" spans="1:8" x14ac:dyDescent="0.3">
      <c r="A1081" s="6" t="s">
        <v>2858</v>
      </c>
      <c r="B1081" s="6" t="s">
        <v>2172</v>
      </c>
      <c r="C1081" s="6" t="s">
        <v>2859</v>
      </c>
      <c r="D1081" s="6" t="s">
        <v>2128</v>
      </c>
      <c r="E1081" s="6">
        <v>32044412</v>
      </c>
      <c r="F1081" s="6" t="s">
        <v>2180</v>
      </c>
      <c r="G1081" s="6" t="s">
        <v>2860</v>
      </c>
      <c r="H1081" s="6" t="s">
        <v>47</v>
      </c>
    </row>
    <row r="1082" spans="1:8" x14ac:dyDescent="0.3">
      <c r="A1082" s="6" t="s">
        <v>2858</v>
      </c>
      <c r="B1082" s="6" t="s">
        <v>2172</v>
      </c>
      <c r="C1082" s="6" t="s">
        <v>2859</v>
      </c>
      <c r="D1082" s="6" t="s">
        <v>2128</v>
      </c>
      <c r="E1082" s="6">
        <v>32045380</v>
      </c>
      <c r="F1082" s="6" t="s">
        <v>2177</v>
      </c>
      <c r="G1082" s="6" t="s">
        <v>2860</v>
      </c>
      <c r="H1082" s="6" t="s">
        <v>44</v>
      </c>
    </row>
    <row r="1083" spans="1:8" x14ac:dyDescent="0.3">
      <c r="A1083" s="6" t="s">
        <v>2858</v>
      </c>
      <c r="B1083" s="6" t="s">
        <v>2577</v>
      </c>
      <c r="C1083" s="6" t="s">
        <v>2869</v>
      </c>
      <c r="D1083" s="6" t="s">
        <v>2882</v>
      </c>
      <c r="E1083" s="6">
        <v>32156000</v>
      </c>
      <c r="F1083" s="6" t="s">
        <v>3311</v>
      </c>
      <c r="G1083" s="6" t="s">
        <v>2344</v>
      </c>
      <c r="H1083" s="6" t="s">
        <v>2882</v>
      </c>
    </row>
    <row r="1084" spans="1:8" x14ac:dyDescent="0.3">
      <c r="A1084" s="6" t="s">
        <v>2858</v>
      </c>
      <c r="B1084" s="6" t="s">
        <v>2577</v>
      </c>
      <c r="C1084" s="6" t="s">
        <v>2869</v>
      </c>
      <c r="D1084" s="6" t="s">
        <v>1671</v>
      </c>
      <c r="E1084" s="6">
        <v>32198257</v>
      </c>
      <c r="F1084" s="6" t="s">
        <v>1846</v>
      </c>
      <c r="G1084" s="6" t="s">
        <v>2860</v>
      </c>
      <c r="H1084" s="6" t="s">
        <v>41</v>
      </c>
    </row>
    <row r="1085" spans="1:8" x14ac:dyDescent="0.3">
      <c r="A1085" s="6" t="s">
        <v>2858</v>
      </c>
      <c r="B1085" s="6" t="s">
        <v>2577</v>
      </c>
      <c r="C1085" s="6" t="s">
        <v>2869</v>
      </c>
      <c r="D1085" s="6" t="s">
        <v>1671</v>
      </c>
      <c r="E1085" s="6">
        <v>32045616</v>
      </c>
      <c r="F1085" s="6" t="s">
        <v>1845</v>
      </c>
      <c r="G1085" s="6" t="s">
        <v>2860</v>
      </c>
      <c r="H1085" s="6" t="s">
        <v>1584</v>
      </c>
    </row>
    <row r="1086" spans="1:8" x14ac:dyDescent="0.3">
      <c r="A1086" s="6" t="s">
        <v>2858</v>
      </c>
      <c r="B1086" s="6" t="s">
        <v>2577</v>
      </c>
      <c r="C1086" s="6" t="s">
        <v>2869</v>
      </c>
      <c r="D1086" s="6" t="s">
        <v>1671</v>
      </c>
      <c r="E1086" s="6">
        <v>32060734</v>
      </c>
      <c r="F1086" s="6" t="s">
        <v>1844</v>
      </c>
      <c r="G1086" s="6" t="s">
        <v>2860</v>
      </c>
      <c r="H1086" s="6" t="s">
        <v>47</v>
      </c>
    </row>
    <row r="1087" spans="1:8" x14ac:dyDescent="0.3">
      <c r="A1087" s="6" t="s">
        <v>2858</v>
      </c>
      <c r="B1087" s="6" t="s">
        <v>2577</v>
      </c>
      <c r="C1087" s="6" t="s">
        <v>2869</v>
      </c>
      <c r="D1087" s="6" t="s">
        <v>1671</v>
      </c>
      <c r="E1087" s="6">
        <v>32045640</v>
      </c>
      <c r="F1087" s="6" t="s">
        <v>1843</v>
      </c>
      <c r="G1087" s="6" t="s">
        <v>2860</v>
      </c>
      <c r="H1087" s="6" t="s">
        <v>62</v>
      </c>
    </row>
    <row r="1088" spans="1:8" x14ac:dyDescent="0.3">
      <c r="A1088" s="6" t="s">
        <v>2858</v>
      </c>
      <c r="B1088" s="6" t="s">
        <v>2577</v>
      </c>
      <c r="C1088" s="6" t="s">
        <v>2869</v>
      </c>
      <c r="D1088" s="6" t="s">
        <v>1671</v>
      </c>
      <c r="E1088" s="6">
        <v>32229394</v>
      </c>
      <c r="F1088" s="6" t="s">
        <v>1842</v>
      </c>
      <c r="G1088" s="6" t="s">
        <v>2860</v>
      </c>
      <c r="H1088" s="6" t="s">
        <v>38</v>
      </c>
    </row>
    <row r="1089" spans="1:8" x14ac:dyDescent="0.3">
      <c r="A1089" s="6" t="s">
        <v>2858</v>
      </c>
      <c r="B1089" s="6" t="s">
        <v>2577</v>
      </c>
      <c r="C1089" s="6" t="s">
        <v>2869</v>
      </c>
      <c r="D1089" s="6" t="s">
        <v>1671</v>
      </c>
      <c r="E1089" s="6">
        <v>32044842</v>
      </c>
      <c r="F1089" s="6" t="s">
        <v>1841</v>
      </c>
      <c r="G1089" s="6" t="s">
        <v>2860</v>
      </c>
      <c r="H1089" s="6" t="s">
        <v>44</v>
      </c>
    </row>
    <row r="1090" spans="1:8" x14ac:dyDescent="0.3">
      <c r="A1090" s="6" t="s">
        <v>2858</v>
      </c>
      <c r="B1090" s="6" t="s">
        <v>2236</v>
      </c>
      <c r="C1090" s="6" t="s">
        <v>2859</v>
      </c>
      <c r="D1090" s="6" t="s">
        <v>2882</v>
      </c>
      <c r="E1090" s="6">
        <v>32149972</v>
      </c>
      <c r="F1090" s="6" t="s">
        <v>2237</v>
      </c>
      <c r="G1090" s="6" t="s">
        <v>2344</v>
      </c>
      <c r="H1090" s="6" t="s">
        <v>2882</v>
      </c>
    </row>
    <row r="1091" spans="1:8" x14ac:dyDescent="0.3">
      <c r="A1091" s="6" t="s">
        <v>2858</v>
      </c>
      <c r="B1091" s="6" t="s">
        <v>2236</v>
      </c>
      <c r="C1091" s="6" t="s">
        <v>2859</v>
      </c>
      <c r="D1091" s="6" t="s">
        <v>2235</v>
      </c>
      <c r="E1091" s="6">
        <v>32044381</v>
      </c>
      <c r="F1091" s="6" t="s">
        <v>2242</v>
      </c>
      <c r="G1091" s="6" t="s">
        <v>2860</v>
      </c>
      <c r="H1091" s="6" t="s">
        <v>47</v>
      </c>
    </row>
    <row r="1092" spans="1:8" x14ac:dyDescent="0.3">
      <c r="A1092" s="6" t="s">
        <v>2858</v>
      </c>
      <c r="B1092" s="6" t="s">
        <v>2236</v>
      </c>
      <c r="C1092" s="6" t="s">
        <v>2859</v>
      </c>
      <c r="D1092" s="6" t="s">
        <v>2235</v>
      </c>
      <c r="E1092" s="6">
        <v>32044650</v>
      </c>
      <c r="F1092" s="6" t="s">
        <v>2240</v>
      </c>
      <c r="G1092" s="6" t="s">
        <v>2860</v>
      </c>
      <c r="H1092" s="6" t="s">
        <v>35</v>
      </c>
    </row>
    <row r="1093" spans="1:8" x14ac:dyDescent="0.3">
      <c r="A1093" s="6" t="s">
        <v>2858</v>
      </c>
      <c r="B1093" s="6" t="s">
        <v>2236</v>
      </c>
      <c r="C1093" s="6" t="s">
        <v>2859</v>
      </c>
      <c r="D1093" s="6" t="s">
        <v>2235</v>
      </c>
      <c r="E1093" s="6">
        <v>32044217</v>
      </c>
      <c r="F1093" s="6" t="s">
        <v>2239</v>
      </c>
      <c r="G1093" s="6" t="s">
        <v>2860</v>
      </c>
      <c r="H1093" s="6" t="s">
        <v>62</v>
      </c>
    </row>
    <row r="1094" spans="1:8" x14ac:dyDescent="0.3">
      <c r="A1094" s="6" t="s">
        <v>2858</v>
      </c>
      <c r="B1094" s="6" t="s">
        <v>2236</v>
      </c>
      <c r="C1094" s="6" t="s">
        <v>2859</v>
      </c>
      <c r="D1094" s="6" t="s">
        <v>2235</v>
      </c>
      <c r="E1094" s="6">
        <v>32146289</v>
      </c>
      <c r="F1094" s="6" t="s">
        <v>2241</v>
      </c>
      <c r="G1094" s="6" t="s">
        <v>2860</v>
      </c>
      <c r="H1094" s="6" t="s">
        <v>41</v>
      </c>
    </row>
    <row r="1095" spans="1:8" x14ac:dyDescent="0.3">
      <c r="A1095" s="6" t="s">
        <v>2858</v>
      </c>
      <c r="B1095" s="6" t="s">
        <v>2236</v>
      </c>
      <c r="C1095" s="6" t="s">
        <v>2859</v>
      </c>
      <c r="D1095" s="6" t="s">
        <v>2235</v>
      </c>
      <c r="E1095" s="6">
        <v>32044247</v>
      </c>
      <c r="F1095" s="6" t="s">
        <v>2238</v>
      </c>
      <c r="G1095" s="6" t="s">
        <v>2860</v>
      </c>
      <c r="H1095" s="6" t="s">
        <v>44</v>
      </c>
    </row>
    <row r="1096" spans="1:8" x14ac:dyDescent="0.3">
      <c r="A1096" s="6" t="s">
        <v>2858</v>
      </c>
      <c r="B1096" s="6" t="s">
        <v>1793</v>
      </c>
      <c r="C1096" s="6" t="s">
        <v>2869</v>
      </c>
      <c r="D1096" s="6" t="s">
        <v>2882</v>
      </c>
      <c r="E1096" s="6">
        <v>32225725</v>
      </c>
      <c r="F1096" s="6" t="s">
        <v>1737</v>
      </c>
      <c r="G1096" s="6" t="s">
        <v>2344</v>
      </c>
      <c r="H1096" s="6" t="s">
        <v>2882</v>
      </c>
    </row>
    <row r="1097" spans="1:8" x14ac:dyDescent="0.3">
      <c r="A1097" s="6" t="s">
        <v>2858</v>
      </c>
      <c r="B1097" s="6" t="s">
        <v>1793</v>
      </c>
      <c r="C1097" s="6" t="s">
        <v>2869</v>
      </c>
      <c r="D1097" s="6" t="s">
        <v>1792</v>
      </c>
      <c r="E1097" s="6">
        <v>32209481</v>
      </c>
      <c r="F1097" s="6" t="s">
        <v>1850</v>
      </c>
      <c r="G1097" s="6" t="s">
        <v>2860</v>
      </c>
      <c r="H1097" s="6" t="s">
        <v>41</v>
      </c>
    </row>
    <row r="1098" spans="1:8" x14ac:dyDescent="0.3">
      <c r="A1098" s="6" t="s">
        <v>2858</v>
      </c>
      <c r="B1098" s="6" t="s">
        <v>1793</v>
      </c>
      <c r="C1098" s="6" t="s">
        <v>2869</v>
      </c>
      <c r="D1098" s="6" t="s">
        <v>1792</v>
      </c>
      <c r="E1098" s="6">
        <v>32198245</v>
      </c>
      <c r="F1098" s="6" t="s">
        <v>1849</v>
      </c>
      <c r="G1098" s="6" t="s">
        <v>2860</v>
      </c>
      <c r="H1098" s="6" t="s">
        <v>35</v>
      </c>
    </row>
    <row r="1099" spans="1:8" x14ac:dyDescent="0.3">
      <c r="A1099" s="6" t="s">
        <v>2858</v>
      </c>
      <c r="B1099" s="6" t="s">
        <v>1793</v>
      </c>
      <c r="C1099" s="6" t="s">
        <v>2869</v>
      </c>
      <c r="D1099" s="6" t="s">
        <v>1792</v>
      </c>
      <c r="E1099" s="6">
        <v>32211553</v>
      </c>
      <c r="F1099" s="6" t="s">
        <v>1795</v>
      </c>
      <c r="G1099" s="6" t="s">
        <v>2860</v>
      </c>
      <c r="H1099" s="6" t="s">
        <v>44</v>
      </c>
    </row>
    <row r="1100" spans="1:8" x14ac:dyDescent="0.3">
      <c r="A1100" s="6" t="s">
        <v>2858</v>
      </c>
      <c r="B1100" s="6" t="s">
        <v>1793</v>
      </c>
      <c r="C1100" s="6" t="s">
        <v>2869</v>
      </c>
      <c r="D1100" s="6" t="s">
        <v>1792</v>
      </c>
      <c r="E1100" s="6">
        <v>32230181</v>
      </c>
      <c r="F1100" s="6" t="s">
        <v>1797</v>
      </c>
      <c r="G1100" s="6" t="s">
        <v>2860</v>
      </c>
      <c r="H1100" s="6" t="s">
        <v>1584</v>
      </c>
    </row>
    <row r="1101" spans="1:8" x14ac:dyDescent="0.3">
      <c r="A1101" s="6" t="s">
        <v>2858</v>
      </c>
      <c r="B1101" s="6" t="s">
        <v>1793</v>
      </c>
      <c r="C1101" s="6" t="s">
        <v>2869</v>
      </c>
      <c r="D1101" s="6" t="s">
        <v>1792</v>
      </c>
      <c r="E1101" s="6">
        <v>32180380</v>
      </c>
      <c r="F1101" s="6" t="s">
        <v>1796</v>
      </c>
      <c r="G1101" s="6" t="s">
        <v>2860</v>
      </c>
      <c r="H1101" s="6" t="s">
        <v>38</v>
      </c>
    </row>
    <row r="1102" spans="1:8" x14ac:dyDescent="0.3">
      <c r="A1102" s="6" t="s">
        <v>2858</v>
      </c>
      <c r="B1102" s="6" t="s">
        <v>1793</v>
      </c>
      <c r="C1102" s="6" t="s">
        <v>2869</v>
      </c>
      <c r="D1102" s="6" t="s">
        <v>1792</v>
      </c>
      <c r="E1102" s="6">
        <v>32180192</v>
      </c>
      <c r="F1102" s="6" t="s">
        <v>1798</v>
      </c>
      <c r="G1102" s="6" t="s">
        <v>2860</v>
      </c>
      <c r="H1102" s="6" t="s">
        <v>1584</v>
      </c>
    </row>
    <row r="1103" spans="1:8" x14ac:dyDescent="0.3">
      <c r="A1103" s="6" t="s">
        <v>2858</v>
      </c>
      <c r="B1103" s="6" t="s">
        <v>1793</v>
      </c>
      <c r="C1103" s="6" t="s">
        <v>2869</v>
      </c>
      <c r="D1103" s="6" t="s">
        <v>1792</v>
      </c>
      <c r="E1103" s="6">
        <v>32217100</v>
      </c>
      <c r="F1103" s="6" t="s">
        <v>1847</v>
      </c>
      <c r="G1103" s="6" t="s">
        <v>2860</v>
      </c>
      <c r="H1103" s="6" t="s">
        <v>44</v>
      </c>
    </row>
    <row r="1104" spans="1:8" x14ac:dyDescent="0.3">
      <c r="A1104" s="6" t="s">
        <v>2858</v>
      </c>
      <c r="B1104" s="6" t="s">
        <v>1793</v>
      </c>
      <c r="C1104" s="6" t="s">
        <v>2869</v>
      </c>
      <c r="D1104" s="6" t="s">
        <v>1792</v>
      </c>
      <c r="E1104" s="6">
        <v>32046498</v>
      </c>
      <c r="F1104" s="6" t="s">
        <v>1794</v>
      </c>
      <c r="G1104" s="6" t="s">
        <v>2860</v>
      </c>
      <c r="H1104" s="6" t="s">
        <v>35</v>
      </c>
    </row>
    <row r="1105" spans="1:8" x14ac:dyDescent="0.3">
      <c r="A1105" s="6" t="s">
        <v>2858</v>
      </c>
      <c r="B1105" s="6" t="s">
        <v>3312</v>
      </c>
      <c r="C1105" s="6" t="s">
        <v>2869</v>
      </c>
      <c r="D1105" s="6" t="s">
        <v>2882</v>
      </c>
      <c r="E1105" s="6">
        <v>32214584</v>
      </c>
      <c r="F1105" s="6" t="s">
        <v>1783</v>
      </c>
      <c r="G1105" s="6" t="s">
        <v>2344</v>
      </c>
      <c r="H1105" s="6" t="s">
        <v>2882</v>
      </c>
    </row>
    <row r="1106" spans="1:8" x14ac:dyDescent="0.3">
      <c r="A1106" s="6" t="s">
        <v>2858</v>
      </c>
      <c r="B1106" s="6" t="s">
        <v>3312</v>
      </c>
      <c r="C1106" s="6" t="s">
        <v>2869</v>
      </c>
      <c r="D1106" s="6" t="s">
        <v>1781</v>
      </c>
      <c r="E1106" s="6">
        <v>32180202</v>
      </c>
      <c r="F1106" s="6" t="s">
        <v>1785</v>
      </c>
      <c r="G1106" s="6" t="s">
        <v>2860</v>
      </c>
      <c r="H1106" s="6" t="s">
        <v>38</v>
      </c>
    </row>
    <row r="1107" spans="1:8" x14ac:dyDescent="0.3">
      <c r="A1107" s="6" t="s">
        <v>2858</v>
      </c>
      <c r="B1107" s="6" t="s">
        <v>3312</v>
      </c>
      <c r="C1107" s="6" t="s">
        <v>2869</v>
      </c>
      <c r="D1107" s="6" t="s">
        <v>1781</v>
      </c>
      <c r="E1107" s="6">
        <v>32180384</v>
      </c>
      <c r="F1107" s="6" t="s">
        <v>1786</v>
      </c>
      <c r="G1107" s="6" t="s">
        <v>2860</v>
      </c>
      <c r="H1107" s="6" t="s">
        <v>41</v>
      </c>
    </row>
    <row r="1108" spans="1:8" x14ac:dyDescent="0.3">
      <c r="A1108" s="6" t="s">
        <v>2858</v>
      </c>
      <c r="B1108" s="6" t="s">
        <v>3312</v>
      </c>
      <c r="C1108" s="6" t="s">
        <v>2869</v>
      </c>
      <c r="D1108" s="6" t="s">
        <v>1781</v>
      </c>
      <c r="E1108" s="6">
        <v>32046625</v>
      </c>
      <c r="F1108" s="6" t="s">
        <v>1790</v>
      </c>
      <c r="G1108" s="6" t="s">
        <v>2860</v>
      </c>
      <c r="H1108" s="6" t="s">
        <v>62</v>
      </c>
    </row>
    <row r="1109" spans="1:8" x14ac:dyDescent="0.3">
      <c r="A1109" s="6" t="s">
        <v>2858</v>
      </c>
      <c r="B1109" s="6" t="s">
        <v>3312</v>
      </c>
      <c r="C1109" s="6" t="s">
        <v>2869</v>
      </c>
      <c r="D1109" s="6" t="s">
        <v>1781</v>
      </c>
      <c r="E1109" s="6">
        <v>32180199</v>
      </c>
      <c r="F1109" s="6" t="s">
        <v>1784</v>
      </c>
      <c r="G1109" s="6" t="s">
        <v>2860</v>
      </c>
      <c r="H1109" s="6" t="s">
        <v>44</v>
      </c>
    </row>
    <row r="1110" spans="1:8" x14ac:dyDescent="0.3">
      <c r="A1110" s="6" t="s">
        <v>2858</v>
      </c>
      <c r="B1110" s="6" t="s">
        <v>3312</v>
      </c>
      <c r="C1110" s="6" t="s">
        <v>2869</v>
      </c>
      <c r="D1110" s="6" t="s">
        <v>1781</v>
      </c>
      <c r="E1110" s="6">
        <v>32230187</v>
      </c>
      <c r="F1110" s="6" t="s">
        <v>1788</v>
      </c>
      <c r="G1110" s="6" t="s">
        <v>2860</v>
      </c>
      <c r="H1110" s="6" t="s">
        <v>1584</v>
      </c>
    </row>
    <row r="1111" spans="1:8" x14ac:dyDescent="0.3">
      <c r="A1111" s="6" t="s">
        <v>2858</v>
      </c>
      <c r="B1111" s="6" t="s">
        <v>3312</v>
      </c>
      <c r="C1111" s="6" t="s">
        <v>2869</v>
      </c>
      <c r="D1111" s="6" t="s">
        <v>1781</v>
      </c>
      <c r="E1111" s="6">
        <v>32180206</v>
      </c>
      <c r="F1111" s="6" t="s">
        <v>1791</v>
      </c>
      <c r="G1111" s="6" t="s">
        <v>2860</v>
      </c>
      <c r="H1111" s="6" t="s">
        <v>47</v>
      </c>
    </row>
    <row r="1112" spans="1:8" x14ac:dyDescent="0.3">
      <c r="A1112" s="6" t="s">
        <v>2858</v>
      </c>
      <c r="B1112" s="6" t="s">
        <v>3313</v>
      </c>
      <c r="C1112" s="6" t="s">
        <v>2861</v>
      </c>
      <c r="D1112" s="6">
        <v>11</v>
      </c>
      <c r="E1112" s="6">
        <v>32232769</v>
      </c>
      <c r="F1112" s="6" t="s">
        <v>3220</v>
      </c>
      <c r="G1112" s="6" t="s">
        <v>2344</v>
      </c>
      <c r="H1112" s="6" t="s">
        <v>2882</v>
      </c>
    </row>
    <row r="1113" spans="1:8" x14ac:dyDescent="0.3">
      <c r="A1113" s="6" t="s">
        <v>2858</v>
      </c>
      <c r="B1113" s="6" t="s">
        <v>3313</v>
      </c>
      <c r="C1113" s="6" t="s">
        <v>2861</v>
      </c>
      <c r="D1113" s="6">
        <v>11</v>
      </c>
      <c r="E1113" s="6">
        <v>32132594</v>
      </c>
      <c r="F1113" s="6" t="s">
        <v>3314</v>
      </c>
      <c r="G1113" s="6" t="s">
        <v>2860</v>
      </c>
      <c r="H1113" s="6" t="s">
        <v>47</v>
      </c>
    </row>
    <row r="1114" spans="1:8" x14ac:dyDescent="0.3">
      <c r="A1114" s="6" t="s">
        <v>2858</v>
      </c>
      <c r="B1114" s="6" t="s">
        <v>3313</v>
      </c>
      <c r="C1114" s="6" t="s">
        <v>2861</v>
      </c>
      <c r="D1114" s="6">
        <v>11</v>
      </c>
      <c r="E1114" s="6">
        <v>32178729</v>
      </c>
      <c r="F1114" s="6" t="s">
        <v>1414</v>
      </c>
      <c r="G1114" s="6" t="s">
        <v>2860</v>
      </c>
      <c r="H1114" s="6" t="s">
        <v>41</v>
      </c>
    </row>
    <row r="1115" spans="1:8" x14ac:dyDescent="0.3">
      <c r="A1115" s="6" t="s">
        <v>2858</v>
      </c>
      <c r="B1115" s="6" t="s">
        <v>3313</v>
      </c>
      <c r="C1115" s="6" t="s">
        <v>2861</v>
      </c>
      <c r="D1115" s="6">
        <v>11</v>
      </c>
      <c r="E1115" s="6">
        <v>32045850</v>
      </c>
      <c r="F1115" s="6" t="s">
        <v>3315</v>
      </c>
      <c r="G1115" s="6" t="s">
        <v>2860</v>
      </c>
      <c r="H1115" s="6" t="s">
        <v>44</v>
      </c>
    </row>
    <row r="1116" spans="1:8" x14ac:dyDescent="0.3">
      <c r="A1116" s="6" t="s">
        <v>2858</v>
      </c>
      <c r="B1116" s="6" t="s">
        <v>3313</v>
      </c>
      <c r="C1116" s="6" t="s">
        <v>2861</v>
      </c>
      <c r="D1116" s="6">
        <v>11</v>
      </c>
      <c r="E1116" s="6">
        <v>32107143</v>
      </c>
      <c r="F1116" s="6" t="s">
        <v>3316</v>
      </c>
      <c r="G1116" s="6" t="s">
        <v>2860</v>
      </c>
      <c r="H1116" s="6" t="s">
        <v>41</v>
      </c>
    </row>
    <row r="1117" spans="1:8" x14ac:dyDescent="0.3">
      <c r="A1117" s="6" t="s">
        <v>2858</v>
      </c>
      <c r="B1117" s="6" t="s">
        <v>3313</v>
      </c>
      <c r="C1117" s="6" t="s">
        <v>2861</v>
      </c>
      <c r="D1117" s="6">
        <v>11</v>
      </c>
      <c r="E1117" s="6">
        <v>32143627</v>
      </c>
      <c r="F1117" s="6" t="s">
        <v>3317</v>
      </c>
      <c r="G1117" s="6" t="s">
        <v>2860</v>
      </c>
      <c r="H1117" s="6" t="s">
        <v>35</v>
      </c>
    </row>
    <row r="1118" spans="1:8" x14ac:dyDescent="0.3">
      <c r="A1118" s="6" t="s">
        <v>2858</v>
      </c>
      <c r="B1118" s="6" t="s">
        <v>3313</v>
      </c>
      <c r="C1118" s="6" t="s">
        <v>2861</v>
      </c>
      <c r="D1118" s="6">
        <v>11</v>
      </c>
      <c r="E1118" s="6">
        <v>32044841</v>
      </c>
      <c r="F1118" s="6" t="s">
        <v>1395</v>
      </c>
      <c r="G1118" s="6" t="s">
        <v>2860</v>
      </c>
      <c r="H1118" s="6" t="s">
        <v>62</v>
      </c>
    </row>
    <row r="1119" spans="1:8" x14ac:dyDescent="0.3">
      <c r="A1119" s="6" t="s">
        <v>2858</v>
      </c>
      <c r="B1119" s="6" t="s">
        <v>3313</v>
      </c>
      <c r="C1119" s="6" t="s">
        <v>2861</v>
      </c>
      <c r="D1119" s="6">
        <v>11</v>
      </c>
      <c r="E1119" s="6">
        <v>32061469</v>
      </c>
      <c r="F1119" s="6" t="s">
        <v>3318</v>
      </c>
      <c r="G1119" s="6" t="s">
        <v>2860</v>
      </c>
      <c r="H1119" s="6" t="s">
        <v>1584</v>
      </c>
    </row>
    <row r="1120" spans="1:8" x14ac:dyDescent="0.3">
      <c r="A1120" s="6" t="s">
        <v>2858</v>
      </c>
      <c r="B1120" s="6" t="s">
        <v>3313</v>
      </c>
      <c r="C1120" s="6" t="s">
        <v>2861</v>
      </c>
      <c r="D1120" s="6">
        <v>11</v>
      </c>
      <c r="E1120" s="6">
        <v>32046145</v>
      </c>
      <c r="F1120" s="6" t="s">
        <v>1398</v>
      </c>
      <c r="G1120" s="6" t="s">
        <v>2860</v>
      </c>
      <c r="H1120" s="6" t="s">
        <v>44</v>
      </c>
    </row>
    <row r="1121" spans="1:8" x14ac:dyDescent="0.3">
      <c r="A1121" s="6" t="s">
        <v>2858</v>
      </c>
      <c r="B1121" s="6" t="s">
        <v>3313</v>
      </c>
      <c r="C1121" s="6" t="s">
        <v>2861</v>
      </c>
      <c r="D1121" s="6">
        <v>11</v>
      </c>
      <c r="E1121" s="6">
        <v>32142771</v>
      </c>
      <c r="F1121" s="6" t="s">
        <v>3319</v>
      </c>
      <c r="G1121" s="6" t="s">
        <v>2860</v>
      </c>
      <c r="H1121" s="6" t="s">
        <v>47</v>
      </c>
    </row>
    <row r="1122" spans="1:8" x14ac:dyDescent="0.3">
      <c r="A1122" s="6" t="s">
        <v>2858</v>
      </c>
      <c r="B1122" s="6" t="s">
        <v>3313</v>
      </c>
      <c r="C1122" s="6" t="s">
        <v>2861</v>
      </c>
      <c r="D1122" s="6">
        <v>11</v>
      </c>
      <c r="E1122" s="6">
        <v>32131834</v>
      </c>
      <c r="F1122" s="6" t="s">
        <v>1406</v>
      </c>
      <c r="G1122" s="6" t="s">
        <v>2860</v>
      </c>
      <c r="H1122" s="6" t="s">
        <v>44</v>
      </c>
    </row>
    <row r="1123" spans="1:8" x14ac:dyDescent="0.3">
      <c r="A1123" s="6" t="s">
        <v>2858</v>
      </c>
      <c r="B1123" s="6" t="s">
        <v>3313</v>
      </c>
      <c r="C1123" s="6" t="s">
        <v>2861</v>
      </c>
      <c r="D1123" s="6">
        <v>11</v>
      </c>
      <c r="E1123" s="6">
        <v>32046218</v>
      </c>
      <c r="F1123" s="6" t="s">
        <v>3320</v>
      </c>
      <c r="G1123" s="6" t="s">
        <v>2860</v>
      </c>
      <c r="H1123" s="6" t="s">
        <v>38</v>
      </c>
    </row>
    <row r="1124" spans="1:8" x14ac:dyDescent="0.3">
      <c r="A1124" s="6" t="s">
        <v>2858</v>
      </c>
      <c r="B1124" s="6" t="s">
        <v>2297</v>
      </c>
      <c r="C1124" s="6" t="s">
        <v>2859</v>
      </c>
      <c r="D1124" s="6" t="s">
        <v>2882</v>
      </c>
      <c r="E1124" s="6">
        <v>32045092</v>
      </c>
      <c r="F1124" s="6" t="s">
        <v>2298</v>
      </c>
      <c r="G1124" s="6" t="s">
        <v>2344</v>
      </c>
      <c r="H1124" s="6" t="s">
        <v>2882</v>
      </c>
    </row>
    <row r="1125" spans="1:8" x14ac:dyDescent="0.3">
      <c r="A1125" s="6" t="s">
        <v>2858</v>
      </c>
      <c r="B1125" s="6" t="s">
        <v>2297</v>
      </c>
      <c r="C1125" s="6" t="s">
        <v>2859</v>
      </c>
      <c r="D1125" s="6" t="s">
        <v>2284</v>
      </c>
      <c r="E1125" s="6">
        <v>32043788</v>
      </c>
      <c r="F1125" s="6" t="s">
        <v>2303</v>
      </c>
      <c r="G1125" s="6" t="s">
        <v>2860</v>
      </c>
      <c r="H1125" s="6" t="s">
        <v>38</v>
      </c>
    </row>
    <row r="1126" spans="1:8" x14ac:dyDescent="0.3">
      <c r="A1126" s="6" t="s">
        <v>2858</v>
      </c>
      <c r="B1126" s="6" t="s">
        <v>2297</v>
      </c>
      <c r="C1126" s="6" t="s">
        <v>2859</v>
      </c>
      <c r="D1126" s="6" t="s">
        <v>2284</v>
      </c>
      <c r="E1126" s="6">
        <v>32043833</v>
      </c>
      <c r="F1126" s="6" t="s">
        <v>2307</v>
      </c>
      <c r="G1126" s="6" t="s">
        <v>2860</v>
      </c>
      <c r="H1126" s="6" t="s">
        <v>38</v>
      </c>
    </row>
    <row r="1127" spans="1:8" x14ac:dyDescent="0.3">
      <c r="A1127" s="6" t="s">
        <v>2858</v>
      </c>
      <c r="B1127" s="6" t="s">
        <v>2297</v>
      </c>
      <c r="C1127" s="6" t="s">
        <v>2859</v>
      </c>
      <c r="D1127" s="6" t="s">
        <v>2284</v>
      </c>
      <c r="E1127" s="6">
        <v>32044250</v>
      </c>
      <c r="F1127" s="6" t="s">
        <v>2300</v>
      </c>
      <c r="G1127" s="6" t="s">
        <v>2860</v>
      </c>
      <c r="H1127" s="6" t="s">
        <v>38</v>
      </c>
    </row>
    <row r="1128" spans="1:8" x14ac:dyDescent="0.3">
      <c r="A1128" s="6" t="s">
        <v>2858</v>
      </c>
      <c r="B1128" s="6" t="s">
        <v>2297</v>
      </c>
      <c r="C1128" s="6" t="s">
        <v>2869</v>
      </c>
      <c r="D1128" s="6" t="s">
        <v>1589</v>
      </c>
      <c r="E1128" s="6">
        <v>32057886</v>
      </c>
      <c r="F1128" s="6" t="s">
        <v>1760</v>
      </c>
      <c r="G1128" s="6" t="s">
        <v>2860</v>
      </c>
      <c r="H1128" s="6" t="s">
        <v>44</v>
      </c>
    </row>
    <row r="1129" spans="1:8" x14ac:dyDescent="0.3">
      <c r="A1129" s="6" t="s">
        <v>2858</v>
      </c>
      <c r="B1129" s="6" t="s">
        <v>2297</v>
      </c>
      <c r="C1129" s="6" t="s">
        <v>2859</v>
      </c>
      <c r="D1129" s="6" t="s">
        <v>2284</v>
      </c>
      <c r="E1129" s="6">
        <v>32044190</v>
      </c>
      <c r="F1129" s="6" t="s">
        <v>2306</v>
      </c>
      <c r="G1129" s="6" t="s">
        <v>2860</v>
      </c>
      <c r="H1129" s="6" t="s">
        <v>35</v>
      </c>
    </row>
    <row r="1130" spans="1:8" x14ac:dyDescent="0.3">
      <c r="A1130" s="6" t="s">
        <v>2858</v>
      </c>
      <c r="B1130" s="6" t="s">
        <v>2297</v>
      </c>
      <c r="C1130" s="6" t="s">
        <v>2859</v>
      </c>
      <c r="D1130" s="6" t="s">
        <v>2284</v>
      </c>
      <c r="E1130" s="6">
        <v>32043828</v>
      </c>
      <c r="F1130" s="6" t="s">
        <v>2305</v>
      </c>
      <c r="G1130" s="6" t="s">
        <v>2860</v>
      </c>
      <c r="H1130" s="6" t="s">
        <v>35</v>
      </c>
    </row>
    <row r="1131" spans="1:8" x14ac:dyDescent="0.3">
      <c r="A1131" s="6" t="s">
        <v>2858</v>
      </c>
      <c r="B1131" s="6" t="s">
        <v>2297</v>
      </c>
      <c r="C1131" s="6" t="s">
        <v>2859</v>
      </c>
      <c r="D1131" s="6" t="s">
        <v>2284</v>
      </c>
      <c r="E1131" s="6">
        <v>32146674</v>
      </c>
      <c r="F1131" s="6" t="s">
        <v>2309</v>
      </c>
      <c r="G1131" s="6" t="s">
        <v>2860</v>
      </c>
      <c r="H1131" s="6" t="s">
        <v>62</v>
      </c>
    </row>
    <row r="1132" spans="1:8" x14ac:dyDescent="0.3">
      <c r="A1132" s="6" t="s">
        <v>2858</v>
      </c>
      <c r="B1132" s="6" t="s">
        <v>2297</v>
      </c>
      <c r="C1132" s="6" t="s">
        <v>2859</v>
      </c>
      <c r="D1132" s="6" t="s">
        <v>2284</v>
      </c>
      <c r="E1132" s="6">
        <v>32044064</v>
      </c>
      <c r="F1132" s="6" t="s">
        <v>2310</v>
      </c>
      <c r="G1132" s="6" t="s">
        <v>2860</v>
      </c>
      <c r="H1132" s="6" t="s">
        <v>47</v>
      </c>
    </row>
    <row r="1133" spans="1:8" x14ac:dyDescent="0.3">
      <c r="A1133" s="6" t="s">
        <v>2858</v>
      </c>
      <c r="B1133" s="6" t="s">
        <v>2297</v>
      </c>
      <c r="C1133" s="6" t="s">
        <v>2859</v>
      </c>
      <c r="D1133" s="6" t="s">
        <v>2284</v>
      </c>
      <c r="E1133" s="6">
        <v>32045537</v>
      </c>
      <c r="F1133" s="6" t="s">
        <v>2308</v>
      </c>
      <c r="G1133" s="6" t="s">
        <v>2860</v>
      </c>
      <c r="H1133" s="6" t="s">
        <v>47</v>
      </c>
    </row>
    <row r="1134" spans="1:8" x14ac:dyDescent="0.3">
      <c r="A1134" s="6" t="s">
        <v>2858</v>
      </c>
      <c r="B1134" s="6" t="s">
        <v>2297</v>
      </c>
      <c r="C1134" s="6" t="s">
        <v>2869</v>
      </c>
      <c r="D1134" s="6" t="s">
        <v>1589</v>
      </c>
      <c r="E1134" s="6">
        <v>32227711</v>
      </c>
      <c r="F1134" s="6" t="s">
        <v>1759</v>
      </c>
      <c r="G1134" s="6" t="s">
        <v>2860</v>
      </c>
      <c r="H1134" s="6" t="s">
        <v>38</v>
      </c>
    </row>
    <row r="1135" spans="1:8" x14ac:dyDescent="0.3">
      <c r="A1135" s="6" t="s">
        <v>2858</v>
      </c>
      <c r="B1135" s="6" t="s">
        <v>2297</v>
      </c>
      <c r="C1135" s="6" t="s">
        <v>2859</v>
      </c>
      <c r="D1135" s="6" t="s">
        <v>2284</v>
      </c>
      <c r="E1135" s="6">
        <v>32146288</v>
      </c>
      <c r="F1135" s="6" t="s">
        <v>2302</v>
      </c>
      <c r="G1135" s="6" t="s">
        <v>2860</v>
      </c>
      <c r="H1135" s="6" t="s">
        <v>44</v>
      </c>
    </row>
    <row r="1136" spans="1:8" x14ac:dyDescent="0.3">
      <c r="A1136" s="6" t="s">
        <v>2858</v>
      </c>
      <c r="B1136" s="6" t="s">
        <v>2297</v>
      </c>
      <c r="C1136" s="6" t="s">
        <v>2869</v>
      </c>
      <c r="D1136" s="6" t="s">
        <v>1589</v>
      </c>
      <c r="E1136" s="6">
        <v>32180190</v>
      </c>
      <c r="F1136" s="6" t="s">
        <v>1758</v>
      </c>
      <c r="G1136" s="6" t="s">
        <v>2860</v>
      </c>
      <c r="H1136" s="6" t="s">
        <v>47</v>
      </c>
    </row>
    <row r="1137" spans="1:8" x14ac:dyDescent="0.3">
      <c r="A1137" s="6" t="s">
        <v>2858</v>
      </c>
      <c r="B1137" s="6" t="s">
        <v>2297</v>
      </c>
      <c r="C1137" s="6" t="s">
        <v>2859</v>
      </c>
      <c r="D1137" s="6" t="s">
        <v>2284</v>
      </c>
      <c r="E1137" s="6">
        <v>32046064</v>
      </c>
      <c r="F1137" s="6" t="s">
        <v>2299</v>
      </c>
      <c r="G1137" s="6" t="s">
        <v>2860</v>
      </c>
      <c r="H1137" s="6" t="s">
        <v>41</v>
      </c>
    </row>
    <row r="1138" spans="1:8" x14ac:dyDescent="0.3">
      <c r="A1138" s="6" t="s">
        <v>2858</v>
      </c>
      <c r="B1138" s="6" t="s">
        <v>2297</v>
      </c>
      <c r="C1138" s="6" t="s">
        <v>2859</v>
      </c>
      <c r="D1138" s="6" t="s">
        <v>2284</v>
      </c>
      <c r="E1138" s="6">
        <v>32044292</v>
      </c>
      <c r="F1138" s="6" t="s">
        <v>2304</v>
      </c>
      <c r="G1138" s="6" t="s">
        <v>2860</v>
      </c>
      <c r="H1138" s="6" t="s">
        <v>62</v>
      </c>
    </row>
    <row r="1139" spans="1:8" x14ac:dyDescent="0.3">
      <c r="A1139" s="6" t="s">
        <v>2858</v>
      </c>
      <c r="B1139" s="6" t="s">
        <v>2297</v>
      </c>
      <c r="C1139" s="6" t="s">
        <v>2859</v>
      </c>
      <c r="D1139" s="6" t="s">
        <v>2284</v>
      </c>
      <c r="E1139" s="6">
        <v>32045215</v>
      </c>
      <c r="F1139" s="6" t="s">
        <v>2301</v>
      </c>
      <c r="G1139" s="6" t="s">
        <v>2860</v>
      </c>
      <c r="H1139" s="6" t="s">
        <v>44</v>
      </c>
    </row>
    <row r="1140" spans="1:8" x14ac:dyDescent="0.3">
      <c r="A1140" s="6" t="s">
        <v>2858</v>
      </c>
      <c r="B1140" s="6" t="s">
        <v>2297</v>
      </c>
      <c r="C1140" s="6" t="s">
        <v>2869</v>
      </c>
      <c r="D1140" s="6" t="s">
        <v>1589</v>
      </c>
      <c r="E1140" s="6">
        <v>32044057</v>
      </c>
      <c r="F1140" s="6" t="s">
        <v>1757</v>
      </c>
      <c r="G1140" s="6" t="s">
        <v>2860</v>
      </c>
      <c r="H1140" s="6" t="s">
        <v>35</v>
      </c>
    </row>
    <row r="1141" spans="1:8" x14ac:dyDescent="0.3">
      <c r="A1141" s="6" t="s">
        <v>2858</v>
      </c>
      <c r="B1141" s="6" t="s">
        <v>2297</v>
      </c>
      <c r="C1141" s="6" t="s">
        <v>2869</v>
      </c>
      <c r="D1141" s="6" t="s">
        <v>1589</v>
      </c>
      <c r="E1141" s="6">
        <v>32229375</v>
      </c>
      <c r="F1141" s="6" t="s">
        <v>1756</v>
      </c>
      <c r="G1141" s="6" t="s">
        <v>2860</v>
      </c>
      <c r="H1141" s="6" t="s">
        <v>41</v>
      </c>
    </row>
    <row r="1142" spans="1:8" x14ac:dyDescent="0.3">
      <c r="A1142" s="6" t="s">
        <v>2858</v>
      </c>
      <c r="B1142" s="6" t="s">
        <v>2297</v>
      </c>
      <c r="C1142" s="6" t="s">
        <v>2869</v>
      </c>
      <c r="D1142" s="6" t="s">
        <v>2882</v>
      </c>
      <c r="E1142" s="6">
        <v>32218550</v>
      </c>
      <c r="F1142" s="6" t="s">
        <v>1755</v>
      </c>
      <c r="G1142" s="6" t="s">
        <v>2344</v>
      </c>
      <c r="H1142" s="6" t="s">
        <v>2882</v>
      </c>
    </row>
    <row r="1143" spans="1:8" x14ac:dyDescent="0.3">
      <c r="A1143" s="6" t="s">
        <v>2858</v>
      </c>
      <c r="B1143" s="6" t="s">
        <v>2253</v>
      </c>
      <c r="C1143" s="6" t="s">
        <v>2859</v>
      </c>
      <c r="D1143" s="6" t="s">
        <v>2882</v>
      </c>
      <c r="E1143" s="6">
        <v>32145438</v>
      </c>
      <c r="F1143" s="6" t="s">
        <v>2254</v>
      </c>
      <c r="G1143" s="6" t="s">
        <v>2344</v>
      </c>
      <c r="H1143" s="6" t="s">
        <v>2882</v>
      </c>
    </row>
    <row r="1144" spans="1:8" x14ac:dyDescent="0.3">
      <c r="A1144" s="6" t="s">
        <v>2858</v>
      </c>
      <c r="B1144" s="6" t="s">
        <v>2253</v>
      </c>
      <c r="C1144" s="6" t="s">
        <v>2859</v>
      </c>
      <c r="D1144" s="6" t="s">
        <v>2235</v>
      </c>
      <c r="E1144" s="6">
        <v>32044386</v>
      </c>
      <c r="F1144" s="6" t="s">
        <v>2256</v>
      </c>
      <c r="G1144" s="6" t="s">
        <v>2860</v>
      </c>
      <c r="H1144" s="6" t="s">
        <v>62</v>
      </c>
    </row>
    <row r="1145" spans="1:8" x14ac:dyDescent="0.3">
      <c r="A1145" s="6" t="s">
        <v>2858</v>
      </c>
      <c r="B1145" s="6" t="s">
        <v>2253</v>
      </c>
      <c r="C1145" s="6" t="s">
        <v>2859</v>
      </c>
      <c r="D1145" s="6" t="s">
        <v>2235</v>
      </c>
      <c r="E1145" s="6">
        <v>32138750</v>
      </c>
      <c r="F1145" s="6" t="s">
        <v>2262</v>
      </c>
      <c r="G1145" s="6" t="s">
        <v>2860</v>
      </c>
      <c r="H1145" s="6" t="s">
        <v>62</v>
      </c>
    </row>
    <row r="1146" spans="1:8" x14ac:dyDescent="0.3">
      <c r="A1146" s="6" t="s">
        <v>2858</v>
      </c>
      <c r="B1146" s="6" t="s">
        <v>2253</v>
      </c>
      <c r="C1146" s="6" t="s">
        <v>2859</v>
      </c>
      <c r="D1146" s="6" t="s">
        <v>2235</v>
      </c>
      <c r="E1146" s="6">
        <v>32045337</v>
      </c>
      <c r="F1146" s="6" t="s">
        <v>2260</v>
      </c>
      <c r="G1146" s="6" t="s">
        <v>2860</v>
      </c>
      <c r="H1146" s="6" t="s">
        <v>38</v>
      </c>
    </row>
    <row r="1147" spans="1:8" x14ac:dyDescent="0.3">
      <c r="A1147" s="6" t="s">
        <v>2858</v>
      </c>
      <c r="B1147" s="6" t="s">
        <v>2253</v>
      </c>
      <c r="C1147" s="6" t="s">
        <v>2859</v>
      </c>
      <c r="D1147" s="6" t="s">
        <v>2235</v>
      </c>
      <c r="E1147" s="6">
        <v>32045161</v>
      </c>
      <c r="F1147" s="6" t="s">
        <v>2258</v>
      </c>
      <c r="G1147" s="6" t="s">
        <v>2860</v>
      </c>
      <c r="H1147" s="6" t="s">
        <v>41</v>
      </c>
    </row>
    <row r="1148" spans="1:8" x14ac:dyDescent="0.3">
      <c r="A1148" s="6" t="s">
        <v>2858</v>
      </c>
      <c r="B1148" s="6" t="s">
        <v>2253</v>
      </c>
      <c r="C1148" s="6" t="s">
        <v>2859</v>
      </c>
      <c r="D1148" s="6" t="s">
        <v>2235</v>
      </c>
      <c r="E1148" s="6">
        <v>32044054</v>
      </c>
      <c r="F1148" s="6" t="s">
        <v>2261</v>
      </c>
      <c r="G1148" s="6" t="s">
        <v>2860</v>
      </c>
      <c r="H1148" s="6" t="s">
        <v>35</v>
      </c>
    </row>
    <row r="1149" spans="1:8" x14ac:dyDescent="0.3">
      <c r="A1149" s="6" t="s">
        <v>2858</v>
      </c>
      <c r="B1149" s="6" t="s">
        <v>2253</v>
      </c>
      <c r="C1149" s="6" t="s">
        <v>2859</v>
      </c>
      <c r="D1149" s="6" t="s">
        <v>2235</v>
      </c>
      <c r="E1149" s="6">
        <v>32043985</v>
      </c>
      <c r="F1149" s="6" t="s">
        <v>2259</v>
      </c>
      <c r="G1149" s="6" t="s">
        <v>2860</v>
      </c>
      <c r="H1149" s="6" t="s">
        <v>47</v>
      </c>
    </row>
    <row r="1150" spans="1:8" x14ac:dyDescent="0.3">
      <c r="A1150" s="6" t="s">
        <v>2858</v>
      </c>
      <c r="B1150" s="6" t="s">
        <v>2253</v>
      </c>
      <c r="C1150" s="6" t="s">
        <v>2859</v>
      </c>
      <c r="D1150" s="6" t="s">
        <v>2235</v>
      </c>
      <c r="E1150" s="6">
        <v>32072163</v>
      </c>
      <c r="F1150" s="6" t="s">
        <v>2257</v>
      </c>
      <c r="G1150" s="6" t="s">
        <v>2860</v>
      </c>
      <c r="H1150" s="6" t="s">
        <v>44</v>
      </c>
    </row>
    <row r="1151" spans="1:8" x14ac:dyDescent="0.3">
      <c r="A1151" s="6" t="s">
        <v>2858</v>
      </c>
      <c r="B1151" s="6" t="s">
        <v>2253</v>
      </c>
      <c r="C1151" s="6" t="s">
        <v>2859</v>
      </c>
      <c r="D1151" s="6" t="s">
        <v>2235</v>
      </c>
      <c r="E1151" s="6">
        <v>32043826</v>
      </c>
      <c r="F1151" s="6" t="s">
        <v>2263</v>
      </c>
      <c r="G1151" s="6" t="s">
        <v>2860</v>
      </c>
      <c r="H1151" s="6" t="s">
        <v>38</v>
      </c>
    </row>
    <row r="1152" spans="1:8" x14ac:dyDescent="0.3">
      <c r="A1152" s="6" t="s">
        <v>2858</v>
      </c>
      <c r="B1152" s="6" t="s">
        <v>2253</v>
      </c>
      <c r="C1152" s="6" t="s">
        <v>2859</v>
      </c>
      <c r="D1152" s="6" t="s">
        <v>2235</v>
      </c>
      <c r="E1152" s="6">
        <v>32045823</v>
      </c>
      <c r="F1152" s="6" t="s">
        <v>2255</v>
      </c>
      <c r="G1152" s="6" t="s">
        <v>2860</v>
      </c>
      <c r="H1152" s="6" t="s">
        <v>35</v>
      </c>
    </row>
    <row r="1153" spans="1:10" x14ac:dyDescent="0.3">
      <c r="A1153" s="6" t="s">
        <v>2858</v>
      </c>
      <c r="B1153" s="6" t="s">
        <v>3321</v>
      </c>
      <c r="C1153" s="6" t="s">
        <v>2861</v>
      </c>
      <c r="D1153" s="6">
        <v>10</v>
      </c>
      <c r="E1153" s="6">
        <v>32096563</v>
      </c>
      <c r="F1153" s="6" t="s">
        <v>1094</v>
      </c>
      <c r="G1153" s="6" t="s">
        <v>2344</v>
      </c>
      <c r="H1153" s="6" t="s">
        <v>2882</v>
      </c>
    </row>
    <row r="1154" spans="1:10" x14ac:dyDescent="0.3">
      <c r="A1154" s="6" t="s">
        <v>2858</v>
      </c>
      <c r="B1154" s="6" t="s">
        <v>3321</v>
      </c>
      <c r="C1154" s="6" t="s">
        <v>2861</v>
      </c>
      <c r="D1154" s="6">
        <v>10</v>
      </c>
      <c r="E1154" s="6">
        <v>32132170</v>
      </c>
      <c r="F1154" s="6" t="s">
        <v>3322</v>
      </c>
      <c r="G1154" s="6" t="s">
        <v>2860</v>
      </c>
      <c r="H1154" s="6" t="s">
        <v>62</v>
      </c>
      <c r="I1154" s="6"/>
      <c r="J1154" s="6"/>
    </row>
    <row r="1155" spans="1:10" x14ac:dyDescent="0.3">
      <c r="A1155" s="6" t="s">
        <v>2858</v>
      </c>
      <c r="B1155" s="6" t="s">
        <v>3321</v>
      </c>
      <c r="C1155" s="6" t="s">
        <v>2861</v>
      </c>
      <c r="D1155" s="6">
        <v>10</v>
      </c>
      <c r="E1155" s="6">
        <v>32046387</v>
      </c>
      <c r="F1155" s="6" t="s">
        <v>1107</v>
      </c>
      <c r="G1155" s="6" t="s">
        <v>2860</v>
      </c>
      <c r="H1155" s="6" t="s">
        <v>62</v>
      </c>
    </row>
    <row r="1156" spans="1:10" x14ac:dyDescent="0.3">
      <c r="A1156" s="6" t="s">
        <v>2858</v>
      </c>
      <c r="B1156" s="6" t="s">
        <v>3321</v>
      </c>
      <c r="C1156" s="6" t="s">
        <v>2861</v>
      </c>
      <c r="D1156" s="6">
        <v>10</v>
      </c>
      <c r="E1156" s="6">
        <v>32046126</v>
      </c>
      <c r="F1156" s="6" t="s">
        <v>3323</v>
      </c>
      <c r="G1156" s="6" t="s">
        <v>2860</v>
      </c>
      <c r="H1156" s="6" t="s">
        <v>41</v>
      </c>
      <c r="I1156" s="6"/>
      <c r="J1156" s="6"/>
    </row>
    <row r="1157" spans="1:10" x14ac:dyDescent="0.3">
      <c r="A1157" s="6" t="s">
        <v>2858</v>
      </c>
      <c r="B1157" s="6" t="s">
        <v>3321</v>
      </c>
      <c r="C1157" s="6" t="s">
        <v>2861</v>
      </c>
      <c r="D1157" s="6">
        <v>10</v>
      </c>
      <c r="E1157" s="6">
        <v>32058108</v>
      </c>
      <c r="F1157" s="6" t="s">
        <v>3324</v>
      </c>
      <c r="G1157" s="6" t="s">
        <v>2860</v>
      </c>
      <c r="H1157" s="6" t="s">
        <v>1584</v>
      </c>
    </row>
    <row r="1158" spans="1:10" x14ac:dyDescent="0.3">
      <c r="A1158" s="6" t="s">
        <v>2858</v>
      </c>
      <c r="B1158" s="6" t="s">
        <v>3321</v>
      </c>
      <c r="C1158" s="6" t="s">
        <v>2861</v>
      </c>
      <c r="D1158" s="6">
        <v>10</v>
      </c>
      <c r="E1158" s="6">
        <v>32046509</v>
      </c>
      <c r="F1158" s="6" t="s">
        <v>3325</v>
      </c>
      <c r="G1158" s="6" t="s">
        <v>2860</v>
      </c>
      <c r="H1158" s="6" t="s">
        <v>62</v>
      </c>
    </row>
    <row r="1159" spans="1:10" x14ac:dyDescent="0.3">
      <c r="A1159" s="6" t="s">
        <v>2858</v>
      </c>
      <c r="B1159" s="6" t="s">
        <v>3321</v>
      </c>
      <c r="C1159" s="6" t="s">
        <v>2861</v>
      </c>
      <c r="D1159" s="6">
        <v>10</v>
      </c>
      <c r="E1159" s="6">
        <v>32043930</v>
      </c>
      <c r="F1159" s="6" t="s">
        <v>3326</v>
      </c>
      <c r="G1159" s="6" t="s">
        <v>2860</v>
      </c>
      <c r="H1159" s="6" t="s">
        <v>41</v>
      </c>
    </row>
    <row r="1160" spans="1:10" x14ac:dyDescent="0.3">
      <c r="A1160" s="6" t="s">
        <v>2858</v>
      </c>
      <c r="B1160" s="6" t="s">
        <v>3321</v>
      </c>
      <c r="C1160" s="6" t="s">
        <v>2861</v>
      </c>
      <c r="D1160" s="6">
        <v>10</v>
      </c>
      <c r="E1160" s="6">
        <v>32132009</v>
      </c>
      <c r="F1160" s="6" t="s">
        <v>3327</v>
      </c>
      <c r="G1160" s="6" t="s">
        <v>2860</v>
      </c>
      <c r="H1160" s="6" t="s">
        <v>38</v>
      </c>
    </row>
    <row r="1161" spans="1:10" x14ac:dyDescent="0.3">
      <c r="A1161" s="6" t="s">
        <v>2858</v>
      </c>
      <c r="B1161" s="6" t="s">
        <v>3321</v>
      </c>
      <c r="C1161" s="6" t="s">
        <v>2861</v>
      </c>
      <c r="D1161" s="6">
        <v>10</v>
      </c>
      <c r="E1161" s="6">
        <v>32045995</v>
      </c>
      <c r="F1161" s="6" t="s">
        <v>3328</v>
      </c>
      <c r="G1161" s="6" t="s">
        <v>2860</v>
      </c>
      <c r="H1161" s="6" t="s">
        <v>47</v>
      </c>
    </row>
    <row r="1162" spans="1:10" x14ac:dyDescent="0.3">
      <c r="A1162" s="6" t="s">
        <v>2858</v>
      </c>
      <c r="B1162" s="6" t="s">
        <v>3321</v>
      </c>
      <c r="C1162" s="6" t="s">
        <v>2861</v>
      </c>
      <c r="D1162" s="6">
        <v>10</v>
      </c>
      <c r="E1162" s="6">
        <v>32044861</v>
      </c>
      <c r="F1162" s="6" t="s">
        <v>3329</v>
      </c>
      <c r="G1162" s="6" t="s">
        <v>2860</v>
      </c>
      <c r="H1162" s="6" t="s">
        <v>44</v>
      </c>
    </row>
    <row r="1163" spans="1:10" x14ac:dyDescent="0.3">
      <c r="A1163" s="6" t="s">
        <v>2858</v>
      </c>
      <c r="B1163" s="6" t="s">
        <v>3321</v>
      </c>
      <c r="C1163" s="6" t="s">
        <v>2861</v>
      </c>
      <c r="D1163" s="6">
        <v>10</v>
      </c>
      <c r="E1163" s="6">
        <v>32043993</v>
      </c>
      <c r="F1163" s="6" t="s">
        <v>3330</v>
      </c>
      <c r="G1163" s="6" t="s">
        <v>2860</v>
      </c>
      <c r="H1163" s="6" t="s">
        <v>35</v>
      </c>
    </row>
    <row r="1164" spans="1:10" x14ac:dyDescent="0.3">
      <c r="A1164" s="6" t="s">
        <v>2858</v>
      </c>
      <c r="B1164" s="6" t="s">
        <v>2220</v>
      </c>
      <c r="C1164" s="6" t="s">
        <v>2859</v>
      </c>
      <c r="D1164" s="6" t="s">
        <v>2882</v>
      </c>
      <c r="E1164" s="6">
        <v>32146125</v>
      </c>
      <c r="F1164" s="6" t="s">
        <v>2221</v>
      </c>
      <c r="G1164" s="6" t="s">
        <v>2344</v>
      </c>
      <c r="H1164" s="6" t="s">
        <v>2882</v>
      </c>
    </row>
    <row r="1165" spans="1:10" x14ac:dyDescent="0.3">
      <c r="A1165" s="6" t="s">
        <v>2858</v>
      </c>
      <c r="B1165" s="6" t="s">
        <v>2220</v>
      </c>
      <c r="C1165" s="6" t="s">
        <v>2859</v>
      </c>
      <c r="D1165" s="6" t="s">
        <v>2182</v>
      </c>
      <c r="E1165" s="6">
        <v>32072178</v>
      </c>
      <c r="F1165" s="6" t="s">
        <v>2224</v>
      </c>
      <c r="G1165" s="6" t="s">
        <v>2860</v>
      </c>
      <c r="H1165" s="6" t="s">
        <v>38</v>
      </c>
    </row>
    <row r="1166" spans="1:10" x14ac:dyDescent="0.3">
      <c r="A1166" s="6" t="s">
        <v>2858</v>
      </c>
      <c r="B1166" s="6" t="s">
        <v>2220</v>
      </c>
      <c r="C1166" s="6" t="s">
        <v>2859</v>
      </c>
      <c r="D1166" s="6" t="s">
        <v>2182</v>
      </c>
      <c r="E1166" s="6">
        <v>32044593</v>
      </c>
      <c r="F1166" s="6" t="s">
        <v>2225</v>
      </c>
      <c r="G1166" s="6" t="s">
        <v>2860</v>
      </c>
      <c r="H1166" s="6" t="s">
        <v>41</v>
      </c>
    </row>
    <row r="1167" spans="1:10" x14ac:dyDescent="0.3">
      <c r="A1167" s="6" t="s">
        <v>2858</v>
      </c>
      <c r="B1167" s="6" t="s">
        <v>2220</v>
      </c>
      <c r="C1167" s="6" t="s">
        <v>2859</v>
      </c>
      <c r="D1167" s="6" t="s">
        <v>2182</v>
      </c>
      <c r="E1167" s="6">
        <v>32044718</v>
      </c>
      <c r="F1167" s="6" t="s">
        <v>2226</v>
      </c>
      <c r="G1167" s="6" t="s">
        <v>2860</v>
      </c>
      <c r="H1167" s="6" t="s">
        <v>38</v>
      </c>
    </row>
    <row r="1168" spans="1:10" x14ac:dyDescent="0.3">
      <c r="A1168" s="6" t="s">
        <v>2858</v>
      </c>
      <c r="B1168" s="6" t="s">
        <v>2220</v>
      </c>
      <c r="C1168" s="6" t="s">
        <v>2859</v>
      </c>
      <c r="D1168" s="6" t="s">
        <v>2182</v>
      </c>
      <c r="E1168" s="6">
        <v>32043984</v>
      </c>
      <c r="F1168" s="6" t="s">
        <v>2223</v>
      </c>
      <c r="G1168" s="6" t="s">
        <v>2860</v>
      </c>
      <c r="H1168" s="6" t="s">
        <v>44</v>
      </c>
    </row>
    <row r="1169" spans="1:8" x14ac:dyDescent="0.3">
      <c r="A1169" s="6" t="s">
        <v>2858</v>
      </c>
      <c r="B1169" s="6" t="s">
        <v>2220</v>
      </c>
      <c r="C1169" s="6" t="s">
        <v>2859</v>
      </c>
      <c r="D1169" s="6" t="s">
        <v>2182</v>
      </c>
      <c r="E1169" s="6">
        <v>32043792</v>
      </c>
      <c r="F1169" s="6" t="s">
        <v>2222</v>
      </c>
      <c r="G1169" s="6" t="s">
        <v>2860</v>
      </c>
      <c r="H1169" s="6" t="s">
        <v>62</v>
      </c>
    </row>
    <row r="1170" spans="1:8" x14ac:dyDescent="0.3">
      <c r="A1170" s="6" t="s">
        <v>2858</v>
      </c>
      <c r="B1170" s="6" t="s">
        <v>3331</v>
      </c>
      <c r="C1170" s="6" t="s">
        <v>2869</v>
      </c>
      <c r="D1170" s="6" t="s">
        <v>2882</v>
      </c>
      <c r="E1170" s="6">
        <v>32155712</v>
      </c>
      <c r="F1170" s="6" t="s">
        <v>1762</v>
      </c>
      <c r="G1170" s="6" t="s">
        <v>2344</v>
      </c>
      <c r="H1170" s="6" t="s">
        <v>2882</v>
      </c>
    </row>
    <row r="1171" spans="1:8" x14ac:dyDescent="0.3">
      <c r="A1171" s="6" t="s">
        <v>2858</v>
      </c>
      <c r="B1171" s="6" t="s">
        <v>3331</v>
      </c>
      <c r="C1171" s="6" t="s">
        <v>2869</v>
      </c>
      <c r="D1171" s="6" t="s">
        <v>1614</v>
      </c>
      <c r="E1171" s="6">
        <v>32180197</v>
      </c>
      <c r="F1171" s="6" t="s">
        <v>1768</v>
      </c>
      <c r="G1171" s="6" t="s">
        <v>2860</v>
      </c>
      <c r="H1171" s="6" t="s">
        <v>35</v>
      </c>
    </row>
    <row r="1172" spans="1:8" x14ac:dyDescent="0.3">
      <c r="A1172" s="6" t="s">
        <v>2858</v>
      </c>
      <c r="B1172" s="6" t="s">
        <v>3331</v>
      </c>
      <c r="C1172" s="6" t="s">
        <v>2869</v>
      </c>
      <c r="D1172" s="6" t="s">
        <v>1614</v>
      </c>
      <c r="E1172" s="6">
        <v>32045488</v>
      </c>
      <c r="F1172" s="6" t="s">
        <v>1773</v>
      </c>
      <c r="G1172" s="6" t="s">
        <v>2860</v>
      </c>
      <c r="H1172" s="6" t="s">
        <v>35</v>
      </c>
    </row>
    <row r="1173" spans="1:8" x14ac:dyDescent="0.3">
      <c r="A1173" s="6" t="s">
        <v>2858</v>
      </c>
      <c r="B1173" s="6" t="s">
        <v>3331</v>
      </c>
      <c r="C1173" s="6" t="s">
        <v>2869</v>
      </c>
      <c r="D1173" s="6" t="s">
        <v>1614</v>
      </c>
      <c r="E1173" s="6">
        <v>32046614</v>
      </c>
      <c r="F1173" s="6" t="s">
        <v>1778</v>
      </c>
      <c r="G1173" s="6" t="s">
        <v>2860</v>
      </c>
      <c r="H1173" s="6" t="s">
        <v>44</v>
      </c>
    </row>
    <row r="1174" spans="1:8" x14ac:dyDescent="0.3">
      <c r="A1174" s="6" t="s">
        <v>2858</v>
      </c>
      <c r="B1174" s="6" t="s">
        <v>3331</v>
      </c>
      <c r="C1174" s="6" t="s">
        <v>2869</v>
      </c>
      <c r="D1174" s="6" t="s">
        <v>1614</v>
      </c>
      <c r="E1174" s="6">
        <v>32070294</v>
      </c>
      <c r="F1174" s="6" t="s">
        <v>1771</v>
      </c>
      <c r="G1174" s="6" t="s">
        <v>2860</v>
      </c>
      <c r="H1174" s="6" t="s">
        <v>62</v>
      </c>
    </row>
    <row r="1175" spans="1:8" x14ac:dyDescent="0.3">
      <c r="A1175" s="6" t="s">
        <v>2858</v>
      </c>
      <c r="B1175" s="6" t="s">
        <v>3331</v>
      </c>
      <c r="C1175" s="6" t="s">
        <v>2869</v>
      </c>
      <c r="D1175" s="6" t="s">
        <v>1614</v>
      </c>
      <c r="E1175" s="6">
        <v>32044691</v>
      </c>
      <c r="F1175" s="6" t="s">
        <v>1766</v>
      </c>
      <c r="G1175" s="6" t="s">
        <v>2860</v>
      </c>
      <c r="H1175" s="6" t="s">
        <v>41</v>
      </c>
    </row>
    <row r="1176" spans="1:8" x14ac:dyDescent="0.3">
      <c r="A1176" s="6" t="s">
        <v>2858</v>
      </c>
      <c r="B1176" s="6" t="s">
        <v>3331</v>
      </c>
      <c r="C1176" s="6" t="s">
        <v>2869</v>
      </c>
      <c r="D1176" s="6" t="s">
        <v>1614</v>
      </c>
      <c r="E1176" s="6">
        <v>32187986</v>
      </c>
      <c r="F1176" s="6" t="s">
        <v>1780</v>
      </c>
      <c r="G1176" s="6" t="s">
        <v>2860</v>
      </c>
      <c r="H1176" s="6" t="s">
        <v>1584</v>
      </c>
    </row>
    <row r="1177" spans="1:8" x14ac:dyDescent="0.3">
      <c r="A1177" s="6" t="s">
        <v>2858</v>
      </c>
      <c r="B1177" s="6" t="s">
        <v>3331</v>
      </c>
      <c r="C1177" s="6" t="s">
        <v>2869</v>
      </c>
      <c r="D1177" s="6" t="s">
        <v>1614</v>
      </c>
      <c r="E1177" s="6">
        <v>32199319</v>
      </c>
      <c r="F1177" s="6" t="s">
        <v>1777</v>
      </c>
      <c r="G1177" s="6" t="s">
        <v>2860</v>
      </c>
      <c r="H1177" s="6" t="s">
        <v>35</v>
      </c>
    </row>
    <row r="1178" spans="1:8" x14ac:dyDescent="0.3">
      <c r="A1178" s="6" t="s">
        <v>2858</v>
      </c>
      <c r="B1178" s="6" t="s">
        <v>3331</v>
      </c>
      <c r="C1178" s="6" t="s">
        <v>2869</v>
      </c>
      <c r="D1178" s="6" t="s">
        <v>1614</v>
      </c>
      <c r="E1178" s="6">
        <v>32044712</v>
      </c>
      <c r="F1178" s="6" t="s">
        <v>1770</v>
      </c>
      <c r="G1178" s="6" t="s">
        <v>2860</v>
      </c>
      <c r="H1178" s="6" t="s">
        <v>1584</v>
      </c>
    </row>
    <row r="1179" spans="1:8" x14ac:dyDescent="0.3">
      <c r="A1179" s="6" t="s">
        <v>2858</v>
      </c>
      <c r="B1179" s="6" t="s">
        <v>3331</v>
      </c>
      <c r="C1179" s="6" t="s">
        <v>2869</v>
      </c>
      <c r="D1179" s="6" t="s">
        <v>1614</v>
      </c>
      <c r="E1179" s="6">
        <v>32198261</v>
      </c>
      <c r="F1179" s="6" t="s">
        <v>1765</v>
      </c>
      <c r="G1179" s="6" t="s">
        <v>2860</v>
      </c>
      <c r="H1179" s="6" t="s">
        <v>41</v>
      </c>
    </row>
    <row r="1180" spans="1:8" x14ac:dyDescent="0.3">
      <c r="A1180" s="6" t="s">
        <v>2858</v>
      </c>
      <c r="B1180" s="6" t="s">
        <v>3331</v>
      </c>
      <c r="C1180" s="6" t="s">
        <v>2869</v>
      </c>
      <c r="D1180" s="6" t="s">
        <v>1614</v>
      </c>
      <c r="E1180" s="6">
        <v>32227678</v>
      </c>
      <c r="F1180" s="6" t="s">
        <v>1779</v>
      </c>
      <c r="G1180" s="6" t="s">
        <v>2860</v>
      </c>
      <c r="H1180" s="6" t="s">
        <v>38</v>
      </c>
    </row>
    <row r="1181" spans="1:8" x14ac:dyDescent="0.3">
      <c r="A1181" s="6" t="s">
        <v>2858</v>
      </c>
      <c r="B1181" s="6" t="s">
        <v>3331</v>
      </c>
      <c r="C1181" s="6" t="s">
        <v>2869</v>
      </c>
      <c r="D1181" s="6" t="s">
        <v>1614</v>
      </c>
      <c r="E1181" s="6">
        <v>32044151</v>
      </c>
      <c r="F1181" s="6" t="s">
        <v>1767</v>
      </c>
      <c r="G1181" s="6" t="s">
        <v>2860</v>
      </c>
      <c r="H1181" s="6" t="s">
        <v>44</v>
      </c>
    </row>
    <row r="1182" spans="1:8" x14ac:dyDescent="0.3">
      <c r="A1182" s="6" t="s">
        <v>2858</v>
      </c>
      <c r="B1182" s="6" t="s">
        <v>3331</v>
      </c>
      <c r="C1182" s="6" t="s">
        <v>2869</v>
      </c>
      <c r="D1182" s="6" t="s">
        <v>1614</v>
      </c>
      <c r="E1182" s="6">
        <v>32217095</v>
      </c>
      <c r="F1182" s="6" t="s">
        <v>1772</v>
      </c>
      <c r="G1182" s="6" t="s">
        <v>2860</v>
      </c>
      <c r="H1182" s="6" t="s">
        <v>47</v>
      </c>
    </row>
    <row r="1183" spans="1:8" x14ac:dyDescent="0.3">
      <c r="A1183" s="6" t="s">
        <v>2858</v>
      </c>
      <c r="B1183" s="6" t="s">
        <v>3331</v>
      </c>
      <c r="C1183" s="6" t="s">
        <v>2869</v>
      </c>
      <c r="D1183" s="6" t="s">
        <v>1614</v>
      </c>
      <c r="E1183" s="6">
        <v>32043972</v>
      </c>
      <c r="F1183" s="6" t="s">
        <v>1769</v>
      </c>
      <c r="G1183" s="6" t="s">
        <v>2860</v>
      </c>
      <c r="H1183" s="6" t="s">
        <v>38</v>
      </c>
    </row>
    <row r="1184" spans="1:8" x14ac:dyDescent="0.3">
      <c r="A1184" s="6" t="s">
        <v>2858</v>
      </c>
      <c r="B1184" s="6" t="s">
        <v>3331</v>
      </c>
      <c r="C1184" s="6" t="s">
        <v>2869</v>
      </c>
      <c r="D1184" s="6" t="s">
        <v>1614</v>
      </c>
      <c r="E1184" s="6">
        <v>32213362</v>
      </c>
      <c r="F1184" s="6" t="s">
        <v>1776</v>
      </c>
      <c r="G1184" s="6" t="s">
        <v>2860</v>
      </c>
      <c r="H1184" s="6" t="s">
        <v>47</v>
      </c>
    </row>
    <row r="1185" spans="1:8" x14ac:dyDescent="0.3">
      <c r="A1185" s="6" t="s">
        <v>2858</v>
      </c>
      <c r="B1185" s="6" t="s">
        <v>3331</v>
      </c>
      <c r="C1185" s="6" t="s">
        <v>2869</v>
      </c>
      <c r="D1185" s="6" t="s">
        <v>1614</v>
      </c>
      <c r="E1185" s="6">
        <v>32229420</v>
      </c>
      <c r="F1185" s="6" t="s">
        <v>1775</v>
      </c>
      <c r="G1185" s="6" t="s">
        <v>2860</v>
      </c>
      <c r="H1185" s="6" t="s">
        <v>62</v>
      </c>
    </row>
    <row r="1186" spans="1:8" x14ac:dyDescent="0.3">
      <c r="A1186" s="6" t="s">
        <v>2858</v>
      </c>
      <c r="B1186" s="6" t="s">
        <v>3331</v>
      </c>
      <c r="C1186" s="6" t="s">
        <v>2869</v>
      </c>
      <c r="D1186" s="6" t="s">
        <v>1614</v>
      </c>
      <c r="E1186" s="6">
        <v>32046463</v>
      </c>
      <c r="F1186" s="6" t="s">
        <v>1774</v>
      </c>
      <c r="G1186" s="6" t="s">
        <v>2860</v>
      </c>
      <c r="H1186" s="6" t="s">
        <v>44</v>
      </c>
    </row>
    <row r="1187" spans="1:8" x14ac:dyDescent="0.3">
      <c r="A1187" s="6" t="s">
        <v>2858</v>
      </c>
      <c r="B1187" s="6" t="s">
        <v>3331</v>
      </c>
      <c r="C1187" s="6" t="s">
        <v>2869</v>
      </c>
      <c r="D1187" s="6" t="s">
        <v>1614</v>
      </c>
      <c r="E1187" s="6">
        <v>32045437</v>
      </c>
      <c r="F1187" s="6" t="s">
        <v>1764</v>
      </c>
      <c r="G1187" s="6" t="s">
        <v>2860</v>
      </c>
      <c r="H1187" s="6" t="s">
        <v>47</v>
      </c>
    </row>
    <row r="1188" spans="1:8" x14ac:dyDescent="0.3">
      <c r="A1188" s="6" t="s">
        <v>2858</v>
      </c>
      <c r="B1188" s="6" t="s">
        <v>2881</v>
      </c>
      <c r="C1188" s="6" t="s">
        <v>2862</v>
      </c>
      <c r="D1188" s="6" t="s">
        <v>2882</v>
      </c>
      <c r="E1188" s="6">
        <v>32069642</v>
      </c>
      <c r="F1188" s="6" t="s">
        <v>2111</v>
      </c>
      <c r="G1188" s="6" t="s">
        <v>2344</v>
      </c>
      <c r="H1188" s="6" t="s">
        <v>2882</v>
      </c>
    </row>
    <row r="1189" spans="1:8" x14ac:dyDescent="0.3">
      <c r="A1189" s="6" t="s">
        <v>2858</v>
      </c>
      <c r="B1189" s="6" t="s">
        <v>2881</v>
      </c>
      <c r="C1189" s="6" t="s">
        <v>2862</v>
      </c>
      <c r="D1189" s="6" t="s">
        <v>2060</v>
      </c>
      <c r="E1189" s="6">
        <v>32145467</v>
      </c>
      <c r="F1189" s="6" t="s">
        <v>2113</v>
      </c>
      <c r="G1189" s="6" t="s">
        <v>2860</v>
      </c>
      <c r="H1189" s="6" t="s">
        <v>41</v>
      </c>
    </row>
    <row r="1190" spans="1:8" x14ac:dyDescent="0.3">
      <c r="A1190" s="6" t="s">
        <v>2858</v>
      </c>
      <c r="B1190" s="6" t="s">
        <v>2881</v>
      </c>
      <c r="C1190" s="6" t="s">
        <v>2862</v>
      </c>
      <c r="D1190" s="6" t="s">
        <v>2063</v>
      </c>
      <c r="E1190" s="6">
        <v>32043741</v>
      </c>
      <c r="F1190" s="6" t="s">
        <v>2114</v>
      </c>
      <c r="G1190" s="6" t="s">
        <v>2860</v>
      </c>
      <c r="H1190" s="6" t="s">
        <v>44</v>
      </c>
    </row>
    <row r="1191" spans="1:8" x14ac:dyDescent="0.3">
      <c r="A1191" s="6" t="s">
        <v>2858</v>
      </c>
      <c r="B1191" s="6" t="s">
        <v>2881</v>
      </c>
      <c r="C1191" s="6" t="s">
        <v>2862</v>
      </c>
      <c r="D1191" s="6" t="s">
        <v>2116</v>
      </c>
      <c r="E1191" s="6">
        <v>32043799</v>
      </c>
      <c r="F1191" s="6" t="s">
        <v>2117</v>
      </c>
      <c r="G1191" s="6" t="s">
        <v>2860</v>
      </c>
      <c r="H1191" s="6" t="s">
        <v>35</v>
      </c>
    </row>
    <row r="1192" spans="1:8" x14ac:dyDescent="0.3">
      <c r="A1192" s="6" t="s">
        <v>2858</v>
      </c>
      <c r="B1192" s="6" t="s">
        <v>2881</v>
      </c>
      <c r="C1192" s="6" t="s">
        <v>2862</v>
      </c>
      <c r="D1192" s="6" t="s">
        <v>2054</v>
      </c>
      <c r="E1192" s="6">
        <v>32043860</v>
      </c>
      <c r="F1192" s="6" t="s">
        <v>2119</v>
      </c>
      <c r="G1192" s="6" t="s">
        <v>2860</v>
      </c>
      <c r="H1192" s="6" t="s">
        <v>38</v>
      </c>
    </row>
    <row r="1193" spans="1:8" x14ac:dyDescent="0.3">
      <c r="A1193" s="6" t="s">
        <v>2858</v>
      </c>
      <c r="B1193" s="6" t="s">
        <v>2881</v>
      </c>
      <c r="C1193" s="6" t="s">
        <v>2862</v>
      </c>
      <c r="D1193" s="6" t="s">
        <v>2060</v>
      </c>
      <c r="E1193" s="6">
        <v>32043736</v>
      </c>
      <c r="F1193" s="6" t="s">
        <v>2088</v>
      </c>
      <c r="G1193" s="6" t="s">
        <v>2860</v>
      </c>
      <c r="H1193" s="6" t="s">
        <v>47</v>
      </c>
    </row>
    <row r="1194" spans="1:8" x14ac:dyDescent="0.3">
      <c r="A1194" s="6" t="s">
        <v>2858</v>
      </c>
      <c r="B1194" s="6" t="s">
        <v>2881</v>
      </c>
      <c r="C1194" s="6" t="s">
        <v>2862</v>
      </c>
      <c r="D1194" s="6" t="s">
        <v>2076</v>
      </c>
      <c r="E1194" s="6">
        <v>32043916</v>
      </c>
      <c r="F1194" s="6" t="s">
        <v>2125</v>
      </c>
      <c r="G1194" s="6" t="s">
        <v>2860</v>
      </c>
      <c r="H1194" s="6" t="s">
        <v>62</v>
      </c>
    </row>
    <row r="1195" spans="1:8" x14ac:dyDescent="0.3">
      <c r="A1195" s="6" t="s">
        <v>2858</v>
      </c>
      <c r="B1195" s="6" t="s">
        <v>3332</v>
      </c>
      <c r="C1195" s="6" t="s">
        <v>2861</v>
      </c>
      <c r="D1195" s="6">
        <v>13</v>
      </c>
      <c r="E1195" s="6">
        <v>32046695</v>
      </c>
      <c r="F1195" s="6" t="s">
        <v>3076</v>
      </c>
      <c r="G1195" s="6" t="s">
        <v>2344</v>
      </c>
      <c r="H1195" s="6" t="s">
        <v>2882</v>
      </c>
    </row>
    <row r="1196" spans="1:8" x14ac:dyDescent="0.3">
      <c r="A1196" s="6" t="s">
        <v>2858</v>
      </c>
      <c r="B1196" s="6" t="s">
        <v>3332</v>
      </c>
      <c r="C1196" s="6" t="s">
        <v>2861</v>
      </c>
      <c r="D1196" s="6">
        <v>13</v>
      </c>
      <c r="E1196" s="6">
        <v>32142988</v>
      </c>
      <c r="F1196" s="6" t="s">
        <v>3333</v>
      </c>
      <c r="G1196" s="6" t="s">
        <v>2860</v>
      </c>
      <c r="H1196" s="6" t="s">
        <v>38</v>
      </c>
    </row>
    <row r="1197" spans="1:8" x14ac:dyDescent="0.3">
      <c r="A1197" s="6" t="s">
        <v>2858</v>
      </c>
      <c r="B1197" s="6" t="s">
        <v>3332</v>
      </c>
      <c r="C1197" s="6" t="s">
        <v>2861</v>
      </c>
      <c r="D1197" s="6">
        <v>13</v>
      </c>
      <c r="E1197" s="6">
        <v>32045021</v>
      </c>
      <c r="F1197" s="6" t="s">
        <v>3334</v>
      </c>
      <c r="G1197" s="6" t="s">
        <v>2860</v>
      </c>
      <c r="H1197" s="6" t="s">
        <v>62</v>
      </c>
    </row>
    <row r="1198" spans="1:8" x14ac:dyDescent="0.3">
      <c r="A1198" s="6" t="s">
        <v>2858</v>
      </c>
      <c r="B1198" s="6" t="s">
        <v>3332</v>
      </c>
      <c r="C1198" s="6" t="s">
        <v>2861</v>
      </c>
      <c r="D1198" s="6">
        <v>13</v>
      </c>
      <c r="E1198" s="6">
        <v>32045059</v>
      </c>
      <c r="F1198" s="6" t="s">
        <v>3335</v>
      </c>
      <c r="G1198" s="6" t="s">
        <v>2860</v>
      </c>
      <c r="H1198" s="6" t="s">
        <v>38</v>
      </c>
    </row>
    <row r="1199" spans="1:8" x14ac:dyDescent="0.3">
      <c r="A1199" s="6" t="s">
        <v>2858</v>
      </c>
      <c r="B1199" s="6" t="s">
        <v>3332</v>
      </c>
      <c r="C1199" s="6" t="s">
        <v>2861</v>
      </c>
      <c r="D1199" s="6">
        <v>13</v>
      </c>
      <c r="E1199" s="6">
        <v>32149074</v>
      </c>
      <c r="F1199" s="6" t="s">
        <v>3336</v>
      </c>
      <c r="G1199" s="6" t="s">
        <v>2860</v>
      </c>
      <c r="H1199" s="6" t="s">
        <v>47</v>
      </c>
    </row>
    <row r="1200" spans="1:8" x14ac:dyDescent="0.3">
      <c r="A1200" s="6" t="s">
        <v>2858</v>
      </c>
      <c r="B1200" s="6" t="s">
        <v>3332</v>
      </c>
      <c r="C1200" s="6" t="s">
        <v>2861</v>
      </c>
      <c r="D1200" s="6">
        <v>13</v>
      </c>
      <c r="E1200" s="6">
        <v>32153534</v>
      </c>
      <c r="F1200" s="6" t="s">
        <v>3337</v>
      </c>
      <c r="G1200" s="6" t="s">
        <v>2860</v>
      </c>
      <c r="H1200" s="6" t="s">
        <v>35</v>
      </c>
    </row>
    <row r="1201" spans="1:8" x14ac:dyDescent="0.3">
      <c r="A1201" s="6" t="s">
        <v>2858</v>
      </c>
      <c r="B1201" s="6" t="s">
        <v>3332</v>
      </c>
      <c r="C1201" s="6" t="s">
        <v>2861</v>
      </c>
      <c r="D1201" s="6">
        <v>13</v>
      </c>
      <c r="E1201" s="6">
        <v>32045060</v>
      </c>
      <c r="F1201" s="6" t="s">
        <v>3338</v>
      </c>
      <c r="G1201" s="6" t="s">
        <v>2860</v>
      </c>
      <c r="H1201" s="6" t="s">
        <v>41</v>
      </c>
    </row>
    <row r="1202" spans="1:8" x14ac:dyDescent="0.3">
      <c r="A1202" s="6" t="s">
        <v>2858</v>
      </c>
      <c r="B1202" s="6" t="s">
        <v>3332</v>
      </c>
      <c r="C1202" s="6" t="s">
        <v>2861</v>
      </c>
      <c r="D1202" s="6">
        <v>13</v>
      </c>
      <c r="E1202" s="6">
        <v>32108864</v>
      </c>
      <c r="F1202" s="6" t="s">
        <v>3339</v>
      </c>
      <c r="G1202" s="6" t="s">
        <v>2860</v>
      </c>
      <c r="H1202" s="6" t="s">
        <v>1584</v>
      </c>
    </row>
    <row r="1203" spans="1:8" x14ac:dyDescent="0.3">
      <c r="A1203" s="6" t="s">
        <v>2858</v>
      </c>
      <c r="B1203" s="6" t="s">
        <v>3332</v>
      </c>
      <c r="C1203" s="6" t="s">
        <v>2861</v>
      </c>
      <c r="D1203" s="6">
        <v>13</v>
      </c>
      <c r="E1203" s="6">
        <v>32046316</v>
      </c>
      <c r="F1203" s="6" t="s">
        <v>3340</v>
      </c>
      <c r="G1203" s="6" t="s">
        <v>2860</v>
      </c>
      <c r="H1203" s="6" t="s">
        <v>47</v>
      </c>
    </row>
    <row r="1204" spans="1:8" x14ac:dyDescent="0.3">
      <c r="A1204" s="6" t="s">
        <v>2858</v>
      </c>
      <c r="B1204" s="6" t="s">
        <v>3332</v>
      </c>
      <c r="C1204" s="6" t="s">
        <v>2861</v>
      </c>
      <c r="D1204" s="6">
        <v>13</v>
      </c>
      <c r="E1204" s="6">
        <v>32045585</v>
      </c>
      <c r="F1204" s="6" t="s">
        <v>3341</v>
      </c>
      <c r="G1204" s="6" t="s">
        <v>2860</v>
      </c>
      <c r="H1204" s="6" t="s">
        <v>44</v>
      </c>
    </row>
    <row r="1205" spans="1:8" x14ac:dyDescent="0.3">
      <c r="A1205" s="6" t="s">
        <v>2858</v>
      </c>
      <c r="B1205" s="6" t="s">
        <v>3332</v>
      </c>
      <c r="C1205" s="6" t="s">
        <v>2861</v>
      </c>
      <c r="D1205" s="6">
        <v>13</v>
      </c>
      <c r="E1205" s="6">
        <v>32061304</v>
      </c>
      <c r="F1205" s="6" t="s">
        <v>3342</v>
      </c>
      <c r="G1205" s="6" t="s">
        <v>2860</v>
      </c>
      <c r="H1205" s="6" t="s">
        <v>1584</v>
      </c>
    </row>
    <row r="1206" spans="1:8" x14ac:dyDescent="0.3">
      <c r="A1206" s="6" t="s">
        <v>2858</v>
      </c>
      <c r="B1206" s="6" t="s">
        <v>3332</v>
      </c>
      <c r="C1206" s="6" t="s">
        <v>2861</v>
      </c>
      <c r="D1206" s="6">
        <v>13</v>
      </c>
      <c r="E1206" s="6">
        <v>32148864</v>
      </c>
      <c r="F1206" s="6" t="s">
        <v>3343</v>
      </c>
      <c r="G1206" s="6" t="s">
        <v>2860</v>
      </c>
      <c r="H1206" s="6" t="s">
        <v>41</v>
      </c>
    </row>
    <row r="1207" spans="1:8" x14ac:dyDescent="0.3">
      <c r="A1207" s="6" t="s">
        <v>2858</v>
      </c>
      <c r="B1207" s="6" t="s">
        <v>3332</v>
      </c>
      <c r="C1207" s="6" t="s">
        <v>2861</v>
      </c>
      <c r="D1207" s="6">
        <v>13</v>
      </c>
      <c r="E1207" s="6">
        <v>32046006</v>
      </c>
      <c r="F1207" s="6" t="s">
        <v>3344</v>
      </c>
      <c r="G1207" s="6" t="s">
        <v>2860</v>
      </c>
      <c r="H1207" s="6" t="s">
        <v>44</v>
      </c>
    </row>
    <row r="1208" spans="1:8" x14ac:dyDescent="0.3">
      <c r="A1208" s="6" t="s">
        <v>2858</v>
      </c>
      <c r="B1208" s="6" t="s">
        <v>3332</v>
      </c>
      <c r="C1208" s="6" t="s">
        <v>2861</v>
      </c>
      <c r="D1208" s="6">
        <v>13</v>
      </c>
      <c r="E1208" s="6">
        <v>32045364</v>
      </c>
      <c r="F1208" s="6" t="s">
        <v>3345</v>
      </c>
      <c r="G1208" s="6" t="s">
        <v>2860</v>
      </c>
      <c r="H1208" s="6" t="s">
        <v>62</v>
      </c>
    </row>
    <row r="1209" spans="1:8" x14ac:dyDescent="0.3">
      <c r="A1209" s="6" t="s">
        <v>2858</v>
      </c>
      <c r="B1209" s="6" t="s">
        <v>3346</v>
      </c>
      <c r="C1209" s="6" t="s">
        <v>2861</v>
      </c>
      <c r="D1209" s="6">
        <v>6</v>
      </c>
      <c r="E1209" s="6">
        <v>32045977</v>
      </c>
      <c r="F1209" s="6" t="s">
        <v>744</v>
      </c>
      <c r="G1209" s="6" t="s">
        <v>2344</v>
      </c>
      <c r="H1209" s="6" t="s">
        <v>2882</v>
      </c>
    </row>
    <row r="1210" spans="1:8" x14ac:dyDescent="0.3">
      <c r="A1210" s="6" t="s">
        <v>2858</v>
      </c>
      <c r="B1210" s="6" t="s">
        <v>3346</v>
      </c>
      <c r="C1210" s="6" t="s">
        <v>2861</v>
      </c>
      <c r="D1210" s="6">
        <v>6</v>
      </c>
      <c r="E1210" s="6">
        <v>32046011</v>
      </c>
      <c r="F1210" s="6" t="s">
        <v>3347</v>
      </c>
      <c r="G1210" s="6" t="s">
        <v>2860</v>
      </c>
      <c r="H1210" s="6" t="s">
        <v>1584</v>
      </c>
    </row>
    <row r="1211" spans="1:8" x14ac:dyDescent="0.3">
      <c r="A1211" s="6" t="s">
        <v>2858</v>
      </c>
      <c r="B1211" s="6" t="s">
        <v>3346</v>
      </c>
      <c r="C1211" s="6" t="s">
        <v>2861</v>
      </c>
      <c r="D1211" s="6">
        <v>6</v>
      </c>
      <c r="E1211" s="6">
        <v>32044100</v>
      </c>
      <c r="F1211" s="6" t="s">
        <v>3348</v>
      </c>
      <c r="G1211" s="6" t="s">
        <v>2860</v>
      </c>
      <c r="H1211" s="6" t="s">
        <v>44</v>
      </c>
    </row>
    <row r="1212" spans="1:8" x14ac:dyDescent="0.3">
      <c r="A1212" s="6" t="s">
        <v>2858</v>
      </c>
      <c r="B1212" s="6" t="s">
        <v>3346</v>
      </c>
      <c r="C1212" s="6" t="s">
        <v>2861</v>
      </c>
      <c r="D1212" s="6">
        <v>6</v>
      </c>
      <c r="E1212" s="6">
        <v>32143273</v>
      </c>
      <c r="F1212" s="6" t="s">
        <v>3349</v>
      </c>
      <c r="G1212" s="6" t="s">
        <v>2860</v>
      </c>
      <c r="H1212" s="6" t="s">
        <v>62</v>
      </c>
    </row>
    <row r="1213" spans="1:8" x14ac:dyDescent="0.3">
      <c r="A1213" s="6" t="s">
        <v>2858</v>
      </c>
      <c r="B1213" s="6" t="s">
        <v>3346</v>
      </c>
      <c r="C1213" s="6" t="s">
        <v>2861</v>
      </c>
      <c r="D1213" s="6">
        <v>6</v>
      </c>
      <c r="E1213" s="6">
        <v>32046234</v>
      </c>
      <c r="F1213" s="6" t="s">
        <v>3350</v>
      </c>
      <c r="G1213" s="6" t="s">
        <v>2860</v>
      </c>
      <c r="H1213" s="6" t="s">
        <v>35</v>
      </c>
    </row>
    <row r="1214" spans="1:8" x14ac:dyDescent="0.3">
      <c r="A1214" s="6" t="s">
        <v>2858</v>
      </c>
      <c r="B1214" s="6" t="s">
        <v>3346</v>
      </c>
      <c r="C1214" s="6" t="s">
        <v>2861</v>
      </c>
      <c r="D1214" s="6">
        <v>6</v>
      </c>
      <c r="E1214" s="6">
        <v>32171438</v>
      </c>
      <c r="F1214" s="6" t="s">
        <v>844</v>
      </c>
      <c r="G1214" s="6" t="s">
        <v>2860</v>
      </c>
      <c r="H1214" s="6" t="s">
        <v>41</v>
      </c>
    </row>
    <row r="1215" spans="1:8" x14ac:dyDescent="0.3">
      <c r="A1215" s="6" t="s">
        <v>2858</v>
      </c>
      <c r="B1215" s="6" t="s">
        <v>3346</v>
      </c>
      <c r="C1215" s="6" t="s">
        <v>2861</v>
      </c>
      <c r="D1215" s="6">
        <v>6</v>
      </c>
      <c r="E1215" s="6">
        <v>32143044</v>
      </c>
      <c r="F1215" s="6" t="s">
        <v>3351</v>
      </c>
      <c r="G1215" s="6" t="s">
        <v>2860</v>
      </c>
      <c r="H1215" s="6" t="s">
        <v>47</v>
      </c>
    </row>
    <row r="1216" spans="1:8" x14ac:dyDescent="0.3">
      <c r="A1216" s="6" t="s">
        <v>2858</v>
      </c>
      <c r="B1216" s="6" t="s">
        <v>3346</v>
      </c>
      <c r="C1216" s="6" t="s">
        <v>2861</v>
      </c>
      <c r="D1216" s="6">
        <v>6</v>
      </c>
      <c r="E1216" s="6">
        <v>32110718</v>
      </c>
      <c r="F1216" s="6" t="s">
        <v>3352</v>
      </c>
      <c r="G1216" s="6" t="s">
        <v>2860</v>
      </c>
      <c r="H1216" s="6" t="s">
        <v>41</v>
      </c>
    </row>
    <row r="1217" spans="1:8" x14ac:dyDescent="0.3">
      <c r="A1217" s="6" t="s">
        <v>2858</v>
      </c>
      <c r="B1217" s="6" t="s">
        <v>3346</v>
      </c>
      <c r="C1217" s="6" t="s">
        <v>2861</v>
      </c>
      <c r="D1217" s="6">
        <v>6</v>
      </c>
      <c r="E1217" s="6">
        <v>32202291</v>
      </c>
      <c r="F1217" s="6" t="s">
        <v>3353</v>
      </c>
      <c r="G1217" s="6" t="s">
        <v>2860</v>
      </c>
      <c r="H1217" s="6" t="s">
        <v>1584</v>
      </c>
    </row>
    <row r="1218" spans="1:8" x14ac:dyDescent="0.3">
      <c r="A1218" s="6" t="s">
        <v>2858</v>
      </c>
      <c r="B1218" s="6" t="s">
        <v>3346</v>
      </c>
      <c r="C1218" s="6" t="s">
        <v>2861</v>
      </c>
      <c r="D1218" s="6">
        <v>6</v>
      </c>
      <c r="E1218" s="6">
        <v>32045584</v>
      </c>
      <c r="F1218" s="6" t="s">
        <v>3354</v>
      </c>
      <c r="G1218" s="6" t="s">
        <v>2860</v>
      </c>
      <c r="H1218" s="6" t="s">
        <v>47</v>
      </c>
    </row>
    <row r="1219" spans="1:8" x14ac:dyDescent="0.3">
      <c r="A1219" s="6" t="s">
        <v>2858</v>
      </c>
      <c r="B1219" s="6" t="s">
        <v>3346</v>
      </c>
      <c r="C1219" s="6" t="s">
        <v>2861</v>
      </c>
      <c r="D1219" s="6">
        <v>6</v>
      </c>
      <c r="E1219" s="6">
        <v>32171437</v>
      </c>
      <c r="F1219" s="6" t="s">
        <v>842</v>
      </c>
      <c r="G1219" s="6" t="s">
        <v>2860</v>
      </c>
      <c r="H1219" s="6" t="s">
        <v>41</v>
      </c>
    </row>
    <row r="1220" spans="1:8" x14ac:dyDescent="0.3">
      <c r="A1220" s="6" t="s">
        <v>2858</v>
      </c>
      <c r="B1220" s="6" t="s">
        <v>3346</v>
      </c>
      <c r="C1220" s="6" t="s">
        <v>2861</v>
      </c>
      <c r="D1220" s="6">
        <v>6</v>
      </c>
      <c r="E1220" s="6">
        <v>32154115</v>
      </c>
      <c r="F1220" s="6" t="s">
        <v>3355</v>
      </c>
      <c r="G1220" s="6" t="s">
        <v>2860</v>
      </c>
      <c r="H1220" s="6" t="s">
        <v>38</v>
      </c>
    </row>
    <row r="1221" spans="1:8" x14ac:dyDescent="0.3">
      <c r="A1221" s="6" t="s">
        <v>2858</v>
      </c>
      <c r="B1221" s="6" t="s">
        <v>3346</v>
      </c>
      <c r="C1221" s="6" t="s">
        <v>2861</v>
      </c>
      <c r="D1221" s="6">
        <v>6</v>
      </c>
      <c r="E1221" s="6">
        <v>32045074</v>
      </c>
      <c r="F1221" s="6" t="s">
        <v>3356</v>
      </c>
      <c r="G1221" s="6" t="s">
        <v>2860</v>
      </c>
      <c r="H1221" s="6" t="s">
        <v>44</v>
      </c>
    </row>
    <row r="1222" spans="1:8" x14ac:dyDescent="0.3">
      <c r="A1222" s="6" t="s">
        <v>2858</v>
      </c>
      <c r="B1222" s="6" t="s">
        <v>3346</v>
      </c>
      <c r="C1222" s="6" t="s">
        <v>2861</v>
      </c>
      <c r="D1222" s="6">
        <v>6</v>
      </c>
      <c r="E1222" s="6">
        <v>32046441</v>
      </c>
      <c r="F1222" s="6" t="s">
        <v>3357</v>
      </c>
      <c r="G1222" s="6" t="s">
        <v>2860</v>
      </c>
      <c r="H1222" s="6" t="s">
        <v>47</v>
      </c>
    </row>
    <row r="1223" spans="1:8" x14ac:dyDescent="0.3">
      <c r="A1223" s="6" t="s">
        <v>2858</v>
      </c>
      <c r="B1223" s="6" t="s">
        <v>3346</v>
      </c>
      <c r="C1223" s="6" t="s">
        <v>2861</v>
      </c>
      <c r="D1223" s="6">
        <v>6</v>
      </c>
      <c r="E1223" s="6">
        <v>32067362</v>
      </c>
      <c r="F1223" s="6" t="s">
        <v>3358</v>
      </c>
      <c r="G1223" s="6" t="s">
        <v>2860</v>
      </c>
      <c r="H1223" s="6" t="s">
        <v>41</v>
      </c>
    </row>
    <row r="1224" spans="1:8" x14ac:dyDescent="0.3">
      <c r="A1224" s="6" t="s">
        <v>2858</v>
      </c>
      <c r="B1224" s="6" t="s">
        <v>3346</v>
      </c>
      <c r="C1224" s="6" t="s">
        <v>2861</v>
      </c>
      <c r="D1224" s="6">
        <v>6</v>
      </c>
      <c r="E1224" s="6">
        <v>32044705</v>
      </c>
      <c r="F1224" s="6" t="s">
        <v>3359</v>
      </c>
      <c r="G1224" s="6" t="s">
        <v>2860</v>
      </c>
      <c r="H1224" s="6" t="s">
        <v>35</v>
      </c>
    </row>
  </sheetData>
  <autoFilter ref="A1:H1224" xr:uid="{2C87CC73-EE07-40E5-8DE6-6A4B9D554117}"/>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DBE98-636E-4728-A0AC-D85207D2DB00}">
  <dimension ref="A1:H22"/>
  <sheetViews>
    <sheetView zoomScale="90" zoomScaleNormal="90" workbookViewId="0">
      <selection activeCell="J12" sqref="J12"/>
    </sheetView>
  </sheetViews>
  <sheetFormatPr baseColWidth="10" defaultColWidth="11.44140625" defaultRowHeight="14.4" x14ac:dyDescent="0.3"/>
  <cols>
    <col min="1" max="1" width="15" bestFit="1" customWidth="1"/>
  </cols>
  <sheetData>
    <row r="1" spans="1:8" x14ac:dyDescent="0.3">
      <c r="A1" t="s">
        <v>3360</v>
      </c>
    </row>
    <row r="2" spans="1:8" x14ac:dyDescent="0.3">
      <c r="A2" s="6" t="s">
        <v>2129</v>
      </c>
      <c r="D2" s="6" t="s">
        <v>2210</v>
      </c>
      <c r="F2" s="6" t="s">
        <v>2906</v>
      </c>
      <c r="H2" s="6" t="s">
        <v>2934</v>
      </c>
    </row>
    <row r="3" spans="1:8" x14ac:dyDescent="0.3">
      <c r="A3" s="6" t="s">
        <v>448</v>
      </c>
      <c r="D3" s="6" t="s">
        <v>2273</v>
      </c>
      <c r="F3" s="6" t="s">
        <v>2920</v>
      </c>
      <c r="H3" s="6" t="s">
        <v>2949</v>
      </c>
    </row>
    <row r="4" spans="1:8" x14ac:dyDescent="0.3">
      <c r="A4" s="6" t="s">
        <v>2137</v>
      </c>
      <c r="D4" s="6" t="s">
        <v>2248</v>
      </c>
      <c r="F4" s="6" t="s">
        <v>2980</v>
      </c>
      <c r="H4" s="6" t="s">
        <v>2952</v>
      </c>
    </row>
    <row r="5" spans="1:8" x14ac:dyDescent="0.3">
      <c r="A5" s="6" t="s">
        <v>2892</v>
      </c>
      <c r="D5" s="6" t="s">
        <v>2227</v>
      </c>
      <c r="F5" s="6" t="s">
        <v>2995</v>
      </c>
      <c r="H5" s="6" t="s">
        <v>2986</v>
      </c>
    </row>
    <row r="6" spans="1:8" x14ac:dyDescent="0.3">
      <c r="A6" s="6" t="s">
        <v>2898</v>
      </c>
      <c r="D6" s="6" t="s">
        <v>2183</v>
      </c>
      <c r="F6" s="6" t="s">
        <v>3011</v>
      </c>
      <c r="H6" s="6" t="s">
        <v>3028</v>
      </c>
    </row>
    <row r="7" spans="1:8" x14ac:dyDescent="0.3">
      <c r="A7" s="6" t="s">
        <v>2947</v>
      </c>
      <c r="D7" s="6" t="s">
        <v>2264</v>
      </c>
      <c r="F7" s="6" t="s">
        <v>3037</v>
      </c>
      <c r="H7" s="6" t="s">
        <v>3075</v>
      </c>
    </row>
    <row r="8" spans="1:8" x14ac:dyDescent="0.3">
      <c r="A8" s="159" t="s">
        <v>2957</v>
      </c>
      <c r="D8" s="6" t="s">
        <v>2195</v>
      </c>
      <c r="F8" s="6" t="s">
        <v>3041</v>
      </c>
      <c r="H8" s="6" t="s">
        <v>3103</v>
      </c>
    </row>
    <row r="9" spans="1:8" x14ac:dyDescent="0.3">
      <c r="A9" s="6" t="s">
        <v>2973</v>
      </c>
      <c r="D9" s="6" t="s">
        <v>2243</v>
      </c>
      <c r="F9" s="6" t="s">
        <v>3059</v>
      </c>
      <c r="H9" s="6" t="s">
        <v>3108</v>
      </c>
    </row>
    <row r="10" spans="1:8" x14ac:dyDescent="0.3">
      <c r="A10" s="6" t="s">
        <v>3031</v>
      </c>
      <c r="D10" s="6" t="s">
        <v>2236</v>
      </c>
      <c r="F10" s="6" t="s">
        <v>3093</v>
      </c>
      <c r="H10" s="6" t="s">
        <v>3232</v>
      </c>
    </row>
    <row r="11" spans="1:8" x14ac:dyDescent="0.3">
      <c r="A11" s="6" t="s">
        <v>2147</v>
      </c>
      <c r="D11" s="6" t="s">
        <v>2253</v>
      </c>
      <c r="F11" s="6" t="s">
        <v>677</v>
      </c>
      <c r="H11" s="6" t="s">
        <v>3249</v>
      </c>
    </row>
    <row r="12" spans="1:8" x14ac:dyDescent="0.3">
      <c r="A12" s="6" t="s">
        <v>2353</v>
      </c>
      <c r="D12" s="6" t="s">
        <v>2220</v>
      </c>
      <c r="F12" s="6" t="s">
        <v>740</v>
      </c>
      <c r="H12" s="6" t="s">
        <v>3253</v>
      </c>
    </row>
    <row r="13" spans="1:8" x14ac:dyDescent="0.3">
      <c r="A13" s="6" t="s">
        <v>3090</v>
      </c>
      <c r="F13" s="6" t="s">
        <v>974</v>
      </c>
      <c r="H13" s="6" t="s">
        <v>3303</v>
      </c>
    </row>
    <row r="14" spans="1:8" x14ac:dyDescent="0.3">
      <c r="A14" s="6" t="s">
        <v>3097</v>
      </c>
      <c r="F14" s="6" t="s">
        <v>3202</v>
      </c>
      <c r="H14" s="6" t="s">
        <v>3313</v>
      </c>
    </row>
    <row r="15" spans="1:8" x14ac:dyDescent="0.3">
      <c r="A15" s="6" t="s">
        <v>1417</v>
      </c>
      <c r="F15" s="6" t="s">
        <v>3214</v>
      </c>
      <c r="H15" s="6" t="s">
        <v>3332</v>
      </c>
    </row>
    <row r="16" spans="1:8" x14ac:dyDescent="0.3">
      <c r="A16" s="6" t="s">
        <v>3124</v>
      </c>
      <c r="F16" s="6" t="s">
        <v>3266</v>
      </c>
    </row>
    <row r="17" spans="1:6" x14ac:dyDescent="0.3">
      <c r="A17" s="6" t="s">
        <v>3221</v>
      </c>
      <c r="F17" s="6" t="s">
        <v>3286</v>
      </c>
    </row>
    <row r="18" spans="1:6" x14ac:dyDescent="0.3">
      <c r="A18" s="6" t="s">
        <v>3238</v>
      </c>
      <c r="F18" s="6" t="s">
        <v>3321</v>
      </c>
    </row>
    <row r="19" spans="1:6" x14ac:dyDescent="0.3">
      <c r="A19" s="6" t="s">
        <v>2153</v>
      </c>
      <c r="F19" s="6" t="s">
        <v>3346</v>
      </c>
    </row>
    <row r="20" spans="1:6" x14ac:dyDescent="0.3">
      <c r="A20" s="6" t="s">
        <v>2162</v>
      </c>
    </row>
    <row r="21" spans="1:6" x14ac:dyDescent="0.3">
      <c r="A21" s="6" t="s">
        <v>2172</v>
      </c>
    </row>
    <row r="22" spans="1:6" x14ac:dyDescent="0.3">
      <c r="A22" s="6" t="s">
        <v>2253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158F1-47C6-4F41-8D29-E2FDA9C3F09D}">
  <dimension ref="C6"/>
  <sheetViews>
    <sheetView workbookViewId="0">
      <selection activeCell="C6" sqref="C6"/>
    </sheetView>
  </sheetViews>
  <sheetFormatPr baseColWidth="10" defaultColWidth="11.44140625" defaultRowHeight="14.4" x14ac:dyDescent="0.3"/>
  <sheetData>
    <row r="6" spans="3:3" x14ac:dyDescent="0.3">
      <c r="C6" s="559" t="s">
        <v>3361</v>
      </c>
    </row>
  </sheetData>
  <hyperlinks>
    <hyperlink ref="C6" r:id="rId1" xr:uid="{FE989979-0452-457C-BBE6-65110EEC37A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addaf8-98c5-4fab-9c55-657bdb5ff9be">
      <Terms xmlns="http://schemas.microsoft.com/office/infopath/2007/PartnerControls"/>
    </lcf76f155ced4ddcb4097134ff3c332f>
    <TaxCatchAll xmlns="9c75fa86-e472-44da-8346-61abcdbf4a5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235127D5C179D44D8EFA790E75A51399" ma:contentTypeVersion="12" ma:contentTypeDescription="Crear nuevo documento." ma:contentTypeScope="" ma:versionID="c4750b653a99ab921950ff2a98c1daa7">
  <xsd:schema xmlns:xsd="http://www.w3.org/2001/XMLSchema" xmlns:xs="http://www.w3.org/2001/XMLSchema" xmlns:p="http://schemas.microsoft.com/office/2006/metadata/properties" xmlns:ns2="dbaddaf8-98c5-4fab-9c55-657bdb5ff9be" xmlns:ns3="9c75fa86-e472-44da-8346-61abcdbf4a53" targetNamespace="http://schemas.microsoft.com/office/2006/metadata/properties" ma:root="true" ma:fieldsID="e72dda3f3a63a7f93fe4c3ace5215135" ns2:_="" ns3:_="">
    <xsd:import namespace="dbaddaf8-98c5-4fab-9c55-657bdb5ff9be"/>
    <xsd:import namespace="9c75fa86-e472-44da-8346-61abcdbf4a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addaf8-98c5-4fab-9c55-657bdb5ff9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c75fa86-e472-44da-8346-61abcdbf4a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c8bf3ef-63c6-4eec-8a01-70346b61352f}" ma:internalName="TaxCatchAll" ma:showField="CatchAllData" ma:web="9c75fa86-e472-44da-8346-61abcdbf4a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BA61E-3A3C-4B77-ABCF-5A3B06A8669B}">
  <ds:schemaRefs>
    <ds:schemaRef ds:uri="http://schemas.microsoft.com/DataMashup"/>
  </ds:schemaRefs>
</ds:datastoreItem>
</file>

<file path=customXml/itemProps2.xml><?xml version="1.0" encoding="utf-8"?>
<ds:datastoreItem xmlns:ds="http://schemas.openxmlformats.org/officeDocument/2006/customXml" ds:itemID="{5C6028CE-15A4-4736-88A5-B4E3FC22035C}">
  <ds:schemaRefs>
    <ds:schemaRef ds:uri="http://schemas.microsoft.com/sharepoint/v3/contenttype/forms"/>
  </ds:schemaRefs>
</ds:datastoreItem>
</file>

<file path=customXml/itemProps3.xml><?xml version="1.0" encoding="utf-8"?>
<ds:datastoreItem xmlns:ds="http://schemas.openxmlformats.org/officeDocument/2006/customXml" ds:itemID="{24E0BB5F-FDDB-4870-84EB-1AF71C3446D3}">
  <ds:schemaRefs>
    <ds:schemaRef ds:uri="http://schemas.microsoft.com/office/2006/metadata/properties"/>
    <ds:schemaRef ds:uri="http://schemas.microsoft.com/office/infopath/2007/PartnerControls"/>
    <ds:schemaRef ds:uri="dbaddaf8-98c5-4fab-9c55-657bdb5ff9be"/>
    <ds:schemaRef ds:uri="9c75fa86-e472-44da-8346-61abcdbf4a53"/>
  </ds:schemaRefs>
</ds:datastoreItem>
</file>

<file path=customXml/itemProps4.xml><?xml version="1.0" encoding="utf-8"?>
<ds:datastoreItem xmlns:ds="http://schemas.openxmlformats.org/officeDocument/2006/customXml" ds:itemID="{5E403D48-1E35-4E51-83C0-73D6CC7352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addaf8-98c5-4fab-9c55-657bdb5ff9be"/>
    <ds:schemaRef ds:uri="9c75fa86-e472-44da-8346-61abcdbf4a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Sheet1</vt:lpstr>
      <vt:lpstr>ZACATECAS</vt:lpstr>
      <vt:lpstr>Hoja1</vt:lpstr>
      <vt:lpstr>Anexar1</vt:lpstr>
      <vt:lpstr>Líderes</vt:lpstr>
      <vt:lpstr>Lideres</vt:lpstr>
      <vt:lpstr>Integrantes</vt:lpstr>
      <vt:lpstr>ZACATECAS (2)</vt:lpstr>
      <vt:lpstr>ZAC-BD</vt:lpstr>
      <vt:lpstr>BD_ZAC_OFICIAL</vt:lpstr>
      <vt:lpstr>Hoja3</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Mara Zaldivar Acosta</dc:creator>
  <cp:keywords/>
  <dc:description/>
  <cp:lastModifiedBy>José Luis Flores Carrillo</cp:lastModifiedBy>
  <cp:revision/>
  <dcterms:created xsi:type="dcterms:W3CDTF">2023-05-18T15:11:28Z</dcterms:created>
  <dcterms:modified xsi:type="dcterms:W3CDTF">2026-05-07T13:46:58Z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b17e3381-a5cb-4185-9298-7ea2cb90a67e</vt:lpwstr>
  </property>
  <property fmtid="{D5CDD505-2E9C-101B-9397-08002B2CF9AE}" pid="3" name="ABClassification">
    <vt:lpwstr>Confidential</vt:lpwstr>
  </property>
  <property fmtid="{D5CDD505-2E9C-101B-9397-08002B2CF9AE}" pid="4" name="ContentTypeId">
    <vt:lpwstr>0x010100235127D5C179D44D8EFA790E75A51399</vt:lpwstr>
  </property>
  <property fmtid="{D5CDD505-2E9C-101B-9397-08002B2CF9AE}" pid="5" name="MediaServiceImageTags">
    <vt:lpwstr/>
  </property>
  <property fmtid="{D5CDD505-2E9C-101B-9397-08002B2CF9AE}" pid="6" name="MSIP_Label_68104b14-b53d-46de-9ae8-975cc0e84815_Enabled">
    <vt:lpwstr>true</vt:lpwstr>
  </property>
  <property fmtid="{D5CDD505-2E9C-101B-9397-08002B2CF9AE}" pid="7" name="MSIP_Label_68104b14-b53d-46de-9ae8-975cc0e84815_SetDate">
    <vt:lpwstr>2025-11-24T23:25:45Z</vt:lpwstr>
  </property>
  <property fmtid="{D5CDD505-2E9C-101B-9397-08002B2CF9AE}" pid="8" name="MSIP_Label_68104b14-b53d-46de-9ae8-975cc0e84815_Method">
    <vt:lpwstr>Standard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877bd3e5-a4ae-4899-ac45-0d969d18af26</vt:lpwstr>
  </property>
  <property fmtid="{D5CDD505-2E9C-101B-9397-08002B2CF9AE}" pid="12" name="MSIP_Label_68104b14-b53d-46de-9ae8-975cc0e84815_ContentBits">
    <vt:lpwstr>0</vt:lpwstr>
  </property>
  <property fmtid="{D5CDD505-2E9C-101B-9397-08002B2CF9AE}" pid="13" name="MSIP_Label_68104b14-b53d-46de-9ae8-975cc0e84815_Tag">
    <vt:lpwstr>10, 3, 0, 2</vt:lpwstr>
  </property>
</Properties>
</file>