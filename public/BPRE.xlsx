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pej\Documents\CORONA\SKAPBD\brewery-dashboard-pro\public\"/>
    </mc:Choice>
  </mc:AlternateContent>
  <xr:revisionPtr revIDLastSave="0" documentId="13_ncr:1_{4FE6756E-0976-4C01-830F-069A79A6CAA8}" xr6:coauthVersionLast="47" xr6:coauthVersionMax="47" xr10:uidLastSave="{00000000-0000-0000-0000-000000000000}"/>
  <bookViews>
    <workbookView xWindow="-108" yWindow="-108" windowWidth="23256" windowHeight="12456" xr2:uid="{1D5999A6-E27C-44B7-ABAC-9E7FB7B1BA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4" i="1" l="1"/>
  <c r="E14" i="1"/>
  <c r="F14" i="1"/>
  <c r="G14" i="1"/>
  <c r="H14" i="1"/>
  <c r="I14" i="1"/>
  <c r="J14" i="1"/>
  <c r="K14" i="1"/>
  <c r="L14" i="1"/>
  <c r="D15" i="1"/>
  <c r="E15" i="1"/>
  <c r="F15" i="1"/>
  <c r="G15" i="1"/>
  <c r="H15" i="1"/>
  <c r="I15" i="1"/>
  <c r="J15" i="1"/>
  <c r="K15" i="1"/>
  <c r="L15" i="1"/>
  <c r="D16" i="1"/>
  <c r="E16" i="1"/>
  <c r="F16" i="1"/>
  <c r="G16" i="1"/>
  <c r="H16" i="1"/>
  <c r="I16" i="1"/>
  <c r="J16" i="1"/>
  <c r="K16" i="1"/>
  <c r="L16" i="1"/>
  <c r="D17" i="1"/>
  <c r="E17" i="1"/>
  <c r="F17" i="1"/>
  <c r="G17" i="1"/>
  <c r="H17" i="1"/>
  <c r="I17" i="1"/>
  <c r="J17" i="1"/>
  <c r="K17" i="1"/>
  <c r="L17" i="1"/>
  <c r="C17" i="1"/>
  <c r="C16" i="1"/>
  <c r="C15" i="1"/>
  <c r="C14" i="1"/>
</calcChain>
</file>

<file path=xl/sharedStrings.xml><?xml version="1.0" encoding="utf-8"?>
<sst xmlns="http://schemas.openxmlformats.org/spreadsheetml/2006/main" count="176" uniqueCount="119">
  <si>
    <t>ÁREA</t>
  </si>
  <si>
    <t>NOMBRE</t>
  </si>
  <si>
    <t>1. DINÁMICA DE EQUIPO</t>
  </si>
  <si>
    <t xml:space="preserve">2. LIDERAZGO </t>
  </si>
  <si>
    <t>3. SKAP</t>
  </si>
  <si>
    <t>3. ATO</t>
  </si>
  <si>
    <t>4. SEGURIDAD</t>
  </si>
  <si>
    <t>5. QUAS</t>
  </si>
  <si>
    <t>6. MULTIHAB</t>
  </si>
  <si>
    <t>7. VPO</t>
  </si>
  <si>
    <t>8. SOLUCIÓN DE PROB</t>
  </si>
  <si>
    <t>9. INFRAEST</t>
  </si>
  <si>
    <t>FASE ACTUAL</t>
  </si>
  <si>
    <t>FASE 2025</t>
  </si>
  <si>
    <t>FECHA COMPROMISO ATO</t>
  </si>
  <si>
    <t>FECHA COMPROMISO SOLUCIÓN DE PROBLEMAS</t>
  </si>
  <si>
    <t>FECHA COMPROMISO CAMBIO DE FASE</t>
  </si>
  <si>
    <t>CAZADORES_AMARGOR</t>
  </si>
  <si>
    <t>F2</t>
  </si>
  <si>
    <t>SEPTIEMBRE</t>
  </si>
  <si>
    <t>Septiembre F2</t>
  </si>
  <si>
    <t>CUCHILLA</t>
  </si>
  <si>
    <t>CUMPLIENDO</t>
  </si>
  <si>
    <t>NOVIEMBRE</t>
  </si>
  <si>
    <t>MASHRAINBOW</t>
  </si>
  <si>
    <t>MOSTOBOYS</t>
  </si>
  <si>
    <t>PANCHITOS</t>
  </si>
  <si>
    <t>AGOSTO</t>
  </si>
  <si>
    <t xml:space="preserve">ANDAMOS_CON_TODO </t>
  </si>
  <si>
    <t>BRONCOS</t>
  </si>
  <si>
    <t>LOS_BRAVOS</t>
  </si>
  <si>
    <t xml:space="preserve">CUMPLIENDO </t>
  </si>
  <si>
    <t>LOS_FUERTES</t>
  </si>
  <si>
    <t>REYES_MEZCLA</t>
  </si>
  <si>
    <t>OCTUBRE</t>
  </si>
  <si>
    <t>MUNICH</t>
  </si>
  <si>
    <t>NA</t>
  </si>
  <si>
    <t>NAHUALES</t>
  </si>
  <si>
    <t>FACTOR</t>
  </si>
  <si>
    <t>FASE 0</t>
  </si>
  <si>
    <t>FASE 1</t>
  </si>
  <si>
    <t>FASE 2</t>
  </si>
  <si>
    <t>FASE 3</t>
  </si>
  <si>
    <t>FASE 4</t>
  </si>
  <si>
    <t>DINÁMICA DE EQUIPO</t>
  </si>
  <si>
    <t>Integrantes variables</t>
  </si>
  <si>
    <t>Integrantes fijos y dinámica de equipo en Formación</t>
  </si>
  <si>
    <t>Dinámica de equipo en Tormenta</t>
  </si>
  <si>
    <t>Dinámica de equipo en Normalización</t>
  </si>
  <si>
    <t>Dinámica de equipo en Desempeño</t>
  </si>
  <si>
    <t>LIDERAZGO</t>
  </si>
  <si>
    <t>Rol de supervisión</t>
  </si>
  <si>
    <t>Liderazgo en Formación</t>
  </si>
  <si>
    <t>Liderazgo en Tormenta</t>
  </si>
  <si>
    <t xml:space="preserve">Liderazgo en Normalización </t>
  </si>
  <si>
    <t>Liderazgo en Desempeño</t>
  </si>
  <si>
    <t>SKAP Y CARRERA DE OPERARIOS</t>
  </si>
  <si>
    <t>ATO</t>
  </si>
  <si>
    <t>Licencia para Operar</t>
  </si>
  <si>
    <t>25% Operadores Intermedias  &gt;85%</t>
  </si>
  <si>
    <t>75% Operadores Intermedias en &gt;85%</t>
  </si>
  <si>
    <t xml:space="preserve">33% Operadores en 85% de Avanzadas </t>
  </si>
  <si>
    <t>75% Operadores en 85% de Avanzadas</t>
  </si>
  <si>
    <t>N.A.</t>
  </si>
  <si>
    <t>Nivel 4 en 25% de la maquinas aplicables</t>
  </si>
  <si>
    <t>Nivel 4 en 75% de Máquinas aplicables</t>
  </si>
  <si>
    <t>- Nivel 4 en 100% Máquinas aplicables</t>
  </si>
  <si>
    <t>- Nivel 8  en 50% Máquinas aplicables</t>
  </si>
  <si>
    <t>- Nivel 8 en 75% Máquinas aplicables</t>
  </si>
  <si>
    <t>SEGURIDAD</t>
  </si>
  <si>
    <t>- Dueños de Territorio no definidos</t>
  </si>
  <si>
    <t>-Equipo no integrado</t>
  </si>
  <si>
    <t>-Principales peligros territoriales no identificados</t>
  </si>
  <si>
    <t>-Sin Licencia para Operar</t>
  </si>
  <si>
    <r>
      <t xml:space="preserve">Todos los territorios del Equipo en Fase 1 </t>
    </r>
    <r>
      <rPr>
        <b/>
        <sz val="11"/>
        <color rgb="FF000000"/>
        <rFont val="Calibri"/>
        <family val="2"/>
      </rPr>
      <t>LINK DE ACADIA CON LOS REQUISITOS DE CERTIFICACIÓN</t>
    </r>
    <r>
      <rPr>
        <sz val="11"/>
        <color rgb="FF000000"/>
        <rFont val="Calibri"/>
        <family val="2"/>
      </rPr>
      <t xml:space="preserve"> (https://ab-inbev.acadia.sysalli.com/browse/HQM-500263/es-mx)</t>
    </r>
  </si>
  <si>
    <r>
      <t xml:space="preserve">Todos los territorios del Equipo en Fase 2 </t>
    </r>
    <r>
      <rPr>
        <b/>
        <sz val="11"/>
        <color rgb="FF000000"/>
        <rFont val="Calibri"/>
        <family val="2"/>
      </rPr>
      <t>LINK DE ACADIA CON LOS REQUISITOS DE CERTIFICACIÓN</t>
    </r>
    <r>
      <rPr>
        <sz val="11"/>
        <color rgb="FF000000"/>
        <rFont val="Calibri"/>
        <family val="2"/>
      </rPr>
      <t xml:space="preserve"> (https://ab-inbev.acadia.sysalli.com/browse/HQM-500263/es-mx)</t>
    </r>
  </si>
  <si>
    <r>
      <t>Todos los territorios del Equipo en Fase 3</t>
    </r>
    <r>
      <rPr>
        <b/>
        <sz val="11"/>
        <color rgb="FF000000"/>
        <rFont val="Calibri"/>
        <family val="2"/>
      </rPr>
      <t xml:space="preserve"> LINK DE ACADIA CON LOS REQUISITOS DE CERTIFICACIÓN</t>
    </r>
    <r>
      <rPr>
        <sz val="11"/>
        <color rgb="FF000000"/>
        <rFont val="Calibri"/>
        <family val="2"/>
      </rPr>
      <t xml:space="preserve"> (https://ab-inbev.acadia.sysalli.com/browse/HQM-500263/es-mx)</t>
    </r>
  </si>
  <si>
    <r>
      <t xml:space="preserve">Todos los territorios del Equipo en Fase 4 </t>
    </r>
    <r>
      <rPr>
        <b/>
        <sz val="11"/>
        <color rgb="FF000000"/>
        <rFont val="Calibri"/>
        <family val="2"/>
      </rPr>
      <t>LINK DE ACADIA CON LOS REQUISITOS DE CERTIFICACIÓN</t>
    </r>
    <r>
      <rPr>
        <sz val="11"/>
        <color rgb="FF000000"/>
        <rFont val="Calibri"/>
        <family val="2"/>
      </rPr>
      <t xml:space="preserve"> (https://ab-inbev.acadia.sysalli.com/browse/HQM-500263/es-mx)</t>
    </r>
  </si>
  <si>
    <t>CALIDAD EN LA FUENTE</t>
  </si>
  <si>
    <t>Equipo informado de resultados de Calidad</t>
  </si>
  <si>
    <t>Equipo certificado  en métodos mínimos transferibles de Calidad en la fuente</t>
  </si>
  <si>
    <t>*Listado zonal</t>
  </si>
  <si>
    <t>Equipo certificado en todos los controles de Calidad aplicables</t>
  </si>
  <si>
    <t>*Listado Zonal</t>
  </si>
  <si>
    <t>Equipo propone e implementa  ideas de mejora en Calidad, soportado en las herramientas definidas de solución de problemas y el uso de la ETO digital</t>
  </si>
  <si>
    <t>MULTIHABILIDAD</t>
  </si>
  <si>
    <t>Sin multihabilidad</t>
  </si>
  <si>
    <t>1x1</t>
  </si>
  <si>
    <t>10% operadores 2x2</t>
  </si>
  <si>
    <t>100% el 2x2</t>
  </si>
  <si>
    <t>10% operadores 3x3</t>
  </si>
  <si>
    <t>100% el 3x3</t>
  </si>
  <si>
    <t>VPO</t>
  </si>
  <si>
    <t>Facilitado por el líder</t>
  </si>
  <si>
    <t>Facilitado por el líder + Operadores Champions (Champions asignados a pilares foco)</t>
  </si>
  <si>
    <t>Facilitado por el líder + Operadores Champions</t>
  </si>
  <si>
    <t xml:space="preserve"> (Champions CERTIFICADOS en Supply Training de su pilar asignado y ejecutando sus responsabilidades del toolkit) </t>
  </si>
  <si>
    <t>SOLUCIÓN DE PROBLEMAS</t>
  </si>
  <si>
    <t>Pobre</t>
  </si>
  <si>
    <r>
      <t xml:space="preserve">Primera línea  ejecuta plan de reacción o activa 5Ws </t>
    </r>
    <r>
      <rPr>
        <b/>
        <sz val="11"/>
        <color rgb="FF000000"/>
        <rFont val="Calibri"/>
        <family val="2"/>
      </rPr>
      <t>(Requisito del pilar 1.9.1.1 -1. 9.1.2)</t>
    </r>
  </si>
  <si>
    <t>Carrera de relevos efectiva, Planes de reacción actualizados.</t>
  </si>
  <si>
    <r>
      <t xml:space="preserve">Reducción de recurrencia de problemas.  </t>
    </r>
    <r>
      <rPr>
        <b/>
        <sz val="11"/>
        <color rgb="FF000000"/>
        <rFont val="Calibri"/>
        <family val="2"/>
      </rPr>
      <t>(Requisito del Pilar 1.9.1.3 - 1.9.1.4 - 1.9.1.6 - 1.9.1.7)</t>
    </r>
  </si>
  <si>
    <r>
      <t xml:space="preserve">Primera línea ayuda a encontrar causa raíz y acciones efectivas </t>
    </r>
    <r>
      <rPr>
        <b/>
        <sz val="11"/>
        <color rgb="FF000000"/>
        <rFont val="Calibri"/>
        <family val="2"/>
      </rPr>
      <t>(Requisito del Pilar 1.9.1.8 - 1.9.1.9)</t>
    </r>
  </si>
  <si>
    <r>
      <t xml:space="preserve">Primera línea usa autónomamente 5W y evidencia reducción en recurrencia de problemas </t>
    </r>
    <r>
      <rPr>
        <b/>
        <sz val="11"/>
        <color rgb="FF000000"/>
        <rFont val="Calibri"/>
        <family val="2"/>
      </rPr>
      <t>(Requisito del Pilar 1.9.1.11 - 1.9.1.12)</t>
    </r>
  </si>
  <si>
    <t>INFRAESTRUCTURA</t>
  </si>
  <si>
    <t>Team Room</t>
  </si>
  <si>
    <t>-Team Room</t>
  </si>
  <si>
    <t>-ETOs en  Eq. Sugerido por la zona/ necesidad de la operación</t>
  </si>
  <si>
    <t xml:space="preserve">-Team Room </t>
  </si>
  <si>
    <t>-ETO digital con QUAS</t>
  </si>
  <si>
    <t>- Uso de herramientas básicas: IAL - ACADIA - Mangyver</t>
  </si>
  <si>
    <t xml:space="preserve">- Uso de herramientas básicas e intermedias hasta avanzadas </t>
  </si>
  <si>
    <t>BLOQUE FRIO</t>
  </si>
  <si>
    <t>COCIMIENTOS</t>
  </si>
  <si>
    <t>MANTENIMIENTO</t>
  </si>
  <si>
    <t>PROMEDIO COCIMIENTOS</t>
  </si>
  <si>
    <t>PROMEDIO BLOQUE FRIO</t>
  </si>
  <si>
    <t>PROMEDIO MANTENIMIENTO</t>
  </si>
  <si>
    <t>PROMEDIO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</si>
</sst>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b/>
      <sz val="12"/>
      <color rgb="FFFFFFFF"/>
      <name val="72 Black"/>
      <family val="2"/>
    </font>
    <font>
      <b/>
      <sz val="11"/>
      <color rgb="FFFFFFFF"/>
      <name val="72 Light"/>
      <family val="2"/>
    </font>
    <font>
      <b/>
      <sz val="12"/>
      <color rgb="FFFFFFFF"/>
      <name val="72 Light"/>
      <family val="2"/>
    </font>
    <font>
      <b/>
      <sz val="11"/>
      <color rgb="FF0D0D0D"/>
      <name val="72 Black"/>
      <family val="2"/>
    </font>
    <font>
      <b/>
      <sz val="11"/>
      <color rgb="FFFFFFFF"/>
      <name val="Bahnschrift Light"/>
      <family val="2"/>
    </font>
    <font>
      <sz val="11"/>
      <name val="Bahnschrift Light"/>
      <family val="2"/>
    </font>
    <font>
      <b/>
      <sz val="11"/>
      <name val="Bahnschrift Light"/>
      <family val="2"/>
    </font>
    <font>
      <sz val="11"/>
      <color rgb="FF000000"/>
      <name val="Calibri"/>
      <family val="2"/>
    </font>
    <font>
      <sz val="11"/>
      <color rgb="FF000000"/>
      <name val="Bahnschrift Light"/>
      <family val="2"/>
    </font>
    <font>
      <b/>
      <sz val="11"/>
      <color rgb="FF000000"/>
      <name val="Bahnschrift Light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</fonts>
  <fills count="29">
    <fill>
      <patternFill patternType="none"/>
    </fill>
    <fill>
      <patternFill patternType="gray125"/>
    </fill>
    <fill>
      <patternFill patternType="solid">
        <fgColor rgb="FF404040"/>
        <bgColor rgb="FF000000"/>
      </patternFill>
    </fill>
    <fill>
      <patternFill patternType="solid">
        <fgColor rgb="FFFF644E"/>
        <bgColor rgb="FF000000"/>
      </patternFill>
    </fill>
    <fill>
      <patternFill patternType="solid">
        <fgColor rgb="FF11AC9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CC66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0A2FF"/>
        <bgColor rgb="FF000000"/>
      </patternFill>
    </fill>
    <fill>
      <patternFill patternType="solid">
        <fgColor rgb="FFBFEFAD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CEFBF5"/>
        <bgColor rgb="FF000000"/>
      </patternFill>
    </fill>
    <fill>
      <patternFill patternType="solid">
        <fgColor rgb="FFFF3399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2F7115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16E7CF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AE232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FFDFDB"/>
        <bgColor rgb="FF000000"/>
      </patternFill>
    </fill>
    <fill>
      <patternFill patternType="solid">
        <fgColor rgb="FFFEF9D6"/>
        <bgColor rgb="FF000000"/>
      </patternFill>
    </fill>
    <fill>
      <patternFill patternType="solid">
        <fgColor rgb="FFDFF8D6"/>
        <bgColor rgb="FF000000"/>
      </patternFill>
    </fill>
    <fill>
      <patternFill patternType="solid">
        <fgColor rgb="FFCCECFF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rgb="FF757171"/>
      </left>
      <right/>
      <top style="thin">
        <color rgb="FF757171"/>
      </top>
      <bottom/>
      <diagonal/>
    </border>
    <border>
      <left/>
      <right/>
      <top style="thin">
        <color rgb="FF757171"/>
      </top>
      <bottom/>
      <diagonal/>
    </border>
    <border>
      <left/>
      <right style="thin">
        <color rgb="FF757171"/>
      </right>
      <top style="thin">
        <color rgb="FF757171"/>
      </top>
      <bottom/>
      <diagonal/>
    </border>
    <border>
      <left style="thin">
        <color rgb="FF757171"/>
      </left>
      <right/>
      <top/>
      <bottom/>
      <diagonal/>
    </border>
    <border>
      <left/>
      <right style="thin">
        <color rgb="FF757171"/>
      </right>
      <top/>
      <bottom/>
      <diagonal/>
    </border>
    <border>
      <left/>
      <right/>
      <top/>
      <bottom style="thin">
        <color rgb="FF757171"/>
      </bottom>
      <diagonal/>
    </border>
    <border>
      <left/>
      <right style="thin">
        <color rgb="FF757171"/>
      </right>
      <top/>
      <bottom style="thin">
        <color rgb="FF75717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/>
    </xf>
    <xf numFmtId="0" fontId="6" fillId="7" borderId="0" xfId="0" applyFont="1" applyFill="1" applyAlignment="1">
      <alignment horizontal="left" vertical="center"/>
    </xf>
    <xf numFmtId="0" fontId="7" fillId="8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7" fillId="12" borderId="0" xfId="0" applyFont="1" applyFill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" vertical="center"/>
    </xf>
    <xf numFmtId="0" fontId="5" fillId="13" borderId="4" xfId="0" applyFont="1" applyFill="1" applyBorder="1" applyAlignment="1">
      <alignment horizontal="center" vertical="center"/>
    </xf>
    <xf numFmtId="0" fontId="7" fillId="14" borderId="0" xfId="0" applyFont="1" applyFill="1" applyAlignment="1">
      <alignment horizontal="center" vertical="center"/>
    </xf>
    <xf numFmtId="0" fontId="5" fillId="15" borderId="4" xfId="0" applyFont="1" applyFill="1" applyBorder="1" applyAlignment="1">
      <alignment horizontal="center" vertical="center"/>
    </xf>
    <xf numFmtId="0" fontId="9" fillId="7" borderId="0" xfId="0" applyFont="1" applyFill="1" applyAlignment="1">
      <alignment horizontal="left" vertical="center"/>
    </xf>
    <xf numFmtId="0" fontId="7" fillId="16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7" fillId="11" borderId="6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1" fillId="17" borderId="8" xfId="0" applyFont="1" applyFill="1" applyBorder="1" applyAlignment="1">
      <alignment horizontal="center" vertical="center" wrapText="1"/>
    </xf>
    <xf numFmtId="0" fontId="11" fillId="18" borderId="9" xfId="0" applyFont="1" applyFill="1" applyBorder="1" applyAlignment="1">
      <alignment horizontal="center" vertical="center" wrapText="1"/>
    </xf>
    <xf numFmtId="0" fontId="11" fillId="19" borderId="8" xfId="0" applyFont="1" applyFill="1" applyBorder="1" applyAlignment="1">
      <alignment horizontal="center" vertical="center" wrapText="1"/>
    </xf>
    <xf numFmtId="0" fontId="11" fillId="20" borderId="8" xfId="0" applyFont="1" applyFill="1" applyBorder="1" applyAlignment="1">
      <alignment horizontal="center" vertical="center" wrapText="1"/>
    </xf>
    <xf numFmtId="0" fontId="11" fillId="10" borderId="8" xfId="0" applyFont="1" applyFill="1" applyBorder="1" applyAlignment="1">
      <alignment horizontal="center" vertical="center" wrapText="1"/>
    </xf>
    <xf numFmtId="0" fontId="11" fillId="21" borderId="8" xfId="0" applyFont="1" applyFill="1" applyBorder="1" applyAlignment="1">
      <alignment horizontal="center" vertical="center" wrapText="1"/>
    </xf>
    <xf numFmtId="0" fontId="12" fillId="17" borderId="8" xfId="0" applyFont="1" applyFill="1" applyBorder="1" applyAlignment="1">
      <alignment horizontal="center" vertical="center" wrapText="1"/>
    </xf>
    <xf numFmtId="0" fontId="8" fillId="22" borderId="10" xfId="0" applyFont="1" applyFill="1" applyBorder="1" applyAlignment="1">
      <alignment horizontal="center" vertical="center" wrapText="1"/>
    </xf>
    <xf numFmtId="0" fontId="8" fillId="23" borderId="11" xfId="0" applyFont="1" applyFill="1" applyBorder="1" applyAlignment="1">
      <alignment horizontal="center" vertical="center" wrapText="1"/>
    </xf>
    <xf numFmtId="0" fontId="8" fillId="24" borderId="11" xfId="0" applyFont="1" applyFill="1" applyBorder="1" applyAlignment="1">
      <alignment horizontal="center" vertical="center" wrapText="1"/>
    </xf>
    <xf numFmtId="0" fontId="8" fillId="25" borderId="11" xfId="0" applyFont="1" applyFill="1" applyBorder="1" applyAlignment="1">
      <alignment horizontal="center" vertical="center" wrapText="1"/>
    </xf>
    <xf numFmtId="0" fontId="8" fillId="26" borderId="11" xfId="0" applyFont="1" applyFill="1" applyBorder="1" applyAlignment="1">
      <alignment horizontal="center" vertical="center" wrapText="1"/>
    </xf>
    <xf numFmtId="0" fontId="8" fillId="22" borderId="12" xfId="0" applyFont="1" applyFill="1" applyBorder="1" applyAlignment="1">
      <alignment horizontal="center" vertical="center" wrapText="1"/>
    </xf>
    <xf numFmtId="0" fontId="8" fillId="23" borderId="13" xfId="0" applyFont="1" applyFill="1" applyBorder="1" applyAlignment="1">
      <alignment horizontal="center" vertical="center" wrapText="1"/>
    </xf>
    <xf numFmtId="0" fontId="8" fillId="24" borderId="13" xfId="0" applyFont="1" applyFill="1" applyBorder="1" applyAlignment="1">
      <alignment horizontal="center" vertical="center" wrapText="1"/>
    </xf>
    <xf numFmtId="0" fontId="8" fillId="25" borderId="13" xfId="0" applyFont="1" applyFill="1" applyBorder="1" applyAlignment="1">
      <alignment horizontal="center" vertical="center" wrapText="1"/>
    </xf>
    <xf numFmtId="0" fontId="8" fillId="26" borderId="13" xfId="0" applyFont="1" applyFill="1" applyBorder="1" applyAlignment="1">
      <alignment horizontal="center" vertical="center" wrapText="1"/>
    </xf>
    <xf numFmtId="0" fontId="12" fillId="17" borderId="14" xfId="0" applyFont="1" applyFill="1" applyBorder="1" applyAlignment="1">
      <alignment horizontal="center" vertical="center" wrapText="1"/>
    </xf>
    <xf numFmtId="0" fontId="12" fillId="17" borderId="15" xfId="0" applyFont="1" applyFill="1" applyBorder="1" applyAlignment="1">
      <alignment horizontal="center" vertical="center" wrapText="1"/>
    </xf>
    <xf numFmtId="0" fontId="12" fillId="17" borderId="16" xfId="0" applyFont="1" applyFill="1" applyBorder="1" applyAlignment="1">
      <alignment horizontal="center" vertical="center" wrapText="1"/>
    </xf>
    <xf numFmtId="0" fontId="8" fillId="22" borderId="17" xfId="0" applyFont="1" applyFill="1" applyBorder="1" applyAlignment="1">
      <alignment horizontal="center" vertical="center" wrapText="1"/>
    </xf>
    <xf numFmtId="0" fontId="8" fillId="23" borderId="19" xfId="0" applyFont="1" applyFill="1" applyBorder="1" applyAlignment="1">
      <alignment horizontal="center" vertical="center" wrapText="1"/>
    </xf>
    <xf numFmtId="0" fontId="8" fillId="24" borderId="19" xfId="0" applyFont="1" applyFill="1" applyBorder="1" applyAlignment="1">
      <alignment horizontal="center" vertical="center" wrapText="1"/>
    </xf>
    <xf numFmtId="0" fontId="8" fillId="25" borderId="19" xfId="0" applyFont="1" applyFill="1" applyBorder="1" applyAlignment="1">
      <alignment horizontal="center" vertical="center" wrapText="1"/>
    </xf>
    <xf numFmtId="0" fontId="8" fillId="25" borderId="20" xfId="0" applyFont="1" applyFill="1" applyBorder="1" applyAlignment="1">
      <alignment horizontal="center" vertical="center" wrapText="1"/>
    </xf>
    <xf numFmtId="0" fontId="8" fillId="26" borderId="19" xfId="0" applyFont="1" applyFill="1" applyBorder="1" applyAlignment="1">
      <alignment horizontal="center" vertical="center" wrapText="1"/>
    </xf>
    <xf numFmtId="0" fontId="8" fillId="22" borderId="18" xfId="0" applyFont="1" applyFill="1" applyBorder="1" applyAlignment="1">
      <alignment horizontal="center" vertical="center" wrapText="1"/>
    </xf>
    <xf numFmtId="0" fontId="8" fillId="24" borderId="20" xfId="0" applyFont="1" applyFill="1" applyBorder="1" applyAlignment="1">
      <alignment horizontal="center" vertical="center" wrapText="1"/>
    </xf>
    <xf numFmtId="0" fontId="13" fillId="25" borderId="20" xfId="0" applyFont="1" applyFill="1" applyBorder="1" applyAlignment="1">
      <alignment horizontal="center" vertical="center" wrapText="1"/>
    </xf>
    <xf numFmtId="0" fontId="13" fillId="26" borderId="20" xfId="0" applyFont="1" applyFill="1" applyBorder="1" applyAlignment="1">
      <alignment horizontal="center" vertical="center" wrapText="1"/>
    </xf>
    <xf numFmtId="0" fontId="8" fillId="23" borderId="20" xfId="0" applyFont="1" applyFill="1" applyBorder="1" applyAlignment="1">
      <alignment horizontal="center" vertical="center" wrapText="1"/>
    </xf>
    <xf numFmtId="0" fontId="8" fillId="26" borderId="20" xfId="0" applyFont="1" applyFill="1" applyBorder="1" applyAlignment="1">
      <alignment horizontal="center" vertical="center" wrapText="1"/>
    </xf>
    <xf numFmtId="0" fontId="6" fillId="7" borderId="0" xfId="0" applyFont="1" applyFill="1" applyBorder="1" applyAlignment="1">
      <alignment horizontal="left" vertical="center"/>
    </xf>
    <xf numFmtId="0" fontId="7" fillId="8" borderId="0" xfId="0" applyFont="1" applyFill="1" applyBorder="1" applyAlignment="1">
      <alignment horizontal="center" vertical="center"/>
    </xf>
    <xf numFmtId="0" fontId="7" fillId="10" borderId="0" xfId="0" applyFont="1" applyFill="1" applyBorder="1" applyAlignment="1">
      <alignment horizontal="center" vertical="center"/>
    </xf>
    <xf numFmtId="0" fontId="7" fillId="16" borderId="0" xfId="0" applyFont="1" applyFill="1" applyBorder="1" applyAlignment="1">
      <alignment horizontal="center" vertical="center"/>
    </xf>
    <xf numFmtId="0" fontId="7" fillId="9" borderId="0" xfId="0" applyFont="1" applyFill="1" applyBorder="1" applyAlignment="1">
      <alignment horizontal="center" vertical="center"/>
    </xf>
    <xf numFmtId="0" fontId="0" fillId="28" borderId="13" xfId="0" applyFill="1" applyBorder="1" applyAlignment="1">
      <alignment horizontal="center"/>
    </xf>
    <xf numFmtId="0" fontId="6" fillId="27" borderId="13" xfId="0" applyFont="1" applyFill="1" applyBorder="1" applyAlignment="1">
      <alignment horizontal="center" vertical="center"/>
    </xf>
    <xf numFmtId="0" fontId="12" fillId="17" borderId="14" xfId="0" applyFont="1" applyFill="1" applyBorder="1" applyAlignment="1">
      <alignment horizontal="center" vertical="center" wrapText="1"/>
    </xf>
    <xf numFmtId="0" fontId="12" fillId="17" borderId="15" xfId="0" applyFont="1" applyFill="1" applyBorder="1" applyAlignment="1">
      <alignment horizontal="center" vertical="center" wrapText="1"/>
    </xf>
    <xf numFmtId="0" fontId="12" fillId="17" borderId="16" xfId="0" applyFont="1" applyFill="1" applyBorder="1" applyAlignment="1">
      <alignment horizontal="center" vertical="center" wrapText="1"/>
    </xf>
    <xf numFmtId="0" fontId="8" fillId="22" borderId="21" xfId="0" applyFont="1" applyFill="1" applyBorder="1" applyAlignment="1">
      <alignment horizontal="center" vertical="center" wrapText="1"/>
    </xf>
    <xf numFmtId="0" fontId="8" fillId="22" borderId="23" xfId="0" applyFont="1" applyFill="1" applyBorder="1" applyAlignment="1">
      <alignment horizontal="center" vertical="center" wrapText="1"/>
    </xf>
    <xf numFmtId="0" fontId="8" fillId="22" borderId="22" xfId="0" applyFont="1" applyFill="1" applyBorder="1" applyAlignment="1">
      <alignment horizontal="center" vertical="center" wrapText="1"/>
    </xf>
    <xf numFmtId="0" fontId="8" fillId="23" borderId="19" xfId="0" applyFont="1" applyFill="1" applyBorder="1" applyAlignment="1">
      <alignment horizontal="center" vertical="center" wrapText="1"/>
    </xf>
    <xf numFmtId="0" fontId="8" fillId="23" borderId="20" xfId="0" applyFont="1" applyFill="1" applyBorder="1" applyAlignment="1">
      <alignment horizontal="center" vertical="center" wrapText="1"/>
    </xf>
    <xf numFmtId="0" fontId="8" fillId="23" borderId="11" xfId="0" applyFont="1" applyFill="1" applyBorder="1" applyAlignment="1">
      <alignment horizontal="center" vertical="center" wrapText="1"/>
    </xf>
    <xf numFmtId="0" fontId="8" fillId="26" borderId="19" xfId="0" applyFont="1" applyFill="1" applyBorder="1" applyAlignment="1">
      <alignment horizontal="center" vertical="center" wrapText="1"/>
    </xf>
    <xf numFmtId="0" fontId="8" fillId="26" borderId="20" xfId="0" applyFont="1" applyFill="1" applyBorder="1" applyAlignment="1">
      <alignment horizontal="center" vertical="center" wrapText="1"/>
    </xf>
    <xf numFmtId="0" fontId="8" fillId="26" borderId="11" xfId="0" applyFont="1" applyFill="1" applyBorder="1" applyAlignment="1">
      <alignment horizontal="center" vertical="center" wrapText="1"/>
    </xf>
    <xf numFmtId="0" fontId="8" fillId="24" borderId="19" xfId="0" applyFont="1" applyFill="1" applyBorder="1" applyAlignment="1">
      <alignment horizontal="center" vertical="center" wrapText="1"/>
    </xf>
    <xf numFmtId="0" fontId="8" fillId="24" borderId="11" xfId="0" applyFont="1" applyFill="1" applyBorder="1" applyAlignment="1">
      <alignment horizontal="center" vertical="center" wrapText="1"/>
    </xf>
    <xf numFmtId="0" fontId="8" fillId="24" borderId="20" xfId="0" applyFont="1" applyFill="1" applyBorder="1" applyAlignment="1">
      <alignment horizontal="center" vertical="center" wrapText="1"/>
    </xf>
    <xf numFmtId="0" fontId="8" fillId="25" borderId="19" xfId="0" applyFont="1" applyFill="1" applyBorder="1" applyAlignment="1">
      <alignment horizontal="center" vertical="center" wrapText="1"/>
    </xf>
    <xf numFmtId="0" fontId="8" fillId="25" borderId="20" xfId="0" applyFont="1" applyFill="1" applyBorder="1" applyAlignment="1">
      <alignment horizontal="center" vertical="center" wrapText="1"/>
    </xf>
    <xf numFmtId="0" fontId="8" fillId="25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11DCC-BB4A-4114-A061-D25767296DF7}">
  <dimension ref="A1:X37"/>
  <sheetViews>
    <sheetView tabSelected="1" workbookViewId="0">
      <selection activeCell="C22" sqref="C22"/>
    </sheetView>
  </sheetViews>
  <sheetFormatPr baseColWidth="10" defaultRowHeight="14.4"/>
  <cols>
    <col min="1" max="1" width="29" bestFit="1" customWidth="1"/>
    <col min="2" max="2" width="25" bestFit="1" customWidth="1"/>
    <col min="3" max="3" width="11.6640625" bestFit="1" customWidth="1"/>
    <col min="4" max="4" width="10.44140625" bestFit="1" customWidth="1"/>
    <col min="6" max="6" width="8.88671875" bestFit="1" customWidth="1"/>
    <col min="7" max="7" width="9.88671875" bestFit="1" customWidth="1"/>
    <col min="8" max="8" width="10.6640625" bestFit="1" customWidth="1"/>
    <col min="15" max="15" width="13.33203125" bestFit="1" customWidth="1"/>
    <col min="16" max="16" width="13.88671875" bestFit="1" customWidth="1"/>
    <col min="17" max="17" width="11.6640625" bestFit="1" customWidth="1"/>
    <col min="19" max="19" width="23.5546875" bestFit="1" customWidth="1"/>
    <col min="20" max="20" width="17.33203125" bestFit="1" customWidth="1"/>
    <col min="21" max="24" width="27.6640625" bestFit="1" customWidth="1"/>
  </cols>
  <sheetData>
    <row r="1" spans="1:24" ht="69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2" t="s">
        <v>12</v>
      </c>
      <c r="N1" s="2" t="s">
        <v>13</v>
      </c>
      <c r="O1" s="5" t="s">
        <v>14</v>
      </c>
      <c r="P1" s="6" t="s">
        <v>15</v>
      </c>
      <c r="Q1" s="7" t="s">
        <v>16</v>
      </c>
    </row>
    <row r="2" spans="1:24" hidden="1">
      <c r="A2" s="8" t="s">
        <v>113</v>
      </c>
      <c r="B2" s="9" t="s">
        <v>17</v>
      </c>
      <c r="C2" s="10">
        <v>4</v>
      </c>
      <c r="D2" s="10">
        <v>4</v>
      </c>
      <c r="E2" s="11">
        <v>2</v>
      </c>
      <c r="F2" s="11">
        <v>2</v>
      </c>
      <c r="G2" s="11">
        <v>2</v>
      </c>
      <c r="H2" s="12">
        <v>3</v>
      </c>
      <c r="I2" s="12">
        <v>3</v>
      </c>
      <c r="J2" s="12">
        <v>3</v>
      </c>
      <c r="K2" s="12">
        <v>3</v>
      </c>
      <c r="L2" s="10">
        <v>4</v>
      </c>
      <c r="M2" s="13" t="s">
        <v>18</v>
      </c>
      <c r="N2" s="14">
        <v>2</v>
      </c>
      <c r="O2" s="15" t="s">
        <v>19</v>
      </c>
      <c r="P2" s="16" t="s">
        <v>20</v>
      </c>
      <c r="Q2" s="17" t="s">
        <v>19</v>
      </c>
    </row>
    <row r="3" spans="1:24" hidden="1">
      <c r="A3" s="8" t="s">
        <v>113</v>
      </c>
      <c r="B3" s="9" t="s">
        <v>21</v>
      </c>
      <c r="C3" s="10">
        <v>4</v>
      </c>
      <c r="D3" s="10">
        <v>4</v>
      </c>
      <c r="E3" s="12">
        <v>3</v>
      </c>
      <c r="F3" s="12">
        <v>3</v>
      </c>
      <c r="G3" s="11">
        <v>2</v>
      </c>
      <c r="H3" s="12">
        <v>3</v>
      </c>
      <c r="I3" s="12">
        <v>3</v>
      </c>
      <c r="J3" s="12">
        <v>3</v>
      </c>
      <c r="K3" s="12">
        <v>3</v>
      </c>
      <c r="L3" s="10">
        <v>4</v>
      </c>
      <c r="M3" s="13" t="s">
        <v>18</v>
      </c>
      <c r="N3" s="10">
        <v>4</v>
      </c>
      <c r="O3" s="15" t="s">
        <v>22</v>
      </c>
      <c r="P3" s="16" t="s">
        <v>23</v>
      </c>
      <c r="Q3" s="18" t="s">
        <v>23</v>
      </c>
    </row>
    <row r="4" spans="1:24" hidden="1">
      <c r="A4" s="8" t="s">
        <v>113</v>
      </c>
      <c r="B4" s="9" t="s">
        <v>24</v>
      </c>
      <c r="C4" s="10">
        <v>4</v>
      </c>
      <c r="D4" s="10">
        <v>4</v>
      </c>
      <c r="E4" s="11">
        <v>2</v>
      </c>
      <c r="F4" s="11">
        <v>2</v>
      </c>
      <c r="G4" s="11">
        <v>2</v>
      </c>
      <c r="H4" s="12">
        <v>3</v>
      </c>
      <c r="I4" s="12">
        <v>3</v>
      </c>
      <c r="J4" s="12">
        <v>3</v>
      </c>
      <c r="K4" s="12">
        <v>3</v>
      </c>
      <c r="L4" s="10">
        <v>4</v>
      </c>
      <c r="M4" s="13" t="s">
        <v>18</v>
      </c>
      <c r="N4" s="14">
        <v>2</v>
      </c>
      <c r="O4" s="15" t="s">
        <v>19</v>
      </c>
      <c r="P4" s="16" t="s">
        <v>20</v>
      </c>
      <c r="Q4" s="17" t="s">
        <v>19</v>
      </c>
    </row>
    <row r="5" spans="1:24" hidden="1">
      <c r="A5" s="8" t="s">
        <v>113</v>
      </c>
      <c r="B5" s="9" t="s">
        <v>25</v>
      </c>
      <c r="C5" s="10">
        <v>4</v>
      </c>
      <c r="D5" s="10">
        <v>4</v>
      </c>
      <c r="E5" s="11">
        <v>2</v>
      </c>
      <c r="F5" s="11">
        <v>2</v>
      </c>
      <c r="G5" s="11">
        <v>2</v>
      </c>
      <c r="H5" s="12">
        <v>3</v>
      </c>
      <c r="I5" s="12">
        <v>3</v>
      </c>
      <c r="J5" s="12">
        <v>3</v>
      </c>
      <c r="K5" s="12">
        <v>3</v>
      </c>
      <c r="L5" s="10">
        <v>4</v>
      </c>
      <c r="M5" s="13" t="s">
        <v>18</v>
      </c>
      <c r="N5" s="14">
        <v>2</v>
      </c>
      <c r="O5" s="15" t="s">
        <v>22</v>
      </c>
      <c r="P5" s="16" t="s">
        <v>20</v>
      </c>
      <c r="Q5" s="17" t="s">
        <v>19</v>
      </c>
    </row>
    <row r="6" spans="1:24" hidden="1">
      <c r="A6" s="8" t="s">
        <v>113</v>
      </c>
      <c r="B6" s="9" t="s">
        <v>26</v>
      </c>
      <c r="C6" s="10">
        <v>4</v>
      </c>
      <c r="D6" s="10">
        <v>4</v>
      </c>
      <c r="E6" s="11">
        <v>2</v>
      </c>
      <c r="F6" s="11">
        <v>2</v>
      </c>
      <c r="G6" s="11">
        <v>2</v>
      </c>
      <c r="H6" s="12">
        <v>3</v>
      </c>
      <c r="I6" s="12">
        <v>3</v>
      </c>
      <c r="J6" s="12">
        <v>3</v>
      </c>
      <c r="K6" s="12">
        <v>3</v>
      </c>
      <c r="L6" s="10">
        <v>4</v>
      </c>
      <c r="M6" s="13" t="s">
        <v>18</v>
      </c>
      <c r="N6" s="14">
        <v>2</v>
      </c>
      <c r="O6" s="15" t="s">
        <v>27</v>
      </c>
      <c r="P6" s="16" t="s">
        <v>20</v>
      </c>
      <c r="Q6" s="17" t="s">
        <v>19</v>
      </c>
    </row>
    <row r="7" spans="1:24" hidden="1">
      <c r="A7" s="19" t="s">
        <v>112</v>
      </c>
      <c r="B7" s="9" t="s">
        <v>28</v>
      </c>
      <c r="C7" s="10">
        <v>4</v>
      </c>
      <c r="D7" s="10">
        <v>4</v>
      </c>
      <c r="E7" s="11">
        <v>2</v>
      </c>
      <c r="F7" s="11">
        <v>2</v>
      </c>
      <c r="G7" s="11">
        <v>2</v>
      </c>
      <c r="H7" s="12">
        <v>3</v>
      </c>
      <c r="I7" s="12">
        <v>3</v>
      </c>
      <c r="J7" s="12">
        <v>3</v>
      </c>
      <c r="K7" s="12">
        <v>3</v>
      </c>
      <c r="L7" s="10">
        <v>4</v>
      </c>
      <c r="M7" s="13" t="s">
        <v>18</v>
      </c>
      <c r="N7" s="14">
        <v>2</v>
      </c>
      <c r="O7" s="16" t="s">
        <v>27</v>
      </c>
      <c r="P7" s="16" t="s">
        <v>20</v>
      </c>
      <c r="Q7" s="18" t="s">
        <v>19</v>
      </c>
    </row>
    <row r="8" spans="1:24" hidden="1">
      <c r="A8" s="19" t="s">
        <v>112</v>
      </c>
      <c r="B8" s="9" t="s">
        <v>29</v>
      </c>
      <c r="C8" s="10">
        <v>4</v>
      </c>
      <c r="D8" s="10">
        <v>4</v>
      </c>
      <c r="E8" s="11">
        <v>2</v>
      </c>
      <c r="F8" s="11">
        <v>2</v>
      </c>
      <c r="G8" s="11">
        <v>2</v>
      </c>
      <c r="H8" s="12">
        <v>3</v>
      </c>
      <c r="I8" s="12">
        <v>3</v>
      </c>
      <c r="J8" s="12">
        <v>3</v>
      </c>
      <c r="K8" s="12">
        <v>3</v>
      </c>
      <c r="L8" s="10">
        <v>4</v>
      </c>
      <c r="M8" s="13" t="s">
        <v>18</v>
      </c>
      <c r="N8" s="14">
        <v>2</v>
      </c>
      <c r="O8" s="16" t="s">
        <v>27</v>
      </c>
      <c r="P8" s="16" t="s">
        <v>20</v>
      </c>
      <c r="Q8" s="18" t="s">
        <v>19</v>
      </c>
    </row>
    <row r="9" spans="1:24" hidden="1">
      <c r="A9" s="19" t="s">
        <v>112</v>
      </c>
      <c r="B9" s="9" t="s">
        <v>30</v>
      </c>
      <c r="C9" s="10">
        <v>4</v>
      </c>
      <c r="D9" s="10">
        <v>4</v>
      </c>
      <c r="E9" s="11">
        <v>2</v>
      </c>
      <c r="F9" s="12">
        <v>3</v>
      </c>
      <c r="G9" s="11">
        <v>2</v>
      </c>
      <c r="H9" s="12">
        <v>3</v>
      </c>
      <c r="I9" s="12">
        <v>3</v>
      </c>
      <c r="J9" s="12">
        <v>3</v>
      </c>
      <c r="K9" s="12">
        <v>3</v>
      </c>
      <c r="L9" s="10">
        <v>4</v>
      </c>
      <c r="M9" s="13" t="s">
        <v>18</v>
      </c>
      <c r="N9" s="20">
        <v>3</v>
      </c>
      <c r="O9" s="15" t="s">
        <v>31</v>
      </c>
      <c r="P9" s="16" t="s">
        <v>20</v>
      </c>
      <c r="Q9" s="18" t="s">
        <v>19</v>
      </c>
    </row>
    <row r="10" spans="1:24" hidden="1">
      <c r="A10" s="19" t="s">
        <v>112</v>
      </c>
      <c r="B10" s="9" t="s">
        <v>32</v>
      </c>
      <c r="C10" s="10">
        <v>4</v>
      </c>
      <c r="D10" s="10">
        <v>4</v>
      </c>
      <c r="E10" s="11">
        <v>2</v>
      </c>
      <c r="F10" s="12">
        <v>3</v>
      </c>
      <c r="G10" s="12">
        <v>3</v>
      </c>
      <c r="H10" s="12">
        <v>3</v>
      </c>
      <c r="I10" s="12">
        <v>3</v>
      </c>
      <c r="J10" s="12">
        <v>3</v>
      </c>
      <c r="K10" s="12">
        <v>3</v>
      </c>
      <c r="L10" s="10">
        <v>4</v>
      </c>
      <c r="M10" s="13" t="s">
        <v>18</v>
      </c>
      <c r="N10" s="20">
        <v>3</v>
      </c>
      <c r="O10" s="15" t="s">
        <v>31</v>
      </c>
      <c r="P10" s="16" t="s">
        <v>20</v>
      </c>
      <c r="Q10" s="18" t="s">
        <v>19</v>
      </c>
    </row>
    <row r="11" spans="1:24" hidden="1">
      <c r="A11" s="19" t="s">
        <v>112</v>
      </c>
      <c r="B11" s="9" t="s">
        <v>33</v>
      </c>
      <c r="C11" s="10">
        <v>4</v>
      </c>
      <c r="D11" s="10">
        <v>4</v>
      </c>
      <c r="E11" s="12">
        <v>3</v>
      </c>
      <c r="F11" s="12">
        <v>3</v>
      </c>
      <c r="G11" s="11">
        <v>2</v>
      </c>
      <c r="H11" s="12">
        <v>3</v>
      </c>
      <c r="I11" s="12">
        <v>3</v>
      </c>
      <c r="J11" s="12">
        <v>3</v>
      </c>
      <c r="K11" s="12">
        <v>3</v>
      </c>
      <c r="L11" s="10">
        <v>4</v>
      </c>
      <c r="M11" s="13" t="s">
        <v>18</v>
      </c>
      <c r="N11" s="10">
        <v>4</v>
      </c>
      <c r="O11" s="15" t="s">
        <v>31</v>
      </c>
      <c r="P11" s="16" t="s">
        <v>23</v>
      </c>
      <c r="Q11" s="18" t="s">
        <v>34</v>
      </c>
    </row>
    <row r="12" spans="1:24" hidden="1">
      <c r="A12" s="21" t="s">
        <v>114</v>
      </c>
      <c r="B12" s="22" t="s">
        <v>35</v>
      </c>
      <c r="C12" s="10">
        <v>4</v>
      </c>
      <c r="D12" s="10">
        <v>4</v>
      </c>
      <c r="E12" s="12">
        <v>3</v>
      </c>
      <c r="F12" s="23"/>
      <c r="G12" s="11">
        <v>2</v>
      </c>
      <c r="H12" s="23"/>
      <c r="I12" s="23"/>
      <c r="J12" s="12">
        <v>3</v>
      </c>
      <c r="K12" s="12">
        <v>3</v>
      </c>
      <c r="L12" s="10">
        <v>4</v>
      </c>
      <c r="M12" s="13" t="s">
        <v>18</v>
      </c>
      <c r="N12" s="10">
        <v>4</v>
      </c>
      <c r="O12" s="24" t="s">
        <v>36</v>
      </c>
      <c r="P12" s="16" t="s">
        <v>34</v>
      </c>
      <c r="Q12" s="18" t="s">
        <v>34</v>
      </c>
    </row>
    <row r="13" spans="1:24" ht="15" hidden="1" customHeight="1">
      <c r="A13" s="21" t="s">
        <v>114</v>
      </c>
      <c r="B13" s="62" t="s">
        <v>37</v>
      </c>
      <c r="C13" s="63">
        <v>4</v>
      </c>
      <c r="D13" s="63">
        <v>4</v>
      </c>
      <c r="E13" s="64">
        <v>3</v>
      </c>
      <c r="F13" s="65"/>
      <c r="G13" s="66">
        <v>2</v>
      </c>
      <c r="H13" s="65"/>
      <c r="I13" s="65"/>
      <c r="J13" s="64">
        <v>3</v>
      </c>
      <c r="K13" s="64">
        <v>3</v>
      </c>
      <c r="L13" s="63">
        <v>4</v>
      </c>
      <c r="M13" s="26" t="s">
        <v>18</v>
      </c>
      <c r="N13" s="25">
        <v>4</v>
      </c>
      <c r="O13" s="27" t="s">
        <v>36</v>
      </c>
      <c r="P13" s="28" t="s">
        <v>34</v>
      </c>
      <c r="Q13" s="29" t="s">
        <v>34</v>
      </c>
    </row>
    <row r="14" spans="1:24">
      <c r="A14" s="68" t="s">
        <v>115</v>
      </c>
      <c r="B14" s="68"/>
      <c r="C14" s="67">
        <f>AVERAGE(C2:C6)</f>
        <v>4</v>
      </c>
      <c r="D14" s="67">
        <f t="shared" ref="D14:L14" si="0">AVERAGE(D2:D6)</f>
        <v>4</v>
      </c>
      <c r="E14" s="67">
        <f t="shared" si="0"/>
        <v>2.2000000000000002</v>
      </c>
      <c r="F14" s="67">
        <f t="shared" si="0"/>
        <v>2.2000000000000002</v>
      </c>
      <c r="G14" s="67">
        <f t="shared" si="0"/>
        <v>2</v>
      </c>
      <c r="H14" s="67">
        <f t="shared" si="0"/>
        <v>3</v>
      </c>
      <c r="I14" s="67">
        <f t="shared" si="0"/>
        <v>3</v>
      </c>
      <c r="J14" s="67">
        <f t="shared" si="0"/>
        <v>3</v>
      </c>
      <c r="K14" s="67">
        <f t="shared" si="0"/>
        <v>3</v>
      </c>
      <c r="L14" s="67">
        <f t="shared" si="0"/>
        <v>4</v>
      </c>
    </row>
    <row r="15" spans="1:24" ht="15" thickBot="1">
      <c r="A15" s="68" t="s">
        <v>116</v>
      </c>
      <c r="B15" s="68"/>
      <c r="C15" s="67">
        <f>AVERAGE(C7:C11)</f>
        <v>4</v>
      </c>
      <c r="D15" s="67">
        <f t="shared" ref="D15:L15" si="1">AVERAGE(D7:D11)</f>
        <v>4</v>
      </c>
      <c r="E15" s="67">
        <f t="shared" si="1"/>
        <v>2.2000000000000002</v>
      </c>
      <c r="F15" s="67">
        <f t="shared" si="1"/>
        <v>2.6</v>
      </c>
      <c r="G15" s="67">
        <f t="shared" si="1"/>
        <v>2.2000000000000002</v>
      </c>
      <c r="H15" s="67">
        <f t="shared" si="1"/>
        <v>3</v>
      </c>
      <c r="I15" s="67">
        <f t="shared" si="1"/>
        <v>3</v>
      </c>
      <c r="J15" s="67">
        <f t="shared" si="1"/>
        <v>3</v>
      </c>
      <c r="K15" s="67">
        <f t="shared" si="1"/>
        <v>3</v>
      </c>
      <c r="L15" s="67">
        <f t="shared" si="1"/>
        <v>4</v>
      </c>
    </row>
    <row r="16" spans="1:24" ht="21.6" thickBot="1">
      <c r="A16" s="68" t="s">
        <v>117</v>
      </c>
      <c r="B16" s="68"/>
      <c r="C16" s="67">
        <f>AVERAGE(C12:C13)</f>
        <v>4</v>
      </c>
      <c r="D16" s="67">
        <f t="shared" ref="D16:L16" si="2">AVERAGE(D12:D13)</f>
        <v>4</v>
      </c>
      <c r="E16" s="67">
        <f t="shared" si="2"/>
        <v>3</v>
      </c>
      <c r="F16" s="67" t="e">
        <f t="shared" si="2"/>
        <v>#DIV/0!</v>
      </c>
      <c r="G16" s="67">
        <f t="shared" si="2"/>
        <v>2</v>
      </c>
      <c r="H16" s="67" t="e">
        <f t="shared" si="2"/>
        <v>#DIV/0!</v>
      </c>
      <c r="I16" s="67" t="e">
        <f t="shared" si="2"/>
        <v>#DIV/0!</v>
      </c>
      <c r="J16" s="67">
        <f t="shared" si="2"/>
        <v>3</v>
      </c>
      <c r="K16" s="67">
        <f t="shared" si="2"/>
        <v>3</v>
      </c>
      <c r="L16" s="67">
        <f t="shared" si="2"/>
        <v>4</v>
      </c>
      <c r="S16" s="30" t="s">
        <v>38</v>
      </c>
      <c r="T16" s="31" t="s">
        <v>39</v>
      </c>
      <c r="U16" s="32" t="s">
        <v>40</v>
      </c>
      <c r="V16" s="33" t="s">
        <v>41</v>
      </c>
      <c r="W16" s="34" t="s">
        <v>42</v>
      </c>
      <c r="X16" s="35" t="s">
        <v>43</v>
      </c>
    </row>
    <row r="17" spans="1:24" ht="36.6" thickBot="1">
      <c r="A17" s="68" t="s">
        <v>118</v>
      </c>
      <c r="B17" s="68"/>
      <c r="C17" s="67">
        <f>AVERAGE(C2:C13)</f>
        <v>4</v>
      </c>
      <c r="D17" s="67">
        <f t="shared" ref="D17:L17" si="3">AVERAGE(D2:D13)</f>
        <v>4</v>
      </c>
      <c r="E17" s="67">
        <f t="shared" si="3"/>
        <v>2.3333333333333335</v>
      </c>
      <c r="F17" s="67">
        <f t="shared" si="3"/>
        <v>2.4</v>
      </c>
      <c r="G17" s="67">
        <f t="shared" si="3"/>
        <v>2.0833333333333335</v>
      </c>
      <c r="H17" s="67">
        <f t="shared" si="3"/>
        <v>3</v>
      </c>
      <c r="I17" s="67">
        <f t="shared" si="3"/>
        <v>3</v>
      </c>
      <c r="J17" s="67">
        <f t="shared" si="3"/>
        <v>3</v>
      </c>
      <c r="K17" s="67">
        <f t="shared" si="3"/>
        <v>3</v>
      </c>
      <c r="L17" s="67">
        <f t="shared" si="3"/>
        <v>4</v>
      </c>
      <c r="S17" s="36" t="s">
        <v>44</v>
      </c>
      <c r="T17" s="37" t="s">
        <v>45</v>
      </c>
      <c r="U17" s="38" t="s">
        <v>46</v>
      </c>
      <c r="V17" s="39" t="s">
        <v>47</v>
      </c>
      <c r="W17" s="40" t="s">
        <v>48</v>
      </c>
      <c r="X17" s="41" t="s">
        <v>49</v>
      </c>
    </row>
    <row r="18" spans="1:24" ht="18.600000000000001" thickBot="1">
      <c r="S18" s="36" t="s">
        <v>50</v>
      </c>
      <c r="T18" s="42" t="s">
        <v>51</v>
      </c>
      <c r="U18" s="43" t="s">
        <v>52</v>
      </c>
      <c r="V18" s="44" t="s">
        <v>53</v>
      </c>
      <c r="W18" s="45" t="s">
        <v>54</v>
      </c>
      <c r="X18" s="46" t="s">
        <v>55</v>
      </c>
    </row>
    <row r="19" spans="1:24" ht="36">
      <c r="S19" s="47" t="s">
        <v>56</v>
      </c>
      <c r="T19" s="42" t="s">
        <v>58</v>
      </c>
      <c r="U19" s="43" t="s">
        <v>59</v>
      </c>
      <c r="V19" s="44" t="s">
        <v>60</v>
      </c>
      <c r="W19" s="45" t="s">
        <v>61</v>
      </c>
      <c r="X19" s="46" t="s">
        <v>62</v>
      </c>
    </row>
    <row r="20" spans="1:24" ht="28.8">
      <c r="S20" s="48" t="s">
        <v>57</v>
      </c>
      <c r="T20" s="72" t="s">
        <v>63</v>
      </c>
      <c r="U20" s="75" t="s">
        <v>64</v>
      </c>
      <c r="V20" s="81" t="s">
        <v>65</v>
      </c>
      <c r="W20" s="53" t="s">
        <v>66</v>
      </c>
      <c r="X20" s="78" t="s">
        <v>68</v>
      </c>
    </row>
    <row r="21" spans="1:24" ht="29.4" thickBot="1">
      <c r="S21" s="49"/>
      <c r="T21" s="74"/>
      <c r="U21" s="77"/>
      <c r="V21" s="82"/>
      <c r="W21" s="54" t="s">
        <v>67</v>
      </c>
      <c r="X21" s="80"/>
    </row>
    <row r="22" spans="1:24" ht="104.25" customHeight="1">
      <c r="S22" s="69" t="s">
        <v>69</v>
      </c>
      <c r="T22" s="50" t="s">
        <v>70</v>
      </c>
      <c r="U22" s="75" t="s">
        <v>74</v>
      </c>
      <c r="V22" s="81" t="s">
        <v>75</v>
      </c>
      <c r="W22" s="84" t="s">
        <v>76</v>
      </c>
      <c r="X22" s="78" t="s">
        <v>77</v>
      </c>
    </row>
    <row r="23" spans="1:24" ht="28.8">
      <c r="S23" s="70"/>
      <c r="T23" s="56" t="s">
        <v>71</v>
      </c>
      <c r="U23" s="76"/>
      <c r="V23" s="83"/>
      <c r="W23" s="85"/>
      <c r="X23" s="79"/>
    </row>
    <row r="24" spans="1:24" ht="43.2">
      <c r="S24" s="70"/>
      <c r="T24" s="56" t="s">
        <v>72</v>
      </c>
      <c r="U24" s="76"/>
      <c r="V24" s="83"/>
      <c r="W24" s="85"/>
      <c r="X24" s="79"/>
    </row>
    <row r="25" spans="1:24" ht="29.4" thickBot="1">
      <c r="S25" s="71"/>
      <c r="T25" s="56" t="s">
        <v>73</v>
      </c>
      <c r="U25" s="77"/>
      <c r="V25" s="82"/>
      <c r="W25" s="86"/>
      <c r="X25" s="80"/>
    </row>
    <row r="26" spans="1:24" ht="209.25" customHeight="1">
      <c r="S26" s="69" t="s">
        <v>78</v>
      </c>
      <c r="T26" s="72" t="s">
        <v>63</v>
      </c>
      <c r="U26" s="75" t="s">
        <v>79</v>
      </c>
      <c r="V26" s="52" t="s">
        <v>80</v>
      </c>
      <c r="W26" s="53" t="s">
        <v>82</v>
      </c>
      <c r="X26" s="78" t="s">
        <v>84</v>
      </c>
    </row>
    <row r="27" spans="1:24" ht="15" thickBot="1">
      <c r="S27" s="71"/>
      <c r="T27" s="74"/>
      <c r="U27" s="77"/>
      <c r="V27" s="39" t="s">
        <v>81</v>
      </c>
      <c r="W27" s="40" t="s">
        <v>83</v>
      </c>
      <c r="X27" s="80"/>
    </row>
    <row r="28" spans="1:24">
      <c r="S28" s="69" t="s">
        <v>85</v>
      </c>
      <c r="T28" s="72" t="s">
        <v>86</v>
      </c>
      <c r="U28" s="75" t="s">
        <v>87</v>
      </c>
      <c r="V28" s="52" t="s">
        <v>87</v>
      </c>
      <c r="W28" s="53" t="s">
        <v>89</v>
      </c>
      <c r="X28" s="78" t="s">
        <v>91</v>
      </c>
    </row>
    <row r="29" spans="1:24">
      <c r="S29" s="70"/>
      <c r="T29" s="73"/>
      <c r="U29" s="76"/>
      <c r="V29" s="57" t="s">
        <v>88</v>
      </c>
      <c r="W29" s="54" t="s">
        <v>90</v>
      </c>
      <c r="X29" s="79"/>
    </row>
    <row r="30" spans="1:24" ht="15" thickBot="1">
      <c r="S30" s="71"/>
      <c r="T30" s="74"/>
      <c r="U30" s="77"/>
      <c r="V30" s="57"/>
      <c r="W30" s="54"/>
      <c r="X30" s="80"/>
    </row>
    <row r="31" spans="1:24" ht="28.8">
      <c r="S31" s="69" t="s">
        <v>92</v>
      </c>
      <c r="T31" s="72" t="s">
        <v>93</v>
      </c>
      <c r="U31" s="75" t="s">
        <v>93</v>
      </c>
      <c r="V31" s="81" t="s">
        <v>94</v>
      </c>
      <c r="W31" s="53" t="s">
        <v>95</v>
      </c>
      <c r="X31" s="55" t="s">
        <v>95</v>
      </c>
    </row>
    <row r="32" spans="1:24" ht="58.2" thickBot="1">
      <c r="S32" s="71"/>
      <c r="T32" s="74"/>
      <c r="U32" s="77"/>
      <c r="V32" s="82"/>
      <c r="W32" s="58" t="s">
        <v>96</v>
      </c>
      <c r="X32" s="59" t="s">
        <v>96</v>
      </c>
    </row>
    <row r="33" spans="19:24" ht="28.8">
      <c r="S33" s="69" t="s">
        <v>97</v>
      </c>
      <c r="T33" s="72" t="s">
        <v>98</v>
      </c>
      <c r="U33" s="75" t="s">
        <v>99</v>
      </c>
      <c r="V33" s="52" t="s">
        <v>100</v>
      </c>
      <c r="W33" s="84" t="s">
        <v>102</v>
      </c>
      <c r="X33" s="78" t="s">
        <v>103</v>
      </c>
    </row>
    <row r="34" spans="19:24" ht="58.2" thickBot="1">
      <c r="S34" s="71"/>
      <c r="T34" s="74"/>
      <c r="U34" s="77"/>
      <c r="V34" s="57" t="s">
        <v>101</v>
      </c>
      <c r="W34" s="86"/>
      <c r="X34" s="80"/>
    </row>
    <row r="35" spans="19:24">
      <c r="S35" s="69" t="s">
        <v>104</v>
      </c>
      <c r="T35" s="72" t="s">
        <v>105</v>
      </c>
      <c r="U35" s="51" t="s">
        <v>106</v>
      </c>
      <c r="V35" s="52" t="s">
        <v>108</v>
      </c>
      <c r="W35" s="53" t="s">
        <v>108</v>
      </c>
      <c r="X35" s="55" t="s">
        <v>106</v>
      </c>
    </row>
    <row r="36" spans="19:24" ht="28.8">
      <c r="S36" s="70"/>
      <c r="T36" s="73"/>
      <c r="U36" s="60" t="s">
        <v>107</v>
      </c>
      <c r="V36" s="57" t="s">
        <v>109</v>
      </c>
      <c r="W36" s="54" t="s">
        <v>109</v>
      </c>
      <c r="X36" s="61" t="s">
        <v>109</v>
      </c>
    </row>
    <row r="37" spans="19:24" ht="29.4" thickBot="1">
      <c r="S37" s="71"/>
      <c r="T37" s="73"/>
      <c r="U37" s="60"/>
      <c r="V37" s="57"/>
      <c r="W37" s="54" t="s">
        <v>110</v>
      </c>
      <c r="X37" s="61" t="s">
        <v>111</v>
      </c>
    </row>
  </sheetData>
  <mergeCells count="32">
    <mergeCell ref="W33:W34"/>
    <mergeCell ref="X33:X34"/>
    <mergeCell ref="S35:S37"/>
    <mergeCell ref="T35:T37"/>
    <mergeCell ref="A14:B14"/>
    <mergeCell ref="S31:S32"/>
    <mergeCell ref="T31:T32"/>
    <mergeCell ref="U31:U32"/>
    <mergeCell ref="V31:V32"/>
    <mergeCell ref="S33:S34"/>
    <mergeCell ref="T33:T34"/>
    <mergeCell ref="U33:U34"/>
    <mergeCell ref="S26:S27"/>
    <mergeCell ref="T26:T27"/>
    <mergeCell ref="U26:U27"/>
    <mergeCell ref="X26:X27"/>
    <mergeCell ref="U28:U30"/>
    <mergeCell ref="X28:X30"/>
    <mergeCell ref="V20:V21"/>
    <mergeCell ref="X20:X21"/>
    <mergeCell ref="S22:S25"/>
    <mergeCell ref="U22:U25"/>
    <mergeCell ref="V22:V25"/>
    <mergeCell ref="W22:W25"/>
    <mergeCell ref="X22:X25"/>
    <mergeCell ref="T20:T21"/>
    <mergeCell ref="U20:U21"/>
    <mergeCell ref="A15:B15"/>
    <mergeCell ref="A16:B16"/>
    <mergeCell ref="A17:B17"/>
    <mergeCell ref="S28:S30"/>
    <mergeCell ref="T28:T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Rodriguez Rangel</dc:creator>
  <cp:lastModifiedBy>José Luis Flores Carrillo</cp:lastModifiedBy>
  <dcterms:created xsi:type="dcterms:W3CDTF">2026-05-08T19:39:00Z</dcterms:created>
  <dcterms:modified xsi:type="dcterms:W3CDTF">2026-05-08T21:27:52Z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2026-05-08T18:44:44Z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33e8bc87-cf98-4a0f-af89-bbe684cd046d</vt:lpwstr>
  </property>
  <property fmtid="{D5CDD505-2E9C-101B-9397-08002B2CF9AE}" pid="8" name="MSIP_Label_68104b14-b53d-46de-9ae8-975cc0e84815_ContentBits">
    <vt:lpwstr>0</vt:lpwstr>
  </property>
  <property fmtid="{D5CDD505-2E9C-101B-9397-08002B2CF9AE}" pid="9" name="MSIP_Label_68104b14-b53d-46de-9ae8-975cc0e84815_Tag">
    <vt:lpwstr>10, 3, 0, 1</vt:lpwstr>
  </property>
</Properties>
</file>