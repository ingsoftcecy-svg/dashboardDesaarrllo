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nheuserbuschinbev-my.sharepoint.com/personal/heder_lemus_gmodelo_com_mx/Documents/Desktop/"/>
    </mc:Choice>
  </mc:AlternateContent>
  <xr:revisionPtr revIDLastSave="0" documentId="8_{84402700-61EF-47CD-96B2-28910B3E06AE}" xr6:coauthVersionLast="47" xr6:coauthVersionMax="47" xr10:uidLastSave="{00000000-0000-0000-0000-000000000000}"/>
  <bookViews>
    <workbookView xWindow="-120" yWindow="-120" windowWidth="26160" windowHeight="15780" xr2:uid="{00000000-000D-0000-FFFF-FFFF00000000}"/>
  </bookViews>
  <sheets>
    <sheet name="RESUMEN" sheetId="1" r:id="rId1"/>
    <sheet name="L6 Elaboración" sheetId="2" r:id="rId2"/>
    <sheet name="L7 Elaboración" sheetId="3" r:id="rId3"/>
    <sheet name="L8 Elaboración" sheetId="4" r:id="rId4"/>
    <sheet name="ANEXO - Criterios transversale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D4" i="1" s="1"/>
  <c r="E71" i="2"/>
  <c r="F71" i="2"/>
  <c r="E63" i="2"/>
  <c r="F63" i="2"/>
  <c r="E53" i="2"/>
  <c r="F53" i="2"/>
  <c r="E44" i="2"/>
  <c r="F44" i="2"/>
  <c r="E31" i="2"/>
  <c r="F31" i="2"/>
  <c r="E23" i="2"/>
  <c r="F23" i="2"/>
  <c r="E13" i="2"/>
  <c r="F13" i="2"/>
  <c r="E3" i="2"/>
  <c r="F3" i="2"/>
  <c r="D3" i="4"/>
  <c r="D50" i="4" s="1"/>
  <c r="E3" i="4"/>
  <c r="E50" i="4" s="1"/>
  <c r="F3" i="4"/>
  <c r="F50" i="4" s="1"/>
  <c r="D58" i="4"/>
  <c r="E58" i="4"/>
  <c r="F58" i="4"/>
  <c r="D33" i="4"/>
  <c r="D25" i="4"/>
  <c r="E25" i="4"/>
  <c r="F25" i="4"/>
  <c r="D85" i="3"/>
  <c r="E85" i="3"/>
  <c r="F85" i="3"/>
  <c r="D74" i="3"/>
  <c r="E74" i="3"/>
  <c r="F74" i="3"/>
  <c r="D60" i="3"/>
  <c r="E60" i="3"/>
  <c r="F60" i="3"/>
  <c r="D49" i="3"/>
  <c r="E49" i="3"/>
  <c r="F49" i="3"/>
  <c r="D37" i="3"/>
  <c r="E37" i="3"/>
  <c r="F37" i="3"/>
  <c r="D26" i="3"/>
  <c r="E26" i="3"/>
  <c r="F26" i="3"/>
  <c r="D14" i="3"/>
  <c r="E14" i="3"/>
  <c r="F14" i="3"/>
  <c r="C2" i="4"/>
  <c r="C2" i="3"/>
  <c r="C2" i="2"/>
  <c r="C58" i="4"/>
  <c r="E11" i="1" s="1"/>
  <c r="C50" i="4"/>
  <c r="E10" i="1" s="1"/>
  <c r="C42" i="4"/>
  <c r="E9" i="1" s="1"/>
  <c r="C33" i="4"/>
  <c r="E8" i="1" s="1"/>
  <c r="C25" i="4"/>
  <c r="E7" i="1" s="1"/>
  <c r="C16" i="4"/>
  <c r="E6" i="1" s="1"/>
  <c r="C10" i="4"/>
  <c r="E5" i="1" s="1"/>
  <c r="C3" i="4"/>
  <c r="E4" i="1" s="1"/>
  <c r="C85" i="3"/>
  <c r="D11" i="1" s="1"/>
  <c r="C74" i="3"/>
  <c r="D10" i="1" s="1"/>
  <c r="C60" i="3"/>
  <c r="D9" i="1" s="1"/>
  <c r="C49" i="3"/>
  <c r="D8" i="1" s="1"/>
  <c r="C37" i="3"/>
  <c r="D7" i="1" s="1"/>
  <c r="C26" i="3"/>
  <c r="D6" i="1" s="1"/>
  <c r="C14" i="3"/>
  <c r="D5" i="1" s="1"/>
  <c r="C71" i="2"/>
  <c r="C11" i="1" s="1"/>
  <c r="C63" i="2"/>
  <c r="C10" i="1" s="1"/>
  <c r="C53" i="2"/>
  <c r="C9" i="1" s="1"/>
  <c r="C44" i="2"/>
  <c r="C8" i="1" s="1"/>
  <c r="C31" i="2"/>
  <c r="C7" i="1" s="1"/>
  <c r="C23" i="2"/>
  <c r="C6" i="1" s="1"/>
  <c r="C13" i="2"/>
  <c r="C5" i="1" s="1"/>
  <c r="C3" i="2"/>
  <c r="C4" i="1" s="1"/>
  <c r="F10" i="4" l="1"/>
  <c r="F42" i="4"/>
  <c r="E10" i="4"/>
  <c r="E42" i="4"/>
  <c r="D10" i="4"/>
  <c r="D42" i="4"/>
  <c r="F33" i="4"/>
  <c r="E33" i="4"/>
  <c r="F16" i="4"/>
  <c r="E16" i="4"/>
  <c r="D16"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<sst xmlns="http://schemas.openxmlformats.org/spreadsheetml/2006/main" count="716" uniqueCount="345">
  <si>
    <t>POSICIÓN SKAP</t>
  </si>
  <si>
    <t>EQUIPO</t>
  </si>
  <si>
    <t>L6</t>
  </si>
  <si>
    <t>L7</t>
  </si>
  <si>
    <t>L8</t>
  </si>
  <si>
    <t>Operador de Materias Primas 2.0</t>
  </si>
  <si>
    <t>MANEJO DE MATERIA PRIMA</t>
  </si>
  <si>
    <t>Operador de Molienda 2.0</t>
  </si>
  <si>
    <t>MOLIENDA</t>
  </si>
  <si>
    <t>Operador de Maceración 2.0</t>
  </si>
  <si>
    <t>MACERACIÓN</t>
  </si>
  <si>
    <t>Operador de Filtración de Mosto 2.0</t>
  </si>
  <si>
    <t>FILTRO DE MOSTO</t>
  </si>
  <si>
    <t>Operador de Cocimiento 2.0</t>
  </si>
  <si>
    <t>SALA DE COCIMIENTO</t>
  </si>
  <si>
    <t>Operador de Fermentación 2.0</t>
  </si>
  <si>
    <t>SALA DE FERMENTACIÓN</t>
  </si>
  <si>
    <t>Operador de Filtración de Cerveza 2.0</t>
  </si>
  <si>
    <t>SALA DE FILTROS</t>
  </si>
  <si>
    <t>Operador de BBT 2.0</t>
  </si>
  <si>
    <t>SALA BBT</t>
  </si>
  <si>
    <t>Guía Técnica L6 Elaboración</t>
  </si>
  <si>
    <r>
      <t xml:space="preserve">INSTRUCCIONES:
</t>
    </r>
    <r>
      <rPr>
        <i/>
        <sz val="12"/>
        <color theme="1"/>
        <rFont val="Calibri"/>
        <family val="2"/>
      </rPr>
      <t>1. Aplicable a operadores, técnicos mecánicos y PTE en el/los proceso(s) que corresponda
2. Seleccionar las casillas de las habilidades con las que ya cuenta la persona evaluada
3. Dejar vacías las casillas de las habilidades que aún no están desarrolladas en la persona evaluada y registrar plan de acción en "Plan de Cierre de Brechas"
4. No están permitido NA sin previa validación de Director Zonal de Mantenimiento</t>
    </r>
  </si>
  <si>
    <t>Entrevista técnica guiada + identificación física de equipos/componentes en campo.</t>
  </si>
  <si>
    <t>Checklist de transporte/aspiración, manómetro/dP, tacómetro y registros PM</t>
  </si>
  <si>
    <t>Comprende y explica las variables críticas de seguridad en el manejo de polvo y conoce los controles necesarios en los sistemas de transporte de materias primas y los monitorea de manera rutinaria (Rutinas PM).</t>
  </si>
  <si>
    <t>Caso de desviación + recorrido en campo + preguntas de causa/impacto/escalamiento.</t>
  </si>
  <si>
    <t>HMI/SCADA, históricos de tendencia, alarmas y SOP de respuesta; Checklist de transporte/aspiración, manómetro/dP, tacómetro y registros PM</t>
  </si>
  <si>
    <t>Explica la función del sistema de aspiración y filtración de polvo, relacionando presión diferencial, limpieza por pulsos, fugas de polvo y condición de mangas con estabilidad operativa.</t>
  </si>
  <si>
    <t>Relaciona capacidad de transporte, velocidad, amperaje y condición mecánica con posibles sobrecargas, desalineación, rotura de cangilones, atascos o pérdida de flujo.</t>
  </si>
  <si>
    <t>Checklist de transporte/aspiración, manómetro/dP, tacómetro y registros PM; Checklist de bombas/sellos, alineador, comparador, vibrómetro y manual OEM</t>
  </si>
  <si>
    <t>Conoce y está en capacidad de realizar la medición en el flujo de aspiración y regularlo de ser necesario. Identifica la presión de trabajo de las mangas y conoce los límites máximos para asegurar un buen funcionamiento (7 a 15 mbar).</t>
  </si>
  <si>
    <t>Reconoce condiciones anormales en campo: Ruido excesivo, alta vibración, calentamiento, polvo excesivo, derrames, caída de caudal, activación de alarmas o consumo eléctrico fuera de tendencia. Genera avisos de mantenimiento con el detalle requerido y completo.</t>
  </si>
  <si>
    <t>HMI/SCADA, históricos de tendencia, alarmas y SOP de respuesta; Checklist de transporte/aspiración, manómetro/dP, tacómetro y registros PM; P&amp;ID de vapor/condensado, termografía, manómetros y registros de rampa térmica</t>
  </si>
  <si>
    <t>Valida que los ajustes realizados al sistema, trabajen acorde a los requerimientos de proceso.</t>
  </si>
  <si>
    <t>Recorrido en campo, HMI/SCADA, SOP del área y checklist de operación</t>
  </si>
  <si>
    <t>Comprende el funcionamiento de los componentes principales del sistema de molienda: Alimentador, imanes, acondicionador/humectación, rodillos o martillos, cribas, compuertas, aspiración y descarga.</t>
  </si>
  <si>
    <t>Checklist de transporte/aspiración, manómetro/dP, tacómetro y registros PM; Tamices/granulometría, galgas, amperímetro, manual OEM y checklist de molino; Matriz CIP, registro de conductividad/temperatura/tiempo, ATP/micro si aplica</t>
  </si>
  <si>
    <t>Explica el objetivo técnico de la molienda y cómo impacta en la extracción, conversión, filtrabilidad y rendimiento de sala.</t>
  </si>
  <si>
    <t>Tamices/granulometría, galgas, amperímetro, manual OEM y checklist de molino</t>
  </si>
  <si>
    <t>Análisis de tendencia/histórico + entrevista técnica + validación en HMI.</t>
  </si>
  <si>
    <t>Checklist de transporte/aspiración, manómetro/dP, tacómetro y registros PM; Tamices/granulometría, galgas, amperímetro, manual OEM y checklist de molino</t>
  </si>
  <si>
    <t>Reconoce síntomas de molienda fuera de condición: Bajo o alto porcentaje de finos, grano entero, cáscara destruida, granulometría inestable, baja velocidad, polvo excesivo o incremento de tiempo de molienda o consumo de energía.</t>
  </si>
  <si>
    <t>HMI/SCADA, históricos de tendencia, alarmas y SOP de respuesta; P&amp;ID, matriz de válvulas, secuencia de operación/CIP y checklist de ruta; Checklist de transporte/aspiración, manómetro/dP, tacómetro y registros PM</t>
  </si>
  <si>
    <t>Relaciona el desgaste de rodillos, martillos, cribas, rodamientos o placas de impacto con variables de monitoreo como vibración, ruido, sobrecorriente, baja capacidad y desviación de granulometría.</t>
  </si>
  <si>
    <t>Tamices/granulometría, galgas, amperímetro, manual OEM y checklist de molino; Analizador de vibraciones, espectros/tendencias, rutas CBM y límites de severidad</t>
  </si>
  <si>
    <t xml:space="preserve">Conoce y está en capacidad de identificar en molino de martillos desgaste de martillos y chapa perforada. En molino de rodillos la medición de apertura de rodillos y su regulación de ser necesario. </t>
  </si>
  <si>
    <t>Checklist de transporte/aspiración, manómetro/dP, tacómetro y registros PM; Tamices/granulometría, galgas, amperímetro, manual OEM y checklist de molino; Checklist de bombas/sellos, alineador, comparador, vibrómetro y manual OEM</t>
  </si>
  <si>
    <t>Valida que los ajustes realizados trabajen de acuerdo a lo requerido por el proceso, monitoreando condición de la molienda mediante muestra representativa, ausencia de cuerpos extraños, estabilidad del equipo y cumplimiento de parámetros de receta.</t>
  </si>
  <si>
    <t>Comprende el funcionamiento de los diferentes equipos del sistema de maceración como: Macerador, Pre-macerador, agitadores, bombas de macerado, válvulas, líneas de transferencia, sistema de calentamiento, instrumentación y circuitos CIP asociados.</t>
  </si>
  <si>
    <t>P&amp;ID, matriz de válvulas, secuencia de operación/CIP y checklist de ruta; P&amp;ID de vapor/condensado, termografía, manómetros y registros de rampa térmica; Matriz CIP, registro de conductividad/temperatura/tiempo, ATP/micro si aplica</t>
  </si>
  <si>
    <t>Reconoce desviaciones típicas: Rampa térmica lenta, mezcla heterogénea, formación de grumos y las relaciona con alto amperaje de agitador, cavitación de bomba o error de secuencia/receta.</t>
  </si>
  <si>
    <t>P&amp;ID, matriz de válvulas, secuencia de operación/CIP y checklist de ruta; Checklist de bombas/sellos, alineador, comparador, vibrómetro y manual OEM</t>
  </si>
  <si>
    <t>Reconoce instrumentación crítica de maceración: Temperatura, nivel, caudal, presión y pH, explicando el impacto de una medición errónea sobre receta, calidad y seguridad. Es capaz de identificar en el SCADA cuando se presenta una falla en el instrumento de medición y genera avisos de mantenimiento.</t>
  </si>
  <si>
    <t>HMI/SCADA, históricos de tendencia, alarmas y SOP de respuesta</t>
  </si>
  <si>
    <t>Relaciona fallas de agitadores, bombas, válvulas o sensores con baja conversión, variación de extracto, aumento de viscosidad, mala homogeneidad y problemas de filtrabilidad.</t>
  </si>
  <si>
    <t>Verifica condición operaciónal del sistema de calentamiento: válvulas de vapor, trampas, retorno de condensado, camisa/calandria, control de temperatura y ausencia de golpes de ariete.</t>
  </si>
  <si>
    <t>P&amp;ID, matriz de válvulas, secuencia de operación/CIP y checklist de ruta; P&amp;ID de vapor/condensado, termografía, manómetros y registros de rampa térmica</t>
  </si>
  <si>
    <t>HMI/SCADA, históricos de tendencia, alarmas y SOP de respuesta; Matriz CIP, registro de conductividad/temperatura/tiempo, ATP/micro si aplica</t>
  </si>
  <si>
    <t>Valida la transferencia hacia filtración confirmando volumen, temperatura, homogeneidad, secuencia correcta, ausencia de alarmas y condición segura de bombas y válvulas.</t>
  </si>
  <si>
    <t>HMI/SCADA, históricos de tendencia, alarmas y SOP de respuesta; P&amp;ID, matriz de válvulas, secuencia de operación/CIP y checklist de ruta; Checklist de bombas/sellos, alineador, comparador, vibrómetro y manual OEM</t>
  </si>
  <si>
    <t>P&amp;ID, matriz de válvulas, secuencia de operación/CIP y checklist de ruta; Turbidímetro, medidor de O₂ disuelto, dP, caudal, SOP de filtración y registros de calidad; Matriz CIP, registro de conductividad/temperatura/tiempo, ATP/micro si aplica</t>
  </si>
  <si>
    <t>Interpreta variables críticas: Turbidez, caudal, nivel, presión diferencial, temperatura, extracto de lavado y estabilidad del flujo de mosto. Es capaz de identificar en el SCADA cuando se presenta una falla en el instrumento de medición y genera un avisos de mantenimiento.</t>
  </si>
  <si>
    <t>HMI/SCADA, históricos de tendencia, alarmas y SOP de respuesta; Turbidímetro, medidor de O₂ disuelto, dP, caudal, SOP de filtración y registros de calidad</t>
  </si>
  <si>
    <t>Relaciona molienda, viscosidad de maceración y operación de cuchillas y falso fondo/ telas y membranas con filtrabilidad, claridad de mosto, rendimiento y tiempo total de ciclo.</t>
  </si>
  <si>
    <t>Tamices/granulometría, galgas, amperímetro, manual OEM y checklist de molino; Turbidímetro, medidor de O₂ disuelto, dP, caudal, SOP de filtración y registros de calidad</t>
  </si>
  <si>
    <t>P&amp;ID, matriz de válvulas, secuencia de operación/CIP y checklist de ruta; Turbidímetro, medidor de O₂ disuelto, dP, caudal, SOP de filtración y registros de calidad; Checklist de bombas/sellos, alineador, comparador, vibrómetro y manual OEM</t>
  </si>
  <si>
    <t>P&amp;ID, matriz de válvulas, secuencia de operación/CIP y checklist de ruta; Turbidímetro, medidor de O₂ disuelto, dP, caudal, SOP de filtración y registros de calidad</t>
  </si>
  <si>
    <t>Reconoce la función del sistema hidráulico o de prensado, identificando presión, movimientos, cilindros, actuadores, finales de carrera y riesgos por energía acumulada. Valida el tipo y nivel de aceite requerido.</t>
  </si>
  <si>
    <t>Turbidímetro, medidor de O₂ disuelto, dP, caudal, SOP de filtración y registros de calidad; Informe de análisis de aceite, viscosidad, partículas, agua, ferrografía y tendencia</t>
  </si>
  <si>
    <t>Identifica los componentes del sistema de remoción y desalojo de bagazo (tolva de bagazo). Participa en ajuste y verificación de alineamiento rutinario.</t>
  </si>
  <si>
    <t>Turbidímetro, medidor de O₂ disuelto, dP, caudal, SOP de filtración y registros de calidad; Matriz CIP, registro de conductividad/temperatura/tiempo, ATP/micro si aplica; Checklist de bombas/sellos, alineador, comparador, vibrómetro y manual OEM</t>
  </si>
  <si>
    <t>Participa en actividades de mantenimiento básicas como limpieza mecánica de falso fondo: Desarmado, limpieza y armado de falso fondo para filtro lauter. Para mash filter participa en el reemplazo de telas y membranas filtrantes.</t>
  </si>
  <si>
    <t>Turbidímetro, medidor de O₂ disuelto, dP, caudal, SOP de filtración y registros de calidad; Matriz CIP, registro de conductividad/temperatura/tiempo, ATP/micro si aplica</t>
  </si>
  <si>
    <t>Reconoce la función de las válvulas de llenado, válvulas y bomba de recirculación de mosto y su impacto en la eficiencia de filtración. Identifica fallas por cavitación, presencia de burbujas de aire, alta turbidez en el mosto y las reporta identificando las posibles causas en avisos de mantenimiento.</t>
  </si>
  <si>
    <t>HMI/SCADA, históricos de tendencia, alarmas y SOP de respuesta; Turbidímetro, medidor de O₂ disuelto, dP, caudal, SOP de filtración y registros de calidad; Matriz CIP, registro de conductividad/temperatura/tiempo, ATP/micro si aplica</t>
  </si>
  <si>
    <t>Valida que los ajustes realizados en la máquina impactan en el mosto filtrado confirmando claridad, caudal estable, tiempo de ciclo, extracto esperado, ausencia de alarmas y transferencia correcta a cocimiento.</t>
  </si>
  <si>
    <t>Comprende el funcionamiento de los principales equipos de cocimiento: Olla de hervor, calandria/calentador externo, whirlpool, bombas de mosto, dosificación de lúpulo/aditivos, condensador de vapores e intercambiadores de calor.</t>
  </si>
  <si>
    <t>P&amp;ID de vapor/condensado, termografía, manómetros y registros de rampa térmica; Turbidímetro, medidor de O₂ disuelto, dP, caudal, SOP de filtración y registros de calidad; Matriz CIP, registro de conductividad/temperatura/tiempo, ATP/micro si aplica</t>
  </si>
  <si>
    <t>Interpreta variables críticas: Temperatura, presión de vapor, nivel, pH, extracto, dosificación, caudal, flujómetro de agua, mosto y aireación y secuencia de receta. Es capaz de identificar en el SCADA cuando se presenta una falla en el instrumento de medición y genera avisos de mantenimiento.</t>
  </si>
  <si>
    <t>HMI/SCADA, históricos de tendencia, alarmas y SOP de respuesta; P&amp;ID, matriz de válvulas, secuencia de operación/CIP y checklist de ruta; P&amp;ID de vapor/condensado, termografía, manómetros y registros de rampa térmica</t>
  </si>
  <si>
    <t>Reconoce desviaciones del sistema de calentamiento: Rampa lenta, bajo hervor, alta presión, retorno deficiente de condensado, falla de trampa, válvula de vapor inestable o golpe de ariete. Genera avisos de mantenimiento.</t>
  </si>
  <si>
    <t>Explica la función del whirlpool y relaciona entrada tangencial, tiempo de reposo, separación de trub, turbidez y arrastre de sólidos con calidad de mosto.</t>
  </si>
  <si>
    <t>Turbidímetro, medidor de O₂ disuelto, dP, caudal, SOP de filtración y registros de calidad</t>
  </si>
  <si>
    <t>Verifica rutas de trasiego, alineación de válvulas, estado de bombas y prevención de mezcla de lotes durante transferencias entre cocimiento, whirlpool y enfriamiento identificando cavitación, golpes de ariete o pérdida de capacidad.</t>
  </si>
  <si>
    <t>Reconoce puntos críticos del enfriamiento y aireación/oxigenación: Intercambiador, agua helada/glicol, caudal, temperatura de salida y dosificación de oxígeno según receta.</t>
  </si>
  <si>
    <t>Analizador CO₂/O₂, manómetros, transmisores, registros de liberación y checklist BBT</t>
  </si>
  <si>
    <t>Valida que los ajustes estén alineados a los requerimientos de proceso como son liberación del mosto a fermentación confirmando lote, volumen, extracto, temperatura, oxigenación, ausencia de trub excesivo, ruta correcta y registros completos.</t>
  </si>
  <si>
    <t>Comprende el funcionamiento de los principales equipos de fermentación: Fermentadores, maduradores, propagadores, centrífugas, CMF, líneas de levadura, matriz de válvulas sanitarias, enfriamiento por camisas, venteos, CO₂, CIP, sensores y puntos de muestreo.</t>
  </si>
  <si>
    <t>P&amp;ID, matriz de válvulas, secuencia de operación/CIP y checklist de ruta; Turbidímetro, medidor de O₂ disuelto, dP, caudal, SOP de filtración y registros de calidad; Analizador CO₂/O₂, manómetros, transmisores, registros de liberación y checklist BBT</t>
  </si>
  <si>
    <t>Interpreta variables críticas: temperatura, presión, extracto, pH, nivel y secuencia de receta. Es capaz de identificar en el SCADA cuando se presenta una falla en el instrumento de medición y genera avisos de mantenimiento.</t>
  </si>
  <si>
    <t>HMI/SCADA, históricos de tendencia, alarmas y SOP de respuesta; P&amp;ID, matriz de válvulas, secuencia de operación/CIP y checklist de ruta</t>
  </si>
  <si>
    <t>Comprende los principales impactos del funcionamiento inadecuado de los equipos Centrífugas/CMF identificando alta vibración, ruido anormal, sobrecorriente, bajo flujo, alta tasa de descargas.</t>
  </si>
  <si>
    <t>Turbidímetro, medidor de O₂ disuelto, dP, caudal, SOP de filtración y registros de calidad; Matriz CIP, registro de conductividad/temperatura/tiempo, ATP/micro si aplica; Analizador de vibraciones, espectros/tendencias, rutas CBM y límites de severidad</t>
  </si>
  <si>
    <t>Verifica condiciones de inoculación, transferencia de levadura, cosecha, descarte y trazabilidad, diferenciando fallas operativas, sanitarias y de instrumentación.</t>
  </si>
  <si>
    <t>Matriz CIP, registro de conductividad/temperatura/tiempo, ATP/micro si aplica</t>
  </si>
  <si>
    <t>Relaciona fallas de válvulas de glicol, sensores de temperatura, presión o nivel con pérdida de control fermentativo, desviación de calidad y riesgo de seguridad.</t>
  </si>
  <si>
    <t>P&amp;ID, matriz de válvulas, secuencia de operación/CIP y checklist de ruta</t>
  </si>
  <si>
    <t>Reconoce condiciones inseguras: sobrepresión, vacío, falla de válvula de alivio, ingreso de oxígeno, fuga de CO₂, bloqueo incorrecto de líneas o intervención no autorizada.</t>
  </si>
  <si>
    <t>P&amp;ID, matriz de válvulas, secuencia de operación/CIP y checklist de ruta; Analizador CO₂/O₂, manómetros, transmisores, registros de liberación y checklist BBT</t>
  </si>
  <si>
    <t>Conoce y comprende los riesgos sanitarios en fermentadores, válvulas sanitarias y matriz de válvulas. Conoce el control de cambio de asientos y empaques en estos equipos.</t>
  </si>
  <si>
    <t>P&amp;ID, matriz de válvulas, secuencia de operación/CIP y checklist de ruta; Matriz CIP, registro de conductividad/temperatura/tiempo, ATP/micro si aplica</t>
  </si>
  <si>
    <t>Valida que los ajustes estén alineados a los requerimientos de proceso como son transferencia o liberación interna del tanque confirmando estado de lote, análisis de calidad, ruta, presión, temperatura, condición sanitaria y registros completos.</t>
  </si>
  <si>
    <t>P&amp;ID, matriz de válvulas, secuencia de operación/CIP y checklist de ruta; Matriz CIP, registro de conductividad/temperatura/tiempo, ATP/micro si aplica; Checklist de bombas/sellos, alineador, comparador, vibrómetro y manual OEM</t>
  </si>
  <si>
    <t>Comprende el funcionamiento de los principales equipos de filtración y estabilización: Centrífuga, filtro de placas/velas/membranas, sistema de dilución, PVPP, Generación de agua desaireada, cartuchos, bombas, válvulas, instrumentos y líneas sanitarias.</t>
  </si>
  <si>
    <t>Identifica instrumentos críticos: Turbidímetro, medidor de oxígeno disuelto, caudalímetro, transmisores de presión, temperatura, medidor de extracto, conductividad y medición de CO₂. Es capaz de identificar en el SCADA/HMI cuando se presenta una falla en el instrumento de medición y genera avisos de mantenimiento.</t>
  </si>
  <si>
    <t>HMI/SCADA, históricos de tendencia, alarmas y SOP de respuesta; Turbidímetro, medidor de O₂ disuelto, dP, caudal, SOP de filtración y registros de calidad; Analizador CO₂/O₂, manómetros, transmisores, registros de liberación y checklist BBT</t>
  </si>
  <si>
    <t>Reconoce fallas típicas de funcionamiento de los filtros de cerveza en el reporte histórico de gráficas del sistema SCADA: Turbidez elevada, incremento de diferencial, rotura de medio filtrante, mala formación de precapa, dosificación irregular o entrada de aire.</t>
  </si>
  <si>
    <t>Relaciona bombas, sellos, empaques, uniones, válvulas y purgas con riesgo de ingreso de oxígeno, contaminación, espuma o pérdida de presión.</t>
  </si>
  <si>
    <t>Reconoce puntos críticos de CIP/sanitización en filtros, centrífuga, dosificadores, líneas, válvulas, drenajes, venteos y retorno de limpieza.</t>
  </si>
  <si>
    <t>Valida que los ajustes estén alineados a los requerimientos de proceso de filtración de cerveza hacia BBT confirmando turbidez, oxígeno, CO₂, presión, temperatura, ruta de transferencia, liberación de calidad y ausencia de alarmas.</t>
  </si>
  <si>
    <t>HMI/SCADA, históricos de tendencia, alarmas y SOP de respuesta; P&amp;ID, matriz de válvulas, secuencia de operación/CIP y checklist de ruta; Turbidímetro, medidor de O₂ disuelto, dP, caudal, SOP de filtración y registros de calidad</t>
  </si>
  <si>
    <t>Comprende el funcionamiento de los principales equipos de sala BBTs: BBTs, carbonatadores, manifold de transferencia, líneas a envasado, CIP, suministro de CO₂, válvulas de presión/vacío, sensores y puntos de muestreo.</t>
  </si>
  <si>
    <t>P&amp;ID, matriz de válvulas, secuencia de operación/CIP y checklist de ruta; Analizador CO₂/O₂, manómetros, transmisores, registros de liberación y checklist BBT; Matriz CIP, registro de conductividad/temperatura/tiempo, ATP/micro si aplica</t>
  </si>
  <si>
    <t>Identifica instrumentos críticos: Caudalímetro, transmisores de presión, temperatura, nivel, volumen, medidor de CO₂, conductividad. Es capaz de identificar en el SCADA/HMI cuando se presenta una falla en el instrumento de medición y genera avisos de mantenimiento.</t>
  </si>
  <si>
    <t>HMI/SCADA, históricos de tendencia, alarmas y SOP de respuesta; Analizador CO₂/O₂, manómetros, transmisores, registros de liberación y checklist BBT; Matriz CIP, registro de conductividad/temperatura/tiempo, ATP/micro si aplica</t>
  </si>
  <si>
    <t>Identifica válvulas, reguladores, filtros estériles, sensores de presión/nivel/temperatura, puntos de muestra y elementos de seguridad asociados al BBT.</t>
  </si>
  <si>
    <t>Relaciona condición de bombas, líneas, válvulas, sellos y conexiones sanitarias con pérdida de CO₂, incremento de oxígeno, contaminación o transferencia inestable.</t>
  </si>
  <si>
    <t>Reconoce los puntos críticos de CIP/sanitización del BBT: conductividad, temperatura, caudal, retorno, drenaje, purgas, integridad de empaques.</t>
  </si>
  <si>
    <t>Analizador CO₂/O₂, manómetros, transmisores, registros de liberación y checklist BBT; Matriz CIP, registro de conductividad/temperatura/tiempo, ATP/micro si aplica</t>
  </si>
  <si>
    <t>Conoce y comprende los riesgos sanitarios en BBTs, bombas y válvulas sanitarias. Conoce el control de cambio de asientos y empaques en estos equipos.</t>
  </si>
  <si>
    <t>Valida que los ajustes estén alineados a los requerimientos de proceso presión estable, CO₂/O₂ dentro de especificación y registros completos.</t>
  </si>
  <si>
    <t>Analizador CO₂/O₂, manómetros, transmisores, registros de liberación y checklist BBT; Checklist de bombas/sellos, alineador, comparador, vibrómetro y manual OEM</t>
  </si>
  <si>
    <t>Guía Técnica L7 Elaboración</t>
  </si>
  <si>
    <r>
      <t xml:space="preserve">INSTRUCCIONES:
</t>
    </r>
    <r>
      <rPr>
        <i/>
        <sz val="12"/>
        <color theme="1"/>
        <rFont val="Calibri"/>
        <family val="2"/>
      </rPr>
      <t>1.Aplicable a operadores, técnicos mecánicos y PTE en el/los proceso(s) que corresponda
2. Seleccionar las casillas de las habilidades con las que ya cuenta la persona evaluada
3. Dejar vacía las casillas de las habilidades que aún no están desarrolladas en la persona evaluada y registrar plan de acción en "Plan de Cierre de Brechas"
4. No están permitido NA sin previa validación de Director Zonal de Mantenimiento</t>
    </r>
  </si>
  <si>
    <t>Herramientas / referencia</t>
  </si>
  <si>
    <t>Comentarios / plan de acción</t>
  </si>
  <si>
    <t>Inspecciona transportadores, elevadores, cadenas, bandas, cangilones, raspadores y guardas, identificando desgaste, elongación, desalineación, fisuras y fijaciones sueltas.</t>
  </si>
  <si>
    <t>Participa en la intervención mecánica en cangilones, bandas, cadenas, poleas, raspadores, compuertas y elementos de fijación, aplicando bloqueo de energías y procedimientos estandarizados.</t>
  </si>
  <si>
    <t>Checklist de transporte/aspiración, manómetro/dP, tacómetro y registros PM; Matriz CIP, registro de conductividad/temperatura/tiempo, ATP/micro si aplica</t>
  </si>
  <si>
    <t>P&amp;ID, matriz de válvulas, secuencia de operación/CIP y checklist de ruta; Checklist de transporte/aspiración, manómetro/dP, tacómetro y registros PM</t>
  </si>
  <si>
    <t>Evalúa rodamientos, chumaceras, reductores, acoplamientos, sellos y soportes, definiendo si requieren ajuste, lubricación, reemplazo o seguimiento por condición.</t>
  </si>
  <si>
    <t>Checklist de bombas/sellos, alineador, comparador, vibrómetro y manual OEM; Informe de análisis de aceite, viscosidad, partículas, agua, ferrografía y tendencia</t>
  </si>
  <si>
    <t>Realiza inspección interna de filtros de mangas, colectores, ductos, ventiladores y sistemas de pulso, verificando taponamiento, rotura, fugas, corrosión y hermeticidad.</t>
  </si>
  <si>
    <t>Verifica básculas, celdas de carga, sensores de nivel, desvío de banda y detectores de atasco después de una intervención mecánica o eléctrica.</t>
  </si>
  <si>
    <t>P&amp;ID, manual OEM, procedimiento LOTO, kit de herramientas y checklist de intervención</t>
  </si>
  <si>
    <t>Alinea poleas, acoples y transmisiones, validando tensión, paralelismo, sentido de giro, ausencia de fricción, vibración anormal y calentamiento.</t>
  </si>
  <si>
    <t>P&amp;ID de vapor/condensado, termografía, manómetros y registros de rampa térmica; Checklist de bombas/sellos, alineador, comparador, vibrómetro y manual OEM; Analizador de vibraciones, espectros/tendencias, rutas CBM y límites de severidad</t>
  </si>
  <si>
    <t>Realiza pruebas funcionales sin carga y con carga controlada, confirmando capacidad, estabilidad, limpieza técnica, secuencia automática y retorno seguro a operación.</t>
  </si>
  <si>
    <t>Prueba funcional post-intervención con checklist de aceptación y liberación segura.</t>
  </si>
  <si>
    <t>Documenta hallazgos de intervención indicando equipo, componente, modo de falla, causa probable, repuesto utilizado, condición final y recomendación preventiva.</t>
  </si>
  <si>
    <t>Inspecciona alimentadores, imanes, compuertas, rodillos, martillos, cribas, placa perforada, rotoesclusa, rodamientos y sistemas de aspiración.</t>
  </si>
  <si>
    <t>Ejecuta reemplazo, ajuste o calibración mecánica de rodillos, martillos, cribas, placas perforadas, sellos, rodamientos y fijaciones según tecnología instalada y estándar del fabricante.</t>
  </si>
  <si>
    <t>Tamices/granulometría, galgas, amperímetro, manual OEM y checklist de molino; Checklist de bombas/sellos, alineador, comparador, vibrómetro y manual OEM</t>
  </si>
  <si>
    <t>Verifica gap/luz de rodillos, paralelismo, presión de molienda, balance de rotor, condición de martillos/cribas y uniformidad de alimentación.</t>
  </si>
  <si>
    <t>Evalúa motores, reductores, acoplamientos, correas, poleas y cadenas relacionando condición mecánica con capacidad y consumo eléctrico.</t>
  </si>
  <si>
    <t>Realiza limpieza técnica e inspección de filtros de polvo, ductos, ventiladores, mangas, esclusas y puntos de captación del sistema de molienda.</t>
  </si>
  <si>
    <t>Participa en el análisis para corrección de fallas típicas de molienda: vibración, ruido metálico, sobrecorriente, baja capacidad, atascamiento, calentamiento y variación de granulometría.</t>
  </si>
  <si>
    <t>Tamices/granulometría, galgas, amperímetro, manual OEM y checklist de molino; P&amp;ID de vapor/condensado, termografía, manómetros y registros de rampa térmica; Matriz CIP, registro de conductividad/temperatura/tiempo, ATP/micro si aplica</t>
  </si>
  <si>
    <t>P&amp;ID, matriz de válvulas, secuencia de operación/CIP y checklist de ruta; Tamices/granulometría, galgas, amperímetro, manual OEM y checklist de molino</t>
  </si>
  <si>
    <t>Valida enclavamientos de seguridad, sensores de apertura, velocidad, nivel, presión diferencial, detectores metálicos e interlocks después de mantenimiento.</t>
  </si>
  <si>
    <t>Ejecuta lubricación técnica, cambio de aceite/grasa y verificación de puntos críticos, evitando contaminación de producto y sobrelubricación.</t>
  </si>
  <si>
    <t>Tamices/granulometría, galgas, amperímetro, manual OEM y checklist de molino; Informe de análisis de aceite, viscosidad, partículas, agua, ferrografía y tendencia</t>
  </si>
  <si>
    <t>Realiza prueba de molienda con carga controlada, validando granulometría, estabilidad mecánica, consumo, ausencia de fugas de polvo y cumplimiento del proceso.</t>
  </si>
  <si>
    <t>Inspecciona cocedor, macerador, agitadores, ejes, paletas, reductores, acoplamientos, sellos, soportes y bombas de macerado, identificando holguras, desgaste y fugas.</t>
  </si>
  <si>
    <t>Checklist de bombas/sellos, alineador, comparador, vibrómetro y manual OEM</t>
  </si>
  <si>
    <t>Ejecuta mantenimiento de agitadores, acoples, sellos mecánicos, empaques, rodamientos, reductores y bases, aplicando alineación y torque según estándar.</t>
  </si>
  <si>
    <t>Interviene bombas de macerado, válvulas de transferencia, actuadores neumáticos y posicionadores, validando estanqueidad y respuesta funcional.</t>
  </si>
  <si>
    <t>Evalúa instrumentos de temperatura, nivel, caudal, presión y pH, coordinando calibración/verificación cuando la medición afecte receta o seguridad.</t>
  </si>
  <si>
    <t>Inspecciona sistema CIP: roto-jet, boquillas, líneas, drenajes, válvulas de retorno, conductividad y temperatura, detectando baja cobertura o zonas muertas.</t>
  </si>
  <si>
    <t>Participa en el análisis para corrección de fallas de mezcla, calentamiento, transferencia o limpieza que afecten rampas térmicas, conversión, viscosidad, inocuidad y disponibilidad del equipo.</t>
  </si>
  <si>
    <t>P&amp;ID de vapor/condensado, termografía, manómetros y registros de rampa térmica; Matriz CIP, registro de conductividad/temperatura/tiempo, ATP/micro si aplica</t>
  </si>
  <si>
    <t>Interpreta P&amp;ID, planos mecánicos y secuencias de proceso para aislar maceradores, bombas y líneas antes de una intervención.</t>
  </si>
  <si>
    <t>Realiza prueba funcional de agitador, bombas, válvulas, calentamiento y CIP antes de liberar el sistema a producción.</t>
  </si>
  <si>
    <t>Documenta condición final indicando componente intervenido, modo de falla, repuestos, pruebas realizadas, riesgos remanentes y criterios de liberación.</t>
  </si>
  <si>
    <t>Inspecciona lauter tun o mash filter identificando desgaste, deformación, daño sanitario, obstrucción, holguras, fugas y condición de superficies en contacto con producto.</t>
  </si>
  <si>
    <t>Ejecuta mantenimiento de cuchillas/rakes, ejes, reductores, válvulas, actuadores, cilindros, telas, placas, fondo falso, empaques y elementos de fijación según tecnología instalada.</t>
  </si>
  <si>
    <t>Verifica bombas de recirculación, bombas de mosto, válvulas de trasiego/lavado, válvulas de drenaje y actuadores, validando caudal, estanqueidad y respuesta.</t>
  </si>
  <si>
    <t>Evalúa sistema hidráulico o de prensado: aceite, filtros, mangueras, cilindros, manifolds, presiones, fugas, finales de carrera y dispositivos de seguridad.</t>
  </si>
  <si>
    <t>P&amp;ID, matriz de válvulas, secuencia de operación/CIP y checklist de ruta; Turbidímetro, medidor de O₂ disuelto, dP, caudal, SOP de filtración y registros de calidad; Informe de análisis de aceite, viscosidad, partículas, agua, ferrografía y tendencia</t>
  </si>
  <si>
    <t>Inspecciona instrumentos de caudal, presión diferencial, turbidez, nivel y temperatura, confirmando señal, ubicación y limpieza después de intervención.</t>
  </si>
  <si>
    <t>Participa en intervenciones de OVH en Filtros de Mosto, conoce e identifica desgaste en piezas de cambio.</t>
  </si>
  <si>
    <t>Valida integridad de telas, placas soporte, empaques, falso fondo, boquillas CIP, drenajes y mirillas, evitando bypass, arrastre de sólidos o contaminación.</t>
  </si>
  <si>
    <t>Participa en el análisis para corrección de fallas: baja filtrabilidad, diferencial alto, movimiento irregular de cuchillas, fugas, turbidez elevada, atascos o descarga incompleta de bagazo.</t>
  </si>
  <si>
    <t>Interpreta P&amp;ID y secuencias de bloqueo para aislar mosto caliente, vapor, hidráulica, neumática, electricidad y energía potencial antes de intervenir.</t>
  </si>
  <si>
    <t>P&amp;ID, matriz de válvulas, secuencia de operación/CIP y checklist de ruta; P&amp;ID de vapor/condensado, termografía, manómetros y registros de rampa térmica; Turbidímetro, medidor de O₂ disuelto, dP, caudal, SOP de filtración y registros de calidad</t>
  </si>
  <si>
    <t>Ejecuta pruebas funcionales de movimiento, filtración simulada, recirculación, lavado, drenaje, descarga de bagazo y CIP antes de liberar.</t>
  </si>
  <si>
    <t>Documenta hallazgos, modo de falla, causa probable, repuestos, pruebas de estanqueidad/funcionales y condición final para operación.</t>
  </si>
  <si>
    <t>Inspecciona olla de hervido, calandria interna o externa, whirlpool, condensador de vapores, bombas, líneas, válvulas, dosificadores y sistema de enfriamiento.</t>
  </si>
  <si>
    <t>P&amp;ID, matriz de válvulas, secuencia de operación/CIP y checklist de ruta; P&amp;ID de vapor/condensado, termografía, manómetros y registros de rampa térmica; Checklist de bombas/sellos, alineador, comparador, vibrómetro y manual OEM</t>
  </si>
  <si>
    <t>Ejecuta mantenimiento de bombas de mosto caliente, sellos mecánicos, acoplamientos, válvulas sanitarias, actuadores, empaques y conexiones higiénicas.</t>
  </si>
  <si>
    <t>Verifica sistema de vapor y condensado: válvulas de control, trampas, filtros, purgas, retornos, aislamiento y presencia de golpes de ariete o fugas.</t>
  </si>
  <si>
    <t>Evalúa calandria interna o externa, camisas de calentamiento, placas de intercambio o superficies térmicas, identificando incrustación, baja transferencia, corrosión, fugas o restricciones.</t>
  </si>
  <si>
    <t>P&amp;ID de vapor/condensado, termografía, manómetros y registros de rampa térmica</t>
  </si>
  <si>
    <t>Inspecciona whirlpool y rutas de trasiego, verificando boquillas de limpieza, drenajes, líneas de trub, válvulas y condición sanitaria.</t>
  </si>
  <si>
    <t>Interviene dosificadores de lúpulo/aditivos, válvulas, tolvas y líneas asociadas, validando sellado, secuencia, limpieza y ausencia de contaminación cruzada.</t>
  </si>
  <si>
    <t>Verifica intercambiador de calor, válvulas de agua helada/glicol, líneas de oxigenación y sensores de temperatura/caudal antes de liberar mosto frío.</t>
  </si>
  <si>
    <t>Participa en el análisis para corrección de fallas del hervido, evaporación, separación de trub, enfriamiento, oxigenación, transferencia o seguridad por vapor.</t>
  </si>
  <si>
    <t>Realiza pruebas funcionales de vapor, bombas, válvulas, dosificación, whirlpool, enfriamiento y CIP, confirmando parámetros de liberación.</t>
  </si>
  <si>
    <t>Documenta hallazgos de intervención, pruebas de estanqueidad, condición sanitaria, riesgos remanentes y liberación técnica del sistema.</t>
  </si>
  <si>
    <t>Inspecciona fermentadores, centrífugas, propagadores, válvulas sanitarias, camisas de enfriamiento, líneas de levadura, CO₂, CIP, venteos y elementos de seguridad.</t>
  </si>
  <si>
    <t>Ejecuta mantenimiento de válvulas mixproof/mariposa/diafragma, actuadores, sellos, empaques, clamps, líneas sanitarias y conexiones críticas de tanque.</t>
  </si>
  <si>
    <t>Verifica sistema de enfriamiento: válvulas de glicol, camisas de enfriamiento, sensores de temperatura, aislamiento, caudal, fugas y respuesta del lazo de control.</t>
  </si>
  <si>
    <t>Inspecciona elementos de presión/vacío, válvulas de alivio, venteos, filtros estériles, manómetros y transmisores, validando seguridad del tanque.</t>
  </si>
  <si>
    <t>Interviene bombas o líneas de levadura, cosecha, descarte y transferencia, controlando condición sanitaria, estanqueidad y trazabilidad de rutas.</t>
  </si>
  <si>
    <t>Participa en intervenciones OVH de Centrífugas conoce e identifica las piezas de cambio. Revisa bowl, discos, sistema hidráulico, agua de maniobra, lubricación, transmisión, vibración y condición de descarga.</t>
  </si>
  <si>
    <t>Participa en intervenciones OVH de CMF conoce e identifica las piezas de cambio. Conoce procedimiento de identificación de rotura de membrana y de cambio.</t>
  </si>
  <si>
    <t>Participa en intervenciones OVH de Intercambiadores de calor, conoce e identifica las piezas de cambio. Realiza inspección de placas y empaques. Conoce procedimiento de inspección de placas e identificación de rotura.</t>
  </si>
  <si>
    <t>Evalúa instrumentos de temperatura, presión, nivel, conductividad, caudal y CO₂ asociados a fermentación, CIP y transferencias.</t>
  </si>
  <si>
    <t>Participa en el análisis para corrección de fallas en fermentación: pérdida de enfriamiento, válvula trabada, fuga sanitaria, sobrepresión, ingreso de oxígeno o CIP incompleto.</t>
  </si>
  <si>
    <t>Interpreta P&amp;ID y matrices de válvulas para aislar tanques, centrífuga, CMF y líneas sin riesgo de mezcla de lotes, contaminación o liberación de CO₂.</t>
  </si>
  <si>
    <t>Realiza pruebas de estanqueidad, funcionalidad de válvulas, respuesta de enfriamiento, CIP y secuencia automática antes de entregar el equipo.</t>
  </si>
  <si>
    <t>Documenta intervención indicando tanque, componente, modo de falla, acción correctiva, pruebas, condición sanitaria y liberación de mantenimiento.</t>
  </si>
  <si>
    <t>Inspecciona centrífugas, filtro de placas/velas/membranas, dosificadores, bombas, líneas, válvulas, cartuchos, PVPP y elementos de medición asociados a cerveza filtrada.</t>
  </si>
  <si>
    <t>Ejecuta mantenimiento de bombas, sellos, acoples, válvulas sanitarias, actuadores, empaques, conexiones y componentes de filtros según estándar de higiene.</t>
  </si>
  <si>
    <t>Participa en intervenciones OVH de filtro de placas/velas/membranas verificando placas, velas, membranas, colectores, precapa, juntas, drenajes, venteos y puntos de posible bypass o rotura.</t>
  </si>
  <si>
    <t>Verifica dosificación de tierra/PVPP/estabilizantes: bombas, agitadores, tolvas, líneas, concentración, válvulas y puntos de inyección.</t>
  </si>
  <si>
    <t>Inspecciona instrumentos críticos: turbidímetro, oxígeno disuelto, caudal, presión diferencial, temperatura, CO₂ y conductividad CIP.</t>
  </si>
  <si>
    <t>Turbidímetro, medidor de O₂ disuelto, dP, caudal, SOP de filtración y registros de calidad; Analizador CO₂/O₂, manómetros, transmisores, registros de liberación y checklist BBT; Matriz CIP, registro de conductividad/temperatura/tiempo, ATP/micro si aplica</t>
  </si>
  <si>
    <t>Participa en el análisis para corrección de fallas en filtración de cerveza que generen turbidez alta, oxígeno elevado, pérdida de CO₂, diferencial alto, colmatación, fuga sanitaria o transferencia inestable.</t>
  </si>
  <si>
    <t>Interpreta P&amp;ID y secuencias de CIP para aislar filtros, centrífuga, dosificadores y líneas sin contaminación ni mezcla de producto.</t>
  </si>
  <si>
    <t>Realiza pruebas funcionales de filtración, dosificación, presión diferencial, estanqueidad, purga, CIP y transferencia hacia BBT.</t>
  </si>
  <si>
    <t>Documenta hallazgos, modo de falla, condición sanitaria, repuestos, pruebas de calidad asociadas y restricciones de liberación.</t>
  </si>
  <si>
    <t>Inspecciona BBTs, carbonatadores, generador de agua desaireada, manifold de transferencia, líneas de envío a envasado, válvulas, filtros estériles, CIP, CO₂ y elementos de seguridad.</t>
  </si>
  <si>
    <t>Ejecuta mantenimiento de los principales equipos como BBTs, válvulas sanitarias, actuadores, reguladores, sellos, empaques, clamps, conexiones, bombas y accesorios de transferencia.</t>
  </si>
  <si>
    <t>Verifica carbonatador, sistema de inyección, control de CO₂, presión, caudal y estabilidad de mezcla antes de liberar.</t>
  </si>
  <si>
    <t>Inspecciona válvulas de presión/vacío, venteos, filtros estériles, manómetros, transmisores y dispositivos de seguridad del tanque.</t>
  </si>
  <si>
    <t>Evalúa instrumentos de presión, nivel, temperatura, CO₂, oxígeno disuelto, turbidez y caudal asociados a BBT y envío a envasado.</t>
  </si>
  <si>
    <t>Turbidímetro, medidor de O₂ disuelto, dP, caudal, SOP de filtración y registros de calidad; Analizador CO₂/O₂, manómetros, transmisores, registros de liberación y checklist BBT</t>
  </si>
  <si>
    <t>Participa en el análisis para corrección de fallas en BBTs que generen ingreso de oxígeno, pérdida de CO₂, espuma, mezcla de lotes, presión inestable, contaminación o bloqueo de transferencia.</t>
  </si>
  <si>
    <t>Interviene válvulas y bombas de las matrices de válvulas y rutas a envasado para prevenir riesgo de mezcla de lotes o contaminación.</t>
  </si>
  <si>
    <t>P&amp;ID, matriz de válvulas, secuencia de operación/CIP y checklist de ruta; Analizador CO₂/O₂, manómetros, transmisores, registros de liberación y checklist BBT; Checklist de bombas/sellos, alineador, comparador, vibrómetro y manual OEM</t>
  </si>
  <si>
    <t>Realiza pruebas de estanqueidad, purga, presurización, CIP, transferencia y estabilidad de presión antes de entregar el BBT.</t>
  </si>
  <si>
    <t>Documenta intervención indicando tanque, componente, causa probable, pruebas funcionales, condición sanitaria y restricciones de operación.</t>
  </si>
  <si>
    <t>Guía Técnica L8 Elaboración</t>
  </si>
  <si>
    <r>
      <t xml:space="preserve">INSTRUCCIONES:
</t>
    </r>
    <r>
      <rPr>
        <i/>
        <sz val="12"/>
        <color theme="1"/>
        <rFont val="Calibri"/>
        <family val="2"/>
      </rPr>
      <t>1. Aplicable a operadores, técnicos mecánicos y PTE en el/los proceso(s) que corresponda
2. Seleccionar las casillas de las habilidades con las que ya cuenta la persona evaluada
3. Dejar vacía las casillas de las habilidades que aún no están desarrolladas en la persona evaluada y registrar plan de acción en "Plan de Cierre de Brechas"
4. No están permitido NA sin previa validación de Director Zonal de Mantenimiento</t>
    </r>
  </si>
  <si>
    <t>Interpretación de reporte predictivo real/simulado + diagnóstico de severidad y acción realizada.</t>
  </si>
  <si>
    <t>Checklist de transporte/aspiración, manómetro/dP, tacómetro y registros PM; Matriz CIP, registro de conductividad/temperatura/tiempo, ATP/micro si aplica; Checklist de bombas/sellos, alineador, comparador, vibrómetro y manual OEM</t>
  </si>
  <si>
    <t>Interpreta resultados de análisis de termografía en motores, rodamientos, reductores y puntos de fricción. Relaciona los resultados con principales fallas por fricción, exceso de carga y lubricación deficiente.</t>
  </si>
  <si>
    <t>Matriz CIP, registro de conductividad/temperatura/tiempo, ATP/micro si aplica; Cámara termográfica, informe IR, cargas eléctricas/térmicas y tendencia histórica; Informe de análisis de aceite, viscosidad, partículas, agua, ferrografía y tendencia</t>
  </si>
  <si>
    <t>Interpreta resultados de análisis de ultrasonido para detectar fugas neumáticas, fricción, falla incipiente de rodamientos, descarga parcial y pérdidas de aspiración en sistemas de polvo.</t>
  </si>
  <si>
    <t>Checklist de transporte/aspiración, manómetro/dP, tacómetro y registros PM; Matriz CIP, registro de conductividad/temperatura/tiempo, ATP/micro si aplica; Equipo de ultrasonido, ruta de fugas/rodamientos, dB/FFT y reporte predictivo</t>
  </si>
  <si>
    <t>Interpreta resultados de análisis de aceite en reductores, sistemas de bombeo y sistemas hidráulicos, relaciona con fallas de desgaste en piezas mecánicas (partículas en aceite) y viscosidad.</t>
  </si>
  <si>
    <t>Informe de análisis de aceite, viscosidad, partículas, agua, ferrografía y tendencia</t>
  </si>
  <si>
    <t>Identifica y correlaciona comportamiento de presión diferencial de filtros de polvo, amperaje, alarmas de atasco y capacidad transportada para anticipar fallas y pérdida de confiabilidad.</t>
  </si>
  <si>
    <t>Análisis de condición/tendencias + caso de falla funcional + recomendación técnica.</t>
  </si>
  <si>
    <t>HMI/SCADA, históricos de tendencia, alarmas y SOP de respuesta; Checklist de transporte/aspiración, manómetro/dP, tacómetro y registros PM; Matriz CIP, registro de conductividad/temperatura/tiempo, ATP/micro si aplica</t>
  </si>
  <si>
    <t>Participa en elaboración de RCM y/o CBM para transportadores, elevadores, limpiadoras, aspiradores y básculas, priorizando modos de falla por seguridad, producción y calidad. Interpreta los resultados y entiende los beneficios en su proceso.</t>
  </si>
  <si>
    <t>Caso RCM/CBM + revisión de criticidad, modo de falla, tarea propuesta y beneficio.</t>
  </si>
  <si>
    <t>Checklist de transporte/aspiración, manómetro/dP, tacómetro y registros PM; Matriz CIP, registro de conductividad/temperatura/tiempo, ATP/micro si aplica; Matriz RCM/CBM, AFJ, historial de fallas, criticidad, PM/WO y toolkit corporativo</t>
  </si>
  <si>
    <t>Tamices/granulometría, galgas, amperímetro, manual OEM y checklist de molino; Matriz CIP, registro de conductividad/temperatura/tiempo, ATP/micro si aplica; Checklist de bombas/sellos, alineador, comparador, vibrómetro y manual OEM</t>
  </si>
  <si>
    <t>Interpreta resultados de análisis de termografía en motores, rodamientos, reductores y puntos de fricción. Relaciona los resultados con sobrecarga y lubricación deficiente.</t>
  </si>
  <si>
    <t>Tamices/granulometría, galgas, amperímetro, manual OEM y checklist de molino; Cámara termográfica, informe IR, cargas eléctricas/térmicas y tendencia histórica; Informe de análisis de aceite, viscosidad, partículas, agua, ferrografía y tendencia</t>
  </si>
  <si>
    <t>Interpreta resultados de análisis de ultrasonido para detectar fugas neumáticas, fricción, falla incipiente de rodamientos, descarga parcial y pérdidas de aspiración en sistemas de molienda.</t>
  </si>
  <si>
    <t>Interpreta resultados de condición de lubricantes (análisis de aceites), identificando contaminación, temperatura y partículas en reductores o sistemas centralizados, definiendo severidad y ventana de intervención.</t>
  </si>
  <si>
    <t>Participa en la elaboración de CBM y/o RCM de molinos considerando impacto en extracción, filtrabilidad, consumo energético y tiempo de ciclo. Interpreta resultados y entiende los beneficios en su proceso.</t>
  </si>
  <si>
    <t>Tamices/granulometría, galgas, amperímetro, manual OEM y checklist de molino; Matriz CIP, registro de conductividad/temperatura/tiempo, ATP/micro si aplica; Matriz RCM/CBM, AFJ, historial de fallas, criticidad, PM/WO y toolkit corporativo</t>
  </si>
  <si>
    <t>Interpreta resultados de análisis de vibración en reductores, motores, bombas y acoplamientos para detectar desalineación, falla de rodamientos, cavitación o pérdida de balance.</t>
  </si>
  <si>
    <t>Checklist de bombas/sellos, alineador, comparador, vibrómetro y manual OEM; Analizador de vibraciones, espectros/tendencias, rutas CBM y límites de severidad</t>
  </si>
  <si>
    <t>Interpreta resultados de análisis de termografía en motores, reductores y puntos de fricción.</t>
  </si>
  <si>
    <t>Cámara termográfica, informe IR, cargas eléctricas/térmicas y tendencia histórica</t>
  </si>
  <si>
    <t>Interpreta resultados de análisis de termografía en trampas de vapor identificando su correcto funcionamiento e impactos en consumo energético.</t>
  </si>
  <si>
    <t>P&amp;ID de vapor/condensado, termografía, manómetros y registros de rampa térmica; Cámara termográfica, informe IR, cargas eléctricas/térmicas y tendencia histórica</t>
  </si>
  <si>
    <t>Analiza comportamiento de los principales lazos de control para anticipar inestabilidad o pérdida de control del proceso. Conoce y es capaz de sugerir ajustes en controladores PID.</t>
  </si>
  <si>
    <t>Interpreta y conoce los beneficios del monitoreo de condiciones AFJ (Alarmas, Fallas y Forzados)/ ISA (Indicador de Salud de Automatización) . Evidencia control y seguimiento.</t>
  </si>
  <si>
    <t>Caso AFJ + revisión de  Alarmas, Fallas y Forzados + diagnóstico y acción realizada.</t>
  </si>
  <si>
    <t>HMI/SCADA, históricos de tendencia, alarmas y SOP de respuesta; Matriz RCM/CBM, AFJ, historial de fallas, criticidad, PM/WO y toolkit corporativo</t>
  </si>
  <si>
    <t>Interpreta y participa en el desarrollo del Toolkit de Válvulas y Bombas de Brewingrewing. Analisa resultados y genera avisos de mantenimiento. Evidencia control y seguimiento.</t>
  </si>
  <si>
    <t>Revisión de Toolkit, reporte mensual de avances + plan de trabajo 1YP</t>
  </si>
  <si>
    <t>Participa en la elaboración de CBM y/o RCM de los principales equipos del sistema de maceración priorizando modos de falla que afecten conversión, mezcla, inocuidad, seguridad por vapor y disponibilidad.</t>
  </si>
  <si>
    <t>P&amp;ID de vapor/condensado, termografía, manómetros y registros de rampa térmica; Matriz CIP, registro de conductividad/temperatura/tiempo, ATP/micro si aplica; Matriz RCM/CBM, AFJ, historial de fallas, criticidad, PM/WO y toolkit corporativo</t>
  </si>
  <si>
    <t>Turbidímetro, medidor de O₂ disuelto, dP, caudal, SOP de filtración y registros de calidad; Checklist de bombas/sellos, alineador, comparador, vibrómetro y manual OEM; Analizador de vibraciones, espectros/tendencias, rutas CBM y límites de severidad</t>
  </si>
  <si>
    <t>Interpreta resultados de análisis de termografía aplicado a anillos colectores, calentadores de cascos tubos y placas a fin de determinar deficiciencia en transferencia de calor, obstrucciones, perdidas de flujo.</t>
  </si>
  <si>
    <t>P&amp;ID de vapor/condensado, termografía, manómetros y registros de rampa térmica; Turbidímetro, medidor de O₂ disuelto, dP, caudal, SOP de filtración y registros de calidad; Cámara termográfica, informe IR, cargas eléctricas/térmicas y tendencia histórica</t>
  </si>
  <si>
    <t>Aplica ultrasonido y termografía para detectar fugas hidráulicas, cavitación, fricción, sobrecalentamiento, aire atrapado o pérdida de eficiencia en actuadores.</t>
  </si>
  <si>
    <t>HMI/SCADA, históricos de tendencia, alarmas y SOP de respuesta; Turbidímetro, medidor de O₂ disuelto, dP, caudal, SOP de filtración y registros de calidad; Matriz RCM/CBM, AFJ, historial de fallas, criticidad, PM/WO y toolkit corporativo</t>
  </si>
  <si>
    <t>Revisión de Toolkit, reporte mensual de avances + plan de trabajo 1YP.</t>
  </si>
  <si>
    <t>Participa en la elaboración de CBM/RCM para lauter tun o mash filter considerando claridad de mosto, rendimiento, tiempo de ciclo, seguridad e impacto en producción.</t>
  </si>
  <si>
    <t>Turbidímetro, medidor de O₂ disuelto, dP, caudal, SOP de filtración y registros de calidad; Matriz CIP, registro de conductividad/temperatura/tiempo, ATP/micro si aplica; Matriz RCM/CBM, AFJ, historial de fallas, criticidad, PM/WO y toolkit corporativo</t>
  </si>
  <si>
    <t>Interpreta resultados de análisis de termografía aplicado a intercambiadores de calor a fin de determinar deficiciencia en transferencia de calor, obstrucciones, perdidas de flujo.</t>
  </si>
  <si>
    <t>P&amp;ID de vapor/condensado, termografía, manómetros y registros de rampa térmica; Cámara termográfica, informe IR, cargas eléctricas/térmicas y tendencia histórica; Equipo de ultrasonido, ruta de fugas/rodamientos, dB/FFT y reporte predictivo</t>
  </si>
  <si>
    <t>Participa en la elaboración de CBM/RCM en Whirlpool / evaporador / enfriador identificando modos críticos que afecten inocuidad, hervor, separación de trub, enfriamiento, seguridad por vapor y disponibilidad.</t>
  </si>
  <si>
    <t>Interpreta resultados de análisis de vibración en reductores, motores, bombas, centrífugas y acoplamientos para detectar desalineación, falla de rodamientos, cavitación o pérdida de balance.</t>
  </si>
  <si>
    <t>Participa en la elaboración de RCM/CBM para centrífugas, CMF, propagadores, matriz de válvulas y sistemas de enfriamiento priorizando calidad, seguridad, inocuidad y continuidad operativa.</t>
  </si>
  <si>
    <t>Turbidímetro, medidor de O₂ disuelto, dP, caudal, SOP de filtración y registros de calidad; Cámara termográfica, informe IR, cargas eléctricas/térmicas y tendencia histórica</t>
  </si>
  <si>
    <t>Participa en la elaboración de RCM/CBM para filtros de cerveza, centrífugas, sistemas de mezcla evitando la ganancia de oxígeno, mejorando la claridad, seguridad e inocuidad.</t>
  </si>
  <si>
    <t>Turbidímetro, medidor de O₂ disuelto, dP, caudal, SOP de filtración y registros de calidad; Analizador CO₂/O₂, manómetros, transmisores, registros de liberación y checklist BBT; Checklist de bombas/sellos, alineador, comparador, vibrómetro y manual OEM</t>
  </si>
  <si>
    <t>Interpreta resultados de análisis de termografía aplicado a motores y bombas a fin de determinar friccón, cavitación, deficiencias en lubricación.</t>
  </si>
  <si>
    <t>Analizador CO₂/O₂, manómetros, transmisores, registros de liberación y checklist BBT; Checklist de bombas/sellos, alineador, comparador, vibrómetro y manual OEM; Cámara termográfica, informe IR, cargas eléctricas/térmicas y tendencia histórica</t>
  </si>
  <si>
    <t>P&amp;ID de vapor/condensado, termografía, manómetros y registros de rampa térmica; Analizador CO₂/O₂, manómetros, transmisores, registros de liberación y checklist BBT; Cámara termográfica, informe IR, cargas eléctricas/térmicas y tendencia histórica</t>
  </si>
  <si>
    <t>Analizador CO₂/O₂, manómetros, transmisores, registros de liberación y checklist BBT; Informe de análisis de aceite, viscosidad, partículas, agua, ferrografía y tendencia</t>
  </si>
  <si>
    <t>HMI/SCADA, históricos de tendencia, alarmas y SOP de respuesta; Analizador CO₂/O₂, manómetros, transmisores, registros de liberación y checklist BBT; Matriz RCM/CBM, AFJ, historial de fallas, criticidad, PM/WO y toolkit corporativo</t>
  </si>
  <si>
    <t>Participa en la elaboración de RCM/CBM del sistema BBT y carbonatación priorizando modos de falla que afecten oxígeno, CO₂, presión, inocuidad, trazabilidad y continuidad de envasado.</t>
  </si>
  <si>
    <t>Analizador CO₂/O₂, manómetros, transmisores, registros de liberación y checklist BBT; Matriz CIP, registro de conductividad/temperatura/tiempo, ATP/micro si aplica; Matriz RCM/CBM, AFJ, historial de fallas, criticidad, PM/WO y toolkit corporativo</t>
  </si>
  <si>
    <t>Evitar repetición de criterios genéricos en L6, L7 y L8. Las hojas principales quedan específicas por sala/equipo; esta hoja define la base común exigible a todo evaluado.</t>
  </si>
  <si>
    <t>Nivel</t>
  </si>
  <si>
    <t>Enfoque</t>
  </si>
  <si>
    <t>Competencias transversales</t>
  </si>
  <si>
    <t>Evidencia mínima</t>
  </si>
  <si>
    <t>Aplicación</t>
  </si>
  <si>
    <t>Conocimiento técnico de equipos/salas</t>
  </si>
  <si>
    <t>Lectura básica de HMI/SCADA, identificación de equipos, variables críticas, riesgos de proceso, rutas, alarmas y criterios de escalamiento.</t>
  </si>
  <si>
    <t>Explica el flujo, reconoce equipos y variables críticas, identifica condición anormal y comunica sin intervenir fuera de autorización.</t>
  </si>
  <si>
    <t>Todas las salas de elaboración.</t>
  </si>
  <si>
    <t>Mantenimiento correctivo/intermedio y parada mayor</t>
  </si>
  <si>
    <t>Bloqueo de energías, lectura de P&amp;ID/planos, intervención mecánica/sanitaria, ajuste, reemplazo, pruebas funcionales y documentación técnica.</t>
  </si>
  <si>
    <t>Ejecuta o sustenta intervención segura, valida pruebas sin carga/con carga, registra modo de falla, causa probable y condición de liberación.</t>
  </si>
  <si>
    <t>Paradas mayores, correctivos planificados e intervenciones especializadas.</t>
  </si>
  <si>
    <t>Predictivo, RCM, CBM y análisis de falla</t>
  </si>
  <si>
    <t>Vibración, termografía, ultrasonido, análisis de aceite, tendencias de proceso, criticidad, modos de falla, severidad y ventana de intervención.</t>
  </si>
  <si>
    <t>Interpreta tendencias, define severidad, prioriza intervención y vincula condición del activo con riesgo de producción, seguridad, calidad e inocuidad.</t>
  </si>
  <si>
    <t>Gestión de confiabilidad y mantenimiento basado en condición.</t>
  </si>
  <si>
    <t>Regla técnica</t>
  </si>
  <si>
    <t>Los criterios repetitivos no deben evaluarse como frases genéricas dentro de cada sala. Deben aterrizarse al equipo, variable, componente, modo de falla o riesgo específico de la sala evaluada.</t>
  </si>
  <si>
    <t>Verbos estándar</t>
  </si>
  <si>
    <t>Identifica, interpreta, verifica, reconoce, relaciona, ejecuta, corrige, valida, documenta, analiza, correlaciona, define.</t>
  </si>
  <si>
    <t>Criterio de aprobación</t>
  </si>
  <si>
    <t>Se considera competente cuando demuestra conocimiento verificable, acción segura, criterio técnico y capacidad de escalamiento. No basta con declarar que “conoce” el sistema.</t>
  </si>
  <si>
    <t>Revisión de P&amp;ID/plano/secuencia. Explicación en campo.</t>
  </si>
  <si>
    <t>Evaluación práctica DTO de intervención/parada mayor + LOTOTO + inspección de componentes según SWI de actividad</t>
  </si>
  <si>
    <t>Interpreta planos P&amp;D mecánicos, eléctricos y neumáticos básicos para aislar, intervenir y liberar equipos de molienda con control de energías peligrosas.</t>
  </si>
  <si>
    <t>Interpreta planos P&amp;D mecánicos, eléctricos y neumáticos básicos para aislar, intervenir y liberar equipos de materia prima con control de energías peligrosas.</t>
  </si>
  <si>
    <t>Caso análisis de falla + revisión  + diagnóstico y acción realizada.</t>
  </si>
  <si>
    <t>Prueba práctica en Scada/campo con checklist y explicación de criterio de aceptación.</t>
  </si>
  <si>
    <t>Análisis de tendencia/histórico + entrevista técnica + validación en Scada.</t>
  </si>
  <si>
    <t>Entrevista técnica guiada + validación con resultados en receta.</t>
  </si>
  <si>
    <t>Evaluación práctica DTO de intervención + inspección de componentes según SWI de actividad</t>
  </si>
  <si>
    <t>Revisión de Orden Trabajo + validación de calidad del reporte técnico.</t>
  </si>
  <si>
    <t>Verifica chaquetas de calentamiento, serpentines, calandria, válvulas de vapor, trampas, retorno de condensado y aislamiento térmico, identificando restricciones, fugas o baja transferencia.</t>
  </si>
  <si>
    <t>Interpreta resultados de análisis de vibración en motores, reductores, ventiladores, elevadores y transportadores. Relaciona los resultados con principales fallas por condiciones relacionadas a desbalance, desalineación, holgura y falla de rodamientos.</t>
  </si>
  <si>
    <t>Interpreta resultados de análisis de vibración en molienda, motor, reductor, rodamientos, molino y ventiladores. Relaciona los resultados con principales fallas por condiciones relacionadas a desbalance, desalineación, holgura y falla de rodamientos.</t>
  </si>
  <si>
    <t>Conoce y hace uso del histórico de gráficas, protocolo de pasos, reporte de alarmas del sistema SCADA/HMI para identificar fallas o desviaciones en el comportamiento de los principales equipos de la sala de maceración.</t>
  </si>
  <si>
    <t>Conoce y hace uso del histórico de gráficas, protocolo de pasos, reporte de alarmas del sistema SCADA/HMI para identificar fallas o desviaciones en el comportamiento de los principales equipos del proceso de filtración de mosto.</t>
  </si>
  <si>
    <t>Conoce y hace uso del histórico de gráficas, protocolo de pasos, reporte de alarmas del sistema SCADA/HMI para identificar fallas o desviaciones en el comportamiento de los principales equipos de la sala de cocimientos.</t>
  </si>
  <si>
    <t>Conoce y hace uso del histórico de gráficas, protocolo de pasos, reporte de alarmas del sistema SCADA/HMI para identificar fallas o desviaciones en el comportamiento de los principales equipos de la sala de fermentación.</t>
  </si>
  <si>
    <t>Conoce y hace uso del histórico de gráficas, protocolo de pasos, reporte de alarmas del sistema SCADA/HMI para identificar fallas o desviaciones en el comportamiento de los principales equipos de la sala de BBTs.</t>
  </si>
  <si>
    <t>Conoce y hace uso del histórico de gráficas, protocolo de pasos, reporte de alarmas del sistema SCADA/HMI para identificar fallas o desviaciones en el comportamiento de los principales equipos de la sala de filtración y estabilización.</t>
  </si>
  <si>
    <t>Participa en el análisis para corrección de fallas típicas en compuertas, actuadores, sensores y enclavamientos locales, diferenciando falla mecánica, neumática, eléctrica o de señal.</t>
  </si>
  <si>
    <t>Interpreta resultados de ultrasonido y termografía para detectar fugas hidráulicas, cavitación, fricción, sobrecalentamiento, aire atrapado o pérdida de eficiencia en actuadores.</t>
  </si>
  <si>
    <t>Interpreta resultados de  ultrasonido y termografía para detectar fugas hidráulicas, cavitación, fricción, sobrecalentamiento, aire atrapado o pérdida de eficiencia en actuadores.</t>
  </si>
  <si>
    <t>Comprende el funcionamiento de los diferentes equipos que forman el sistema de almacenamiento, transporte y limpieza de materia prima como: Silos, transportadores, elevadores, rotoesclusas, limpiadoras de grano, imanes, filtros de polvo, básculas y dosificadores.</t>
  </si>
  <si>
    <t>Reconoce riesgos críticos asociados al manejo de materia prima: Polvo combustible, atrapamiento, caída de material, contaminación cruzada, derrames y limpieza deficiente del área.</t>
  </si>
  <si>
    <t>Identifica sensores y protecciones del sistema de materia prima: Detección de nivel alto/bajo, velocidad, desvío de banda, detección de atasco y presión diferencial en filtros de mangas. Es capaz de identificar alarmas en el sistema SCADA/HMI local sugiriendo posibles soluciones al equipo de mantenimiento.</t>
  </si>
  <si>
    <t>Interpreta variables operativas de molienda: Distancia entre rodillos, velocidad de transporte, caudal de alimentación, húmedad de acondicionamiento, amperaje en molino, aspiración y temperatura. (Si aplica).</t>
  </si>
  <si>
    <t>Verifica protecciones y controles de seguridad del sistema: Imanes, detectores metálicos, puertas enclavadas, paros de emergencia, filtros de polvo y secuencia de arranque/parada. Es capaz de identificar alarmas en el sistema SCADA/HMI local y genera avisos de mantenimiento sugiriendo posibles soluciones al equipo de mantenimiento.</t>
  </si>
  <si>
    <t>Conoce y está en capacidad de realizar la regulación de velocidad en transportes de grano del sistema de molienda y alimentación al molino. Realiza la regulación de la humectación del grano en molienda acondicionada, diagnóstico y ceonoce los parametros de trabajo de la bomba de descargue de masa en molienda húmeda.</t>
  </si>
  <si>
    <t>Comprende el funcionamiento de los principales equipos y componentes del sistema de filtración de mosto: lauter tun o mash filter, fondo falso/telas/placas, cuchillas/rakes, sistema hidráulico, bombas, sistema desalojo de bagazo, válvulas e instrumentación.</t>
  </si>
  <si>
    <t>Explica las etapas del ciclo y es capaz de identificar la secuencia en los pasos de la receta: Llenado, formación de cama, recirculación, filtración, lavado de bagazo, drenaje, descarga de bagazo y limpieza CIP.</t>
  </si>
  <si>
    <t>Verifica condición operaciónal de bombas de recirculación, bombas de mosto, sistema hidráulico, válvulas de transferencia, válvulas de lavado y retorno, identificando cavitación, pérdida de capacidad, aumento de amperaje.</t>
  </si>
  <si>
    <t>Explica la función de cuchilla, profundidad de corte, velocidad y secuencia, reconociendo el impacto de un ajuste incorrecto sobre la cama filtrante. Es capaz de realizar la regulación de ser requerido.</t>
  </si>
  <si>
    <t>Método de validación sugerido</t>
  </si>
  <si>
    <t>PROPÓSITO</t>
  </si>
  <si>
    <t>CRITERIOS TRANSVERSALES SEPARADOS</t>
  </si>
  <si>
    <t>NIVEL DE L'S</t>
  </si>
  <si>
    <t>Resumen Elaboración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</si>
</sst>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ont>
    <font>
      <sz val="11"/>
      <color theme="1"/>
      <name val="Aptos Narrow"/>
      <family val="2"/>
    </font>
    <font>
      <b/>
      <sz val="22"/>
      <color theme="1"/>
      <name val="Trebuchet MS"/>
      <family val="2"/>
    </font>
    <font>
      <b/>
      <sz val="12"/>
      <color theme="1"/>
      <name val="Calibri"/>
      <family val="2"/>
    </font>
    <font>
      <b/>
      <sz val="28"/>
      <color theme="1"/>
      <name val="Calibri"/>
      <family val="2"/>
    </font>
    <font>
      <i/>
      <sz val="12"/>
      <color theme="1"/>
      <name val="Calibri"/>
      <family val="2"/>
    </font>
    <font>
      <b/>
      <sz val="22"/>
      <color theme="0"/>
      <name val="Trebuchet MS"/>
      <family val="2"/>
    </font>
    <font>
      <b/>
      <sz val="22"/>
      <color theme="0"/>
      <name val="Calibri"/>
      <family val="2"/>
    </font>
    <font>
      <b/>
      <sz val="12"/>
      <color rgb="FF000000"/>
      <name val="Calibri"/>
      <family val="2"/>
    </font>
    <font>
      <b/>
      <sz val="12"/>
      <color rgb="FFFFFFFF"/>
      <name val="Calibri"/>
      <family val="2"/>
    </font>
    <font>
      <sz val="11"/>
      <color rgb="FF000000"/>
      <name val="Calibri"/>
      <family val="2"/>
    </font>
    <font>
      <sz val="12"/>
      <color rgb="FF000000"/>
      <name val="Calibri"/>
      <family val="2"/>
    </font>
    <font>
      <b/>
      <sz val="11"/>
      <color rgb="FFFFFFFF"/>
      <name val="Calibri"/>
      <family val="2"/>
      <scheme val="major"/>
    </font>
    <font>
      <b/>
      <sz val="11"/>
      <color theme="1"/>
      <name val="Calibri"/>
      <family val="2"/>
      <scheme val="major"/>
    </font>
    <font>
      <sz val="11"/>
      <color theme="1"/>
      <name val="Calibri"/>
      <family val="2"/>
      <scheme val="major"/>
    </font>
    <font>
      <b/>
      <sz val="18"/>
      <color rgb="FFFFFFFF"/>
      <name val="Calibri"/>
      <family val="2"/>
      <scheme val="major"/>
    </font>
    <font>
      <sz val="11"/>
      <color theme="1"/>
      <name val="CaliR"/>
    </font>
    <font>
      <b/>
      <sz val="22"/>
      <color theme="1"/>
      <name val="Calibri"/>
      <family val="2"/>
      <scheme val="major"/>
    </font>
    <font>
      <b/>
      <sz val="12"/>
      <color theme="1"/>
      <name val="Calibri"/>
      <family val="2"/>
      <scheme val="major"/>
    </font>
    <font>
      <b/>
      <sz val="12"/>
      <color theme="0"/>
      <name val="Calibri"/>
      <family val="2"/>
      <scheme val="major"/>
    </font>
    <font>
      <b/>
      <sz val="10"/>
      <color theme="0"/>
      <name val="CaliR"/>
    </font>
    <font>
      <sz val="10"/>
      <color theme="1"/>
      <name val="CaliR"/>
    </font>
    <font>
      <u/>
      <sz val="11"/>
      <color theme="10"/>
      <name val="Aptos Narrow"/>
      <family val="2"/>
    </font>
  </fonts>
  <fills count="14">
    <fill>
      <patternFill patternType="none"/>
    </fill>
    <fill>
      <patternFill patternType="gray125"/>
    </fill>
    <fill>
      <patternFill patternType="solid">
        <fgColor rgb="FFBFBFBF"/>
      </patternFill>
    </fill>
    <fill>
      <patternFill patternType="solid">
        <fgColor rgb="FFC00000"/>
      </patternFill>
    </fill>
    <fill>
      <patternFill patternType="solid">
        <fgColor rgb="FF808080"/>
      </patternFill>
    </fill>
    <fill>
      <patternFill patternType="solid">
        <fgColor rgb="FF0070C0"/>
      </patternFill>
    </fill>
    <fill>
      <patternFill patternType="solid">
        <fgColor theme="0"/>
      </patternFill>
    </fill>
    <fill>
      <patternFill patternType="solid">
        <fgColor theme="2" tint="-9.9978637043366805E-2"/>
        <bgColor indexed="65"/>
      </patternFill>
    </fill>
    <fill>
      <patternFill patternType="solid">
        <fgColor theme="9" tint="0.59999389629810485"/>
        <bgColor indexed="64"/>
      </patternFill>
    </fill>
    <fill>
      <patternFill patternType="solid">
        <fgColor theme="3" tint="0.749992370372631"/>
        <bgColor indexed="64"/>
      </patternFill>
    </fill>
    <fill>
      <patternFill patternType="solid">
        <fgColor rgb="FFD6BBEB"/>
        <bgColor indexed="64"/>
      </patternFill>
    </fill>
    <fill>
      <patternFill patternType="solid">
        <fgColor theme="0"/>
        <bgColor indexed="64"/>
      </patternFill>
    </fill>
    <fill>
      <patternFill patternType="solid">
        <fgColor rgb="FF0070C0"/>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style="thin">
        <color indexed="64"/>
      </right>
      <top style="thin">
        <color auto="1"/>
      </top>
      <bottom style="thin">
        <color indexed="64"/>
      </bottom>
      <diagonal/>
    </border>
    <border>
      <left/>
      <right/>
      <top/>
      <bottom style="thin">
        <color indexed="64"/>
      </bottom>
      <diagonal/>
    </border>
    <border>
      <left style="thin">
        <color theme="1"/>
      </left>
      <right style="thin">
        <color theme="1"/>
      </right>
      <top style="thin">
        <color theme="1"/>
      </top>
      <bottom style="thin">
        <color theme="1"/>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0" fontId="22" fillId="0" borderId="0" applyNumberFormat="0" applyFill="0" applyBorder="0" applyAlignment="0" applyProtection="0"/>
  </cellStyleXfs>
  <cellXfs count="6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lignment wrapText="1"/>
    </xf>
    <xf numFmtId="0" fontId="8" fillId="2" borderId="8" xfId="0" applyFont="1" applyFill="1" applyBorder="1" applyAlignment="1">
      <alignment horizontal="left" vertical="center" wrapText="1"/>
    </xf>
    <xf numFmtId="0" fontId="8" fillId="2" borderId="8" xfId="0" applyFont="1" applyFill="1" applyBorder="1" applyAlignment="1">
      <alignment horizontal="left" vertical="top" wrapText="1"/>
    </xf>
    <xf numFmtId="0" fontId="2" fillId="8" borderId="0" xfId="0" applyFont="1" applyFill="1" applyAlignment="1">
      <alignment vertical="center" wrapText="1"/>
    </xf>
    <xf numFmtId="0" fontId="3" fillId="8" borderId="0" xfId="0" applyFont="1" applyFill="1" applyAlignment="1">
      <alignment horizontal="center" vertical="center" wrapText="1"/>
    </xf>
    <xf numFmtId="0" fontId="2" fillId="9" borderId="0" xfId="0" applyFont="1" applyFill="1" applyAlignment="1">
      <alignment vertical="center" wrapText="1"/>
    </xf>
    <xf numFmtId="0" fontId="3" fillId="9" borderId="0" xfId="0" applyFont="1" applyFill="1" applyAlignment="1">
      <alignment horizontal="center" vertical="center" wrapText="1"/>
    </xf>
    <xf numFmtId="0" fontId="2" fillId="10" borderId="0" xfId="0" applyFont="1" applyFill="1" applyAlignment="1">
      <alignment vertical="center" wrapText="1"/>
    </xf>
    <xf numFmtId="0" fontId="3" fillId="10" borderId="0" xfId="0" applyFont="1" applyFill="1" applyAlignment="1">
      <alignment horizontal="center" vertical="center" wrapText="1"/>
    </xf>
    <xf numFmtId="0" fontId="0" fillId="7" borderId="2" xfId="0" applyFill="1" applyBorder="1" applyAlignment="1">
      <alignment vertical="center"/>
    </xf>
    <xf numFmtId="9" fontId="9" fillId="3" borderId="8" xfId="0" applyNumberFormat="1" applyFont="1" applyFill="1" applyBorder="1" applyAlignment="1">
      <alignment horizontal="center" vertical="center"/>
    </xf>
    <xf numFmtId="0" fontId="8" fillId="2" borderId="8" xfId="0" applyFont="1" applyFill="1" applyBorder="1" applyAlignment="1">
      <alignment horizontal="center" vertical="center" wrapText="1"/>
    </xf>
    <xf numFmtId="0" fontId="0" fillId="7" borderId="1" xfId="0" applyFill="1" applyBorder="1" applyAlignment="1">
      <alignment vertical="center"/>
    </xf>
    <xf numFmtId="0" fontId="11" fillId="0" borderId="4" xfId="0" applyFont="1" applyBorder="1" applyAlignment="1">
      <alignment horizontal="center" vertical="center" wrapText="1"/>
      <extLst>
        <ext xmlns:xfpb="http://schemas.microsoft.com/office/spreadsheetml/2022/featurepropertybag" uri="{C7286773-470A-42A8-94C5-96B5CB345126}">
          <xfpb:xfComplement i="0"/>
        </ext>
      </extLst>
    </xf>
    <xf numFmtId="0" fontId="8" fillId="2" borderId="2" xfId="0" applyFont="1" applyFill="1" applyBorder="1" applyAlignment="1">
      <alignment horizontal="center" vertical="center" wrapText="1"/>
    </xf>
    <xf numFmtId="0" fontId="0" fillId="0" borderId="10" xfId="0" applyBorder="1" applyAlignment="1">
      <alignment vertical="center" wrapText="1"/>
    </xf>
    <xf numFmtId="0" fontId="0" fillId="8" borderId="0" xfId="0" applyFill="1" applyAlignment="1">
      <alignment horizontal="left" vertical="center" wrapText="1"/>
    </xf>
    <xf numFmtId="0" fontId="10" fillId="11" borderId="8" xfId="0" applyFont="1" applyFill="1" applyBorder="1" applyAlignment="1">
      <alignment horizontal="left" vertical="center" wrapText="1"/>
    </xf>
    <xf numFmtId="0" fontId="10" fillId="0" borderId="8" xfId="0" applyFont="1" applyBorder="1" applyAlignment="1">
      <alignment horizontal="left" vertical="center" wrapText="1"/>
    </xf>
    <xf numFmtId="0" fontId="10" fillId="11" borderId="8" xfId="0" applyFont="1" applyFill="1" applyBorder="1" applyAlignment="1">
      <alignment horizontal="left" vertical="top" wrapText="1"/>
    </xf>
    <xf numFmtId="9" fontId="9" fillId="3" borderId="4" xfId="0" applyNumberFormat="1" applyFont="1" applyFill="1" applyBorder="1" applyAlignment="1">
      <alignment horizontal="center" vertical="center"/>
    </xf>
    <xf numFmtId="0" fontId="8" fillId="2" borderId="3"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0" fillId="9" borderId="0" xfId="0" applyFill="1" applyAlignment="1">
      <alignment horizontal="left" vertical="center" wrapText="1"/>
    </xf>
    <xf numFmtId="0" fontId="0" fillId="0" borderId="10" xfId="0" applyBorder="1" applyAlignment="1">
      <alignment vertical="top" wrapText="1"/>
    </xf>
    <xf numFmtId="0" fontId="0" fillId="10" borderId="0" xfId="0" applyFill="1" applyAlignment="1">
      <alignment vertical="center" wrapText="1"/>
    </xf>
    <xf numFmtId="0" fontId="0" fillId="7" borderId="11" xfId="0" applyFill="1" applyBorder="1" applyAlignment="1">
      <alignment vertical="center"/>
    </xf>
    <xf numFmtId="0" fontId="8" fillId="2" borderId="2" xfId="0" applyFont="1" applyFill="1" applyBorder="1" applyAlignment="1">
      <alignment horizontal="left" vertical="center" wrapText="1"/>
    </xf>
    <xf numFmtId="0" fontId="10" fillId="11" borderId="10" xfId="0" applyFont="1" applyFill="1" applyBorder="1" applyAlignment="1">
      <alignment horizontal="left" vertical="center" wrapText="1"/>
    </xf>
    <xf numFmtId="0" fontId="11" fillId="0" borderId="5" xfId="0" applyFont="1" applyBorder="1" applyAlignment="1">
      <alignment horizontal="center" vertical="center" wrapText="1"/>
      <extLst>
        <ext xmlns:xfpb="http://schemas.microsoft.com/office/spreadsheetml/2022/featurepropertybag" uri="{C7286773-470A-42A8-94C5-96B5CB345126}">
          <xfpb:xfComplement i="0"/>
        </ext>
      </extLst>
    </xf>
    <xf numFmtId="0" fontId="13" fillId="0" borderId="10" xfId="0" applyFont="1" applyBorder="1" applyAlignment="1">
      <alignment horizontal="center" vertical="center" wrapText="1"/>
    </xf>
    <xf numFmtId="0" fontId="14" fillId="0" borderId="0" xfId="0" applyFont="1" applyAlignment="1">
      <alignment vertical="center" wrapText="1"/>
    </xf>
    <xf numFmtId="0" fontId="12" fillId="4" borderId="10" xfId="0" applyFont="1" applyFill="1" applyBorder="1" applyAlignment="1">
      <alignment horizontal="center" vertical="center" wrapText="1"/>
    </xf>
    <xf numFmtId="0" fontId="14" fillId="0" borderId="10" xfId="0" applyFont="1" applyBorder="1" applyAlignment="1">
      <alignment vertical="center" wrapText="1"/>
    </xf>
    <xf numFmtId="0" fontId="13" fillId="0" borderId="10" xfId="0" applyFont="1" applyBorder="1" applyAlignment="1">
      <alignment vertical="center" wrapText="1"/>
    </xf>
    <xf numFmtId="0" fontId="6" fillId="12" borderId="0" xfId="0" applyFont="1" applyFill="1" applyAlignment="1">
      <alignment vertical="center" wrapText="1"/>
    </xf>
    <xf numFmtId="9" fontId="16" fillId="7" borderId="7" xfId="1" applyFont="1" applyFill="1" applyBorder="1" applyAlignment="1">
      <alignment horizontal="center" vertical="center"/>
    </xf>
    <xf numFmtId="9" fontId="16" fillId="7" borderId="6" xfId="1" applyFont="1" applyFill="1" applyBorder="1" applyAlignment="1">
      <alignment horizontal="center" vertical="center"/>
    </xf>
    <xf numFmtId="0" fontId="17" fillId="6" borderId="8" xfId="0" applyFont="1" applyFill="1" applyBorder="1" applyAlignment="1">
      <alignment vertical="center" wrapText="1"/>
    </xf>
    <xf numFmtId="0" fontId="19" fillId="5" borderId="2" xfId="0" applyFont="1" applyFill="1" applyBorder="1" applyAlignment="1">
      <alignment horizontal="center" vertical="center"/>
    </xf>
    <xf numFmtId="0" fontId="20" fillId="12" borderId="8" xfId="0" applyFont="1" applyFill="1" applyBorder="1"/>
    <xf numFmtId="0" fontId="21" fillId="13" borderId="8" xfId="0" applyFont="1" applyFill="1" applyBorder="1" applyAlignment="1">
      <alignment horizontal="left"/>
    </xf>
    <xf numFmtId="0" fontId="21" fillId="13" borderId="8" xfId="0" applyFont="1" applyFill="1" applyBorder="1"/>
    <xf numFmtId="0" fontId="22" fillId="8" borderId="10" xfId="2" applyFill="1" applyBorder="1" applyAlignment="1">
      <alignment horizontal="center" vertical="center" wrapText="1"/>
    </xf>
    <xf numFmtId="0" fontId="22" fillId="9" borderId="10" xfId="2" applyFill="1" applyBorder="1" applyAlignment="1">
      <alignment horizontal="center" vertical="center" wrapText="1"/>
    </xf>
    <xf numFmtId="0" fontId="22" fillId="10" borderId="10" xfId="2" applyFill="1" applyBorder="1" applyAlignment="1">
      <alignment horizontal="center" vertical="center" wrapText="1"/>
    </xf>
    <xf numFmtId="0" fontId="7" fillId="5" borderId="9"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4" fillId="8" borderId="0" xfId="0" applyFont="1" applyFill="1" applyAlignment="1">
      <alignment horizontal="center" vertical="center" wrapText="1"/>
    </xf>
    <xf numFmtId="0" fontId="3" fillId="8" borderId="9" xfId="0" applyFont="1" applyFill="1" applyBorder="1" applyAlignment="1">
      <alignment horizontal="left" vertical="center" wrapText="1"/>
    </xf>
    <xf numFmtId="0" fontId="3" fillId="9" borderId="0" xfId="0" applyFont="1" applyFill="1" applyAlignment="1">
      <alignment horizontal="left" vertical="center" wrapText="1"/>
    </xf>
    <xf numFmtId="0" fontId="4" fillId="9" borderId="0" xfId="0" applyFont="1" applyFill="1" applyAlignment="1">
      <alignment horizontal="center" vertical="center" wrapText="1"/>
    </xf>
    <xf numFmtId="0" fontId="3" fillId="10" borderId="0" xfId="0" applyFont="1" applyFill="1" applyAlignment="1">
      <alignment horizontal="left" vertical="center" wrapText="1"/>
    </xf>
    <xf numFmtId="0" fontId="4" fillId="10" borderId="0" xfId="0" applyFont="1" applyFill="1" applyAlignment="1">
      <alignment horizontal="center" vertical="center" wrapText="1"/>
    </xf>
    <xf numFmtId="0" fontId="15" fillId="12" borderId="0" xfId="0" applyFont="1" applyFill="1" applyAlignment="1">
      <alignment horizontal="center" vertical="center" wrapText="1"/>
    </xf>
    <xf numFmtId="0" fontId="14" fillId="0" borderId="10" xfId="0" applyFont="1" applyBorder="1" applyAlignment="1">
      <alignment horizontal="center" vertical="center" wrapText="1"/>
    </xf>
  </cellXfs>
  <cellStyles count="3">
    <cellStyle name="Hipervínculo" xfId="2" builtinId="8"/>
    <cellStyle name="Normal" xfId="0" builtinId="0"/>
    <cellStyle name="Porcentaje" xfId="1" xr:uid="{00000000-0005-0000-0000-000001000000}"/>
  </cellStyles>
  <dxfs count="28">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rgb="FF00B050"/>
        </patternFill>
      </fill>
    </dxf>
    <dxf>
      <font>
        <b/>
        <color theme="0"/>
      </font>
      <fill>
        <patternFill>
          <bgColor rgb="FFC00000"/>
        </patternFill>
      </fill>
    </dxf>
    <dxf>
      <font>
        <b/>
        <color theme="0"/>
      </font>
      <fill>
        <patternFill>
          <bgColor theme="0" tint="-0.24994659260841701"/>
        </patternFill>
      </fill>
    </dxf>
    <dxf>
      <font>
        <color rgb="FF9C0006"/>
      </font>
      <fill>
        <patternFill>
          <bgColor rgb="FFFFC7CE"/>
        </patternFill>
      </fill>
    </dxf>
  </dxfs>
  <tableStyles count="0" defaultTableStyle="TableStyleMedium2" defaultPivotStyle="PivotStyleLight16"/>
  <colors>
    <mruColors>
      <color rgb="FFD6BBEB"/>
      <color rgb="FFCCCCFF"/>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B13" sqref="B13"/>
    </sheetView>
  </sheetViews>
  <sheetFormatPr baseColWidth="10" defaultColWidth="11.42578125" defaultRowHeight="15"/>
  <cols>
    <col min="1" max="1" width="36" bestFit="1" customWidth="1"/>
    <col min="2" max="2" width="47.140625" customWidth="1"/>
  </cols>
  <sheetData>
    <row r="1" spans="1:5" ht="18.95" customHeight="1">
      <c r="A1" s="39" t="e" vm="1">
        <v>#VALUE!</v>
      </c>
      <c r="B1" s="50" t="s">
        <v>344</v>
      </c>
      <c r="C1" s="50"/>
      <c r="D1" s="50"/>
      <c r="E1" s="50"/>
    </row>
    <row r="2" spans="1:5" ht="18.95" customHeight="1">
      <c r="A2" s="42"/>
      <c r="B2" s="42"/>
      <c r="C2" s="51" t="s">
        <v>343</v>
      </c>
      <c r="D2" s="52"/>
      <c r="E2" s="53"/>
    </row>
    <row r="3" spans="1:5" ht="16.5" thickBot="1">
      <c r="A3" s="43" t="s">
        <v>0</v>
      </c>
      <c r="B3" s="43" t="s">
        <v>1</v>
      </c>
      <c r="C3" s="43" t="s">
        <v>2</v>
      </c>
      <c r="D3" s="43" t="s">
        <v>3</v>
      </c>
      <c r="E3" s="43" t="s">
        <v>4</v>
      </c>
    </row>
    <row r="4" spans="1:5" ht="15.75" thickBot="1">
      <c r="A4" s="44" t="s">
        <v>5</v>
      </c>
      <c r="B4" s="45" t="s">
        <v>6</v>
      </c>
      <c r="C4" s="40">
        <f>'L6 Elaboración'!C3</f>
        <v>0</v>
      </c>
      <c r="D4" s="40">
        <f>'L7 Elaboración'!C3</f>
        <v>0</v>
      </c>
      <c r="E4" s="41">
        <f>'L8 Elaboración'!C3</f>
        <v>0</v>
      </c>
    </row>
    <row r="5" spans="1:5" ht="15.75" thickBot="1">
      <c r="A5" s="44" t="s">
        <v>7</v>
      </c>
      <c r="B5" s="45" t="s">
        <v>8</v>
      </c>
      <c r="C5" s="40">
        <f>'L6 Elaboración'!C13</f>
        <v>0</v>
      </c>
      <c r="D5" s="40">
        <f>'L7 Elaboración'!C14</f>
        <v>0</v>
      </c>
      <c r="E5" s="41">
        <f>'L8 Elaboración'!C10</f>
        <v>0</v>
      </c>
    </row>
    <row r="6" spans="1:5" ht="15.75" thickBot="1">
      <c r="A6" s="44" t="s">
        <v>9</v>
      </c>
      <c r="B6" s="46" t="s">
        <v>10</v>
      </c>
      <c r="C6" s="40">
        <f>'L6 Elaboración'!C23</f>
        <v>0</v>
      </c>
      <c r="D6" s="40">
        <f>'L7 Elaboración'!C26</f>
        <v>0</v>
      </c>
      <c r="E6" s="41">
        <f>'L8 Elaboración'!C16</f>
        <v>0</v>
      </c>
    </row>
    <row r="7" spans="1:5" ht="15.75" thickBot="1">
      <c r="A7" s="44" t="s">
        <v>11</v>
      </c>
      <c r="B7" s="46" t="s">
        <v>12</v>
      </c>
      <c r="C7" s="40">
        <f>'L6 Elaboración'!C31</f>
        <v>0</v>
      </c>
      <c r="D7" s="40">
        <f>'L7 Elaboración'!C37</f>
        <v>0</v>
      </c>
      <c r="E7" s="41">
        <f>'L8 Elaboración'!C25</f>
        <v>0</v>
      </c>
    </row>
    <row r="8" spans="1:5" ht="15.75" thickBot="1">
      <c r="A8" s="44" t="s">
        <v>13</v>
      </c>
      <c r="B8" s="46" t="s">
        <v>14</v>
      </c>
      <c r="C8" s="40">
        <f>'L6 Elaboración'!C44</f>
        <v>0</v>
      </c>
      <c r="D8" s="40">
        <f>'L7 Elaboración'!C49</f>
        <v>0</v>
      </c>
      <c r="E8" s="41">
        <f>'L8 Elaboración'!C33</f>
        <v>0</v>
      </c>
    </row>
    <row r="9" spans="1:5" ht="15.75" thickBot="1">
      <c r="A9" s="44" t="s">
        <v>15</v>
      </c>
      <c r="B9" s="46" t="s">
        <v>16</v>
      </c>
      <c r="C9" s="40">
        <f>'L6 Elaboración'!C53</f>
        <v>0</v>
      </c>
      <c r="D9" s="40">
        <f>'L7 Elaboración'!C60</f>
        <v>0</v>
      </c>
      <c r="E9" s="41">
        <f>'L8 Elaboración'!C42</f>
        <v>0</v>
      </c>
    </row>
    <row r="10" spans="1:5" ht="15.75" thickBot="1">
      <c r="A10" s="44" t="s">
        <v>17</v>
      </c>
      <c r="B10" s="46" t="s">
        <v>18</v>
      </c>
      <c r="C10" s="40">
        <f>'L6 Elaboración'!C63</f>
        <v>0</v>
      </c>
      <c r="D10" s="40">
        <f>'L7 Elaboración'!C74</f>
        <v>0</v>
      </c>
      <c r="E10" s="41">
        <f>'L8 Elaboración'!C50</f>
        <v>0</v>
      </c>
    </row>
    <row r="11" spans="1:5" ht="15.75" thickBot="1">
      <c r="A11" s="44" t="s">
        <v>19</v>
      </c>
      <c r="B11" s="46" t="s">
        <v>20</v>
      </c>
      <c r="C11" s="40">
        <f>'L6 Elaboración'!C71</f>
        <v>0</v>
      </c>
      <c r="D11" s="40">
        <f>'L7 Elaboración'!C85</f>
        <v>0</v>
      </c>
      <c r="E11" s="41">
        <f>'L8 Elaboración'!C58</f>
        <v>0</v>
      </c>
    </row>
  </sheetData>
  <mergeCells count="2">
    <mergeCell ref="B1:E1"/>
    <mergeCell ref="C2:E2"/>
  </mergeCells>
  <conditionalFormatting sqref="A4:A11">
    <cfRule type="duplicateValues" dxfId="27" priority="4"/>
  </conditionalFormatting>
  <conditionalFormatting sqref="C4:E11">
    <cfRule type="containsText" dxfId="26" priority="1" operator="containsText" text="NA">
      <formula>NOT(ISERROR(SEARCH("NA",C4)))</formula>
    </cfRule>
    <cfRule type="cellIs" dxfId="25" priority="2" operator="lessThanOrEqual">
      <formula>0.79</formula>
    </cfRule>
    <cfRule type="cellIs" dxfId="24" priority="3" operator="greaterThanOrEqual">
      <formula>0.79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
  <sheetViews>
    <sheetView showGridLines="0" zoomScale="70" zoomScaleNormal="70" workbookViewId="0">
      <selection activeCell="D3" sqref="D3"/>
    </sheetView>
  </sheetViews>
  <sheetFormatPr baseColWidth="10" defaultColWidth="10.85546875" defaultRowHeight="15" outlineLevelRow="1"/>
  <cols>
    <col min="1" max="1" width="20.5703125" style="1" customWidth="1"/>
    <col min="2" max="2" width="120.5703125" style="1" customWidth="1"/>
    <col min="3" max="3" width="25.5703125" style="1" customWidth="1"/>
    <col min="4" max="4" width="56.85546875" style="4" bestFit="1" customWidth="1"/>
    <col min="5" max="5" width="114.140625" style="4" hidden="1" customWidth="1"/>
    <col min="6" max="6" width="25.42578125" style="4" hidden="1" customWidth="1"/>
    <col min="7" max="16384" width="10.85546875" style="1"/>
  </cols>
  <sheetData>
    <row r="1" spans="1:6" ht="36">
      <c r="A1" s="7" t="e" vm="1">
        <v>#VALUE!</v>
      </c>
      <c r="B1" s="54" t="s">
        <v>21</v>
      </c>
      <c r="C1" s="54"/>
      <c r="D1" s="20"/>
    </row>
    <row r="2" spans="1:6" ht="93.75" customHeight="1">
      <c r="A2" s="55" t="s">
        <v>22</v>
      </c>
      <c r="B2" s="55"/>
      <c r="C2" s="8" t="str">
        <f>"COMPETENCIAS
[X] Competente
[  ] No competente
"&amp;IF(C4&gt;=80%,"≧80% COMPETENTE","&lt; 80% NO COMPETENTE")</f>
        <v>COMPETENCIAS
[X] Competente
[  ] No competente
≧80% COMPETENTE</v>
      </c>
      <c r="D2" s="20"/>
    </row>
    <row r="3" spans="1:6" ht="29.25" customHeight="1">
      <c r="A3" s="13"/>
      <c r="B3" s="5" t="s">
        <v>6</v>
      </c>
      <c r="C3" s="14">
        <f>IFERROR(COUNTIF(C4:C12,TRUE)/COUNTA(B4:B12),0)</f>
        <v>0</v>
      </c>
      <c r="D3" s="18" t="s">
        <v>340</v>
      </c>
      <c r="E3" s="15" t="str">
        <f>'L7 Elaboración'!E3</f>
        <v>Herramientas / referencia</v>
      </c>
      <c r="F3" s="15" t="str">
        <f>'L7 Elaboración'!F3</f>
        <v>Comentarios / plan de acción</v>
      </c>
    </row>
    <row r="4" spans="1:6" ht="34.5" customHeight="1" outlineLevel="1">
      <c r="A4" s="16"/>
      <c r="B4" s="22" t="s">
        <v>330</v>
      </c>
      <c r="C4" s="17" t="b">
        <v>0</v>
      </c>
      <c r="D4" s="19" t="s">
        <v>23</v>
      </c>
      <c r="E4" s="3" t="s">
        <v>24</v>
      </c>
      <c r="F4" s="3"/>
    </row>
    <row r="5" spans="1:6" ht="35.25" customHeight="1" outlineLevel="1">
      <c r="A5" s="16"/>
      <c r="B5" s="22" t="s">
        <v>25</v>
      </c>
      <c r="C5" s="17" t="b">
        <v>0</v>
      </c>
      <c r="D5" s="19" t="s">
        <v>23</v>
      </c>
      <c r="E5" s="3" t="s">
        <v>24</v>
      </c>
      <c r="F5" s="3"/>
    </row>
    <row r="6" spans="1:6" ht="36.75" customHeight="1" outlineLevel="1">
      <c r="A6" s="16"/>
      <c r="B6" s="22" t="s">
        <v>331</v>
      </c>
      <c r="C6" s="17" t="b">
        <v>0</v>
      </c>
      <c r="D6" s="19" t="s">
        <v>26</v>
      </c>
      <c r="E6" s="3" t="s">
        <v>24</v>
      </c>
      <c r="F6" s="3"/>
    </row>
    <row r="7" spans="1:6" ht="47.25" customHeight="1" outlineLevel="1">
      <c r="A7" s="16"/>
      <c r="B7" s="22" t="s">
        <v>332</v>
      </c>
      <c r="C7" s="17" t="b">
        <v>0</v>
      </c>
      <c r="D7" s="19" t="s">
        <v>313</v>
      </c>
      <c r="E7" s="3" t="s">
        <v>27</v>
      </c>
      <c r="F7" s="3"/>
    </row>
    <row r="8" spans="1:6" ht="39" customHeight="1" outlineLevel="1">
      <c r="A8" s="16"/>
      <c r="B8" s="22" t="s">
        <v>28</v>
      </c>
      <c r="C8" s="17" t="b">
        <v>0</v>
      </c>
      <c r="D8" s="19" t="s">
        <v>23</v>
      </c>
      <c r="E8" s="3" t="s">
        <v>24</v>
      </c>
      <c r="F8" s="3"/>
    </row>
    <row r="9" spans="1:6" ht="35.25" customHeight="1" outlineLevel="1">
      <c r="A9" s="16"/>
      <c r="B9" s="22" t="s">
        <v>29</v>
      </c>
      <c r="C9" s="17" t="b">
        <v>0</v>
      </c>
      <c r="D9" s="19" t="s">
        <v>23</v>
      </c>
      <c r="E9" s="3" t="s">
        <v>30</v>
      </c>
      <c r="F9" s="3"/>
    </row>
    <row r="10" spans="1:6" ht="36.75" customHeight="1" outlineLevel="1">
      <c r="A10" s="16"/>
      <c r="B10" s="22" t="s">
        <v>31</v>
      </c>
      <c r="C10" s="17" t="b">
        <v>0</v>
      </c>
      <c r="D10" s="19" t="s">
        <v>23</v>
      </c>
      <c r="E10" s="3" t="s">
        <v>24</v>
      </c>
      <c r="F10" s="3"/>
    </row>
    <row r="11" spans="1:6" ht="38.25" customHeight="1" outlineLevel="1">
      <c r="A11" s="16"/>
      <c r="B11" s="22" t="s">
        <v>32</v>
      </c>
      <c r="C11" s="17" t="b">
        <v>0</v>
      </c>
      <c r="D11" s="19" t="s">
        <v>26</v>
      </c>
      <c r="E11" s="3" t="s">
        <v>33</v>
      </c>
      <c r="F11" s="3"/>
    </row>
    <row r="12" spans="1:6" ht="31.5" customHeight="1" outlineLevel="1">
      <c r="A12" s="16"/>
      <c r="B12" s="22" t="s">
        <v>34</v>
      </c>
      <c r="C12" s="17" t="b">
        <v>0</v>
      </c>
      <c r="D12" s="19" t="s">
        <v>315</v>
      </c>
      <c r="E12" s="3" t="s">
        <v>35</v>
      </c>
      <c r="F12" s="3"/>
    </row>
    <row r="13" spans="1:6" ht="29.25" customHeight="1">
      <c r="A13" s="16"/>
      <c r="B13" s="6" t="s">
        <v>8</v>
      </c>
      <c r="C13" s="24">
        <f>IFERROR(COUNTIF(C14:C22,TRUE)/COUNTA(B14:B22),0)</f>
        <v>0</v>
      </c>
      <c r="D13" s="26" t="s">
        <v>340</v>
      </c>
      <c r="E13" s="25" t="str">
        <f>'L7 Elaboración'!E3</f>
        <v>Herramientas / referencia</v>
      </c>
      <c r="F13" s="15" t="str">
        <f>'L7 Elaboración'!F3</f>
        <v>Comentarios / plan de acción</v>
      </c>
    </row>
    <row r="14" spans="1:6" ht="29.25" customHeight="1" outlineLevel="1">
      <c r="A14" s="16"/>
      <c r="B14" s="21" t="s">
        <v>36</v>
      </c>
      <c r="C14" s="17" t="b">
        <v>0</v>
      </c>
      <c r="D14" s="19" t="s">
        <v>23</v>
      </c>
      <c r="E14" s="3" t="s">
        <v>37</v>
      </c>
      <c r="F14" s="3"/>
    </row>
    <row r="15" spans="1:6" ht="29.25" customHeight="1" outlineLevel="1">
      <c r="A15" s="16"/>
      <c r="B15" s="21" t="s">
        <v>38</v>
      </c>
      <c r="C15" s="17" t="b">
        <v>0</v>
      </c>
      <c r="D15" s="19" t="s">
        <v>23</v>
      </c>
      <c r="E15" s="3" t="s">
        <v>39</v>
      </c>
      <c r="F15" s="3"/>
    </row>
    <row r="16" spans="1:6" ht="29.25" customHeight="1" outlineLevel="1">
      <c r="A16" s="16"/>
      <c r="B16" s="21" t="s">
        <v>333</v>
      </c>
      <c r="C16" s="17" t="b">
        <v>0</v>
      </c>
      <c r="D16" s="19" t="s">
        <v>314</v>
      </c>
      <c r="E16" s="3" t="s">
        <v>41</v>
      </c>
      <c r="F16" s="3"/>
    </row>
    <row r="17" spans="1:6" ht="31.5" customHeight="1" outlineLevel="1">
      <c r="A17" s="16"/>
      <c r="B17" s="21" t="s">
        <v>42</v>
      </c>
      <c r="C17" s="17" t="b">
        <v>0</v>
      </c>
      <c r="D17" s="19" t="s">
        <v>26</v>
      </c>
      <c r="E17" s="3" t="s">
        <v>41</v>
      </c>
      <c r="F17" s="3"/>
    </row>
    <row r="18" spans="1:6" ht="45" customHeight="1" outlineLevel="1">
      <c r="A18" s="16"/>
      <c r="B18" s="21" t="s">
        <v>334</v>
      </c>
      <c r="C18" s="17" t="b">
        <v>0</v>
      </c>
      <c r="D18" s="19" t="s">
        <v>313</v>
      </c>
      <c r="E18" s="3" t="s">
        <v>43</v>
      </c>
      <c r="F18" s="3"/>
    </row>
    <row r="19" spans="1:6" ht="29.25" customHeight="1" outlineLevel="1">
      <c r="A19" s="16"/>
      <c r="B19" s="21" t="s">
        <v>44</v>
      </c>
      <c r="C19" s="17" t="b">
        <v>0</v>
      </c>
      <c r="D19" s="19" t="s">
        <v>26</v>
      </c>
      <c r="E19" s="3" t="s">
        <v>45</v>
      </c>
      <c r="F19" s="3"/>
    </row>
    <row r="20" spans="1:6" ht="29.25" customHeight="1" outlineLevel="1">
      <c r="A20" s="16"/>
      <c r="B20" s="21" t="s">
        <v>46</v>
      </c>
      <c r="C20" s="17" t="b">
        <v>0</v>
      </c>
      <c r="D20" s="19" t="s">
        <v>23</v>
      </c>
      <c r="E20" s="3" t="s">
        <v>39</v>
      </c>
      <c r="F20" s="3"/>
    </row>
    <row r="21" spans="1:6" ht="46.5" customHeight="1" outlineLevel="1">
      <c r="A21" s="16"/>
      <c r="B21" s="21" t="s">
        <v>335</v>
      </c>
      <c r="C21" s="17" t="b">
        <v>0</v>
      </c>
      <c r="D21" s="19" t="s">
        <v>23</v>
      </c>
      <c r="E21" s="3" t="s">
        <v>47</v>
      </c>
      <c r="F21" s="3"/>
    </row>
    <row r="22" spans="1:6" ht="38.25" customHeight="1" outlineLevel="1">
      <c r="A22" s="16"/>
      <c r="B22" s="21" t="s">
        <v>48</v>
      </c>
      <c r="C22" s="17" t="b">
        <v>0</v>
      </c>
      <c r="D22" s="19" t="s">
        <v>315</v>
      </c>
      <c r="E22" s="3" t="s">
        <v>39</v>
      </c>
      <c r="F22" s="3"/>
    </row>
    <row r="23" spans="1:6" ht="29.25" customHeight="1">
      <c r="A23" s="16"/>
      <c r="B23" s="6" t="s">
        <v>10</v>
      </c>
      <c r="C23" s="24">
        <f>IFERROR(COUNTIF(C24:C30,TRUE)/COUNTA(B24:B30),0)</f>
        <v>0</v>
      </c>
      <c r="D23" s="26" t="s">
        <v>340</v>
      </c>
      <c r="E23" s="25" t="str">
        <f>'L7 Elaboración'!E3</f>
        <v>Herramientas / referencia</v>
      </c>
      <c r="F23" s="15" t="str">
        <f>'L7 Elaboración'!F3</f>
        <v>Comentarios / plan de acción</v>
      </c>
    </row>
    <row r="24" spans="1:6" ht="29.25" customHeight="1" outlineLevel="1">
      <c r="A24" s="16"/>
      <c r="B24" s="21" t="s">
        <v>49</v>
      </c>
      <c r="C24" s="17" t="b">
        <v>0</v>
      </c>
      <c r="D24" s="19" t="s">
        <v>23</v>
      </c>
      <c r="E24" s="3" t="s">
        <v>50</v>
      </c>
      <c r="F24" s="3"/>
    </row>
    <row r="25" spans="1:6" ht="29.25" customHeight="1" outlineLevel="1">
      <c r="A25" s="16"/>
      <c r="B25" s="21" t="s">
        <v>51</v>
      </c>
      <c r="C25" s="17" t="b">
        <v>0</v>
      </c>
      <c r="D25" s="19" t="s">
        <v>26</v>
      </c>
      <c r="E25" s="3" t="s">
        <v>52</v>
      </c>
      <c r="F25" s="3"/>
    </row>
    <row r="26" spans="1:6" ht="45.75" customHeight="1" outlineLevel="1">
      <c r="A26" s="16"/>
      <c r="B26" s="21" t="s">
        <v>53</v>
      </c>
      <c r="C26" s="17" t="b">
        <v>0</v>
      </c>
      <c r="D26" s="19" t="s">
        <v>313</v>
      </c>
      <c r="E26" s="3" t="s">
        <v>54</v>
      </c>
      <c r="F26" s="3"/>
    </row>
    <row r="27" spans="1:6" ht="33" customHeight="1" outlineLevel="1">
      <c r="A27" s="16"/>
      <c r="B27" s="21" t="s">
        <v>55</v>
      </c>
      <c r="C27" s="17" t="b">
        <v>0</v>
      </c>
      <c r="D27" s="19" t="s">
        <v>23</v>
      </c>
      <c r="E27" s="3" t="s">
        <v>52</v>
      </c>
      <c r="F27" s="3"/>
    </row>
    <row r="28" spans="1:6" ht="29.25" customHeight="1" outlineLevel="1">
      <c r="A28" s="16"/>
      <c r="B28" s="21" t="s">
        <v>56</v>
      </c>
      <c r="C28" s="17" t="b">
        <v>0</v>
      </c>
      <c r="D28" s="19" t="s">
        <v>313</v>
      </c>
      <c r="E28" s="3" t="s">
        <v>57</v>
      </c>
      <c r="F28" s="3"/>
    </row>
    <row r="29" spans="1:6" ht="34.5" customHeight="1" outlineLevel="1">
      <c r="A29" s="16"/>
      <c r="B29" s="21" t="s">
        <v>321</v>
      </c>
      <c r="C29" s="17" t="b">
        <v>0</v>
      </c>
      <c r="D29" s="19" t="s">
        <v>40</v>
      </c>
      <c r="E29" s="3" t="s">
        <v>58</v>
      </c>
      <c r="F29" s="3"/>
    </row>
    <row r="30" spans="1:6" ht="29.25" customHeight="1" outlineLevel="1">
      <c r="A30" s="16"/>
      <c r="B30" s="21" t="s">
        <v>59</v>
      </c>
      <c r="C30" s="17" t="b">
        <v>0</v>
      </c>
      <c r="D30" s="19" t="s">
        <v>315</v>
      </c>
      <c r="E30" s="3" t="s">
        <v>60</v>
      </c>
      <c r="F30" s="3"/>
    </row>
    <row r="31" spans="1:6" ht="29.25" customHeight="1">
      <c r="A31" s="16"/>
      <c r="B31" s="6" t="s">
        <v>12</v>
      </c>
      <c r="C31" s="24">
        <f>IFERROR(COUNTIF(C32:C43,TRUE)/COUNTA(B32:B43),0)</f>
        <v>0</v>
      </c>
      <c r="D31" s="26" t="s">
        <v>340</v>
      </c>
      <c r="E31" s="25" t="str">
        <f>'L7 Elaboración'!E3</f>
        <v>Herramientas / referencia</v>
      </c>
      <c r="F31" s="15" t="str">
        <f>'L7 Elaboración'!F3</f>
        <v>Comentarios / plan de acción</v>
      </c>
    </row>
    <row r="32" spans="1:6" ht="29.25" customHeight="1" outlineLevel="1">
      <c r="A32" s="16"/>
      <c r="B32" s="21" t="s">
        <v>336</v>
      </c>
      <c r="C32" s="17" t="b">
        <v>0</v>
      </c>
      <c r="D32" s="19" t="s">
        <v>23</v>
      </c>
      <c r="E32" s="3" t="s">
        <v>61</v>
      </c>
      <c r="F32" s="3"/>
    </row>
    <row r="33" spans="1:6" ht="32.25" customHeight="1" outlineLevel="1">
      <c r="A33" s="16"/>
      <c r="B33" s="21" t="s">
        <v>337</v>
      </c>
      <c r="C33" s="17" t="b">
        <v>0</v>
      </c>
      <c r="D33" s="19" t="s">
        <v>23</v>
      </c>
      <c r="E33" s="3" t="s">
        <v>61</v>
      </c>
      <c r="F33" s="3"/>
    </row>
    <row r="34" spans="1:6" ht="49.5" customHeight="1" outlineLevel="1">
      <c r="A34" s="16"/>
      <c r="B34" s="21" t="s">
        <v>62</v>
      </c>
      <c r="C34" s="17" t="b">
        <v>0</v>
      </c>
      <c r="D34" s="19" t="s">
        <v>313</v>
      </c>
      <c r="E34" s="3" t="s">
        <v>63</v>
      </c>
      <c r="F34" s="3"/>
    </row>
    <row r="35" spans="1:6" ht="32.25" customHeight="1" outlineLevel="1">
      <c r="A35" s="16"/>
      <c r="B35" s="21" t="s">
        <v>64</v>
      </c>
      <c r="C35" s="17" t="b">
        <v>0</v>
      </c>
      <c r="D35" s="19" t="s">
        <v>23</v>
      </c>
      <c r="E35" s="3" t="s">
        <v>65</v>
      </c>
      <c r="F35" s="3"/>
    </row>
    <row r="36" spans="1:6" ht="34.5" customHeight="1" outlineLevel="1">
      <c r="A36" s="16"/>
      <c r="B36" s="21" t="s">
        <v>338</v>
      </c>
      <c r="C36" s="17" t="b">
        <v>0</v>
      </c>
      <c r="D36" s="19" t="s">
        <v>313</v>
      </c>
      <c r="E36" s="3" t="s">
        <v>66</v>
      </c>
      <c r="F36" s="3"/>
    </row>
    <row r="37" spans="1:6" ht="35.25" customHeight="1" outlineLevel="1">
      <c r="A37" s="16"/>
      <c r="B37" s="21" t="s">
        <v>339</v>
      </c>
      <c r="C37" s="17" t="b">
        <v>0</v>
      </c>
      <c r="D37" s="19" t="s">
        <v>23</v>
      </c>
      <c r="E37" s="3" t="s">
        <v>67</v>
      </c>
      <c r="F37" s="3"/>
    </row>
    <row r="38" spans="1:6" ht="29.25" customHeight="1" outlineLevel="1">
      <c r="A38" s="16"/>
      <c r="B38" s="21" t="s">
        <v>68</v>
      </c>
      <c r="C38" s="17" t="b">
        <v>0</v>
      </c>
      <c r="D38" s="19" t="s">
        <v>313</v>
      </c>
      <c r="E38" s="3" t="s">
        <v>69</v>
      </c>
      <c r="F38" s="3"/>
    </row>
    <row r="39" spans="1:6" ht="33" customHeight="1" outlineLevel="1">
      <c r="A39" s="16"/>
      <c r="B39" s="21" t="s">
        <v>70</v>
      </c>
      <c r="C39" s="17" t="b">
        <v>0</v>
      </c>
      <c r="D39" s="19" t="s">
        <v>313</v>
      </c>
      <c r="E39" s="3" t="s">
        <v>71</v>
      </c>
      <c r="F39" s="3"/>
    </row>
    <row r="40" spans="1:6" ht="36" customHeight="1" outlineLevel="1">
      <c r="A40" s="16"/>
      <c r="B40" s="21" t="s">
        <v>72</v>
      </c>
      <c r="C40" s="17" t="b">
        <v>0</v>
      </c>
      <c r="D40" s="19" t="s">
        <v>23</v>
      </c>
      <c r="E40" s="3" t="s">
        <v>73</v>
      </c>
      <c r="F40" s="3"/>
    </row>
    <row r="41" spans="1:6" ht="33.75" customHeight="1" outlineLevel="1">
      <c r="A41" s="16"/>
      <c r="B41" s="21" t="s">
        <v>74</v>
      </c>
      <c r="C41" s="17" t="b">
        <v>0</v>
      </c>
      <c r="D41" s="19" t="s">
        <v>26</v>
      </c>
      <c r="E41" s="3" t="s">
        <v>66</v>
      </c>
      <c r="F41" s="3"/>
    </row>
    <row r="42" spans="1:6" ht="33" customHeight="1" outlineLevel="1">
      <c r="A42" s="16"/>
      <c r="B42" s="21" t="s">
        <v>322</v>
      </c>
      <c r="C42" s="17" t="b">
        <v>0</v>
      </c>
      <c r="D42" s="19" t="s">
        <v>314</v>
      </c>
      <c r="E42" s="3" t="s">
        <v>75</v>
      </c>
      <c r="F42" s="3"/>
    </row>
    <row r="43" spans="1:6" ht="32.25" customHeight="1" outlineLevel="1">
      <c r="A43" s="16"/>
      <c r="B43" s="21" t="s">
        <v>76</v>
      </c>
      <c r="C43" s="17" t="b">
        <v>0</v>
      </c>
      <c r="D43" s="19" t="s">
        <v>315</v>
      </c>
      <c r="E43" s="3" t="s">
        <v>63</v>
      </c>
      <c r="F43" s="3"/>
    </row>
    <row r="44" spans="1:6" ht="29.25" customHeight="1">
      <c r="A44" s="16"/>
      <c r="B44" s="6" t="s">
        <v>14</v>
      </c>
      <c r="C44" s="24">
        <f>IFERROR(COUNTIF(C45:C52,TRUE)/COUNTA(B45:B52),0)</f>
        <v>0</v>
      </c>
      <c r="D44" s="26" t="s">
        <v>340</v>
      </c>
      <c r="E44" s="25" t="str">
        <f>'L7 Elaboración'!E3</f>
        <v>Herramientas / referencia</v>
      </c>
      <c r="F44" s="15" t="str">
        <f>'L7 Elaboración'!F3</f>
        <v>Comentarios / plan de acción</v>
      </c>
    </row>
    <row r="45" spans="1:6" ht="29.25" customHeight="1" outlineLevel="1">
      <c r="A45" s="16"/>
      <c r="B45" s="21" t="s">
        <v>77</v>
      </c>
      <c r="C45" s="17" t="b">
        <v>0</v>
      </c>
      <c r="D45" s="19" t="s">
        <v>23</v>
      </c>
      <c r="E45" s="3" t="s">
        <v>78</v>
      </c>
      <c r="F45" s="3"/>
    </row>
    <row r="46" spans="1:6" ht="45" outlineLevel="1">
      <c r="A46" s="16"/>
      <c r="B46" s="21" t="s">
        <v>79</v>
      </c>
      <c r="C46" s="17" t="b">
        <v>0</v>
      </c>
      <c r="D46" s="19" t="s">
        <v>313</v>
      </c>
      <c r="E46" s="3" t="s">
        <v>80</v>
      </c>
      <c r="F46" s="3"/>
    </row>
    <row r="47" spans="1:6" ht="29.25" customHeight="1" outlineLevel="1">
      <c r="A47" s="16"/>
      <c r="B47" s="21" t="s">
        <v>81</v>
      </c>
      <c r="C47" s="17" t="b">
        <v>0</v>
      </c>
      <c r="D47" s="19" t="s">
        <v>26</v>
      </c>
      <c r="E47" s="3" t="s">
        <v>57</v>
      </c>
      <c r="F47" s="3"/>
    </row>
    <row r="48" spans="1:6" ht="29.25" customHeight="1" outlineLevel="1">
      <c r="A48" s="16"/>
      <c r="B48" s="21" t="s">
        <v>82</v>
      </c>
      <c r="C48" s="17" t="b">
        <v>0</v>
      </c>
      <c r="D48" s="19" t="s">
        <v>23</v>
      </c>
      <c r="E48" s="3" t="s">
        <v>83</v>
      </c>
      <c r="F48" s="3"/>
    </row>
    <row r="49" spans="1:6" ht="29.25" customHeight="1" outlineLevel="1">
      <c r="A49" s="16"/>
      <c r="B49" s="21" t="s">
        <v>84</v>
      </c>
      <c r="C49" s="17" t="b">
        <v>0</v>
      </c>
      <c r="D49" s="19" t="s">
        <v>26</v>
      </c>
      <c r="E49" s="3" t="s">
        <v>52</v>
      </c>
      <c r="F49" s="3"/>
    </row>
    <row r="50" spans="1:6" ht="29.25" customHeight="1" outlineLevel="1">
      <c r="A50" s="16"/>
      <c r="B50" s="21" t="s">
        <v>85</v>
      </c>
      <c r="C50" s="17" t="b">
        <v>0</v>
      </c>
      <c r="D50" s="19" t="s">
        <v>26</v>
      </c>
      <c r="E50" s="3" t="s">
        <v>86</v>
      </c>
      <c r="F50" s="3"/>
    </row>
    <row r="51" spans="1:6" ht="29.25" customHeight="1" outlineLevel="1">
      <c r="A51" s="16"/>
      <c r="B51" s="21" t="s">
        <v>323</v>
      </c>
      <c r="C51" s="17" t="b">
        <v>0</v>
      </c>
      <c r="D51" s="19" t="s">
        <v>314</v>
      </c>
      <c r="E51" s="3" t="s">
        <v>58</v>
      </c>
      <c r="F51" s="3"/>
    </row>
    <row r="52" spans="1:6" ht="29.25" customHeight="1" outlineLevel="1">
      <c r="A52" s="16"/>
      <c r="B52" s="21" t="s">
        <v>87</v>
      </c>
      <c r="C52" s="17" t="b">
        <v>0</v>
      </c>
      <c r="D52" s="19" t="s">
        <v>315</v>
      </c>
      <c r="E52" s="3" t="s">
        <v>66</v>
      </c>
      <c r="F52" s="3"/>
    </row>
    <row r="53" spans="1:6" ht="29.25" customHeight="1">
      <c r="A53" s="16"/>
      <c r="B53" s="6" t="s">
        <v>16</v>
      </c>
      <c r="C53" s="24">
        <f>IFERROR(COUNTIF(C54:C62,TRUE)/COUNTA(B54:B62),0)</f>
        <v>0</v>
      </c>
      <c r="D53" s="26" t="s">
        <v>340</v>
      </c>
      <c r="E53" s="25" t="str">
        <f>'L7 Elaboración'!E3</f>
        <v>Herramientas / referencia</v>
      </c>
      <c r="F53" s="15" t="str">
        <f>'L7 Elaboración'!F3</f>
        <v>Comentarios / plan de acción</v>
      </c>
    </row>
    <row r="54" spans="1:6" ht="29.25" customHeight="1" outlineLevel="1">
      <c r="A54" s="16"/>
      <c r="B54" s="21" t="s">
        <v>88</v>
      </c>
      <c r="C54" s="17" t="b">
        <v>0</v>
      </c>
      <c r="D54" s="19" t="s">
        <v>23</v>
      </c>
      <c r="E54" s="3" t="s">
        <v>89</v>
      </c>
      <c r="F54" s="3"/>
    </row>
    <row r="55" spans="1:6" ht="29.25" customHeight="1" outlineLevel="1">
      <c r="A55" s="16"/>
      <c r="B55" s="21" t="s">
        <v>90</v>
      </c>
      <c r="C55" s="17" t="b">
        <v>0</v>
      </c>
      <c r="D55" s="19" t="s">
        <v>314</v>
      </c>
      <c r="E55" s="3" t="s">
        <v>91</v>
      </c>
      <c r="F55" s="3"/>
    </row>
    <row r="56" spans="1:6" ht="29.25" customHeight="1" outlineLevel="1">
      <c r="A56" s="16"/>
      <c r="B56" s="21" t="s">
        <v>92</v>
      </c>
      <c r="C56" s="17" t="b">
        <v>0</v>
      </c>
      <c r="D56" s="19" t="s">
        <v>23</v>
      </c>
      <c r="E56" s="3" t="s">
        <v>93</v>
      </c>
      <c r="F56" s="3"/>
    </row>
    <row r="57" spans="1:6" ht="29.25" customHeight="1" outlineLevel="1">
      <c r="A57" s="16"/>
      <c r="B57" s="21" t="s">
        <v>94</v>
      </c>
      <c r="C57" s="17" t="b">
        <v>0</v>
      </c>
      <c r="D57" s="19" t="s">
        <v>313</v>
      </c>
      <c r="E57" s="3" t="s">
        <v>95</v>
      </c>
      <c r="F57" s="3"/>
    </row>
    <row r="58" spans="1:6" ht="29.25" customHeight="1" outlineLevel="1">
      <c r="A58" s="16"/>
      <c r="B58" s="21" t="s">
        <v>96</v>
      </c>
      <c r="C58" s="17" t="b">
        <v>0</v>
      </c>
      <c r="D58" s="19" t="s">
        <v>26</v>
      </c>
      <c r="E58" s="3" t="s">
        <v>97</v>
      </c>
      <c r="F58" s="3"/>
    </row>
    <row r="59" spans="1:6" ht="29.25" customHeight="1" outlineLevel="1">
      <c r="A59" s="16"/>
      <c r="B59" s="21" t="s">
        <v>98</v>
      </c>
      <c r="C59" s="17" t="b">
        <v>0</v>
      </c>
      <c r="D59" s="19" t="s">
        <v>26</v>
      </c>
      <c r="E59" s="3" t="s">
        <v>99</v>
      </c>
      <c r="F59" s="3"/>
    </row>
    <row r="60" spans="1:6" ht="29.25" customHeight="1" outlineLevel="1">
      <c r="A60" s="16"/>
      <c r="B60" s="21" t="s">
        <v>100</v>
      </c>
      <c r="C60" s="17" t="b">
        <v>0</v>
      </c>
      <c r="D60" s="19" t="s">
        <v>26</v>
      </c>
      <c r="E60" s="3" t="s">
        <v>101</v>
      </c>
      <c r="F60" s="3"/>
    </row>
    <row r="61" spans="1:6" ht="29.25" customHeight="1" outlineLevel="1">
      <c r="A61" s="16"/>
      <c r="B61" s="21" t="s">
        <v>324</v>
      </c>
      <c r="C61" s="17" t="b">
        <v>0</v>
      </c>
      <c r="D61" s="19" t="s">
        <v>314</v>
      </c>
      <c r="E61" s="3" t="s">
        <v>58</v>
      </c>
      <c r="F61" s="3"/>
    </row>
    <row r="62" spans="1:6" ht="29.25" customHeight="1" outlineLevel="1">
      <c r="A62" s="16"/>
      <c r="B62" s="21" t="s">
        <v>102</v>
      </c>
      <c r="C62" s="17" t="b">
        <v>0</v>
      </c>
      <c r="D62" s="19" t="s">
        <v>315</v>
      </c>
      <c r="E62" s="3" t="s">
        <v>103</v>
      </c>
      <c r="F62" s="3"/>
    </row>
    <row r="63" spans="1:6" ht="29.25" customHeight="1">
      <c r="A63" s="16"/>
      <c r="B63" s="6" t="s">
        <v>18</v>
      </c>
      <c r="C63" s="24">
        <f>IFERROR(COUNTIF(C64:C70,TRUE)/COUNTA(B64:B70),0)</f>
        <v>0</v>
      </c>
      <c r="D63" s="26" t="s">
        <v>340</v>
      </c>
      <c r="E63" s="25" t="str">
        <f>'L7 Elaboración'!E3</f>
        <v>Herramientas / referencia</v>
      </c>
      <c r="F63" s="15" t="str">
        <f>'L7 Elaboración'!F3</f>
        <v>Comentarios / plan de acción</v>
      </c>
    </row>
    <row r="64" spans="1:6" ht="29.25" customHeight="1" outlineLevel="1">
      <c r="A64" s="16"/>
      <c r="B64" s="21" t="s">
        <v>104</v>
      </c>
      <c r="C64" s="17" t="b">
        <v>0</v>
      </c>
      <c r="D64" s="19" t="s">
        <v>23</v>
      </c>
      <c r="E64" s="3" t="s">
        <v>89</v>
      </c>
      <c r="F64" s="3"/>
    </row>
    <row r="65" spans="1:6" ht="45" outlineLevel="1">
      <c r="A65" s="16"/>
      <c r="B65" s="21" t="s">
        <v>105</v>
      </c>
      <c r="C65" s="17" t="b">
        <v>0</v>
      </c>
      <c r="D65" s="19" t="s">
        <v>23</v>
      </c>
      <c r="E65" s="3" t="s">
        <v>106</v>
      </c>
      <c r="F65" s="3"/>
    </row>
    <row r="66" spans="1:6" ht="29.25" customHeight="1" outlineLevel="1">
      <c r="A66" s="16"/>
      <c r="B66" s="21" t="s">
        <v>107</v>
      </c>
      <c r="C66" s="17" t="b">
        <v>0</v>
      </c>
      <c r="D66" s="19" t="s">
        <v>314</v>
      </c>
      <c r="E66" s="3" t="s">
        <v>63</v>
      </c>
      <c r="F66" s="3"/>
    </row>
    <row r="67" spans="1:6" ht="29.25" customHeight="1" outlineLevel="1">
      <c r="A67" s="16"/>
      <c r="B67" s="21" t="s">
        <v>108</v>
      </c>
      <c r="C67" s="17" t="b">
        <v>0</v>
      </c>
      <c r="D67" s="19" t="s">
        <v>26</v>
      </c>
      <c r="E67" s="3" t="s">
        <v>89</v>
      </c>
      <c r="F67" s="3"/>
    </row>
    <row r="68" spans="1:6" ht="29.25" customHeight="1" outlineLevel="1">
      <c r="A68" s="16"/>
      <c r="B68" s="21" t="s">
        <v>109</v>
      </c>
      <c r="C68" s="17" t="b">
        <v>0</v>
      </c>
      <c r="D68" s="19" t="s">
        <v>26</v>
      </c>
      <c r="E68" s="3" t="s">
        <v>61</v>
      </c>
      <c r="F68" s="3"/>
    </row>
    <row r="69" spans="1:6" ht="29.25" customHeight="1" outlineLevel="1">
      <c r="A69" s="16"/>
      <c r="B69" s="21" t="s">
        <v>326</v>
      </c>
      <c r="C69" s="17" t="b">
        <v>0</v>
      </c>
      <c r="D69" s="19" t="s">
        <v>314</v>
      </c>
      <c r="E69" s="3" t="s">
        <v>75</v>
      </c>
      <c r="F69" s="3"/>
    </row>
    <row r="70" spans="1:6" ht="29.25" customHeight="1" outlineLevel="1">
      <c r="A70" s="16"/>
      <c r="B70" s="21" t="s">
        <v>110</v>
      </c>
      <c r="C70" s="17" t="b">
        <v>0</v>
      </c>
      <c r="D70" s="19" t="s">
        <v>315</v>
      </c>
      <c r="E70" s="3" t="s">
        <v>111</v>
      </c>
      <c r="F70" s="3"/>
    </row>
    <row r="71" spans="1:6" ht="29.25" customHeight="1">
      <c r="A71" s="16"/>
      <c r="B71" s="6" t="s">
        <v>20</v>
      </c>
      <c r="C71" s="24">
        <f>IFERROR(COUNTIF(C72:C79,TRUE)/COUNTA(B72:B79),0)</f>
        <v>0</v>
      </c>
      <c r="D71" s="26" t="s">
        <v>340</v>
      </c>
      <c r="E71" s="25" t="str">
        <f>'L7 Elaboración'!E3</f>
        <v>Herramientas / referencia</v>
      </c>
      <c r="F71" s="15" t="str">
        <f>'L7 Elaboración'!F3</f>
        <v>Comentarios / plan de acción</v>
      </c>
    </row>
    <row r="72" spans="1:6" ht="29.25" customHeight="1" outlineLevel="1">
      <c r="A72" s="16"/>
      <c r="B72" s="23" t="s">
        <v>112</v>
      </c>
      <c r="C72" s="17" t="b">
        <v>0</v>
      </c>
      <c r="D72" s="19" t="s">
        <v>23</v>
      </c>
      <c r="E72" s="3" t="s">
        <v>113</v>
      </c>
      <c r="F72" s="3"/>
    </row>
    <row r="73" spans="1:6" ht="29.25" customHeight="1" outlineLevel="1">
      <c r="A73" s="16"/>
      <c r="B73" s="23" t="s">
        <v>114</v>
      </c>
      <c r="C73" s="17" t="b">
        <v>0</v>
      </c>
      <c r="D73" s="19" t="s">
        <v>23</v>
      </c>
      <c r="E73" s="3" t="s">
        <v>115</v>
      </c>
      <c r="F73" s="3"/>
    </row>
    <row r="74" spans="1:6" ht="29.25" customHeight="1" outlineLevel="1">
      <c r="A74" s="16"/>
      <c r="B74" s="23" t="s">
        <v>116</v>
      </c>
      <c r="C74" s="17" t="b">
        <v>0</v>
      </c>
      <c r="D74" s="19" t="s">
        <v>23</v>
      </c>
      <c r="E74" s="3" t="s">
        <v>99</v>
      </c>
      <c r="F74" s="3"/>
    </row>
    <row r="75" spans="1:6" ht="29.25" customHeight="1" outlineLevel="1">
      <c r="A75" s="16"/>
      <c r="B75" s="23" t="s">
        <v>117</v>
      </c>
      <c r="C75" s="17" t="b">
        <v>0</v>
      </c>
      <c r="D75" s="19" t="s">
        <v>26</v>
      </c>
      <c r="E75" s="3" t="s">
        <v>113</v>
      </c>
      <c r="F75" s="3"/>
    </row>
    <row r="76" spans="1:6" ht="29.25" customHeight="1" outlineLevel="1">
      <c r="A76" s="16"/>
      <c r="B76" s="23" t="s">
        <v>118</v>
      </c>
      <c r="C76" s="17" t="b">
        <v>0</v>
      </c>
      <c r="D76" s="19" t="s">
        <v>26</v>
      </c>
      <c r="E76" s="3" t="s">
        <v>119</v>
      </c>
      <c r="F76" s="3"/>
    </row>
    <row r="77" spans="1:6" ht="29.25" customHeight="1" outlineLevel="1">
      <c r="A77" s="16"/>
      <c r="B77" s="23" t="s">
        <v>325</v>
      </c>
      <c r="C77" s="17" t="b">
        <v>0</v>
      </c>
      <c r="D77" s="19" t="s">
        <v>314</v>
      </c>
      <c r="E77" s="3" t="s">
        <v>115</v>
      </c>
      <c r="F77" s="3"/>
    </row>
    <row r="78" spans="1:6" ht="29.25" customHeight="1" outlineLevel="1">
      <c r="A78" s="16"/>
      <c r="B78" s="23" t="s">
        <v>120</v>
      </c>
      <c r="C78" s="17" t="b">
        <v>0</v>
      </c>
      <c r="D78" s="19" t="s">
        <v>26</v>
      </c>
      <c r="E78" s="3" t="s">
        <v>113</v>
      </c>
      <c r="F78" s="3"/>
    </row>
    <row r="79" spans="1:6" ht="29.25" customHeight="1" outlineLevel="1">
      <c r="A79" s="16"/>
      <c r="B79" s="23" t="s">
        <v>121</v>
      </c>
      <c r="C79" s="17" t="b">
        <v>0</v>
      </c>
      <c r="D79" s="19" t="s">
        <v>315</v>
      </c>
      <c r="E79" s="3" t="s">
        <v>122</v>
      </c>
      <c r="F79" s="3"/>
    </row>
    <row r="80" spans="1:6">
      <c r="B80" s="2"/>
      <c r="C80" s="2"/>
    </row>
    <row r="81" spans="2:3">
      <c r="B81" s="2"/>
      <c r="C81" s="2"/>
    </row>
    <row r="82" spans="2:3">
      <c r="B82" s="2"/>
      <c r="C82" s="2"/>
    </row>
    <row r="83" spans="2:3">
      <c r="B83" s="2"/>
      <c r="C83" s="2"/>
    </row>
    <row r="84" spans="2:3">
      <c r="B84" s="2"/>
      <c r="C84" s="2"/>
    </row>
    <row r="85" spans="2:3">
      <c r="B85" s="2"/>
      <c r="C85" s="2"/>
    </row>
  </sheetData>
  <mergeCells count="2">
    <mergeCell ref="B1:C1"/>
    <mergeCell ref="A2:B2"/>
  </mergeCells>
  <conditionalFormatting sqref="C3">
    <cfRule type="cellIs" dxfId="23" priority="27" operator="lessThanOrEqual">
      <formula>0.79</formula>
    </cfRule>
    <cfRule type="cellIs" dxfId="22" priority="28" operator="greaterThanOrEqual">
      <formula>0.79</formula>
    </cfRule>
  </conditionalFormatting>
  <conditionalFormatting sqref="C13">
    <cfRule type="cellIs" dxfId="21" priority="25" operator="lessThanOrEqual">
      <formula>0.79</formula>
    </cfRule>
    <cfRule type="cellIs" dxfId="20" priority="26" operator="greaterThanOrEqual">
      <formula>0.79</formula>
    </cfRule>
  </conditionalFormatting>
  <conditionalFormatting sqref="C23">
    <cfRule type="cellIs" dxfId="19" priority="23" operator="lessThanOrEqual">
      <formula>0.79</formula>
    </cfRule>
    <cfRule type="cellIs" dxfId="18" priority="24" operator="greaterThanOrEqual">
      <formula>0.79</formula>
    </cfRule>
  </conditionalFormatting>
  <conditionalFormatting sqref="C31">
    <cfRule type="cellIs" dxfId="17" priority="17" operator="lessThanOrEqual">
      <formula>0.79</formula>
    </cfRule>
    <cfRule type="cellIs" dxfId="16" priority="18" operator="greaterThanOrEqual">
      <formula>0.79</formula>
    </cfRule>
  </conditionalFormatting>
  <conditionalFormatting sqref="C44">
    <cfRule type="cellIs" dxfId="15" priority="15" operator="lessThanOrEqual">
      <formula>0.79</formula>
    </cfRule>
    <cfRule type="cellIs" dxfId="14" priority="16" operator="greaterThanOrEqual">
      <formula>0.79</formula>
    </cfRule>
  </conditionalFormatting>
  <conditionalFormatting sqref="C53">
    <cfRule type="cellIs" dxfId="13" priority="5" operator="lessThanOrEqual">
      <formula>0.79</formula>
    </cfRule>
    <cfRule type="cellIs" dxfId="12" priority="6" operator="greaterThanOrEqual">
      <formula>0.79</formula>
    </cfRule>
  </conditionalFormatting>
  <conditionalFormatting sqref="C63">
    <cfRule type="cellIs" dxfId="11" priority="3" operator="lessThanOrEqual">
      <formula>0.79</formula>
    </cfRule>
    <cfRule type="cellIs" dxfId="10" priority="4" operator="greaterThanOrEqual">
      <formula>0.79</formula>
    </cfRule>
  </conditionalFormatting>
  <conditionalFormatting sqref="C71">
    <cfRule type="cellIs" dxfId="9" priority="1" operator="lessThanOrEqual">
      <formula>0.79</formula>
    </cfRule>
    <cfRule type="cellIs" dxfId="8" priority="2" operator="greaterThanOrEqual">
      <formula>0.79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2"/>
  <sheetViews>
    <sheetView showGridLines="0" topLeftCell="B1" zoomScale="80" zoomScaleNormal="80" workbookViewId="0">
      <selection activeCell="D6" sqref="D6"/>
    </sheetView>
  </sheetViews>
  <sheetFormatPr baseColWidth="10" defaultColWidth="10.85546875" defaultRowHeight="29.25" customHeight="1" outlineLevelRow="1"/>
  <cols>
    <col min="1" max="1" width="20.5703125" style="1" customWidth="1"/>
    <col min="2" max="2" width="120.5703125" style="1" customWidth="1"/>
    <col min="3" max="3" width="25.5703125" style="1" customWidth="1"/>
    <col min="4" max="4" width="55.7109375" style="1" bestFit="1" customWidth="1"/>
    <col min="5" max="5" width="114.140625" hidden="1" customWidth="1"/>
    <col min="6" max="6" width="32.85546875" hidden="1" customWidth="1"/>
    <col min="7" max="16384" width="10.85546875" style="1"/>
  </cols>
  <sheetData>
    <row r="1" spans="1:6" ht="36" customHeight="1">
      <c r="A1" s="9" t="e" vm="1">
        <v>#VALUE!</v>
      </c>
      <c r="B1" s="57" t="s">
        <v>123</v>
      </c>
      <c r="C1" s="57"/>
      <c r="D1" s="27"/>
    </row>
    <row r="2" spans="1:6" ht="96" customHeight="1">
      <c r="A2" s="56" t="s">
        <v>124</v>
      </c>
      <c r="B2" s="56"/>
      <c r="C2" s="10" t="str">
        <f>"COMPETENCIAS
[X] Competente
[  ] No competente
"&amp;IF(C4&gt;=80%,"≧80% COMPETENTE","&lt; 80% NO COMPETENTE")</f>
        <v>COMPETENCIAS
[X] Competente
[  ] No competente
≧80% COMPETENTE</v>
      </c>
      <c r="D2" s="27"/>
    </row>
    <row r="3" spans="1:6" ht="29.25" customHeight="1">
      <c r="A3" s="13"/>
      <c r="B3" s="5" t="s">
        <v>6</v>
      </c>
      <c r="C3" s="24">
        <f>IFERROR(COUNTIF(C4:C13,TRUE)/COUNTA(B4:B13),0)</f>
        <v>0</v>
      </c>
      <c r="D3" s="26" t="s">
        <v>340</v>
      </c>
      <c r="E3" s="25" t="s">
        <v>125</v>
      </c>
      <c r="F3" s="15" t="s">
        <v>126</v>
      </c>
    </row>
    <row r="4" spans="1:6" ht="37.5" customHeight="1" outlineLevel="1">
      <c r="A4" s="16"/>
      <c r="B4" s="21" t="s">
        <v>127</v>
      </c>
      <c r="C4" s="17" t="b">
        <v>0</v>
      </c>
      <c r="D4" s="19" t="s">
        <v>316</v>
      </c>
      <c r="E4" s="3" t="s">
        <v>30</v>
      </c>
      <c r="F4" s="3"/>
    </row>
    <row r="5" spans="1:6" ht="29.25" customHeight="1" outlineLevel="1">
      <c r="A5" s="16"/>
      <c r="B5" s="21" t="s">
        <v>128</v>
      </c>
      <c r="C5" s="17" t="b">
        <v>0</v>
      </c>
      <c r="D5" s="19" t="s">
        <v>316</v>
      </c>
      <c r="E5" s="3" t="s">
        <v>129</v>
      </c>
      <c r="F5" s="3"/>
    </row>
    <row r="6" spans="1:6" ht="33.75" customHeight="1" outlineLevel="1">
      <c r="A6" s="16"/>
      <c r="B6" s="21" t="s">
        <v>311</v>
      </c>
      <c r="C6" s="17" t="b">
        <v>0</v>
      </c>
      <c r="D6" s="19" t="s">
        <v>308</v>
      </c>
      <c r="E6" s="3" t="s">
        <v>130</v>
      </c>
      <c r="F6" s="3"/>
    </row>
    <row r="7" spans="1:6" ht="33.75" customHeight="1" outlineLevel="1">
      <c r="A7" s="16"/>
      <c r="B7" s="21" t="s">
        <v>131</v>
      </c>
      <c r="C7" s="17" t="b">
        <v>0</v>
      </c>
      <c r="D7" s="19" t="s">
        <v>316</v>
      </c>
      <c r="E7" s="3" t="s">
        <v>132</v>
      </c>
      <c r="F7" s="3"/>
    </row>
    <row r="8" spans="1:6" ht="29.25" customHeight="1" outlineLevel="1">
      <c r="A8" s="16"/>
      <c r="B8" s="21" t="s">
        <v>133</v>
      </c>
      <c r="C8" s="17" t="b">
        <v>0</v>
      </c>
      <c r="D8" s="19" t="s">
        <v>316</v>
      </c>
      <c r="E8" s="3" t="s">
        <v>24</v>
      </c>
      <c r="F8" s="3"/>
    </row>
    <row r="9" spans="1:6" ht="29.25" customHeight="1" outlineLevel="1">
      <c r="A9" s="16"/>
      <c r="B9" s="21" t="s">
        <v>134</v>
      </c>
      <c r="C9" s="17" t="b">
        <v>0</v>
      </c>
      <c r="D9" s="19" t="s">
        <v>316</v>
      </c>
      <c r="E9" s="3" t="s">
        <v>135</v>
      </c>
      <c r="F9" s="3"/>
    </row>
    <row r="10" spans="1:6" ht="29.25" customHeight="1" outlineLevel="1">
      <c r="A10" s="16"/>
      <c r="B10" s="21" t="s">
        <v>136</v>
      </c>
      <c r="C10" s="17" t="b">
        <v>0</v>
      </c>
      <c r="D10" s="19" t="s">
        <v>316</v>
      </c>
      <c r="E10" s="3" t="s">
        <v>137</v>
      </c>
      <c r="F10" s="3"/>
    </row>
    <row r="11" spans="1:6" ht="29.25" customHeight="1" outlineLevel="1">
      <c r="A11" s="16"/>
      <c r="B11" s="21" t="s">
        <v>327</v>
      </c>
      <c r="C11" s="17" t="b">
        <v>0</v>
      </c>
      <c r="D11" s="19" t="s">
        <v>312</v>
      </c>
      <c r="E11" s="3" t="s">
        <v>135</v>
      </c>
      <c r="F11" s="3"/>
    </row>
    <row r="12" spans="1:6" ht="31.5" customHeight="1" outlineLevel="1">
      <c r="A12" s="16"/>
      <c r="B12" s="21" t="s">
        <v>138</v>
      </c>
      <c r="C12" s="17" t="b">
        <v>0</v>
      </c>
      <c r="D12" s="19" t="s">
        <v>139</v>
      </c>
      <c r="E12" s="3" t="s">
        <v>97</v>
      </c>
      <c r="F12" s="3"/>
    </row>
    <row r="13" spans="1:6" ht="29.25" customHeight="1" outlineLevel="1">
      <c r="A13" s="16"/>
      <c r="B13" s="21" t="s">
        <v>140</v>
      </c>
      <c r="C13" s="17" t="b">
        <v>0</v>
      </c>
      <c r="D13" s="19" t="s">
        <v>317</v>
      </c>
      <c r="E13" s="3" t="s">
        <v>135</v>
      </c>
      <c r="F13" s="3"/>
    </row>
    <row r="14" spans="1:6" ht="29.25" customHeight="1">
      <c r="A14" s="16"/>
      <c r="B14" s="5" t="s">
        <v>8</v>
      </c>
      <c r="C14" s="24">
        <f>IFERROR(COUNTIF(C15:C25,TRUE)/COUNTA(B15:B25),0)</f>
        <v>0</v>
      </c>
      <c r="D14" s="26" t="str">
        <f t="shared" ref="D14:F14" si="0">D3</f>
        <v>Método de validación sugerido</v>
      </c>
      <c r="E14" s="25" t="str">
        <f t="shared" si="0"/>
        <v>Herramientas / referencia</v>
      </c>
      <c r="F14" s="15" t="str">
        <f t="shared" si="0"/>
        <v>Comentarios / plan de acción</v>
      </c>
    </row>
    <row r="15" spans="1:6" ht="29.25" customHeight="1" outlineLevel="1">
      <c r="A15" s="16"/>
      <c r="B15" s="21" t="s">
        <v>141</v>
      </c>
      <c r="C15" s="17" t="b">
        <v>0</v>
      </c>
      <c r="D15" s="19" t="s">
        <v>316</v>
      </c>
      <c r="E15" s="3" t="s">
        <v>41</v>
      </c>
      <c r="F15" s="3"/>
    </row>
    <row r="16" spans="1:6" ht="29.25" customHeight="1" outlineLevel="1">
      <c r="A16" s="16"/>
      <c r="B16" s="21" t="s">
        <v>142</v>
      </c>
      <c r="C16" s="17" t="b">
        <v>0</v>
      </c>
      <c r="D16" s="19" t="s">
        <v>316</v>
      </c>
      <c r="E16" s="3" t="s">
        <v>143</v>
      </c>
      <c r="F16" s="3"/>
    </row>
    <row r="17" spans="1:6" ht="29.25" customHeight="1" outlineLevel="1">
      <c r="A17" s="16"/>
      <c r="B17" s="21" t="s">
        <v>144</v>
      </c>
      <c r="C17" s="17" t="b">
        <v>0</v>
      </c>
      <c r="D17" s="19" t="s">
        <v>316</v>
      </c>
      <c r="E17" s="3" t="s">
        <v>39</v>
      </c>
      <c r="F17" s="3"/>
    </row>
    <row r="18" spans="1:6" ht="29.25" customHeight="1" outlineLevel="1">
      <c r="A18" s="16"/>
      <c r="B18" s="21" t="s">
        <v>145</v>
      </c>
      <c r="C18" s="17" t="b">
        <v>0</v>
      </c>
      <c r="D18" s="19" t="s">
        <v>316</v>
      </c>
      <c r="E18" s="3" t="s">
        <v>39</v>
      </c>
      <c r="F18" s="3"/>
    </row>
    <row r="19" spans="1:6" ht="29.25" customHeight="1" outlineLevel="1">
      <c r="A19" s="16"/>
      <c r="B19" s="21" t="s">
        <v>146</v>
      </c>
      <c r="C19" s="17" t="b">
        <v>0</v>
      </c>
      <c r="D19" s="19" t="s">
        <v>316</v>
      </c>
      <c r="E19" s="3" t="s">
        <v>41</v>
      </c>
      <c r="F19" s="3"/>
    </row>
    <row r="20" spans="1:6" ht="29.25" customHeight="1" outlineLevel="1">
      <c r="A20" s="16"/>
      <c r="B20" s="21" t="s">
        <v>147</v>
      </c>
      <c r="C20" s="17" t="b">
        <v>0</v>
      </c>
      <c r="D20" s="19" t="s">
        <v>312</v>
      </c>
      <c r="E20" s="3" t="s">
        <v>148</v>
      </c>
      <c r="F20" s="3"/>
    </row>
    <row r="21" spans="1:6" ht="29.25" customHeight="1" outlineLevel="1">
      <c r="A21" s="16"/>
      <c r="B21" s="21" t="s">
        <v>310</v>
      </c>
      <c r="C21" s="17" t="b">
        <v>0</v>
      </c>
      <c r="D21" s="19" t="s">
        <v>308</v>
      </c>
      <c r="E21" s="3" t="s">
        <v>149</v>
      </c>
      <c r="F21" s="3"/>
    </row>
    <row r="22" spans="1:6" ht="29.25" customHeight="1" outlineLevel="1">
      <c r="A22" s="16"/>
      <c r="B22" s="21" t="s">
        <v>150</v>
      </c>
      <c r="C22" s="17" t="b">
        <v>0</v>
      </c>
      <c r="D22" s="19" t="s">
        <v>316</v>
      </c>
      <c r="E22" s="3" t="s">
        <v>39</v>
      </c>
      <c r="F22" s="3"/>
    </row>
    <row r="23" spans="1:6" ht="29.25" customHeight="1" outlineLevel="1">
      <c r="A23" s="16"/>
      <c r="B23" s="21" t="s">
        <v>151</v>
      </c>
      <c r="C23" s="17" t="b">
        <v>0</v>
      </c>
      <c r="D23" s="19" t="s">
        <v>316</v>
      </c>
      <c r="E23" s="3" t="s">
        <v>152</v>
      </c>
      <c r="F23" s="3"/>
    </row>
    <row r="24" spans="1:6" ht="29.25" customHeight="1" outlineLevel="1">
      <c r="A24" s="16"/>
      <c r="B24" s="21" t="s">
        <v>153</v>
      </c>
      <c r="C24" s="17" t="b">
        <v>0</v>
      </c>
      <c r="D24" s="19" t="s">
        <v>139</v>
      </c>
      <c r="E24" s="3"/>
      <c r="F24" s="3"/>
    </row>
    <row r="25" spans="1:6" ht="29.25" customHeight="1" outlineLevel="1">
      <c r="A25" s="16"/>
      <c r="B25" s="21" t="s">
        <v>140</v>
      </c>
      <c r="C25" s="17" t="b">
        <v>0</v>
      </c>
      <c r="D25" s="19" t="s">
        <v>317</v>
      </c>
      <c r="E25" s="3" t="s">
        <v>41</v>
      </c>
      <c r="F25" s="3"/>
    </row>
    <row r="26" spans="1:6" ht="29.25" customHeight="1">
      <c r="A26" s="16"/>
      <c r="B26" s="5" t="s">
        <v>10</v>
      </c>
      <c r="C26" s="24">
        <f>IFERROR(COUNTIF(C27:C36,TRUE)/COUNTA(B27:B36),0)</f>
        <v>0</v>
      </c>
      <c r="D26" s="26" t="str">
        <f t="shared" ref="D26:F26" si="1">D3</f>
        <v>Método de validación sugerido</v>
      </c>
      <c r="E26" s="25" t="str">
        <f t="shared" si="1"/>
        <v>Herramientas / referencia</v>
      </c>
      <c r="F26" s="15" t="str">
        <f t="shared" si="1"/>
        <v>Comentarios / plan de acción</v>
      </c>
    </row>
    <row r="27" spans="1:6" ht="29.25" customHeight="1" outlineLevel="1">
      <c r="A27" s="16"/>
      <c r="B27" s="21" t="s">
        <v>154</v>
      </c>
      <c r="C27" s="17" t="b">
        <v>0</v>
      </c>
      <c r="D27" s="19" t="s">
        <v>316</v>
      </c>
      <c r="E27" s="3" t="s">
        <v>155</v>
      </c>
      <c r="F27" s="3"/>
    </row>
    <row r="28" spans="1:6" ht="29.25" customHeight="1" outlineLevel="1">
      <c r="A28" s="16"/>
      <c r="B28" s="21" t="s">
        <v>156</v>
      </c>
      <c r="C28" s="17" t="b">
        <v>0</v>
      </c>
      <c r="D28" s="19" t="s">
        <v>316</v>
      </c>
      <c r="E28" s="3" t="s">
        <v>155</v>
      </c>
      <c r="F28" s="3"/>
    </row>
    <row r="29" spans="1:6" ht="29.25" customHeight="1" outlineLevel="1">
      <c r="A29" s="16"/>
      <c r="B29" s="21" t="s">
        <v>318</v>
      </c>
      <c r="C29" s="17" t="b">
        <v>0</v>
      </c>
      <c r="D29" s="19" t="s">
        <v>316</v>
      </c>
      <c r="E29" s="3" t="s">
        <v>57</v>
      </c>
      <c r="F29" s="3"/>
    </row>
    <row r="30" spans="1:6" ht="29.25" customHeight="1" outlineLevel="1">
      <c r="A30" s="16"/>
      <c r="B30" s="21" t="s">
        <v>157</v>
      </c>
      <c r="C30" s="17" t="b">
        <v>0</v>
      </c>
      <c r="D30" s="19" t="s">
        <v>316</v>
      </c>
      <c r="E30" s="3" t="s">
        <v>52</v>
      </c>
      <c r="F30" s="3"/>
    </row>
    <row r="31" spans="1:6" ht="29.25" customHeight="1" outlineLevel="1">
      <c r="A31" s="16"/>
      <c r="B31" s="21" t="s">
        <v>158</v>
      </c>
      <c r="C31" s="17" t="b">
        <v>0</v>
      </c>
      <c r="D31" s="19" t="s">
        <v>316</v>
      </c>
      <c r="E31" s="3" t="s">
        <v>135</v>
      </c>
      <c r="F31" s="3"/>
    </row>
    <row r="32" spans="1:6" ht="29.25" customHeight="1" outlineLevel="1">
      <c r="A32" s="16"/>
      <c r="B32" s="21" t="s">
        <v>159</v>
      </c>
      <c r="C32" s="17" t="b">
        <v>0</v>
      </c>
      <c r="D32" s="19" t="s">
        <v>316</v>
      </c>
      <c r="E32" s="3" t="s">
        <v>101</v>
      </c>
      <c r="F32" s="3"/>
    </row>
    <row r="33" spans="1:6" ht="29.25" customHeight="1" outlineLevel="1">
      <c r="A33" s="16"/>
      <c r="B33" s="21" t="s">
        <v>160</v>
      </c>
      <c r="C33" s="17" t="b">
        <v>0</v>
      </c>
      <c r="D33" s="19" t="s">
        <v>312</v>
      </c>
      <c r="E33" s="3" t="s">
        <v>161</v>
      </c>
      <c r="F33" s="3"/>
    </row>
    <row r="34" spans="1:6" ht="29.25" customHeight="1" outlineLevel="1">
      <c r="A34" s="16"/>
      <c r="B34" s="21" t="s">
        <v>162</v>
      </c>
      <c r="C34" s="17" t="b">
        <v>0</v>
      </c>
      <c r="D34" s="19" t="s">
        <v>308</v>
      </c>
      <c r="E34" s="3" t="s">
        <v>52</v>
      </c>
      <c r="F34" s="3"/>
    </row>
    <row r="35" spans="1:6" ht="29.25" customHeight="1" outlineLevel="1">
      <c r="A35" s="16"/>
      <c r="B35" s="21" t="s">
        <v>163</v>
      </c>
      <c r="C35" s="17" t="b">
        <v>0</v>
      </c>
      <c r="D35" s="19" t="s">
        <v>139</v>
      </c>
      <c r="E35" s="3" t="s">
        <v>50</v>
      </c>
      <c r="F35" s="3"/>
    </row>
    <row r="36" spans="1:6" ht="29.25" customHeight="1" outlineLevel="1">
      <c r="A36" s="16"/>
      <c r="B36" s="21" t="s">
        <v>164</v>
      </c>
      <c r="C36" s="17" t="b">
        <v>0</v>
      </c>
      <c r="D36" s="19" t="s">
        <v>317</v>
      </c>
      <c r="E36" s="3" t="s">
        <v>135</v>
      </c>
      <c r="F36" s="3"/>
    </row>
    <row r="37" spans="1:6" ht="29.25" customHeight="1">
      <c r="A37" s="16"/>
      <c r="B37" s="5" t="s">
        <v>12</v>
      </c>
      <c r="C37" s="24">
        <f>IFERROR(COUNTIF(C38:C48,TRUE)/COUNTA(B38:B48),0)</f>
        <v>0</v>
      </c>
      <c r="D37" s="26" t="str">
        <f t="shared" ref="D37:F37" si="2">D3</f>
        <v>Método de validación sugerido</v>
      </c>
      <c r="E37" s="25" t="str">
        <f t="shared" si="2"/>
        <v>Herramientas / referencia</v>
      </c>
      <c r="F37" s="15" t="str">
        <f t="shared" si="2"/>
        <v>Comentarios / plan de acción</v>
      </c>
    </row>
    <row r="38" spans="1:6" ht="29.25" customHeight="1" outlineLevel="1">
      <c r="A38" s="16"/>
      <c r="B38" s="21" t="s">
        <v>165</v>
      </c>
      <c r="C38" s="17" t="b">
        <v>0</v>
      </c>
      <c r="D38" s="19" t="s">
        <v>316</v>
      </c>
      <c r="E38" s="3" t="s">
        <v>73</v>
      </c>
      <c r="F38" s="3"/>
    </row>
    <row r="39" spans="1:6" ht="29.25" customHeight="1" outlineLevel="1">
      <c r="A39" s="16"/>
      <c r="B39" s="21" t="s">
        <v>166</v>
      </c>
      <c r="C39" s="17" t="b">
        <v>0</v>
      </c>
      <c r="D39" s="19" t="s">
        <v>316</v>
      </c>
      <c r="E39" s="3" t="s">
        <v>67</v>
      </c>
      <c r="F39" s="3"/>
    </row>
    <row r="40" spans="1:6" ht="29.25" customHeight="1" outlineLevel="1">
      <c r="A40" s="16"/>
      <c r="B40" s="21" t="s">
        <v>167</v>
      </c>
      <c r="C40" s="17" t="b">
        <v>0</v>
      </c>
      <c r="D40" s="19" t="s">
        <v>316</v>
      </c>
      <c r="E40" s="3" t="s">
        <v>66</v>
      </c>
      <c r="F40" s="3"/>
    </row>
    <row r="41" spans="1:6" ht="29.25" customHeight="1" outlineLevel="1">
      <c r="A41" s="16"/>
      <c r="B41" s="21" t="s">
        <v>168</v>
      </c>
      <c r="C41" s="17" t="b">
        <v>0</v>
      </c>
      <c r="D41" s="19" t="s">
        <v>316</v>
      </c>
      <c r="E41" s="3" t="s">
        <v>169</v>
      </c>
      <c r="F41" s="3"/>
    </row>
    <row r="42" spans="1:6" ht="29.25" customHeight="1" outlineLevel="1">
      <c r="A42" s="16"/>
      <c r="B42" s="21" t="s">
        <v>170</v>
      </c>
      <c r="C42" s="17" t="b">
        <v>0</v>
      </c>
      <c r="D42" s="19" t="s">
        <v>316</v>
      </c>
      <c r="E42" s="3" t="s">
        <v>83</v>
      </c>
      <c r="F42" s="3"/>
    </row>
    <row r="43" spans="1:6" ht="29.25" customHeight="1" outlineLevel="1">
      <c r="A43" s="16"/>
      <c r="B43" s="21" t="s">
        <v>171</v>
      </c>
      <c r="C43" s="17" t="b">
        <v>0</v>
      </c>
      <c r="D43" s="19" t="s">
        <v>309</v>
      </c>
      <c r="E43" s="3" t="s">
        <v>73</v>
      </c>
      <c r="F43" s="3"/>
    </row>
    <row r="44" spans="1:6" ht="29.25" customHeight="1" outlineLevel="1">
      <c r="A44" s="16"/>
      <c r="B44" s="21" t="s">
        <v>172</v>
      </c>
      <c r="C44" s="17" t="b">
        <v>0</v>
      </c>
      <c r="D44" s="19" t="s">
        <v>316</v>
      </c>
      <c r="E44" s="3" t="s">
        <v>73</v>
      </c>
      <c r="F44" s="3"/>
    </row>
    <row r="45" spans="1:6" ht="29.25" customHeight="1" outlineLevel="1">
      <c r="A45" s="16"/>
      <c r="B45" s="21" t="s">
        <v>173</v>
      </c>
      <c r="C45" s="17" t="b">
        <v>0</v>
      </c>
      <c r="D45" s="19" t="s">
        <v>312</v>
      </c>
      <c r="E45" s="3" t="s">
        <v>73</v>
      </c>
      <c r="F45" s="3"/>
    </row>
    <row r="46" spans="1:6" ht="29.25" customHeight="1" outlineLevel="1">
      <c r="A46" s="16"/>
      <c r="B46" s="21" t="s">
        <v>174</v>
      </c>
      <c r="C46" s="17" t="b">
        <v>0</v>
      </c>
      <c r="D46" s="19" t="s">
        <v>308</v>
      </c>
      <c r="E46" s="3" t="s">
        <v>175</v>
      </c>
      <c r="F46" s="3"/>
    </row>
    <row r="47" spans="1:6" ht="29.25" customHeight="1" outlineLevel="1">
      <c r="A47" s="16"/>
      <c r="B47" s="21" t="s">
        <v>176</v>
      </c>
      <c r="C47" s="17" t="b">
        <v>0</v>
      </c>
      <c r="D47" s="19" t="s">
        <v>139</v>
      </c>
      <c r="E47" s="3" t="s">
        <v>73</v>
      </c>
      <c r="F47" s="3"/>
    </row>
    <row r="48" spans="1:6" ht="29.25" customHeight="1" outlineLevel="1">
      <c r="A48" s="16"/>
      <c r="B48" s="21" t="s">
        <v>177</v>
      </c>
      <c r="C48" s="17" t="b">
        <v>0</v>
      </c>
      <c r="D48" s="19" t="s">
        <v>317</v>
      </c>
      <c r="E48" s="3" t="s">
        <v>83</v>
      </c>
      <c r="F48" s="3"/>
    </row>
    <row r="49" spans="1:6" ht="29.25" customHeight="1">
      <c r="A49" s="16"/>
      <c r="B49" s="5" t="s">
        <v>14</v>
      </c>
      <c r="C49" s="24">
        <f>IFERROR(COUNTIF(C50:C59,TRUE)/COUNTA(B50:B59),0)</f>
        <v>0</v>
      </c>
      <c r="D49" s="26" t="str">
        <f t="shared" ref="D49:F49" si="3">D3</f>
        <v>Método de validación sugerido</v>
      </c>
      <c r="E49" s="25" t="str">
        <f t="shared" si="3"/>
        <v>Herramientas / referencia</v>
      </c>
      <c r="F49" s="15" t="str">
        <f t="shared" si="3"/>
        <v>Comentarios / plan de acción</v>
      </c>
    </row>
    <row r="50" spans="1:6" ht="29.25" customHeight="1" outlineLevel="1">
      <c r="A50" s="16"/>
      <c r="B50" s="21" t="s">
        <v>178</v>
      </c>
      <c r="C50" s="17" t="b">
        <v>0</v>
      </c>
      <c r="D50" s="19" t="s">
        <v>316</v>
      </c>
      <c r="E50" s="3" t="s">
        <v>179</v>
      </c>
      <c r="F50" s="3"/>
    </row>
    <row r="51" spans="1:6" ht="29.25" customHeight="1" outlineLevel="1">
      <c r="A51" s="16"/>
      <c r="B51" s="21" t="s">
        <v>180</v>
      </c>
      <c r="C51" s="17" t="b">
        <v>0</v>
      </c>
      <c r="D51" s="19" t="s">
        <v>316</v>
      </c>
      <c r="E51" s="3" t="s">
        <v>61</v>
      </c>
      <c r="F51" s="3"/>
    </row>
    <row r="52" spans="1:6" ht="29.25" customHeight="1" outlineLevel="1">
      <c r="A52" s="16"/>
      <c r="B52" s="21" t="s">
        <v>181</v>
      </c>
      <c r="C52" s="17" t="b">
        <v>0</v>
      </c>
      <c r="D52" s="19" t="s">
        <v>316</v>
      </c>
      <c r="E52" s="3" t="s">
        <v>57</v>
      </c>
      <c r="F52" s="3"/>
    </row>
    <row r="53" spans="1:6" ht="29.25" customHeight="1" outlineLevel="1">
      <c r="A53" s="16"/>
      <c r="B53" s="21" t="s">
        <v>182</v>
      </c>
      <c r="C53" s="17" t="b">
        <v>0</v>
      </c>
      <c r="D53" s="19" t="s">
        <v>317</v>
      </c>
      <c r="E53" s="3" t="s">
        <v>183</v>
      </c>
      <c r="F53" s="3"/>
    </row>
    <row r="54" spans="1:6" ht="29.25" customHeight="1" outlineLevel="1">
      <c r="A54" s="16"/>
      <c r="B54" s="21" t="s">
        <v>184</v>
      </c>
      <c r="C54" s="17" t="b">
        <v>0</v>
      </c>
      <c r="D54" s="19" t="s">
        <v>316</v>
      </c>
      <c r="E54" s="3" t="s">
        <v>101</v>
      </c>
      <c r="F54" s="3"/>
    </row>
    <row r="55" spans="1:6" ht="29.25" customHeight="1" outlineLevel="1">
      <c r="A55" s="16"/>
      <c r="B55" s="21" t="s">
        <v>185</v>
      </c>
      <c r="C55" s="17" t="b">
        <v>0</v>
      </c>
      <c r="D55" s="19" t="s">
        <v>316</v>
      </c>
      <c r="E55" s="3" t="s">
        <v>97</v>
      </c>
      <c r="F55" s="3"/>
    </row>
    <row r="56" spans="1:6" ht="29.25" customHeight="1" outlineLevel="1">
      <c r="A56" s="16"/>
      <c r="B56" s="21" t="s">
        <v>186</v>
      </c>
      <c r="C56" s="17" t="b">
        <v>0</v>
      </c>
      <c r="D56" s="19" t="s">
        <v>317</v>
      </c>
      <c r="E56" s="3" t="s">
        <v>67</v>
      </c>
      <c r="F56" s="3"/>
    </row>
    <row r="57" spans="1:6" ht="29.25" customHeight="1" outlineLevel="1">
      <c r="A57" s="16"/>
      <c r="B57" s="21" t="s">
        <v>187</v>
      </c>
      <c r="C57" s="17" t="b">
        <v>0</v>
      </c>
      <c r="D57" s="19" t="s">
        <v>312</v>
      </c>
      <c r="E57" s="3" t="s">
        <v>161</v>
      </c>
      <c r="F57" s="3"/>
    </row>
    <row r="58" spans="1:6" ht="29.25" customHeight="1" outlineLevel="1">
      <c r="A58" s="16"/>
      <c r="B58" s="21" t="s">
        <v>188</v>
      </c>
      <c r="C58" s="17" t="b">
        <v>0</v>
      </c>
      <c r="D58" s="19" t="s">
        <v>139</v>
      </c>
      <c r="E58" s="3" t="s">
        <v>50</v>
      </c>
      <c r="F58" s="3"/>
    </row>
    <row r="59" spans="1:6" ht="29.25" customHeight="1" outlineLevel="1">
      <c r="A59" s="16"/>
      <c r="B59" s="21" t="s">
        <v>189</v>
      </c>
      <c r="C59" s="17" t="b">
        <v>0</v>
      </c>
      <c r="D59" s="19" t="s">
        <v>317</v>
      </c>
      <c r="E59" s="3" t="s">
        <v>95</v>
      </c>
      <c r="F59" s="3"/>
    </row>
    <row r="60" spans="1:6" ht="29.25" customHeight="1">
      <c r="A60" s="16"/>
      <c r="B60" s="5" t="s">
        <v>16</v>
      </c>
      <c r="C60" s="24">
        <f>IFERROR(COUNTIF(C61:C73,TRUE)/COUNTA(B61:B73),0)</f>
        <v>0</v>
      </c>
      <c r="D60" s="26" t="str">
        <f t="shared" ref="D60:F60" si="4">D3</f>
        <v>Método de validación sugerido</v>
      </c>
      <c r="E60" s="25" t="str">
        <f t="shared" si="4"/>
        <v>Herramientas / referencia</v>
      </c>
      <c r="F60" s="15" t="str">
        <f t="shared" si="4"/>
        <v>Comentarios / plan de acción</v>
      </c>
    </row>
    <row r="61" spans="1:6" ht="29.25" customHeight="1" outlineLevel="1">
      <c r="A61" s="16"/>
      <c r="B61" s="21" t="s">
        <v>190</v>
      </c>
      <c r="C61" s="17" t="b">
        <v>0</v>
      </c>
      <c r="D61" s="19" t="s">
        <v>316</v>
      </c>
      <c r="E61" s="3" t="s">
        <v>89</v>
      </c>
      <c r="F61" s="3"/>
    </row>
    <row r="62" spans="1:6" ht="29.25" customHeight="1" outlineLevel="1">
      <c r="A62" s="16"/>
      <c r="B62" s="21" t="s">
        <v>191</v>
      </c>
      <c r="C62" s="17" t="b">
        <v>0</v>
      </c>
      <c r="D62" s="19" t="s">
        <v>316</v>
      </c>
      <c r="E62" s="3" t="s">
        <v>103</v>
      </c>
      <c r="F62" s="3"/>
    </row>
    <row r="63" spans="1:6" ht="29.25" customHeight="1" outlineLevel="1">
      <c r="A63" s="16"/>
      <c r="B63" s="21" t="s">
        <v>192</v>
      </c>
      <c r="C63" s="17" t="b">
        <v>0</v>
      </c>
      <c r="D63" s="19" t="s">
        <v>316</v>
      </c>
      <c r="E63" s="3" t="s">
        <v>97</v>
      </c>
      <c r="F63" s="3"/>
    </row>
    <row r="64" spans="1:6" ht="29.25" customHeight="1" outlineLevel="1">
      <c r="A64" s="16"/>
      <c r="B64" s="21" t="s">
        <v>193</v>
      </c>
      <c r="C64" s="17" t="b">
        <v>0</v>
      </c>
      <c r="D64" s="19" t="s">
        <v>316</v>
      </c>
      <c r="E64" s="3" t="s">
        <v>97</v>
      </c>
      <c r="F64" s="3"/>
    </row>
    <row r="65" spans="1:6" ht="29.25" customHeight="1" outlineLevel="1">
      <c r="A65" s="16"/>
      <c r="B65" s="21" t="s">
        <v>194</v>
      </c>
      <c r="C65" s="17" t="b">
        <v>0</v>
      </c>
      <c r="D65" s="19" t="s">
        <v>316</v>
      </c>
      <c r="E65" s="3" t="s">
        <v>103</v>
      </c>
      <c r="F65" s="3"/>
    </row>
    <row r="66" spans="1:6" ht="29.25" customHeight="1" outlineLevel="1">
      <c r="A66" s="16"/>
      <c r="B66" s="21" t="s">
        <v>195</v>
      </c>
      <c r="C66" s="17" t="b">
        <v>0</v>
      </c>
      <c r="D66" s="19" t="s">
        <v>309</v>
      </c>
      <c r="E66" s="3" t="s">
        <v>93</v>
      </c>
      <c r="F66" s="3"/>
    </row>
    <row r="67" spans="1:6" ht="29.25" customHeight="1" outlineLevel="1">
      <c r="A67" s="16"/>
      <c r="B67" s="21" t="s">
        <v>196</v>
      </c>
      <c r="C67" s="17" t="b">
        <v>0</v>
      </c>
      <c r="D67" s="19" t="s">
        <v>309</v>
      </c>
      <c r="E67" s="3" t="s">
        <v>73</v>
      </c>
      <c r="F67" s="3"/>
    </row>
    <row r="68" spans="1:6" ht="29.25" customHeight="1" outlineLevel="1">
      <c r="A68" s="16"/>
      <c r="B68" s="21" t="s">
        <v>197</v>
      </c>
      <c r="C68" s="17" t="b">
        <v>0</v>
      </c>
      <c r="D68" s="19" t="s">
        <v>309</v>
      </c>
      <c r="E68" s="3" t="s">
        <v>95</v>
      </c>
      <c r="F68" s="3"/>
    </row>
    <row r="69" spans="1:6" ht="29.25" customHeight="1" outlineLevel="1">
      <c r="A69" s="16"/>
      <c r="B69" s="21" t="s">
        <v>198</v>
      </c>
      <c r="C69" s="17" t="b">
        <v>0</v>
      </c>
      <c r="D69" s="19" t="s">
        <v>316</v>
      </c>
      <c r="E69" s="3" t="s">
        <v>119</v>
      </c>
      <c r="F69" s="3"/>
    </row>
    <row r="70" spans="1:6" ht="29.25" customHeight="1" outlineLevel="1">
      <c r="A70" s="16"/>
      <c r="B70" s="21" t="s">
        <v>199</v>
      </c>
      <c r="C70" s="17" t="b">
        <v>0</v>
      </c>
      <c r="D70" s="19" t="s">
        <v>312</v>
      </c>
      <c r="E70" s="3" t="s">
        <v>113</v>
      </c>
      <c r="F70" s="3"/>
    </row>
    <row r="71" spans="1:6" ht="29.25" customHeight="1" outlineLevel="1">
      <c r="A71" s="16"/>
      <c r="B71" s="21" t="s">
        <v>200</v>
      </c>
      <c r="C71" s="17" t="b">
        <v>0</v>
      </c>
      <c r="D71" s="19" t="s">
        <v>308</v>
      </c>
      <c r="E71" s="3" t="s">
        <v>89</v>
      </c>
      <c r="F71" s="3"/>
    </row>
    <row r="72" spans="1:6" ht="29.25" customHeight="1" outlineLevel="1">
      <c r="A72" s="16"/>
      <c r="B72" s="21" t="s">
        <v>201</v>
      </c>
      <c r="C72" s="17" t="b">
        <v>0</v>
      </c>
      <c r="D72" s="19" t="s">
        <v>139</v>
      </c>
      <c r="E72" s="3" t="s">
        <v>101</v>
      </c>
      <c r="F72" s="3"/>
    </row>
    <row r="73" spans="1:6" ht="29.25" customHeight="1" outlineLevel="1">
      <c r="A73" s="16"/>
      <c r="B73" s="21" t="s">
        <v>202</v>
      </c>
      <c r="C73" s="17" t="b">
        <v>0</v>
      </c>
      <c r="D73" s="19" t="s">
        <v>317</v>
      </c>
      <c r="E73" s="3" t="s">
        <v>95</v>
      </c>
      <c r="F73" s="3"/>
    </row>
    <row r="74" spans="1:6" ht="29.25" customHeight="1">
      <c r="A74" s="16"/>
      <c r="B74" s="5" t="s">
        <v>18</v>
      </c>
      <c r="C74" s="24">
        <f>IFERROR(COUNTIF(C75:C84,TRUE)/COUNTA(B75:B84),0)</f>
        <v>0</v>
      </c>
      <c r="D74" s="26" t="str">
        <f t="shared" ref="D74:F74" si="5">D3</f>
        <v>Método de validación sugerido</v>
      </c>
      <c r="E74" s="25" t="str">
        <f t="shared" si="5"/>
        <v>Herramientas / referencia</v>
      </c>
      <c r="F74" s="15" t="str">
        <f t="shared" si="5"/>
        <v>Comentarios / plan de acción</v>
      </c>
    </row>
    <row r="75" spans="1:6" ht="29.25" customHeight="1" outlineLevel="1">
      <c r="A75" s="16"/>
      <c r="B75" s="21" t="s">
        <v>203</v>
      </c>
      <c r="C75" s="17" t="b">
        <v>0</v>
      </c>
      <c r="D75" s="19" t="s">
        <v>316</v>
      </c>
      <c r="E75" s="3" t="s">
        <v>66</v>
      </c>
      <c r="F75" s="3"/>
    </row>
    <row r="76" spans="1:6" ht="29.25" customHeight="1" outlineLevel="1">
      <c r="A76" s="16"/>
      <c r="B76" s="21" t="s">
        <v>204</v>
      </c>
      <c r="C76" s="17" t="b">
        <v>0</v>
      </c>
      <c r="D76" s="19" t="s">
        <v>316</v>
      </c>
      <c r="E76" s="3" t="s">
        <v>61</v>
      </c>
      <c r="F76" s="3"/>
    </row>
    <row r="77" spans="1:6" ht="29.25" customHeight="1" outlineLevel="1">
      <c r="A77" s="16"/>
      <c r="B77" s="21" t="s">
        <v>205</v>
      </c>
      <c r="C77" s="17" t="b">
        <v>0</v>
      </c>
      <c r="D77" s="19" t="s">
        <v>309</v>
      </c>
      <c r="E77" s="3" t="s">
        <v>73</v>
      </c>
      <c r="F77" s="3"/>
    </row>
    <row r="78" spans="1:6" ht="29.25" customHeight="1" outlineLevel="1">
      <c r="A78" s="16"/>
      <c r="B78" s="21" t="s">
        <v>195</v>
      </c>
      <c r="C78" s="17" t="b">
        <v>0</v>
      </c>
      <c r="D78" s="19" t="s">
        <v>309</v>
      </c>
      <c r="E78" s="3" t="s">
        <v>93</v>
      </c>
      <c r="F78" s="3"/>
    </row>
    <row r="79" spans="1:6" ht="29.25" customHeight="1" outlineLevel="1">
      <c r="A79" s="16"/>
      <c r="B79" s="21" t="s">
        <v>206</v>
      </c>
      <c r="C79" s="17" t="b">
        <v>0</v>
      </c>
      <c r="D79" s="19" t="s">
        <v>316</v>
      </c>
      <c r="E79" s="3" t="s">
        <v>66</v>
      </c>
      <c r="F79" s="3"/>
    </row>
    <row r="80" spans="1:6" ht="29.25" customHeight="1" outlineLevel="1">
      <c r="A80" s="16"/>
      <c r="B80" s="21" t="s">
        <v>207</v>
      </c>
      <c r="C80" s="17" t="b">
        <v>0</v>
      </c>
      <c r="D80" s="19" t="s">
        <v>316</v>
      </c>
      <c r="E80" s="3" t="s">
        <v>208</v>
      </c>
      <c r="F80" s="3"/>
    </row>
    <row r="81" spans="1:6" ht="29.25" customHeight="1" outlineLevel="1">
      <c r="A81" s="16"/>
      <c r="B81" s="21" t="s">
        <v>209</v>
      </c>
      <c r="C81" s="17" t="b">
        <v>0</v>
      </c>
      <c r="D81" s="19" t="s">
        <v>312</v>
      </c>
      <c r="E81" s="3" t="s">
        <v>208</v>
      </c>
      <c r="F81" s="3"/>
    </row>
    <row r="82" spans="1:6" ht="29.25" customHeight="1" outlineLevel="1">
      <c r="A82" s="16"/>
      <c r="B82" s="21" t="s">
        <v>210</v>
      </c>
      <c r="C82" s="17" t="b">
        <v>0</v>
      </c>
      <c r="D82" s="19" t="s">
        <v>308</v>
      </c>
      <c r="E82" s="3" t="s">
        <v>61</v>
      </c>
      <c r="F82" s="3"/>
    </row>
    <row r="83" spans="1:6" ht="29.25" customHeight="1" outlineLevel="1">
      <c r="A83" s="16"/>
      <c r="B83" s="21" t="s">
        <v>211</v>
      </c>
      <c r="C83" s="17" t="b">
        <v>0</v>
      </c>
      <c r="D83" s="19" t="s">
        <v>139</v>
      </c>
      <c r="E83" s="3" t="s">
        <v>208</v>
      </c>
      <c r="F83" s="3"/>
    </row>
    <row r="84" spans="1:6" ht="29.25" customHeight="1" outlineLevel="1">
      <c r="A84" s="16"/>
      <c r="B84" s="21" t="s">
        <v>212</v>
      </c>
      <c r="C84" s="17" t="b">
        <v>0</v>
      </c>
      <c r="D84" s="19" t="s">
        <v>317</v>
      </c>
      <c r="E84" s="3" t="s">
        <v>73</v>
      </c>
      <c r="F84" s="3"/>
    </row>
    <row r="85" spans="1:6" ht="29.25" customHeight="1">
      <c r="A85" s="16"/>
      <c r="B85" s="5" t="s">
        <v>20</v>
      </c>
      <c r="C85" s="24">
        <f>IFERROR(COUNTIF(C86:C94,TRUE)/COUNTA(B86:B94),0)</f>
        <v>0</v>
      </c>
      <c r="D85" s="26" t="str">
        <f t="shared" ref="D85:F85" si="6">D3</f>
        <v>Método de validación sugerido</v>
      </c>
      <c r="E85" s="25" t="str">
        <f t="shared" si="6"/>
        <v>Herramientas / referencia</v>
      </c>
      <c r="F85" s="15" t="str">
        <f t="shared" si="6"/>
        <v>Comentarios / plan de acción</v>
      </c>
    </row>
    <row r="86" spans="1:6" ht="29.25" customHeight="1" outlineLevel="1">
      <c r="A86" s="16"/>
      <c r="B86" s="21" t="s">
        <v>213</v>
      </c>
      <c r="C86" s="17" t="b">
        <v>0</v>
      </c>
      <c r="D86" s="19" t="s">
        <v>316</v>
      </c>
      <c r="E86" s="3" t="s">
        <v>113</v>
      </c>
      <c r="F86" s="3"/>
    </row>
    <row r="87" spans="1:6" ht="29.25" customHeight="1" outlineLevel="1">
      <c r="A87" s="16"/>
      <c r="B87" s="21" t="s">
        <v>214</v>
      </c>
      <c r="C87" s="17" t="b">
        <v>0</v>
      </c>
      <c r="D87" s="19" t="s">
        <v>316</v>
      </c>
      <c r="E87" s="3" t="s">
        <v>113</v>
      </c>
      <c r="F87" s="3"/>
    </row>
    <row r="88" spans="1:6" ht="29.25" customHeight="1" outlineLevel="1">
      <c r="A88" s="16"/>
      <c r="B88" s="21" t="s">
        <v>215</v>
      </c>
      <c r="C88" s="17" t="b">
        <v>0</v>
      </c>
      <c r="D88" s="19" t="s">
        <v>316</v>
      </c>
      <c r="E88" s="3" t="s">
        <v>86</v>
      </c>
      <c r="F88" s="3"/>
    </row>
    <row r="89" spans="1:6" ht="29.25" customHeight="1" outlineLevel="1">
      <c r="A89" s="16"/>
      <c r="B89" s="21" t="s">
        <v>216</v>
      </c>
      <c r="C89" s="17" t="b">
        <v>0</v>
      </c>
      <c r="D89" s="19" t="s">
        <v>316</v>
      </c>
      <c r="E89" s="3" t="s">
        <v>99</v>
      </c>
      <c r="F89" s="3"/>
    </row>
    <row r="90" spans="1:6" ht="29.25" customHeight="1" outlineLevel="1">
      <c r="A90" s="16"/>
      <c r="B90" s="21" t="s">
        <v>217</v>
      </c>
      <c r="C90" s="17" t="b">
        <v>0</v>
      </c>
      <c r="D90" s="19" t="s">
        <v>317</v>
      </c>
      <c r="E90" s="3" t="s">
        <v>218</v>
      </c>
      <c r="F90" s="3"/>
    </row>
    <row r="91" spans="1:6" ht="29.25" customHeight="1" outlineLevel="1">
      <c r="A91" s="16"/>
      <c r="B91" s="21" t="s">
        <v>219</v>
      </c>
      <c r="C91" s="17" t="b">
        <v>0</v>
      </c>
      <c r="D91" s="19" t="s">
        <v>312</v>
      </c>
      <c r="E91" s="3" t="s">
        <v>119</v>
      </c>
      <c r="F91" s="3"/>
    </row>
    <row r="92" spans="1:6" ht="29.25" customHeight="1" outlineLevel="1">
      <c r="A92" s="16"/>
      <c r="B92" s="21" t="s">
        <v>220</v>
      </c>
      <c r="C92" s="17" t="b">
        <v>0</v>
      </c>
      <c r="D92" s="19" t="s">
        <v>316</v>
      </c>
      <c r="E92" s="3" t="s">
        <v>221</v>
      </c>
      <c r="F92" s="3"/>
    </row>
    <row r="93" spans="1:6" ht="29.25" customHeight="1" outlineLevel="1">
      <c r="A93" s="16"/>
      <c r="B93" s="21" t="s">
        <v>222</v>
      </c>
      <c r="C93" s="17" t="b">
        <v>0</v>
      </c>
      <c r="D93" s="19" t="s">
        <v>139</v>
      </c>
      <c r="E93" s="3" t="s">
        <v>119</v>
      </c>
      <c r="F93" s="3"/>
    </row>
    <row r="94" spans="1:6" ht="29.25" customHeight="1" outlineLevel="1">
      <c r="A94" s="16"/>
      <c r="B94" s="21" t="s">
        <v>223</v>
      </c>
      <c r="C94" s="17" t="b">
        <v>0</v>
      </c>
      <c r="D94" s="19" t="s">
        <v>317</v>
      </c>
      <c r="E94" s="3" t="s">
        <v>119</v>
      </c>
      <c r="F94" s="3"/>
    </row>
    <row r="95" spans="1:6" ht="29.25" customHeight="1">
      <c r="A95"/>
      <c r="B95"/>
      <c r="C95"/>
    </row>
    <row r="96" spans="1:6" ht="29.25" customHeight="1">
      <c r="A96"/>
      <c r="B96"/>
      <c r="C96"/>
    </row>
    <row r="97" spans="1:3" ht="29.25" customHeight="1">
      <c r="A97"/>
      <c r="B97"/>
      <c r="C97"/>
    </row>
    <row r="98" spans="1:3" ht="29.25" customHeight="1">
      <c r="A98"/>
      <c r="B98"/>
      <c r="C98"/>
    </row>
    <row r="99" spans="1:3" ht="29.25" customHeight="1">
      <c r="A99"/>
      <c r="B99"/>
      <c r="C99"/>
    </row>
    <row r="100" spans="1:3" ht="29.25" customHeight="1">
      <c r="A100"/>
      <c r="B100"/>
      <c r="C100"/>
    </row>
    <row r="101" spans="1:3" ht="29.25" customHeight="1">
      <c r="A101"/>
      <c r="B101"/>
      <c r="C101"/>
    </row>
    <row r="102" spans="1:3" ht="29.25" customHeight="1">
      <c r="A102"/>
      <c r="B102"/>
      <c r="C102"/>
    </row>
    <row r="103" spans="1:3" ht="29.25" customHeight="1">
      <c r="A103"/>
      <c r="B103"/>
      <c r="C103"/>
    </row>
    <row r="104" spans="1:3" ht="29.25" customHeight="1">
      <c r="A104"/>
      <c r="B104"/>
      <c r="C104"/>
    </row>
    <row r="105" spans="1:3" ht="29.25" customHeight="1">
      <c r="A105"/>
      <c r="B105"/>
      <c r="C105"/>
    </row>
    <row r="106" spans="1:3" ht="29.25" customHeight="1">
      <c r="A106"/>
      <c r="B106"/>
      <c r="C106"/>
    </row>
    <row r="107" spans="1:3" ht="29.25" customHeight="1">
      <c r="A107"/>
      <c r="B107"/>
      <c r="C107"/>
    </row>
    <row r="108" spans="1:3" ht="29.25" customHeight="1">
      <c r="A108"/>
      <c r="B108"/>
      <c r="C108"/>
    </row>
    <row r="109" spans="1:3" ht="29.25" customHeight="1">
      <c r="A109"/>
      <c r="B109"/>
      <c r="C109"/>
    </row>
    <row r="110" spans="1:3" ht="29.25" customHeight="1">
      <c r="A110"/>
      <c r="B110"/>
      <c r="C110"/>
    </row>
    <row r="111" spans="1:3" ht="29.25" customHeight="1">
      <c r="A111"/>
      <c r="B111"/>
      <c r="C111"/>
    </row>
    <row r="112" spans="1:3" ht="29.25" customHeight="1">
      <c r="A112"/>
      <c r="B112"/>
      <c r="C112"/>
    </row>
    <row r="113" spans="1:3" ht="29.25" customHeight="1">
      <c r="A113"/>
      <c r="B113"/>
      <c r="C113"/>
    </row>
    <row r="114" spans="1:3" ht="29.25" customHeight="1">
      <c r="A114"/>
      <c r="B114"/>
      <c r="C114"/>
    </row>
    <row r="115" spans="1:3" ht="29.25" customHeight="1">
      <c r="A115"/>
      <c r="B115"/>
      <c r="C115"/>
    </row>
    <row r="116" spans="1:3" ht="29.25" customHeight="1">
      <c r="A116"/>
      <c r="B116"/>
      <c r="C116"/>
    </row>
    <row r="117" spans="1:3" ht="29.25" customHeight="1">
      <c r="A117"/>
      <c r="B117"/>
      <c r="C117"/>
    </row>
    <row r="118" spans="1:3" ht="29.25" customHeight="1">
      <c r="A118"/>
      <c r="B118"/>
      <c r="C118"/>
    </row>
    <row r="119" spans="1:3" ht="29.25" customHeight="1">
      <c r="A119"/>
      <c r="B119"/>
      <c r="C119"/>
    </row>
    <row r="120" spans="1:3" ht="29.25" customHeight="1">
      <c r="A120"/>
      <c r="B120"/>
      <c r="C120"/>
    </row>
    <row r="121" spans="1:3" ht="29.25" customHeight="1">
      <c r="A121"/>
      <c r="B121"/>
      <c r="C121"/>
    </row>
    <row r="122" spans="1:3" ht="29.25" customHeight="1">
      <c r="A122"/>
      <c r="B122"/>
      <c r="C122"/>
    </row>
  </sheetData>
  <mergeCells count="2">
    <mergeCell ref="A2:B2"/>
    <mergeCell ref="B1:C1"/>
  </mergeCells>
  <conditionalFormatting sqref="C3">
    <cfRule type="cellIs" dxfId="7" priority="27" operator="lessThanOrEqual">
      <formula>0.79</formula>
    </cfRule>
    <cfRule type="cellIs" dxfId="6" priority="28" operator="greaterThanOrEqual">
      <formula>0.79</formula>
    </cfRule>
  </conditionalFormatting>
  <conditionalFormatting sqref="C14 C26 C37 C49 C60 C74 C85">
    <cfRule type="cellIs" dxfId="5" priority="1" operator="lessThanOrEqual">
      <formula>0.79</formula>
    </cfRule>
    <cfRule type="cellIs" dxfId="4" priority="2" operator="greaterThanOrEqual">
      <formula>0.79</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5"/>
  <sheetViews>
    <sheetView showGridLines="0" zoomScale="70" zoomScaleNormal="70" workbookViewId="0">
      <selection activeCell="A2" sqref="A2:B2"/>
    </sheetView>
  </sheetViews>
  <sheetFormatPr baseColWidth="10" defaultColWidth="10.85546875" defaultRowHeight="15" outlineLevelRow="1"/>
  <cols>
    <col min="1" max="1" width="20.5703125" style="1" customWidth="1"/>
    <col min="2" max="2" width="120.5703125" style="1" customWidth="1"/>
    <col min="3" max="3" width="25.5703125" style="1" customWidth="1"/>
    <col min="4" max="4" width="56.42578125" bestFit="1" customWidth="1"/>
    <col min="5" max="5" width="111.7109375" hidden="1" customWidth="1"/>
    <col min="6" max="6" width="28" hidden="1" customWidth="1"/>
    <col min="7" max="16384" width="10.85546875" style="1"/>
  </cols>
  <sheetData>
    <row r="1" spans="1:6" ht="36" customHeight="1">
      <c r="A1" s="11" t="e" vm="1">
        <v>#VALUE!</v>
      </c>
      <c r="B1" s="59" t="s">
        <v>224</v>
      </c>
      <c r="C1" s="59"/>
      <c r="D1" s="29"/>
    </row>
    <row r="2" spans="1:6" ht="96" customHeight="1">
      <c r="A2" s="58" t="s">
        <v>225</v>
      </c>
      <c r="B2" s="58"/>
      <c r="C2" s="12" t="str">
        <f>"COMPETENCIAS
[X] Competente
[  ] No competente
"&amp;IF(C4&gt;=80%,"≧80% COMPETENTE","&lt; 80% NO COMPETENTE")</f>
        <v>COMPETENCIAS
[X] Competente
[  ] No competente
≧80% COMPETENTE</v>
      </c>
      <c r="D2" s="29"/>
    </row>
    <row r="3" spans="1:6" ht="29.25" customHeight="1">
      <c r="A3" s="13"/>
      <c r="B3" s="5" t="s">
        <v>6</v>
      </c>
      <c r="C3" s="24">
        <f>IFERROR(COUNTIF(C4:C9,TRUE)/COUNTA(B4:B9),0)</f>
        <v>0</v>
      </c>
      <c r="D3" s="26" t="str">
        <f>'L7 Elaboración'!D3</f>
        <v>Método de validación sugerido</v>
      </c>
      <c r="E3" s="25" t="str">
        <f>'L7 Elaboración'!E3</f>
        <v>Herramientas / referencia</v>
      </c>
      <c r="F3" s="15" t="str">
        <f>'L7 Elaboración'!F3</f>
        <v>Comentarios / plan de acción</v>
      </c>
    </row>
    <row r="4" spans="1:6" ht="36.75" customHeight="1" outlineLevel="1">
      <c r="A4" s="16"/>
      <c r="B4" s="21" t="s">
        <v>319</v>
      </c>
      <c r="C4" s="17" t="b">
        <v>0</v>
      </c>
      <c r="D4" s="28" t="s">
        <v>226</v>
      </c>
      <c r="E4" s="3" t="s">
        <v>227</v>
      </c>
      <c r="F4" s="3"/>
    </row>
    <row r="5" spans="1:6" ht="31.5" customHeight="1" outlineLevel="1">
      <c r="A5" s="16"/>
      <c r="B5" s="21" t="s">
        <v>228</v>
      </c>
      <c r="C5" s="17" t="b">
        <v>0</v>
      </c>
      <c r="D5" s="28" t="s">
        <v>226</v>
      </c>
      <c r="E5" s="3" t="s">
        <v>229</v>
      </c>
      <c r="F5" s="3"/>
    </row>
    <row r="6" spans="1:6" ht="33.75" customHeight="1" outlineLevel="1">
      <c r="A6" s="16"/>
      <c r="B6" s="21" t="s">
        <v>230</v>
      </c>
      <c r="C6" s="17" t="b">
        <v>0</v>
      </c>
      <c r="D6" s="28" t="s">
        <v>226</v>
      </c>
      <c r="E6" s="3" t="s">
        <v>231</v>
      </c>
      <c r="F6" s="3"/>
    </row>
    <row r="7" spans="1:6" ht="32.25" customHeight="1" outlineLevel="1">
      <c r="A7" s="16"/>
      <c r="B7" s="21" t="s">
        <v>232</v>
      </c>
      <c r="C7" s="17" t="b">
        <v>0</v>
      </c>
      <c r="D7" s="28" t="s">
        <v>226</v>
      </c>
      <c r="E7" s="3" t="s">
        <v>233</v>
      </c>
      <c r="F7" s="3"/>
    </row>
    <row r="8" spans="1:6" ht="32.25" customHeight="1" outlineLevel="1">
      <c r="A8" s="16"/>
      <c r="B8" s="21" t="s">
        <v>234</v>
      </c>
      <c r="C8" s="17" t="b">
        <v>0</v>
      </c>
      <c r="D8" s="28" t="s">
        <v>235</v>
      </c>
      <c r="E8" s="3" t="s">
        <v>236</v>
      </c>
      <c r="F8" s="3"/>
    </row>
    <row r="9" spans="1:6" ht="29.25" customHeight="1" outlineLevel="1">
      <c r="A9" s="16"/>
      <c r="B9" s="21" t="s">
        <v>237</v>
      </c>
      <c r="C9" s="17" t="b">
        <v>0</v>
      </c>
      <c r="D9" s="28" t="s">
        <v>238</v>
      </c>
      <c r="E9" s="3" t="s">
        <v>239</v>
      </c>
      <c r="F9" s="3"/>
    </row>
    <row r="10" spans="1:6" ht="29.25" customHeight="1">
      <c r="A10" s="16"/>
      <c r="B10" s="5" t="s">
        <v>8</v>
      </c>
      <c r="C10" s="24">
        <f>IFERROR(COUNTIF(C11:C15,TRUE)/COUNTA(B11:B15),0)</f>
        <v>0</v>
      </c>
      <c r="D10" s="26" t="str">
        <f t="shared" ref="D10:F10" si="0">D3</f>
        <v>Método de validación sugerido</v>
      </c>
      <c r="E10" s="25" t="str">
        <f t="shared" si="0"/>
        <v>Herramientas / referencia</v>
      </c>
      <c r="F10" s="15" t="str">
        <f t="shared" si="0"/>
        <v>Comentarios / plan de acción</v>
      </c>
    </row>
    <row r="11" spans="1:6" ht="29.25" customHeight="1" outlineLevel="1">
      <c r="A11" s="16"/>
      <c r="B11" s="21" t="s">
        <v>320</v>
      </c>
      <c r="C11" s="17" t="b">
        <v>0</v>
      </c>
      <c r="D11" s="28" t="s">
        <v>226</v>
      </c>
      <c r="E11" s="3" t="s">
        <v>240</v>
      </c>
      <c r="F11" s="3"/>
    </row>
    <row r="12" spans="1:6" ht="29.25" customHeight="1" outlineLevel="1">
      <c r="A12" s="16"/>
      <c r="B12" s="21" t="s">
        <v>241</v>
      </c>
      <c r="C12" s="17" t="b">
        <v>0</v>
      </c>
      <c r="D12" s="28" t="s">
        <v>226</v>
      </c>
      <c r="E12" s="3" t="s">
        <v>242</v>
      </c>
      <c r="F12" s="3"/>
    </row>
    <row r="13" spans="1:6" ht="29.25" customHeight="1" outlineLevel="1">
      <c r="A13" s="16"/>
      <c r="B13" s="21" t="s">
        <v>243</v>
      </c>
      <c r="C13" s="17" t="b">
        <v>0</v>
      </c>
      <c r="D13" s="28" t="s">
        <v>226</v>
      </c>
      <c r="E13" s="3" t="s">
        <v>37</v>
      </c>
      <c r="F13" s="3"/>
    </row>
    <row r="14" spans="1:6" ht="29.25" customHeight="1" outlineLevel="1">
      <c r="A14" s="16"/>
      <c r="B14" s="21" t="s">
        <v>244</v>
      </c>
      <c r="C14" s="17" t="b">
        <v>0</v>
      </c>
      <c r="D14" s="28" t="s">
        <v>226</v>
      </c>
      <c r="E14" s="3" t="s">
        <v>152</v>
      </c>
      <c r="F14" s="3"/>
    </row>
    <row r="15" spans="1:6" ht="29.25" customHeight="1" outlineLevel="1">
      <c r="A15" s="16"/>
      <c r="B15" s="21" t="s">
        <v>245</v>
      </c>
      <c r="C15" s="17" t="b">
        <v>0</v>
      </c>
      <c r="D15" s="28" t="s">
        <v>238</v>
      </c>
      <c r="E15" s="3" t="s">
        <v>246</v>
      </c>
      <c r="F15" s="3"/>
    </row>
    <row r="16" spans="1:6" ht="29.25" customHeight="1">
      <c r="A16" s="16"/>
      <c r="B16" s="5" t="s">
        <v>10</v>
      </c>
      <c r="C16" s="24">
        <f>IFERROR(COUNTIF(C17:C24,TRUE)/COUNTA(B17:B24),0)</f>
        <v>0</v>
      </c>
      <c r="D16" s="26" t="str">
        <f t="shared" ref="D16:F16" si="1">D3</f>
        <v>Método de validación sugerido</v>
      </c>
      <c r="E16" s="25" t="str">
        <f t="shared" si="1"/>
        <v>Herramientas / referencia</v>
      </c>
      <c r="F16" s="15" t="str">
        <f t="shared" si="1"/>
        <v>Comentarios / plan de acción</v>
      </c>
    </row>
    <row r="17" spans="1:6" ht="29.25" customHeight="1" outlineLevel="1">
      <c r="A17" s="16"/>
      <c r="B17" s="21" t="s">
        <v>247</v>
      </c>
      <c r="C17" s="17" t="b">
        <v>0</v>
      </c>
      <c r="D17" s="28" t="s">
        <v>226</v>
      </c>
      <c r="E17" s="3" t="s">
        <v>248</v>
      </c>
      <c r="F17" s="3"/>
    </row>
    <row r="18" spans="1:6" ht="29.25" customHeight="1" outlineLevel="1">
      <c r="A18" s="16"/>
      <c r="B18" s="21" t="s">
        <v>249</v>
      </c>
      <c r="C18" s="17" t="b">
        <v>0</v>
      </c>
      <c r="D18" s="28" t="s">
        <v>226</v>
      </c>
      <c r="E18" s="3" t="s">
        <v>250</v>
      </c>
      <c r="F18" s="3"/>
    </row>
    <row r="19" spans="1:6" ht="29.25" customHeight="1" outlineLevel="1">
      <c r="A19" s="16"/>
      <c r="B19" s="21" t="s">
        <v>251</v>
      </c>
      <c r="C19" s="17" t="b">
        <v>0</v>
      </c>
      <c r="D19" s="28" t="s">
        <v>226</v>
      </c>
      <c r="E19" s="3" t="s">
        <v>252</v>
      </c>
      <c r="F19" s="3"/>
    </row>
    <row r="20" spans="1:6" ht="29.25" customHeight="1" outlineLevel="1">
      <c r="A20" s="16"/>
      <c r="B20" s="21" t="s">
        <v>232</v>
      </c>
      <c r="C20" s="17" t="b">
        <v>0</v>
      </c>
      <c r="D20" s="28" t="s">
        <v>226</v>
      </c>
      <c r="E20" s="3" t="s">
        <v>233</v>
      </c>
      <c r="F20" s="3"/>
    </row>
    <row r="21" spans="1:6" ht="29.25" customHeight="1" outlineLevel="1">
      <c r="A21" s="16"/>
      <c r="B21" s="21" t="s">
        <v>253</v>
      </c>
      <c r="C21" s="17" t="b">
        <v>0</v>
      </c>
      <c r="D21" s="28" t="s">
        <v>235</v>
      </c>
      <c r="E21" s="3" t="s">
        <v>95</v>
      </c>
      <c r="F21" s="3"/>
    </row>
    <row r="22" spans="1:6" ht="29.25" customHeight="1" outlineLevel="1">
      <c r="A22" s="16"/>
      <c r="B22" s="21" t="s">
        <v>254</v>
      </c>
      <c r="C22" s="17" t="b">
        <v>0</v>
      </c>
      <c r="D22" s="28" t="s">
        <v>255</v>
      </c>
      <c r="E22" s="3" t="s">
        <v>256</v>
      </c>
      <c r="F22" s="3"/>
    </row>
    <row r="23" spans="1:6" ht="29.25" customHeight="1" outlineLevel="1">
      <c r="A23" s="16"/>
      <c r="B23" s="21" t="s">
        <v>257</v>
      </c>
      <c r="C23" s="17" t="b">
        <v>0</v>
      </c>
      <c r="D23" s="28" t="s">
        <v>258</v>
      </c>
      <c r="E23" s="3" t="s">
        <v>103</v>
      </c>
      <c r="F23" s="3"/>
    </row>
    <row r="24" spans="1:6" ht="29.25" customHeight="1" outlineLevel="1">
      <c r="A24" s="16"/>
      <c r="B24" s="21" t="s">
        <v>259</v>
      </c>
      <c r="C24" s="17" t="b">
        <v>0</v>
      </c>
      <c r="D24" s="28" t="s">
        <v>238</v>
      </c>
      <c r="E24" s="3" t="s">
        <v>260</v>
      </c>
      <c r="F24" s="3"/>
    </row>
    <row r="25" spans="1:6" ht="29.25" customHeight="1">
      <c r="A25" s="16"/>
      <c r="B25" s="5" t="s">
        <v>12</v>
      </c>
      <c r="C25" s="24">
        <f>IFERROR(COUNTIF(C26:C32,TRUE)/COUNTA(B26:B32),0)</f>
        <v>0</v>
      </c>
      <c r="D25" s="26" t="str">
        <f t="shared" ref="D25:F25" si="2">D3</f>
        <v>Método de validación sugerido</v>
      </c>
      <c r="E25" s="25" t="str">
        <f t="shared" si="2"/>
        <v>Herramientas / referencia</v>
      </c>
      <c r="F25" s="15" t="str">
        <f t="shared" si="2"/>
        <v>Comentarios / plan de acción</v>
      </c>
    </row>
    <row r="26" spans="1:6" ht="29.25" customHeight="1" outlineLevel="1">
      <c r="A26" s="16"/>
      <c r="B26" s="21" t="s">
        <v>247</v>
      </c>
      <c r="C26" s="17" t="b">
        <v>0</v>
      </c>
      <c r="D26" s="28" t="s">
        <v>226</v>
      </c>
      <c r="E26" s="3" t="s">
        <v>261</v>
      </c>
      <c r="F26" s="3"/>
    </row>
    <row r="27" spans="1:6" ht="29.25" customHeight="1" outlineLevel="1">
      <c r="A27" s="16"/>
      <c r="B27" s="21" t="s">
        <v>262</v>
      </c>
      <c r="C27" s="17" t="b">
        <v>0</v>
      </c>
      <c r="D27" s="28" t="s">
        <v>226</v>
      </c>
      <c r="E27" s="3" t="s">
        <v>263</v>
      </c>
      <c r="F27" s="3"/>
    </row>
    <row r="28" spans="1:6" ht="29.25" customHeight="1" outlineLevel="1">
      <c r="A28" s="16"/>
      <c r="B28" s="21" t="s">
        <v>264</v>
      </c>
      <c r="C28" s="17" t="b">
        <v>0</v>
      </c>
      <c r="D28" s="28" t="s">
        <v>226</v>
      </c>
      <c r="E28" s="3" t="s">
        <v>263</v>
      </c>
      <c r="F28" s="3"/>
    </row>
    <row r="29" spans="1:6" ht="29.25" customHeight="1" outlineLevel="1">
      <c r="A29" s="16"/>
      <c r="B29" s="21" t="s">
        <v>232</v>
      </c>
      <c r="C29" s="17" t="b">
        <v>0</v>
      </c>
      <c r="D29" s="28" t="s">
        <v>226</v>
      </c>
      <c r="E29" s="3" t="s">
        <v>69</v>
      </c>
      <c r="F29" s="3"/>
    </row>
    <row r="30" spans="1:6" ht="29.25" customHeight="1" outlineLevel="1">
      <c r="A30" s="16"/>
      <c r="B30" s="21" t="s">
        <v>254</v>
      </c>
      <c r="C30" s="17" t="b">
        <v>0</v>
      </c>
      <c r="D30" s="28" t="s">
        <v>255</v>
      </c>
      <c r="E30" s="3" t="s">
        <v>265</v>
      </c>
      <c r="F30" s="3"/>
    </row>
    <row r="31" spans="1:6" ht="29.25" customHeight="1" outlineLevel="1">
      <c r="A31" s="16"/>
      <c r="B31" s="21" t="s">
        <v>257</v>
      </c>
      <c r="C31" s="17" t="b">
        <v>0</v>
      </c>
      <c r="D31" s="28" t="s">
        <v>266</v>
      </c>
      <c r="E31" s="3" t="s">
        <v>61</v>
      </c>
      <c r="F31" s="3"/>
    </row>
    <row r="32" spans="1:6" ht="29.25" customHeight="1" outlineLevel="1">
      <c r="A32" s="16"/>
      <c r="B32" s="21" t="s">
        <v>267</v>
      </c>
      <c r="C32" s="17" t="b">
        <v>0</v>
      </c>
      <c r="D32" s="28" t="s">
        <v>238</v>
      </c>
      <c r="E32" s="3" t="s">
        <v>268</v>
      </c>
      <c r="F32" s="3"/>
    </row>
    <row r="33" spans="1:6" ht="29.25" customHeight="1">
      <c r="A33" s="16"/>
      <c r="B33" s="5" t="s">
        <v>14</v>
      </c>
      <c r="C33" s="24">
        <f>IFERROR(COUNTIF(C34:C41,TRUE)/COUNTA(B34:B41),0)</f>
        <v>0</v>
      </c>
      <c r="D33" s="26" t="str">
        <f t="shared" ref="D33:F33" si="3">D3</f>
        <v>Método de validación sugerido</v>
      </c>
      <c r="E33" s="25" t="str">
        <f t="shared" si="3"/>
        <v>Herramientas / referencia</v>
      </c>
      <c r="F33" s="15" t="str">
        <f t="shared" si="3"/>
        <v>Comentarios / plan de acción</v>
      </c>
    </row>
    <row r="34" spans="1:6" ht="29.25" customHeight="1" outlineLevel="1">
      <c r="A34" s="16"/>
      <c r="B34" s="21" t="s">
        <v>247</v>
      </c>
      <c r="C34" s="17" t="b">
        <v>0</v>
      </c>
      <c r="D34" s="28" t="s">
        <v>226</v>
      </c>
      <c r="E34" s="3" t="s">
        <v>248</v>
      </c>
      <c r="F34" s="3"/>
    </row>
    <row r="35" spans="1:6" ht="29.25" customHeight="1" outlineLevel="1">
      <c r="A35" s="16"/>
      <c r="B35" s="21" t="s">
        <v>269</v>
      </c>
      <c r="C35" s="17" t="b">
        <v>0</v>
      </c>
      <c r="D35" s="28" t="s">
        <v>226</v>
      </c>
      <c r="E35" s="3" t="s">
        <v>250</v>
      </c>
      <c r="F35" s="3"/>
    </row>
    <row r="36" spans="1:6" ht="29.25" customHeight="1" outlineLevel="1">
      <c r="A36" s="16"/>
      <c r="B36" s="21" t="s">
        <v>251</v>
      </c>
      <c r="C36" s="17" t="b">
        <v>0</v>
      </c>
      <c r="D36" s="28" t="s">
        <v>226</v>
      </c>
      <c r="E36" s="3" t="s">
        <v>252</v>
      </c>
      <c r="F36" s="3"/>
    </row>
    <row r="37" spans="1:6" ht="29.25" customHeight="1" outlineLevel="1">
      <c r="A37" s="16"/>
      <c r="B37" s="21" t="s">
        <v>328</v>
      </c>
      <c r="C37" s="17" t="b">
        <v>0</v>
      </c>
      <c r="D37" s="28" t="s">
        <v>226</v>
      </c>
      <c r="E37" s="3" t="s">
        <v>270</v>
      </c>
      <c r="F37" s="3"/>
    </row>
    <row r="38" spans="1:6" ht="29.25" customHeight="1" outlineLevel="1">
      <c r="A38" s="16"/>
      <c r="B38" s="21" t="s">
        <v>232</v>
      </c>
      <c r="C38" s="17" t="b">
        <v>0</v>
      </c>
      <c r="D38" s="28" t="s">
        <v>226</v>
      </c>
      <c r="E38" s="3" t="s">
        <v>233</v>
      </c>
      <c r="F38" s="3"/>
    </row>
    <row r="39" spans="1:6" ht="29.25" customHeight="1" outlineLevel="1">
      <c r="A39" s="16"/>
      <c r="B39" s="21" t="s">
        <v>254</v>
      </c>
      <c r="C39" s="17" t="b">
        <v>0</v>
      </c>
      <c r="D39" s="28" t="s">
        <v>255</v>
      </c>
      <c r="E39" s="3" t="s">
        <v>256</v>
      </c>
      <c r="F39" s="3"/>
    </row>
    <row r="40" spans="1:6" ht="29.25" customHeight="1" outlineLevel="1">
      <c r="A40" s="16"/>
      <c r="B40" s="21" t="s">
        <v>257</v>
      </c>
      <c r="C40" s="17" t="b">
        <v>0</v>
      </c>
      <c r="D40" s="28" t="s">
        <v>266</v>
      </c>
      <c r="E40" s="3" t="s">
        <v>103</v>
      </c>
      <c r="F40" s="3"/>
    </row>
    <row r="41" spans="1:6" ht="29.25" customHeight="1" outlineLevel="1">
      <c r="A41" s="16"/>
      <c r="B41" s="21" t="s">
        <v>271</v>
      </c>
      <c r="C41" s="17" t="b">
        <v>0</v>
      </c>
      <c r="D41" s="28" t="s">
        <v>238</v>
      </c>
      <c r="E41" s="3" t="s">
        <v>260</v>
      </c>
      <c r="F41" s="3"/>
    </row>
    <row r="42" spans="1:6" ht="29.25" customHeight="1">
      <c r="A42" s="16"/>
      <c r="B42" s="5" t="s">
        <v>16</v>
      </c>
      <c r="C42" s="24">
        <f>IFERROR(COUNTIF(C43:C49,TRUE)/COUNTA(B43:B49),0)</f>
        <v>0</v>
      </c>
      <c r="D42" s="26" t="str">
        <f t="shared" ref="D42:F42" si="4">D3</f>
        <v>Método de validación sugerido</v>
      </c>
      <c r="E42" s="25" t="str">
        <f t="shared" si="4"/>
        <v>Herramientas / referencia</v>
      </c>
      <c r="F42" s="15" t="str">
        <f t="shared" si="4"/>
        <v>Comentarios / plan de acción</v>
      </c>
    </row>
    <row r="43" spans="1:6" ht="29.25" customHeight="1" outlineLevel="1">
      <c r="A43" s="16"/>
      <c r="B43" s="21" t="s">
        <v>272</v>
      </c>
      <c r="C43" s="17" t="b">
        <v>0</v>
      </c>
      <c r="D43" s="28" t="s">
        <v>226</v>
      </c>
      <c r="E43" s="3" t="s">
        <v>261</v>
      </c>
      <c r="F43" s="3"/>
    </row>
    <row r="44" spans="1:6" ht="29.25" customHeight="1" outlineLevel="1">
      <c r="A44" s="16"/>
      <c r="B44" s="21" t="s">
        <v>269</v>
      </c>
      <c r="C44" s="17" t="b">
        <v>0</v>
      </c>
      <c r="D44" s="28" t="s">
        <v>226</v>
      </c>
      <c r="E44" s="3" t="s">
        <v>250</v>
      </c>
      <c r="F44" s="3"/>
    </row>
    <row r="45" spans="1:6" ht="29.25" customHeight="1" outlineLevel="1">
      <c r="A45" s="16"/>
      <c r="B45" s="21" t="s">
        <v>328</v>
      </c>
      <c r="C45" s="17" t="b">
        <v>0</v>
      </c>
      <c r="D45" s="28" t="s">
        <v>226</v>
      </c>
      <c r="E45" s="3" t="s">
        <v>270</v>
      </c>
      <c r="F45" s="3"/>
    </row>
    <row r="46" spans="1:6" ht="29.25" customHeight="1" outlineLevel="1">
      <c r="A46" s="16"/>
      <c r="B46" s="21" t="s">
        <v>232</v>
      </c>
      <c r="C46" s="17" t="b">
        <v>0</v>
      </c>
      <c r="D46" s="28" t="s">
        <v>226</v>
      </c>
      <c r="E46" s="3" t="s">
        <v>233</v>
      </c>
      <c r="F46" s="3"/>
    </row>
    <row r="47" spans="1:6" ht="29.25" customHeight="1" outlineLevel="1">
      <c r="A47" s="16"/>
      <c r="B47" s="21" t="s">
        <v>254</v>
      </c>
      <c r="C47" s="17" t="b">
        <v>0</v>
      </c>
      <c r="D47" s="28" t="s">
        <v>255</v>
      </c>
      <c r="E47" s="3" t="s">
        <v>256</v>
      </c>
      <c r="F47" s="3"/>
    </row>
    <row r="48" spans="1:6" ht="29.25" customHeight="1" outlineLevel="1">
      <c r="A48" s="16"/>
      <c r="B48" s="21" t="s">
        <v>257</v>
      </c>
      <c r="C48" s="17" t="b">
        <v>0</v>
      </c>
      <c r="D48" s="28" t="s">
        <v>258</v>
      </c>
      <c r="E48" s="3" t="s">
        <v>103</v>
      </c>
      <c r="F48" s="3"/>
    </row>
    <row r="49" spans="1:6" ht="29.25" customHeight="1" outlineLevel="1">
      <c r="A49" s="16"/>
      <c r="B49" s="21" t="s">
        <v>273</v>
      </c>
      <c r="C49" s="17" t="b">
        <v>0</v>
      </c>
      <c r="D49" s="28" t="s">
        <v>238</v>
      </c>
      <c r="E49" s="3" t="s">
        <v>61</v>
      </c>
      <c r="F49" s="3"/>
    </row>
    <row r="50" spans="1:6" ht="29.25" customHeight="1">
      <c r="A50" s="16"/>
      <c r="B50" s="5" t="s">
        <v>18</v>
      </c>
      <c r="C50" s="24">
        <f>IFERROR(COUNTIF(C51:C57,TRUE)/COUNTA(B51:B57),0)</f>
        <v>0</v>
      </c>
      <c r="D50" s="26" t="str">
        <f t="shared" ref="D50:F50" si="5">D3</f>
        <v>Método de validación sugerido</v>
      </c>
      <c r="E50" s="25" t="str">
        <f t="shared" si="5"/>
        <v>Herramientas / referencia</v>
      </c>
      <c r="F50" s="15" t="str">
        <f t="shared" si="5"/>
        <v>Comentarios / plan de acción</v>
      </c>
    </row>
    <row r="51" spans="1:6" ht="29.25" customHeight="1" outlineLevel="1">
      <c r="A51" s="16"/>
      <c r="B51" s="21" t="s">
        <v>272</v>
      </c>
      <c r="C51" s="17" t="b">
        <v>0</v>
      </c>
      <c r="D51" s="28" t="s">
        <v>226</v>
      </c>
      <c r="E51" s="3" t="s">
        <v>261</v>
      </c>
      <c r="F51" s="3"/>
    </row>
    <row r="52" spans="1:6" ht="29.25" customHeight="1" outlineLevel="1">
      <c r="A52" s="16"/>
      <c r="B52" s="21" t="s">
        <v>269</v>
      </c>
      <c r="C52" s="17" t="b">
        <v>0</v>
      </c>
      <c r="D52" s="28" t="s">
        <v>226</v>
      </c>
      <c r="E52" s="3" t="s">
        <v>274</v>
      </c>
      <c r="F52" s="3"/>
    </row>
    <row r="53" spans="1:6" ht="29.25" customHeight="1" outlineLevel="1">
      <c r="A53" s="16"/>
      <c r="B53" s="21" t="s">
        <v>329</v>
      </c>
      <c r="C53" s="17" t="b">
        <v>0</v>
      </c>
      <c r="D53" s="28" t="s">
        <v>226</v>
      </c>
      <c r="E53" s="3" t="s">
        <v>263</v>
      </c>
      <c r="F53" s="3"/>
    </row>
    <row r="54" spans="1:6" ht="29.25" customHeight="1" outlineLevel="1">
      <c r="A54" s="16"/>
      <c r="B54" s="21" t="s">
        <v>232</v>
      </c>
      <c r="C54" s="17" t="b">
        <v>0</v>
      </c>
      <c r="D54" s="28" t="s">
        <v>226</v>
      </c>
      <c r="E54" s="3" t="s">
        <v>69</v>
      </c>
      <c r="F54" s="3"/>
    </row>
    <row r="55" spans="1:6" ht="29.25" customHeight="1" outlineLevel="1">
      <c r="A55" s="16"/>
      <c r="B55" s="21" t="s">
        <v>254</v>
      </c>
      <c r="C55" s="17" t="b">
        <v>0</v>
      </c>
      <c r="D55" s="28" t="s">
        <v>255</v>
      </c>
      <c r="E55" s="3" t="s">
        <v>265</v>
      </c>
      <c r="F55" s="3"/>
    </row>
    <row r="56" spans="1:6" ht="29.25" customHeight="1" outlineLevel="1">
      <c r="A56" s="16"/>
      <c r="B56" s="21" t="s">
        <v>257</v>
      </c>
      <c r="C56" s="17" t="b">
        <v>0</v>
      </c>
      <c r="D56" s="28" t="s">
        <v>258</v>
      </c>
      <c r="E56" s="3" t="s">
        <v>61</v>
      </c>
      <c r="F56" s="3"/>
    </row>
    <row r="57" spans="1:6" ht="29.25" customHeight="1" outlineLevel="1">
      <c r="A57" s="16"/>
      <c r="B57" s="21" t="s">
        <v>275</v>
      </c>
      <c r="C57" s="17" t="b">
        <v>0</v>
      </c>
      <c r="D57" s="28" t="s">
        <v>238</v>
      </c>
      <c r="E57" s="3" t="s">
        <v>208</v>
      </c>
      <c r="F57" s="3"/>
    </row>
    <row r="58" spans="1:6" ht="29.25" customHeight="1">
      <c r="A58" s="16"/>
      <c r="B58" s="31" t="s">
        <v>20</v>
      </c>
      <c r="C58" s="24">
        <f>IFERROR(COUNTIF(C59:C65,TRUE)/COUNTA(B59:B65),0)</f>
        <v>0</v>
      </c>
      <c r="D58" s="26" t="str">
        <f t="shared" ref="D58:F58" si="6">D3</f>
        <v>Método de validación sugerido</v>
      </c>
      <c r="E58" s="25" t="str">
        <f t="shared" si="6"/>
        <v>Herramientas / referencia</v>
      </c>
      <c r="F58" s="15" t="str">
        <f t="shared" si="6"/>
        <v>Comentarios / plan de acción</v>
      </c>
    </row>
    <row r="59" spans="1:6" ht="29.25" customHeight="1" outlineLevel="1">
      <c r="A59" s="30"/>
      <c r="B59" s="32" t="s">
        <v>272</v>
      </c>
      <c r="C59" s="33" t="b">
        <v>0</v>
      </c>
      <c r="D59" s="28" t="s">
        <v>226</v>
      </c>
      <c r="E59" s="3" t="s">
        <v>276</v>
      </c>
      <c r="F59" s="3"/>
    </row>
    <row r="60" spans="1:6" ht="29.25" customHeight="1" outlineLevel="1">
      <c r="A60" s="30"/>
      <c r="B60" s="32" t="s">
        <v>277</v>
      </c>
      <c r="C60" s="33" t="b">
        <v>0</v>
      </c>
      <c r="D60" s="28" t="s">
        <v>226</v>
      </c>
      <c r="E60" s="3" t="s">
        <v>278</v>
      </c>
      <c r="F60" s="3"/>
    </row>
    <row r="61" spans="1:6" ht="29.25" customHeight="1" outlineLevel="1">
      <c r="A61" s="30"/>
      <c r="B61" s="32" t="s">
        <v>329</v>
      </c>
      <c r="C61" s="33" t="b">
        <v>0</v>
      </c>
      <c r="D61" s="28" t="s">
        <v>226</v>
      </c>
      <c r="E61" s="3" t="s">
        <v>279</v>
      </c>
      <c r="F61" s="3"/>
    </row>
    <row r="62" spans="1:6" ht="29.25" customHeight="1" outlineLevel="1">
      <c r="A62" s="30"/>
      <c r="B62" s="32" t="s">
        <v>232</v>
      </c>
      <c r="C62" s="33" t="b">
        <v>0</v>
      </c>
      <c r="D62" s="28" t="s">
        <v>226</v>
      </c>
      <c r="E62" s="3" t="s">
        <v>280</v>
      </c>
      <c r="F62" s="3"/>
    </row>
    <row r="63" spans="1:6" ht="29.25" customHeight="1" outlineLevel="1">
      <c r="A63" s="30"/>
      <c r="B63" s="32" t="s">
        <v>254</v>
      </c>
      <c r="C63" s="33" t="b">
        <v>0</v>
      </c>
      <c r="D63" s="28" t="s">
        <v>255</v>
      </c>
      <c r="E63" s="3" t="s">
        <v>281</v>
      </c>
      <c r="F63" s="3"/>
    </row>
    <row r="64" spans="1:6" ht="29.25" customHeight="1" outlineLevel="1">
      <c r="A64" s="30"/>
      <c r="B64" s="32" t="s">
        <v>257</v>
      </c>
      <c r="C64" s="33" t="b">
        <v>0</v>
      </c>
      <c r="D64" s="28" t="s">
        <v>258</v>
      </c>
      <c r="E64" s="3" t="s">
        <v>113</v>
      </c>
      <c r="F64" s="3"/>
    </row>
    <row r="65" spans="1:6" ht="29.25" customHeight="1" outlineLevel="1">
      <c r="A65" s="30"/>
      <c r="B65" s="32" t="s">
        <v>282</v>
      </c>
      <c r="C65" s="33" t="b">
        <v>0</v>
      </c>
      <c r="D65" s="28" t="s">
        <v>238</v>
      </c>
      <c r="E65" s="3" t="s">
        <v>283</v>
      </c>
      <c r="F65" s="3"/>
    </row>
    <row r="66" spans="1:6">
      <c r="A66"/>
      <c r="B66" s="2"/>
      <c r="C66" s="2"/>
    </row>
    <row r="67" spans="1:6">
      <c r="A67"/>
      <c r="B67" s="2"/>
      <c r="C67" s="2"/>
    </row>
    <row r="68" spans="1:6">
      <c r="A68"/>
      <c r="B68" s="2"/>
      <c r="C68" s="2"/>
    </row>
    <row r="69" spans="1:6">
      <c r="A69"/>
      <c r="B69" s="2"/>
      <c r="C69" s="2"/>
    </row>
    <row r="70" spans="1:6">
      <c r="A70"/>
      <c r="B70" s="2"/>
      <c r="C70" s="2"/>
    </row>
    <row r="71" spans="1:6">
      <c r="A71"/>
      <c r="B71" s="2"/>
      <c r="C71" s="2"/>
    </row>
    <row r="72" spans="1:6">
      <c r="A72"/>
      <c r="B72" s="2"/>
      <c r="C72" s="2"/>
    </row>
    <row r="73" spans="1:6">
      <c r="A73"/>
      <c r="B73" s="2"/>
      <c r="C73" s="2"/>
    </row>
    <row r="74" spans="1:6">
      <c r="A74"/>
      <c r="B74" s="2"/>
      <c r="C74" s="2"/>
    </row>
    <row r="75" spans="1:6">
      <c r="A75"/>
      <c r="B75" s="2"/>
      <c r="C75" s="2"/>
    </row>
    <row r="76" spans="1:6">
      <c r="A76"/>
      <c r="B76" s="2"/>
      <c r="C76" s="2"/>
    </row>
    <row r="77" spans="1:6">
      <c r="A77"/>
      <c r="B77" s="2"/>
      <c r="C77" s="2"/>
    </row>
    <row r="78" spans="1:6">
      <c r="A78"/>
      <c r="B78" s="2"/>
      <c r="C78" s="2"/>
    </row>
    <row r="79" spans="1:6">
      <c r="A79"/>
      <c r="B79" s="2"/>
      <c r="C79" s="2"/>
    </row>
    <row r="80" spans="1:6">
      <c r="A80"/>
      <c r="B80" s="2"/>
      <c r="C80" s="2"/>
    </row>
    <row r="81" spans="1:3">
      <c r="A81"/>
      <c r="B81" s="2"/>
      <c r="C81" s="2"/>
    </row>
    <row r="82" spans="1:3">
      <c r="A82"/>
      <c r="B82" s="2"/>
      <c r="C82" s="2"/>
    </row>
    <row r="83" spans="1:3">
      <c r="A83"/>
      <c r="B83" s="2"/>
      <c r="C83" s="2"/>
    </row>
    <row r="84" spans="1:3">
      <c r="A84"/>
      <c r="B84" s="2"/>
      <c r="C84" s="2"/>
    </row>
    <row r="85" spans="1:3">
      <c r="A85"/>
      <c r="B85" s="2"/>
      <c r="C85" s="2"/>
    </row>
    <row r="86" spans="1:3">
      <c r="A86"/>
      <c r="B86" s="2"/>
      <c r="C86" s="2"/>
    </row>
    <row r="87" spans="1:3">
      <c r="A87"/>
      <c r="B87" s="2"/>
      <c r="C87" s="2"/>
    </row>
    <row r="88" spans="1:3">
      <c r="A88"/>
      <c r="B88" s="2"/>
      <c r="C88" s="2"/>
    </row>
    <row r="89" spans="1:3">
      <c r="A89"/>
      <c r="B89" s="2"/>
      <c r="C89" s="2"/>
    </row>
    <row r="90" spans="1:3">
      <c r="A90"/>
      <c r="B90" s="2"/>
      <c r="C90" s="2"/>
    </row>
    <row r="91" spans="1:3">
      <c r="A91"/>
      <c r="B91" s="2"/>
      <c r="C91" s="2"/>
    </row>
    <row r="92" spans="1:3">
      <c r="A92"/>
      <c r="B92" s="2"/>
      <c r="C92" s="2"/>
    </row>
    <row r="93" spans="1:3">
      <c r="A93"/>
      <c r="B93" s="2"/>
      <c r="C93" s="2"/>
    </row>
    <row r="94" spans="1:3">
      <c r="A94"/>
      <c r="B94" s="2"/>
      <c r="C94" s="2"/>
    </row>
    <row r="95" spans="1:3">
      <c r="A95"/>
      <c r="B95" s="2"/>
      <c r="C95" s="2"/>
    </row>
    <row r="96" spans="1:3">
      <c r="A96"/>
      <c r="B96" s="2"/>
      <c r="C96" s="2"/>
    </row>
    <row r="97" spans="1:3">
      <c r="A97"/>
      <c r="B97" s="2"/>
      <c r="C97" s="2"/>
    </row>
    <row r="98" spans="1:3">
      <c r="A98"/>
      <c r="B98" s="2"/>
      <c r="C98" s="2"/>
    </row>
    <row r="99" spans="1:3">
      <c r="A99"/>
      <c r="B99" s="2"/>
      <c r="C99" s="2"/>
    </row>
    <row r="100" spans="1:3">
      <c r="A100"/>
      <c r="B100" s="2"/>
      <c r="C100" s="2"/>
    </row>
    <row r="101" spans="1:3">
      <c r="A101"/>
      <c r="B101" s="2"/>
      <c r="C101" s="2"/>
    </row>
    <row r="102" spans="1:3">
      <c r="A102"/>
      <c r="B102" s="2"/>
      <c r="C102" s="2"/>
    </row>
    <row r="103" spans="1:3">
      <c r="A103"/>
      <c r="B103" s="2"/>
      <c r="C103" s="2"/>
    </row>
    <row r="104" spans="1:3">
      <c r="A104"/>
      <c r="B104" s="2"/>
      <c r="C104" s="2"/>
    </row>
    <row r="105" spans="1:3">
      <c r="A105"/>
      <c r="B105" s="2"/>
      <c r="C105" s="2"/>
    </row>
    <row r="106" spans="1:3">
      <c r="A106"/>
      <c r="B106"/>
      <c r="C106"/>
    </row>
    <row r="107" spans="1:3">
      <c r="A107"/>
      <c r="B107"/>
      <c r="C107"/>
    </row>
    <row r="108" spans="1:3">
      <c r="A108"/>
      <c r="B108"/>
      <c r="C108"/>
    </row>
    <row r="109" spans="1:3">
      <c r="A109"/>
      <c r="B109"/>
      <c r="C109"/>
    </row>
    <row r="110" spans="1:3">
      <c r="A110"/>
      <c r="B110"/>
      <c r="C110"/>
    </row>
    <row r="111" spans="1:3">
      <c r="A111"/>
      <c r="B111"/>
      <c r="C111"/>
    </row>
    <row r="112" spans="1:3">
      <c r="A112"/>
      <c r="B112"/>
      <c r="C112"/>
    </row>
    <row r="113" spans="1:3">
      <c r="A113"/>
      <c r="B113"/>
      <c r="C113"/>
    </row>
    <row r="114" spans="1:3">
      <c r="A114"/>
      <c r="B114"/>
      <c r="C114"/>
    </row>
    <row r="115" spans="1:3">
      <c r="A115"/>
      <c r="B115"/>
      <c r="C115"/>
    </row>
    <row r="116" spans="1:3">
      <c r="A116"/>
      <c r="B116"/>
      <c r="C116"/>
    </row>
    <row r="117" spans="1:3">
      <c r="A117"/>
      <c r="B117"/>
      <c r="C117"/>
    </row>
    <row r="118" spans="1:3">
      <c r="A118"/>
      <c r="B118"/>
      <c r="C118"/>
    </row>
    <row r="119" spans="1:3">
      <c r="A119"/>
      <c r="B119"/>
      <c r="C119"/>
    </row>
    <row r="120" spans="1:3">
      <c r="A120"/>
      <c r="B120"/>
      <c r="C120"/>
    </row>
    <row r="121" spans="1:3">
      <c r="A121"/>
      <c r="B121"/>
      <c r="C121"/>
    </row>
    <row r="122" spans="1:3">
      <c r="A122"/>
      <c r="B122"/>
      <c r="C122"/>
    </row>
    <row r="123" spans="1:3">
      <c r="A123"/>
      <c r="B123"/>
      <c r="C123"/>
    </row>
    <row r="124" spans="1:3">
      <c r="A124"/>
      <c r="B124"/>
      <c r="C124"/>
    </row>
    <row r="125" spans="1:3">
      <c r="A125"/>
      <c r="B125"/>
      <c r="C125"/>
    </row>
    <row r="126" spans="1:3">
      <c r="A126"/>
      <c r="B126"/>
      <c r="C126"/>
    </row>
    <row r="127" spans="1:3">
      <c r="A127"/>
      <c r="B127"/>
      <c r="C127"/>
    </row>
    <row r="128" spans="1:3">
      <c r="A128"/>
      <c r="B128"/>
      <c r="C128"/>
    </row>
    <row r="129" spans="1:3">
      <c r="A129"/>
      <c r="B129"/>
      <c r="C129"/>
    </row>
    <row r="130" spans="1:3">
      <c r="A130"/>
      <c r="B130"/>
      <c r="C130"/>
    </row>
    <row r="131" spans="1:3">
      <c r="A131"/>
      <c r="B131"/>
      <c r="C131"/>
    </row>
    <row r="132" spans="1:3">
      <c r="A132"/>
      <c r="B132"/>
      <c r="C132"/>
    </row>
    <row r="133" spans="1:3">
      <c r="A133"/>
      <c r="B133"/>
      <c r="C133"/>
    </row>
    <row r="134" spans="1:3">
      <c r="A134"/>
      <c r="B134"/>
      <c r="C134"/>
    </row>
    <row r="135" spans="1:3">
      <c r="A135"/>
      <c r="B135"/>
      <c r="C135"/>
    </row>
  </sheetData>
  <mergeCells count="2">
    <mergeCell ref="A2:B2"/>
    <mergeCell ref="B1:C1"/>
  </mergeCells>
  <conditionalFormatting sqref="C3">
    <cfRule type="cellIs" dxfId="3" priority="33" operator="lessThanOrEqual">
      <formula>0.79</formula>
    </cfRule>
    <cfRule type="cellIs" dxfId="2" priority="34" operator="greaterThanOrEqual">
      <formula>0.79</formula>
    </cfRule>
  </conditionalFormatting>
  <conditionalFormatting sqref="C10 C16 C25 C33 C42 C50 C58">
    <cfRule type="cellIs" dxfId="1" priority="1" operator="lessThanOrEqual">
      <formula>0.79</formula>
    </cfRule>
    <cfRule type="cellIs" dxfId="0" priority="2" operator="greaterThanOrEqual">
      <formula>0.79</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21"/>
  <sheetViews>
    <sheetView showGridLines="0" zoomScale="80" zoomScaleNormal="80" workbookViewId="0">
      <selection activeCell="B8" sqref="B8"/>
    </sheetView>
  </sheetViews>
  <sheetFormatPr baseColWidth="10" defaultColWidth="8.7109375" defaultRowHeight="15"/>
  <cols>
    <col min="1" max="1" width="2.140625" customWidth="1"/>
    <col min="2" max="2" width="18" customWidth="1"/>
    <col min="3" max="3" width="34" customWidth="1"/>
    <col min="4" max="5" width="55" customWidth="1"/>
    <col min="6" max="6" width="32" customWidth="1"/>
  </cols>
  <sheetData>
    <row r="2" spans="2:6" ht="43.5" customHeight="1">
      <c r="B2" s="60" t="s">
        <v>342</v>
      </c>
      <c r="C2" s="60"/>
      <c r="D2" s="60"/>
      <c r="E2" s="60"/>
      <c r="F2" s="60"/>
    </row>
    <row r="3" spans="2:6">
      <c r="B3" s="34" t="s">
        <v>341</v>
      </c>
      <c r="C3" s="61" t="s">
        <v>284</v>
      </c>
      <c r="D3" s="61"/>
      <c r="E3" s="61"/>
      <c r="F3" s="61"/>
    </row>
    <row r="4" spans="2:6">
      <c r="B4" s="35"/>
      <c r="C4" s="35"/>
      <c r="D4" s="35"/>
      <c r="E4" s="35"/>
      <c r="F4" s="35"/>
    </row>
    <row r="5" spans="2:6">
      <c r="B5" s="36" t="s">
        <v>285</v>
      </c>
      <c r="C5" s="36" t="s">
        <v>286</v>
      </c>
      <c r="D5" s="36" t="s">
        <v>287</v>
      </c>
      <c r="E5" s="36" t="s">
        <v>288</v>
      </c>
      <c r="F5" s="36" t="s">
        <v>289</v>
      </c>
    </row>
    <row r="6" spans="2:6" ht="45">
      <c r="B6" s="47" t="s">
        <v>2</v>
      </c>
      <c r="C6" s="37" t="s">
        <v>290</v>
      </c>
      <c r="D6" s="37" t="s">
        <v>291</v>
      </c>
      <c r="E6" s="37" t="s">
        <v>292</v>
      </c>
      <c r="F6" s="37" t="s">
        <v>293</v>
      </c>
    </row>
    <row r="7" spans="2:6" ht="45">
      <c r="B7" s="48" t="s">
        <v>3</v>
      </c>
      <c r="C7" s="37" t="s">
        <v>294</v>
      </c>
      <c r="D7" s="37" t="s">
        <v>295</v>
      </c>
      <c r="E7" s="37" t="s">
        <v>296</v>
      </c>
      <c r="F7" s="37" t="s">
        <v>297</v>
      </c>
    </row>
    <row r="8" spans="2:6" ht="45">
      <c r="B8" s="49" t="s">
        <v>4</v>
      </c>
      <c r="C8" s="37" t="s">
        <v>298</v>
      </c>
      <c r="D8" s="37" t="s">
        <v>299</v>
      </c>
      <c r="E8" s="37" t="s">
        <v>300</v>
      </c>
      <c r="F8" s="37" t="s">
        <v>301</v>
      </c>
    </row>
    <row r="9" spans="2:6">
      <c r="B9" s="35"/>
      <c r="C9" s="35"/>
      <c r="D9" s="35"/>
      <c r="E9" s="35"/>
      <c r="F9" s="35"/>
    </row>
    <row r="10" spans="2:6">
      <c r="B10" s="38" t="s">
        <v>302</v>
      </c>
      <c r="C10" s="61" t="s">
        <v>303</v>
      </c>
      <c r="D10" s="61"/>
      <c r="E10" s="61"/>
      <c r="F10" s="61"/>
    </row>
    <row r="11" spans="2:6">
      <c r="B11" s="38" t="s">
        <v>304</v>
      </c>
      <c r="C11" s="61" t="s">
        <v>305</v>
      </c>
      <c r="D11" s="61"/>
      <c r="E11" s="61"/>
      <c r="F11" s="61"/>
    </row>
    <row r="12" spans="2:6" ht="30">
      <c r="B12" s="38" t="s">
        <v>306</v>
      </c>
      <c r="C12" s="61" t="s">
        <v>307</v>
      </c>
      <c r="D12" s="61"/>
      <c r="E12" s="61"/>
      <c r="F12" s="61"/>
    </row>
    <row r="13" spans="2:6">
      <c r="B13" s="3"/>
      <c r="C13" s="3"/>
      <c r="D13" s="3"/>
      <c r="E13" s="3"/>
      <c r="F13" s="3"/>
    </row>
    <row r="14" spans="2:6">
      <c r="B14" s="3"/>
      <c r="C14" s="3"/>
      <c r="D14" s="3"/>
      <c r="E14" s="3"/>
      <c r="F14" s="3"/>
    </row>
    <row r="15" spans="2:6">
      <c r="B15" s="3"/>
      <c r="C15" s="3"/>
      <c r="D15" s="3"/>
      <c r="E15" s="3"/>
      <c r="F15" s="3"/>
    </row>
    <row r="16" spans="2:6">
      <c r="B16" s="3"/>
      <c r="C16" s="3"/>
      <c r="D16" s="3"/>
      <c r="E16" s="3"/>
      <c r="F16" s="3"/>
    </row>
    <row r="17" spans="2:6">
      <c r="B17" s="3"/>
      <c r="C17" s="3"/>
      <c r="D17" s="3"/>
      <c r="E17" s="3"/>
      <c r="F17" s="3"/>
    </row>
    <row r="18" spans="2:6">
      <c r="B18" s="3"/>
      <c r="C18" s="3"/>
      <c r="D18" s="3"/>
      <c r="E18" s="3"/>
      <c r="F18" s="3"/>
    </row>
    <row r="19" spans="2:6">
      <c r="B19" s="3"/>
      <c r="C19" s="3"/>
      <c r="D19" s="3"/>
      <c r="E19" s="3"/>
      <c r="F19" s="3"/>
    </row>
    <row r="20" spans="2:6">
      <c r="B20" s="3"/>
      <c r="C20" s="3"/>
      <c r="D20" s="3"/>
      <c r="E20" s="3"/>
      <c r="F20" s="3"/>
    </row>
    <row r="21" spans="2:6">
      <c r="B21" s="3"/>
      <c r="C21" s="3"/>
      <c r="D21" s="3"/>
      <c r="E21" s="3"/>
      <c r="F21" s="3"/>
    </row>
  </sheetData>
  <mergeCells count="5">
    <mergeCell ref="B2:F2"/>
    <mergeCell ref="C3:F3"/>
    <mergeCell ref="C10:F10"/>
    <mergeCell ref="C11:F11"/>
    <mergeCell ref="C12:F12"/>
  </mergeCells>
  <hyperlinks>
    <hyperlink ref="B6" location="'L6 Elaboración'!A1" display="L6" xr:uid="{4DB0B8BF-E64E-4CA0-AF25-ACDA5D11AEB6}"/>
    <hyperlink ref="B7" location="'L7 Elaboración'!A1" display="L7" xr:uid="{724E45DB-0F31-4D18-9135-DC067CEA35CC}"/>
    <hyperlink ref="B8" location="'L8 Elaboración'!A1" display="L8" xr:uid="{55B57F6B-A5CB-4431-AC40-0C50F768B17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F41C41A45F454FB3A06C1F193A8F47" ma:contentTypeVersion="16" ma:contentTypeDescription="Crear nuevo documento." ma:contentTypeScope="" ma:versionID="237f357d3464448269ce60ab20cefcd6">
  <xsd:schema xmlns:xsd="http://www.w3.org/2001/XMLSchema" xmlns:xs="http://www.w3.org/2001/XMLSchema" xmlns:p="http://schemas.microsoft.com/office/2006/metadata/properties" xmlns:ns2="69bd8b1a-1910-4f09-b355-7642edaba453" xmlns:ns3="34fa2a30-1fc0-48dc-b506-c8ecdf1d163b" targetNamespace="http://schemas.microsoft.com/office/2006/metadata/properties" ma:root="true" ma:fieldsID="eea10bcf08cb672e13be488ac08554f3" ns2:_="" ns3:_="">
    <xsd:import namespace="69bd8b1a-1910-4f09-b355-7642edaba453"/>
    <xsd:import namespace="34fa2a30-1fc0-48dc-b506-c8ecdf1d163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bd8b1a-1910-4f09-b355-7642edaba45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ada6dbe-8035-4103-9ee2-63b82dd9f454}" ma:internalName="TaxCatchAll" ma:showField="CatchAllData" ma:web="69bd8b1a-1910-4f09-b355-7642edaba45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fa2a30-1fc0-48dc-b506-c8ecdf1d163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9bd8b1a-1910-4f09-b355-7642edaba453" xsi:nil="true"/>
    <lcf76f155ced4ddcb4097134ff3c332f xmlns="34fa2a30-1fc0-48dc-b506-c8ecdf1d163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EF310D-02F1-48E8-9A21-879512A2C4DB}"/>
</file>

<file path=customXml/itemProps2.xml><?xml version="1.0" encoding="utf-8"?>
<ds:datastoreItem xmlns:ds="http://schemas.openxmlformats.org/officeDocument/2006/customXml" ds:itemID="{DB9481DA-FEC9-4053-A303-9435ED12490B}"/>
</file>

<file path=customXml/itemProps3.xml><?xml version="1.0" encoding="utf-8"?>
<ds:datastoreItem xmlns:ds="http://schemas.openxmlformats.org/officeDocument/2006/customXml" ds:itemID="{F7BC31C0-1587-4E11-9110-1ABA15E334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RESUMEN</vt:lpstr>
      <vt:lpstr>L6 Elaboración</vt:lpstr>
      <vt:lpstr>L7 Elaboración</vt:lpstr>
      <vt:lpstr>L8 Elaboración</vt:lpstr>
      <vt:lpstr>ANEXO - Criterios transversales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Roncal</dc:creator>
  <cp:keywords/>
  <dc:description/>
  <cp:lastModifiedBy>Heder Marcelino Lemus Huerta</cp:lastModifiedBy>
  <cp:revision/>
  <dcterms:created xsi:type="dcterms:W3CDTF">2026-06-25T20:54:42Z</dcterms:created>
  <dcterms:modified xsi:type="dcterms:W3CDTF">2026-07-17T17:22:23Z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2026-06-25T21:07:02Z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058a0ff4-71b0-4d32-8694-482bbd3183f2</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y fmtid="{D5CDD505-2E9C-101B-9397-08002B2CF9AE}" pid="10" name="ContentTypeId">
    <vt:lpwstr>0x01010099F41C41A45F454FB3A06C1F193A8F47</vt:lpwstr>
  </property>
</Properties>
</file>