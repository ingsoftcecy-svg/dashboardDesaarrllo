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.sharepoint.com/sites/MAZ3/bo/Fbrica Zacatecas/ELABORACIÓN/3. Gestión/B.2 Mapeo de Procesos/C.1 TSC/2026/"/>
    </mc:Choice>
  </mc:AlternateContent>
  <xr:revisionPtr revIDLastSave="0" documentId="8_{98E551A4-0852-485C-A778-5F35620152FC}" xr6:coauthVersionLast="47" xr6:coauthVersionMax="47" xr10:uidLastSave="{00000000-0000-0000-0000-000000000000}"/>
  <bookViews>
    <workbookView xWindow="-120" yWindow="-120" windowWidth="20730" windowHeight="11040" xr2:uid="{FDEF66DF-AD80-43A2-BF4D-DE6049B513D9}"/>
  </bookViews>
  <sheets>
    <sheet name="Tabla de IPs Bloque Frio" sheetId="2" r:id="rId1"/>
    <sheet name="Distribución BF" sheetId="3" r:id="rId2"/>
    <sheet name="Tabla de IPs Cocimientos" sheetId="4" r:id="rId3"/>
    <sheet name="Hoja1" sheetId="5" r:id="rId4"/>
  </sheets>
  <definedNames>
    <definedName name="_xlnm._FilterDatabase" localSheetId="0" hidden="1">'Tabla de IPs Bloque Frio'!$A$3:$N$91</definedName>
    <definedName name="_xlnm._FilterDatabase" localSheetId="2" hidden="1">'Tabla de IPs Cocimientos'!$A$2:$N$2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23" i="2" l="1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tc={74C8F4E4-EFE9-49EB-AB6C-44175D747D59}</author>
    <author>tc={E7F0B9AF-34AD-44FC-9566-6928E10CD73D}</author>
    <author>tc={436DA841-8E21-447E-8E38-DEED9DC9E345}</author>
    <author>tc={C1BBEC09-D1B1-4C76-AE54-8E475AC8D5F4}</author>
    <author>tc={6C6D359D-B01A-40B1-B5EC-87122DA94828}</author>
  </authors>
  <commentList>
    <comment ref="L11" authorId="0" shapeId="0" xr:uid="{74C8F4E4-EFE9-49EB-AB6C-44175D747D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Menos de 9 x persona para que no pasen a triples</t>
      </text>
    </comment>
    <comment ref="L18" authorId="1" shapeId="0" xr:uid="{E7F0B9AF-34AD-44FC-9566-6928E10CD7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turno</t>
      </text>
    </comment>
    <comment ref="L19" authorId="2" shapeId="0" xr:uid="{436DA841-8E21-447E-8E38-DEED9DC9E3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turno</t>
      </text>
    </comment>
    <comment ref="L20" authorId="3" shapeId="0" xr:uid="{C1BBEC09-D1B1-4C76-AE54-8E475AC8D5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turno</t>
      </text>
    </comment>
    <comment ref="K32" authorId="4" shapeId="0" xr:uid="{6C6D359D-B01A-40B1-B5EC-87122DA948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Filtros 9 &amp; 10: 12,000hl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tc={3CD2E9A0-D3B7-4BFA-9804-6CAFE6B9D217}</author>
  </authors>
  <commentList>
    <comment ref="F13" authorId="0" shapeId="0" xr:uid="{3CD2E9A0-D3B7-4BFA-9804-6CAFE6B9D2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Asegurar que si un TCC ya vació, o no se va a filtrar, que no esté conectado a CO2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BETSAIDA GUERRERO</author>
  </authors>
  <commentList>
    <comment ref="K42" authorId="0" shapeId="0" xr:uid="{2252E813-81C0-4166-89FA-A213DDC0ED0E}">
      <text>
        <r>
          <rPr>
            <sz val="11"/>
            <color theme="1"/>
            <rFont val="Aptos Narrow"/>
            <family val="2"/>
            <scheme val="minor"/>
          </rPr>
          <t xml:space="preserve">RETO:1.39
META:1.4
</t>
        </r>
      </text>
    </comment>
    <comment ref="K57" authorId="0" shapeId="0" xr:uid="{F649ECA0-4764-448C-9EBB-CEE9E839BEDC}">
      <text>
        <r>
          <rPr>
            <sz val="11"/>
            <color theme="1"/>
            <rFont val="Aptos Narrow"/>
            <family val="2"/>
            <scheme val="minor"/>
          </rPr>
          <t xml:space="preserve">RETO:1.39
META:1.4
</t>
        </r>
      </text>
    </comment>
    <comment ref="K58" authorId="0" shapeId="0" xr:uid="{CD1957FC-D2F9-4A00-BC19-F803277BE84A}">
      <text>
        <r>
          <rPr>
            <sz val="11"/>
            <color theme="1"/>
            <rFont val="Aptos Narrow"/>
            <family val="2"/>
            <scheme val="minor"/>
          </rPr>
          <t xml:space="preserve">RETO:1.39
META:1.4
</t>
        </r>
      </text>
    </comment>
    <comment ref="K112" authorId="0" shapeId="0" xr:uid="{8E004EE5-9D16-4260-8697-C0AC51DB6C4A}">
      <text>
        <r>
          <rPr>
            <sz val="11"/>
            <color theme="1"/>
            <rFont val="Aptos Narrow"/>
            <family val="2"/>
            <scheme val="minor"/>
          </rPr>
          <t>PTS:50</t>
        </r>
      </text>
    </comment>
    <comment ref="K114" authorId="0" shapeId="0" xr:uid="{BA6B2DA8-72F5-4418-9A64-845B54F3C3E9}">
      <text>
        <r>
          <rPr>
            <sz val="11"/>
            <color theme="1"/>
            <rFont val="Aptos Narrow"/>
            <family val="2"/>
            <scheme val="minor"/>
          </rPr>
          <t xml:space="preserve">RETO:17
META:19
</t>
        </r>
      </text>
    </comment>
    <comment ref="K115" authorId="0" shapeId="0" xr:uid="{9140DA5B-B527-4329-B8C9-C79299E0F5AE}">
      <text>
        <r>
          <rPr>
            <sz val="11"/>
            <color theme="1"/>
            <rFont val="Aptos Narrow"/>
            <family val="2"/>
            <scheme val="minor"/>
          </rPr>
          <t xml:space="preserve">RETO:17
META:19
</t>
        </r>
      </text>
    </comment>
    <comment ref="K116" authorId="0" shapeId="0" xr:uid="{CA307ED2-BDD4-42BE-9609-F59050840739}">
      <text>
        <r>
          <rPr>
            <sz val="11"/>
            <color theme="1"/>
            <rFont val="Aptos Narrow"/>
            <family val="2"/>
            <scheme val="minor"/>
          </rPr>
          <t xml:space="preserve">RETO:17
META:19
</t>
        </r>
      </text>
    </comment>
    <comment ref="K129" authorId="0" shapeId="0" xr:uid="{1F7AE209-10A9-4F16-A3BB-69BB7268AD78}">
      <text>
        <r>
          <rPr>
            <sz val="11"/>
            <color theme="1"/>
            <rFont val="Aptos Narrow"/>
            <family val="2"/>
            <scheme val="minor"/>
          </rPr>
          <t>PTS:50</t>
        </r>
      </text>
    </comment>
  </commentList>
</comments>
</file>

<file path=xl/sharedStrings.xml><?xml version="1.0" encoding="utf-8"?>
<sst xmlns="http://schemas.openxmlformats.org/spreadsheetml/2006/main" count="2786" uniqueCount="356">
  <si>
    <t>Core, Suite, SPLAN, Excel</t>
  </si>
  <si>
    <t>KPI</t>
  </si>
  <si>
    <t>Proceso</t>
  </si>
  <si>
    <t>PI</t>
  </si>
  <si>
    <t>Dueño(s)</t>
  </si>
  <si>
    <t>Asignación</t>
  </si>
  <si>
    <t>Segumiento</t>
  </si>
  <si>
    <t>Disparadores</t>
  </si>
  <si>
    <t>Plan de Reacción</t>
  </si>
  <si>
    <t>5Ws</t>
  </si>
  <si>
    <t>LI</t>
  </si>
  <si>
    <t>TARGET</t>
  </si>
  <si>
    <t>LS</t>
  </si>
  <si>
    <t>HERRAMIENTA</t>
  </si>
  <si>
    <t>PUESTO</t>
  </si>
  <si>
    <t>Puesto</t>
  </si>
  <si>
    <t>Total Ips</t>
  </si>
  <si>
    <t>Lesiones</t>
  </si>
  <si>
    <t>Todos</t>
  </si>
  <si>
    <t>Apego a reporteo de ACIS</t>
  </si>
  <si>
    <t>Líderes EA</t>
  </si>
  <si>
    <t>Juan José Mejía</t>
  </si>
  <si>
    <t>Semanal/VPO</t>
  </si>
  <si>
    <t>NO</t>
  </si>
  <si>
    <t>Excel</t>
  </si>
  <si>
    <t>Supervisor</t>
  </si>
  <si>
    <t>Filtradores</t>
  </si>
  <si>
    <t>Filtración</t>
  </si>
  <si>
    <t>Exposiciones por fallas filtros</t>
  </si>
  <si>
    <t>Ariadnne Torres/Luis Zapata/Ricardo Esparza</t>
  </si>
  <si>
    <t>ETO Filtros</t>
  </si>
  <si>
    <t>Técnico</t>
  </si>
  <si>
    <t>Fermentadores</t>
  </si>
  <si>
    <t>Fermentación</t>
  </si>
  <si>
    <t>Exposiciones por fallas CMF</t>
  </si>
  <si>
    <t>Paola Marín</t>
  </si>
  <si>
    <t>ETO Fermentación</t>
  </si>
  <si>
    <t>Gobernadores</t>
  </si>
  <si>
    <t>Cumplimiento al Plan de Autonomia</t>
  </si>
  <si>
    <t>Mix ATO</t>
  </si>
  <si>
    <t>Prod. Diaria</t>
  </si>
  <si>
    <t>Suite</t>
  </si>
  <si>
    <t>Champion Calidad</t>
  </si>
  <si>
    <t>Cumplimiento al plan de Autonomía</t>
  </si>
  <si>
    <t>Mensual Estrategia</t>
  </si>
  <si>
    <t>Champion Ambiental</t>
  </si>
  <si>
    <t>Cumplimiento a inducciones funcionales</t>
  </si>
  <si>
    <t>Champion Gente</t>
  </si>
  <si>
    <t>Miguel Rivera</t>
  </si>
  <si>
    <t>Cumplimiento a PAE</t>
  </si>
  <si>
    <t>Sherlyn Perez</t>
  </si>
  <si>
    <t>Adrian Silva</t>
  </si>
  <si>
    <t>Costos por Tiempos Extra Totales</t>
  </si>
  <si>
    <t>Hrs Tiempo Extra</t>
  </si>
  <si>
    <t>Champion Logística</t>
  </si>
  <si>
    <t>BQI</t>
  </si>
  <si>
    <t xml:space="preserve">Índice Sensorial </t>
  </si>
  <si>
    <t>Polifenoles en Corona</t>
  </si>
  <si>
    <t>Jesús Briceño Montelongo</t>
  </si>
  <si>
    <t>ETO Filtros/CORE</t>
  </si>
  <si>
    <t>Core</t>
  </si>
  <si>
    <t>Plateros</t>
  </si>
  <si>
    <t>Fermentation Consistency Index(FCI)</t>
  </si>
  <si>
    <t>Extracto a 72 Hrs</t>
  </si>
  <si>
    <t>Oscar Mejía</t>
  </si>
  <si>
    <t>CORE/Suite</t>
  </si>
  <si>
    <t>Bombero Levadura</t>
  </si>
  <si>
    <t>Temperatura al llenar TCC</t>
  </si>
  <si>
    <t>Isaí Solórzano/Llenadores Mosto</t>
  </si>
  <si>
    <t>Blenderos</t>
  </si>
  <si>
    <t>Conteo al llenar</t>
  </si>
  <si>
    <t>Oscar Codallos</t>
  </si>
  <si>
    <t>Quasero</t>
  </si>
  <si>
    <t>Brand Profile Index  (BPI)</t>
  </si>
  <si>
    <t>Diacetilo</t>
  </si>
  <si>
    <t>Líder Fermentación</t>
  </si>
  <si>
    <t>Gobierno</t>
  </si>
  <si>
    <t>DFE en Extracto Aparente BBT</t>
  </si>
  <si>
    <t>José Leandro Martínez</t>
  </si>
  <si>
    <t>Champion Mtto</t>
  </si>
  <si>
    <t>DFE en Color BBT</t>
  </si>
  <si>
    <t>Luis Zapata</t>
  </si>
  <si>
    <t>Planeador Mtto</t>
  </si>
  <si>
    <t>Flavor Stability Index  (FSI )</t>
  </si>
  <si>
    <t>Número de atrasos en recibo de mosto</t>
  </si>
  <si>
    <t>Guillermo Gonzalez</t>
  </si>
  <si>
    <t>Tablero cambio de Turno</t>
  </si>
  <si>
    <t>Champion Seguridad</t>
  </si>
  <si>
    <t>Oxígeno Integrado en filtros</t>
  </si>
  <si>
    <t>Champion Mantenimiento</t>
  </si>
  <si>
    <t>Oxígeno Disuelto en BBT (Llenando-Lleno)</t>
  </si>
  <si>
    <t>Carlos Ornedo</t>
  </si>
  <si>
    <t>Champion Gestión</t>
  </si>
  <si>
    <t>Micro Index (Brewing)</t>
  </si>
  <si>
    <t>Cumplimiento CMP Fermentación + desincrustaciones</t>
  </si>
  <si>
    <t>Cumplimiento CMP Filtros + Gobierno + desincrustaciones</t>
  </si>
  <si>
    <t>Oscar Gonzalez</t>
  </si>
  <si>
    <t>Filtros/Gobierno</t>
  </si>
  <si>
    <t>Cumplimiento Micro Cerveza Brillante</t>
  </si>
  <si>
    <t>KPI Micro (Excel)</t>
  </si>
  <si>
    <t>PRP Index + GFSI</t>
  </si>
  <si>
    <t>Cumplimiento PRP mensual + GFSI</t>
  </si>
  <si>
    <t>Herramienta PRP</t>
  </si>
  <si>
    <t>Eficiencia de Calidad Elab. (Apartados)</t>
  </si>
  <si>
    <t>Hl apartados por mes</t>
  </si>
  <si>
    <t>Apartados por CO2/OD</t>
  </si>
  <si>
    <t>Rene Diaz</t>
  </si>
  <si>
    <t>Semanal</t>
  </si>
  <si>
    <t>Apartados por Partículas</t>
  </si>
  <si>
    <t>Víctor Zapata</t>
  </si>
  <si>
    <t>Total Extract Losses</t>
  </si>
  <si>
    <t>Relación cerveza filtrada/levadura tratada CMF</t>
  </si>
  <si>
    <t>Eficiencia CMF</t>
  </si>
  <si>
    <t>Volumen filtrado por ciclo</t>
  </si>
  <si>
    <t>Miguel Sanchez/Montelongo</t>
  </si>
  <si>
    <t>PENDIENTE</t>
  </si>
  <si>
    <t>SPLAN</t>
  </si>
  <si>
    <t>Brewhouse OSE</t>
  </si>
  <si>
    <t>Eficiencia en Filtracion de Cerveza</t>
  </si>
  <si>
    <t>Eficiencia Filtros</t>
  </si>
  <si>
    <t>David Alaniz/Ariadnne Torres/José Leandro/Miguel Sanchez/Luis Gutierrez</t>
  </si>
  <si>
    <t>OEE Filtros de cerveza</t>
  </si>
  <si>
    <t xml:space="preserve">BBTs retrabajados </t>
  </si>
  <si>
    <t>Topi Curiel/Miguel Sanchez/Luis Gutierrez</t>
  </si>
  <si>
    <t>Cumplimiento a EMO por filtro</t>
  </si>
  <si>
    <t>Topi Curiel/Miguel Rivera</t>
  </si>
  <si>
    <t xml:space="preserve">Downtime Envasado </t>
  </si>
  <si>
    <t>Tiempo de afectación al envasado por cambio de BBT</t>
  </si>
  <si>
    <t>Carlos Ornedo/David Alaniz</t>
  </si>
  <si>
    <t>Tiempo de afectación al envasado por líquido no disponible/DFE</t>
  </si>
  <si>
    <t>MSA Elaboración</t>
  </si>
  <si>
    <t>MSA ATO de Elaboración</t>
  </si>
  <si>
    <t>MPA Elaboración</t>
  </si>
  <si>
    <t>Equipos no liberados</t>
  </si>
  <si>
    <t>Ariadnne Torres</t>
  </si>
  <si>
    <t>Backlog (Pasado + Futuro)</t>
  </si>
  <si>
    <t>Benjamín Ramirez</t>
  </si>
  <si>
    <t xml:space="preserve">Consumo de agua </t>
  </si>
  <si>
    <t>Cumplimiento a IP Agua CFR</t>
  </si>
  <si>
    <t>Ivan Rojero</t>
  </si>
  <si>
    <t>TPE</t>
  </si>
  <si>
    <t>Consumo de vapor en CFR</t>
  </si>
  <si>
    <t>Topi Curiel</t>
  </si>
  <si>
    <t>Indice de Carga Organica</t>
  </si>
  <si>
    <t>Descargas anormales Fermentación</t>
  </si>
  <si>
    <t>Descargas anormales Filtros/Gobierno/Blender</t>
  </si>
  <si>
    <t>Fosforo en Drenaje Industrial</t>
  </si>
  <si>
    <t>Consumo de ácido fosfórico</t>
  </si>
  <si>
    <t>Adrián Silva</t>
  </si>
  <si>
    <t>Outsourcing</t>
  </si>
  <si>
    <t>Consumo de CO2</t>
  </si>
  <si>
    <t>Consumo de CO2 Fermentación</t>
  </si>
  <si>
    <t>Filtros</t>
  </si>
  <si>
    <t>Consumo de CO2 Filtros</t>
  </si>
  <si>
    <t>Ricardo Esparza</t>
  </si>
  <si>
    <t>Consumo de CO2 BBTs</t>
  </si>
  <si>
    <t>ETO Gobierno</t>
  </si>
  <si>
    <t>Cumplimiento a Recuperación de CO2</t>
  </si>
  <si>
    <t>Isaí Solórzano</t>
  </si>
  <si>
    <t>Exactitud de Inventarios Cuartos Fríos</t>
  </si>
  <si>
    <t>Cumplimiento a Exactitud de Inventarios</t>
  </si>
  <si>
    <t>Rodrigo Regalado</t>
  </si>
  <si>
    <t>VIC Elaboracion Materiales</t>
  </si>
  <si>
    <t>Apego a BOMs</t>
  </si>
  <si>
    <t>PDCA VIC</t>
  </si>
  <si>
    <t>Consumo de Tierras</t>
  </si>
  <si>
    <t>Consumo de PVPP</t>
  </si>
  <si>
    <t>VPO score Nivel Excelencia</t>
  </si>
  <si>
    <t>Calificación Pilar Gente</t>
  </si>
  <si>
    <t>Calificación Pilar Seguridad</t>
  </si>
  <si>
    <t>Calificación Pilar Calidad</t>
  </si>
  <si>
    <t>Calificación Pilar Mantenimiento</t>
  </si>
  <si>
    <t>Chamption Mtto</t>
  </si>
  <si>
    <t>Calificación Pilar Ambiental</t>
  </si>
  <si>
    <t>Calificación Pilar Logística</t>
  </si>
  <si>
    <t>Calificación Pilar Gestión + Medios</t>
  </si>
  <si>
    <t>Proceso Fermentación</t>
  </si>
  <si>
    <t>Control de presiones durante ferm/reposo</t>
  </si>
  <si>
    <t>CORE</t>
  </si>
  <si>
    <t>Cumplimiento a almacenamiento de cerveza y levadura en recuperación de cerveza</t>
  </si>
  <si>
    <t>Apego al Layout de TCCs</t>
  </si>
  <si>
    <t>Cumplimiento a tiempo de llenado de TCC</t>
  </si>
  <si>
    <t>ETO Fermentación (SIC)</t>
  </si>
  <si>
    <t>Volumen de inóculo</t>
  </si>
  <si>
    <t>Llenadores mosto</t>
  </si>
  <si>
    <t>Operador</t>
  </si>
  <si>
    <t>Proceso Levadura</t>
  </si>
  <si>
    <t>Levadura</t>
  </si>
  <si>
    <t>Control de extracciones de 8vo día</t>
  </si>
  <si>
    <t>Cumplimiento a tiempo de purgado de TRUB</t>
  </si>
  <si>
    <t>Agenda digital Platos</t>
  </si>
  <si>
    <t>Tiempo de permanencia de Levadura en TCC Frío</t>
  </si>
  <si>
    <t>ETO Levadura</t>
  </si>
  <si>
    <t>Temperatura de almacenamiento en TDL</t>
  </si>
  <si>
    <t>Proceso Filtración</t>
  </si>
  <si>
    <t>Volumen refiltrado</t>
  </si>
  <si>
    <t>Luis Zapata/José Leandro/Luis Gutierrez</t>
  </si>
  <si>
    <t>Volumen Filtrado</t>
  </si>
  <si>
    <t>Luis Gutierrez</t>
  </si>
  <si>
    <t>Grafana/ETO Filtros</t>
  </si>
  <si>
    <t>Ml en probeta de PVPP</t>
  </si>
  <si>
    <t>Luis Gutierrez/Montelongo</t>
  </si>
  <si>
    <t>Condiciones de Regeneración (pH, Temperatura, Conductividad)</t>
  </si>
  <si>
    <t>Topi Curiel/Ricardo Esparza</t>
  </si>
  <si>
    <t>OD entrada filtros</t>
  </si>
  <si>
    <t>Bombero Cerveza</t>
  </si>
  <si>
    <t>Presurización de TCCs por filtrar con CO2</t>
  </si>
  <si>
    <t>Cumplimiento a limpieza en área de tierras</t>
  </si>
  <si>
    <t>Operador de Tierras</t>
  </si>
  <si>
    <t>Cumplimiento a Layout de estibado</t>
  </si>
  <si>
    <t>Proceso Gobierno</t>
  </si>
  <si>
    <t>Cambios al programa diario de Envasado por falta de cerveza</t>
  </si>
  <si>
    <t>David Alaniz</t>
  </si>
  <si>
    <t>Cumplimiento al Layout de BBTs</t>
  </si>
  <si>
    <t>Cumplimiento a almacenamiento de cerveza y restos</t>
  </si>
  <si>
    <t>Grafana</t>
  </si>
  <si>
    <t>Volumen de cerveza sin asignar</t>
  </si>
  <si>
    <t>Braumat/Prod. Diaria</t>
  </si>
  <si>
    <t>OD al Llenar</t>
  </si>
  <si>
    <t>Llenadores Gob</t>
  </si>
  <si>
    <t>CO2 al Llenar</t>
  </si>
  <si>
    <t>OD al Vaciar</t>
  </si>
  <si>
    <t>Vaciadores Gob</t>
  </si>
  <si>
    <t>CO2 al Vaciar</t>
  </si>
  <si>
    <t>Proceso Blender</t>
  </si>
  <si>
    <t>Blender</t>
  </si>
  <si>
    <t>Afectaciones al envasado por Blender</t>
  </si>
  <si>
    <t>Cumplimiento a especificaciones marcas Blender</t>
  </si>
  <si>
    <t>ETO Blender</t>
  </si>
  <si>
    <t>Proceso QUAS</t>
  </si>
  <si>
    <t>QUAS</t>
  </si>
  <si>
    <t>Cumplimiento a BWC</t>
  </si>
  <si>
    <t>ETO QUAS</t>
  </si>
  <si>
    <t>Cumplimiento a verificación de equipos</t>
  </si>
  <si>
    <t>Etiquetas de fila</t>
  </si>
  <si>
    <t>Cuenta de Asignación</t>
  </si>
  <si>
    <t>VALIDAR</t>
  </si>
  <si>
    <t>Cumplimiento de Medios</t>
  </si>
  <si>
    <t>(en blanco)</t>
  </si>
  <si>
    <t>Total general</t>
  </si>
  <si>
    <t>Materias primas y aux</t>
  </si>
  <si>
    <t>Consumo a ordenes en un periodo de 24 hrs</t>
  </si>
  <si>
    <t>Técnico Coctos (Mat Prim)</t>
  </si>
  <si>
    <t>Abel Guillermo Mazatan Paredes</t>
  </si>
  <si>
    <t>Diario</t>
  </si>
  <si>
    <t>Apego a BOM de Coctos</t>
  </si>
  <si>
    <t>Cumplimiento a exactitud de inventarios</t>
  </si>
  <si>
    <t>MPA</t>
  </si>
  <si>
    <t xml:space="preserve">
BACKLOG (Pasado + futuro) cocimiento</t>
  </si>
  <si>
    <t>Lider de Coctos</t>
  </si>
  <si>
    <t>Juan Carlos Ceballo</t>
  </si>
  <si>
    <t>Luis Manuel García Victorio</t>
  </si>
  <si>
    <t>Breakdowns Cocimientos</t>
  </si>
  <si>
    <t>BSSI</t>
  </si>
  <si>
    <t xml:space="preserve">Adrian Díaz </t>
  </si>
  <si>
    <t>SI</t>
  </si>
  <si>
    <t>Fatima Nedith Gomez Mireles</t>
  </si>
  <si>
    <t>% Vaciado Filtro de aspiración</t>
  </si>
  <si>
    <t>Bagacero</t>
  </si>
  <si>
    <t>Eduardo Valle Arias</t>
  </si>
  <si>
    <t>MANUEL DE JESUS DEL REAL ESQUIVEL</t>
  </si>
  <si>
    <t>Cero impactos (FMS)</t>
  </si>
  <si>
    <t>Oper Grits</t>
  </si>
  <si>
    <t>Alberto Nuñez Vélez.</t>
  </si>
  <si>
    <t>SmartLift</t>
  </si>
  <si>
    <t>Cocedores</t>
  </si>
  <si>
    <t>Tiempo disolución</t>
  </si>
  <si>
    <t>Tarjetas generadas por ATO</t>
  </si>
  <si>
    <t>Adicionador Filtros - Ollas</t>
  </si>
  <si>
    <t>Aldo Sifuentes Veloz</t>
  </si>
  <si>
    <t>SAP</t>
  </si>
  <si>
    <t>Betsaida Guerrero Silva</t>
  </si>
  <si>
    <t>% de apego a medios</t>
  </si>
  <si>
    <t>Fuga de grano o polvo durante recibo</t>
  </si>
  <si>
    <t>Oper Mat. Primas</t>
  </si>
  <si>
    <t>Carlos Rivera</t>
  </si>
  <si>
    <t>Inventario en silos (medición de llenado de silos)</t>
  </si>
  <si>
    <t>Inve</t>
  </si>
  <si>
    <t>Fugas de polvo en Bodega</t>
  </si>
  <si>
    <t>Ayudante de Grits</t>
  </si>
  <si>
    <t>CONCEPCION REYES MONTERO</t>
  </si>
  <si>
    <t xml:space="preserve">Tiempo de exposición por atorones de cartón </t>
  </si>
  <si>
    <t>Color MOSTO FRIO</t>
  </si>
  <si>
    <t>Héctor Hugo Valdez Piña</t>
  </si>
  <si>
    <t>pH mosto frio</t>
  </si>
  <si>
    <t>Jose Carlos Cardona Loera</t>
  </si>
  <si>
    <t xml:space="preserve">Dias de autonomia de mat aux </t>
  </si>
  <si>
    <t>Preparador</t>
  </si>
  <si>
    <t>ADRIAN HERNANDEZ DE AVILA</t>
  </si>
  <si>
    <t>JOSE LUIS MALDONADO</t>
  </si>
  <si>
    <t>J Jesús Alvarado Tenorio</t>
  </si>
  <si>
    <t>Jose Luis Rodriguez Rangel</t>
  </si>
  <si>
    <t>Oscar Nuñez</t>
  </si>
  <si>
    <t>Obed Calvillo</t>
  </si>
  <si>
    <t>José Luis Cázares Pinales</t>
  </si>
  <si>
    <t xml:space="preserve">Hugo Alberto Cardona Espinoza </t>
  </si>
  <si>
    <t>Juan Salazar anda</t>
  </si>
  <si>
    <t>Consumo de agua</t>
  </si>
  <si>
    <t>J. Guadalupe Guzmán Muñoz</t>
  </si>
  <si>
    <t>J. Jesus Rivera Medina</t>
  </si>
  <si>
    <t>J. Manuel Raygoza Juarez</t>
  </si>
  <si>
    <t xml:space="preserve">J. Mario Trujillo Meza </t>
  </si>
  <si>
    <t>Jaime López Chávez</t>
  </si>
  <si>
    <t>Jose Amador Rodríguez Júarez</t>
  </si>
  <si>
    <t>Omar Alberto Robles Sosa</t>
  </si>
  <si>
    <t>Paola Cristina Oliivares</t>
  </si>
  <si>
    <t>Power BI</t>
  </si>
  <si>
    <t>Jose Francisco Torres</t>
  </si>
  <si>
    <t xml:space="preserve"> RDF mosto frio</t>
  </si>
  <si>
    <t>Adicionador Coc - Mac</t>
  </si>
  <si>
    <t>Edgar Emanuel Juarez Alba</t>
  </si>
  <si>
    <t>EMO MOSTO FRIO</t>
  </si>
  <si>
    <t>VILC</t>
  </si>
  <si>
    <t>Inventario ciclico</t>
  </si>
  <si>
    <t>Edgar Zamarron Acosta</t>
  </si>
  <si>
    <t>Juan Antonio Valdez Licerio</t>
  </si>
  <si>
    <t>MSA Cocimientos</t>
  </si>
  <si>
    <t>Juan Ramón Jiménez Delgado</t>
  </si>
  <si>
    <t>OSE</t>
  </si>
  <si>
    <t>SEMANAL</t>
  </si>
  <si>
    <t>Leobardo Varela Nieto</t>
  </si>
  <si>
    <t>Manuel de Jesus Chavéz García</t>
  </si>
  <si>
    <t>Velocidad Aspiracion</t>
  </si>
  <si>
    <t>Marco Aurelio Ramirez Cuaucoatl</t>
  </si>
  <si>
    <t>Mario Alberto Zamarripa Llanas</t>
  </si>
  <si>
    <t>PSM Dust Explosion</t>
  </si>
  <si>
    <t>TEL</t>
  </si>
  <si>
    <t>Jose Manuel Varela Rosales</t>
  </si>
  <si>
    <t>Minutos de atraso en arranque de cocedor</t>
  </si>
  <si>
    <t>Técnico Coctos (Mac - Coc)</t>
  </si>
  <si>
    <t>Oscar Ivan Ibarra Ortiz</t>
  </si>
  <si>
    <t xml:space="preserve">Temp agua para disolución de grits </t>
  </si>
  <si>
    <t>Color de TCC  al llenar</t>
  </si>
  <si>
    <t>TRI +CTRI</t>
  </si>
  <si>
    <t>VIC RAW MATERIAL &amp; AUX  P&amp;P</t>
  </si>
  <si>
    <t>ZBB</t>
  </si>
  <si>
    <t>ZBB + VIC MANTENIMIENTO</t>
  </si>
  <si>
    <t>Ollas</t>
  </si>
  <si>
    <t>HLD</t>
  </si>
  <si>
    <t>Técnico Coctos (Fil - Ollas)</t>
  </si>
  <si>
    <t>Rafael Vera Ortega</t>
  </si>
  <si>
    <t>EMO de TCC  al llenar</t>
  </si>
  <si>
    <t xml:space="preserve">Exposición por fallas en equipos </t>
  </si>
  <si>
    <t>Raul Bañuelos Flores</t>
  </si>
  <si>
    <t>Rigoberto Mota Cortez</t>
  </si>
  <si>
    <t>Ruben Carrillo Casas</t>
  </si>
  <si>
    <t>Samantha Rojero Lerma</t>
  </si>
  <si>
    <t>Santiago Herrera Amador</t>
  </si>
  <si>
    <t>Inventario Ciclico</t>
  </si>
  <si>
    <t>Técnico  (Mat Prim)</t>
  </si>
  <si>
    <t>Susana Saucedo Medrano</t>
  </si>
  <si>
    <t>diario</t>
  </si>
  <si>
    <t>Apego a stock de acuerdo a politica de inventario para materiales auxiliares</t>
  </si>
  <si>
    <t>Apego a stock de acuerdo a politica de inventario para materias primas</t>
  </si>
  <si>
    <t>Uriel Escobedo Muro</t>
  </si>
  <si>
    <t>Valeria Nataly Castañon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</si>
</sst>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left" wrapText="1"/>
    </xf>
    <xf numFmtId="0" fontId="0" fillId="4" borderId="0" xfId="0" applyFill="1" applyAlignment="1">
      <alignment horizontal="left" vertical="center"/>
    </xf>
    <xf numFmtId="0" fontId="2" fillId="0" borderId="0" xfId="0" applyFont="1" applyAlignment="1">
      <alignment horizontal="left" wrapText="1"/>
    </xf>
    <xf numFmtId="9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DRIGO REGALADO" id="{178C758F-D70C-4FFD-81BC-2D2A4A77AEC4}" userId="S::rodrigo.regalado@gmodelo.com.mx::196a95c9-6d52-4876-b737-f47d36bf5e5b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REGALADO" refreshedDate="46237.620921412039" createdVersion="8" refreshedVersion="8" minRefreshableVersion="3" recordCount="87" xr:uid="{38BC6DC9-D16A-4B5B-A0B5-F590EC78654F}">
  <cacheSource type="worksheet">
    <worksheetSource ref="A3:I90" sheet="Tabla de IPs Bloque Frio"/>
  </cacheSource>
  <cacheFields count="9">
    <cacheField name="KPI" numFmtId="0">
      <sharedItems count="33">
        <s v="Lesiones"/>
        <s v="Cumplimiento al Plan de Autonomia"/>
        <s v="Costos por Tiempos Extra Totales"/>
        <s v="BQI"/>
        <s v="Índice Sensorial "/>
        <s v="Fermentation Consistency Index(FCI)"/>
        <s v="Brand Profile Index  (BPI)"/>
        <s v="Flavor Stability Index  (FSI )"/>
        <s v="Micro Index (Brewing)"/>
        <s v="PRP Index + GFSI"/>
        <s v="Eficiencia de Calidad Elab. (Apartados)"/>
        <s v="Total Extract Losses"/>
        <s v="Brewhouse OSE"/>
        <s v="Eficiencia en Filtracion de Cerveza"/>
        <s v="OEE Filtros de cerveza"/>
        <s v="Downtime Envasado "/>
        <s v="MSA Elaboración"/>
        <s v="MPA Elaboración"/>
        <s v="Backlog (Pasado + Futuro)"/>
        <s v="Consumo de agua "/>
        <s v="TPE"/>
        <s v="Indice de Carga Organica"/>
        <s v="Fosforo en Drenaje Industrial"/>
        <s v="Consumo de CO2"/>
        <s v="Exactitud de Inventarios Cuartos Fríos"/>
        <s v="VIC Elaboracion Materiales"/>
        <s v="VPO score Nivel Excelencia"/>
        <s v="Proceso Fermentación"/>
        <s v="Proceso Levadura"/>
        <s v="Proceso Filtración"/>
        <s v="Proceso Gobierno"/>
        <s v="Proceso Blender"/>
        <s v="Proceso QUAS"/>
      </sharedItems>
    </cacheField>
    <cacheField name="Proceso" numFmtId="0">
      <sharedItems containsBlank="1"/>
    </cacheField>
    <cacheField name="PI" numFmtId="0">
      <sharedItems containsBlank="1" count="87">
        <s v="Apego a reporteo de ACIS"/>
        <s v="Exposiciones por fallas filtros"/>
        <s v="Exposiciones por fallas CMF"/>
        <s v="Mix ATO"/>
        <s v="Cumplimiento al plan de Autonomía"/>
        <s v="Cumplimiento a inducciones funcionales"/>
        <s v="Cumplimiento a PAE"/>
        <s v="Hrs Tiempo Extra"/>
        <m/>
        <s v="Polifenoles en Corona"/>
        <s v="Extracto a 72 Hrs"/>
        <s v="Temperatura al llenar TCC"/>
        <s v="Conteo al llenar"/>
        <s v="Diacetilo"/>
        <s v="DFE en Extracto Aparente BBT"/>
        <s v="DFE en Color BBT"/>
        <s v="Número de atrasos en recibo de mosto"/>
        <s v="Oxígeno Integrado en filtros"/>
        <s v="Oxígeno Disuelto en BBT (Llenando-Lleno)"/>
        <s v="Cumplimiento CMP Fermentación + desincrustaciones"/>
        <s v="Cumplimiento CMP Filtros + Gobierno + desincrustaciones"/>
        <s v="Cumplimiento Micro Cerveza Brillante"/>
        <s v="Cumplimiento PRP mensual + GFSI"/>
        <s v="Hl apartados por mes"/>
        <s v="Apartados por CO2/OD"/>
        <s v="Apartados por Partículas"/>
        <s v="Relación cerveza filtrada/levadura tratada CMF"/>
        <s v="Eficiencia CMF"/>
        <s v="Volumen filtrado por ciclo"/>
        <s v="Eficiencia Filtros"/>
        <s v="BBTs retrabajados "/>
        <s v="Cumplimiento a EMO por filtro"/>
        <s v="Tiempo de afectación al envasado por cambio de BBT"/>
        <s v="Tiempo de afectación al envasado por líquido no disponible/DFE"/>
        <s v="MSA ATO de Elaboración"/>
        <s v="Equipos no liberados"/>
        <s v="Backlog (Pasado + Futuro)"/>
        <s v="Cumplimiento a IP Agua CFR"/>
        <s v="Consumo de vapor en CFR"/>
        <s v="Descargas anormales Fermentación"/>
        <s v="Descargas anormales Filtros/Gobierno/Blender"/>
        <s v="Consumo de ácido fosfórico"/>
        <s v="Consumo de CO2 Fermentación"/>
        <s v="Consumo de CO2 Filtros"/>
        <s v="Consumo de CO2 BBTs"/>
        <s v="Cumplimiento a Recuperación de CO2"/>
        <s v="Cumplimiento a Exactitud de Inventarios"/>
        <s v="Apego a BOMs"/>
        <s v="Consumo de Tierras"/>
        <s v="Consumo de PVPP"/>
        <s v="Calificación Pilar Gente"/>
        <s v="Calificación Pilar Seguridad"/>
        <s v="Calificación Pilar Calidad"/>
        <s v="Calificación Pilar Mantenimiento"/>
        <s v="Calificación Pilar Ambiental"/>
        <s v="Calificación Pilar Logística"/>
        <s v="Calificación Pilar Gestión + Medios"/>
        <s v="Control de presiones durante ferm/reposo"/>
        <s v="Cumplimiento a almacenamiento de cerveza y levadura en recuperación de cerveza"/>
        <s v="Apego al Layout de TCCs"/>
        <s v="Cumplimiento a tiempo de llenado de TCC"/>
        <s v="Volumen de inóculo"/>
        <s v="Control de extracciones de 8vo día"/>
        <s v="Cumplimiento a tiempo de purgado de TRUB"/>
        <s v="Tiempo de permanencia de Levadura en TCC Frío"/>
        <s v="Temperatura de almacenamiento en TDL"/>
        <s v="Volumen refiltrado"/>
        <s v="Volumen Filtrado"/>
        <s v="Ml en probeta de PVPP"/>
        <s v="Condiciones de Regeneración (pH, Temperatura, Conductividad)"/>
        <s v="OD entrada filtros"/>
        <s v="Presurización de TCCs por filtrar con CO2"/>
        <s v="Cumplimiento a limpieza en área de tierras"/>
        <s v="Cumplimiento a Layout de estibado"/>
        <s v="Cambios al programa diario de Envasado por falta de cerveza"/>
        <s v="Cumplimiento al Layout de BBTs"/>
        <s v="Cumplimiento a almacenamiento de cerveza y restos"/>
        <s v="Volumen de cerveza sin asignar"/>
        <s v="OD al Llenar"/>
        <s v="CO2 al Llenar"/>
        <s v="OD al Vaciar"/>
        <s v="CO2 al Vaciar"/>
        <s v="Afectaciones al envasado por Blender"/>
        <s v="Cumplimiento a especificaciones marcas Blender"/>
        <s v="Cumplimiento a BWC"/>
        <s v="Cumplimiento a verificación de equipos"/>
        <s v="Calificación Pilar Gestión" u="1"/>
      </sharedItems>
    </cacheField>
    <cacheField name="Dueño(s)" numFmtId="0">
      <sharedItems containsBlank="1" count="23">
        <s v="Líderes EA"/>
        <s v="Filtradores"/>
        <s v="Fermentadores"/>
        <s v="Champion Gente"/>
        <m/>
        <s v="Plateros"/>
        <s v="Gobernadores"/>
        <s v="Champion Calidad"/>
        <s v="Champion Mtto"/>
        <s v="Planeador Mtto"/>
        <s v="Champion Ambiental"/>
        <s v="Adrian Silva"/>
        <s v="Champion Logística"/>
        <s v="Champion Seguridad"/>
        <s v="Chamption Mtto"/>
        <s v="Champion Gestión"/>
        <s v="Bombero Levadura"/>
        <s v="Bombero Cerveza"/>
        <s v="Operador de Tierras"/>
        <s v="Llenadores Gob"/>
        <s v="Vaciadores Gob"/>
        <s v="Blenderos"/>
        <s v="Quasero"/>
      </sharedItems>
    </cacheField>
    <cacheField name="Asignación" numFmtId="0">
      <sharedItems containsBlank="1"/>
    </cacheField>
    <cacheField name="Segumiento" numFmtId="0">
      <sharedItems containsBlank="1"/>
    </cacheField>
    <cacheField name="Disparadores" numFmtId="0">
      <sharedItems containsBlank="1"/>
    </cacheField>
    <cacheField name="Plan de Reacción" numFmtId="0">
      <sharedItems containsBlank="1"/>
    </cacheField>
    <cacheField name="5W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s v="Todos"/>
    <x v="0"/>
    <x v="0"/>
    <s v="Juan José Mejía"/>
    <s v="Semanal/VPO"/>
    <s v="NO"/>
    <s v="NO"/>
    <s v="NO"/>
  </r>
  <r>
    <x v="0"/>
    <s v="Filtración"/>
    <x v="1"/>
    <x v="1"/>
    <s v="Ariadnne Torres/Luis Zapata/Ricardo Esparza"/>
    <s v="ETO Filtros"/>
    <s v="NO"/>
    <s v="NO"/>
    <s v="NO"/>
  </r>
  <r>
    <x v="0"/>
    <s v="Fermentación"/>
    <x v="2"/>
    <x v="2"/>
    <s v="Paola Marín"/>
    <s v="ETO Fermentación"/>
    <s v="NO"/>
    <s v="NO"/>
    <s v="NO"/>
  </r>
  <r>
    <x v="1"/>
    <s v="Todos"/>
    <x v="3"/>
    <x v="0"/>
    <s v="Líderes EA"/>
    <s v="Prod. Diaria"/>
    <s v="NO"/>
    <s v="NO"/>
    <s v="NO"/>
  </r>
  <r>
    <x v="1"/>
    <s v="Todos"/>
    <x v="4"/>
    <x v="0"/>
    <s v="Líderes EA"/>
    <s v="Mensual Estrategia"/>
    <s v="NO"/>
    <s v="NO"/>
    <s v="NO"/>
  </r>
  <r>
    <x v="1"/>
    <s v="Todos"/>
    <x v="5"/>
    <x v="3"/>
    <s v="Miguel Rivera"/>
    <s v="Mensual Estrategia"/>
    <s v="NO"/>
    <s v="NO"/>
    <s v="NO"/>
  </r>
  <r>
    <x v="1"/>
    <s v="Todos"/>
    <x v="6"/>
    <x v="3"/>
    <s v="Sherlyn Perez"/>
    <s v="Mensual Estrategia"/>
    <s v="NO"/>
    <s v="NO"/>
    <s v="NO"/>
  </r>
  <r>
    <x v="2"/>
    <s v="Todos"/>
    <x v="7"/>
    <x v="3"/>
    <s v="Sherlyn Perez"/>
    <s v="Prod. Diaria"/>
    <s v="NO"/>
    <s v="NO"/>
    <s v="NO"/>
  </r>
  <r>
    <x v="3"/>
    <m/>
    <x v="8"/>
    <x v="4"/>
    <m/>
    <m/>
    <m/>
    <m/>
    <m/>
  </r>
  <r>
    <x v="4"/>
    <s v="Filtración"/>
    <x v="9"/>
    <x v="1"/>
    <s v="Jesús Briceño Montelongo"/>
    <s v="ETO Filtros/CORE"/>
    <s v="NO"/>
    <s v="NO"/>
    <s v="NO"/>
  </r>
  <r>
    <x v="5"/>
    <s v="Fermentación"/>
    <x v="10"/>
    <x v="5"/>
    <s v="Oscar Mejía"/>
    <s v="CORE/Suite"/>
    <s v="NO"/>
    <s v="NO"/>
    <s v="NO"/>
  </r>
  <r>
    <x v="5"/>
    <s v="Fermentación"/>
    <x v="11"/>
    <x v="2"/>
    <s v="Isaí Solórzano/Llenadores Mosto"/>
    <s v="CORE/Suite"/>
    <s v="NO"/>
    <s v="NO"/>
    <s v="NO"/>
  </r>
  <r>
    <x v="5"/>
    <s v="Fermentación"/>
    <x v="12"/>
    <x v="2"/>
    <s v="Oscar Codallos"/>
    <s v="CORE/Suite"/>
    <s v="NO"/>
    <s v="NO"/>
    <s v="NO"/>
  </r>
  <r>
    <x v="6"/>
    <s v="Fermentación"/>
    <x v="13"/>
    <x v="2"/>
    <s v="Oscar Mejía"/>
    <s v="CORE/Suite"/>
    <s v="NO"/>
    <s v="NO"/>
    <s v="NO"/>
  </r>
  <r>
    <x v="6"/>
    <s v="Gobierno"/>
    <x v="14"/>
    <x v="1"/>
    <s v="José Leandro Martínez"/>
    <s v="CORE/Suite"/>
    <s v="NO"/>
    <s v="NO"/>
    <s v="NO"/>
  </r>
  <r>
    <x v="6"/>
    <s v="Gobierno"/>
    <x v="15"/>
    <x v="1"/>
    <s v="Luis Zapata"/>
    <s v="CORE/Suite"/>
    <s v="NO"/>
    <s v="NO"/>
    <s v="NO"/>
  </r>
  <r>
    <x v="7"/>
    <s v="Fermentación"/>
    <x v="16"/>
    <x v="2"/>
    <s v="Guillermo Gonzalez"/>
    <s v="Tablero cambio de Turno"/>
    <s v="NO"/>
    <s v="NO"/>
    <s v="NO"/>
  </r>
  <r>
    <x v="7"/>
    <s v="Filtración"/>
    <x v="17"/>
    <x v="1"/>
    <s v="Miguel Rivera"/>
    <s v="CORE/Suite"/>
    <s v="NO"/>
    <s v="NO"/>
    <s v="NO"/>
  </r>
  <r>
    <x v="7"/>
    <s v="Gobierno"/>
    <x v="18"/>
    <x v="6"/>
    <s v="Carlos Ornedo"/>
    <s v="CORE/Suite"/>
    <s v="NO"/>
    <s v="NO"/>
    <s v="NO"/>
  </r>
  <r>
    <x v="8"/>
    <s v="Fermentación"/>
    <x v="19"/>
    <x v="2"/>
    <s v="Oscar Mejía"/>
    <s v="Prod. Diaria"/>
    <s v="NO"/>
    <s v="NO"/>
    <s v="NO"/>
  </r>
  <r>
    <x v="8"/>
    <s v="Gobierno"/>
    <x v="20"/>
    <x v="6"/>
    <s v="Oscar Gonzalez"/>
    <s v="Prod. Diaria"/>
    <s v="NO"/>
    <s v="NO"/>
    <s v="NO"/>
  </r>
  <r>
    <x v="8"/>
    <s v="Filtros/Gobierno"/>
    <x v="21"/>
    <x v="7"/>
    <s v="Oscar Gonzalez"/>
    <s v="KPI Micro (Excel)"/>
    <s v="NO"/>
    <s v="NO"/>
    <s v="NO"/>
  </r>
  <r>
    <x v="9"/>
    <s v="Todos"/>
    <x v="22"/>
    <x v="7"/>
    <s v="Oscar Gonzalez"/>
    <s v="Herramienta PRP"/>
    <s v="NO"/>
    <s v="NO"/>
    <s v="NO"/>
  </r>
  <r>
    <x v="10"/>
    <s v="Gobierno"/>
    <x v="23"/>
    <x v="7"/>
    <s v="Oscar Gonzalez"/>
    <s v="Mensual Estrategia"/>
    <s v="NO"/>
    <s v="NO"/>
    <s v="NO"/>
  </r>
  <r>
    <x v="10"/>
    <s v="Gobierno"/>
    <x v="24"/>
    <x v="6"/>
    <s v="Rene Diaz"/>
    <s v="Semanal"/>
    <s v="NO"/>
    <s v="NO"/>
    <s v="NO"/>
  </r>
  <r>
    <x v="10"/>
    <s v="Gobierno"/>
    <x v="25"/>
    <x v="6"/>
    <s v="Víctor Zapata"/>
    <s v="Semanal"/>
    <s v="NO"/>
    <s v="NO"/>
    <s v="NO"/>
  </r>
  <r>
    <x v="11"/>
    <s v="Fermentación"/>
    <x v="26"/>
    <x v="2"/>
    <s v="Oscar Mejía"/>
    <s v="Prod. Diaria"/>
    <s v="NO"/>
    <s v="NO"/>
    <s v="NO"/>
  </r>
  <r>
    <x v="11"/>
    <s v="Fermentación"/>
    <x v="27"/>
    <x v="2"/>
    <s v="Oscar Codallos"/>
    <s v="Semanal"/>
    <s v="NO"/>
    <s v="NO"/>
    <s v="NO"/>
  </r>
  <r>
    <x v="11"/>
    <s v="Filtración"/>
    <x v="28"/>
    <x v="1"/>
    <s v="Miguel Sanchez/Montelongo"/>
    <s v="PENDIENTE"/>
    <s v="NO"/>
    <s v="NO"/>
    <s v="NO"/>
  </r>
  <r>
    <x v="12"/>
    <m/>
    <x v="8"/>
    <x v="4"/>
    <m/>
    <m/>
    <s v="NO"/>
    <s v="NO"/>
    <s v="NO"/>
  </r>
  <r>
    <x v="13"/>
    <s v="Filtración"/>
    <x v="29"/>
    <x v="1"/>
    <s v="David Alaniz/Ariadnne Torres/José Leandro/Miguel Sanchez/Luis Gutierrez"/>
    <s v="Prod. Diaria"/>
    <s v="NO"/>
    <s v="NO"/>
    <s v="NO"/>
  </r>
  <r>
    <x v="14"/>
    <s v="Filtración"/>
    <x v="30"/>
    <x v="1"/>
    <s v="Topi Curiel/Miguel Sanchez/Luis Gutierrez"/>
    <s v="Prod. Diaria"/>
    <s v="NO"/>
    <s v="NO"/>
    <s v="NO"/>
  </r>
  <r>
    <x v="14"/>
    <s v="Filtración"/>
    <x v="31"/>
    <x v="1"/>
    <s v="Topi Curiel/Miguel Rivera"/>
    <s v="ETO Filtros"/>
    <s v="NO"/>
    <s v="NO"/>
    <s v="NO"/>
  </r>
  <r>
    <x v="15"/>
    <s v="Gobierno"/>
    <x v="32"/>
    <x v="6"/>
    <s v="Carlos Ornedo/David Alaniz"/>
    <s v="Prod. Diaria"/>
    <s v="NO"/>
    <s v="NO"/>
    <s v="NO"/>
  </r>
  <r>
    <x v="15"/>
    <s v="Gobierno"/>
    <x v="33"/>
    <x v="6"/>
    <s v="Rene Diaz"/>
    <s v="Prod. Diaria"/>
    <s v="NO"/>
    <s v="NO"/>
    <s v="NO"/>
  </r>
  <r>
    <x v="16"/>
    <s v="Todos"/>
    <x v="34"/>
    <x v="8"/>
    <s v="Juan José Mejía"/>
    <s v="Prod. Diaria"/>
    <s v="NO"/>
    <s v="NO"/>
    <s v="NO"/>
  </r>
  <r>
    <x v="17"/>
    <s v="Todos"/>
    <x v="35"/>
    <x v="8"/>
    <s v="Ariadnne Torres"/>
    <s v="Prod. Diaria"/>
    <s v="NO"/>
    <s v="NO"/>
    <s v="NO"/>
  </r>
  <r>
    <x v="18"/>
    <s v="Todos"/>
    <x v="36"/>
    <x v="9"/>
    <s v="Benjamín Ramirez"/>
    <s v="Mensual Estrategia"/>
    <s v="NO"/>
    <s v="NO"/>
    <s v="NO"/>
  </r>
  <r>
    <x v="19"/>
    <s v="Todos"/>
    <x v="37"/>
    <x v="10"/>
    <s v="Ivan Rojero"/>
    <s v="Prod. Diaria"/>
    <s v="NO"/>
    <s v="NO"/>
    <s v="NO"/>
  </r>
  <r>
    <x v="20"/>
    <s v="Todos"/>
    <x v="38"/>
    <x v="10"/>
    <s v="Topi Curiel"/>
    <s v="Mensual Estrategia"/>
    <s v="NO"/>
    <s v="NO"/>
    <s v="NO"/>
  </r>
  <r>
    <x v="21"/>
    <s v="Fermentación"/>
    <x v="39"/>
    <x v="2"/>
    <s v="Paola Marín"/>
    <s v="Tablero cambio de Turno"/>
    <s v="NO"/>
    <s v="NO"/>
    <s v="NO"/>
  </r>
  <r>
    <x v="21"/>
    <s v="Filtros/Gobierno"/>
    <x v="40"/>
    <x v="1"/>
    <s v="Topi Curiel"/>
    <s v="Tablero cambio de Turno"/>
    <s v="NO"/>
    <s v="NO"/>
    <s v="NO"/>
  </r>
  <r>
    <x v="22"/>
    <s v="Todos"/>
    <x v="41"/>
    <x v="11"/>
    <s v="Adrián Silva"/>
    <s v="Semanal"/>
    <s v="NO"/>
    <s v="NO"/>
    <s v="NO"/>
  </r>
  <r>
    <x v="23"/>
    <s v="Fermentación"/>
    <x v="42"/>
    <x v="2"/>
    <s v="Guillermo Gonzalez"/>
    <s v="ETO Fermentación"/>
    <s v="NO"/>
    <s v="NO"/>
    <s v="NO"/>
  </r>
  <r>
    <x v="23"/>
    <s v="Filtros"/>
    <x v="43"/>
    <x v="1"/>
    <s v="Ricardo Esparza"/>
    <s v="ETO Filtros"/>
    <s v="NO"/>
    <s v="NO"/>
    <s v="NO"/>
  </r>
  <r>
    <x v="23"/>
    <s v="Gobierno"/>
    <x v="44"/>
    <x v="6"/>
    <s v="Víctor Zapata"/>
    <s v="ETO Gobierno"/>
    <s v="NO"/>
    <s v="NO"/>
    <s v="NO"/>
  </r>
  <r>
    <x v="23"/>
    <s v="Fermentación"/>
    <x v="45"/>
    <x v="2"/>
    <s v="Isaí Solórzano"/>
    <s v="ETO Fermentación"/>
    <s v="NO"/>
    <s v="NO"/>
    <s v="NO"/>
  </r>
  <r>
    <x v="24"/>
    <s v="Todos"/>
    <x v="46"/>
    <x v="12"/>
    <s v="Rodrigo Regalado"/>
    <s v="Mensual Estrategia"/>
    <s v="NO"/>
    <s v="NO"/>
    <s v="NO"/>
  </r>
  <r>
    <x v="25"/>
    <s v="Todos"/>
    <x v="47"/>
    <x v="12"/>
    <s v="Rodrigo Regalado"/>
    <s v="PDCA VIC"/>
    <s v="NO"/>
    <s v="NO"/>
    <s v="NO"/>
  </r>
  <r>
    <x v="25"/>
    <s v="Filtración"/>
    <x v="48"/>
    <x v="11"/>
    <s v="Adrián Silva"/>
    <s v="Semanal"/>
    <s v="NO"/>
    <s v="NO"/>
    <s v="NO"/>
  </r>
  <r>
    <x v="25"/>
    <s v="Filtración"/>
    <x v="49"/>
    <x v="11"/>
    <s v="Adrián Silva"/>
    <s v="Semanal"/>
    <s v="NO"/>
    <s v="NO"/>
    <s v="NO"/>
  </r>
  <r>
    <x v="26"/>
    <s v="Todos"/>
    <x v="50"/>
    <x v="3"/>
    <s v="Sherlyn Perez"/>
    <s v="Mensual Estrategia"/>
    <s v="NO"/>
    <s v="NO"/>
    <s v="NO"/>
  </r>
  <r>
    <x v="26"/>
    <s v="Todos"/>
    <x v="51"/>
    <x v="13"/>
    <s v="Juan José Mejía"/>
    <s v="Mensual Estrategia"/>
    <s v="NO"/>
    <s v="NO"/>
    <s v="NO"/>
  </r>
  <r>
    <x v="26"/>
    <s v="Todos"/>
    <x v="52"/>
    <x v="7"/>
    <s v="Oscar Gonzalez"/>
    <s v="Mensual Estrategia"/>
    <s v="NO"/>
    <s v="NO"/>
    <s v="NO"/>
  </r>
  <r>
    <x v="26"/>
    <s v="Todos"/>
    <x v="53"/>
    <x v="14"/>
    <s v="Juan José Mejía"/>
    <s v="Mensual Estrategia"/>
    <s v="NO"/>
    <s v="NO"/>
    <s v="NO"/>
  </r>
  <r>
    <x v="26"/>
    <s v="Todos"/>
    <x v="54"/>
    <x v="10"/>
    <s v="Ivan Rojero"/>
    <s v="Mensual Estrategia"/>
    <s v="NO"/>
    <s v="NO"/>
    <s v="NO"/>
  </r>
  <r>
    <x v="26"/>
    <s v="Todos"/>
    <x v="55"/>
    <x v="12"/>
    <s v="Rodrigo Regalado"/>
    <s v="Mensual Estrategia"/>
    <s v="NO"/>
    <s v="NO"/>
    <s v="NO"/>
  </r>
  <r>
    <x v="26"/>
    <s v="Todos"/>
    <x v="56"/>
    <x v="15"/>
    <s v="Rodrigo Regalado"/>
    <s v="Mensual Estrategia"/>
    <s v="NO"/>
    <s v="NO"/>
    <s v="NO"/>
  </r>
  <r>
    <x v="27"/>
    <s v="Fermentación"/>
    <x v="57"/>
    <x v="2"/>
    <s v="Oscar Mejía"/>
    <s v="CORE"/>
    <s v="NO"/>
    <s v="NO"/>
    <s v="NO"/>
  </r>
  <r>
    <x v="27"/>
    <s v="Fermentación"/>
    <x v="58"/>
    <x v="2"/>
    <s v="Paola Marín"/>
    <s v="ETO Fermentación"/>
    <s v="NO"/>
    <s v="NO"/>
    <s v="NO"/>
  </r>
  <r>
    <x v="27"/>
    <s v="Fermentación"/>
    <x v="59"/>
    <x v="2"/>
    <s v="Guillermo Gonzalez"/>
    <s v="ETO Fermentación"/>
    <s v="NO"/>
    <s v="NO"/>
    <s v="NO"/>
  </r>
  <r>
    <x v="27"/>
    <s v="Fermentación"/>
    <x v="60"/>
    <x v="2"/>
    <s v="Isaí Solórzano"/>
    <s v="ETO Fermentación (SIC)"/>
    <s v="NO"/>
    <s v="NO"/>
    <s v="NO"/>
  </r>
  <r>
    <x v="27"/>
    <s v="Fermentación"/>
    <x v="61"/>
    <x v="2"/>
    <s v="Llenadores mosto"/>
    <s v="ETO Fermentación"/>
    <s v="NO"/>
    <s v="NO"/>
    <s v="NO"/>
  </r>
  <r>
    <x v="28"/>
    <s v="Levadura"/>
    <x v="62"/>
    <x v="2"/>
    <s v="Ivan Rojero"/>
    <s v="ETO Fermentación"/>
    <s v="NO"/>
    <s v="NO"/>
    <s v="NO"/>
  </r>
  <r>
    <x v="28"/>
    <s v="Levadura"/>
    <x v="63"/>
    <x v="5"/>
    <s v="Oscar Codallos"/>
    <s v="Agenda digital Platos"/>
    <s v="NO"/>
    <s v="NO"/>
    <s v="NO"/>
  </r>
  <r>
    <x v="28"/>
    <s v="Levadura"/>
    <x v="64"/>
    <x v="16"/>
    <s v="Bombero Levadura"/>
    <s v="ETO Levadura"/>
    <s v="NO"/>
    <s v="NO"/>
    <s v="NO"/>
  </r>
  <r>
    <x v="28"/>
    <s v="Levadura"/>
    <x v="65"/>
    <x v="16"/>
    <s v="Bombero Levadura"/>
    <s v="ETO Levadura"/>
    <s v="NO"/>
    <s v="NO"/>
    <s v="NO"/>
  </r>
  <r>
    <x v="29"/>
    <s v="Filtración"/>
    <x v="66"/>
    <x v="1"/>
    <s v="Luis Zapata/José Leandro/Luis Gutierrez"/>
    <s v="ETO Filtros"/>
    <s v="NO"/>
    <s v="NO"/>
    <s v="NO"/>
  </r>
  <r>
    <x v="29"/>
    <s v="Filtración"/>
    <x v="67"/>
    <x v="1"/>
    <s v="Luis Gutierrez"/>
    <s v="Grafana/ETO Filtros"/>
    <s v="NO"/>
    <s v="NO"/>
    <s v="NO"/>
  </r>
  <r>
    <x v="29"/>
    <s v="Filtración"/>
    <x v="68"/>
    <x v="1"/>
    <s v="Luis Gutierrez/Montelongo"/>
    <s v="ETO Filtros"/>
    <s v="NO"/>
    <s v="NO"/>
    <s v="NO"/>
  </r>
  <r>
    <x v="29"/>
    <s v="Filtración"/>
    <x v="69"/>
    <x v="1"/>
    <s v="Topi Curiel/Ricardo Esparza"/>
    <s v="ETO Filtros"/>
    <s v="NO"/>
    <s v="NO"/>
    <s v="NO"/>
  </r>
  <r>
    <x v="29"/>
    <s v="Filtración"/>
    <x v="70"/>
    <x v="17"/>
    <s v="Bombero Cerveza"/>
    <s v="ETO Filtros"/>
    <s v="NO"/>
    <s v="NO"/>
    <s v="NO"/>
  </r>
  <r>
    <x v="29"/>
    <s v="Filtración"/>
    <x v="71"/>
    <x v="17"/>
    <s v="Bombero Cerveza"/>
    <s v="ETO Filtros"/>
    <s v="NO"/>
    <s v="NO"/>
    <s v="NO"/>
  </r>
  <r>
    <x v="29"/>
    <s v="Filtración"/>
    <x v="72"/>
    <x v="18"/>
    <s v="Operador de Tierras"/>
    <s v="ETO Filtros"/>
    <s v="NO"/>
    <s v="NO"/>
    <s v="NO"/>
  </r>
  <r>
    <x v="29"/>
    <s v="Filtración"/>
    <x v="73"/>
    <x v="18"/>
    <s v="Operador de Tierras"/>
    <s v="ETO Filtros"/>
    <s v="NO"/>
    <s v="NO"/>
    <s v="NO"/>
  </r>
  <r>
    <x v="30"/>
    <s v="Gobierno"/>
    <x v="74"/>
    <x v="6"/>
    <s v="David Alaniz"/>
    <s v="Tablero cambio de Turno"/>
    <s v="NO"/>
    <s v="NO"/>
    <s v="NO"/>
  </r>
  <r>
    <x v="30"/>
    <s v="Gobierno"/>
    <x v="75"/>
    <x v="6"/>
    <s v="Carlos Ornedo"/>
    <s v="ETO Gobierno"/>
    <s v="NO"/>
    <s v="NO"/>
    <s v="NO"/>
  </r>
  <r>
    <x v="30"/>
    <s v="Gobierno"/>
    <x v="76"/>
    <x v="6"/>
    <s v="Rene Diaz"/>
    <s v="Grafana"/>
    <s v="NO"/>
    <s v="NO"/>
    <s v="NO"/>
  </r>
  <r>
    <x v="30"/>
    <s v="Gobierno"/>
    <x v="77"/>
    <x v="6"/>
    <s v="Víctor Zapata"/>
    <s v="Braumat/Prod. Diaria"/>
    <s v="NO"/>
    <s v="NO"/>
    <s v="NO"/>
  </r>
  <r>
    <x v="30"/>
    <s v="Gobierno"/>
    <x v="78"/>
    <x v="19"/>
    <s v="Llenadores Gob"/>
    <s v="ETO Gobierno"/>
    <s v="NO"/>
    <s v="NO"/>
    <s v="NO"/>
  </r>
  <r>
    <x v="30"/>
    <s v="Gobierno"/>
    <x v="79"/>
    <x v="19"/>
    <s v="Llenadores Gob"/>
    <s v="ETO Gobierno"/>
    <s v="NO"/>
    <s v="NO"/>
    <s v="NO"/>
  </r>
  <r>
    <x v="30"/>
    <s v="Gobierno"/>
    <x v="80"/>
    <x v="20"/>
    <s v="Vaciadores Gob"/>
    <s v="ETO Gobierno"/>
    <s v="NO"/>
    <s v="NO"/>
    <s v="NO"/>
  </r>
  <r>
    <x v="30"/>
    <s v="Gobierno"/>
    <x v="81"/>
    <x v="20"/>
    <s v="Vaciadores Gob"/>
    <s v="ETO Gobierno"/>
    <s v="NO"/>
    <s v="NO"/>
    <s v="NO"/>
  </r>
  <r>
    <x v="31"/>
    <s v="Blender"/>
    <x v="82"/>
    <x v="21"/>
    <s v="Blenderos"/>
    <s v="Prod. Diaria"/>
    <s v="NO"/>
    <s v="NO"/>
    <s v="NO"/>
  </r>
  <r>
    <x v="31"/>
    <s v="Blender"/>
    <x v="83"/>
    <x v="21"/>
    <s v="Blenderos"/>
    <s v="ETO Blender"/>
    <s v="NO"/>
    <s v="NO"/>
    <s v="NO"/>
  </r>
  <r>
    <x v="32"/>
    <s v="QUAS"/>
    <x v="84"/>
    <x v="22"/>
    <s v="Quasero"/>
    <s v="ETO QUAS"/>
    <s v="NO"/>
    <s v="NO"/>
    <s v="NO"/>
  </r>
  <r>
    <x v="32"/>
    <s v="QUAS"/>
    <x v="85"/>
    <x v="22"/>
    <s v="Quasero"/>
    <s v="ETO QUAS"/>
    <s v="NO"/>
    <s v="NO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65DD6-43EE-4E9D-BF66-BC9505695C6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2" firstHeaderRow="1" firstDataRow="1" firstDataCol="1"/>
  <pivotFields count="9">
    <pivotField axis="axisRow" showAll="0">
      <items count="34">
        <item x="18"/>
        <item sd="0" x="3"/>
        <item x="6"/>
        <item sd="0" x="12"/>
        <item x="19"/>
        <item x="23"/>
        <item x="2"/>
        <item x="1"/>
        <item x="15"/>
        <item x="10"/>
        <item x="13"/>
        <item x="24"/>
        <item x="5"/>
        <item x="7"/>
        <item x="22"/>
        <item x="21"/>
        <item x="4"/>
        <item x="0"/>
        <item x="8"/>
        <item x="17"/>
        <item x="16"/>
        <item x="14"/>
        <item x="31"/>
        <item x="27"/>
        <item x="29"/>
        <item x="30"/>
        <item x="28"/>
        <item x="32"/>
        <item x="9"/>
        <item x="11"/>
        <item x="20"/>
        <item x="25"/>
        <item x="26"/>
        <item t="default"/>
      </items>
    </pivotField>
    <pivotField showAll="0"/>
    <pivotField axis="axisRow" showAll="0">
      <items count="88">
        <item x="82"/>
        <item x="24"/>
        <item x="25"/>
        <item x="47"/>
        <item x="0"/>
        <item x="59"/>
        <item x="36"/>
        <item x="30"/>
        <item x="54"/>
        <item x="52"/>
        <item x="50"/>
        <item m="1" x="86"/>
        <item x="55"/>
        <item x="53"/>
        <item x="51"/>
        <item x="74"/>
        <item x="79"/>
        <item x="81"/>
        <item x="69"/>
        <item x="41"/>
        <item x="44"/>
        <item x="42"/>
        <item x="43"/>
        <item x="49"/>
        <item x="48"/>
        <item x="38"/>
        <item x="12"/>
        <item x="62"/>
        <item x="57"/>
        <item x="58"/>
        <item x="76"/>
        <item x="84"/>
        <item x="31"/>
        <item x="83"/>
        <item x="46"/>
        <item x="5"/>
        <item x="37"/>
        <item x="73"/>
        <item x="72"/>
        <item x="6"/>
        <item x="45"/>
        <item x="60"/>
        <item x="63"/>
        <item x="85"/>
        <item x="75"/>
        <item x="4"/>
        <item x="19"/>
        <item x="20"/>
        <item x="21"/>
        <item x="22"/>
        <item x="39"/>
        <item x="40"/>
        <item x="15"/>
        <item x="14"/>
        <item x="13"/>
        <item x="27"/>
        <item x="29"/>
        <item x="35"/>
        <item x="2"/>
        <item x="1"/>
        <item x="10"/>
        <item x="23"/>
        <item x="7"/>
        <item x="3"/>
        <item x="68"/>
        <item x="34"/>
        <item x="16"/>
        <item x="78"/>
        <item x="80"/>
        <item x="70"/>
        <item x="18"/>
        <item x="17"/>
        <item x="9"/>
        <item x="71"/>
        <item x="26"/>
        <item x="11"/>
        <item x="65"/>
        <item x="32"/>
        <item x="33"/>
        <item x="64"/>
        <item x="77"/>
        <item x="61"/>
        <item x="67"/>
        <item x="28"/>
        <item x="66"/>
        <item x="8"/>
        <item x="56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2">
    <field x="0"/>
    <field x="2"/>
  </rowFields>
  <rowItems count="119">
    <i>
      <x/>
    </i>
    <i r="1">
      <x v="6"/>
    </i>
    <i>
      <x v="1"/>
    </i>
    <i>
      <x v="2"/>
    </i>
    <i r="1">
      <x v="52"/>
    </i>
    <i r="1">
      <x v="53"/>
    </i>
    <i r="1">
      <x v="54"/>
    </i>
    <i>
      <x v="3"/>
    </i>
    <i>
      <x v="4"/>
    </i>
    <i r="1">
      <x v="36"/>
    </i>
    <i>
      <x v="5"/>
    </i>
    <i r="1">
      <x v="20"/>
    </i>
    <i r="1">
      <x v="21"/>
    </i>
    <i r="1">
      <x v="22"/>
    </i>
    <i r="1">
      <x v="40"/>
    </i>
    <i>
      <x v="6"/>
    </i>
    <i r="1">
      <x v="62"/>
    </i>
    <i>
      <x v="7"/>
    </i>
    <i r="1">
      <x v="35"/>
    </i>
    <i r="1">
      <x v="39"/>
    </i>
    <i r="1">
      <x v="45"/>
    </i>
    <i r="1">
      <x v="63"/>
    </i>
    <i>
      <x v="8"/>
    </i>
    <i r="1">
      <x v="77"/>
    </i>
    <i r="1">
      <x v="78"/>
    </i>
    <i>
      <x v="9"/>
    </i>
    <i r="1">
      <x v="1"/>
    </i>
    <i r="1">
      <x v="2"/>
    </i>
    <i r="1">
      <x v="61"/>
    </i>
    <i>
      <x v="10"/>
    </i>
    <i r="1">
      <x v="56"/>
    </i>
    <i>
      <x v="11"/>
    </i>
    <i r="1">
      <x v="34"/>
    </i>
    <i>
      <x v="12"/>
    </i>
    <i r="1">
      <x v="26"/>
    </i>
    <i r="1">
      <x v="60"/>
    </i>
    <i r="1">
      <x v="75"/>
    </i>
    <i>
      <x v="13"/>
    </i>
    <i r="1">
      <x v="66"/>
    </i>
    <i r="1">
      <x v="70"/>
    </i>
    <i r="1">
      <x v="71"/>
    </i>
    <i>
      <x v="14"/>
    </i>
    <i r="1">
      <x v="19"/>
    </i>
    <i>
      <x v="15"/>
    </i>
    <i r="1">
      <x v="50"/>
    </i>
    <i r="1">
      <x v="51"/>
    </i>
    <i>
      <x v="16"/>
    </i>
    <i r="1">
      <x v="72"/>
    </i>
    <i>
      <x v="17"/>
    </i>
    <i r="1">
      <x v="4"/>
    </i>
    <i r="1">
      <x v="58"/>
    </i>
    <i r="1">
      <x v="59"/>
    </i>
    <i>
      <x v="18"/>
    </i>
    <i r="1">
      <x v="46"/>
    </i>
    <i r="1">
      <x v="47"/>
    </i>
    <i r="1">
      <x v="48"/>
    </i>
    <i>
      <x v="19"/>
    </i>
    <i r="1">
      <x v="57"/>
    </i>
    <i>
      <x v="20"/>
    </i>
    <i r="1">
      <x v="65"/>
    </i>
    <i>
      <x v="21"/>
    </i>
    <i r="1">
      <x v="7"/>
    </i>
    <i r="1">
      <x v="32"/>
    </i>
    <i>
      <x v="22"/>
    </i>
    <i r="1">
      <x/>
    </i>
    <i r="1">
      <x v="33"/>
    </i>
    <i>
      <x v="23"/>
    </i>
    <i r="1">
      <x v="5"/>
    </i>
    <i r="1">
      <x v="28"/>
    </i>
    <i r="1">
      <x v="29"/>
    </i>
    <i r="1">
      <x v="41"/>
    </i>
    <i r="1">
      <x v="81"/>
    </i>
    <i>
      <x v="24"/>
    </i>
    <i r="1">
      <x v="18"/>
    </i>
    <i r="1">
      <x v="37"/>
    </i>
    <i r="1">
      <x v="38"/>
    </i>
    <i r="1">
      <x v="64"/>
    </i>
    <i r="1">
      <x v="69"/>
    </i>
    <i r="1">
      <x v="73"/>
    </i>
    <i r="1">
      <x v="82"/>
    </i>
    <i r="1">
      <x v="84"/>
    </i>
    <i>
      <x v="25"/>
    </i>
    <i r="1">
      <x v="15"/>
    </i>
    <i r="1">
      <x v="16"/>
    </i>
    <i r="1">
      <x v="17"/>
    </i>
    <i r="1">
      <x v="30"/>
    </i>
    <i r="1">
      <x v="44"/>
    </i>
    <i r="1">
      <x v="67"/>
    </i>
    <i r="1">
      <x v="68"/>
    </i>
    <i r="1">
      <x v="80"/>
    </i>
    <i>
      <x v="26"/>
    </i>
    <i r="1">
      <x v="27"/>
    </i>
    <i r="1">
      <x v="42"/>
    </i>
    <i r="1">
      <x v="76"/>
    </i>
    <i r="1">
      <x v="79"/>
    </i>
    <i>
      <x v="27"/>
    </i>
    <i r="1">
      <x v="31"/>
    </i>
    <i r="1">
      <x v="43"/>
    </i>
    <i>
      <x v="28"/>
    </i>
    <i r="1">
      <x v="49"/>
    </i>
    <i>
      <x v="29"/>
    </i>
    <i r="1">
      <x v="55"/>
    </i>
    <i r="1">
      <x v="74"/>
    </i>
    <i r="1">
      <x v="83"/>
    </i>
    <i>
      <x v="30"/>
    </i>
    <i r="1">
      <x v="25"/>
    </i>
    <i>
      <x v="31"/>
    </i>
    <i r="1">
      <x v="3"/>
    </i>
    <i r="1">
      <x v="23"/>
    </i>
    <i r="1">
      <x v="24"/>
    </i>
    <i>
      <x v="32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86"/>
    </i>
    <i t="grand">
      <x/>
    </i>
  </rowItems>
  <colItems count="1">
    <i/>
  </colItems>
  <dataFields count="1">
    <dataField name="Cuenta de Asignación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EFA42-67F6-474C-B5BF-AC121657E170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112" firstHeaderRow="1" firstDataRow="1" firstDataCol="1"/>
  <pivotFields count="9">
    <pivotField showAll="0"/>
    <pivotField showAll="0"/>
    <pivotField axis="axisRow" showAll="0">
      <items count="88">
        <item x="82"/>
        <item x="24"/>
        <item x="25"/>
        <item x="47"/>
        <item x="0"/>
        <item x="59"/>
        <item x="36"/>
        <item x="30"/>
        <item x="54"/>
        <item x="52"/>
        <item x="50"/>
        <item m="1" x="86"/>
        <item x="55"/>
        <item x="53"/>
        <item x="51"/>
        <item x="74"/>
        <item x="79"/>
        <item x="81"/>
        <item x="69"/>
        <item x="41"/>
        <item x="44"/>
        <item x="42"/>
        <item x="43"/>
        <item x="49"/>
        <item x="48"/>
        <item x="38"/>
        <item x="12"/>
        <item x="62"/>
        <item x="57"/>
        <item x="58"/>
        <item x="76"/>
        <item x="84"/>
        <item x="31"/>
        <item x="83"/>
        <item x="46"/>
        <item x="5"/>
        <item x="37"/>
        <item x="73"/>
        <item x="72"/>
        <item x="6"/>
        <item x="45"/>
        <item x="60"/>
        <item x="63"/>
        <item x="85"/>
        <item x="75"/>
        <item x="4"/>
        <item x="19"/>
        <item x="20"/>
        <item x="21"/>
        <item x="22"/>
        <item x="39"/>
        <item x="40"/>
        <item x="15"/>
        <item x="14"/>
        <item x="13"/>
        <item x="27"/>
        <item x="29"/>
        <item x="35"/>
        <item x="2"/>
        <item x="1"/>
        <item x="10"/>
        <item x="23"/>
        <item x="7"/>
        <item x="3"/>
        <item x="68"/>
        <item x="34"/>
        <item x="16"/>
        <item x="78"/>
        <item x="80"/>
        <item x="70"/>
        <item x="18"/>
        <item x="17"/>
        <item x="9"/>
        <item x="71"/>
        <item x="26"/>
        <item x="11"/>
        <item x="65"/>
        <item x="32"/>
        <item x="33"/>
        <item x="64"/>
        <item x="77"/>
        <item x="61"/>
        <item x="67"/>
        <item x="28"/>
        <item x="66"/>
        <item x="8"/>
        <item x="56"/>
        <item t="default"/>
      </items>
    </pivotField>
    <pivotField axis="axisRow" showAll="0">
      <items count="24">
        <item x="11"/>
        <item x="21"/>
        <item x="17"/>
        <item x="16"/>
        <item x="10"/>
        <item x="7"/>
        <item x="3"/>
        <item x="15"/>
        <item x="12"/>
        <item x="8"/>
        <item x="13"/>
        <item x="14"/>
        <item x="2"/>
        <item x="1"/>
        <item x="6"/>
        <item x="0"/>
        <item x="19"/>
        <item x="18"/>
        <item x="9"/>
        <item x="5"/>
        <item x="22"/>
        <item x="20"/>
        <item sd="0" x="4"/>
        <item t="default"/>
      </items>
    </pivotField>
    <pivotField dataField="1" showAll="0"/>
    <pivotField showAll="0"/>
    <pivotField showAll="0"/>
    <pivotField showAll="0"/>
    <pivotField showAll="0"/>
  </pivotFields>
  <rowFields count="2">
    <field x="3"/>
    <field x="2"/>
  </rowFields>
  <rowItems count="109">
    <i>
      <x/>
    </i>
    <i r="1">
      <x v="19"/>
    </i>
    <i r="1">
      <x v="23"/>
    </i>
    <i r="1">
      <x v="24"/>
    </i>
    <i>
      <x v="1"/>
    </i>
    <i r="1">
      <x/>
    </i>
    <i r="1">
      <x v="33"/>
    </i>
    <i>
      <x v="2"/>
    </i>
    <i r="1">
      <x v="69"/>
    </i>
    <i r="1">
      <x v="73"/>
    </i>
    <i>
      <x v="3"/>
    </i>
    <i r="1">
      <x v="76"/>
    </i>
    <i r="1">
      <x v="79"/>
    </i>
    <i>
      <x v="4"/>
    </i>
    <i r="1">
      <x v="8"/>
    </i>
    <i r="1">
      <x v="25"/>
    </i>
    <i r="1">
      <x v="36"/>
    </i>
    <i>
      <x v="5"/>
    </i>
    <i r="1">
      <x v="9"/>
    </i>
    <i r="1">
      <x v="48"/>
    </i>
    <i r="1">
      <x v="49"/>
    </i>
    <i r="1">
      <x v="61"/>
    </i>
    <i>
      <x v="6"/>
    </i>
    <i r="1">
      <x v="10"/>
    </i>
    <i r="1">
      <x v="35"/>
    </i>
    <i r="1">
      <x v="39"/>
    </i>
    <i r="1">
      <x v="62"/>
    </i>
    <i>
      <x v="7"/>
    </i>
    <i r="1">
      <x v="86"/>
    </i>
    <i>
      <x v="8"/>
    </i>
    <i r="1">
      <x v="3"/>
    </i>
    <i r="1">
      <x v="12"/>
    </i>
    <i r="1">
      <x v="34"/>
    </i>
    <i>
      <x v="9"/>
    </i>
    <i r="1">
      <x v="57"/>
    </i>
    <i r="1">
      <x v="65"/>
    </i>
    <i>
      <x v="10"/>
    </i>
    <i r="1">
      <x v="14"/>
    </i>
    <i>
      <x v="11"/>
    </i>
    <i r="1">
      <x v="13"/>
    </i>
    <i>
      <x v="12"/>
    </i>
    <i r="1">
      <x v="5"/>
    </i>
    <i r="1">
      <x v="21"/>
    </i>
    <i r="1">
      <x v="26"/>
    </i>
    <i r="1">
      <x v="27"/>
    </i>
    <i r="1">
      <x v="28"/>
    </i>
    <i r="1">
      <x v="29"/>
    </i>
    <i r="1">
      <x v="40"/>
    </i>
    <i r="1">
      <x v="41"/>
    </i>
    <i r="1">
      <x v="46"/>
    </i>
    <i r="1">
      <x v="50"/>
    </i>
    <i r="1">
      <x v="54"/>
    </i>
    <i r="1">
      <x v="55"/>
    </i>
    <i r="1">
      <x v="58"/>
    </i>
    <i r="1">
      <x v="66"/>
    </i>
    <i r="1">
      <x v="74"/>
    </i>
    <i r="1">
      <x v="75"/>
    </i>
    <i r="1">
      <x v="81"/>
    </i>
    <i>
      <x v="13"/>
    </i>
    <i r="1">
      <x v="7"/>
    </i>
    <i r="1">
      <x v="18"/>
    </i>
    <i r="1">
      <x v="22"/>
    </i>
    <i r="1">
      <x v="32"/>
    </i>
    <i r="1">
      <x v="51"/>
    </i>
    <i r="1">
      <x v="52"/>
    </i>
    <i r="1">
      <x v="53"/>
    </i>
    <i r="1">
      <x v="56"/>
    </i>
    <i r="1">
      <x v="59"/>
    </i>
    <i r="1">
      <x v="64"/>
    </i>
    <i r="1">
      <x v="71"/>
    </i>
    <i r="1">
      <x v="72"/>
    </i>
    <i r="1">
      <x v="82"/>
    </i>
    <i r="1">
      <x v="83"/>
    </i>
    <i r="1">
      <x v="84"/>
    </i>
    <i>
      <x v="14"/>
    </i>
    <i r="1">
      <x v="1"/>
    </i>
    <i r="1">
      <x v="2"/>
    </i>
    <i r="1">
      <x v="15"/>
    </i>
    <i r="1">
      <x v="20"/>
    </i>
    <i r="1">
      <x v="30"/>
    </i>
    <i r="1">
      <x v="44"/>
    </i>
    <i r="1">
      <x v="47"/>
    </i>
    <i r="1">
      <x v="70"/>
    </i>
    <i r="1">
      <x v="77"/>
    </i>
    <i r="1">
      <x v="78"/>
    </i>
    <i r="1">
      <x v="80"/>
    </i>
    <i>
      <x v="15"/>
    </i>
    <i r="1">
      <x v="4"/>
    </i>
    <i r="1">
      <x v="45"/>
    </i>
    <i r="1">
      <x v="63"/>
    </i>
    <i>
      <x v="16"/>
    </i>
    <i r="1">
      <x v="16"/>
    </i>
    <i r="1">
      <x v="67"/>
    </i>
    <i>
      <x v="17"/>
    </i>
    <i r="1">
      <x v="37"/>
    </i>
    <i r="1">
      <x v="38"/>
    </i>
    <i>
      <x v="18"/>
    </i>
    <i r="1">
      <x v="6"/>
    </i>
    <i>
      <x v="19"/>
    </i>
    <i r="1">
      <x v="42"/>
    </i>
    <i r="1">
      <x v="60"/>
    </i>
    <i>
      <x v="20"/>
    </i>
    <i r="1">
      <x v="31"/>
    </i>
    <i r="1">
      <x v="43"/>
    </i>
    <i>
      <x v="21"/>
    </i>
    <i r="1">
      <x v="17"/>
    </i>
    <i r="1">
      <x v="68"/>
    </i>
    <i>
      <x v="22"/>
    </i>
    <i t="grand">
      <x/>
    </i>
  </rowItems>
  <colItems count="1">
    <i/>
  </colItems>
  <dataFields count="1">
    <dataField name="Cuenta de Asignación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1" dT="2026-08-04T13:34:29.82" personId="{178C758F-D70C-4FFD-81BC-2D2A4A77AEC4}" id="{74C8F4E4-EFE9-49EB-AB6C-44175D747D59}">
    <text>Menos de 9 x persona para que no pasen a triples</text>
  </threadedComment>
  <threadedComment ref="L18" dT="2026-08-04T13:40:07.17" personId="{178C758F-D70C-4FFD-81BC-2D2A4A77AEC4}" id="{E7F0B9AF-34AD-44FC-9566-6928E10CD73D}">
    <text>Por turno</text>
  </threadedComment>
  <threadedComment ref="L19" dT="2026-08-04T13:40:14.73" personId="{178C758F-D70C-4FFD-81BC-2D2A4A77AEC4}" id="{436DA841-8E21-447E-8E38-DEED9DC9E345}">
    <text>Por turno</text>
  </threadedComment>
  <threadedComment ref="L20" dT="2026-08-04T13:40:19.65" personId="{178C758F-D70C-4FFD-81BC-2D2A4A77AEC4}" id="{C1BBEC09-D1B1-4C76-AE54-8E475AC8D5F4}">
    <text>Por turno</text>
  </threadedComment>
  <threadedComment ref="K32" dT="2026-08-04T13:42:20.17" personId="{178C758F-D70C-4FFD-81BC-2D2A4A77AEC4}" id="{6C6D359D-B01A-40B1-B5EC-87122DA94828}">
    <text>Filtros 9 &amp; 10: 12,000hl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3" dT="2026-08-03T20:52:52.93" personId="{178C758F-D70C-4FFD-81BC-2D2A4A77AEC4}" id="{3CD2E9A0-D3B7-4BFA-9804-6CAFE6B9D217}">
    <text>Asegurar que si un TCC ya vació, o no se va a filtrar, que no esté conectado a CO2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0052-AD2D-4777-9D27-7C6666EC9A56}">
  <dimension ref="A2:Y90"/>
  <sheetViews>
    <sheetView tabSelected="1" zoomScale="85" zoomScaleNormal="85" workbookViewId="0">
      <pane xSplit="5" ySplit="3" topLeftCell="H9" activePane="bottomRight" state="frozen"/>
      <selection pane="topRight" activeCell="F1" sqref="F1"/>
      <selection pane="bottomLeft" activeCell="A4" sqref="A4"/>
      <selection pane="bottomRight" activeCell="C88" sqref="C88"/>
    </sheetView>
  </sheetViews>
  <sheetFormatPr baseColWidth="10" defaultColWidth="11.42578125" defaultRowHeight="15" x14ac:dyDescent="0.25"/>
  <cols>
    <col min="1" max="1" width="32.28515625" bestFit="1" customWidth="1"/>
    <col min="2" max="2" width="13.85546875" bestFit="1" customWidth="1"/>
    <col min="3" max="3" width="45.140625" style="8" bestFit="1" customWidth="1"/>
    <col min="4" max="5" width="24.85546875" customWidth="1"/>
    <col min="6" max="6" width="20.5703125" bestFit="1" customWidth="1"/>
    <col min="7" max="8" width="15.140625" bestFit="1" customWidth="1"/>
    <col min="10" max="12" width="11.42578125" style="18"/>
    <col min="13" max="13" width="22.28515625" bestFit="1" customWidth="1"/>
  </cols>
  <sheetData>
    <row r="2" spans="1:25" ht="15.75" thickBot="1" x14ac:dyDescent="0.3">
      <c r="M2" t="s">
        <v>0</v>
      </c>
    </row>
    <row r="3" spans="1:25" x14ac:dyDescent="0.25">
      <c r="A3" s="1" t="s">
        <v>1</v>
      </c>
      <c r="B3" s="1" t="s">
        <v>2</v>
      </c>
      <c r="C3" s="6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7" t="s">
        <v>10</v>
      </c>
      <c r="K3" s="17" t="s">
        <v>11</v>
      </c>
      <c r="L3" s="17" t="s">
        <v>12</v>
      </c>
      <c r="M3" s="1" t="s">
        <v>13</v>
      </c>
      <c r="N3" s="17" t="s">
        <v>14</v>
      </c>
      <c r="X3" s="11" t="s">
        <v>15</v>
      </c>
      <c r="Y3" s="12" t="s">
        <v>16</v>
      </c>
    </row>
    <row r="4" spans="1:25" s="2" customFormat="1" x14ac:dyDescent="0.25">
      <c r="A4" s="4" t="s">
        <v>17</v>
      </c>
      <c r="B4" s="2" t="s">
        <v>18</v>
      </c>
      <c r="C4" s="7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23</v>
      </c>
      <c r="I4" s="2" t="s">
        <v>23</v>
      </c>
      <c r="J4" s="18"/>
      <c r="K4" s="19">
        <v>1</v>
      </c>
      <c r="L4" s="18"/>
      <c r="M4" s="2" t="s">
        <v>24</v>
      </c>
      <c r="N4" s="2" t="s">
        <v>25</v>
      </c>
      <c r="X4" s="13" t="s">
        <v>26</v>
      </c>
      <c r="Y4" s="14">
        <f t="shared" ref="Y4:Y23" si="0">COUNTIF($D$4:$D$90,X4)</f>
        <v>15</v>
      </c>
    </row>
    <row r="5" spans="1:25" s="2" customFormat="1" x14ac:dyDescent="0.25">
      <c r="A5" s="4" t="s">
        <v>17</v>
      </c>
      <c r="B5" s="2" t="s">
        <v>27</v>
      </c>
      <c r="C5" s="7" t="s">
        <v>28</v>
      </c>
      <c r="D5" s="2" t="s">
        <v>26</v>
      </c>
      <c r="E5" s="2" t="s">
        <v>29</v>
      </c>
      <c r="F5" s="2" t="s">
        <v>30</v>
      </c>
      <c r="G5" s="2" t="s">
        <v>23</v>
      </c>
      <c r="H5" s="2" t="s">
        <v>23</v>
      </c>
      <c r="I5" s="2" t="s">
        <v>23</v>
      </c>
      <c r="J5" s="18"/>
      <c r="K5" s="18">
        <v>300</v>
      </c>
      <c r="L5" s="18">
        <v>500</v>
      </c>
      <c r="M5" s="2" t="s">
        <v>24</v>
      </c>
      <c r="N5" s="2" t="s">
        <v>31</v>
      </c>
      <c r="X5" s="13" t="s">
        <v>32</v>
      </c>
      <c r="Y5" s="14">
        <f t="shared" si="0"/>
        <v>17</v>
      </c>
    </row>
    <row r="6" spans="1:25" s="2" customFormat="1" x14ac:dyDescent="0.25">
      <c r="A6" s="4" t="s">
        <v>17</v>
      </c>
      <c r="B6" s="2" t="s">
        <v>33</v>
      </c>
      <c r="C6" s="7" t="s">
        <v>34</v>
      </c>
      <c r="D6" s="2" t="s">
        <v>32</v>
      </c>
      <c r="E6" s="2" t="s">
        <v>35</v>
      </c>
      <c r="F6" s="2" t="s">
        <v>36</v>
      </c>
      <c r="G6" s="2" t="s">
        <v>23</v>
      </c>
      <c r="H6" s="2" t="s">
        <v>23</v>
      </c>
      <c r="I6" s="2" t="s">
        <v>23</v>
      </c>
      <c r="J6" s="18"/>
      <c r="K6" s="18">
        <v>300</v>
      </c>
      <c r="L6" s="18">
        <v>500</v>
      </c>
      <c r="M6" s="2" t="s">
        <v>24</v>
      </c>
      <c r="N6" s="2" t="s">
        <v>31</v>
      </c>
      <c r="X6" s="13" t="s">
        <v>37</v>
      </c>
      <c r="Y6" s="14">
        <f t="shared" si="0"/>
        <v>11</v>
      </c>
    </row>
    <row r="7" spans="1:25" x14ac:dyDescent="0.25">
      <c r="A7" s="3" t="s">
        <v>38</v>
      </c>
      <c r="B7" t="s">
        <v>18</v>
      </c>
      <c r="C7" s="8" t="s">
        <v>39</v>
      </c>
      <c r="D7" t="s">
        <v>20</v>
      </c>
      <c r="E7" s="2" t="s">
        <v>20</v>
      </c>
      <c r="F7" t="s">
        <v>40</v>
      </c>
      <c r="G7" t="s">
        <v>23</v>
      </c>
      <c r="H7" t="s">
        <v>23</v>
      </c>
      <c r="I7" t="s">
        <v>23</v>
      </c>
      <c r="K7" s="19">
        <v>0.35</v>
      </c>
      <c r="M7" s="2" t="s">
        <v>41</v>
      </c>
      <c r="N7" s="2" t="s">
        <v>25</v>
      </c>
      <c r="X7" s="13" t="s">
        <v>42</v>
      </c>
      <c r="Y7" s="14">
        <f t="shared" si="0"/>
        <v>4</v>
      </c>
    </row>
    <row r="8" spans="1:25" x14ac:dyDescent="0.25">
      <c r="A8" s="3" t="s">
        <v>38</v>
      </c>
      <c r="B8" s="2" t="s">
        <v>18</v>
      </c>
      <c r="C8" s="8" t="s">
        <v>43</v>
      </c>
      <c r="D8" s="2" t="s">
        <v>20</v>
      </c>
      <c r="E8" s="2" t="s">
        <v>20</v>
      </c>
      <c r="F8" s="2" t="s">
        <v>44</v>
      </c>
      <c r="G8" t="s">
        <v>23</v>
      </c>
      <c r="H8" t="s">
        <v>23</v>
      </c>
      <c r="I8" t="s">
        <v>23</v>
      </c>
      <c r="K8" s="19">
        <v>1</v>
      </c>
      <c r="M8" s="2" t="s">
        <v>41</v>
      </c>
      <c r="N8" s="2" t="s">
        <v>25</v>
      </c>
      <c r="X8" s="13" t="s">
        <v>45</v>
      </c>
      <c r="Y8" s="14">
        <f t="shared" si="0"/>
        <v>3</v>
      </c>
    </row>
    <row r="9" spans="1:25" x14ac:dyDescent="0.25">
      <c r="A9" s="3" t="s">
        <v>38</v>
      </c>
      <c r="B9" s="2" t="s">
        <v>18</v>
      </c>
      <c r="C9" s="8" t="s">
        <v>46</v>
      </c>
      <c r="D9" s="2" t="s">
        <v>47</v>
      </c>
      <c r="E9" s="2" t="s">
        <v>48</v>
      </c>
      <c r="F9" s="2" t="s">
        <v>44</v>
      </c>
      <c r="G9" t="s">
        <v>23</v>
      </c>
      <c r="H9" t="s">
        <v>23</v>
      </c>
      <c r="I9" t="s">
        <v>23</v>
      </c>
      <c r="K9" s="19">
        <v>1</v>
      </c>
      <c r="M9" s="2" t="s">
        <v>24</v>
      </c>
      <c r="N9" s="2" t="s">
        <v>31</v>
      </c>
      <c r="X9" s="13" t="s">
        <v>20</v>
      </c>
      <c r="Y9" s="14">
        <f t="shared" si="0"/>
        <v>3</v>
      </c>
    </row>
    <row r="10" spans="1:25" x14ac:dyDescent="0.25">
      <c r="A10" s="3" t="s">
        <v>38</v>
      </c>
      <c r="B10" s="2" t="s">
        <v>18</v>
      </c>
      <c r="C10" s="8" t="s">
        <v>49</v>
      </c>
      <c r="D10" s="2" t="s">
        <v>47</v>
      </c>
      <c r="E10" s="2" t="s">
        <v>50</v>
      </c>
      <c r="F10" s="2" t="s">
        <v>44</v>
      </c>
      <c r="G10" t="s">
        <v>23</v>
      </c>
      <c r="H10" t="s">
        <v>23</v>
      </c>
      <c r="I10" t="s">
        <v>23</v>
      </c>
      <c r="K10" s="19">
        <v>1</v>
      </c>
      <c r="M10" s="2" t="s">
        <v>24</v>
      </c>
      <c r="N10" s="2" t="s">
        <v>31</v>
      </c>
      <c r="X10" s="13" t="s">
        <v>51</v>
      </c>
      <c r="Y10" s="14">
        <f t="shared" si="0"/>
        <v>3</v>
      </c>
    </row>
    <row r="11" spans="1:25" x14ac:dyDescent="0.25">
      <c r="A11" t="s">
        <v>52</v>
      </c>
      <c r="B11" t="s">
        <v>18</v>
      </c>
      <c r="C11" s="8" t="s">
        <v>53</v>
      </c>
      <c r="D11" t="s">
        <v>47</v>
      </c>
      <c r="E11" t="s">
        <v>50</v>
      </c>
      <c r="F11" t="s">
        <v>40</v>
      </c>
      <c r="G11" t="s">
        <v>23</v>
      </c>
      <c r="H11" t="s">
        <v>23</v>
      </c>
      <c r="I11" t="s">
        <v>23</v>
      </c>
      <c r="L11" s="18">
        <v>9</v>
      </c>
      <c r="M11" s="2" t="s">
        <v>24</v>
      </c>
      <c r="N11" s="2" t="s">
        <v>31</v>
      </c>
      <c r="X11" s="13" t="s">
        <v>54</v>
      </c>
      <c r="Y11" s="14">
        <f t="shared" si="0"/>
        <v>3</v>
      </c>
    </row>
    <row r="12" spans="1:25" x14ac:dyDescent="0.25">
      <c r="A12" s="3" t="s">
        <v>55</v>
      </c>
      <c r="X12" s="13" t="s">
        <v>47</v>
      </c>
      <c r="Y12" s="14">
        <f t="shared" si="0"/>
        <v>4</v>
      </c>
    </row>
    <row r="13" spans="1:25" x14ac:dyDescent="0.25">
      <c r="A13" s="3" t="s">
        <v>56</v>
      </c>
      <c r="B13" t="s">
        <v>27</v>
      </c>
      <c r="C13" s="8" t="s">
        <v>57</v>
      </c>
      <c r="D13" t="s">
        <v>26</v>
      </c>
      <c r="E13" t="s">
        <v>58</v>
      </c>
      <c r="F13" t="s">
        <v>59</v>
      </c>
      <c r="G13" t="s">
        <v>23</v>
      </c>
      <c r="H13" t="s">
        <v>23</v>
      </c>
      <c r="I13" t="s">
        <v>23</v>
      </c>
      <c r="J13" s="18">
        <v>45</v>
      </c>
      <c r="K13" s="18">
        <v>62</v>
      </c>
      <c r="L13" s="18">
        <v>79</v>
      </c>
      <c r="M13" s="2" t="s">
        <v>60</v>
      </c>
      <c r="N13" s="2" t="s">
        <v>31</v>
      </c>
      <c r="X13" s="13" t="s">
        <v>61</v>
      </c>
      <c r="Y13" s="14">
        <f t="shared" si="0"/>
        <v>2</v>
      </c>
    </row>
    <row r="14" spans="1:25" x14ac:dyDescent="0.25">
      <c r="A14" t="s">
        <v>62</v>
      </c>
      <c r="B14" t="s">
        <v>33</v>
      </c>
      <c r="C14" s="8" t="s">
        <v>63</v>
      </c>
      <c r="D14" t="s">
        <v>61</v>
      </c>
      <c r="E14" t="s">
        <v>64</v>
      </c>
      <c r="F14" t="s">
        <v>65</v>
      </c>
      <c r="G14" t="s">
        <v>23</v>
      </c>
      <c r="H14" t="s">
        <v>23</v>
      </c>
      <c r="I14" t="s">
        <v>23</v>
      </c>
      <c r="J14" s="19">
        <v>0.95</v>
      </c>
      <c r="K14" s="19">
        <v>1</v>
      </c>
      <c r="M14" s="2" t="s">
        <v>60</v>
      </c>
      <c r="N14" s="2" t="s">
        <v>25</v>
      </c>
      <c r="X14" s="13" t="s">
        <v>66</v>
      </c>
      <c r="Y14" s="14">
        <f t="shared" si="0"/>
        <v>2</v>
      </c>
    </row>
    <row r="15" spans="1:25" x14ac:dyDescent="0.25">
      <c r="A15" t="s">
        <v>62</v>
      </c>
      <c r="B15" t="s">
        <v>33</v>
      </c>
      <c r="C15" s="8" t="s">
        <v>67</v>
      </c>
      <c r="D15" t="s">
        <v>32</v>
      </c>
      <c r="E15" t="s">
        <v>68</v>
      </c>
      <c r="F15" t="s">
        <v>65</v>
      </c>
      <c r="G15" t="s">
        <v>23</v>
      </c>
      <c r="H15" t="s">
        <v>23</v>
      </c>
      <c r="I15" t="s">
        <v>23</v>
      </c>
      <c r="J15" s="19">
        <v>0.95</v>
      </c>
      <c r="K15" s="19">
        <v>1</v>
      </c>
      <c r="M15" s="2" t="s">
        <v>60</v>
      </c>
      <c r="N15" s="2" t="s">
        <v>31</v>
      </c>
      <c r="X15" s="13" t="s">
        <v>69</v>
      </c>
      <c r="Y15" s="14">
        <f t="shared" si="0"/>
        <v>2</v>
      </c>
    </row>
    <row r="16" spans="1:25" x14ac:dyDescent="0.25">
      <c r="A16" t="s">
        <v>62</v>
      </c>
      <c r="B16" t="s">
        <v>33</v>
      </c>
      <c r="C16" s="8" t="s">
        <v>70</v>
      </c>
      <c r="D16" t="s">
        <v>32</v>
      </c>
      <c r="E16" t="s">
        <v>71</v>
      </c>
      <c r="F16" t="s">
        <v>65</v>
      </c>
      <c r="G16" t="s">
        <v>23</v>
      </c>
      <c r="H16" t="s">
        <v>23</v>
      </c>
      <c r="I16" t="s">
        <v>23</v>
      </c>
      <c r="J16" s="19">
        <v>0.95</v>
      </c>
      <c r="K16" s="19">
        <v>1</v>
      </c>
      <c r="M16" s="2" t="s">
        <v>60</v>
      </c>
      <c r="N16" s="2" t="s">
        <v>31</v>
      </c>
      <c r="X16" s="13" t="s">
        <v>72</v>
      </c>
      <c r="Y16" s="14">
        <f t="shared" si="0"/>
        <v>2</v>
      </c>
    </row>
    <row r="17" spans="1:25" x14ac:dyDescent="0.25">
      <c r="A17" t="s">
        <v>73</v>
      </c>
      <c r="B17" t="s">
        <v>33</v>
      </c>
      <c r="C17" s="8" t="s">
        <v>74</v>
      </c>
      <c r="D17" t="s">
        <v>32</v>
      </c>
      <c r="E17" t="s">
        <v>64</v>
      </c>
      <c r="F17" t="s">
        <v>65</v>
      </c>
      <c r="G17" t="s">
        <v>23</v>
      </c>
      <c r="H17" t="s">
        <v>23</v>
      </c>
      <c r="I17" t="s">
        <v>23</v>
      </c>
      <c r="J17" s="19">
        <v>0.95</v>
      </c>
      <c r="K17" s="19">
        <v>1</v>
      </c>
      <c r="M17" s="2" t="s">
        <v>60</v>
      </c>
      <c r="N17" s="2" t="s">
        <v>25</v>
      </c>
      <c r="X17" s="13" t="s">
        <v>75</v>
      </c>
      <c r="Y17" s="14">
        <f t="shared" si="0"/>
        <v>0</v>
      </c>
    </row>
    <row r="18" spans="1:25" x14ac:dyDescent="0.25">
      <c r="A18" t="s">
        <v>73</v>
      </c>
      <c r="B18" t="s">
        <v>76</v>
      </c>
      <c r="C18" s="8" t="s">
        <v>77</v>
      </c>
      <c r="D18" t="s">
        <v>26</v>
      </c>
      <c r="E18" t="s">
        <v>78</v>
      </c>
      <c r="F18" t="s">
        <v>65</v>
      </c>
      <c r="G18" t="s">
        <v>23</v>
      </c>
      <c r="H18" t="s">
        <v>23</v>
      </c>
      <c r="I18" t="s">
        <v>23</v>
      </c>
      <c r="K18" s="18">
        <v>0</v>
      </c>
      <c r="L18" s="18">
        <v>3</v>
      </c>
      <c r="M18" s="2" t="s">
        <v>24</v>
      </c>
      <c r="N18" s="2" t="s">
        <v>31</v>
      </c>
      <c r="X18" s="13" t="s">
        <v>79</v>
      </c>
      <c r="Y18" s="14">
        <f t="shared" si="0"/>
        <v>2</v>
      </c>
    </row>
    <row r="19" spans="1:25" x14ac:dyDescent="0.25">
      <c r="A19" t="s">
        <v>73</v>
      </c>
      <c r="B19" t="s">
        <v>76</v>
      </c>
      <c r="C19" s="8" t="s">
        <v>80</v>
      </c>
      <c r="D19" t="s">
        <v>26</v>
      </c>
      <c r="E19" t="s">
        <v>81</v>
      </c>
      <c r="F19" t="s">
        <v>65</v>
      </c>
      <c r="G19" t="s">
        <v>23</v>
      </c>
      <c r="H19" t="s">
        <v>23</v>
      </c>
      <c r="I19" t="s">
        <v>23</v>
      </c>
      <c r="K19" s="18">
        <v>0</v>
      </c>
      <c r="L19" s="18">
        <v>3</v>
      </c>
      <c r="M19" s="2" t="s">
        <v>24</v>
      </c>
      <c r="N19" s="2" t="s">
        <v>31</v>
      </c>
      <c r="X19" s="13" t="s">
        <v>82</v>
      </c>
      <c r="Y19" s="14">
        <f t="shared" si="0"/>
        <v>1</v>
      </c>
    </row>
    <row r="20" spans="1:25" x14ac:dyDescent="0.25">
      <c r="A20" t="s">
        <v>83</v>
      </c>
      <c r="B20" t="s">
        <v>33</v>
      </c>
      <c r="C20" s="8" t="s">
        <v>84</v>
      </c>
      <c r="D20" t="s">
        <v>32</v>
      </c>
      <c r="E20" t="s">
        <v>85</v>
      </c>
      <c r="F20" t="s">
        <v>86</v>
      </c>
      <c r="G20" t="s">
        <v>23</v>
      </c>
      <c r="H20" t="s">
        <v>23</v>
      </c>
      <c r="I20" t="s">
        <v>23</v>
      </c>
      <c r="K20" s="20">
        <v>0</v>
      </c>
      <c r="L20" s="18">
        <v>1</v>
      </c>
      <c r="M20" s="2" t="s">
        <v>24</v>
      </c>
      <c r="N20" s="2" t="s">
        <v>31</v>
      </c>
      <c r="X20" s="13" t="s">
        <v>87</v>
      </c>
      <c r="Y20" s="14">
        <f t="shared" si="0"/>
        <v>1</v>
      </c>
    </row>
    <row r="21" spans="1:25" x14ac:dyDescent="0.25">
      <c r="A21" t="s">
        <v>83</v>
      </c>
      <c r="B21" t="s">
        <v>27</v>
      </c>
      <c r="C21" s="8" t="s">
        <v>88</v>
      </c>
      <c r="D21" t="s">
        <v>26</v>
      </c>
      <c r="E21" t="s">
        <v>48</v>
      </c>
      <c r="F21" t="s">
        <v>65</v>
      </c>
      <c r="G21" t="s">
        <v>23</v>
      </c>
      <c r="H21" t="s">
        <v>23</v>
      </c>
      <c r="I21" t="s">
        <v>23</v>
      </c>
      <c r="K21" s="20">
        <v>10</v>
      </c>
      <c r="L21" s="18">
        <v>15</v>
      </c>
      <c r="M21" s="2" t="s">
        <v>24</v>
      </c>
      <c r="N21" s="2" t="s">
        <v>25</v>
      </c>
      <c r="X21" s="13" t="s">
        <v>89</v>
      </c>
      <c r="Y21" s="14">
        <f t="shared" si="0"/>
        <v>0</v>
      </c>
    </row>
    <row r="22" spans="1:25" x14ac:dyDescent="0.25">
      <c r="A22" t="s">
        <v>83</v>
      </c>
      <c r="B22" t="s">
        <v>76</v>
      </c>
      <c r="C22" s="8" t="s">
        <v>90</v>
      </c>
      <c r="D22" t="s">
        <v>37</v>
      </c>
      <c r="E22" t="s">
        <v>91</v>
      </c>
      <c r="F22" t="s">
        <v>65</v>
      </c>
      <c r="G22" t="s">
        <v>23</v>
      </c>
      <c r="H22" t="s">
        <v>23</v>
      </c>
      <c r="I22" t="s">
        <v>23</v>
      </c>
      <c r="K22" s="20">
        <v>15</v>
      </c>
      <c r="L22" s="18">
        <v>18</v>
      </c>
      <c r="M22" s="2" t="s">
        <v>24</v>
      </c>
      <c r="N22" s="2" t="s">
        <v>31</v>
      </c>
      <c r="X22" s="13" t="s">
        <v>92</v>
      </c>
      <c r="Y22" s="14">
        <f t="shared" si="0"/>
        <v>1</v>
      </c>
    </row>
    <row r="23" spans="1:25" ht="31.5" customHeight="1" thickBot="1" x14ac:dyDescent="0.3">
      <c r="A23" s="3" t="s">
        <v>93</v>
      </c>
      <c r="B23" t="s">
        <v>33</v>
      </c>
      <c r="C23" s="8" t="s">
        <v>94</v>
      </c>
      <c r="D23" t="s">
        <v>32</v>
      </c>
      <c r="E23" t="s">
        <v>64</v>
      </c>
      <c r="F23" t="s">
        <v>40</v>
      </c>
      <c r="G23" t="s">
        <v>23</v>
      </c>
      <c r="H23" t="s">
        <v>23</v>
      </c>
      <c r="I23" t="s">
        <v>23</v>
      </c>
      <c r="K23" s="19">
        <v>1</v>
      </c>
      <c r="M23" s="2" t="s">
        <v>24</v>
      </c>
      <c r="N23" s="2" t="s">
        <v>25</v>
      </c>
      <c r="X23" s="15">
        <v>0</v>
      </c>
      <c r="Y23" s="16">
        <f t="shared" si="0"/>
        <v>0</v>
      </c>
    </row>
    <row r="24" spans="1:25" ht="30" x14ac:dyDescent="0.25">
      <c r="A24" s="3" t="s">
        <v>93</v>
      </c>
      <c r="B24" t="s">
        <v>76</v>
      </c>
      <c r="C24" s="8" t="s">
        <v>95</v>
      </c>
      <c r="D24" t="s">
        <v>37</v>
      </c>
      <c r="E24" t="s">
        <v>96</v>
      </c>
      <c r="F24" t="s">
        <v>40</v>
      </c>
      <c r="G24" t="s">
        <v>23</v>
      </c>
      <c r="H24" t="s">
        <v>23</v>
      </c>
      <c r="I24" t="s">
        <v>23</v>
      </c>
      <c r="K24" s="19">
        <v>1</v>
      </c>
      <c r="M24" s="2" t="s">
        <v>24</v>
      </c>
      <c r="N24" s="2" t="s">
        <v>25</v>
      </c>
    </row>
    <row r="25" spans="1:25" x14ac:dyDescent="0.25">
      <c r="A25" s="3" t="s">
        <v>93</v>
      </c>
      <c r="B25" t="s">
        <v>97</v>
      </c>
      <c r="C25" s="8" t="s">
        <v>98</v>
      </c>
      <c r="D25" t="s">
        <v>42</v>
      </c>
      <c r="E25" t="s">
        <v>96</v>
      </c>
      <c r="F25" t="s">
        <v>99</v>
      </c>
      <c r="G25" t="s">
        <v>23</v>
      </c>
      <c r="H25" t="s">
        <v>23</v>
      </c>
      <c r="I25" t="s">
        <v>23</v>
      </c>
      <c r="K25" s="19">
        <v>1</v>
      </c>
      <c r="M25" s="2" t="s">
        <v>60</v>
      </c>
      <c r="N25" s="2" t="s">
        <v>25</v>
      </c>
    </row>
    <row r="26" spans="1:25" x14ac:dyDescent="0.25">
      <c r="A26" t="s">
        <v>100</v>
      </c>
      <c r="B26" t="s">
        <v>18</v>
      </c>
      <c r="C26" s="8" t="s">
        <v>101</v>
      </c>
      <c r="D26" t="s">
        <v>42</v>
      </c>
      <c r="E26" t="s">
        <v>96</v>
      </c>
      <c r="F26" t="s">
        <v>102</v>
      </c>
      <c r="G26" t="s">
        <v>23</v>
      </c>
      <c r="H26" t="s">
        <v>23</v>
      </c>
      <c r="I26" t="s">
        <v>23</v>
      </c>
      <c r="K26" s="19">
        <v>1</v>
      </c>
      <c r="M26" s="2" t="s">
        <v>24</v>
      </c>
      <c r="N26" s="2" t="s">
        <v>25</v>
      </c>
    </row>
    <row r="27" spans="1:25" x14ac:dyDescent="0.25">
      <c r="A27" t="s">
        <v>103</v>
      </c>
      <c r="B27" t="s">
        <v>76</v>
      </c>
      <c r="C27" s="8" t="s">
        <v>104</v>
      </c>
      <c r="D27" t="s">
        <v>42</v>
      </c>
      <c r="E27" t="s">
        <v>96</v>
      </c>
      <c r="F27" t="s">
        <v>44</v>
      </c>
      <c r="G27" t="s">
        <v>23</v>
      </c>
      <c r="H27" t="s">
        <v>23</v>
      </c>
      <c r="I27" t="s">
        <v>23</v>
      </c>
      <c r="K27" s="19">
        <v>0</v>
      </c>
      <c r="M27" s="2" t="s">
        <v>41</v>
      </c>
      <c r="N27" s="2" t="s">
        <v>25</v>
      </c>
    </row>
    <row r="28" spans="1:25" x14ac:dyDescent="0.25">
      <c r="A28" t="s">
        <v>103</v>
      </c>
      <c r="B28" t="s">
        <v>76</v>
      </c>
      <c r="C28" s="8" t="s">
        <v>105</v>
      </c>
      <c r="D28" t="s">
        <v>37</v>
      </c>
      <c r="E28" t="s">
        <v>106</v>
      </c>
      <c r="F28" t="s">
        <v>107</v>
      </c>
      <c r="G28" t="s">
        <v>23</v>
      </c>
      <c r="H28" t="s">
        <v>23</v>
      </c>
      <c r="I28" t="s">
        <v>23</v>
      </c>
      <c r="K28" s="19">
        <v>0</v>
      </c>
      <c r="M28" s="2" t="s">
        <v>41</v>
      </c>
      <c r="N28" s="2" t="s">
        <v>31</v>
      </c>
    </row>
    <row r="29" spans="1:25" x14ac:dyDescent="0.25">
      <c r="A29" t="s">
        <v>103</v>
      </c>
      <c r="B29" t="s">
        <v>76</v>
      </c>
      <c r="C29" s="8" t="s">
        <v>108</v>
      </c>
      <c r="D29" t="s">
        <v>37</v>
      </c>
      <c r="E29" t="s">
        <v>109</v>
      </c>
      <c r="F29" t="s">
        <v>107</v>
      </c>
      <c r="G29" t="s">
        <v>23</v>
      </c>
      <c r="H29" t="s">
        <v>23</v>
      </c>
      <c r="I29" t="s">
        <v>23</v>
      </c>
      <c r="K29" s="19">
        <v>0</v>
      </c>
      <c r="M29" s="2" t="s">
        <v>41</v>
      </c>
      <c r="N29" s="2" t="s">
        <v>31</v>
      </c>
    </row>
    <row r="30" spans="1:25" x14ac:dyDescent="0.25">
      <c r="A30" s="3" t="s">
        <v>110</v>
      </c>
      <c r="B30" t="s">
        <v>33</v>
      </c>
      <c r="C30" s="8" t="s">
        <v>111</v>
      </c>
      <c r="D30" t="s">
        <v>32</v>
      </c>
      <c r="E30" t="s">
        <v>64</v>
      </c>
      <c r="F30" t="s">
        <v>40</v>
      </c>
      <c r="G30" t="s">
        <v>23</v>
      </c>
      <c r="H30" t="s">
        <v>23</v>
      </c>
      <c r="I30" t="s">
        <v>23</v>
      </c>
      <c r="K30" s="19">
        <v>0.62</v>
      </c>
      <c r="M30" s="2" t="s">
        <v>24</v>
      </c>
      <c r="N30" s="2" t="s">
        <v>25</v>
      </c>
    </row>
    <row r="31" spans="1:25" x14ac:dyDescent="0.25">
      <c r="A31" s="3" t="s">
        <v>110</v>
      </c>
      <c r="B31" t="s">
        <v>33</v>
      </c>
      <c r="C31" s="8" t="s">
        <v>112</v>
      </c>
      <c r="D31" t="s">
        <v>32</v>
      </c>
      <c r="E31" t="s">
        <v>71</v>
      </c>
      <c r="F31" t="s">
        <v>107</v>
      </c>
      <c r="G31" t="s">
        <v>23</v>
      </c>
      <c r="H31" t="s">
        <v>23</v>
      </c>
      <c r="I31" t="s">
        <v>23</v>
      </c>
      <c r="K31" s="19">
        <v>0.85</v>
      </c>
      <c r="M31" s="2" t="s">
        <v>24</v>
      </c>
      <c r="N31" s="2" t="s">
        <v>31</v>
      </c>
    </row>
    <row r="32" spans="1:25" x14ac:dyDescent="0.25">
      <c r="A32" s="3" t="s">
        <v>110</v>
      </c>
      <c r="B32" t="s">
        <v>27</v>
      </c>
      <c r="C32" s="8" t="s">
        <v>113</v>
      </c>
      <c r="D32" t="s">
        <v>26</v>
      </c>
      <c r="E32" t="s">
        <v>114</v>
      </c>
      <c r="F32" s="5" t="s">
        <v>115</v>
      </c>
      <c r="G32" t="s">
        <v>23</v>
      </c>
      <c r="H32" t="s">
        <v>23</v>
      </c>
      <c r="I32" t="s">
        <v>23</v>
      </c>
      <c r="K32" s="21">
        <v>6000</v>
      </c>
      <c r="M32" s="2" t="s">
        <v>116</v>
      </c>
      <c r="N32" s="2" t="s">
        <v>31</v>
      </c>
    </row>
    <row r="33" spans="1:14" x14ac:dyDescent="0.25">
      <c r="A33" s="3" t="s">
        <v>117</v>
      </c>
      <c r="G33" t="s">
        <v>23</v>
      </c>
      <c r="H33" t="s">
        <v>23</v>
      </c>
      <c r="I33" t="s">
        <v>23</v>
      </c>
    </row>
    <row r="34" spans="1:14" x14ac:dyDescent="0.25">
      <c r="A34" t="s">
        <v>118</v>
      </c>
      <c r="B34" t="s">
        <v>27</v>
      </c>
      <c r="C34" s="8" t="s">
        <v>119</v>
      </c>
      <c r="D34" t="s">
        <v>26</v>
      </c>
      <c r="E34" t="s">
        <v>120</v>
      </c>
      <c r="F34" t="s">
        <v>40</v>
      </c>
      <c r="G34" t="s">
        <v>23</v>
      </c>
      <c r="H34" t="s">
        <v>23</v>
      </c>
      <c r="I34" t="s">
        <v>23</v>
      </c>
      <c r="K34" s="19">
        <v>0.85</v>
      </c>
      <c r="M34" s="2" t="s">
        <v>116</v>
      </c>
      <c r="N34" s="2" t="s">
        <v>25</v>
      </c>
    </row>
    <row r="35" spans="1:14" x14ac:dyDescent="0.25">
      <c r="A35" t="s">
        <v>121</v>
      </c>
      <c r="B35" t="s">
        <v>27</v>
      </c>
      <c r="C35" s="8" t="s">
        <v>122</v>
      </c>
      <c r="D35" t="s">
        <v>26</v>
      </c>
      <c r="E35" t="s">
        <v>123</v>
      </c>
      <c r="F35" t="s">
        <v>40</v>
      </c>
      <c r="G35" t="s">
        <v>23</v>
      </c>
      <c r="H35" t="s">
        <v>23</v>
      </c>
      <c r="I35" t="s">
        <v>23</v>
      </c>
      <c r="K35" s="18">
        <v>0</v>
      </c>
      <c r="L35" s="18">
        <v>3</v>
      </c>
      <c r="M35" s="2" t="s">
        <v>24</v>
      </c>
      <c r="N35" s="2" t="s">
        <v>25</v>
      </c>
    </row>
    <row r="36" spans="1:14" x14ac:dyDescent="0.25">
      <c r="A36" t="s">
        <v>121</v>
      </c>
      <c r="B36" t="s">
        <v>27</v>
      </c>
      <c r="C36" s="8" t="s">
        <v>124</v>
      </c>
      <c r="D36" t="s">
        <v>26</v>
      </c>
      <c r="E36" t="s">
        <v>125</v>
      </c>
      <c r="F36" t="s">
        <v>30</v>
      </c>
      <c r="G36" t="s">
        <v>23</v>
      </c>
      <c r="H36" t="s">
        <v>23</v>
      </c>
      <c r="I36" t="s">
        <v>23</v>
      </c>
      <c r="K36" s="19">
        <v>1</v>
      </c>
      <c r="M36" s="2" t="s">
        <v>24</v>
      </c>
      <c r="N36" s="2" t="s">
        <v>25</v>
      </c>
    </row>
    <row r="37" spans="1:14" ht="30" x14ac:dyDescent="0.25">
      <c r="A37" t="s">
        <v>126</v>
      </c>
      <c r="B37" t="s">
        <v>76</v>
      </c>
      <c r="C37" s="8" t="s">
        <v>127</v>
      </c>
      <c r="D37" t="s">
        <v>37</v>
      </c>
      <c r="E37" t="s">
        <v>128</v>
      </c>
      <c r="F37" t="s">
        <v>40</v>
      </c>
      <c r="G37" t="s">
        <v>23</v>
      </c>
      <c r="H37" t="s">
        <v>23</v>
      </c>
      <c r="I37" t="s">
        <v>23</v>
      </c>
      <c r="K37" s="18">
        <v>0</v>
      </c>
      <c r="L37" s="18">
        <v>15</v>
      </c>
      <c r="M37" s="2" t="s">
        <v>41</v>
      </c>
      <c r="N37" s="2" t="s">
        <v>25</v>
      </c>
    </row>
    <row r="38" spans="1:14" ht="30" x14ac:dyDescent="0.25">
      <c r="A38" t="s">
        <v>126</v>
      </c>
      <c r="B38" t="s">
        <v>76</v>
      </c>
      <c r="C38" s="8" t="s">
        <v>129</v>
      </c>
      <c r="D38" t="s">
        <v>37</v>
      </c>
      <c r="E38" t="s">
        <v>106</v>
      </c>
      <c r="F38" t="s">
        <v>40</v>
      </c>
      <c r="G38" t="s">
        <v>23</v>
      </c>
      <c r="H38" t="s">
        <v>23</v>
      </c>
      <c r="I38" t="s">
        <v>23</v>
      </c>
      <c r="K38" s="18">
        <v>0</v>
      </c>
      <c r="L38" s="18">
        <v>20</v>
      </c>
      <c r="M38" s="2" t="s">
        <v>41</v>
      </c>
      <c r="N38" s="2" t="s">
        <v>31</v>
      </c>
    </row>
    <row r="39" spans="1:14" x14ac:dyDescent="0.25">
      <c r="A39" t="s">
        <v>130</v>
      </c>
      <c r="B39" t="s">
        <v>18</v>
      </c>
      <c r="C39" s="8" t="s">
        <v>131</v>
      </c>
      <c r="D39" t="s">
        <v>79</v>
      </c>
      <c r="E39" t="s">
        <v>21</v>
      </c>
      <c r="F39" t="s">
        <v>40</v>
      </c>
      <c r="G39" t="s">
        <v>23</v>
      </c>
      <c r="H39" t="s">
        <v>23</v>
      </c>
      <c r="I39" t="s">
        <v>23</v>
      </c>
      <c r="K39" s="19">
        <v>1</v>
      </c>
      <c r="M39" s="2" t="s">
        <v>24</v>
      </c>
      <c r="N39" s="2" t="s">
        <v>25</v>
      </c>
    </row>
    <row r="40" spans="1:14" x14ac:dyDescent="0.25">
      <c r="A40" t="s">
        <v>132</v>
      </c>
      <c r="B40" t="s">
        <v>18</v>
      </c>
      <c r="C40" s="8" t="s">
        <v>133</v>
      </c>
      <c r="D40" t="s">
        <v>79</v>
      </c>
      <c r="E40" t="s">
        <v>134</v>
      </c>
      <c r="F40" t="s">
        <v>40</v>
      </c>
      <c r="G40" t="s">
        <v>23</v>
      </c>
      <c r="H40" t="s">
        <v>23</v>
      </c>
      <c r="I40" t="s">
        <v>23</v>
      </c>
      <c r="K40" s="18">
        <v>0</v>
      </c>
      <c r="M40" s="2" t="s">
        <v>24</v>
      </c>
      <c r="N40" s="2" t="s">
        <v>31</v>
      </c>
    </row>
    <row r="41" spans="1:14" x14ac:dyDescent="0.25">
      <c r="A41" t="s">
        <v>135</v>
      </c>
      <c r="B41" t="s">
        <v>18</v>
      </c>
      <c r="C41" s="8" t="s">
        <v>135</v>
      </c>
      <c r="D41" t="s">
        <v>82</v>
      </c>
      <c r="E41" t="s">
        <v>136</v>
      </c>
      <c r="F41" t="s">
        <v>44</v>
      </c>
      <c r="G41" t="s">
        <v>23</v>
      </c>
      <c r="H41" t="s">
        <v>23</v>
      </c>
      <c r="I41" t="s">
        <v>23</v>
      </c>
      <c r="K41" s="18">
        <v>8</v>
      </c>
      <c r="M41" s="2" t="s">
        <v>24</v>
      </c>
      <c r="N41" s="2" t="s">
        <v>25</v>
      </c>
    </row>
    <row r="42" spans="1:14" x14ac:dyDescent="0.25">
      <c r="A42" t="s">
        <v>137</v>
      </c>
      <c r="B42" t="s">
        <v>18</v>
      </c>
      <c r="C42" s="8" t="s">
        <v>138</v>
      </c>
      <c r="D42" t="s">
        <v>45</v>
      </c>
      <c r="E42" t="s">
        <v>139</v>
      </c>
      <c r="F42" t="s">
        <v>40</v>
      </c>
      <c r="G42" t="s">
        <v>23</v>
      </c>
      <c r="H42" t="s">
        <v>23</v>
      </c>
      <c r="I42" t="s">
        <v>23</v>
      </c>
      <c r="K42" s="19">
        <v>1</v>
      </c>
      <c r="M42" s="2" t="s">
        <v>24</v>
      </c>
      <c r="N42" s="2" t="s">
        <v>25</v>
      </c>
    </row>
    <row r="43" spans="1:14" x14ac:dyDescent="0.25">
      <c r="A43" t="s">
        <v>140</v>
      </c>
      <c r="B43" t="s">
        <v>18</v>
      </c>
      <c r="C43" s="8" t="s">
        <v>141</v>
      </c>
      <c r="D43" t="s">
        <v>45</v>
      </c>
      <c r="E43" t="s">
        <v>142</v>
      </c>
      <c r="F43" t="s">
        <v>44</v>
      </c>
      <c r="G43" t="s">
        <v>23</v>
      </c>
      <c r="H43" t="s">
        <v>23</v>
      </c>
      <c r="I43" t="s">
        <v>23</v>
      </c>
      <c r="K43" s="22"/>
      <c r="N43" s="2" t="s">
        <v>25</v>
      </c>
    </row>
    <row r="44" spans="1:14" x14ac:dyDescent="0.25">
      <c r="A44" t="s">
        <v>143</v>
      </c>
      <c r="B44" t="s">
        <v>33</v>
      </c>
      <c r="C44" s="8" t="s">
        <v>144</v>
      </c>
      <c r="D44" t="s">
        <v>32</v>
      </c>
      <c r="E44" t="s">
        <v>35</v>
      </c>
      <c r="F44" t="s">
        <v>86</v>
      </c>
      <c r="G44" t="s">
        <v>23</v>
      </c>
      <c r="H44" t="s">
        <v>23</v>
      </c>
      <c r="I44" t="s">
        <v>23</v>
      </c>
      <c r="K44" s="18">
        <v>0</v>
      </c>
      <c r="M44" s="2" t="s">
        <v>24</v>
      </c>
      <c r="N44" s="2" t="s">
        <v>31</v>
      </c>
    </row>
    <row r="45" spans="1:14" x14ac:dyDescent="0.25">
      <c r="A45" t="s">
        <v>143</v>
      </c>
      <c r="B45" t="s">
        <v>97</v>
      </c>
      <c r="C45" s="8" t="s">
        <v>145</v>
      </c>
      <c r="D45" t="s">
        <v>26</v>
      </c>
      <c r="E45" t="s">
        <v>142</v>
      </c>
      <c r="F45" t="s">
        <v>86</v>
      </c>
      <c r="G45" t="s">
        <v>23</v>
      </c>
      <c r="H45" t="s">
        <v>23</v>
      </c>
      <c r="I45" t="s">
        <v>23</v>
      </c>
      <c r="K45" s="18">
        <v>0</v>
      </c>
      <c r="M45" s="2" t="s">
        <v>24</v>
      </c>
      <c r="N45" s="2" t="s">
        <v>25</v>
      </c>
    </row>
    <row r="46" spans="1:14" x14ac:dyDescent="0.25">
      <c r="A46" t="s">
        <v>146</v>
      </c>
      <c r="B46" t="s">
        <v>18</v>
      </c>
      <c r="C46" s="8" t="s">
        <v>147</v>
      </c>
      <c r="D46" t="s">
        <v>51</v>
      </c>
      <c r="E46" t="s">
        <v>148</v>
      </c>
      <c r="F46" t="s">
        <v>107</v>
      </c>
      <c r="G46" t="s">
        <v>23</v>
      </c>
      <c r="H46" t="s">
        <v>23</v>
      </c>
      <c r="I46" t="s">
        <v>23</v>
      </c>
      <c r="K46" s="22"/>
      <c r="N46" s="2" t="s">
        <v>149</v>
      </c>
    </row>
    <row r="47" spans="1:14" x14ac:dyDescent="0.25">
      <c r="A47" t="s">
        <v>150</v>
      </c>
      <c r="B47" t="s">
        <v>33</v>
      </c>
      <c r="C47" s="8" t="s">
        <v>151</v>
      </c>
      <c r="D47" t="s">
        <v>32</v>
      </c>
      <c r="E47" t="s">
        <v>85</v>
      </c>
      <c r="F47" t="s">
        <v>36</v>
      </c>
      <c r="G47" t="s">
        <v>23</v>
      </c>
      <c r="H47" t="s">
        <v>23</v>
      </c>
      <c r="I47" t="s">
        <v>23</v>
      </c>
      <c r="K47" s="22"/>
      <c r="N47" s="2" t="s">
        <v>31</v>
      </c>
    </row>
    <row r="48" spans="1:14" x14ac:dyDescent="0.25">
      <c r="A48" t="s">
        <v>150</v>
      </c>
      <c r="B48" t="s">
        <v>152</v>
      </c>
      <c r="C48" s="8" t="s">
        <v>153</v>
      </c>
      <c r="D48" t="s">
        <v>26</v>
      </c>
      <c r="E48" t="s">
        <v>154</v>
      </c>
      <c r="F48" t="s">
        <v>30</v>
      </c>
      <c r="G48" t="s">
        <v>23</v>
      </c>
      <c r="H48" t="s">
        <v>23</v>
      </c>
      <c r="I48" t="s">
        <v>23</v>
      </c>
      <c r="K48" s="22"/>
      <c r="N48" s="2" t="s">
        <v>31</v>
      </c>
    </row>
    <row r="49" spans="1:14" x14ac:dyDescent="0.25">
      <c r="A49" t="s">
        <v>150</v>
      </c>
      <c r="B49" t="s">
        <v>76</v>
      </c>
      <c r="C49" s="8" t="s">
        <v>155</v>
      </c>
      <c r="D49" t="s">
        <v>37</v>
      </c>
      <c r="E49" t="s">
        <v>109</v>
      </c>
      <c r="F49" t="s">
        <v>156</v>
      </c>
      <c r="G49" t="s">
        <v>23</v>
      </c>
      <c r="H49" t="s">
        <v>23</v>
      </c>
      <c r="I49" t="s">
        <v>23</v>
      </c>
      <c r="K49" s="22"/>
      <c r="N49" s="2" t="s">
        <v>31</v>
      </c>
    </row>
    <row r="50" spans="1:14" x14ac:dyDescent="0.25">
      <c r="A50" t="s">
        <v>150</v>
      </c>
      <c r="B50" t="s">
        <v>33</v>
      </c>
      <c r="C50" s="8" t="s">
        <v>157</v>
      </c>
      <c r="D50" t="s">
        <v>32</v>
      </c>
      <c r="E50" t="s">
        <v>158</v>
      </c>
      <c r="F50" t="s">
        <v>36</v>
      </c>
      <c r="G50" t="s">
        <v>23</v>
      </c>
      <c r="H50" t="s">
        <v>23</v>
      </c>
      <c r="I50" t="s">
        <v>23</v>
      </c>
      <c r="K50" s="19">
        <v>1</v>
      </c>
      <c r="M50" t="s">
        <v>24</v>
      </c>
      <c r="N50" s="2" t="s">
        <v>31</v>
      </c>
    </row>
    <row r="51" spans="1:14" x14ac:dyDescent="0.25">
      <c r="A51" t="s">
        <v>159</v>
      </c>
      <c r="B51" t="s">
        <v>18</v>
      </c>
      <c r="C51" s="8" t="s">
        <v>160</v>
      </c>
      <c r="D51" t="s">
        <v>54</v>
      </c>
      <c r="E51" t="s">
        <v>161</v>
      </c>
      <c r="F51" t="s">
        <v>44</v>
      </c>
      <c r="G51" t="s">
        <v>23</v>
      </c>
      <c r="H51" t="s">
        <v>23</v>
      </c>
      <c r="I51" t="s">
        <v>23</v>
      </c>
      <c r="J51" s="19">
        <v>0.9</v>
      </c>
      <c r="K51" s="19">
        <v>1</v>
      </c>
      <c r="M51" t="s">
        <v>24</v>
      </c>
      <c r="N51" s="2" t="s">
        <v>25</v>
      </c>
    </row>
    <row r="52" spans="1:14" x14ac:dyDescent="0.25">
      <c r="A52" s="3" t="s">
        <v>162</v>
      </c>
      <c r="B52" t="s">
        <v>18</v>
      </c>
      <c r="C52" s="8" t="s">
        <v>163</v>
      </c>
      <c r="D52" t="s">
        <v>54</v>
      </c>
      <c r="E52" t="s">
        <v>161</v>
      </c>
      <c r="F52" t="s">
        <v>164</v>
      </c>
      <c r="G52" t="s">
        <v>23</v>
      </c>
      <c r="H52" t="s">
        <v>23</v>
      </c>
      <c r="I52" t="s">
        <v>23</v>
      </c>
      <c r="J52" s="19">
        <v>0.95</v>
      </c>
      <c r="K52" s="19">
        <v>1</v>
      </c>
      <c r="M52" t="s">
        <v>24</v>
      </c>
      <c r="N52" s="2" t="s">
        <v>25</v>
      </c>
    </row>
    <row r="53" spans="1:14" x14ac:dyDescent="0.25">
      <c r="A53" s="3" t="s">
        <v>162</v>
      </c>
      <c r="B53" t="s">
        <v>27</v>
      </c>
      <c r="C53" s="8" t="s">
        <v>165</v>
      </c>
      <c r="D53" t="s">
        <v>51</v>
      </c>
      <c r="E53" t="s">
        <v>148</v>
      </c>
      <c r="F53" t="s">
        <v>107</v>
      </c>
      <c r="G53" t="s">
        <v>23</v>
      </c>
      <c r="H53" t="s">
        <v>23</v>
      </c>
      <c r="I53" t="s">
        <v>23</v>
      </c>
      <c r="K53" s="22"/>
      <c r="N53" s="2" t="s">
        <v>149</v>
      </c>
    </row>
    <row r="54" spans="1:14" x14ac:dyDescent="0.25">
      <c r="A54" s="3" t="s">
        <v>162</v>
      </c>
      <c r="B54" t="s">
        <v>27</v>
      </c>
      <c r="C54" s="8" t="s">
        <v>166</v>
      </c>
      <c r="D54" t="s">
        <v>51</v>
      </c>
      <c r="E54" t="s">
        <v>148</v>
      </c>
      <c r="F54" t="s">
        <v>107</v>
      </c>
      <c r="G54" t="s">
        <v>23</v>
      </c>
      <c r="H54" t="s">
        <v>23</v>
      </c>
      <c r="I54" t="s">
        <v>23</v>
      </c>
      <c r="K54" s="22"/>
      <c r="N54" s="2" t="s">
        <v>149</v>
      </c>
    </row>
    <row r="55" spans="1:14" x14ac:dyDescent="0.25">
      <c r="A55" s="3" t="s">
        <v>167</v>
      </c>
      <c r="B55" t="s">
        <v>18</v>
      </c>
      <c r="C55" s="8" t="s">
        <v>168</v>
      </c>
      <c r="D55" t="s">
        <v>47</v>
      </c>
      <c r="E55" t="s">
        <v>50</v>
      </c>
      <c r="F55" t="s">
        <v>44</v>
      </c>
      <c r="G55" t="s">
        <v>23</v>
      </c>
      <c r="H55" t="s">
        <v>23</v>
      </c>
      <c r="I55" t="s">
        <v>23</v>
      </c>
      <c r="K55" s="19">
        <v>0.95</v>
      </c>
      <c r="M55" t="s">
        <v>24</v>
      </c>
      <c r="N55" s="2" t="s">
        <v>31</v>
      </c>
    </row>
    <row r="56" spans="1:14" x14ac:dyDescent="0.25">
      <c r="A56" s="3" t="s">
        <v>167</v>
      </c>
      <c r="B56" t="s">
        <v>18</v>
      </c>
      <c r="C56" s="8" t="s">
        <v>169</v>
      </c>
      <c r="D56" t="s">
        <v>87</v>
      </c>
      <c r="E56" t="s">
        <v>21</v>
      </c>
      <c r="F56" t="s">
        <v>44</v>
      </c>
      <c r="G56" t="s">
        <v>23</v>
      </c>
      <c r="H56" t="s">
        <v>23</v>
      </c>
      <c r="I56" t="s">
        <v>23</v>
      </c>
      <c r="K56" s="19">
        <v>0.95</v>
      </c>
      <c r="M56" t="s">
        <v>24</v>
      </c>
      <c r="N56" s="2" t="s">
        <v>25</v>
      </c>
    </row>
    <row r="57" spans="1:14" x14ac:dyDescent="0.25">
      <c r="A57" s="3" t="s">
        <v>167</v>
      </c>
      <c r="B57" t="s">
        <v>18</v>
      </c>
      <c r="C57" s="8" t="s">
        <v>170</v>
      </c>
      <c r="D57" t="s">
        <v>42</v>
      </c>
      <c r="E57" t="s">
        <v>96</v>
      </c>
      <c r="F57" t="s">
        <v>44</v>
      </c>
      <c r="G57" t="s">
        <v>23</v>
      </c>
      <c r="H57" t="s">
        <v>23</v>
      </c>
      <c r="I57" t="s">
        <v>23</v>
      </c>
      <c r="K57" s="19">
        <v>0.95</v>
      </c>
      <c r="M57" t="s">
        <v>24</v>
      </c>
      <c r="N57" s="2" t="s">
        <v>25</v>
      </c>
    </row>
    <row r="58" spans="1:14" x14ac:dyDescent="0.25">
      <c r="A58" s="3" t="s">
        <v>167</v>
      </c>
      <c r="B58" t="s">
        <v>18</v>
      </c>
      <c r="C58" s="8" t="s">
        <v>171</v>
      </c>
      <c r="D58" t="s">
        <v>172</v>
      </c>
      <c r="E58" t="s">
        <v>21</v>
      </c>
      <c r="F58" t="s">
        <v>44</v>
      </c>
      <c r="G58" t="s">
        <v>23</v>
      </c>
      <c r="H58" t="s">
        <v>23</v>
      </c>
      <c r="I58" t="s">
        <v>23</v>
      </c>
      <c r="K58" s="19">
        <v>0.95</v>
      </c>
      <c r="M58" t="s">
        <v>24</v>
      </c>
      <c r="N58" s="2" t="s">
        <v>25</v>
      </c>
    </row>
    <row r="59" spans="1:14" x14ac:dyDescent="0.25">
      <c r="A59" s="3" t="s">
        <v>167</v>
      </c>
      <c r="B59" t="s">
        <v>18</v>
      </c>
      <c r="C59" s="8" t="s">
        <v>173</v>
      </c>
      <c r="D59" t="s">
        <v>45</v>
      </c>
      <c r="E59" t="s">
        <v>139</v>
      </c>
      <c r="F59" t="s">
        <v>44</v>
      </c>
      <c r="G59" t="s">
        <v>23</v>
      </c>
      <c r="H59" t="s">
        <v>23</v>
      </c>
      <c r="I59" t="s">
        <v>23</v>
      </c>
      <c r="K59" s="19">
        <v>0.95</v>
      </c>
      <c r="M59" t="s">
        <v>24</v>
      </c>
      <c r="N59" s="2" t="s">
        <v>25</v>
      </c>
    </row>
    <row r="60" spans="1:14" x14ac:dyDescent="0.25">
      <c r="A60" s="3" t="s">
        <v>167</v>
      </c>
      <c r="B60" t="s">
        <v>18</v>
      </c>
      <c r="C60" s="8" t="s">
        <v>174</v>
      </c>
      <c r="D60" t="s">
        <v>54</v>
      </c>
      <c r="E60" t="s">
        <v>161</v>
      </c>
      <c r="F60" t="s">
        <v>44</v>
      </c>
      <c r="G60" t="s">
        <v>23</v>
      </c>
      <c r="H60" t="s">
        <v>23</v>
      </c>
      <c r="I60" t="s">
        <v>23</v>
      </c>
      <c r="K60" s="19">
        <v>0.95</v>
      </c>
      <c r="M60" t="s">
        <v>24</v>
      </c>
      <c r="N60" s="2" t="s">
        <v>25</v>
      </c>
    </row>
    <row r="61" spans="1:14" x14ac:dyDescent="0.25">
      <c r="A61" s="3" t="s">
        <v>167</v>
      </c>
      <c r="B61" t="s">
        <v>18</v>
      </c>
      <c r="C61" s="8" t="s">
        <v>175</v>
      </c>
      <c r="D61" t="s">
        <v>92</v>
      </c>
      <c r="E61" t="s">
        <v>161</v>
      </c>
      <c r="F61" t="s">
        <v>44</v>
      </c>
      <c r="G61" t="s">
        <v>23</v>
      </c>
      <c r="H61" t="s">
        <v>23</v>
      </c>
      <c r="I61" t="s">
        <v>23</v>
      </c>
      <c r="K61" s="19">
        <v>0.95</v>
      </c>
      <c r="M61" t="s">
        <v>24</v>
      </c>
      <c r="N61" s="2" t="s">
        <v>25</v>
      </c>
    </row>
    <row r="62" spans="1:14" x14ac:dyDescent="0.25">
      <c r="A62" t="s">
        <v>176</v>
      </c>
      <c r="B62" t="s">
        <v>33</v>
      </c>
      <c r="C62" s="8" t="s">
        <v>177</v>
      </c>
      <c r="D62" t="s">
        <v>32</v>
      </c>
      <c r="E62" t="s">
        <v>64</v>
      </c>
      <c r="F62" t="s">
        <v>178</v>
      </c>
      <c r="G62" t="s">
        <v>23</v>
      </c>
      <c r="H62" t="s">
        <v>23</v>
      </c>
      <c r="I62" t="s">
        <v>23</v>
      </c>
      <c r="K62" s="22"/>
      <c r="N62" s="2" t="s">
        <v>25</v>
      </c>
    </row>
    <row r="63" spans="1:14" ht="30" x14ac:dyDescent="0.25">
      <c r="A63" t="s">
        <v>176</v>
      </c>
      <c r="B63" t="s">
        <v>33</v>
      </c>
      <c r="C63" s="8" t="s">
        <v>179</v>
      </c>
      <c r="D63" t="s">
        <v>32</v>
      </c>
      <c r="E63" t="s">
        <v>35</v>
      </c>
      <c r="F63" t="s">
        <v>36</v>
      </c>
      <c r="G63" t="s">
        <v>23</v>
      </c>
      <c r="H63" t="s">
        <v>23</v>
      </c>
      <c r="I63" t="s">
        <v>23</v>
      </c>
      <c r="K63" s="22"/>
      <c r="N63" s="2" t="s">
        <v>31</v>
      </c>
    </row>
    <row r="64" spans="1:14" x14ac:dyDescent="0.25">
      <c r="A64" t="s">
        <v>176</v>
      </c>
      <c r="B64" t="s">
        <v>33</v>
      </c>
      <c r="C64" s="8" t="s">
        <v>180</v>
      </c>
      <c r="D64" t="s">
        <v>32</v>
      </c>
      <c r="E64" t="s">
        <v>85</v>
      </c>
      <c r="F64" t="s">
        <v>36</v>
      </c>
      <c r="G64" t="s">
        <v>23</v>
      </c>
      <c r="H64" t="s">
        <v>23</v>
      </c>
      <c r="I64" t="s">
        <v>23</v>
      </c>
      <c r="K64" s="22"/>
      <c r="N64" s="2" t="s">
        <v>31</v>
      </c>
    </row>
    <row r="65" spans="1:14" x14ac:dyDescent="0.25">
      <c r="A65" t="s">
        <v>176</v>
      </c>
      <c r="B65" t="s">
        <v>33</v>
      </c>
      <c r="C65" s="8" t="s">
        <v>181</v>
      </c>
      <c r="D65" t="s">
        <v>32</v>
      </c>
      <c r="E65" t="s">
        <v>158</v>
      </c>
      <c r="F65" t="s">
        <v>182</v>
      </c>
      <c r="G65" t="s">
        <v>23</v>
      </c>
      <c r="H65" t="s">
        <v>23</v>
      </c>
      <c r="I65" t="s">
        <v>23</v>
      </c>
      <c r="K65" s="22"/>
      <c r="N65" s="2" t="s">
        <v>31</v>
      </c>
    </row>
    <row r="66" spans="1:14" x14ac:dyDescent="0.25">
      <c r="A66" t="s">
        <v>176</v>
      </c>
      <c r="B66" t="s">
        <v>33</v>
      </c>
      <c r="C66" s="8" t="s">
        <v>183</v>
      </c>
      <c r="D66" t="s">
        <v>32</v>
      </c>
      <c r="E66" t="s">
        <v>184</v>
      </c>
      <c r="F66" t="s">
        <v>36</v>
      </c>
      <c r="G66" t="s">
        <v>23</v>
      </c>
      <c r="H66" t="s">
        <v>23</v>
      </c>
      <c r="I66" t="s">
        <v>23</v>
      </c>
      <c r="K66" s="22"/>
      <c r="N66" t="s">
        <v>185</v>
      </c>
    </row>
    <row r="67" spans="1:14" x14ac:dyDescent="0.25">
      <c r="A67" t="s">
        <v>186</v>
      </c>
      <c r="B67" t="s">
        <v>187</v>
      </c>
      <c r="C67" s="8" t="s">
        <v>188</v>
      </c>
      <c r="D67" t="s">
        <v>32</v>
      </c>
      <c r="E67" t="s">
        <v>139</v>
      </c>
      <c r="F67" t="s">
        <v>36</v>
      </c>
      <c r="G67" t="s">
        <v>23</v>
      </c>
      <c r="H67" t="s">
        <v>23</v>
      </c>
      <c r="I67" t="s">
        <v>23</v>
      </c>
      <c r="K67" s="19">
        <v>1</v>
      </c>
      <c r="M67" t="s">
        <v>24</v>
      </c>
      <c r="N67" s="2" t="s">
        <v>25</v>
      </c>
    </row>
    <row r="68" spans="1:14" x14ac:dyDescent="0.25">
      <c r="A68" t="s">
        <v>186</v>
      </c>
      <c r="B68" t="s">
        <v>187</v>
      </c>
      <c r="C68" s="8" t="s">
        <v>189</v>
      </c>
      <c r="D68" t="s">
        <v>61</v>
      </c>
      <c r="E68" t="s">
        <v>71</v>
      </c>
      <c r="F68" t="s">
        <v>190</v>
      </c>
      <c r="G68" t="s">
        <v>23</v>
      </c>
      <c r="H68" t="s">
        <v>23</v>
      </c>
      <c r="I68" t="s">
        <v>23</v>
      </c>
      <c r="K68" s="19">
        <v>1</v>
      </c>
      <c r="M68" t="s">
        <v>24</v>
      </c>
      <c r="N68" s="2" t="s">
        <v>31</v>
      </c>
    </row>
    <row r="69" spans="1:14" x14ac:dyDescent="0.25">
      <c r="A69" t="s">
        <v>186</v>
      </c>
      <c r="B69" t="s">
        <v>187</v>
      </c>
      <c r="C69" s="8" t="s">
        <v>191</v>
      </c>
      <c r="D69" t="s">
        <v>66</v>
      </c>
      <c r="E69" t="s">
        <v>66</v>
      </c>
      <c r="F69" t="s">
        <v>192</v>
      </c>
      <c r="G69" t="s">
        <v>23</v>
      </c>
      <c r="H69" t="s">
        <v>23</v>
      </c>
      <c r="I69" t="s">
        <v>23</v>
      </c>
      <c r="K69" s="22"/>
      <c r="N69" t="s">
        <v>185</v>
      </c>
    </row>
    <row r="70" spans="1:14" x14ac:dyDescent="0.25">
      <c r="A70" t="s">
        <v>186</v>
      </c>
      <c r="B70" t="s">
        <v>187</v>
      </c>
      <c r="C70" s="8" t="s">
        <v>193</v>
      </c>
      <c r="D70" t="s">
        <v>66</v>
      </c>
      <c r="E70" t="s">
        <v>66</v>
      </c>
      <c r="F70" t="s">
        <v>192</v>
      </c>
      <c r="G70" t="s">
        <v>23</v>
      </c>
      <c r="H70" t="s">
        <v>23</v>
      </c>
      <c r="I70" t="s">
        <v>23</v>
      </c>
      <c r="K70" s="22"/>
      <c r="N70" t="s">
        <v>185</v>
      </c>
    </row>
    <row r="71" spans="1:14" x14ac:dyDescent="0.25">
      <c r="A71" t="s">
        <v>194</v>
      </c>
      <c r="B71" t="s">
        <v>27</v>
      </c>
      <c r="C71" s="8" t="s">
        <v>195</v>
      </c>
      <c r="D71" t="s">
        <v>26</v>
      </c>
      <c r="E71" t="s">
        <v>196</v>
      </c>
      <c r="F71" t="s">
        <v>30</v>
      </c>
      <c r="G71" t="s">
        <v>23</v>
      </c>
      <c r="H71" t="s">
        <v>23</v>
      </c>
      <c r="I71" t="s">
        <v>23</v>
      </c>
      <c r="K71" s="21">
        <v>4000</v>
      </c>
      <c r="M71" t="s">
        <v>24</v>
      </c>
      <c r="N71" t="s">
        <v>31</v>
      </c>
    </row>
    <row r="72" spans="1:14" x14ac:dyDescent="0.25">
      <c r="A72" t="s">
        <v>194</v>
      </c>
      <c r="B72" t="s">
        <v>27</v>
      </c>
      <c r="C72" s="8" t="s">
        <v>197</v>
      </c>
      <c r="D72" t="s">
        <v>26</v>
      </c>
      <c r="E72" t="s">
        <v>198</v>
      </c>
      <c r="F72" t="s">
        <v>199</v>
      </c>
      <c r="G72" t="s">
        <v>23</v>
      </c>
      <c r="H72" t="s">
        <v>23</v>
      </c>
      <c r="I72" t="s">
        <v>23</v>
      </c>
      <c r="K72" s="22"/>
      <c r="N72" t="s">
        <v>25</v>
      </c>
    </row>
    <row r="73" spans="1:14" x14ac:dyDescent="0.25">
      <c r="A73" t="s">
        <v>194</v>
      </c>
      <c r="B73" t="s">
        <v>27</v>
      </c>
      <c r="C73" s="8" t="s">
        <v>200</v>
      </c>
      <c r="D73" t="s">
        <v>26</v>
      </c>
      <c r="E73" t="s">
        <v>201</v>
      </c>
      <c r="F73" t="s">
        <v>30</v>
      </c>
      <c r="G73" t="s">
        <v>23</v>
      </c>
      <c r="H73" t="s">
        <v>23</v>
      </c>
      <c r="I73" t="s">
        <v>23</v>
      </c>
      <c r="K73" s="22"/>
      <c r="N73" t="s">
        <v>25</v>
      </c>
    </row>
    <row r="74" spans="1:14" ht="30" x14ac:dyDescent="0.25">
      <c r="A74" t="s">
        <v>194</v>
      </c>
      <c r="B74" t="s">
        <v>27</v>
      </c>
      <c r="C74" s="8" t="s">
        <v>202</v>
      </c>
      <c r="D74" t="s">
        <v>26</v>
      </c>
      <c r="E74" t="s">
        <v>203</v>
      </c>
      <c r="F74" t="s">
        <v>30</v>
      </c>
      <c r="G74" t="s">
        <v>23</v>
      </c>
      <c r="H74" t="s">
        <v>23</v>
      </c>
      <c r="I74" t="s">
        <v>23</v>
      </c>
      <c r="K74" s="19">
        <v>1</v>
      </c>
      <c r="M74" t="s">
        <v>24</v>
      </c>
      <c r="N74" t="s">
        <v>25</v>
      </c>
    </row>
    <row r="75" spans="1:14" x14ac:dyDescent="0.25">
      <c r="A75" t="s">
        <v>194</v>
      </c>
      <c r="B75" t="s">
        <v>27</v>
      </c>
      <c r="C75" s="8" t="s">
        <v>204</v>
      </c>
      <c r="D75" t="s">
        <v>205</v>
      </c>
      <c r="E75" t="s">
        <v>205</v>
      </c>
      <c r="F75" t="s">
        <v>30</v>
      </c>
      <c r="G75" t="s">
        <v>23</v>
      </c>
      <c r="H75" t="s">
        <v>23</v>
      </c>
      <c r="I75" t="s">
        <v>23</v>
      </c>
      <c r="K75" s="18">
        <v>10</v>
      </c>
      <c r="L75" s="18">
        <v>15</v>
      </c>
      <c r="M75" t="s">
        <v>24</v>
      </c>
      <c r="N75" t="s">
        <v>185</v>
      </c>
    </row>
    <row r="76" spans="1:14" x14ac:dyDescent="0.25">
      <c r="A76" t="s">
        <v>194</v>
      </c>
      <c r="B76" t="s">
        <v>27</v>
      </c>
      <c r="C76" s="8" t="s">
        <v>206</v>
      </c>
      <c r="D76" t="s">
        <v>205</v>
      </c>
      <c r="E76" t="s">
        <v>205</v>
      </c>
      <c r="F76" t="s">
        <v>30</v>
      </c>
      <c r="G76" t="s">
        <v>23</v>
      </c>
      <c r="H76" t="s">
        <v>23</v>
      </c>
      <c r="I76" t="s">
        <v>23</v>
      </c>
      <c r="K76" s="19">
        <v>1</v>
      </c>
      <c r="M76" t="s">
        <v>24</v>
      </c>
      <c r="N76" t="s">
        <v>185</v>
      </c>
    </row>
    <row r="77" spans="1:14" x14ac:dyDescent="0.25">
      <c r="A77" t="s">
        <v>194</v>
      </c>
      <c r="B77" t="s">
        <v>27</v>
      </c>
      <c r="C77" s="8" t="s">
        <v>207</v>
      </c>
      <c r="D77" t="s">
        <v>208</v>
      </c>
      <c r="E77" t="s">
        <v>208</v>
      </c>
      <c r="F77" t="s">
        <v>30</v>
      </c>
      <c r="G77" t="s">
        <v>23</v>
      </c>
      <c r="H77" t="s">
        <v>23</v>
      </c>
      <c r="I77" t="s">
        <v>23</v>
      </c>
      <c r="K77" s="19">
        <v>1</v>
      </c>
      <c r="M77" s="3"/>
      <c r="N77" t="s">
        <v>185</v>
      </c>
    </row>
    <row r="78" spans="1:14" x14ac:dyDescent="0.25">
      <c r="A78" t="s">
        <v>194</v>
      </c>
      <c r="B78" t="s">
        <v>27</v>
      </c>
      <c r="C78" s="8" t="s">
        <v>209</v>
      </c>
      <c r="D78" t="s">
        <v>208</v>
      </c>
      <c r="E78" t="s">
        <v>208</v>
      </c>
      <c r="F78" t="s">
        <v>30</v>
      </c>
      <c r="G78" t="s">
        <v>23</v>
      </c>
      <c r="H78" t="s">
        <v>23</v>
      </c>
      <c r="I78" t="s">
        <v>23</v>
      </c>
      <c r="K78" s="19">
        <v>1</v>
      </c>
      <c r="M78" s="3"/>
      <c r="N78" t="s">
        <v>185</v>
      </c>
    </row>
    <row r="79" spans="1:14" ht="30" x14ac:dyDescent="0.25">
      <c r="A79" t="s">
        <v>210</v>
      </c>
      <c r="B79" t="s">
        <v>76</v>
      </c>
      <c r="C79" s="8" t="s">
        <v>211</v>
      </c>
      <c r="D79" t="s">
        <v>37</v>
      </c>
      <c r="E79" t="s">
        <v>212</v>
      </c>
      <c r="F79" t="s">
        <v>86</v>
      </c>
      <c r="G79" t="s">
        <v>23</v>
      </c>
      <c r="H79" t="s">
        <v>23</v>
      </c>
      <c r="I79" t="s">
        <v>23</v>
      </c>
      <c r="K79" s="18">
        <v>0</v>
      </c>
      <c r="L79" s="18">
        <v>1</v>
      </c>
      <c r="M79" t="s">
        <v>24</v>
      </c>
      <c r="N79" t="s">
        <v>25</v>
      </c>
    </row>
    <row r="80" spans="1:14" x14ac:dyDescent="0.25">
      <c r="A80" t="s">
        <v>210</v>
      </c>
      <c r="B80" t="s">
        <v>76</v>
      </c>
      <c r="C80" s="8" t="s">
        <v>213</v>
      </c>
      <c r="D80" t="s">
        <v>37</v>
      </c>
      <c r="E80" t="s">
        <v>91</v>
      </c>
      <c r="F80" t="s">
        <v>156</v>
      </c>
      <c r="G80" t="s">
        <v>23</v>
      </c>
      <c r="H80" t="s">
        <v>23</v>
      </c>
      <c r="I80" t="s">
        <v>23</v>
      </c>
      <c r="J80" s="19">
        <v>0.7</v>
      </c>
      <c r="K80" s="19">
        <v>0.9</v>
      </c>
      <c r="M80" t="s">
        <v>24</v>
      </c>
      <c r="N80" t="s">
        <v>31</v>
      </c>
    </row>
    <row r="81" spans="1:14" ht="30" x14ac:dyDescent="0.25">
      <c r="A81" t="s">
        <v>210</v>
      </c>
      <c r="B81" t="s">
        <v>76</v>
      </c>
      <c r="C81" s="8" t="s">
        <v>214</v>
      </c>
      <c r="D81" t="s">
        <v>37</v>
      </c>
      <c r="E81" t="s">
        <v>106</v>
      </c>
      <c r="F81" t="s">
        <v>215</v>
      </c>
      <c r="G81" t="s">
        <v>23</v>
      </c>
      <c r="H81" t="s">
        <v>23</v>
      </c>
      <c r="I81" t="s">
        <v>23</v>
      </c>
      <c r="L81" s="18">
        <v>72</v>
      </c>
      <c r="M81" t="s">
        <v>24</v>
      </c>
      <c r="N81" t="s">
        <v>31</v>
      </c>
    </row>
    <row r="82" spans="1:14" x14ac:dyDescent="0.25">
      <c r="A82" t="s">
        <v>210</v>
      </c>
      <c r="B82" t="s">
        <v>76</v>
      </c>
      <c r="C82" s="8" t="s">
        <v>216</v>
      </c>
      <c r="D82" t="s">
        <v>37</v>
      </c>
      <c r="E82" t="s">
        <v>109</v>
      </c>
      <c r="F82" t="s">
        <v>217</v>
      </c>
      <c r="G82" t="s">
        <v>23</v>
      </c>
      <c r="H82" t="s">
        <v>23</v>
      </c>
      <c r="I82" t="s">
        <v>23</v>
      </c>
      <c r="L82" s="21">
        <v>5000</v>
      </c>
      <c r="M82" t="s">
        <v>24</v>
      </c>
      <c r="N82" t="s">
        <v>31</v>
      </c>
    </row>
    <row r="83" spans="1:14" x14ac:dyDescent="0.25">
      <c r="A83" t="s">
        <v>210</v>
      </c>
      <c r="B83" t="s">
        <v>76</v>
      </c>
      <c r="C83" s="8" t="s">
        <v>218</v>
      </c>
      <c r="D83" t="s">
        <v>219</v>
      </c>
      <c r="E83" t="s">
        <v>219</v>
      </c>
      <c r="F83" t="s">
        <v>156</v>
      </c>
      <c r="G83" t="s">
        <v>23</v>
      </c>
      <c r="H83" t="s">
        <v>23</v>
      </c>
      <c r="I83" t="s">
        <v>23</v>
      </c>
      <c r="K83" s="18">
        <v>15</v>
      </c>
      <c r="L83" s="18">
        <v>18</v>
      </c>
      <c r="M83" t="s">
        <v>24</v>
      </c>
      <c r="N83" t="s">
        <v>185</v>
      </c>
    </row>
    <row r="84" spans="1:14" x14ac:dyDescent="0.25">
      <c r="A84" t="s">
        <v>210</v>
      </c>
      <c r="B84" t="s">
        <v>76</v>
      </c>
      <c r="C84" s="8" t="s">
        <v>220</v>
      </c>
      <c r="D84" t="s">
        <v>219</v>
      </c>
      <c r="E84" t="s">
        <v>219</v>
      </c>
      <c r="F84" t="s">
        <v>156</v>
      </c>
      <c r="G84" t="s">
        <v>23</v>
      </c>
      <c r="H84" t="s">
        <v>23</v>
      </c>
      <c r="I84" t="s">
        <v>23</v>
      </c>
      <c r="J84" s="18">
        <v>2.66</v>
      </c>
      <c r="K84" s="18">
        <v>2.7</v>
      </c>
      <c r="L84" s="18">
        <v>2.8</v>
      </c>
      <c r="M84" t="s">
        <v>24</v>
      </c>
      <c r="N84" t="s">
        <v>185</v>
      </c>
    </row>
    <row r="85" spans="1:14" x14ac:dyDescent="0.25">
      <c r="A85" t="s">
        <v>210</v>
      </c>
      <c r="B85" t="s">
        <v>76</v>
      </c>
      <c r="C85" s="8" t="s">
        <v>221</v>
      </c>
      <c r="D85" t="s">
        <v>222</v>
      </c>
      <c r="E85" t="s">
        <v>222</v>
      </c>
      <c r="F85" t="s">
        <v>156</v>
      </c>
      <c r="G85" t="s">
        <v>23</v>
      </c>
      <c r="H85" t="s">
        <v>23</v>
      </c>
      <c r="I85" t="s">
        <v>23</v>
      </c>
      <c r="K85" s="18">
        <v>15</v>
      </c>
      <c r="L85" s="18">
        <v>18</v>
      </c>
      <c r="M85" t="s">
        <v>24</v>
      </c>
      <c r="N85" t="s">
        <v>185</v>
      </c>
    </row>
    <row r="86" spans="1:14" x14ac:dyDescent="0.25">
      <c r="A86" t="s">
        <v>210</v>
      </c>
      <c r="B86" t="s">
        <v>76</v>
      </c>
      <c r="C86" s="8" t="s">
        <v>223</v>
      </c>
      <c r="D86" t="s">
        <v>222</v>
      </c>
      <c r="E86" t="s">
        <v>222</v>
      </c>
      <c r="F86" t="s">
        <v>156</v>
      </c>
      <c r="G86" t="s">
        <v>23</v>
      </c>
      <c r="H86" t="s">
        <v>23</v>
      </c>
      <c r="I86" t="s">
        <v>23</v>
      </c>
      <c r="J86" s="18">
        <v>2.66</v>
      </c>
      <c r="K86" s="18">
        <v>2.7</v>
      </c>
      <c r="L86" s="18">
        <v>2.8</v>
      </c>
      <c r="M86" t="s">
        <v>24</v>
      </c>
      <c r="N86" t="s">
        <v>185</v>
      </c>
    </row>
    <row r="87" spans="1:14" x14ac:dyDescent="0.25">
      <c r="A87" t="s">
        <v>224</v>
      </c>
      <c r="B87" t="s">
        <v>225</v>
      </c>
      <c r="C87" s="8" t="s">
        <v>226</v>
      </c>
      <c r="D87" t="s">
        <v>69</v>
      </c>
      <c r="E87" t="s">
        <v>69</v>
      </c>
      <c r="F87" t="s">
        <v>40</v>
      </c>
      <c r="G87" t="s">
        <v>23</v>
      </c>
      <c r="H87" t="s">
        <v>23</v>
      </c>
      <c r="I87" t="s">
        <v>23</v>
      </c>
      <c r="K87" s="18">
        <v>0</v>
      </c>
      <c r="L87" s="18">
        <v>20</v>
      </c>
      <c r="M87" t="s">
        <v>41</v>
      </c>
      <c r="N87" t="s">
        <v>185</v>
      </c>
    </row>
    <row r="88" spans="1:14" ht="30" x14ac:dyDescent="0.25">
      <c r="A88" t="s">
        <v>224</v>
      </c>
      <c r="B88" t="s">
        <v>225</v>
      </c>
      <c r="C88" s="8" t="s">
        <v>227</v>
      </c>
      <c r="D88" t="s">
        <v>69</v>
      </c>
      <c r="E88" t="s">
        <v>69</v>
      </c>
      <c r="F88" t="s">
        <v>228</v>
      </c>
      <c r="G88" t="s">
        <v>23</v>
      </c>
      <c r="H88" t="s">
        <v>23</v>
      </c>
      <c r="I88" t="s">
        <v>23</v>
      </c>
      <c r="K88" s="19">
        <v>1</v>
      </c>
      <c r="M88" t="s">
        <v>60</v>
      </c>
      <c r="N88" t="s">
        <v>185</v>
      </c>
    </row>
    <row r="89" spans="1:14" x14ac:dyDescent="0.25">
      <c r="A89" t="s">
        <v>229</v>
      </c>
      <c r="B89" t="s">
        <v>230</v>
      </c>
      <c r="C89" s="8" t="s">
        <v>231</v>
      </c>
      <c r="D89" t="s">
        <v>72</v>
      </c>
      <c r="E89" t="s">
        <v>72</v>
      </c>
      <c r="F89" t="s">
        <v>232</v>
      </c>
      <c r="G89" t="s">
        <v>23</v>
      </c>
      <c r="H89" t="s">
        <v>23</v>
      </c>
      <c r="I89" t="s">
        <v>23</v>
      </c>
      <c r="K89" s="19">
        <v>1</v>
      </c>
      <c r="M89" t="s">
        <v>24</v>
      </c>
      <c r="N89" t="s">
        <v>185</v>
      </c>
    </row>
    <row r="90" spans="1:14" x14ac:dyDescent="0.25">
      <c r="A90" t="s">
        <v>229</v>
      </c>
      <c r="B90" t="s">
        <v>230</v>
      </c>
      <c r="C90" s="8" t="s">
        <v>233</v>
      </c>
      <c r="D90" t="s">
        <v>72</v>
      </c>
      <c r="E90" t="s">
        <v>72</v>
      </c>
      <c r="F90" t="s">
        <v>232</v>
      </c>
      <c r="G90" t="s">
        <v>23</v>
      </c>
      <c r="H90" t="s">
        <v>23</v>
      </c>
      <c r="I90" t="s">
        <v>23</v>
      </c>
      <c r="K90" s="19">
        <v>1</v>
      </c>
      <c r="M90" t="s">
        <v>24</v>
      </c>
      <c r="N90" t="s">
        <v>185</v>
      </c>
    </row>
  </sheetData>
  <autoFilter ref="A3:N91" xr:uid="{86160052-AD2D-4777-9D27-7C6666EC9A56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5D1B-588B-4110-BDA1-8CE744CDC6DE}">
  <dimension ref="A3:F122"/>
  <sheetViews>
    <sheetView topLeftCell="C1" workbookViewId="0">
      <selection activeCell="F35" sqref="F35"/>
    </sheetView>
  </sheetViews>
  <sheetFormatPr baseColWidth="10" defaultColWidth="11.42578125" defaultRowHeight="15" x14ac:dyDescent="0.25"/>
  <cols>
    <col min="1" max="1" width="71.85546875" bestFit="1" customWidth="1"/>
    <col min="2" max="2" width="19" bestFit="1" customWidth="1"/>
    <col min="3" max="3" width="33.5703125" bestFit="1" customWidth="1"/>
    <col min="4" max="4" width="71.85546875" bestFit="1" customWidth="1"/>
    <col min="5" max="5" width="19" bestFit="1" customWidth="1"/>
    <col min="6" max="36" width="33.5703125" bestFit="1" customWidth="1"/>
    <col min="37" max="37" width="11.42578125" bestFit="1" customWidth="1"/>
  </cols>
  <sheetData>
    <row r="3" spans="1:6" x14ac:dyDescent="0.25">
      <c r="A3" s="9" t="s">
        <v>234</v>
      </c>
      <c r="B3" t="s">
        <v>235</v>
      </c>
      <c r="D3" s="9" t="s">
        <v>234</v>
      </c>
      <c r="E3" t="s">
        <v>235</v>
      </c>
    </row>
    <row r="4" spans="1:6" x14ac:dyDescent="0.25">
      <c r="A4" s="2" t="s">
        <v>135</v>
      </c>
      <c r="B4">
        <v>1</v>
      </c>
      <c r="D4" s="2" t="s">
        <v>51</v>
      </c>
      <c r="E4">
        <v>3</v>
      </c>
    </row>
    <row r="5" spans="1:6" x14ac:dyDescent="0.25">
      <c r="A5" s="10" t="s">
        <v>135</v>
      </c>
      <c r="B5">
        <v>1</v>
      </c>
      <c r="D5" s="10" t="s">
        <v>147</v>
      </c>
      <c r="E5">
        <v>1</v>
      </c>
    </row>
    <row r="6" spans="1:6" x14ac:dyDescent="0.25">
      <c r="A6" s="2" t="s">
        <v>55</v>
      </c>
      <c r="D6" s="10" t="s">
        <v>166</v>
      </c>
      <c r="E6">
        <v>1</v>
      </c>
    </row>
    <row r="7" spans="1:6" x14ac:dyDescent="0.25">
      <c r="A7" s="2" t="s">
        <v>73</v>
      </c>
      <c r="B7">
        <v>3</v>
      </c>
      <c r="D7" s="10" t="s">
        <v>165</v>
      </c>
      <c r="E7">
        <v>1</v>
      </c>
    </row>
    <row r="8" spans="1:6" x14ac:dyDescent="0.25">
      <c r="A8" s="10" t="s">
        <v>80</v>
      </c>
      <c r="B8">
        <v>1</v>
      </c>
      <c r="D8" s="2" t="s">
        <v>69</v>
      </c>
      <c r="E8">
        <v>2</v>
      </c>
    </row>
    <row r="9" spans="1:6" x14ac:dyDescent="0.25">
      <c r="A9" s="10" t="s">
        <v>77</v>
      </c>
      <c r="B9">
        <v>1</v>
      </c>
      <c r="D9" s="10" t="s">
        <v>226</v>
      </c>
      <c r="E9">
        <v>1</v>
      </c>
    </row>
    <row r="10" spans="1:6" x14ac:dyDescent="0.25">
      <c r="A10" s="10" t="s">
        <v>74</v>
      </c>
      <c r="B10">
        <v>1</v>
      </c>
      <c r="D10" s="10" t="s">
        <v>227</v>
      </c>
      <c r="E10">
        <v>1</v>
      </c>
    </row>
    <row r="11" spans="1:6" x14ac:dyDescent="0.25">
      <c r="A11" s="2" t="s">
        <v>117</v>
      </c>
      <c r="D11" s="2" t="s">
        <v>205</v>
      </c>
      <c r="E11">
        <v>2</v>
      </c>
    </row>
    <row r="12" spans="1:6" x14ac:dyDescent="0.25">
      <c r="A12" s="2" t="s">
        <v>137</v>
      </c>
      <c r="B12">
        <v>1</v>
      </c>
      <c r="D12" s="10" t="s">
        <v>204</v>
      </c>
      <c r="E12">
        <v>1</v>
      </c>
    </row>
    <row r="13" spans="1:6" x14ac:dyDescent="0.25">
      <c r="A13" s="10" t="s">
        <v>138</v>
      </c>
      <c r="B13">
        <v>1</v>
      </c>
      <c r="D13" s="10" t="s">
        <v>206</v>
      </c>
      <c r="E13">
        <v>1</v>
      </c>
      <c r="F13" s="3" t="s">
        <v>236</v>
      </c>
    </row>
    <row r="14" spans="1:6" x14ac:dyDescent="0.25">
      <c r="A14" s="2" t="s">
        <v>150</v>
      </c>
      <c r="B14">
        <v>4</v>
      </c>
      <c r="D14" s="2" t="s">
        <v>66</v>
      </c>
      <c r="E14">
        <v>2</v>
      </c>
    </row>
    <row r="15" spans="1:6" x14ac:dyDescent="0.25">
      <c r="A15" s="10" t="s">
        <v>155</v>
      </c>
      <c r="B15">
        <v>1</v>
      </c>
      <c r="D15" s="10" t="s">
        <v>193</v>
      </c>
      <c r="E15">
        <v>1</v>
      </c>
    </row>
    <row r="16" spans="1:6" x14ac:dyDescent="0.25">
      <c r="A16" s="10" t="s">
        <v>151</v>
      </c>
      <c r="B16">
        <v>1</v>
      </c>
      <c r="D16" s="10" t="s">
        <v>191</v>
      </c>
      <c r="E16">
        <v>1</v>
      </c>
    </row>
    <row r="17" spans="1:6" x14ac:dyDescent="0.25">
      <c r="A17" s="10" t="s">
        <v>153</v>
      </c>
      <c r="B17">
        <v>1</v>
      </c>
      <c r="D17" s="2" t="s">
        <v>45</v>
      </c>
      <c r="E17">
        <v>3</v>
      </c>
    </row>
    <row r="18" spans="1:6" x14ac:dyDescent="0.25">
      <c r="A18" s="10" t="s">
        <v>157</v>
      </c>
      <c r="B18">
        <v>1</v>
      </c>
      <c r="D18" s="10" t="s">
        <v>173</v>
      </c>
      <c r="E18">
        <v>1</v>
      </c>
    </row>
    <row r="19" spans="1:6" x14ac:dyDescent="0.25">
      <c r="A19" s="2" t="s">
        <v>52</v>
      </c>
      <c r="B19">
        <v>1</v>
      </c>
      <c r="D19" s="10" t="s">
        <v>141</v>
      </c>
      <c r="E19">
        <v>1</v>
      </c>
    </row>
    <row r="20" spans="1:6" x14ac:dyDescent="0.25">
      <c r="A20" s="10" t="s">
        <v>53</v>
      </c>
      <c r="B20">
        <v>1</v>
      </c>
      <c r="D20" s="10" t="s">
        <v>138</v>
      </c>
      <c r="E20">
        <v>1</v>
      </c>
    </row>
    <row r="21" spans="1:6" x14ac:dyDescent="0.25">
      <c r="A21" s="2" t="s">
        <v>38</v>
      </c>
      <c r="B21">
        <v>4</v>
      </c>
      <c r="D21" s="2" t="s">
        <v>42</v>
      </c>
      <c r="E21">
        <v>4</v>
      </c>
    </row>
    <row r="22" spans="1:6" x14ac:dyDescent="0.25">
      <c r="A22" s="10" t="s">
        <v>46</v>
      </c>
      <c r="B22">
        <v>1</v>
      </c>
      <c r="D22" s="10" t="s">
        <v>170</v>
      </c>
      <c r="E22">
        <v>1</v>
      </c>
    </row>
    <row r="23" spans="1:6" x14ac:dyDescent="0.25">
      <c r="A23" s="10" t="s">
        <v>49</v>
      </c>
      <c r="B23">
        <v>1</v>
      </c>
      <c r="D23" s="10" t="s">
        <v>98</v>
      </c>
      <c r="E23">
        <v>1</v>
      </c>
    </row>
    <row r="24" spans="1:6" x14ac:dyDescent="0.25">
      <c r="A24" s="10" t="s">
        <v>43</v>
      </c>
      <c r="B24">
        <v>1</v>
      </c>
      <c r="D24" s="10" t="s">
        <v>101</v>
      </c>
      <c r="E24">
        <v>1</v>
      </c>
    </row>
    <row r="25" spans="1:6" x14ac:dyDescent="0.25">
      <c r="A25" s="10" t="s">
        <v>39</v>
      </c>
      <c r="B25">
        <v>1</v>
      </c>
      <c r="D25" s="10" t="s">
        <v>104</v>
      </c>
      <c r="E25">
        <v>1</v>
      </c>
    </row>
    <row r="26" spans="1:6" x14ac:dyDescent="0.25">
      <c r="A26" s="2" t="s">
        <v>126</v>
      </c>
      <c r="B26">
        <v>2</v>
      </c>
      <c r="D26" s="2" t="s">
        <v>47</v>
      </c>
      <c r="E26">
        <v>4</v>
      </c>
    </row>
    <row r="27" spans="1:6" x14ac:dyDescent="0.25">
      <c r="A27" s="10" t="s">
        <v>127</v>
      </c>
      <c r="B27">
        <v>1</v>
      </c>
      <c r="D27" s="10" t="s">
        <v>168</v>
      </c>
      <c r="E27">
        <v>1</v>
      </c>
    </row>
    <row r="28" spans="1:6" x14ac:dyDescent="0.25">
      <c r="A28" s="10" t="s">
        <v>129</v>
      </c>
      <c r="B28">
        <v>1</v>
      </c>
      <c r="D28" s="10" t="s">
        <v>46</v>
      </c>
      <c r="E28">
        <v>1</v>
      </c>
    </row>
    <row r="29" spans="1:6" x14ac:dyDescent="0.25">
      <c r="A29" s="2" t="s">
        <v>103</v>
      </c>
      <c r="B29">
        <v>3</v>
      </c>
      <c r="D29" s="10" t="s">
        <v>49</v>
      </c>
      <c r="E29">
        <v>1</v>
      </c>
    </row>
    <row r="30" spans="1:6" x14ac:dyDescent="0.25">
      <c r="A30" s="10" t="s">
        <v>105</v>
      </c>
      <c r="B30">
        <v>1</v>
      </c>
      <c r="D30" s="10" t="s">
        <v>53</v>
      </c>
      <c r="E30">
        <v>1</v>
      </c>
    </row>
    <row r="31" spans="1:6" x14ac:dyDescent="0.25">
      <c r="A31" s="10" t="s">
        <v>108</v>
      </c>
      <c r="B31">
        <v>1</v>
      </c>
      <c r="D31" s="2" t="s">
        <v>92</v>
      </c>
      <c r="E31">
        <v>1</v>
      </c>
    </row>
    <row r="32" spans="1:6" x14ac:dyDescent="0.25">
      <c r="A32" s="10" t="s">
        <v>104</v>
      </c>
      <c r="B32">
        <v>1</v>
      </c>
      <c r="D32" s="10" t="s">
        <v>175</v>
      </c>
      <c r="E32">
        <v>1</v>
      </c>
      <c r="F32" t="s">
        <v>237</v>
      </c>
    </row>
    <row r="33" spans="1:5" x14ac:dyDescent="0.25">
      <c r="A33" s="2" t="s">
        <v>118</v>
      </c>
      <c r="B33">
        <v>1</v>
      </c>
      <c r="D33" s="2" t="s">
        <v>54</v>
      </c>
      <c r="E33">
        <v>3</v>
      </c>
    </row>
    <row r="34" spans="1:5" x14ac:dyDescent="0.25">
      <c r="A34" s="10" t="s">
        <v>119</v>
      </c>
      <c r="B34">
        <v>1</v>
      </c>
      <c r="D34" s="10" t="s">
        <v>163</v>
      </c>
      <c r="E34">
        <v>1</v>
      </c>
    </row>
    <row r="35" spans="1:5" x14ac:dyDescent="0.25">
      <c r="A35" s="2" t="s">
        <v>159</v>
      </c>
      <c r="B35">
        <v>1</v>
      </c>
      <c r="D35" s="10" t="s">
        <v>174</v>
      </c>
      <c r="E35">
        <v>1</v>
      </c>
    </row>
    <row r="36" spans="1:5" x14ac:dyDescent="0.25">
      <c r="A36" s="10" t="s">
        <v>160</v>
      </c>
      <c r="B36">
        <v>1</v>
      </c>
      <c r="D36" s="10" t="s">
        <v>160</v>
      </c>
      <c r="E36">
        <v>1</v>
      </c>
    </row>
    <row r="37" spans="1:5" x14ac:dyDescent="0.25">
      <c r="A37" s="2" t="s">
        <v>62</v>
      </c>
      <c r="B37">
        <v>3</v>
      </c>
      <c r="D37" s="2" t="s">
        <v>79</v>
      </c>
      <c r="E37">
        <v>2</v>
      </c>
    </row>
    <row r="38" spans="1:5" x14ac:dyDescent="0.25">
      <c r="A38" s="10" t="s">
        <v>70</v>
      </c>
      <c r="B38">
        <v>1</v>
      </c>
      <c r="D38" s="10" t="s">
        <v>133</v>
      </c>
      <c r="E38">
        <v>1</v>
      </c>
    </row>
    <row r="39" spans="1:5" x14ac:dyDescent="0.25">
      <c r="A39" s="10" t="s">
        <v>63</v>
      </c>
      <c r="B39">
        <v>1</v>
      </c>
      <c r="D39" s="10" t="s">
        <v>131</v>
      </c>
      <c r="E39">
        <v>1</v>
      </c>
    </row>
    <row r="40" spans="1:5" x14ac:dyDescent="0.25">
      <c r="A40" s="10" t="s">
        <v>67</v>
      </c>
      <c r="B40">
        <v>1</v>
      </c>
      <c r="D40" s="2" t="s">
        <v>87</v>
      </c>
      <c r="E40">
        <v>1</v>
      </c>
    </row>
    <row r="41" spans="1:5" x14ac:dyDescent="0.25">
      <c r="A41" s="2" t="s">
        <v>83</v>
      </c>
      <c r="B41">
        <v>3</v>
      </c>
      <c r="D41" s="10" t="s">
        <v>169</v>
      </c>
      <c r="E41">
        <v>1</v>
      </c>
    </row>
    <row r="42" spans="1:5" x14ac:dyDescent="0.25">
      <c r="A42" s="10" t="s">
        <v>84</v>
      </c>
      <c r="B42">
        <v>1</v>
      </c>
      <c r="D42" s="2" t="s">
        <v>172</v>
      </c>
      <c r="E42">
        <v>1</v>
      </c>
    </row>
    <row r="43" spans="1:5" x14ac:dyDescent="0.25">
      <c r="A43" s="10" t="s">
        <v>90</v>
      </c>
      <c r="B43">
        <v>1</v>
      </c>
      <c r="D43" s="10" t="s">
        <v>171</v>
      </c>
      <c r="E43">
        <v>1</v>
      </c>
    </row>
    <row r="44" spans="1:5" x14ac:dyDescent="0.25">
      <c r="A44" s="10" t="s">
        <v>88</v>
      </c>
      <c r="B44">
        <v>1</v>
      </c>
      <c r="D44" s="2" t="s">
        <v>32</v>
      </c>
      <c r="E44">
        <v>17</v>
      </c>
    </row>
    <row r="45" spans="1:5" x14ac:dyDescent="0.25">
      <c r="A45" s="2" t="s">
        <v>146</v>
      </c>
      <c r="B45">
        <v>1</v>
      </c>
      <c r="D45" s="10" t="s">
        <v>180</v>
      </c>
      <c r="E45">
        <v>1</v>
      </c>
    </row>
    <row r="46" spans="1:5" x14ac:dyDescent="0.25">
      <c r="A46" s="10" t="s">
        <v>147</v>
      </c>
      <c r="B46">
        <v>1</v>
      </c>
      <c r="D46" s="10" t="s">
        <v>151</v>
      </c>
      <c r="E46">
        <v>1</v>
      </c>
    </row>
    <row r="47" spans="1:5" x14ac:dyDescent="0.25">
      <c r="A47" s="2" t="s">
        <v>143</v>
      </c>
      <c r="B47">
        <v>2</v>
      </c>
      <c r="D47" s="10" t="s">
        <v>70</v>
      </c>
      <c r="E47">
        <v>1</v>
      </c>
    </row>
    <row r="48" spans="1:5" x14ac:dyDescent="0.25">
      <c r="A48" s="10" t="s">
        <v>144</v>
      </c>
      <c r="B48">
        <v>1</v>
      </c>
      <c r="D48" s="10" t="s">
        <v>188</v>
      </c>
      <c r="E48">
        <v>1</v>
      </c>
    </row>
    <row r="49" spans="1:5" x14ac:dyDescent="0.25">
      <c r="A49" s="10" t="s">
        <v>145</v>
      </c>
      <c r="B49">
        <v>1</v>
      </c>
      <c r="D49" s="10" t="s">
        <v>177</v>
      </c>
      <c r="E49">
        <v>1</v>
      </c>
    </row>
    <row r="50" spans="1:5" x14ac:dyDescent="0.25">
      <c r="A50" s="2" t="s">
        <v>56</v>
      </c>
      <c r="B50">
        <v>1</v>
      </c>
      <c r="D50" s="10" t="s">
        <v>179</v>
      </c>
      <c r="E50">
        <v>1</v>
      </c>
    </row>
    <row r="51" spans="1:5" x14ac:dyDescent="0.25">
      <c r="A51" s="10" t="s">
        <v>57</v>
      </c>
      <c r="B51">
        <v>1</v>
      </c>
      <c r="D51" s="10" t="s">
        <v>157</v>
      </c>
      <c r="E51">
        <v>1</v>
      </c>
    </row>
    <row r="52" spans="1:5" x14ac:dyDescent="0.25">
      <c r="A52" s="2" t="s">
        <v>17</v>
      </c>
      <c r="B52">
        <v>3</v>
      </c>
      <c r="D52" s="10" t="s">
        <v>181</v>
      </c>
      <c r="E52">
        <v>1</v>
      </c>
    </row>
    <row r="53" spans="1:5" x14ac:dyDescent="0.25">
      <c r="A53" s="10" t="s">
        <v>19</v>
      </c>
      <c r="B53">
        <v>1</v>
      </c>
      <c r="D53" s="10" t="s">
        <v>94</v>
      </c>
      <c r="E53">
        <v>1</v>
      </c>
    </row>
    <row r="54" spans="1:5" x14ac:dyDescent="0.25">
      <c r="A54" s="10" t="s">
        <v>34</v>
      </c>
      <c r="B54">
        <v>1</v>
      </c>
      <c r="D54" s="10" t="s">
        <v>144</v>
      </c>
      <c r="E54">
        <v>1</v>
      </c>
    </row>
    <row r="55" spans="1:5" x14ac:dyDescent="0.25">
      <c r="A55" s="10" t="s">
        <v>28</v>
      </c>
      <c r="B55">
        <v>1</v>
      </c>
      <c r="D55" s="10" t="s">
        <v>74</v>
      </c>
      <c r="E55">
        <v>1</v>
      </c>
    </row>
    <row r="56" spans="1:5" x14ac:dyDescent="0.25">
      <c r="A56" s="2" t="s">
        <v>93</v>
      </c>
      <c r="B56">
        <v>3</v>
      </c>
      <c r="D56" s="10" t="s">
        <v>112</v>
      </c>
      <c r="E56">
        <v>1</v>
      </c>
    </row>
    <row r="57" spans="1:5" x14ac:dyDescent="0.25">
      <c r="A57" s="10" t="s">
        <v>94</v>
      </c>
      <c r="B57">
        <v>1</v>
      </c>
      <c r="D57" s="10" t="s">
        <v>34</v>
      </c>
      <c r="E57">
        <v>1</v>
      </c>
    </row>
    <row r="58" spans="1:5" x14ac:dyDescent="0.25">
      <c r="A58" s="10" t="s">
        <v>95</v>
      </c>
      <c r="B58">
        <v>1</v>
      </c>
      <c r="D58" s="10" t="s">
        <v>84</v>
      </c>
      <c r="E58">
        <v>1</v>
      </c>
    </row>
    <row r="59" spans="1:5" x14ac:dyDescent="0.25">
      <c r="A59" s="10" t="s">
        <v>98</v>
      </c>
      <c r="B59">
        <v>1</v>
      </c>
      <c r="D59" s="10" t="s">
        <v>111</v>
      </c>
      <c r="E59">
        <v>1</v>
      </c>
    </row>
    <row r="60" spans="1:5" x14ac:dyDescent="0.25">
      <c r="A60" s="2" t="s">
        <v>132</v>
      </c>
      <c r="B60">
        <v>1</v>
      </c>
      <c r="D60" s="10" t="s">
        <v>67</v>
      </c>
      <c r="E60">
        <v>1</v>
      </c>
    </row>
    <row r="61" spans="1:5" x14ac:dyDescent="0.25">
      <c r="A61" s="10" t="s">
        <v>133</v>
      </c>
      <c r="B61">
        <v>1</v>
      </c>
      <c r="D61" s="10" t="s">
        <v>183</v>
      </c>
      <c r="E61">
        <v>1</v>
      </c>
    </row>
    <row r="62" spans="1:5" x14ac:dyDescent="0.25">
      <c r="A62" s="2" t="s">
        <v>130</v>
      </c>
      <c r="B62">
        <v>1</v>
      </c>
      <c r="D62" s="2" t="s">
        <v>26</v>
      </c>
      <c r="E62">
        <v>15</v>
      </c>
    </row>
    <row r="63" spans="1:5" x14ac:dyDescent="0.25">
      <c r="A63" s="10" t="s">
        <v>131</v>
      </c>
      <c r="B63">
        <v>1</v>
      </c>
      <c r="D63" s="10" t="s">
        <v>122</v>
      </c>
      <c r="E63">
        <v>1</v>
      </c>
    </row>
    <row r="64" spans="1:5" x14ac:dyDescent="0.25">
      <c r="A64" s="2" t="s">
        <v>121</v>
      </c>
      <c r="B64">
        <v>2</v>
      </c>
      <c r="D64" s="10" t="s">
        <v>202</v>
      </c>
      <c r="E64">
        <v>1</v>
      </c>
    </row>
    <row r="65" spans="1:5" x14ac:dyDescent="0.25">
      <c r="A65" s="10" t="s">
        <v>122</v>
      </c>
      <c r="B65">
        <v>1</v>
      </c>
      <c r="D65" s="10" t="s">
        <v>153</v>
      </c>
      <c r="E65">
        <v>1</v>
      </c>
    </row>
    <row r="66" spans="1:5" x14ac:dyDescent="0.25">
      <c r="A66" s="10" t="s">
        <v>124</v>
      </c>
      <c r="B66">
        <v>1</v>
      </c>
      <c r="D66" s="10" t="s">
        <v>124</v>
      </c>
      <c r="E66">
        <v>1</v>
      </c>
    </row>
    <row r="67" spans="1:5" x14ac:dyDescent="0.25">
      <c r="A67" s="2" t="s">
        <v>224</v>
      </c>
      <c r="B67">
        <v>2</v>
      </c>
      <c r="D67" s="10" t="s">
        <v>145</v>
      </c>
      <c r="E67">
        <v>1</v>
      </c>
    </row>
    <row r="68" spans="1:5" x14ac:dyDescent="0.25">
      <c r="A68" s="10" t="s">
        <v>226</v>
      </c>
      <c r="B68">
        <v>1</v>
      </c>
      <c r="D68" s="10" t="s">
        <v>80</v>
      </c>
      <c r="E68">
        <v>1</v>
      </c>
    </row>
    <row r="69" spans="1:5" x14ac:dyDescent="0.25">
      <c r="A69" s="10" t="s">
        <v>227</v>
      </c>
      <c r="B69">
        <v>1</v>
      </c>
      <c r="D69" s="10" t="s">
        <v>77</v>
      </c>
      <c r="E69">
        <v>1</v>
      </c>
    </row>
    <row r="70" spans="1:5" x14ac:dyDescent="0.25">
      <c r="A70" s="2" t="s">
        <v>176</v>
      </c>
      <c r="B70">
        <v>5</v>
      </c>
      <c r="D70" s="10" t="s">
        <v>119</v>
      </c>
      <c r="E70">
        <v>1</v>
      </c>
    </row>
    <row r="71" spans="1:5" x14ac:dyDescent="0.25">
      <c r="A71" s="10" t="s">
        <v>180</v>
      </c>
      <c r="B71">
        <v>1</v>
      </c>
      <c r="D71" s="10" t="s">
        <v>28</v>
      </c>
      <c r="E71">
        <v>1</v>
      </c>
    </row>
    <row r="72" spans="1:5" x14ac:dyDescent="0.25">
      <c r="A72" s="10" t="s">
        <v>177</v>
      </c>
      <c r="B72">
        <v>1</v>
      </c>
      <c r="D72" s="10" t="s">
        <v>200</v>
      </c>
      <c r="E72">
        <v>1</v>
      </c>
    </row>
    <row r="73" spans="1:5" x14ac:dyDescent="0.25">
      <c r="A73" s="10" t="s">
        <v>179</v>
      </c>
      <c r="B73">
        <v>1</v>
      </c>
      <c r="D73" s="10" t="s">
        <v>88</v>
      </c>
      <c r="E73">
        <v>1</v>
      </c>
    </row>
    <row r="74" spans="1:5" x14ac:dyDescent="0.25">
      <c r="A74" s="10" t="s">
        <v>181</v>
      </c>
      <c r="B74">
        <v>1</v>
      </c>
      <c r="D74" s="10" t="s">
        <v>57</v>
      </c>
      <c r="E74">
        <v>1</v>
      </c>
    </row>
    <row r="75" spans="1:5" x14ac:dyDescent="0.25">
      <c r="A75" s="10" t="s">
        <v>183</v>
      </c>
      <c r="B75">
        <v>1</v>
      </c>
      <c r="D75" s="10" t="s">
        <v>197</v>
      </c>
      <c r="E75">
        <v>1</v>
      </c>
    </row>
    <row r="76" spans="1:5" x14ac:dyDescent="0.25">
      <c r="A76" s="2" t="s">
        <v>194</v>
      </c>
      <c r="B76">
        <v>8</v>
      </c>
      <c r="D76" s="10" t="s">
        <v>113</v>
      </c>
      <c r="E76">
        <v>1</v>
      </c>
    </row>
    <row r="77" spans="1:5" x14ac:dyDescent="0.25">
      <c r="A77" s="10" t="s">
        <v>202</v>
      </c>
      <c r="B77">
        <v>1</v>
      </c>
      <c r="D77" s="10" t="s">
        <v>195</v>
      </c>
      <c r="E77">
        <v>1</v>
      </c>
    </row>
    <row r="78" spans="1:5" x14ac:dyDescent="0.25">
      <c r="A78" s="10" t="s">
        <v>209</v>
      </c>
      <c r="B78">
        <v>1</v>
      </c>
      <c r="D78" s="2" t="s">
        <v>37</v>
      </c>
      <c r="E78">
        <v>11</v>
      </c>
    </row>
    <row r="79" spans="1:5" x14ac:dyDescent="0.25">
      <c r="A79" s="10" t="s">
        <v>207</v>
      </c>
      <c r="B79">
        <v>1</v>
      </c>
      <c r="D79" s="10" t="s">
        <v>105</v>
      </c>
      <c r="E79">
        <v>1</v>
      </c>
    </row>
    <row r="80" spans="1:5" x14ac:dyDescent="0.25">
      <c r="A80" s="10" t="s">
        <v>200</v>
      </c>
      <c r="B80">
        <v>1</v>
      </c>
      <c r="D80" s="10" t="s">
        <v>108</v>
      </c>
      <c r="E80">
        <v>1</v>
      </c>
    </row>
    <row r="81" spans="1:5" x14ac:dyDescent="0.25">
      <c r="A81" s="10" t="s">
        <v>204</v>
      </c>
      <c r="B81">
        <v>1</v>
      </c>
      <c r="D81" s="10" t="s">
        <v>211</v>
      </c>
      <c r="E81">
        <v>1</v>
      </c>
    </row>
    <row r="82" spans="1:5" x14ac:dyDescent="0.25">
      <c r="A82" s="10" t="s">
        <v>206</v>
      </c>
      <c r="B82">
        <v>1</v>
      </c>
      <c r="D82" s="10" t="s">
        <v>155</v>
      </c>
      <c r="E82">
        <v>1</v>
      </c>
    </row>
    <row r="83" spans="1:5" x14ac:dyDescent="0.25">
      <c r="A83" s="10" t="s">
        <v>197</v>
      </c>
      <c r="B83">
        <v>1</v>
      </c>
      <c r="D83" s="10" t="s">
        <v>214</v>
      </c>
      <c r="E83">
        <v>1</v>
      </c>
    </row>
    <row r="84" spans="1:5" x14ac:dyDescent="0.25">
      <c r="A84" s="10" t="s">
        <v>195</v>
      </c>
      <c r="B84">
        <v>1</v>
      </c>
      <c r="D84" s="10" t="s">
        <v>213</v>
      </c>
      <c r="E84">
        <v>1</v>
      </c>
    </row>
    <row r="85" spans="1:5" x14ac:dyDescent="0.25">
      <c r="A85" s="2" t="s">
        <v>210</v>
      </c>
      <c r="B85">
        <v>8</v>
      </c>
      <c r="D85" s="10" t="s">
        <v>95</v>
      </c>
      <c r="E85">
        <v>1</v>
      </c>
    </row>
    <row r="86" spans="1:5" x14ac:dyDescent="0.25">
      <c r="A86" s="10" t="s">
        <v>211</v>
      </c>
      <c r="B86">
        <v>1</v>
      </c>
      <c r="D86" s="10" t="s">
        <v>90</v>
      </c>
      <c r="E86">
        <v>1</v>
      </c>
    </row>
    <row r="87" spans="1:5" x14ac:dyDescent="0.25">
      <c r="A87" s="10" t="s">
        <v>220</v>
      </c>
      <c r="B87">
        <v>1</v>
      </c>
      <c r="D87" s="10" t="s">
        <v>127</v>
      </c>
      <c r="E87">
        <v>1</v>
      </c>
    </row>
    <row r="88" spans="1:5" x14ac:dyDescent="0.25">
      <c r="A88" s="10" t="s">
        <v>223</v>
      </c>
      <c r="B88">
        <v>1</v>
      </c>
      <c r="D88" s="10" t="s">
        <v>129</v>
      </c>
      <c r="E88">
        <v>1</v>
      </c>
    </row>
    <row r="89" spans="1:5" x14ac:dyDescent="0.25">
      <c r="A89" s="10" t="s">
        <v>214</v>
      </c>
      <c r="B89">
        <v>1</v>
      </c>
      <c r="D89" s="10" t="s">
        <v>216</v>
      </c>
      <c r="E89">
        <v>1</v>
      </c>
    </row>
    <row r="90" spans="1:5" x14ac:dyDescent="0.25">
      <c r="A90" s="10" t="s">
        <v>213</v>
      </c>
      <c r="B90">
        <v>1</v>
      </c>
      <c r="D90" s="2" t="s">
        <v>20</v>
      </c>
      <c r="E90">
        <v>3</v>
      </c>
    </row>
    <row r="91" spans="1:5" x14ac:dyDescent="0.25">
      <c r="A91" s="10" t="s">
        <v>218</v>
      </c>
      <c r="B91">
        <v>1</v>
      </c>
      <c r="D91" s="10" t="s">
        <v>19</v>
      </c>
      <c r="E91">
        <v>1</v>
      </c>
    </row>
    <row r="92" spans="1:5" x14ac:dyDescent="0.25">
      <c r="A92" s="10" t="s">
        <v>221</v>
      </c>
      <c r="B92">
        <v>1</v>
      </c>
      <c r="D92" s="10" t="s">
        <v>43</v>
      </c>
      <c r="E92">
        <v>1</v>
      </c>
    </row>
    <row r="93" spans="1:5" x14ac:dyDescent="0.25">
      <c r="A93" s="10" t="s">
        <v>216</v>
      </c>
      <c r="B93">
        <v>1</v>
      </c>
      <c r="D93" s="10" t="s">
        <v>39</v>
      </c>
      <c r="E93">
        <v>1</v>
      </c>
    </row>
    <row r="94" spans="1:5" x14ac:dyDescent="0.25">
      <c r="A94" s="2" t="s">
        <v>186</v>
      </c>
      <c r="B94">
        <v>4</v>
      </c>
      <c r="D94" s="2" t="s">
        <v>219</v>
      </c>
      <c r="E94">
        <v>2</v>
      </c>
    </row>
    <row r="95" spans="1:5" x14ac:dyDescent="0.25">
      <c r="A95" s="10" t="s">
        <v>188</v>
      </c>
      <c r="B95">
        <v>1</v>
      </c>
      <c r="D95" s="10" t="s">
        <v>220</v>
      </c>
      <c r="E95">
        <v>1</v>
      </c>
    </row>
    <row r="96" spans="1:5" x14ac:dyDescent="0.25">
      <c r="A96" s="10" t="s">
        <v>189</v>
      </c>
      <c r="B96">
        <v>1</v>
      </c>
      <c r="D96" s="10" t="s">
        <v>218</v>
      </c>
      <c r="E96">
        <v>1</v>
      </c>
    </row>
    <row r="97" spans="1:5" x14ac:dyDescent="0.25">
      <c r="A97" s="10" t="s">
        <v>193</v>
      </c>
      <c r="B97">
        <v>1</v>
      </c>
      <c r="D97" s="2" t="s">
        <v>208</v>
      </c>
      <c r="E97">
        <v>2</v>
      </c>
    </row>
    <row r="98" spans="1:5" x14ac:dyDescent="0.25">
      <c r="A98" s="10" t="s">
        <v>191</v>
      </c>
      <c r="B98">
        <v>1</v>
      </c>
      <c r="D98" s="10" t="s">
        <v>209</v>
      </c>
      <c r="E98">
        <v>1</v>
      </c>
    </row>
    <row r="99" spans="1:5" x14ac:dyDescent="0.25">
      <c r="A99" s="2" t="s">
        <v>229</v>
      </c>
      <c r="B99">
        <v>2</v>
      </c>
      <c r="D99" s="10" t="s">
        <v>207</v>
      </c>
      <c r="E99">
        <v>1</v>
      </c>
    </row>
    <row r="100" spans="1:5" x14ac:dyDescent="0.25">
      <c r="A100" s="10" t="s">
        <v>231</v>
      </c>
      <c r="B100">
        <v>1</v>
      </c>
      <c r="D100" s="2" t="s">
        <v>82</v>
      </c>
      <c r="E100">
        <v>1</v>
      </c>
    </row>
    <row r="101" spans="1:5" x14ac:dyDescent="0.25">
      <c r="A101" s="10" t="s">
        <v>233</v>
      </c>
      <c r="B101">
        <v>1</v>
      </c>
      <c r="D101" s="10" t="s">
        <v>135</v>
      </c>
      <c r="E101">
        <v>1</v>
      </c>
    </row>
    <row r="102" spans="1:5" x14ac:dyDescent="0.25">
      <c r="A102" s="2" t="s">
        <v>100</v>
      </c>
      <c r="B102">
        <v>1</v>
      </c>
      <c r="D102" s="2" t="s">
        <v>61</v>
      </c>
      <c r="E102">
        <v>2</v>
      </c>
    </row>
    <row r="103" spans="1:5" x14ac:dyDescent="0.25">
      <c r="A103" s="10" t="s">
        <v>101</v>
      </c>
      <c r="B103">
        <v>1</v>
      </c>
      <c r="D103" s="10" t="s">
        <v>189</v>
      </c>
      <c r="E103">
        <v>1</v>
      </c>
    </row>
    <row r="104" spans="1:5" x14ac:dyDescent="0.25">
      <c r="A104" s="2" t="s">
        <v>110</v>
      </c>
      <c r="B104">
        <v>3</v>
      </c>
      <c r="D104" s="10" t="s">
        <v>63</v>
      </c>
      <c r="E104">
        <v>1</v>
      </c>
    </row>
    <row r="105" spans="1:5" x14ac:dyDescent="0.25">
      <c r="A105" s="10" t="s">
        <v>112</v>
      </c>
      <c r="B105">
        <v>1</v>
      </c>
      <c r="D105" s="2" t="s">
        <v>72</v>
      </c>
      <c r="E105">
        <v>2</v>
      </c>
    </row>
    <row r="106" spans="1:5" x14ac:dyDescent="0.25">
      <c r="A106" s="10" t="s">
        <v>111</v>
      </c>
      <c r="B106">
        <v>1</v>
      </c>
      <c r="D106" s="10" t="s">
        <v>231</v>
      </c>
      <c r="E106">
        <v>1</v>
      </c>
    </row>
    <row r="107" spans="1:5" x14ac:dyDescent="0.25">
      <c r="A107" s="10" t="s">
        <v>113</v>
      </c>
      <c r="B107">
        <v>1</v>
      </c>
      <c r="D107" s="10" t="s">
        <v>233</v>
      </c>
      <c r="E107">
        <v>1</v>
      </c>
    </row>
    <row r="108" spans="1:5" x14ac:dyDescent="0.25">
      <c r="A108" s="2" t="s">
        <v>140</v>
      </c>
      <c r="B108">
        <v>1</v>
      </c>
      <c r="D108" s="2" t="s">
        <v>222</v>
      </c>
      <c r="E108">
        <v>2</v>
      </c>
    </row>
    <row r="109" spans="1:5" x14ac:dyDescent="0.25">
      <c r="A109" s="10" t="s">
        <v>141</v>
      </c>
      <c r="B109">
        <v>1</v>
      </c>
      <c r="D109" s="10" t="s">
        <v>223</v>
      </c>
      <c r="E109">
        <v>1</v>
      </c>
    </row>
    <row r="110" spans="1:5" x14ac:dyDescent="0.25">
      <c r="A110" s="2" t="s">
        <v>162</v>
      </c>
      <c r="B110">
        <v>3</v>
      </c>
      <c r="D110" s="10" t="s">
        <v>221</v>
      </c>
      <c r="E110">
        <v>1</v>
      </c>
    </row>
    <row r="111" spans="1:5" x14ac:dyDescent="0.25">
      <c r="A111" s="10" t="s">
        <v>163</v>
      </c>
      <c r="B111">
        <v>1</v>
      </c>
      <c r="D111" s="2" t="s">
        <v>238</v>
      </c>
    </row>
    <row r="112" spans="1:5" x14ac:dyDescent="0.25">
      <c r="A112" s="10" t="s">
        <v>166</v>
      </c>
      <c r="B112">
        <v>1</v>
      </c>
      <c r="D112" s="2" t="s">
        <v>239</v>
      </c>
      <c r="E112">
        <v>85</v>
      </c>
    </row>
    <row r="113" spans="1:2" x14ac:dyDescent="0.25">
      <c r="A113" s="10" t="s">
        <v>165</v>
      </c>
      <c r="B113">
        <v>1</v>
      </c>
    </row>
    <row r="114" spans="1:2" x14ac:dyDescent="0.25">
      <c r="A114" s="2" t="s">
        <v>167</v>
      </c>
      <c r="B114">
        <v>7</v>
      </c>
    </row>
    <row r="115" spans="1:2" x14ac:dyDescent="0.25">
      <c r="A115" s="10" t="s">
        <v>173</v>
      </c>
      <c r="B115">
        <v>1</v>
      </c>
    </row>
    <row r="116" spans="1:2" x14ac:dyDescent="0.25">
      <c r="A116" s="10" t="s">
        <v>170</v>
      </c>
      <c r="B116">
        <v>1</v>
      </c>
    </row>
    <row r="117" spans="1:2" x14ac:dyDescent="0.25">
      <c r="A117" s="10" t="s">
        <v>168</v>
      </c>
      <c r="B117">
        <v>1</v>
      </c>
    </row>
    <row r="118" spans="1:2" x14ac:dyDescent="0.25">
      <c r="A118" s="10" t="s">
        <v>174</v>
      </c>
      <c r="B118">
        <v>1</v>
      </c>
    </row>
    <row r="119" spans="1:2" x14ac:dyDescent="0.25">
      <c r="A119" s="10" t="s">
        <v>171</v>
      </c>
      <c r="B119">
        <v>1</v>
      </c>
    </row>
    <row r="120" spans="1:2" x14ac:dyDescent="0.25">
      <c r="A120" s="10" t="s">
        <v>169</v>
      </c>
      <c r="B120">
        <v>1</v>
      </c>
    </row>
    <row r="121" spans="1:2" x14ac:dyDescent="0.25">
      <c r="A121" s="10" t="s">
        <v>175</v>
      </c>
      <c r="B121">
        <v>1</v>
      </c>
    </row>
    <row r="122" spans="1:2" x14ac:dyDescent="0.25">
      <c r="A122" s="2" t="s">
        <v>239</v>
      </c>
      <c r="B122">
        <v>85</v>
      </c>
    </row>
  </sheetData>
  <pageMargins left="0.7" right="0.7" top="0.75" bottom="0.75" header="0.3" footer="0.3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E671-16E6-4D41-8374-07CC2D0A216B}">
  <dimension ref="A1:Z146"/>
  <sheetViews>
    <sheetView topLeftCell="B119" workbookViewId="0">
      <selection activeCell="K129" sqref="K129"/>
    </sheetView>
  </sheetViews>
  <sheetFormatPr baseColWidth="10" defaultColWidth="8.7109375" defaultRowHeight="15" x14ac:dyDescent="0.25"/>
  <cols>
    <col min="1" max="1" width="25.85546875" customWidth="1"/>
    <col min="2" max="2" width="21.85546875" customWidth="1"/>
    <col min="3" max="3" width="42.42578125" customWidth="1"/>
    <col min="4" max="4" width="23.140625" customWidth="1"/>
    <col min="5" max="5" width="30.28515625" customWidth="1"/>
    <col min="6" max="7" width="12" customWidth="1"/>
    <col min="8" max="8" width="13.7109375" customWidth="1"/>
    <col min="9" max="9" width="12" customWidth="1"/>
    <col min="10" max="12" width="12" hidden="1" customWidth="1"/>
    <col min="13" max="13" width="21.7109375" customWidth="1"/>
    <col min="14" max="14" width="8.7109375" bestFit="1" customWidth="1"/>
  </cols>
  <sheetData>
    <row r="1" spans="1:26" x14ac:dyDescent="0.25">
      <c r="M1" t="s">
        <v>0</v>
      </c>
    </row>
    <row r="2" spans="1:26" x14ac:dyDescent="0.25">
      <c r="A2" s="1" t="s">
        <v>1</v>
      </c>
      <c r="B2" s="1" t="s">
        <v>2</v>
      </c>
      <c r="C2" s="6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162</v>
      </c>
      <c r="B3" s="2" t="s">
        <v>240</v>
      </c>
      <c r="C3" s="23" t="s">
        <v>241</v>
      </c>
      <c r="D3" s="24" t="s">
        <v>242</v>
      </c>
      <c r="E3" s="2" t="s">
        <v>243</v>
      </c>
      <c r="F3" t="s">
        <v>244</v>
      </c>
      <c r="G3" t="s">
        <v>23</v>
      </c>
      <c r="H3" t="s">
        <v>23</v>
      </c>
      <c r="I3" t="s">
        <v>23</v>
      </c>
      <c r="J3" s="18"/>
      <c r="K3" s="19">
        <v>0.95</v>
      </c>
      <c r="L3" s="18"/>
      <c r="M3" t="s">
        <v>24</v>
      </c>
      <c r="N3" s="2" t="s">
        <v>31</v>
      </c>
    </row>
    <row r="4" spans="1:26" x14ac:dyDescent="0.25">
      <c r="A4" s="2" t="s">
        <v>162</v>
      </c>
      <c r="B4" s="2" t="s">
        <v>240</v>
      </c>
      <c r="C4" s="23" t="s">
        <v>245</v>
      </c>
      <c r="D4" s="24" t="s">
        <v>242</v>
      </c>
      <c r="E4" s="2" t="s">
        <v>243</v>
      </c>
      <c r="G4" t="s">
        <v>23</v>
      </c>
      <c r="H4" t="s">
        <v>23</v>
      </c>
      <c r="I4" t="s">
        <v>23</v>
      </c>
      <c r="J4" s="18">
        <v>905</v>
      </c>
      <c r="K4" s="19">
        <v>0.95</v>
      </c>
      <c r="L4" s="19">
        <v>1</v>
      </c>
      <c r="M4" t="s">
        <v>24</v>
      </c>
      <c r="N4" s="2" t="s">
        <v>31</v>
      </c>
    </row>
    <row r="5" spans="1:26" x14ac:dyDescent="0.25">
      <c r="A5" s="2" t="s">
        <v>162</v>
      </c>
      <c r="B5" s="2" t="s">
        <v>240</v>
      </c>
      <c r="C5" s="23" t="s">
        <v>246</v>
      </c>
      <c r="D5" s="24" t="s">
        <v>242</v>
      </c>
      <c r="E5" s="2" t="s">
        <v>243</v>
      </c>
      <c r="F5" t="s">
        <v>107</v>
      </c>
      <c r="G5" t="s">
        <v>23</v>
      </c>
      <c r="H5" t="s">
        <v>23</v>
      </c>
      <c r="I5" t="s">
        <v>23</v>
      </c>
      <c r="J5" s="19">
        <v>0.95</v>
      </c>
      <c r="K5" s="19">
        <v>1</v>
      </c>
      <c r="L5" s="18"/>
      <c r="M5" t="s">
        <v>24</v>
      </c>
      <c r="N5" s="2" t="s">
        <v>31</v>
      </c>
    </row>
    <row r="6" spans="1:26" ht="30" x14ac:dyDescent="0.25">
      <c r="A6" s="2" t="s">
        <v>247</v>
      </c>
      <c r="B6" s="2" t="s">
        <v>18</v>
      </c>
      <c r="C6" s="7" t="s">
        <v>248</v>
      </c>
      <c r="D6" s="24" t="s">
        <v>249</v>
      </c>
      <c r="E6" s="2" t="s">
        <v>250</v>
      </c>
      <c r="F6" t="s">
        <v>44</v>
      </c>
      <c r="G6" t="s">
        <v>23</v>
      </c>
      <c r="H6" t="s">
        <v>23</v>
      </c>
      <c r="I6" t="s">
        <v>23</v>
      </c>
      <c r="J6" s="18"/>
      <c r="K6" s="18"/>
      <c r="L6" s="18"/>
      <c r="M6" t="s">
        <v>24</v>
      </c>
      <c r="N6" s="2" t="s">
        <v>25</v>
      </c>
    </row>
    <row r="7" spans="1:26" ht="30" x14ac:dyDescent="0.25">
      <c r="A7" s="2" t="s">
        <v>247</v>
      </c>
      <c r="B7" s="2" t="s">
        <v>18</v>
      </c>
      <c r="C7" s="7" t="s">
        <v>248</v>
      </c>
      <c r="D7" s="24" t="s">
        <v>249</v>
      </c>
      <c r="E7" s="2" t="s">
        <v>251</v>
      </c>
      <c r="F7" t="s">
        <v>44</v>
      </c>
      <c r="G7" t="s">
        <v>23</v>
      </c>
      <c r="H7" t="s">
        <v>23</v>
      </c>
      <c r="I7" t="s">
        <v>23</v>
      </c>
      <c r="J7" s="18"/>
      <c r="K7" s="18"/>
      <c r="L7" s="18"/>
      <c r="M7" t="s">
        <v>24</v>
      </c>
      <c r="N7" t="s">
        <v>25</v>
      </c>
    </row>
    <row r="8" spans="1:26" x14ac:dyDescent="0.25">
      <c r="A8" s="2" t="s">
        <v>117</v>
      </c>
      <c r="B8" s="2" t="s">
        <v>18</v>
      </c>
      <c r="C8" s="7" t="s">
        <v>252</v>
      </c>
      <c r="D8" s="24" t="s">
        <v>249</v>
      </c>
      <c r="E8" s="2" t="s">
        <v>250</v>
      </c>
      <c r="F8" t="s">
        <v>44</v>
      </c>
      <c r="G8" t="s">
        <v>23</v>
      </c>
      <c r="H8" t="s">
        <v>23</v>
      </c>
      <c r="I8" t="s">
        <v>23</v>
      </c>
      <c r="J8" s="18"/>
      <c r="K8" s="18"/>
      <c r="L8" s="18"/>
      <c r="M8" t="s">
        <v>24</v>
      </c>
      <c r="N8" t="s">
        <v>25</v>
      </c>
    </row>
    <row r="9" spans="1:26" x14ac:dyDescent="0.25">
      <c r="A9" s="2" t="s">
        <v>56</v>
      </c>
      <c r="B9" s="2" t="s">
        <v>18</v>
      </c>
      <c r="C9" s="7" t="s">
        <v>253</v>
      </c>
      <c r="D9" s="24" t="s">
        <v>249</v>
      </c>
      <c r="E9" s="2" t="s">
        <v>254</v>
      </c>
      <c r="F9" t="s">
        <v>44</v>
      </c>
      <c r="G9" s="2" t="s">
        <v>255</v>
      </c>
      <c r="H9" s="2" t="s">
        <v>255</v>
      </c>
      <c r="I9" s="2" t="s">
        <v>255</v>
      </c>
      <c r="J9" s="22"/>
      <c r="K9" s="22"/>
      <c r="L9" s="22"/>
      <c r="M9" t="s">
        <v>24</v>
      </c>
      <c r="N9" s="2" t="s">
        <v>25</v>
      </c>
    </row>
    <row r="10" spans="1:26" x14ac:dyDescent="0.25">
      <c r="A10" s="2" t="s">
        <v>55</v>
      </c>
      <c r="B10" s="2" t="s">
        <v>18</v>
      </c>
      <c r="C10" s="7" t="s">
        <v>253</v>
      </c>
      <c r="D10" s="24" t="s">
        <v>249</v>
      </c>
      <c r="E10" s="2" t="s">
        <v>256</v>
      </c>
      <c r="F10" t="s">
        <v>44</v>
      </c>
      <c r="G10" s="2" t="s">
        <v>255</v>
      </c>
      <c r="H10" s="2" t="s">
        <v>255</v>
      </c>
      <c r="I10" s="2" t="s">
        <v>255</v>
      </c>
      <c r="J10" s="22"/>
      <c r="K10" s="22"/>
      <c r="L10" s="22"/>
      <c r="M10" t="s">
        <v>24</v>
      </c>
      <c r="N10" s="2" t="s">
        <v>25</v>
      </c>
    </row>
    <row r="11" spans="1:26" x14ac:dyDescent="0.25">
      <c r="A11" s="2" t="s">
        <v>110</v>
      </c>
      <c r="B11" s="2" t="s">
        <v>152</v>
      </c>
      <c r="C11" s="23" t="s">
        <v>257</v>
      </c>
      <c r="D11" s="24" t="s">
        <v>258</v>
      </c>
      <c r="E11" s="2" t="s">
        <v>259</v>
      </c>
      <c r="F11" t="s">
        <v>40</v>
      </c>
      <c r="G11" t="s">
        <v>255</v>
      </c>
      <c r="H11" t="s">
        <v>255</v>
      </c>
      <c r="I11" t="s">
        <v>23</v>
      </c>
      <c r="J11" s="18"/>
      <c r="K11" s="18"/>
      <c r="L11" s="18"/>
      <c r="M11" t="s">
        <v>24</v>
      </c>
      <c r="N11" t="s">
        <v>185</v>
      </c>
    </row>
    <row r="12" spans="1:26" x14ac:dyDescent="0.25">
      <c r="A12" s="2" t="s">
        <v>110</v>
      </c>
      <c r="B12" s="2" t="s">
        <v>152</v>
      </c>
      <c r="C12" s="23" t="s">
        <v>257</v>
      </c>
      <c r="D12" s="24" t="s">
        <v>258</v>
      </c>
      <c r="E12" s="2" t="s">
        <v>260</v>
      </c>
      <c r="F12" t="s">
        <v>40</v>
      </c>
      <c r="G12" t="s">
        <v>255</v>
      </c>
      <c r="H12" t="s">
        <v>255</v>
      </c>
      <c r="I12" t="s">
        <v>23</v>
      </c>
      <c r="J12" s="18"/>
      <c r="K12" s="18"/>
      <c r="L12" s="18"/>
      <c r="M12" t="s">
        <v>24</v>
      </c>
      <c r="N12" t="s">
        <v>185</v>
      </c>
    </row>
    <row r="13" spans="1:26" x14ac:dyDescent="0.25">
      <c r="A13" s="2" t="s">
        <v>17</v>
      </c>
      <c r="B13" s="2" t="s">
        <v>240</v>
      </c>
      <c r="C13" s="25" t="s">
        <v>261</v>
      </c>
      <c r="D13" s="24" t="s">
        <v>262</v>
      </c>
      <c r="E13" s="2" t="s">
        <v>263</v>
      </c>
      <c r="F13" t="s">
        <v>40</v>
      </c>
      <c r="G13" t="s">
        <v>255</v>
      </c>
      <c r="H13" t="s">
        <v>255</v>
      </c>
      <c r="I13" t="s">
        <v>255</v>
      </c>
      <c r="J13" s="18"/>
      <c r="K13" s="19">
        <v>0</v>
      </c>
      <c r="L13" s="18"/>
      <c r="M13" t="s">
        <v>264</v>
      </c>
      <c r="N13" t="s">
        <v>185</v>
      </c>
    </row>
    <row r="14" spans="1:26" x14ac:dyDescent="0.25">
      <c r="A14" s="2" t="s">
        <v>117</v>
      </c>
      <c r="B14" s="2" t="s">
        <v>265</v>
      </c>
      <c r="C14" s="23" t="s">
        <v>266</v>
      </c>
      <c r="D14" s="24" t="s">
        <v>262</v>
      </c>
      <c r="E14" s="2" t="s">
        <v>263</v>
      </c>
      <c r="F14" t="s">
        <v>40</v>
      </c>
      <c r="G14" t="s">
        <v>255</v>
      </c>
      <c r="H14" t="s">
        <v>255</v>
      </c>
      <c r="I14" t="s">
        <v>255</v>
      </c>
      <c r="J14" s="18"/>
      <c r="K14" s="18"/>
      <c r="L14" s="18"/>
      <c r="M14" t="s">
        <v>24</v>
      </c>
      <c r="N14" t="s">
        <v>185</v>
      </c>
    </row>
    <row r="15" spans="1:26" x14ac:dyDescent="0.25">
      <c r="A15" s="2" t="s">
        <v>117</v>
      </c>
      <c r="B15" s="2" t="s">
        <v>18</v>
      </c>
      <c r="C15" s="23" t="s">
        <v>267</v>
      </c>
      <c r="D15" s="24" t="s">
        <v>268</v>
      </c>
      <c r="E15" s="2" t="s">
        <v>269</v>
      </c>
      <c r="F15" t="s">
        <v>40</v>
      </c>
      <c r="G15" t="s">
        <v>23</v>
      </c>
      <c r="H15" t="s">
        <v>23</v>
      </c>
      <c r="I15" t="s">
        <v>23</v>
      </c>
      <c r="J15" s="18"/>
      <c r="K15" s="18"/>
      <c r="L15" s="18"/>
      <c r="M15" t="s">
        <v>24</v>
      </c>
      <c r="N15" t="s">
        <v>185</v>
      </c>
    </row>
    <row r="16" spans="1:26" x14ac:dyDescent="0.25">
      <c r="A16" s="2" t="s">
        <v>117</v>
      </c>
      <c r="B16" s="2" t="s">
        <v>18</v>
      </c>
      <c r="C16" s="23" t="s">
        <v>39</v>
      </c>
      <c r="D16" s="24" t="s">
        <v>268</v>
      </c>
      <c r="E16" s="2" t="s">
        <v>269</v>
      </c>
      <c r="F16" t="s">
        <v>40</v>
      </c>
      <c r="G16" t="s">
        <v>23</v>
      </c>
      <c r="H16" t="s">
        <v>23</v>
      </c>
      <c r="I16" t="s">
        <v>23</v>
      </c>
      <c r="J16" s="18"/>
      <c r="K16" s="18"/>
      <c r="L16" s="18"/>
      <c r="M16" t="s">
        <v>270</v>
      </c>
      <c r="N16" t="s">
        <v>185</v>
      </c>
    </row>
    <row r="17" spans="1:14" x14ac:dyDescent="0.25">
      <c r="A17" s="2" t="s">
        <v>167</v>
      </c>
      <c r="B17" s="2" t="s">
        <v>18</v>
      </c>
      <c r="C17" s="7" t="s">
        <v>175</v>
      </c>
      <c r="D17" s="24" t="s">
        <v>242</v>
      </c>
      <c r="E17" s="2" t="s">
        <v>271</v>
      </c>
      <c r="F17" t="s">
        <v>44</v>
      </c>
      <c r="G17" t="s">
        <v>23</v>
      </c>
      <c r="H17" t="s">
        <v>23</v>
      </c>
      <c r="I17" t="s">
        <v>23</v>
      </c>
      <c r="J17" s="18"/>
      <c r="K17" s="19">
        <v>0.95</v>
      </c>
      <c r="L17" s="18"/>
      <c r="M17" t="s">
        <v>24</v>
      </c>
      <c r="N17" s="2" t="s">
        <v>31</v>
      </c>
    </row>
    <row r="18" spans="1:14" x14ac:dyDescent="0.25">
      <c r="A18" s="2" t="s">
        <v>162</v>
      </c>
      <c r="B18" s="2" t="s">
        <v>240</v>
      </c>
      <c r="C18" t="s">
        <v>272</v>
      </c>
      <c r="D18" s="24" t="s">
        <v>242</v>
      </c>
      <c r="E18" s="2" t="s">
        <v>271</v>
      </c>
      <c r="F18" t="s">
        <v>44</v>
      </c>
      <c r="G18" t="s">
        <v>255</v>
      </c>
      <c r="H18" t="s">
        <v>255</v>
      </c>
      <c r="I18" t="s">
        <v>255</v>
      </c>
      <c r="J18" s="18"/>
      <c r="K18" s="19">
        <v>0.95</v>
      </c>
      <c r="L18" s="18"/>
      <c r="M18" t="s">
        <v>24</v>
      </c>
      <c r="N18" s="2" t="s">
        <v>31</v>
      </c>
    </row>
    <row r="19" spans="1:14" x14ac:dyDescent="0.25">
      <c r="A19" s="2" t="s">
        <v>167</v>
      </c>
      <c r="B19" s="2" t="s">
        <v>18</v>
      </c>
      <c r="C19" s="7" t="s">
        <v>174</v>
      </c>
      <c r="D19" s="24" t="s">
        <v>242</v>
      </c>
      <c r="E19" s="2" t="s">
        <v>271</v>
      </c>
      <c r="F19" t="s">
        <v>44</v>
      </c>
      <c r="G19" t="s">
        <v>23</v>
      </c>
      <c r="H19" t="s">
        <v>23</v>
      </c>
      <c r="I19" t="s">
        <v>23</v>
      </c>
      <c r="J19" s="18"/>
      <c r="K19" s="19">
        <v>0.95</v>
      </c>
      <c r="L19" s="18"/>
      <c r="M19" t="s">
        <v>24</v>
      </c>
      <c r="N19" s="2" t="s">
        <v>31</v>
      </c>
    </row>
    <row r="20" spans="1:14" x14ac:dyDescent="0.25">
      <c r="A20" s="2" t="s">
        <v>17</v>
      </c>
      <c r="B20" s="2" t="s">
        <v>240</v>
      </c>
      <c r="C20" s="25" t="s">
        <v>273</v>
      </c>
      <c r="D20" s="24" t="s">
        <v>274</v>
      </c>
      <c r="E20" s="2" t="s">
        <v>275</v>
      </c>
      <c r="F20" t="s">
        <v>244</v>
      </c>
      <c r="G20" t="s">
        <v>23</v>
      </c>
      <c r="H20" t="s">
        <v>23</v>
      </c>
      <c r="I20" t="s">
        <v>23</v>
      </c>
      <c r="J20" s="18"/>
      <c r="K20" s="19">
        <v>0</v>
      </c>
      <c r="L20" s="18"/>
      <c r="N20" t="s">
        <v>185</v>
      </c>
    </row>
    <row r="21" spans="1:14" ht="30" x14ac:dyDescent="0.25">
      <c r="A21" s="2" t="s">
        <v>110</v>
      </c>
      <c r="B21" s="2" t="s">
        <v>240</v>
      </c>
      <c r="C21" s="25" t="s">
        <v>276</v>
      </c>
      <c r="D21" s="24" t="s">
        <v>274</v>
      </c>
      <c r="E21" s="2" t="s">
        <v>275</v>
      </c>
      <c r="F21" t="s">
        <v>107</v>
      </c>
      <c r="G21" t="s">
        <v>255</v>
      </c>
      <c r="H21" t="s">
        <v>255</v>
      </c>
      <c r="I21" t="s">
        <v>255</v>
      </c>
      <c r="J21" s="19">
        <v>0.95</v>
      </c>
      <c r="K21" s="19">
        <v>0.98</v>
      </c>
      <c r="L21" s="19">
        <v>1</v>
      </c>
      <c r="M21" t="s">
        <v>277</v>
      </c>
      <c r="N21" t="s">
        <v>185</v>
      </c>
    </row>
    <row r="22" spans="1:14" x14ac:dyDescent="0.25">
      <c r="A22" s="2" t="s">
        <v>17</v>
      </c>
      <c r="B22" s="2" t="s">
        <v>265</v>
      </c>
      <c r="C22" s="25" t="s">
        <v>278</v>
      </c>
      <c r="D22" s="24" t="s">
        <v>279</v>
      </c>
      <c r="E22" s="24" t="s">
        <v>280</v>
      </c>
      <c r="F22" t="s">
        <v>244</v>
      </c>
      <c r="G22" t="s">
        <v>23</v>
      </c>
      <c r="H22" t="s">
        <v>23</v>
      </c>
      <c r="I22" t="s">
        <v>23</v>
      </c>
      <c r="J22" s="18"/>
      <c r="K22" s="19">
        <v>0</v>
      </c>
      <c r="L22" s="18"/>
      <c r="M22" t="s">
        <v>24</v>
      </c>
      <c r="N22" t="s">
        <v>185</v>
      </c>
    </row>
    <row r="23" spans="1:14" x14ac:dyDescent="0.25">
      <c r="A23" s="2" t="s">
        <v>117</v>
      </c>
      <c r="B23" s="2" t="s">
        <v>265</v>
      </c>
      <c r="C23" s="25" t="s">
        <v>281</v>
      </c>
      <c r="D23" s="24" t="s">
        <v>279</v>
      </c>
      <c r="E23" s="24" t="s">
        <v>280</v>
      </c>
      <c r="F23" t="s">
        <v>40</v>
      </c>
      <c r="G23" t="s">
        <v>23</v>
      </c>
      <c r="H23" t="s">
        <v>23</v>
      </c>
      <c r="I23" t="s">
        <v>23</v>
      </c>
      <c r="J23" s="18"/>
      <c r="K23" s="18"/>
      <c r="L23" s="18"/>
      <c r="M23" t="s">
        <v>24</v>
      </c>
      <c r="N23" t="s">
        <v>185</v>
      </c>
    </row>
    <row r="24" spans="1:14" x14ac:dyDescent="0.25">
      <c r="A24" s="2" t="s">
        <v>62</v>
      </c>
      <c r="B24" s="2" t="s">
        <v>230</v>
      </c>
      <c r="C24" s="23" t="s">
        <v>282</v>
      </c>
      <c r="D24" s="24" t="s">
        <v>268</v>
      </c>
      <c r="E24" s="2" t="s">
        <v>283</v>
      </c>
      <c r="F24" t="s">
        <v>40</v>
      </c>
      <c r="G24" t="s">
        <v>255</v>
      </c>
      <c r="H24" t="s">
        <v>255</v>
      </c>
      <c r="I24" t="s">
        <v>255</v>
      </c>
      <c r="J24" s="22"/>
      <c r="K24" s="22"/>
      <c r="L24" s="22"/>
      <c r="M24" t="s">
        <v>24</v>
      </c>
      <c r="N24" t="s">
        <v>185</v>
      </c>
    </row>
    <row r="25" spans="1:14" x14ac:dyDescent="0.25">
      <c r="A25" s="2" t="s">
        <v>62</v>
      </c>
      <c r="B25" s="2" t="s">
        <v>230</v>
      </c>
      <c r="C25" s="23" t="s">
        <v>284</v>
      </c>
      <c r="D25" s="24" t="s">
        <v>268</v>
      </c>
      <c r="E25" s="2" t="s">
        <v>283</v>
      </c>
      <c r="F25" t="s">
        <v>40</v>
      </c>
      <c r="G25" t="s">
        <v>255</v>
      </c>
      <c r="H25" t="s">
        <v>255</v>
      </c>
      <c r="I25" t="s">
        <v>255</v>
      </c>
      <c r="J25" s="18"/>
      <c r="K25" s="18"/>
      <c r="L25" s="18"/>
      <c r="M25" t="s">
        <v>24</v>
      </c>
      <c r="N25" t="s">
        <v>185</v>
      </c>
    </row>
    <row r="26" spans="1:14" x14ac:dyDescent="0.25">
      <c r="A26" s="2" t="s">
        <v>62</v>
      </c>
      <c r="B26" s="2" t="s">
        <v>230</v>
      </c>
      <c r="C26" s="23" t="s">
        <v>282</v>
      </c>
      <c r="D26" s="24" t="s">
        <v>268</v>
      </c>
      <c r="E26" s="2" t="s">
        <v>285</v>
      </c>
      <c r="F26" t="s">
        <v>40</v>
      </c>
      <c r="G26" t="s">
        <v>255</v>
      </c>
      <c r="H26" t="s">
        <v>255</v>
      </c>
      <c r="I26" t="s">
        <v>255</v>
      </c>
      <c r="J26" s="22"/>
      <c r="K26" s="22"/>
      <c r="L26" s="22"/>
      <c r="M26" t="s">
        <v>24</v>
      </c>
      <c r="N26" t="s">
        <v>185</v>
      </c>
    </row>
    <row r="27" spans="1:14" x14ac:dyDescent="0.25">
      <c r="A27" s="2" t="s">
        <v>62</v>
      </c>
      <c r="B27" s="2" t="s">
        <v>230</v>
      </c>
      <c r="C27" s="23" t="s">
        <v>284</v>
      </c>
      <c r="D27" s="24" t="s">
        <v>268</v>
      </c>
      <c r="E27" s="2" t="s">
        <v>285</v>
      </c>
      <c r="F27" t="s">
        <v>40</v>
      </c>
      <c r="G27" t="s">
        <v>255</v>
      </c>
      <c r="H27" t="s">
        <v>255</v>
      </c>
      <c r="I27" t="s">
        <v>255</v>
      </c>
      <c r="J27" s="18"/>
      <c r="K27" s="18"/>
      <c r="L27" s="18"/>
      <c r="M27" t="s">
        <v>24</v>
      </c>
      <c r="N27" t="s">
        <v>185</v>
      </c>
    </row>
    <row r="28" spans="1:14" x14ac:dyDescent="0.25">
      <c r="A28" s="2" t="s">
        <v>162</v>
      </c>
      <c r="B28" s="2" t="s">
        <v>240</v>
      </c>
      <c r="C28" s="23" t="s">
        <v>286</v>
      </c>
      <c r="D28" s="24" t="s">
        <v>287</v>
      </c>
      <c r="E28" s="24" t="s">
        <v>288</v>
      </c>
      <c r="F28" t="s">
        <v>107</v>
      </c>
      <c r="G28" t="s">
        <v>23</v>
      </c>
      <c r="H28" t="s">
        <v>23</v>
      </c>
      <c r="I28" t="s">
        <v>23</v>
      </c>
      <c r="J28" s="22"/>
      <c r="K28" s="30"/>
      <c r="L28" s="22"/>
      <c r="M28" t="s">
        <v>24</v>
      </c>
      <c r="N28" t="s">
        <v>185</v>
      </c>
    </row>
    <row r="29" spans="1:14" x14ac:dyDescent="0.25">
      <c r="A29" s="2" t="s">
        <v>162</v>
      </c>
      <c r="B29" s="2" t="s">
        <v>240</v>
      </c>
      <c r="C29" s="23" t="s">
        <v>286</v>
      </c>
      <c r="D29" s="24" t="s">
        <v>287</v>
      </c>
      <c r="E29" s="24" t="s">
        <v>289</v>
      </c>
      <c r="F29" t="s">
        <v>107</v>
      </c>
      <c r="G29" t="s">
        <v>23</v>
      </c>
      <c r="H29" t="s">
        <v>23</v>
      </c>
      <c r="I29" t="s">
        <v>23</v>
      </c>
      <c r="J29" s="22"/>
      <c r="K29" s="30"/>
      <c r="L29" s="22"/>
      <c r="M29" t="s">
        <v>24</v>
      </c>
      <c r="N29" t="s">
        <v>185</v>
      </c>
    </row>
    <row r="30" spans="1:14" x14ac:dyDescent="0.25">
      <c r="A30" s="2" t="s">
        <v>55</v>
      </c>
      <c r="B30" s="2" t="s">
        <v>18</v>
      </c>
      <c r="C30" s="7" t="s">
        <v>253</v>
      </c>
      <c r="D30" s="24" t="s">
        <v>249</v>
      </c>
      <c r="E30" s="2" t="s">
        <v>290</v>
      </c>
      <c r="F30" t="s">
        <v>44</v>
      </c>
      <c r="G30" s="2" t="s">
        <v>255</v>
      </c>
      <c r="H30" s="2" t="s">
        <v>255</v>
      </c>
      <c r="I30" s="2" t="s">
        <v>255</v>
      </c>
      <c r="J30" s="22"/>
      <c r="K30" s="22"/>
      <c r="L30" s="22"/>
      <c r="M30" t="s">
        <v>24</v>
      </c>
      <c r="N30" s="2" t="s">
        <v>25</v>
      </c>
    </row>
    <row r="31" spans="1:14" x14ac:dyDescent="0.25">
      <c r="A31" s="2" t="s">
        <v>55</v>
      </c>
      <c r="B31" s="2" t="s">
        <v>18</v>
      </c>
      <c r="C31" s="7" t="s">
        <v>253</v>
      </c>
      <c r="D31" s="24" t="s">
        <v>249</v>
      </c>
      <c r="E31" s="2" t="s">
        <v>291</v>
      </c>
      <c r="F31" t="s">
        <v>44</v>
      </c>
      <c r="G31" s="2" t="s">
        <v>255</v>
      </c>
      <c r="H31" s="2" t="s">
        <v>255</v>
      </c>
      <c r="I31" s="2" t="s">
        <v>255</v>
      </c>
      <c r="J31" s="22"/>
      <c r="K31" s="22"/>
      <c r="L31" s="22"/>
      <c r="M31" t="s">
        <v>24</v>
      </c>
      <c r="N31" s="2" t="s">
        <v>25</v>
      </c>
    </row>
    <row r="32" spans="1:14" x14ac:dyDescent="0.25">
      <c r="A32" s="2" t="s">
        <v>56</v>
      </c>
      <c r="B32" s="2" t="s">
        <v>18</v>
      </c>
      <c r="C32" s="7" t="s">
        <v>253</v>
      </c>
      <c r="D32" s="24" t="s">
        <v>249</v>
      </c>
      <c r="E32" s="2" t="s">
        <v>292</v>
      </c>
      <c r="F32" t="s">
        <v>44</v>
      </c>
      <c r="G32" s="2" t="s">
        <v>255</v>
      </c>
      <c r="H32" s="2" t="s">
        <v>255</v>
      </c>
      <c r="I32" s="2" t="s">
        <v>255</v>
      </c>
      <c r="J32" s="22"/>
      <c r="K32" s="22"/>
      <c r="L32" s="22"/>
      <c r="M32" t="s">
        <v>24</v>
      </c>
      <c r="N32" s="2" t="s">
        <v>25</v>
      </c>
    </row>
    <row r="33" spans="1:14" x14ac:dyDescent="0.25">
      <c r="A33" s="2" t="s">
        <v>167</v>
      </c>
      <c r="B33" s="2" t="s">
        <v>18</v>
      </c>
      <c r="C33" s="7" t="s">
        <v>173</v>
      </c>
      <c r="D33" s="24" t="s">
        <v>249</v>
      </c>
      <c r="E33" s="2" t="s">
        <v>293</v>
      </c>
      <c r="F33" t="s">
        <v>44</v>
      </c>
      <c r="G33" t="s">
        <v>23</v>
      </c>
      <c r="H33" t="s">
        <v>23</v>
      </c>
      <c r="I33" t="s">
        <v>23</v>
      </c>
      <c r="J33" s="18"/>
      <c r="K33" s="19">
        <v>0.95</v>
      </c>
      <c r="L33" s="18"/>
      <c r="M33" t="s">
        <v>24</v>
      </c>
      <c r="N33" s="2" t="s">
        <v>25</v>
      </c>
    </row>
    <row r="34" spans="1:14" x14ac:dyDescent="0.25">
      <c r="A34" s="2" t="s">
        <v>167</v>
      </c>
      <c r="B34" s="2" t="s">
        <v>18</v>
      </c>
      <c r="C34" s="7" t="s">
        <v>170</v>
      </c>
      <c r="D34" s="24" t="s">
        <v>249</v>
      </c>
      <c r="E34" s="2" t="s">
        <v>256</v>
      </c>
      <c r="F34" t="s">
        <v>44</v>
      </c>
      <c r="G34" t="s">
        <v>23</v>
      </c>
      <c r="H34" t="s">
        <v>23</v>
      </c>
      <c r="I34" t="s">
        <v>23</v>
      </c>
      <c r="J34" s="18"/>
      <c r="K34" s="19">
        <v>0.95</v>
      </c>
      <c r="L34" s="18"/>
      <c r="M34" t="s">
        <v>24</v>
      </c>
      <c r="N34" s="2" t="s">
        <v>25</v>
      </c>
    </row>
    <row r="35" spans="1:14" x14ac:dyDescent="0.25">
      <c r="A35" s="2" t="s">
        <v>62</v>
      </c>
      <c r="B35" s="2" t="s">
        <v>230</v>
      </c>
      <c r="C35" s="23" t="s">
        <v>282</v>
      </c>
      <c r="D35" s="24" t="s">
        <v>268</v>
      </c>
      <c r="E35" s="2" t="s">
        <v>294</v>
      </c>
      <c r="F35" t="s">
        <v>40</v>
      </c>
      <c r="G35" t="s">
        <v>255</v>
      </c>
      <c r="H35" t="s">
        <v>255</v>
      </c>
      <c r="I35" t="s">
        <v>255</v>
      </c>
      <c r="J35" s="22"/>
      <c r="K35" s="22"/>
      <c r="L35" s="22"/>
      <c r="M35" t="s">
        <v>24</v>
      </c>
      <c r="N35" t="s">
        <v>185</v>
      </c>
    </row>
    <row r="36" spans="1:14" x14ac:dyDescent="0.25">
      <c r="A36" s="2" t="s">
        <v>62</v>
      </c>
      <c r="B36" s="2" t="s">
        <v>230</v>
      </c>
      <c r="C36" s="23" t="s">
        <v>284</v>
      </c>
      <c r="D36" s="24" t="s">
        <v>268</v>
      </c>
      <c r="E36" s="2" t="s">
        <v>294</v>
      </c>
      <c r="F36" t="s">
        <v>40</v>
      </c>
      <c r="G36" t="s">
        <v>255</v>
      </c>
      <c r="H36" t="s">
        <v>255</v>
      </c>
      <c r="I36" t="s">
        <v>255</v>
      </c>
      <c r="J36" s="18"/>
      <c r="K36" s="18"/>
      <c r="L36" s="18"/>
      <c r="M36" t="s">
        <v>24</v>
      </c>
      <c r="N36" t="s">
        <v>185</v>
      </c>
    </row>
    <row r="37" spans="1:14" x14ac:dyDescent="0.25">
      <c r="A37" s="2" t="s">
        <v>17</v>
      </c>
      <c r="B37" s="2" t="s">
        <v>240</v>
      </c>
      <c r="C37" s="25" t="s">
        <v>261</v>
      </c>
      <c r="D37" s="24" t="s">
        <v>262</v>
      </c>
      <c r="E37" s="2" t="s">
        <v>295</v>
      </c>
      <c r="F37" t="s">
        <v>40</v>
      </c>
      <c r="G37" t="s">
        <v>255</v>
      </c>
      <c r="H37" t="s">
        <v>255</v>
      </c>
      <c r="I37" t="s">
        <v>255</v>
      </c>
      <c r="J37" s="18"/>
      <c r="K37" s="19">
        <v>0</v>
      </c>
      <c r="L37" s="18"/>
      <c r="M37" t="s">
        <v>264</v>
      </c>
      <c r="N37" t="s">
        <v>185</v>
      </c>
    </row>
    <row r="38" spans="1:14" x14ac:dyDescent="0.25">
      <c r="A38" s="2" t="s">
        <v>117</v>
      </c>
      <c r="B38" s="2" t="s">
        <v>265</v>
      </c>
      <c r="C38" s="23" t="s">
        <v>266</v>
      </c>
      <c r="D38" s="24" t="s">
        <v>262</v>
      </c>
      <c r="E38" s="2" t="s">
        <v>295</v>
      </c>
      <c r="F38" t="s">
        <v>40</v>
      </c>
      <c r="G38" t="s">
        <v>255</v>
      </c>
      <c r="H38" t="s">
        <v>255</v>
      </c>
      <c r="I38" t="s">
        <v>255</v>
      </c>
      <c r="J38" s="18"/>
      <c r="K38" s="18"/>
      <c r="L38" s="18"/>
      <c r="M38" t="s">
        <v>24</v>
      </c>
      <c r="N38" t="s">
        <v>185</v>
      </c>
    </row>
    <row r="39" spans="1:14" x14ac:dyDescent="0.25">
      <c r="A39" s="2" t="s">
        <v>167</v>
      </c>
      <c r="B39" s="2" t="s">
        <v>18</v>
      </c>
      <c r="C39" s="7" t="s">
        <v>168</v>
      </c>
      <c r="D39" s="24" t="s">
        <v>249</v>
      </c>
      <c r="E39" s="2" t="s">
        <v>291</v>
      </c>
      <c r="F39" t="s">
        <v>44</v>
      </c>
      <c r="G39" t="s">
        <v>23</v>
      </c>
      <c r="H39" t="s">
        <v>23</v>
      </c>
      <c r="I39" t="s">
        <v>23</v>
      </c>
      <c r="J39" s="18"/>
      <c r="K39" s="19">
        <v>0.95</v>
      </c>
      <c r="L39" s="18"/>
      <c r="M39" t="s">
        <v>24</v>
      </c>
      <c r="N39" s="2" t="s">
        <v>25</v>
      </c>
    </row>
    <row r="40" spans="1:14" x14ac:dyDescent="0.25">
      <c r="A40" s="2" t="s">
        <v>167</v>
      </c>
      <c r="B40" s="2" t="s">
        <v>18</v>
      </c>
      <c r="C40" s="7" t="s">
        <v>171</v>
      </c>
      <c r="D40" s="24" t="s">
        <v>249</v>
      </c>
      <c r="E40" s="2" t="s">
        <v>293</v>
      </c>
      <c r="F40" t="s">
        <v>44</v>
      </c>
      <c r="G40" t="s">
        <v>23</v>
      </c>
      <c r="H40" t="s">
        <v>23</v>
      </c>
      <c r="I40" t="s">
        <v>23</v>
      </c>
      <c r="J40" s="18"/>
      <c r="K40" s="19">
        <v>0.95</v>
      </c>
      <c r="L40" s="18"/>
      <c r="M40" t="s">
        <v>24</v>
      </c>
      <c r="N40" s="2" t="s">
        <v>25</v>
      </c>
    </row>
    <row r="41" spans="1:14" x14ac:dyDescent="0.25">
      <c r="A41" s="2" t="s">
        <v>167</v>
      </c>
      <c r="B41" s="2" t="s">
        <v>18</v>
      </c>
      <c r="C41" s="7" t="s">
        <v>169</v>
      </c>
      <c r="D41" s="24" t="s">
        <v>249</v>
      </c>
      <c r="E41" s="2" t="s">
        <v>296</v>
      </c>
      <c r="F41" t="s">
        <v>44</v>
      </c>
      <c r="G41" t="s">
        <v>23</v>
      </c>
      <c r="H41" t="s">
        <v>23</v>
      </c>
      <c r="I41" t="s">
        <v>23</v>
      </c>
      <c r="J41" s="18"/>
      <c r="K41" s="19">
        <v>0.95</v>
      </c>
      <c r="L41" s="18"/>
      <c r="M41" t="s">
        <v>24</v>
      </c>
      <c r="N41" s="2" t="s">
        <v>25</v>
      </c>
    </row>
    <row r="42" spans="1:14" x14ac:dyDescent="0.25">
      <c r="A42" s="2" t="s">
        <v>297</v>
      </c>
      <c r="B42" s="2" t="s">
        <v>18</v>
      </c>
      <c r="C42" s="2" t="s">
        <v>297</v>
      </c>
      <c r="D42" s="24" t="s">
        <v>249</v>
      </c>
      <c r="E42" s="2" t="s">
        <v>293</v>
      </c>
      <c r="F42" t="s">
        <v>40</v>
      </c>
      <c r="G42" t="s">
        <v>255</v>
      </c>
      <c r="H42" t="s">
        <v>255</v>
      </c>
      <c r="I42" t="s">
        <v>255</v>
      </c>
      <c r="J42" s="18"/>
      <c r="K42" s="18">
        <v>1.4</v>
      </c>
      <c r="L42" s="18"/>
      <c r="M42" t="s">
        <v>24</v>
      </c>
      <c r="N42" s="2" t="s">
        <v>25</v>
      </c>
    </row>
    <row r="43" spans="1:14" x14ac:dyDescent="0.25">
      <c r="A43" s="2" t="s">
        <v>17</v>
      </c>
      <c r="B43" s="2" t="s">
        <v>265</v>
      </c>
      <c r="C43" s="25" t="s">
        <v>278</v>
      </c>
      <c r="D43" s="24" t="s">
        <v>279</v>
      </c>
      <c r="E43" s="24" t="s">
        <v>298</v>
      </c>
      <c r="F43" t="s">
        <v>244</v>
      </c>
      <c r="G43" t="s">
        <v>23</v>
      </c>
      <c r="H43" t="s">
        <v>23</v>
      </c>
      <c r="I43" t="s">
        <v>23</v>
      </c>
      <c r="J43" s="18"/>
      <c r="K43" s="19">
        <v>0</v>
      </c>
      <c r="L43" s="18"/>
      <c r="M43" t="s">
        <v>24</v>
      </c>
      <c r="N43" t="s">
        <v>185</v>
      </c>
    </row>
    <row r="44" spans="1:14" x14ac:dyDescent="0.25">
      <c r="A44" s="2" t="s">
        <v>117</v>
      </c>
      <c r="B44" s="2" t="s">
        <v>265</v>
      </c>
      <c r="C44" s="25" t="s">
        <v>281</v>
      </c>
      <c r="D44" s="24" t="s">
        <v>279</v>
      </c>
      <c r="E44" s="24" t="s">
        <v>298</v>
      </c>
      <c r="F44" t="s">
        <v>40</v>
      </c>
      <c r="G44" t="s">
        <v>23</v>
      </c>
      <c r="H44" t="s">
        <v>23</v>
      </c>
      <c r="I44" t="s">
        <v>23</v>
      </c>
      <c r="J44" s="18"/>
      <c r="K44" s="18"/>
      <c r="L44" s="18"/>
      <c r="M44" t="s">
        <v>24</v>
      </c>
      <c r="N44" t="s">
        <v>185</v>
      </c>
    </row>
    <row r="45" spans="1:14" x14ac:dyDescent="0.25">
      <c r="A45" s="2" t="s">
        <v>117</v>
      </c>
      <c r="B45" s="2" t="s">
        <v>265</v>
      </c>
      <c r="C45" s="25" t="s">
        <v>281</v>
      </c>
      <c r="D45" s="24" t="s">
        <v>279</v>
      </c>
      <c r="E45" s="2" t="s">
        <v>299</v>
      </c>
      <c r="F45" t="s">
        <v>40</v>
      </c>
      <c r="G45" t="s">
        <v>23</v>
      </c>
      <c r="H45" t="s">
        <v>23</v>
      </c>
      <c r="I45" t="s">
        <v>23</v>
      </c>
      <c r="J45" s="18"/>
      <c r="K45" s="18"/>
      <c r="L45" s="18"/>
      <c r="M45" t="s">
        <v>24</v>
      </c>
      <c r="N45" t="s">
        <v>185</v>
      </c>
    </row>
    <row r="46" spans="1:14" x14ac:dyDescent="0.25">
      <c r="A46" s="2" t="s">
        <v>17</v>
      </c>
      <c r="B46" s="2" t="s">
        <v>265</v>
      </c>
      <c r="C46" s="25" t="s">
        <v>278</v>
      </c>
      <c r="D46" s="24" t="s">
        <v>279</v>
      </c>
      <c r="E46" s="2" t="s">
        <v>299</v>
      </c>
      <c r="F46" t="s">
        <v>244</v>
      </c>
      <c r="G46" t="s">
        <v>23</v>
      </c>
      <c r="H46" t="s">
        <v>23</v>
      </c>
      <c r="I46" t="s">
        <v>23</v>
      </c>
      <c r="J46" s="18"/>
      <c r="K46" s="19">
        <v>0</v>
      </c>
      <c r="L46" s="18"/>
      <c r="M46" t="s">
        <v>24</v>
      </c>
      <c r="N46" t="s">
        <v>185</v>
      </c>
    </row>
    <row r="47" spans="1:14" x14ac:dyDescent="0.25">
      <c r="A47" s="2" t="s">
        <v>17</v>
      </c>
      <c r="B47" s="2" t="s">
        <v>240</v>
      </c>
      <c r="C47" s="25" t="s">
        <v>273</v>
      </c>
      <c r="D47" s="24" t="s">
        <v>274</v>
      </c>
      <c r="E47" s="2" t="s">
        <v>300</v>
      </c>
      <c r="F47" t="s">
        <v>244</v>
      </c>
      <c r="G47" t="s">
        <v>23</v>
      </c>
      <c r="H47" t="s">
        <v>23</v>
      </c>
      <c r="I47" t="s">
        <v>23</v>
      </c>
      <c r="J47" s="18"/>
      <c r="K47" s="19">
        <v>0</v>
      </c>
      <c r="L47" s="18"/>
      <c r="N47" t="s">
        <v>185</v>
      </c>
    </row>
    <row r="48" spans="1:14" ht="30" x14ac:dyDescent="0.25">
      <c r="A48" s="2" t="s">
        <v>110</v>
      </c>
      <c r="B48" s="2" t="s">
        <v>240</v>
      </c>
      <c r="C48" s="25" t="s">
        <v>276</v>
      </c>
      <c r="D48" s="24" t="s">
        <v>274</v>
      </c>
      <c r="E48" s="2" t="s">
        <v>300</v>
      </c>
      <c r="F48" t="s">
        <v>107</v>
      </c>
      <c r="G48" t="s">
        <v>255</v>
      </c>
      <c r="H48" t="s">
        <v>255</v>
      </c>
      <c r="I48" t="s">
        <v>255</v>
      </c>
      <c r="J48" s="19">
        <v>0.95</v>
      </c>
      <c r="K48" s="19">
        <v>0.98</v>
      </c>
      <c r="L48" s="19">
        <v>1</v>
      </c>
      <c r="M48" t="s">
        <v>277</v>
      </c>
      <c r="N48" t="s">
        <v>185</v>
      </c>
    </row>
    <row r="49" spans="1:14" x14ac:dyDescent="0.25">
      <c r="A49" s="2" t="s">
        <v>17</v>
      </c>
      <c r="B49" s="2" t="s">
        <v>240</v>
      </c>
      <c r="C49" s="25" t="s">
        <v>261</v>
      </c>
      <c r="D49" s="24" t="s">
        <v>262</v>
      </c>
      <c r="E49" s="2" t="s">
        <v>301</v>
      </c>
      <c r="F49" t="s">
        <v>40</v>
      </c>
      <c r="G49" t="s">
        <v>255</v>
      </c>
      <c r="H49" t="s">
        <v>255</v>
      </c>
      <c r="I49" t="s">
        <v>255</v>
      </c>
      <c r="J49" s="18"/>
      <c r="K49" s="19">
        <v>0</v>
      </c>
      <c r="L49" s="18"/>
      <c r="M49" t="s">
        <v>264</v>
      </c>
      <c r="N49" t="s">
        <v>185</v>
      </c>
    </row>
    <row r="50" spans="1:14" x14ac:dyDescent="0.25">
      <c r="A50" s="2" t="s">
        <v>117</v>
      </c>
      <c r="B50" s="2" t="s">
        <v>265</v>
      </c>
      <c r="C50" s="23" t="s">
        <v>266</v>
      </c>
      <c r="D50" s="24" t="s">
        <v>262</v>
      </c>
      <c r="E50" s="2" t="s">
        <v>301</v>
      </c>
      <c r="F50" t="s">
        <v>40</v>
      </c>
      <c r="G50" t="s">
        <v>255</v>
      </c>
      <c r="H50" t="s">
        <v>255</v>
      </c>
      <c r="I50" t="s">
        <v>255</v>
      </c>
      <c r="J50" s="18"/>
      <c r="K50" s="18"/>
      <c r="L50" s="18"/>
      <c r="M50" t="s">
        <v>24</v>
      </c>
      <c r="N50" t="s">
        <v>185</v>
      </c>
    </row>
    <row r="51" spans="1:14" x14ac:dyDescent="0.25">
      <c r="A51" s="2" t="s">
        <v>17</v>
      </c>
      <c r="B51" s="2" t="s">
        <v>240</v>
      </c>
      <c r="C51" s="25" t="s">
        <v>261</v>
      </c>
      <c r="D51" s="24" t="s">
        <v>262</v>
      </c>
      <c r="E51" s="2" t="s">
        <v>302</v>
      </c>
      <c r="F51" t="s">
        <v>40</v>
      </c>
      <c r="G51" t="s">
        <v>255</v>
      </c>
      <c r="H51" t="s">
        <v>255</v>
      </c>
      <c r="I51" t="s">
        <v>255</v>
      </c>
      <c r="J51" s="18"/>
      <c r="K51" s="19">
        <v>0</v>
      </c>
      <c r="L51" s="18"/>
      <c r="M51" t="s">
        <v>264</v>
      </c>
      <c r="N51" t="s">
        <v>185</v>
      </c>
    </row>
    <row r="52" spans="1:14" x14ac:dyDescent="0.25">
      <c r="A52" s="2" t="s">
        <v>117</v>
      </c>
      <c r="B52" s="2" t="s">
        <v>265</v>
      </c>
      <c r="C52" s="23" t="s">
        <v>266</v>
      </c>
      <c r="D52" s="24" t="s">
        <v>262</v>
      </c>
      <c r="E52" s="2" t="s">
        <v>302</v>
      </c>
      <c r="F52" t="s">
        <v>40</v>
      </c>
      <c r="G52" t="s">
        <v>255</v>
      </c>
      <c r="H52" t="s">
        <v>255</v>
      </c>
      <c r="I52" t="s">
        <v>255</v>
      </c>
      <c r="J52" s="18"/>
      <c r="K52" s="18"/>
      <c r="L52" s="18"/>
      <c r="M52" t="s">
        <v>24</v>
      </c>
      <c r="N52" t="s">
        <v>185</v>
      </c>
    </row>
    <row r="53" spans="1:14" x14ac:dyDescent="0.25">
      <c r="A53" s="2" t="s">
        <v>17</v>
      </c>
      <c r="B53" s="2" t="s">
        <v>240</v>
      </c>
      <c r="C53" s="25" t="s">
        <v>261</v>
      </c>
      <c r="D53" s="24" t="s">
        <v>262</v>
      </c>
      <c r="E53" s="2" t="s">
        <v>303</v>
      </c>
      <c r="F53" t="s">
        <v>40</v>
      </c>
      <c r="G53" t="s">
        <v>255</v>
      </c>
      <c r="H53" t="s">
        <v>255</v>
      </c>
      <c r="I53" t="s">
        <v>255</v>
      </c>
      <c r="J53" s="18"/>
      <c r="K53" s="19">
        <v>0</v>
      </c>
      <c r="L53" s="18"/>
      <c r="M53" t="s">
        <v>264</v>
      </c>
      <c r="N53" t="s">
        <v>185</v>
      </c>
    </row>
    <row r="54" spans="1:14" x14ac:dyDescent="0.25">
      <c r="A54" s="2" t="s">
        <v>117</v>
      </c>
      <c r="B54" s="2" t="s">
        <v>265</v>
      </c>
      <c r="C54" s="23" t="s">
        <v>266</v>
      </c>
      <c r="D54" s="24" t="s">
        <v>262</v>
      </c>
      <c r="E54" s="2" t="s">
        <v>303</v>
      </c>
      <c r="F54" t="s">
        <v>40</v>
      </c>
      <c r="G54" t="s">
        <v>255</v>
      </c>
      <c r="H54" t="s">
        <v>255</v>
      </c>
      <c r="I54" t="s">
        <v>255</v>
      </c>
      <c r="J54" s="18"/>
      <c r="K54" s="18"/>
      <c r="L54" s="18"/>
      <c r="M54" t="s">
        <v>24</v>
      </c>
      <c r="N54" t="s">
        <v>185</v>
      </c>
    </row>
    <row r="55" spans="1:14" x14ac:dyDescent="0.25">
      <c r="A55" s="2" t="s">
        <v>62</v>
      </c>
      <c r="B55" s="2" t="s">
        <v>230</v>
      </c>
      <c r="C55" s="23" t="s">
        <v>282</v>
      </c>
      <c r="D55" s="24" t="s">
        <v>268</v>
      </c>
      <c r="E55" s="2" t="s">
        <v>304</v>
      </c>
      <c r="F55" t="s">
        <v>40</v>
      </c>
      <c r="G55" t="s">
        <v>255</v>
      </c>
      <c r="H55" t="s">
        <v>255</v>
      </c>
      <c r="I55" t="s">
        <v>255</v>
      </c>
      <c r="J55" s="22"/>
      <c r="K55" s="22"/>
      <c r="L55" s="22"/>
      <c r="M55" t="s">
        <v>24</v>
      </c>
      <c r="N55" t="s">
        <v>185</v>
      </c>
    </row>
    <row r="56" spans="1:14" x14ac:dyDescent="0.25">
      <c r="A56" s="2" t="s">
        <v>62</v>
      </c>
      <c r="B56" s="2" t="s">
        <v>230</v>
      </c>
      <c r="C56" s="23" t="s">
        <v>284</v>
      </c>
      <c r="D56" s="24" t="s">
        <v>268</v>
      </c>
      <c r="E56" s="2" t="s">
        <v>304</v>
      </c>
      <c r="F56" t="s">
        <v>40</v>
      </c>
      <c r="G56" t="s">
        <v>255</v>
      </c>
      <c r="H56" t="s">
        <v>255</v>
      </c>
      <c r="I56" t="s">
        <v>255</v>
      </c>
      <c r="J56" s="18"/>
      <c r="K56" s="18"/>
      <c r="L56" s="18"/>
      <c r="M56" t="s">
        <v>24</v>
      </c>
      <c r="N56" t="s">
        <v>185</v>
      </c>
    </row>
    <row r="57" spans="1:14" x14ac:dyDescent="0.25">
      <c r="A57" s="2" t="s">
        <v>297</v>
      </c>
      <c r="B57" s="2" t="s">
        <v>18</v>
      </c>
      <c r="C57" s="2" t="s">
        <v>297</v>
      </c>
      <c r="D57" s="24" t="s">
        <v>249</v>
      </c>
      <c r="E57" s="2" t="s">
        <v>292</v>
      </c>
      <c r="F57" t="s">
        <v>40</v>
      </c>
      <c r="G57" t="s">
        <v>255</v>
      </c>
      <c r="H57" t="s">
        <v>255</v>
      </c>
      <c r="I57" t="s">
        <v>255</v>
      </c>
      <c r="J57" s="18"/>
      <c r="K57" s="18">
        <v>1.4</v>
      </c>
      <c r="L57" s="18"/>
      <c r="M57" t="s">
        <v>24</v>
      </c>
      <c r="N57" s="2" t="s">
        <v>25</v>
      </c>
    </row>
    <row r="58" spans="1:14" x14ac:dyDescent="0.25">
      <c r="A58" s="2" t="s">
        <v>297</v>
      </c>
      <c r="B58" s="2" t="s">
        <v>18</v>
      </c>
      <c r="C58" s="2" t="s">
        <v>297</v>
      </c>
      <c r="D58" s="24" t="s">
        <v>249</v>
      </c>
      <c r="E58" s="2" t="s">
        <v>305</v>
      </c>
      <c r="F58" t="s">
        <v>40</v>
      </c>
      <c r="G58" t="s">
        <v>255</v>
      </c>
      <c r="H58" t="s">
        <v>255</v>
      </c>
      <c r="I58" t="s">
        <v>255</v>
      </c>
      <c r="J58" s="18"/>
      <c r="K58" s="18">
        <v>1.4</v>
      </c>
      <c r="L58" s="18"/>
      <c r="M58" t="s">
        <v>24</v>
      </c>
      <c r="N58" s="2" t="s">
        <v>25</v>
      </c>
    </row>
    <row r="59" spans="1:14" x14ac:dyDescent="0.25">
      <c r="A59" s="2" t="s">
        <v>38</v>
      </c>
      <c r="B59" s="2" t="s">
        <v>18</v>
      </c>
      <c r="C59" s="7" t="s">
        <v>49</v>
      </c>
      <c r="D59" s="24" t="s">
        <v>249</v>
      </c>
      <c r="E59" s="2" t="s">
        <v>291</v>
      </c>
      <c r="F59" s="2" t="s">
        <v>44</v>
      </c>
      <c r="G59" t="s">
        <v>23</v>
      </c>
      <c r="H59" t="s">
        <v>23</v>
      </c>
      <c r="I59" t="s">
        <v>23</v>
      </c>
      <c r="J59" s="18"/>
      <c r="K59" s="19">
        <v>1</v>
      </c>
      <c r="L59" s="18"/>
      <c r="M59" t="s">
        <v>306</v>
      </c>
      <c r="N59" s="2" t="s">
        <v>25</v>
      </c>
    </row>
    <row r="60" spans="1:14" x14ac:dyDescent="0.25">
      <c r="A60" s="2" t="s">
        <v>38</v>
      </c>
      <c r="B60" s="2" t="s">
        <v>18</v>
      </c>
      <c r="C60" s="7" t="s">
        <v>43</v>
      </c>
      <c r="D60" s="24" t="s">
        <v>249</v>
      </c>
      <c r="E60" s="2" t="s">
        <v>256</v>
      </c>
      <c r="F60" s="2" t="s">
        <v>44</v>
      </c>
      <c r="G60" t="s">
        <v>23</v>
      </c>
      <c r="H60" t="s">
        <v>23</v>
      </c>
      <c r="I60" t="s">
        <v>23</v>
      </c>
      <c r="J60" s="18"/>
      <c r="K60" s="19">
        <v>1</v>
      </c>
      <c r="L60" s="18"/>
      <c r="M60" t="s">
        <v>24</v>
      </c>
      <c r="N60" s="2" t="s">
        <v>25</v>
      </c>
    </row>
    <row r="61" spans="1:14" x14ac:dyDescent="0.25">
      <c r="A61" s="2" t="s">
        <v>38</v>
      </c>
      <c r="B61" s="2" t="s">
        <v>18</v>
      </c>
      <c r="C61" s="7" t="s">
        <v>43</v>
      </c>
      <c r="D61" s="24" t="s">
        <v>249</v>
      </c>
      <c r="E61" s="2" t="s">
        <v>307</v>
      </c>
      <c r="F61" s="2" t="s">
        <v>44</v>
      </c>
      <c r="G61" t="s">
        <v>23</v>
      </c>
      <c r="H61" t="s">
        <v>23</v>
      </c>
      <c r="I61" t="s">
        <v>23</v>
      </c>
      <c r="J61" s="18"/>
      <c r="K61" s="19">
        <v>1</v>
      </c>
      <c r="L61" s="18"/>
      <c r="M61" t="s">
        <v>24</v>
      </c>
      <c r="N61" s="2" t="s">
        <v>25</v>
      </c>
    </row>
    <row r="62" spans="1:14" x14ac:dyDescent="0.25">
      <c r="A62" s="2" t="s">
        <v>56</v>
      </c>
      <c r="B62" s="2" t="s">
        <v>230</v>
      </c>
      <c r="C62" s="25" t="s">
        <v>308</v>
      </c>
      <c r="D62" s="24" t="s">
        <v>309</v>
      </c>
      <c r="E62" s="2" t="s">
        <v>310</v>
      </c>
      <c r="F62" t="s">
        <v>40</v>
      </c>
      <c r="G62" t="s">
        <v>255</v>
      </c>
      <c r="H62" t="s">
        <v>255</v>
      </c>
      <c r="I62" t="s">
        <v>255</v>
      </c>
      <c r="J62" s="18"/>
      <c r="K62" s="18"/>
      <c r="L62" s="18"/>
      <c r="M62" t="s">
        <v>24</v>
      </c>
      <c r="N62" t="s">
        <v>185</v>
      </c>
    </row>
    <row r="63" spans="1:14" x14ac:dyDescent="0.25">
      <c r="A63" s="2" t="s">
        <v>62</v>
      </c>
      <c r="B63" s="2" t="s">
        <v>230</v>
      </c>
      <c r="C63" s="23" t="s">
        <v>311</v>
      </c>
      <c r="D63" s="24" t="s">
        <v>309</v>
      </c>
      <c r="E63" s="2" t="s">
        <v>310</v>
      </c>
      <c r="F63" t="s">
        <v>40</v>
      </c>
      <c r="G63" t="s">
        <v>255</v>
      </c>
      <c r="H63" t="s">
        <v>255</v>
      </c>
      <c r="I63" t="s">
        <v>255</v>
      </c>
      <c r="J63" s="22"/>
      <c r="K63" s="22"/>
      <c r="L63" s="22"/>
      <c r="M63" t="s">
        <v>24</v>
      </c>
      <c r="N63" t="s">
        <v>185</v>
      </c>
    </row>
    <row r="64" spans="1:14" x14ac:dyDescent="0.25">
      <c r="A64" s="2" t="s">
        <v>312</v>
      </c>
      <c r="B64" s="2" t="s">
        <v>240</v>
      </c>
      <c r="C64" s="25" t="s">
        <v>313</v>
      </c>
      <c r="D64" s="24" t="s">
        <v>287</v>
      </c>
      <c r="E64" s="24" t="s">
        <v>288</v>
      </c>
      <c r="F64" t="s">
        <v>107</v>
      </c>
      <c r="G64" t="s">
        <v>255</v>
      </c>
      <c r="H64" t="s">
        <v>255</v>
      </c>
      <c r="I64" t="s">
        <v>255</v>
      </c>
      <c r="J64" s="19">
        <v>0.95</v>
      </c>
      <c r="K64" s="19">
        <v>0.98</v>
      </c>
      <c r="L64" s="19">
        <v>1</v>
      </c>
      <c r="M64" t="s">
        <v>277</v>
      </c>
      <c r="N64" t="s">
        <v>185</v>
      </c>
    </row>
    <row r="65" spans="1:14" x14ac:dyDescent="0.25">
      <c r="A65" s="2" t="s">
        <v>312</v>
      </c>
      <c r="B65" s="2" t="s">
        <v>240</v>
      </c>
      <c r="C65" s="25" t="s">
        <v>313</v>
      </c>
      <c r="D65" s="24" t="s">
        <v>287</v>
      </c>
      <c r="E65" s="24" t="s">
        <v>289</v>
      </c>
      <c r="F65" t="s">
        <v>107</v>
      </c>
      <c r="G65" t="s">
        <v>255</v>
      </c>
      <c r="H65" t="s">
        <v>255</v>
      </c>
      <c r="I65" t="s">
        <v>255</v>
      </c>
      <c r="J65" s="19">
        <v>0.95</v>
      </c>
      <c r="K65" s="19">
        <v>0.98</v>
      </c>
      <c r="L65" s="19">
        <v>1</v>
      </c>
      <c r="M65" t="s">
        <v>277</v>
      </c>
      <c r="N65" t="s">
        <v>185</v>
      </c>
    </row>
    <row r="66" spans="1:14" x14ac:dyDescent="0.25">
      <c r="A66" s="2" t="s">
        <v>38</v>
      </c>
      <c r="B66" s="2" t="s">
        <v>18</v>
      </c>
      <c r="C66" s="7" t="s">
        <v>43</v>
      </c>
      <c r="D66" s="24" t="s">
        <v>249</v>
      </c>
      <c r="E66" s="2" t="s">
        <v>291</v>
      </c>
      <c r="F66" s="2" t="s">
        <v>44</v>
      </c>
      <c r="G66" t="s">
        <v>23</v>
      </c>
      <c r="H66" t="s">
        <v>23</v>
      </c>
      <c r="I66" t="s">
        <v>23</v>
      </c>
      <c r="J66" s="18"/>
      <c r="K66" s="19">
        <v>1</v>
      </c>
      <c r="L66" s="18"/>
      <c r="M66" t="s">
        <v>24</v>
      </c>
      <c r="N66" s="2" t="s">
        <v>25</v>
      </c>
    </row>
    <row r="67" spans="1:14" x14ac:dyDescent="0.25">
      <c r="A67" s="2" t="s">
        <v>38</v>
      </c>
      <c r="B67" s="2" t="s">
        <v>18</v>
      </c>
      <c r="C67" s="7" t="s">
        <v>43</v>
      </c>
      <c r="D67" s="24" t="s">
        <v>249</v>
      </c>
      <c r="E67" s="2" t="s">
        <v>296</v>
      </c>
      <c r="F67" s="2" t="s">
        <v>44</v>
      </c>
      <c r="G67" t="s">
        <v>23</v>
      </c>
      <c r="H67" t="s">
        <v>23</v>
      </c>
      <c r="I67" t="s">
        <v>23</v>
      </c>
      <c r="J67" s="18"/>
      <c r="K67" s="19">
        <v>1</v>
      </c>
      <c r="L67" s="18"/>
      <c r="M67" t="s">
        <v>24</v>
      </c>
      <c r="N67" s="2" t="s">
        <v>25</v>
      </c>
    </row>
    <row r="68" spans="1:14" x14ac:dyDescent="0.25">
      <c r="A68" s="2" t="s">
        <v>38</v>
      </c>
      <c r="B68" s="2" t="s">
        <v>18</v>
      </c>
      <c r="C68" s="7" t="s">
        <v>43</v>
      </c>
      <c r="D68" s="24" t="s">
        <v>249</v>
      </c>
      <c r="E68" s="2" t="s">
        <v>251</v>
      </c>
      <c r="F68" s="2" t="s">
        <v>44</v>
      </c>
      <c r="G68" t="s">
        <v>23</v>
      </c>
      <c r="H68" t="s">
        <v>23</v>
      </c>
      <c r="I68" t="s">
        <v>23</v>
      </c>
      <c r="J68" s="18"/>
      <c r="K68" s="19">
        <v>1</v>
      </c>
      <c r="L68" s="18"/>
      <c r="M68" t="s">
        <v>24</v>
      </c>
      <c r="N68" s="2" t="s">
        <v>25</v>
      </c>
    </row>
    <row r="69" spans="1:14" x14ac:dyDescent="0.25">
      <c r="A69" s="2" t="s">
        <v>38</v>
      </c>
      <c r="B69" s="2" t="s">
        <v>18</v>
      </c>
      <c r="C69" s="7" t="s">
        <v>43</v>
      </c>
      <c r="D69" s="24" t="s">
        <v>249</v>
      </c>
      <c r="E69" s="2" t="s">
        <v>293</v>
      </c>
      <c r="F69" s="2" t="s">
        <v>44</v>
      </c>
      <c r="G69" t="s">
        <v>23</v>
      </c>
      <c r="H69" t="s">
        <v>23</v>
      </c>
      <c r="I69" t="s">
        <v>23</v>
      </c>
      <c r="J69" s="18"/>
      <c r="K69" s="19">
        <v>1</v>
      </c>
      <c r="L69" s="18"/>
      <c r="M69" t="s">
        <v>24</v>
      </c>
      <c r="N69" s="2" t="s">
        <v>25</v>
      </c>
    </row>
    <row r="70" spans="1:14" x14ac:dyDescent="0.25">
      <c r="A70" s="2" t="s">
        <v>38</v>
      </c>
      <c r="B70" s="2" t="s">
        <v>18</v>
      </c>
      <c r="C70" s="7" t="s">
        <v>39</v>
      </c>
      <c r="D70" s="24" t="s">
        <v>249</v>
      </c>
      <c r="E70" s="2" t="s">
        <v>290</v>
      </c>
      <c r="F70" t="s">
        <v>40</v>
      </c>
      <c r="G70" t="s">
        <v>23</v>
      </c>
      <c r="H70" t="s">
        <v>23</v>
      </c>
      <c r="I70" t="s">
        <v>23</v>
      </c>
      <c r="J70" s="18"/>
      <c r="K70" s="18"/>
      <c r="L70" s="18"/>
      <c r="M70" t="s">
        <v>270</v>
      </c>
      <c r="N70" s="2" t="s">
        <v>25</v>
      </c>
    </row>
    <row r="71" spans="1:14" x14ac:dyDescent="0.25">
      <c r="A71" s="2" t="s">
        <v>38</v>
      </c>
      <c r="B71" s="2" t="s">
        <v>18</v>
      </c>
      <c r="C71" s="7" t="s">
        <v>39</v>
      </c>
      <c r="D71" s="24" t="s">
        <v>249</v>
      </c>
      <c r="E71" s="2" t="s">
        <v>307</v>
      </c>
      <c r="F71" t="s">
        <v>40</v>
      </c>
      <c r="G71" t="s">
        <v>23</v>
      </c>
      <c r="H71" t="s">
        <v>23</v>
      </c>
      <c r="I71" t="s">
        <v>23</v>
      </c>
      <c r="J71" s="18"/>
      <c r="K71" s="18"/>
      <c r="L71" s="18"/>
      <c r="M71" t="s">
        <v>270</v>
      </c>
      <c r="N71" s="2" t="s">
        <v>25</v>
      </c>
    </row>
    <row r="72" spans="1:14" x14ac:dyDescent="0.25">
      <c r="A72" s="2" t="s">
        <v>56</v>
      </c>
      <c r="B72" s="2" t="s">
        <v>230</v>
      </c>
      <c r="C72" s="25" t="s">
        <v>308</v>
      </c>
      <c r="D72" s="24" t="s">
        <v>309</v>
      </c>
      <c r="E72" s="2" t="s">
        <v>314</v>
      </c>
      <c r="F72" t="s">
        <v>40</v>
      </c>
      <c r="G72" t="s">
        <v>255</v>
      </c>
      <c r="H72" t="s">
        <v>255</v>
      </c>
      <c r="I72" t="s">
        <v>255</v>
      </c>
      <c r="J72" s="18"/>
      <c r="K72" s="18"/>
      <c r="L72" s="18"/>
      <c r="M72" t="s">
        <v>24</v>
      </c>
      <c r="N72" t="s">
        <v>185</v>
      </c>
    </row>
    <row r="73" spans="1:14" x14ac:dyDescent="0.25">
      <c r="A73" s="2" t="s">
        <v>62</v>
      </c>
      <c r="B73" s="2" t="s">
        <v>230</v>
      </c>
      <c r="C73" s="23" t="s">
        <v>311</v>
      </c>
      <c r="D73" s="24" t="s">
        <v>309</v>
      </c>
      <c r="E73" s="2" t="s">
        <v>314</v>
      </c>
      <c r="F73" t="s">
        <v>40</v>
      </c>
      <c r="G73" t="s">
        <v>255</v>
      </c>
      <c r="H73" t="s">
        <v>255</v>
      </c>
      <c r="I73" t="s">
        <v>255</v>
      </c>
      <c r="J73" s="22"/>
      <c r="K73" s="22"/>
      <c r="L73" s="22"/>
      <c r="M73" t="s">
        <v>24</v>
      </c>
      <c r="N73" t="s">
        <v>185</v>
      </c>
    </row>
    <row r="74" spans="1:14" x14ac:dyDescent="0.25">
      <c r="A74" s="2" t="s">
        <v>17</v>
      </c>
      <c r="B74" s="2" t="s">
        <v>240</v>
      </c>
      <c r="C74" s="25" t="s">
        <v>261</v>
      </c>
      <c r="D74" s="24" t="s">
        <v>262</v>
      </c>
      <c r="E74" s="2" t="s">
        <v>315</v>
      </c>
      <c r="F74" t="s">
        <v>40</v>
      </c>
      <c r="G74" t="s">
        <v>255</v>
      </c>
      <c r="H74" t="s">
        <v>255</v>
      </c>
      <c r="I74" t="s">
        <v>255</v>
      </c>
      <c r="J74" s="18"/>
      <c r="K74" s="19">
        <v>0</v>
      </c>
      <c r="L74" s="18"/>
      <c r="M74" t="s">
        <v>264</v>
      </c>
      <c r="N74" t="s">
        <v>185</v>
      </c>
    </row>
    <row r="75" spans="1:14" x14ac:dyDescent="0.25">
      <c r="A75" s="2" t="s">
        <v>117</v>
      </c>
      <c r="B75" s="2" t="s">
        <v>265</v>
      </c>
      <c r="C75" s="23" t="s">
        <v>266</v>
      </c>
      <c r="D75" s="24" t="s">
        <v>262</v>
      </c>
      <c r="E75" s="2" t="s">
        <v>315</v>
      </c>
      <c r="F75" t="s">
        <v>40</v>
      </c>
      <c r="G75" t="s">
        <v>255</v>
      </c>
      <c r="H75" t="s">
        <v>255</v>
      </c>
      <c r="I75" t="s">
        <v>255</v>
      </c>
      <c r="J75" s="18"/>
      <c r="K75" s="18"/>
      <c r="L75" s="18"/>
      <c r="M75" t="s">
        <v>24</v>
      </c>
      <c r="N75" t="s">
        <v>185</v>
      </c>
    </row>
    <row r="76" spans="1:14" x14ac:dyDescent="0.25">
      <c r="A76" s="26" t="s">
        <v>38</v>
      </c>
      <c r="B76" s="26" t="s">
        <v>18</v>
      </c>
      <c r="C76" s="27" t="s">
        <v>39</v>
      </c>
      <c r="D76" s="28" t="s">
        <v>249</v>
      </c>
      <c r="E76" s="26" t="s">
        <v>293</v>
      </c>
      <c r="F76" t="s">
        <v>40</v>
      </c>
      <c r="G76" t="s">
        <v>23</v>
      </c>
      <c r="H76" t="s">
        <v>23</v>
      </c>
      <c r="I76" t="s">
        <v>23</v>
      </c>
      <c r="J76" s="18"/>
      <c r="K76" s="18"/>
      <c r="L76" s="18"/>
      <c r="M76" t="s">
        <v>270</v>
      </c>
      <c r="N76" s="2" t="s">
        <v>25</v>
      </c>
    </row>
    <row r="77" spans="1:14" x14ac:dyDescent="0.25">
      <c r="A77" s="2" t="s">
        <v>38</v>
      </c>
      <c r="B77" s="2" t="s">
        <v>18</v>
      </c>
      <c r="C77" s="7" t="s">
        <v>39</v>
      </c>
      <c r="D77" s="24" t="s">
        <v>249</v>
      </c>
      <c r="E77" s="2" t="s">
        <v>292</v>
      </c>
      <c r="F77" t="s">
        <v>40</v>
      </c>
      <c r="G77" t="s">
        <v>23</v>
      </c>
      <c r="H77" t="s">
        <v>23</v>
      </c>
      <c r="I77" t="s">
        <v>23</v>
      </c>
      <c r="J77" s="18"/>
      <c r="K77" s="18"/>
      <c r="L77" s="18"/>
      <c r="M77" t="s">
        <v>270</v>
      </c>
      <c r="N77" s="2" t="s">
        <v>25</v>
      </c>
    </row>
    <row r="78" spans="1:14" x14ac:dyDescent="0.25">
      <c r="A78" s="2" t="s">
        <v>38</v>
      </c>
      <c r="B78" s="2" t="s">
        <v>18</v>
      </c>
      <c r="C78" s="7" t="s">
        <v>39</v>
      </c>
      <c r="D78" s="24" t="s">
        <v>249</v>
      </c>
      <c r="E78" s="2" t="s">
        <v>305</v>
      </c>
      <c r="F78" t="s">
        <v>40</v>
      </c>
      <c r="G78" t="s">
        <v>23</v>
      </c>
      <c r="H78" t="s">
        <v>23</v>
      </c>
      <c r="I78" t="s">
        <v>23</v>
      </c>
      <c r="J78" s="18"/>
      <c r="K78" s="18"/>
      <c r="L78" s="18"/>
      <c r="M78" t="s">
        <v>270</v>
      </c>
      <c r="N78" s="2" t="s">
        <v>25</v>
      </c>
    </row>
    <row r="79" spans="1:14" x14ac:dyDescent="0.25">
      <c r="A79" s="2" t="s">
        <v>247</v>
      </c>
      <c r="B79" s="2" t="s">
        <v>18</v>
      </c>
      <c r="C79" s="7" t="s">
        <v>316</v>
      </c>
      <c r="D79" s="24" t="s">
        <v>249</v>
      </c>
      <c r="E79" s="2" t="s">
        <v>250</v>
      </c>
      <c r="F79" t="s">
        <v>40</v>
      </c>
      <c r="G79" t="s">
        <v>255</v>
      </c>
      <c r="H79" t="s">
        <v>23</v>
      </c>
      <c r="I79" t="s">
        <v>23</v>
      </c>
      <c r="J79" s="18"/>
      <c r="K79" s="19">
        <v>0.9</v>
      </c>
      <c r="L79" s="18"/>
      <c r="M79" t="s">
        <v>24</v>
      </c>
      <c r="N79" s="2" t="s">
        <v>25</v>
      </c>
    </row>
    <row r="80" spans="1:14" x14ac:dyDescent="0.25">
      <c r="A80" s="2" t="s">
        <v>247</v>
      </c>
      <c r="B80" s="2" t="s">
        <v>18</v>
      </c>
      <c r="C80" s="7" t="s">
        <v>316</v>
      </c>
      <c r="D80" s="24" t="s">
        <v>249</v>
      </c>
      <c r="E80" s="2" t="s">
        <v>251</v>
      </c>
      <c r="F80" t="s">
        <v>40</v>
      </c>
      <c r="G80" t="s">
        <v>255</v>
      </c>
      <c r="H80" t="s">
        <v>23</v>
      </c>
      <c r="I80" t="s">
        <v>23</v>
      </c>
      <c r="J80" s="18"/>
      <c r="K80" s="19">
        <v>0.9</v>
      </c>
      <c r="L80" s="18"/>
      <c r="M80" t="s">
        <v>24</v>
      </c>
      <c r="N80" s="2" t="s">
        <v>25</v>
      </c>
    </row>
    <row r="81" spans="1:14" x14ac:dyDescent="0.25">
      <c r="A81" s="2" t="s">
        <v>17</v>
      </c>
      <c r="B81" s="2" t="s">
        <v>240</v>
      </c>
      <c r="C81" s="25" t="s">
        <v>261</v>
      </c>
      <c r="D81" s="24" t="s">
        <v>262</v>
      </c>
      <c r="E81" s="2" t="s">
        <v>317</v>
      </c>
      <c r="F81" t="s">
        <v>40</v>
      </c>
      <c r="G81" t="s">
        <v>255</v>
      </c>
      <c r="H81" t="s">
        <v>255</v>
      </c>
      <c r="I81" t="s">
        <v>255</v>
      </c>
      <c r="J81" s="18"/>
      <c r="K81" s="19">
        <v>0</v>
      </c>
      <c r="L81" s="18"/>
      <c r="M81" t="s">
        <v>264</v>
      </c>
      <c r="N81" t="s">
        <v>185</v>
      </c>
    </row>
    <row r="82" spans="1:14" x14ac:dyDescent="0.25">
      <c r="A82" s="2" t="s">
        <v>117</v>
      </c>
      <c r="B82" s="2" t="s">
        <v>265</v>
      </c>
      <c r="C82" s="23" t="s">
        <v>266</v>
      </c>
      <c r="D82" s="24" t="s">
        <v>262</v>
      </c>
      <c r="E82" s="2" t="s">
        <v>317</v>
      </c>
      <c r="F82" t="s">
        <v>40</v>
      </c>
      <c r="G82" t="s">
        <v>255</v>
      </c>
      <c r="H82" t="s">
        <v>255</v>
      </c>
      <c r="I82" t="s">
        <v>255</v>
      </c>
      <c r="J82" s="18"/>
      <c r="K82" s="18"/>
      <c r="L82" s="18"/>
      <c r="M82" t="s">
        <v>24</v>
      </c>
      <c r="N82" t="s">
        <v>185</v>
      </c>
    </row>
    <row r="83" spans="1:14" x14ac:dyDescent="0.25">
      <c r="A83" s="2" t="s">
        <v>117</v>
      </c>
      <c r="B83" s="2" t="s">
        <v>18</v>
      </c>
      <c r="C83" s="7" t="s">
        <v>318</v>
      </c>
      <c r="D83" s="24" t="s">
        <v>249</v>
      </c>
      <c r="E83" s="2" t="s">
        <v>254</v>
      </c>
      <c r="F83" s="2" t="s">
        <v>107</v>
      </c>
      <c r="G83" s="2" t="s">
        <v>255</v>
      </c>
      <c r="H83" s="2" t="s">
        <v>23</v>
      </c>
      <c r="I83" s="2" t="s">
        <v>255</v>
      </c>
      <c r="J83" s="18"/>
      <c r="K83" s="18"/>
      <c r="L83" s="18"/>
      <c r="M83" t="s">
        <v>41</v>
      </c>
      <c r="N83" s="2" t="s">
        <v>25</v>
      </c>
    </row>
    <row r="84" spans="1:14" x14ac:dyDescent="0.25">
      <c r="A84" s="2" t="s">
        <v>117</v>
      </c>
      <c r="B84" s="2" t="s">
        <v>18</v>
      </c>
      <c r="C84" s="7" t="s">
        <v>318</v>
      </c>
      <c r="D84" s="24" t="s">
        <v>249</v>
      </c>
      <c r="E84" s="2" t="s">
        <v>256</v>
      </c>
      <c r="F84" s="2" t="s">
        <v>107</v>
      </c>
      <c r="G84" s="2" t="s">
        <v>255</v>
      </c>
      <c r="H84" s="2" t="s">
        <v>23</v>
      </c>
      <c r="I84" s="2" t="s">
        <v>255</v>
      </c>
      <c r="J84" s="18"/>
      <c r="K84" s="18"/>
      <c r="L84" s="18"/>
      <c r="M84" t="s">
        <v>41</v>
      </c>
      <c r="N84" s="2" t="s">
        <v>25</v>
      </c>
    </row>
    <row r="85" spans="1:14" x14ac:dyDescent="0.25">
      <c r="A85" s="2" t="s">
        <v>117</v>
      </c>
      <c r="B85" s="2" t="s">
        <v>18</v>
      </c>
      <c r="C85" s="7" t="s">
        <v>318</v>
      </c>
      <c r="D85" s="24" t="s">
        <v>249</v>
      </c>
      <c r="E85" s="2" t="s">
        <v>290</v>
      </c>
      <c r="F85" s="2" t="s">
        <v>319</v>
      </c>
      <c r="G85" s="2" t="s">
        <v>255</v>
      </c>
      <c r="H85" s="2" t="s">
        <v>23</v>
      </c>
      <c r="I85" s="2" t="s">
        <v>255</v>
      </c>
      <c r="J85" s="18"/>
      <c r="K85" s="18"/>
      <c r="L85" s="18"/>
      <c r="M85" t="s">
        <v>41</v>
      </c>
      <c r="N85" s="2" t="s">
        <v>25</v>
      </c>
    </row>
    <row r="86" spans="1:14" x14ac:dyDescent="0.25">
      <c r="A86" s="2" t="s">
        <v>117</v>
      </c>
      <c r="B86" s="2" t="s">
        <v>18</v>
      </c>
      <c r="C86" s="7" t="s">
        <v>318</v>
      </c>
      <c r="D86" s="24" t="s">
        <v>249</v>
      </c>
      <c r="E86" s="2" t="s">
        <v>307</v>
      </c>
      <c r="F86" s="2" t="s">
        <v>319</v>
      </c>
      <c r="G86" s="2" t="s">
        <v>255</v>
      </c>
      <c r="H86" s="2" t="s">
        <v>23</v>
      </c>
      <c r="I86" s="2" t="s">
        <v>255</v>
      </c>
      <c r="J86" s="18"/>
      <c r="K86" s="18"/>
      <c r="L86" s="18"/>
      <c r="M86" t="s">
        <v>41</v>
      </c>
      <c r="N86" s="2" t="s">
        <v>25</v>
      </c>
    </row>
    <row r="87" spans="1:14" x14ac:dyDescent="0.25">
      <c r="A87" s="2" t="s">
        <v>117</v>
      </c>
      <c r="B87" s="2" t="s">
        <v>18</v>
      </c>
      <c r="C87" s="7" t="s">
        <v>318</v>
      </c>
      <c r="D87" s="24" t="s">
        <v>249</v>
      </c>
      <c r="E87" s="2" t="s">
        <v>291</v>
      </c>
      <c r="F87" s="2" t="s">
        <v>319</v>
      </c>
      <c r="G87" s="2" t="s">
        <v>255</v>
      </c>
      <c r="H87" s="2" t="s">
        <v>23</v>
      </c>
      <c r="I87" s="2" t="s">
        <v>255</v>
      </c>
      <c r="J87" s="18"/>
      <c r="K87" s="18"/>
      <c r="L87" s="18"/>
      <c r="M87" t="s">
        <v>41</v>
      </c>
      <c r="N87" s="2" t="s">
        <v>25</v>
      </c>
    </row>
    <row r="88" spans="1:14" x14ac:dyDescent="0.25">
      <c r="A88" s="2" t="s">
        <v>17</v>
      </c>
      <c r="B88" s="2" t="s">
        <v>240</v>
      </c>
      <c r="C88" s="25" t="s">
        <v>261</v>
      </c>
      <c r="D88" s="24" t="s">
        <v>262</v>
      </c>
      <c r="E88" s="2" t="s">
        <v>320</v>
      </c>
      <c r="F88" t="s">
        <v>40</v>
      </c>
      <c r="G88" t="s">
        <v>255</v>
      </c>
      <c r="H88" t="s">
        <v>255</v>
      </c>
      <c r="I88" t="s">
        <v>255</v>
      </c>
      <c r="J88" s="18"/>
      <c r="K88" s="19">
        <v>0</v>
      </c>
      <c r="L88" s="18"/>
      <c r="M88" t="s">
        <v>264</v>
      </c>
      <c r="N88" t="s">
        <v>185</v>
      </c>
    </row>
    <row r="89" spans="1:14" x14ac:dyDescent="0.25">
      <c r="A89" s="2" t="s">
        <v>117</v>
      </c>
      <c r="B89" s="2" t="s">
        <v>265</v>
      </c>
      <c r="C89" s="23" t="s">
        <v>266</v>
      </c>
      <c r="D89" s="24" t="s">
        <v>262</v>
      </c>
      <c r="E89" s="2" t="s">
        <v>320</v>
      </c>
      <c r="F89" t="s">
        <v>40</v>
      </c>
      <c r="G89" t="s">
        <v>255</v>
      </c>
      <c r="H89" t="s">
        <v>255</v>
      </c>
      <c r="I89" t="s">
        <v>255</v>
      </c>
      <c r="J89" s="18"/>
      <c r="K89" s="18"/>
      <c r="L89" s="18"/>
      <c r="M89" t="s">
        <v>24</v>
      </c>
      <c r="N89" t="s">
        <v>185</v>
      </c>
    </row>
    <row r="90" spans="1:14" x14ac:dyDescent="0.25">
      <c r="A90" s="2" t="s">
        <v>117</v>
      </c>
      <c r="B90" s="2" t="s">
        <v>18</v>
      </c>
      <c r="C90" s="7" t="s">
        <v>318</v>
      </c>
      <c r="D90" s="24" t="s">
        <v>249</v>
      </c>
      <c r="E90" s="2" t="s">
        <v>250</v>
      </c>
      <c r="F90" s="2" t="s">
        <v>319</v>
      </c>
      <c r="G90" s="2" t="s">
        <v>255</v>
      </c>
      <c r="H90" s="2" t="s">
        <v>23</v>
      </c>
      <c r="I90" s="2" t="s">
        <v>255</v>
      </c>
      <c r="J90" s="18"/>
      <c r="K90" s="18"/>
      <c r="L90" s="18"/>
      <c r="M90" t="s">
        <v>41</v>
      </c>
      <c r="N90" s="2" t="s">
        <v>25</v>
      </c>
    </row>
    <row r="91" spans="1:14" x14ac:dyDescent="0.25">
      <c r="A91" s="2" t="s">
        <v>117</v>
      </c>
      <c r="B91" s="2" t="s">
        <v>18</v>
      </c>
      <c r="C91" s="7" t="s">
        <v>318</v>
      </c>
      <c r="D91" s="24" t="s">
        <v>249</v>
      </c>
      <c r="E91" s="2" t="s">
        <v>296</v>
      </c>
      <c r="F91" s="2" t="s">
        <v>319</v>
      </c>
      <c r="G91" s="2" t="s">
        <v>255</v>
      </c>
      <c r="H91" s="2" t="s">
        <v>23</v>
      </c>
      <c r="I91" s="2" t="s">
        <v>255</v>
      </c>
      <c r="J91" s="18"/>
      <c r="K91" s="18"/>
      <c r="L91" s="18"/>
      <c r="M91" t="s">
        <v>41</v>
      </c>
      <c r="N91" s="2" t="s">
        <v>25</v>
      </c>
    </row>
    <row r="92" spans="1:14" x14ac:dyDescent="0.25">
      <c r="A92" s="2" t="s">
        <v>117</v>
      </c>
      <c r="B92" s="2" t="s">
        <v>18</v>
      </c>
      <c r="C92" s="7" t="s">
        <v>318</v>
      </c>
      <c r="D92" s="24" t="s">
        <v>249</v>
      </c>
      <c r="E92" s="2" t="s">
        <v>251</v>
      </c>
      <c r="F92" s="2" t="s">
        <v>319</v>
      </c>
      <c r="G92" s="2" t="s">
        <v>255</v>
      </c>
      <c r="H92" s="2" t="s">
        <v>23</v>
      </c>
      <c r="I92" s="2" t="s">
        <v>255</v>
      </c>
      <c r="J92" s="18"/>
      <c r="K92" s="18"/>
      <c r="L92" s="18"/>
      <c r="M92" t="s">
        <v>41</v>
      </c>
      <c r="N92" s="2" t="s">
        <v>25</v>
      </c>
    </row>
    <row r="93" spans="1:14" x14ac:dyDescent="0.25">
      <c r="A93" s="2" t="s">
        <v>117</v>
      </c>
      <c r="B93" s="2" t="s">
        <v>18</v>
      </c>
      <c r="C93" s="7" t="s">
        <v>318</v>
      </c>
      <c r="D93" s="24" t="s">
        <v>249</v>
      </c>
      <c r="E93" s="2" t="s">
        <v>292</v>
      </c>
      <c r="F93" s="2" t="s">
        <v>319</v>
      </c>
      <c r="G93" s="2" t="s">
        <v>255</v>
      </c>
      <c r="H93" s="2" t="s">
        <v>23</v>
      </c>
      <c r="I93" s="2" t="s">
        <v>255</v>
      </c>
      <c r="J93" s="18"/>
      <c r="K93" s="18"/>
      <c r="L93" s="18"/>
      <c r="M93" t="s">
        <v>41</v>
      </c>
      <c r="N93" s="2" t="s">
        <v>25</v>
      </c>
    </row>
    <row r="94" spans="1:14" x14ac:dyDescent="0.25">
      <c r="A94" s="2" t="s">
        <v>117</v>
      </c>
      <c r="B94" s="2" t="s">
        <v>18</v>
      </c>
      <c r="C94" s="7" t="s">
        <v>318</v>
      </c>
      <c r="D94" s="24" t="s">
        <v>249</v>
      </c>
      <c r="E94" s="2" t="s">
        <v>305</v>
      </c>
      <c r="F94" s="2" t="s">
        <v>319</v>
      </c>
      <c r="G94" s="2" t="s">
        <v>255</v>
      </c>
      <c r="H94" s="2" t="s">
        <v>23</v>
      </c>
      <c r="I94" s="2" t="s">
        <v>255</v>
      </c>
      <c r="J94" s="18"/>
      <c r="K94" s="18"/>
      <c r="L94" s="18"/>
      <c r="M94" t="s">
        <v>41</v>
      </c>
      <c r="N94" s="2" t="s">
        <v>25</v>
      </c>
    </row>
    <row r="95" spans="1:14" x14ac:dyDescent="0.25">
      <c r="A95" s="2" t="s">
        <v>17</v>
      </c>
      <c r="B95" s="2" t="s">
        <v>240</v>
      </c>
      <c r="C95" s="25" t="s">
        <v>261</v>
      </c>
      <c r="D95" s="24" t="s">
        <v>262</v>
      </c>
      <c r="E95" s="2" t="s">
        <v>321</v>
      </c>
      <c r="F95" t="s">
        <v>40</v>
      </c>
      <c r="G95" t="s">
        <v>255</v>
      </c>
      <c r="H95" t="s">
        <v>255</v>
      </c>
      <c r="I95" t="s">
        <v>255</v>
      </c>
      <c r="J95" s="18"/>
      <c r="K95" s="19">
        <v>0</v>
      </c>
      <c r="L95" s="18"/>
      <c r="M95" t="s">
        <v>264</v>
      </c>
      <c r="N95" t="s">
        <v>185</v>
      </c>
    </row>
    <row r="96" spans="1:14" x14ac:dyDescent="0.25">
      <c r="A96" s="2" t="s">
        <v>117</v>
      </c>
      <c r="B96" s="2" t="s">
        <v>265</v>
      </c>
      <c r="C96" s="23" t="s">
        <v>266</v>
      </c>
      <c r="D96" s="24" t="s">
        <v>262</v>
      </c>
      <c r="E96" s="2" t="s">
        <v>321</v>
      </c>
      <c r="F96" t="s">
        <v>40</v>
      </c>
      <c r="G96" t="s">
        <v>255</v>
      </c>
      <c r="H96" t="s">
        <v>255</v>
      </c>
      <c r="I96" t="s">
        <v>255</v>
      </c>
      <c r="J96" s="18"/>
      <c r="K96" s="18"/>
      <c r="L96" s="18"/>
      <c r="M96" t="s">
        <v>24</v>
      </c>
      <c r="N96" t="s">
        <v>185</v>
      </c>
    </row>
    <row r="97" spans="1:14" x14ac:dyDescent="0.25">
      <c r="A97" s="2" t="s">
        <v>110</v>
      </c>
      <c r="B97" s="2" t="s">
        <v>152</v>
      </c>
      <c r="C97" s="23" t="s">
        <v>322</v>
      </c>
      <c r="D97" s="24" t="s">
        <v>258</v>
      </c>
      <c r="E97" s="2" t="s">
        <v>259</v>
      </c>
      <c r="F97" t="s">
        <v>40</v>
      </c>
      <c r="G97" t="s">
        <v>255</v>
      </c>
      <c r="H97" t="s">
        <v>255</v>
      </c>
      <c r="I97" t="s">
        <v>23</v>
      </c>
      <c r="J97" s="18"/>
      <c r="K97" s="18"/>
      <c r="L97" s="18"/>
      <c r="M97" t="s">
        <v>24</v>
      </c>
      <c r="N97" t="s">
        <v>185</v>
      </c>
    </row>
    <row r="98" spans="1:14" x14ac:dyDescent="0.25">
      <c r="A98" s="2" t="s">
        <v>110</v>
      </c>
      <c r="B98" s="2" t="s">
        <v>152</v>
      </c>
      <c r="C98" s="23" t="s">
        <v>322</v>
      </c>
      <c r="D98" s="24" t="s">
        <v>258</v>
      </c>
      <c r="E98" s="2" t="s">
        <v>260</v>
      </c>
      <c r="F98" t="s">
        <v>40</v>
      </c>
      <c r="G98" t="s">
        <v>255</v>
      </c>
      <c r="H98" t="s">
        <v>255</v>
      </c>
      <c r="I98" t="s">
        <v>23</v>
      </c>
      <c r="J98" s="18"/>
      <c r="K98" s="18"/>
      <c r="L98" s="18"/>
      <c r="M98" t="s">
        <v>24</v>
      </c>
      <c r="N98" t="s">
        <v>185</v>
      </c>
    </row>
    <row r="99" spans="1:14" x14ac:dyDescent="0.25">
      <c r="A99" s="2" t="s">
        <v>17</v>
      </c>
      <c r="B99" s="2" t="s">
        <v>265</v>
      </c>
      <c r="C99" s="25" t="s">
        <v>278</v>
      </c>
      <c r="D99" s="24" t="s">
        <v>279</v>
      </c>
      <c r="E99" s="24" t="s">
        <v>323</v>
      </c>
      <c r="F99" t="s">
        <v>244</v>
      </c>
      <c r="G99" t="s">
        <v>23</v>
      </c>
      <c r="H99" t="s">
        <v>23</v>
      </c>
      <c r="I99" t="s">
        <v>23</v>
      </c>
      <c r="J99" s="18"/>
      <c r="K99" s="19">
        <v>0</v>
      </c>
      <c r="L99" s="18"/>
      <c r="M99" t="s">
        <v>24</v>
      </c>
      <c r="N99" t="s">
        <v>185</v>
      </c>
    </row>
    <row r="100" spans="1:14" x14ac:dyDescent="0.25">
      <c r="A100" s="2" t="s">
        <v>117</v>
      </c>
      <c r="B100" s="2" t="s">
        <v>265</v>
      </c>
      <c r="C100" s="25" t="s">
        <v>281</v>
      </c>
      <c r="D100" s="24" t="s">
        <v>279</v>
      </c>
      <c r="E100" s="24" t="s">
        <v>323</v>
      </c>
      <c r="F100" t="s">
        <v>40</v>
      </c>
      <c r="G100" t="s">
        <v>23</v>
      </c>
      <c r="H100" t="s">
        <v>23</v>
      </c>
      <c r="I100" t="s">
        <v>23</v>
      </c>
      <c r="J100" s="18"/>
      <c r="K100" s="18"/>
      <c r="L100" s="18"/>
      <c r="M100" t="s">
        <v>24</v>
      </c>
      <c r="N100" t="s">
        <v>185</v>
      </c>
    </row>
    <row r="101" spans="1:14" x14ac:dyDescent="0.25">
      <c r="A101" s="2" t="s">
        <v>17</v>
      </c>
      <c r="B101" s="2" t="s">
        <v>240</v>
      </c>
      <c r="C101" s="25" t="s">
        <v>261</v>
      </c>
      <c r="D101" s="24" t="s">
        <v>262</v>
      </c>
      <c r="E101" s="2" t="s">
        <v>324</v>
      </c>
      <c r="F101" t="s">
        <v>40</v>
      </c>
      <c r="G101" t="s">
        <v>255</v>
      </c>
      <c r="H101" t="s">
        <v>255</v>
      </c>
      <c r="I101" t="s">
        <v>255</v>
      </c>
      <c r="J101" s="18"/>
      <c r="K101" s="19">
        <v>0</v>
      </c>
      <c r="L101" s="18"/>
      <c r="M101" t="s">
        <v>264</v>
      </c>
      <c r="N101" t="s">
        <v>185</v>
      </c>
    </row>
    <row r="102" spans="1:14" x14ac:dyDescent="0.25">
      <c r="A102" s="2" t="s">
        <v>117</v>
      </c>
      <c r="B102" s="2" t="s">
        <v>265</v>
      </c>
      <c r="C102" s="23" t="s">
        <v>266</v>
      </c>
      <c r="D102" s="24" t="s">
        <v>262</v>
      </c>
      <c r="E102" s="2" t="s">
        <v>324</v>
      </c>
      <c r="F102" t="s">
        <v>40</v>
      </c>
      <c r="G102" t="s">
        <v>255</v>
      </c>
      <c r="H102" t="s">
        <v>255</v>
      </c>
      <c r="I102" t="s">
        <v>255</v>
      </c>
      <c r="J102" s="18"/>
      <c r="K102" s="18"/>
      <c r="L102" s="18"/>
      <c r="M102" t="s">
        <v>24</v>
      </c>
      <c r="N102" t="s">
        <v>185</v>
      </c>
    </row>
    <row r="103" spans="1:14" x14ac:dyDescent="0.25">
      <c r="A103" s="2" t="s">
        <v>17</v>
      </c>
      <c r="B103" s="2" t="s">
        <v>18</v>
      </c>
      <c r="C103" s="7" t="s">
        <v>325</v>
      </c>
      <c r="D103" s="24" t="s">
        <v>249</v>
      </c>
      <c r="E103" s="2" t="s">
        <v>296</v>
      </c>
      <c r="F103" s="2" t="s">
        <v>319</v>
      </c>
      <c r="G103" s="2" t="s">
        <v>23</v>
      </c>
      <c r="H103" s="2" t="s">
        <v>23</v>
      </c>
      <c r="I103" s="2" t="s">
        <v>255</v>
      </c>
      <c r="J103" s="18"/>
      <c r="K103" s="18"/>
      <c r="L103" s="18"/>
      <c r="N103" s="2" t="s">
        <v>25</v>
      </c>
    </row>
    <row r="104" spans="1:14" x14ac:dyDescent="0.25">
      <c r="A104" s="2" t="s">
        <v>110</v>
      </c>
      <c r="B104" s="2" t="s">
        <v>18</v>
      </c>
      <c r="C104" s="7" t="s">
        <v>326</v>
      </c>
      <c r="D104" s="24" t="s">
        <v>249</v>
      </c>
      <c r="E104" s="2" t="s">
        <v>254</v>
      </c>
      <c r="F104" s="2" t="s">
        <v>107</v>
      </c>
      <c r="G104" s="2" t="s">
        <v>255</v>
      </c>
      <c r="H104" s="2" t="s">
        <v>255</v>
      </c>
      <c r="I104" s="2" t="s">
        <v>255</v>
      </c>
      <c r="J104" s="18"/>
      <c r="K104" s="18"/>
      <c r="L104" s="18"/>
      <c r="M104" t="s">
        <v>24</v>
      </c>
      <c r="N104" s="2" t="s">
        <v>25</v>
      </c>
    </row>
    <row r="105" spans="1:14" x14ac:dyDescent="0.25">
      <c r="A105" s="2" t="s">
        <v>110</v>
      </c>
      <c r="B105" s="2" t="s">
        <v>18</v>
      </c>
      <c r="C105" s="7" t="s">
        <v>326</v>
      </c>
      <c r="D105" s="24" t="s">
        <v>249</v>
      </c>
      <c r="E105" s="2" t="s">
        <v>256</v>
      </c>
      <c r="F105" s="2" t="s">
        <v>107</v>
      </c>
      <c r="G105" s="2" t="s">
        <v>255</v>
      </c>
      <c r="H105" s="2" t="s">
        <v>255</v>
      </c>
      <c r="I105" s="2" t="s">
        <v>255</v>
      </c>
      <c r="J105" s="18"/>
      <c r="K105" s="18"/>
      <c r="L105" s="18"/>
      <c r="M105" t="s">
        <v>24</v>
      </c>
      <c r="N105" s="2" t="s">
        <v>25</v>
      </c>
    </row>
    <row r="106" spans="1:14" x14ac:dyDescent="0.25">
      <c r="A106" s="2" t="s">
        <v>110</v>
      </c>
      <c r="B106" s="2" t="s">
        <v>18</v>
      </c>
      <c r="C106" s="7" t="s">
        <v>326</v>
      </c>
      <c r="D106" s="24" t="s">
        <v>249</v>
      </c>
      <c r="E106" s="2" t="s">
        <v>290</v>
      </c>
      <c r="F106" s="2" t="s">
        <v>107</v>
      </c>
      <c r="G106" s="2" t="s">
        <v>255</v>
      </c>
      <c r="H106" s="2" t="s">
        <v>255</v>
      </c>
      <c r="I106" s="2" t="s">
        <v>255</v>
      </c>
      <c r="J106" s="18"/>
      <c r="K106" s="18"/>
      <c r="L106" s="18"/>
      <c r="M106" t="s">
        <v>24</v>
      </c>
      <c r="N106" s="2" t="s">
        <v>25</v>
      </c>
    </row>
    <row r="107" spans="1:14" x14ac:dyDescent="0.25">
      <c r="A107" s="2" t="s">
        <v>110</v>
      </c>
      <c r="B107" s="2" t="s">
        <v>18</v>
      </c>
      <c r="C107" s="7" t="s">
        <v>326</v>
      </c>
      <c r="D107" s="24" t="s">
        <v>249</v>
      </c>
      <c r="E107" s="2" t="s">
        <v>296</v>
      </c>
      <c r="F107" s="2" t="s">
        <v>107</v>
      </c>
      <c r="G107" s="2" t="s">
        <v>255</v>
      </c>
      <c r="H107" s="2" t="s">
        <v>255</v>
      </c>
      <c r="I107" s="2" t="s">
        <v>255</v>
      </c>
      <c r="J107" s="18"/>
      <c r="K107" s="18"/>
      <c r="L107" s="18"/>
      <c r="M107" t="s">
        <v>24</v>
      </c>
      <c r="N107" s="2" t="s">
        <v>25</v>
      </c>
    </row>
    <row r="108" spans="1:14" x14ac:dyDescent="0.25">
      <c r="A108" s="2" t="s">
        <v>110</v>
      </c>
      <c r="B108" s="2" t="s">
        <v>18</v>
      </c>
      <c r="C108" s="7" t="s">
        <v>326</v>
      </c>
      <c r="D108" s="24" t="s">
        <v>249</v>
      </c>
      <c r="E108" s="2" t="s">
        <v>305</v>
      </c>
      <c r="F108" s="2" t="s">
        <v>107</v>
      </c>
      <c r="G108" s="2" t="s">
        <v>255</v>
      </c>
      <c r="H108" s="2" t="s">
        <v>255</v>
      </c>
      <c r="I108" s="2" t="s">
        <v>255</v>
      </c>
      <c r="J108" s="18"/>
      <c r="K108" s="18"/>
      <c r="L108" s="18"/>
      <c r="M108" t="s">
        <v>24</v>
      </c>
      <c r="N108" s="2" t="s">
        <v>25</v>
      </c>
    </row>
    <row r="109" spans="1:14" x14ac:dyDescent="0.25">
      <c r="A109" s="2" t="s">
        <v>56</v>
      </c>
      <c r="B109" s="2" t="s">
        <v>230</v>
      </c>
      <c r="C109" s="25" t="s">
        <v>308</v>
      </c>
      <c r="D109" s="24" t="s">
        <v>309</v>
      </c>
      <c r="E109" s="2" t="s">
        <v>327</v>
      </c>
      <c r="F109" t="s">
        <v>40</v>
      </c>
      <c r="G109" t="s">
        <v>255</v>
      </c>
      <c r="H109" t="s">
        <v>255</v>
      </c>
      <c r="I109" t="s">
        <v>255</v>
      </c>
      <c r="J109" s="18"/>
      <c r="K109" s="18"/>
      <c r="L109" s="18"/>
      <c r="M109" t="s">
        <v>24</v>
      </c>
      <c r="N109" t="s">
        <v>185</v>
      </c>
    </row>
    <row r="110" spans="1:14" x14ac:dyDescent="0.25">
      <c r="A110" s="2" t="s">
        <v>62</v>
      </c>
      <c r="B110" s="2" t="s">
        <v>230</v>
      </c>
      <c r="C110" s="23" t="s">
        <v>311</v>
      </c>
      <c r="D110" s="24" t="s">
        <v>309</v>
      </c>
      <c r="E110" s="2" t="s">
        <v>327</v>
      </c>
      <c r="F110" t="s">
        <v>40</v>
      </c>
      <c r="G110" t="s">
        <v>255</v>
      </c>
      <c r="H110" t="s">
        <v>255</v>
      </c>
      <c r="I110" t="s">
        <v>255</v>
      </c>
      <c r="J110" s="22"/>
      <c r="K110" s="22"/>
      <c r="L110" s="22"/>
      <c r="M110" t="s">
        <v>24</v>
      </c>
      <c r="N110" t="s">
        <v>185</v>
      </c>
    </row>
    <row r="111" spans="1:14" x14ac:dyDescent="0.25">
      <c r="A111" s="2" t="s">
        <v>117</v>
      </c>
      <c r="B111" s="2" t="s">
        <v>265</v>
      </c>
      <c r="C111" s="25" t="s">
        <v>328</v>
      </c>
      <c r="D111" s="24" t="s">
        <v>329</v>
      </c>
      <c r="E111" s="2" t="s">
        <v>330</v>
      </c>
      <c r="F111" t="s">
        <v>244</v>
      </c>
      <c r="G111" t="s">
        <v>23</v>
      </c>
      <c r="H111" t="s">
        <v>23</v>
      </c>
      <c r="I111" t="s">
        <v>23</v>
      </c>
      <c r="J111" s="18"/>
      <c r="K111" s="18"/>
      <c r="L111" s="18"/>
      <c r="M111" t="s">
        <v>24</v>
      </c>
      <c r="N111" s="2" t="s">
        <v>31</v>
      </c>
    </row>
    <row r="112" spans="1:14" x14ac:dyDescent="0.25">
      <c r="A112" s="2" t="s">
        <v>297</v>
      </c>
      <c r="B112" s="2" t="s">
        <v>265</v>
      </c>
      <c r="C112" s="23" t="s">
        <v>331</v>
      </c>
      <c r="D112" s="24" t="s">
        <v>329</v>
      </c>
      <c r="E112" s="2" t="s">
        <v>330</v>
      </c>
      <c r="F112" t="s">
        <v>244</v>
      </c>
      <c r="G112" t="s">
        <v>255</v>
      </c>
      <c r="H112" t="s">
        <v>255</v>
      </c>
      <c r="I112" t="s">
        <v>255</v>
      </c>
      <c r="J112" s="18"/>
      <c r="K112" s="18">
        <v>55</v>
      </c>
      <c r="L112" s="18"/>
      <c r="M112" t="s">
        <v>116</v>
      </c>
      <c r="N112" s="2" t="s">
        <v>31</v>
      </c>
    </row>
    <row r="113" spans="1:14" x14ac:dyDescent="0.25">
      <c r="A113" s="2" t="s">
        <v>62</v>
      </c>
      <c r="B113" s="2" t="s">
        <v>230</v>
      </c>
      <c r="C113" s="25" t="s">
        <v>332</v>
      </c>
      <c r="D113" s="24" t="s">
        <v>329</v>
      </c>
      <c r="E113" s="2" t="s">
        <v>330</v>
      </c>
      <c r="F113" t="s">
        <v>244</v>
      </c>
      <c r="G113" t="s">
        <v>23</v>
      </c>
      <c r="H113" t="s">
        <v>23</v>
      </c>
      <c r="I113" t="s">
        <v>23</v>
      </c>
      <c r="J113" s="22"/>
      <c r="K113" s="22"/>
      <c r="L113" s="22"/>
      <c r="M113" t="s">
        <v>24</v>
      </c>
      <c r="N113" s="2" t="s">
        <v>31</v>
      </c>
    </row>
    <row r="114" spans="1:14" x14ac:dyDescent="0.25">
      <c r="A114" s="2" t="s">
        <v>140</v>
      </c>
      <c r="B114" s="2" t="s">
        <v>18</v>
      </c>
      <c r="C114" s="2" t="s">
        <v>140</v>
      </c>
      <c r="D114" s="24" t="s">
        <v>249</v>
      </c>
      <c r="E114" s="2" t="s">
        <v>293</v>
      </c>
      <c r="F114" s="2" t="s">
        <v>107</v>
      </c>
      <c r="G114" s="2" t="s">
        <v>255</v>
      </c>
      <c r="H114" s="2" t="s">
        <v>255</v>
      </c>
      <c r="I114" s="2" t="s">
        <v>255</v>
      </c>
      <c r="J114" s="18"/>
      <c r="K114" s="18">
        <v>19</v>
      </c>
      <c r="L114" s="18"/>
      <c r="M114" t="s">
        <v>24</v>
      </c>
      <c r="N114" s="2" t="s">
        <v>25</v>
      </c>
    </row>
    <row r="115" spans="1:14" x14ac:dyDescent="0.25">
      <c r="A115" s="2" t="s">
        <v>140</v>
      </c>
      <c r="B115" s="2" t="s">
        <v>18</v>
      </c>
      <c r="C115" s="2" t="s">
        <v>140</v>
      </c>
      <c r="D115" s="24" t="s">
        <v>249</v>
      </c>
      <c r="E115" s="2" t="s">
        <v>292</v>
      </c>
      <c r="F115" s="2" t="s">
        <v>107</v>
      </c>
      <c r="G115" s="2" t="s">
        <v>255</v>
      </c>
      <c r="H115" s="2" t="s">
        <v>255</v>
      </c>
      <c r="I115" s="2" t="s">
        <v>255</v>
      </c>
      <c r="J115" s="18"/>
      <c r="K115" s="18">
        <v>19</v>
      </c>
      <c r="L115" s="18"/>
      <c r="M115" t="s">
        <v>24</v>
      </c>
      <c r="N115" s="2" t="s">
        <v>25</v>
      </c>
    </row>
    <row r="116" spans="1:14" x14ac:dyDescent="0.25">
      <c r="A116" s="2" t="s">
        <v>140</v>
      </c>
      <c r="B116" s="2" t="s">
        <v>18</v>
      </c>
      <c r="C116" s="2" t="s">
        <v>140</v>
      </c>
      <c r="D116" s="24" t="s">
        <v>249</v>
      </c>
      <c r="E116" s="2" t="s">
        <v>305</v>
      </c>
      <c r="F116" s="2" t="s">
        <v>107</v>
      </c>
      <c r="G116" s="2" t="s">
        <v>255</v>
      </c>
      <c r="H116" s="2" t="s">
        <v>255</v>
      </c>
      <c r="I116" s="2" t="s">
        <v>255</v>
      </c>
      <c r="J116" s="18"/>
      <c r="K116" s="18">
        <v>19</v>
      </c>
      <c r="L116" s="18"/>
      <c r="M116" t="s">
        <v>24</v>
      </c>
      <c r="N116" s="2" t="s">
        <v>25</v>
      </c>
    </row>
    <row r="117" spans="1:14" x14ac:dyDescent="0.25">
      <c r="A117" s="2" t="s">
        <v>17</v>
      </c>
      <c r="B117" s="2" t="s">
        <v>18</v>
      </c>
      <c r="C117" s="7" t="s">
        <v>333</v>
      </c>
      <c r="D117" s="24" t="s">
        <v>249</v>
      </c>
      <c r="E117" s="2" t="s">
        <v>254</v>
      </c>
      <c r="F117" s="2" t="s">
        <v>107</v>
      </c>
      <c r="G117" s="2" t="s">
        <v>255</v>
      </c>
      <c r="H117" s="2" t="s">
        <v>23</v>
      </c>
      <c r="I117" s="2" t="s">
        <v>255</v>
      </c>
      <c r="J117" s="18"/>
      <c r="K117" s="18"/>
      <c r="L117" s="18"/>
      <c r="M117" t="s">
        <v>24</v>
      </c>
      <c r="N117" s="2" t="s">
        <v>25</v>
      </c>
    </row>
    <row r="118" spans="1:14" x14ac:dyDescent="0.25">
      <c r="A118" s="2" t="s">
        <v>17</v>
      </c>
      <c r="B118" s="2" t="s">
        <v>18</v>
      </c>
      <c r="C118" s="7" t="s">
        <v>333</v>
      </c>
      <c r="D118" s="24" t="s">
        <v>249</v>
      </c>
      <c r="E118" s="2" t="s">
        <v>290</v>
      </c>
      <c r="F118" s="2" t="s">
        <v>107</v>
      </c>
      <c r="G118" s="2" t="s">
        <v>255</v>
      </c>
      <c r="H118" s="2" t="s">
        <v>23</v>
      </c>
      <c r="I118" s="2" t="s">
        <v>255</v>
      </c>
      <c r="J118" s="18"/>
      <c r="K118" s="18"/>
      <c r="L118" s="18"/>
      <c r="M118" t="s">
        <v>24</v>
      </c>
      <c r="N118" s="2" t="s">
        <v>25</v>
      </c>
    </row>
    <row r="119" spans="1:14" x14ac:dyDescent="0.25">
      <c r="A119" s="2" t="s">
        <v>17</v>
      </c>
      <c r="B119" s="2" t="s">
        <v>18</v>
      </c>
      <c r="C119" s="7" t="s">
        <v>333</v>
      </c>
      <c r="D119" s="24" t="s">
        <v>249</v>
      </c>
      <c r="E119" s="2" t="s">
        <v>307</v>
      </c>
      <c r="F119" s="2" t="s">
        <v>107</v>
      </c>
      <c r="G119" s="2" t="s">
        <v>255</v>
      </c>
      <c r="H119" s="2" t="s">
        <v>23</v>
      </c>
      <c r="I119" s="2" t="s">
        <v>255</v>
      </c>
      <c r="J119" s="18"/>
      <c r="K119" s="18"/>
      <c r="L119" s="18"/>
      <c r="M119" t="s">
        <v>24</v>
      </c>
      <c r="N119" s="2" t="s">
        <v>25</v>
      </c>
    </row>
    <row r="120" spans="1:14" x14ac:dyDescent="0.25">
      <c r="A120" s="2" t="s">
        <v>162</v>
      </c>
      <c r="B120" s="2" t="s">
        <v>18</v>
      </c>
      <c r="C120" s="2" t="s">
        <v>334</v>
      </c>
      <c r="D120" s="24" t="s">
        <v>249</v>
      </c>
      <c r="E120" s="2" t="s">
        <v>254</v>
      </c>
      <c r="F120" s="2" t="s">
        <v>107</v>
      </c>
      <c r="G120" s="2" t="s">
        <v>23</v>
      </c>
      <c r="H120" s="2" t="s">
        <v>23</v>
      </c>
      <c r="I120" s="2" t="s">
        <v>255</v>
      </c>
      <c r="J120" s="18"/>
      <c r="K120" s="18"/>
      <c r="L120" s="18"/>
      <c r="M120" t="s">
        <v>24</v>
      </c>
      <c r="N120" s="2" t="s">
        <v>25</v>
      </c>
    </row>
    <row r="121" spans="1:14" x14ac:dyDescent="0.25">
      <c r="A121" s="2" t="s">
        <v>162</v>
      </c>
      <c r="B121" s="2" t="s">
        <v>18</v>
      </c>
      <c r="C121" s="2" t="s">
        <v>334</v>
      </c>
      <c r="D121" s="24" t="s">
        <v>249</v>
      </c>
      <c r="E121" s="2" t="s">
        <v>307</v>
      </c>
      <c r="F121" s="2" t="s">
        <v>107</v>
      </c>
      <c r="G121" s="2" t="s">
        <v>23</v>
      </c>
      <c r="H121" s="2" t="s">
        <v>23</v>
      </c>
      <c r="I121" s="2" t="s">
        <v>255</v>
      </c>
      <c r="J121" s="18"/>
      <c r="K121" s="18"/>
      <c r="L121" s="18"/>
      <c r="M121" t="s">
        <v>24</v>
      </c>
      <c r="N121" s="2" t="s">
        <v>25</v>
      </c>
    </row>
    <row r="122" spans="1:14" x14ac:dyDescent="0.25">
      <c r="A122" s="2" t="s">
        <v>335</v>
      </c>
      <c r="B122" s="2" t="s">
        <v>18</v>
      </c>
      <c r="C122" s="7" t="s">
        <v>336</v>
      </c>
      <c r="D122" s="24" t="s">
        <v>249</v>
      </c>
      <c r="E122" s="2" t="s">
        <v>250</v>
      </c>
      <c r="F122" s="2" t="s">
        <v>107</v>
      </c>
      <c r="G122" s="2" t="s">
        <v>23</v>
      </c>
      <c r="H122" s="2" t="s">
        <v>23</v>
      </c>
      <c r="I122" s="2" t="s">
        <v>255</v>
      </c>
      <c r="J122" s="18"/>
      <c r="K122" s="18"/>
      <c r="L122" s="18"/>
      <c r="M122" t="s">
        <v>24</v>
      </c>
      <c r="N122" s="2" t="s">
        <v>25</v>
      </c>
    </row>
    <row r="123" spans="1:14" x14ac:dyDescent="0.25">
      <c r="A123" s="2" t="s">
        <v>335</v>
      </c>
      <c r="B123" s="2" t="s">
        <v>18</v>
      </c>
      <c r="C123" s="7" t="s">
        <v>336</v>
      </c>
      <c r="D123" s="24" t="s">
        <v>249</v>
      </c>
      <c r="E123" s="2" t="s">
        <v>251</v>
      </c>
      <c r="F123" s="2" t="s">
        <v>107</v>
      </c>
      <c r="G123" s="2" t="s">
        <v>23</v>
      </c>
      <c r="H123" s="2" t="s">
        <v>23</v>
      </c>
      <c r="I123" s="2" t="s">
        <v>255</v>
      </c>
      <c r="J123" s="18"/>
      <c r="K123" s="18"/>
      <c r="L123" s="18"/>
      <c r="M123" t="s">
        <v>24</v>
      </c>
      <c r="N123" s="2" t="s">
        <v>25</v>
      </c>
    </row>
    <row r="124" spans="1:14" x14ac:dyDescent="0.25">
      <c r="A124" s="2" t="s">
        <v>117</v>
      </c>
      <c r="B124" s="2" t="s">
        <v>337</v>
      </c>
      <c r="C124" s="23" t="s">
        <v>338</v>
      </c>
      <c r="D124" s="24" t="s">
        <v>339</v>
      </c>
      <c r="E124" s="2" t="s">
        <v>340</v>
      </c>
      <c r="F124" t="s">
        <v>244</v>
      </c>
      <c r="G124" t="s">
        <v>23</v>
      </c>
      <c r="H124" t="s">
        <v>23</v>
      </c>
      <c r="I124" t="s">
        <v>23</v>
      </c>
      <c r="J124" s="18"/>
      <c r="K124" s="19">
        <v>1</v>
      </c>
      <c r="L124" s="18"/>
      <c r="M124" t="s">
        <v>24</v>
      </c>
      <c r="N124" s="2" t="s">
        <v>31</v>
      </c>
    </row>
    <row r="125" spans="1:14" x14ac:dyDescent="0.25">
      <c r="A125" s="2" t="s">
        <v>62</v>
      </c>
      <c r="B125" s="2" t="s">
        <v>230</v>
      </c>
      <c r="C125" s="25" t="s">
        <v>341</v>
      </c>
      <c r="D125" s="24" t="s">
        <v>339</v>
      </c>
      <c r="E125" s="2" t="s">
        <v>340</v>
      </c>
      <c r="F125" t="s">
        <v>244</v>
      </c>
      <c r="G125" t="s">
        <v>255</v>
      </c>
      <c r="H125" t="s">
        <v>255</v>
      </c>
      <c r="I125" t="s">
        <v>255</v>
      </c>
      <c r="J125" s="22"/>
      <c r="K125" s="22"/>
      <c r="L125" s="22"/>
      <c r="M125" t="s">
        <v>24</v>
      </c>
      <c r="N125" s="2" t="s">
        <v>31</v>
      </c>
    </row>
    <row r="126" spans="1:14" x14ac:dyDescent="0.25">
      <c r="A126" s="2" t="s">
        <v>17</v>
      </c>
      <c r="B126" s="2" t="s">
        <v>27</v>
      </c>
      <c r="C126" s="25" t="s">
        <v>342</v>
      </c>
      <c r="D126" s="24" t="s">
        <v>339</v>
      </c>
      <c r="E126" s="2" t="s">
        <v>340</v>
      </c>
      <c r="F126" t="s">
        <v>244</v>
      </c>
      <c r="G126" t="s">
        <v>23</v>
      </c>
      <c r="H126" t="s">
        <v>23</v>
      </c>
      <c r="I126" t="s">
        <v>23</v>
      </c>
      <c r="J126" s="18"/>
      <c r="K126" s="19">
        <v>0</v>
      </c>
      <c r="L126" s="18"/>
      <c r="M126" t="s">
        <v>24</v>
      </c>
      <c r="N126" s="2" t="s">
        <v>31</v>
      </c>
    </row>
    <row r="127" spans="1:14" x14ac:dyDescent="0.25">
      <c r="A127" s="2" t="s">
        <v>117</v>
      </c>
      <c r="B127" s="2" t="s">
        <v>265</v>
      </c>
      <c r="C127" s="25" t="s">
        <v>328</v>
      </c>
      <c r="D127" s="24" t="s">
        <v>329</v>
      </c>
      <c r="E127" s="2" t="s">
        <v>343</v>
      </c>
      <c r="F127" t="s">
        <v>244</v>
      </c>
      <c r="G127" t="s">
        <v>23</v>
      </c>
      <c r="H127" t="s">
        <v>23</v>
      </c>
      <c r="I127" t="s">
        <v>23</v>
      </c>
      <c r="J127" s="18"/>
      <c r="K127" s="18"/>
      <c r="L127" s="18"/>
      <c r="M127" t="s">
        <v>24</v>
      </c>
      <c r="N127" s="2" t="s">
        <v>31</v>
      </c>
    </row>
    <row r="128" spans="1:14" x14ac:dyDescent="0.25">
      <c r="A128" s="2" t="s">
        <v>62</v>
      </c>
      <c r="B128" s="2" t="s">
        <v>230</v>
      </c>
      <c r="C128" s="25" t="s">
        <v>332</v>
      </c>
      <c r="D128" s="24" t="s">
        <v>329</v>
      </c>
      <c r="E128" s="2" t="s">
        <v>343</v>
      </c>
      <c r="F128" t="s">
        <v>244</v>
      </c>
      <c r="G128" t="s">
        <v>23</v>
      </c>
      <c r="H128" t="s">
        <v>23</v>
      </c>
      <c r="I128" t="s">
        <v>23</v>
      </c>
      <c r="J128" s="22"/>
      <c r="K128" s="22"/>
      <c r="L128" s="22"/>
      <c r="M128" t="s">
        <v>24</v>
      </c>
      <c r="N128" s="2" t="s">
        <v>31</v>
      </c>
    </row>
    <row r="129" spans="1:14" x14ac:dyDescent="0.25">
      <c r="A129" s="2" t="s">
        <v>297</v>
      </c>
      <c r="B129" s="2" t="s">
        <v>265</v>
      </c>
      <c r="C129" s="23" t="s">
        <v>331</v>
      </c>
      <c r="D129" s="24" t="s">
        <v>329</v>
      </c>
      <c r="E129" s="2" t="s">
        <v>343</v>
      </c>
      <c r="F129" t="s">
        <v>244</v>
      </c>
      <c r="G129" t="s">
        <v>255</v>
      </c>
      <c r="H129" t="s">
        <v>255</v>
      </c>
      <c r="I129" t="s">
        <v>255</v>
      </c>
      <c r="J129" s="18"/>
      <c r="K129" s="18">
        <v>55</v>
      </c>
      <c r="L129" s="18"/>
      <c r="M129" t="s">
        <v>116</v>
      </c>
      <c r="N129" s="2" t="s">
        <v>31</v>
      </c>
    </row>
    <row r="130" spans="1:14" x14ac:dyDescent="0.25">
      <c r="A130" s="2" t="s">
        <v>56</v>
      </c>
      <c r="B130" s="2" t="s">
        <v>230</v>
      </c>
      <c r="C130" s="25" t="s">
        <v>308</v>
      </c>
      <c r="D130" s="24" t="s">
        <v>309</v>
      </c>
      <c r="E130" s="2" t="s">
        <v>344</v>
      </c>
      <c r="F130" t="s">
        <v>40</v>
      </c>
      <c r="G130" t="s">
        <v>255</v>
      </c>
      <c r="H130" t="s">
        <v>255</v>
      </c>
      <c r="I130" t="s">
        <v>255</v>
      </c>
      <c r="J130" s="18"/>
      <c r="K130" s="18"/>
      <c r="L130" s="18"/>
      <c r="M130" t="s">
        <v>24</v>
      </c>
      <c r="N130" t="s">
        <v>185</v>
      </c>
    </row>
    <row r="131" spans="1:14" x14ac:dyDescent="0.25">
      <c r="A131" s="2" t="s">
        <v>62</v>
      </c>
      <c r="B131" s="2" t="s">
        <v>230</v>
      </c>
      <c r="C131" s="23" t="s">
        <v>311</v>
      </c>
      <c r="D131" s="24" t="s">
        <v>309</v>
      </c>
      <c r="E131" s="2" t="s">
        <v>344</v>
      </c>
      <c r="F131" t="s">
        <v>40</v>
      </c>
      <c r="G131" t="s">
        <v>255</v>
      </c>
      <c r="H131" t="s">
        <v>255</v>
      </c>
      <c r="I131" t="s">
        <v>255</v>
      </c>
      <c r="J131" s="22"/>
      <c r="K131" s="22"/>
      <c r="L131" s="22"/>
      <c r="M131" t="s">
        <v>24</v>
      </c>
      <c r="N131" t="s">
        <v>185</v>
      </c>
    </row>
    <row r="132" spans="1:14" x14ac:dyDescent="0.25">
      <c r="A132" s="2" t="s">
        <v>117</v>
      </c>
      <c r="B132" s="2" t="s">
        <v>337</v>
      </c>
      <c r="C132" s="23" t="s">
        <v>338</v>
      </c>
      <c r="D132" s="24" t="s">
        <v>339</v>
      </c>
      <c r="E132" s="2" t="s">
        <v>345</v>
      </c>
      <c r="F132" t="s">
        <v>244</v>
      </c>
      <c r="G132" t="s">
        <v>23</v>
      </c>
      <c r="H132" t="s">
        <v>23</v>
      </c>
      <c r="I132" t="s">
        <v>23</v>
      </c>
      <c r="J132" s="18"/>
      <c r="K132" s="19">
        <v>1</v>
      </c>
      <c r="L132" s="18"/>
      <c r="M132" t="s">
        <v>24</v>
      </c>
      <c r="N132" s="2" t="s">
        <v>31</v>
      </c>
    </row>
    <row r="133" spans="1:14" x14ac:dyDescent="0.25">
      <c r="A133" s="2" t="s">
        <v>62</v>
      </c>
      <c r="B133" s="2" t="s">
        <v>230</v>
      </c>
      <c r="C133" s="25" t="s">
        <v>341</v>
      </c>
      <c r="D133" s="24" t="s">
        <v>339</v>
      </c>
      <c r="E133" s="2" t="s">
        <v>345</v>
      </c>
      <c r="F133" t="s">
        <v>244</v>
      </c>
      <c r="G133" t="s">
        <v>255</v>
      </c>
      <c r="H133" t="s">
        <v>255</v>
      </c>
      <c r="I133" t="s">
        <v>255</v>
      </c>
      <c r="J133" s="22"/>
      <c r="K133" s="22"/>
      <c r="L133" s="22"/>
      <c r="M133" t="s">
        <v>24</v>
      </c>
      <c r="N133" s="2" t="s">
        <v>31</v>
      </c>
    </row>
    <row r="134" spans="1:14" x14ac:dyDescent="0.25">
      <c r="A134" s="2" t="s">
        <v>17</v>
      </c>
      <c r="B134" s="2" t="s">
        <v>27</v>
      </c>
      <c r="C134" s="25" t="s">
        <v>342</v>
      </c>
      <c r="D134" s="24" t="s">
        <v>339</v>
      </c>
      <c r="E134" s="2" t="s">
        <v>345</v>
      </c>
      <c r="F134" t="s">
        <v>244</v>
      </c>
      <c r="G134" t="s">
        <v>23</v>
      </c>
      <c r="H134" t="s">
        <v>23</v>
      </c>
      <c r="I134" t="s">
        <v>23</v>
      </c>
      <c r="J134" s="18"/>
      <c r="K134" s="19">
        <v>0</v>
      </c>
      <c r="L134" s="18"/>
      <c r="M134" t="s">
        <v>24</v>
      </c>
      <c r="N134" s="2" t="s">
        <v>31</v>
      </c>
    </row>
    <row r="135" spans="1:14" x14ac:dyDescent="0.25">
      <c r="A135" s="2" t="s">
        <v>17</v>
      </c>
      <c r="B135" s="2" t="s">
        <v>27</v>
      </c>
      <c r="C135" s="25" t="s">
        <v>342</v>
      </c>
      <c r="D135" s="24" t="s">
        <v>339</v>
      </c>
      <c r="E135" s="2" t="s">
        <v>346</v>
      </c>
      <c r="F135" t="s">
        <v>244</v>
      </c>
      <c r="G135" t="s">
        <v>23</v>
      </c>
      <c r="H135" t="s">
        <v>23</v>
      </c>
      <c r="I135" t="s">
        <v>23</v>
      </c>
      <c r="J135" s="18"/>
      <c r="K135" s="19">
        <v>0</v>
      </c>
      <c r="L135" s="18"/>
      <c r="M135" t="s">
        <v>24</v>
      </c>
      <c r="N135" s="2" t="s">
        <v>31</v>
      </c>
    </row>
    <row r="136" spans="1:14" x14ac:dyDescent="0.25">
      <c r="A136" s="2" t="s">
        <v>117</v>
      </c>
      <c r="B136" s="2" t="s">
        <v>337</v>
      </c>
      <c r="C136" s="23" t="s">
        <v>338</v>
      </c>
      <c r="D136" s="24" t="s">
        <v>339</v>
      </c>
      <c r="E136" s="2" t="s">
        <v>346</v>
      </c>
      <c r="F136" t="s">
        <v>244</v>
      </c>
      <c r="G136" t="s">
        <v>23</v>
      </c>
      <c r="H136" t="s">
        <v>23</v>
      </c>
      <c r="I136" t="s">
        <v>23</v>
      </c>
      <c r="J136" s="18"/>
      <c r="K136" s="19">
        <v>1</v>
      </c>
      <c r="L136" s="18"/>
      <c r="M136" t="s">
        <v>24</v>
      </c>
      <c r="N136" s="2" t="s">
        <v>31</v>
      </c>
    </row>
    <row r="137" spans="1:14" x14ac:dyDescent="0.25">
      <c r="A137" s="2" t="s">
        <v>62</v>
      </c>
      <c r="B137" s="2" t="s">
        <v>230</v>
      </c>
      <c r="C137" s="25" t="s">
        <v>341</v>
      </c>
      <c r="D137" s="24" t="s">
        <v>339</v>
      </c>
      <c r="E137" s="2" t="s">
        <v>346</v>
      </c>
      <c r="F137" t="s">
        <v>244</v>
      </c>
      <c r="G137" t="s">
        <v>255</v>
      </c>
      <c r="H137" t="s">
        <v>255</v>
      </c>
      <c r="I137" t="s">
        <v>255</v>
      </c>
      <c r="J137" s="22"/>
      <c r="K137" s="22"/>
      <c r="L137" s="22"/>
      <c r="M137" t="s">
        <v>24</v>
      </c>
      <c r="N137" s="2" t="s">
        <v>31</v>
      </c>
    </row>
    <row r="138" spans="1:14" x14ac:dyDescent="0.25">
      <c r="A138" s="2" t="s">
        <v>17</v>
      </c>
      <c r="B138" s="2" t="s">
        <v>240</v>
      </c>
      <c r="C138" s="25" t="s">
        <v>261</v>
      </c>
      <c r="D138" s="24" t="s">
        <v>262</v>
      </c>
      <c r="E138" s="2" t="s">
        <v>347</v>
      </c>
      <c r="F138" t="s">
        <v>40</v>
      </c>
      <c r="G138" t="s">
        <v>255</v>
      </c>
      <c r="H138" t="s">
        <v>255</v>
      </c>
      <c r="I138" t="s">
        <v>255</v>
      </c>
      <c r="J138" s="18"/>
      <c r="K138" s="19">
        <v>0</v>
      </c>
      <c r="L138" s="18"/>
      <c r="M138" t="s">
        <v>264</v>
      </c>
      <c r="N138" t="s">
        <v>185</v>
      </c>
    </row>
    <row r="139" spans="1:14" x14ac:dyDescent="0.25">
      <c r="A139" s="2" t="s">
        <v>117</v>
      </c>
      <c r="B139" s="2" t="s">
        <v>265</v>
      </c>
      <c r="C139" s="23" t="s">
        <v>266</v>
      </c>
      <c r="D139" s="24" t="s">
        <v>262</v>
      </c>
      <c r="E139" s="2" t="s">
        <v>347</v>
      </c>
      <c r="F139" t="s">
        <v>40</v>
      </c>
      <c r="G139" t="s">
        <v>255</v>
      </c>
      <c r="H139" t="s">
        <v>255</v>
      </c>
      <c r="I139" t="s">
        <v>255</v>
      </c>
      <c r="J139" s="18"/>
      <c r="K139" s="18"/>
      <c r="L139" s="18"/>
      <c r="M139" t="s">
        <v>24</v>
      </c>
      <c r="N139" t="s">
        <v>185</v>
      </c>
    </row>
    <row r="140" spans="1:14" x14ac:dyDescent="0.25">
      <c r="A140" s="2" t="s">
        <v>162</v>
      </c>
      <c r="B140" s="2" t="s">
        <v>240</v>
      </c>
      <c r="C140" s="23" t="s">
        <v>348</v>
      </c>
      <c r="D140" s="24" t="s">
        <v>349</v>
      </c>
      <c r="E140" s="2" t="s">
        <v>350</v>
      </c>
      <c r="F140" t="s">
        <v>351</v>
      </c>
      <c r="G140" t="s">
        <v>255</v>
      </c>
      <c r="H140" t="s">
        <v>255</v>
      </c>
      <c r="I140" t="s">
        <v>255</v>
      </c>
      <c r="J140" s="19">
        <v>0.95</v>
      </c>
      <c r="K140" s="19">
        <v>0.98</v>
      </c>
      <c r="L140" s="19">
        <v>1</v>
      </c>
      <c r="M140" t="s">
        <v>277</v>
      </c>
      <c r="N140" s="2" t="s">
        <v>149</v>
      </c>
    </row>
    <row r="141" spans="1:14" ht="30" x14ac:dyDescent="0.25">
      <c r="A141" s="2" t="s">
        <v>162</v>
      </c>
      <c r="B141" s="2" t="s">
        <v>240</v>
      </c>
      <c r="C141" s="29" t="s">
        <v>352</v>
      </c>
      <c r="D141" s="24" t="s">
        <v>349</v>
      </c>
      <c r="E141" s="2" t="s">
        <v>350</v>
      </c>
      <c r="F141" t="s">
        <v>40</v>
      </c>
      <c r="G141" t="s">
        <v>255</v>
      </c>
      <c r="H141" t="s">
        <v>255</v>
      </c>
      <c r="I141" t="s">
        <v>255</v>
      </c>
      <c r="J141" s="22"/>
      <c r="K141" s="22"/>
      <c r="L141" s="22"/>
      <c r="M141" t="s">
        <v>24</v>
      </c>
      <c r="N141" s="2" t="s">
        <v>149</v>
      </c>
    </row>
    <row r="142" spans="1:14" ht="30" x14ac:dyDescent="0.25">
      <c r="A142" s="2" t="s">
        <v>162</v>
      </c>
      <c r="B142" s="2" t="s">
        <v>240</v>
      </c>
      <c r="C142" s="25" t="s">
        <v>353</v>
      </c>
      <c r="D142" s="24" t="s">
        <v>349</v>
      </c>
      <c r="E142" s="2" t="s">
        <v>350</v>
      </c>
      <c r="F142" t="s">
        <v>107</v>
      </c>
      <c r="G142" t="s">
        <v>255</v>
      </c>
      <c r="H142" t="s">
        <v>255</v>
      </c>
      <c r="I142" t="s">
        <v>255</v>
      </c>
      <c r="J142" s="22"/>
      <c r="K142" s="22"/>
      <c r="L142" s="22"/>
      <c r="M142" t="s">
        <v>24</v>
      </c>
      <c r="N142" s="2" t="s">
        <v>149</v>
      </c>
    </row>
    <row r="143" spans="1:14" x14ac:dyDescent="0.25">
      <c r="A143" s="2" t="s">
        <v>56</v>
      </c>
      <c r="B143" s="2" t="s">
        <v>230</v>
      </c>
      <c r="C143" s="25" t="s">
        <v>308</v>
      </c>
      <c r="D143" s="24" t="s">
        <v>309</v>
      </c>
      <c r="E143" s="2" t="s">
        <v>354</v>
      </c>
      <c r="F143" t="s">
        <v>40</v>
      </c>
      <c r="G143" t="s">
        <v>255</v>
      </c>
      <c r="H143" t="s">
        <v>255</v>
      </c>
      <c r="I143" t="s">
        <v>255</v>
      </c>
      <c r="J143" s="18"/>
      <c r="K143" s="18"/>
      <c r="L143" s="18"/>
      <c r="M143" t="s">
        <v>24</v>
      </c>
      <c r="N143" t="s">
        <v>185</v>
      </c>
    </row>
    <row r="144" spans="1:14" x14ac:dyDescent="0.25">
      <c r="A144" s="2" t="s">
        <v>62</v>
      </c>
      <c r="B144" s="2" t="s">
        <v>230</v>
      </c>
      <c r="C144" s="23" t="s">
        <v>311</v>
      </c>
      <c r="D144" s="24" t="s">
        <v>309</v>
      </c>
      <c r="E144" s="2" t="s">
        <v>354</v>
      </c>
      <c r="F144" t="s">
        <v>40</v>
      </c>
      <c r="G144" t="s">
        <v>255</v>
      </c>
      <c r="H144" t="s">
        <v>255</v>
      </c>
      <c r="I144" t="s">
        <v>255</v>
      </c>
      <c r="J144" s="22"/>
      <c r="K144" s="22"/>
      <c r="L144" s="22"/>
      <c r="M144" t="s">
        <v>24</v>
      </c>
      <c r="N144" t="s">
        <v>185</v>
      </c>
    </row>
    <row r="145" spans="1:14" x14ac:dyDescent="0.25">
      <c r="A145" s="2" t="s">
        <v>17</v>
      </c>
      <c r="B145" s="2" t="s">
        <v>240</v>
      </c>
      <c r="C145" s="25" t="s">
        <v>273</v>
      </c>
      <c r="D145" s="24" t="s">
        <v>274</v>
      </c>
      <c r="E145" s="2" t="s">
        <v>355</v>
      </c>
      <c r="F145" t="s">
        <v>244</v>
      </c>
      <c r="G145" t="s">
        <v>23</v>
      </c>
      <c r="H145" t="s">
        <v>23</v>
      </c>
      <c r="I145" t="s">
        <v>23</v>
      </c>
      <c r="J145" s="18"/>
      <c r="K145" s="19">
        <v>0</v>
      </c>
      <c r="L145" s="18"/>
      <c r="N145" t="s">
        <v>185</v>
      </c>
    </row>
    <row r="146" spans="1:14" ht="30" x14ac:dyDescent="0.25">
      <c r="A146" s="2" t="s">
        <v>110</v>
      </c>
      <c r="B146" s="2" t="s">
        <v>240</v>
      </c>
      <c r="C146" s="25" t="s">
        <v>276</v>
      </c>
      <c r="D146" s="24" t="s">
        <v>274</v>
      </c>
      <c r="E146" s="2" t="s">
        <v>355</v>
      </c>
      <c r="F146" t="s">
        <v>107</v>
      </c>
      <c r="G146" t="s">
        <v>255</v>
      </c>
      <c r="H146" t="s">
        <v>255</v>
      </c>
      <c r="I146" t="s">
        <v>255</v>
      </c>
      <c r="J146" s="19">
        <v>0.95</v>
      </c>
      <c r="K146" s="19">
        <v>0.98</v>
      </c>
      <c r="L146" s="19">
        <v>1</v>
      </c>
      <c r="M146" t="s">
        <v>277</v>
      </c>
      <c r="N146" t="s">
        <v>185</v>
      </c>
    </row>
  </sheetData>
  <autoFilter ref="A2:N2" xr:uid="{2E14E671-16E6-4D41-8374-07CC2D0A216B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EB6E6-5E71-4153-AE70-94F74C863CD7}">
  <dimension ref="A1"/>
  <sheetViews>
    <sheetView workbookViewId="0"/>
  </sheetViews>
  <sheetFormatPr baseColWidth="10" defaultColWidth="8.710937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bd8b1a-1910-4f09-b355-7642edaba453" xsi:nil="true"/>
    <lcf76f155ced4ddcb4097134ff3c332f xmlns="34fa2a30-1fc0-48dc-b506-c8ecdf1d163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F41C41A45F454FB3A06C1F193A8F47" ma:contentTypeVersion="16" ma:contentTypeDescription="Crear nuevo documento." ma:contentTypeScope="" ma:versionID="237f357d3464448269ce60ab20cefcd6">
  <xsd:schema xmlns:xsd="http://www.w3.org/2001/XMLSchema" xmlns:xs="http://www.w3.org/2001/XMLSchema" xmlns:p="http://schemas.microsoft.com/office/2006/metadata/properties" xmlns:ns2="69bd8b1a-1910-4f09-b355-7642edaba453" xmlns:ns3="34fa2a30-1fc0-48dc-b506-c8ecdf1d163b" targetNamespace="http://schemas.microsoft.com/office/2006/metadata/properties" ma:root="true" ma:fieldsID="eea10bcf08cb672e13be488ac08554f3" ns2:_="" ns3:_="">
    <xsd:import namespace="69bd8b1a-1910-4f09-b355-7642edaba453"/>
    <xsd:import namespace="34fa2a30-1fc0-48dc-b506-c8ecdf1d163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8b1a-1910-4f09-b355-7642edaba4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ada6dbe-8035-4103-9ee2-63b82dd9f454}" ma:internalName="TaxCatchAll" ma:showField="CatchAllData" ma:web="69bd8b1a-1910-4f09-b355-7642edaba4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fa2a30-1fc0-48dc-b506-c8ecdf1d1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2e2deea9-f698-482e-8f77-105b59b60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86A5CE-BFA4-49F8-BE3B-62417A5C2622}">
  <ds:schemaRefs>
    <ds:schemaRef ds:uri="http://schemas.microsoft.com/office/2006/metadata/properties"/>
    <ds:schemaRef ds:uri="http://schemas.microsoft.com/office/infopath/2007/PartnerControls"/>
    <ds:schemaRef ds:uri="69bd8b1a-1910-4f09-b355-7642edaba453"/>
    <ds:schemaRef ds:uri="34fa2a30-1fc0-48dc-b506-c8ecdf1d163b"/>
  </ds:schemaRefs>
</ds:datastoreItem>
</file>

<file path=customXml/itemProps2.xml><?xml version="1.0" encoding="utf-8"?>
<ds:datastoreItem xmlns:ds="http://schemas.openxmlformats.org/officeDocument/2006/customXml" ds:itemID="{D694BABF-DB9E-47A8-AFD7-7D838D1722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4A3227-FC96-431F-A56A-515ADEE579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8b1a-1910-4f09-b355-7642edaba453"/>
    <ds:schemaRef ds:uri="34fa2a30-1fc0-48dc-b506-c8ecdf1d16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de IPs Bloque Frio</vt:lpstr>
      <vt:lpstr>Distribución BF</vt:lpstr>
      <vt:lpstr>Tabla de IPs Cocimientos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REGALADO</dc:creator>
  <cp:keywords/>
  <dc:description/>
  <cp:lastModifiedBy>Jose Luis Rodriguez Rangel</cp:lastModifiedBy>
  <cp:revision/>
  <dcterms:created xsi:type="dcterms:W3CDTF">2026-07-30T15:38:54Z</dcterms:created>
  <dcterms:modified xsi:type="dcterms:W3CDTF">2026-08-04T20:49:55Z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0x01010099F41C41A45F454FB3A06C1F193A8F47</vt:lpwstr>
  </property>
  <property fmtid="{D5CDD505-2E9C-101B-9397-08002B2CF9AE}" pid="3" name="MediaServiceImageTags">
    <vt:lpwstr/>
  </property>
</Properties>
</file>