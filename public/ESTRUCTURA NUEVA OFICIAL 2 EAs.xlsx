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sherlyn_garcia_p_gmodelo_com_mx/Documents/Documentos/2026/PEOPLE/EA/"/>
    </mc:Choice>
  </mc:AlternateContent>
  <xr:revisionPtr revIDLastSave="0" documentId="8_{703AB9E7-D10A-450A-875F-E52867BC9538}" xr6:coauthVersionLast="47" xr6:coauthVersionMax="47" xr10:uidLastSave="{00000000-0000-0000-0000-000000000000}"/>
  <bookViews>
    <workbookView xWindow="-120" yWindow="-120" windowWidth="21360" windowHeight="12735" activeTab="2" xr2:uid="{60D8B88C-CC31-443F-A009-9F88F1708155}"/>
  </bookViews>
  <sheets>
    <sheet name="Edad_Antigüedad" sheetId="1" r:id="rId1"/>
    <sheet name="EAutonomos" sheetId="2" r:id="rId2"/>
    <sheet name="Personal Total" sheetId="3" r:id="rId3"/>
  </sheets>
  <definedNames>
    <definedName name="_______________I027611" hidden="1">{#N/A,#N/A,FALSE,"지침";#N/A,#N/A,FALSE,"환경분석";#N/A,#N/A,FALSE,"Sheet16"}</definedName>
    <definedName name="_______________o1" hidden="1">{"det (May)",#N/A,FALSE,"June";"sum (MAY YTD)",#N/A,FALSE,"June YTD"}</definedName>
    <definedName name="_______________P0376001" hidden="1">{#N/A,#N/A,FALSE,"지침";#N/A,#N/A,FALSE,"환경분석";#N/A,#N/A,FALSE,"Sheet16"}</definedName>
    <definedName name="_______________tk2" hidden="1">{#N/A,#N/A,FALSE,"지침";#N/A,#N/A,FALSE,"환경분석";#N/A,#N/A,FALSE,"Sheet16"}</definedName>
    <definedName name="______________I027611" hidden="1">{#N/A,#N/A,FALSE,"지침";#N/A,#N/A,FALSE,"환경분석";#N/A,#N/A,FALSE,"Sheet16"}</definedName>
    <definedName name="______________o1" hidden="1">{"det (May)",#N/A,FALSE,"June";"sum (MAY YTD)",#N/A,FALSE,"June YTD"}</definedName>
    <definedName name="______________P0376001" hidden="1">{#N/A,#N/A,FALSE,"지침";#N/A,#N/A,FALSE,"환경분석";#N/A,#N/A,FALSE,"Sheet16"}</definedName>
    <definedName name="______________tk2" hidden="1">{#N/A,#N/A,FALSE,"지침";#N/A,#N/A,FALSE,"환경분석";#N/A,#N/A,FALSE,"Sheet16"}</definedName>
    <definedName name="_____________I027611" hidden="1">{#N/A,#N/A,FALSE,"지침";#N/A,#N/A,FALSE,"환경분석";#N/A,#N/A,FALSE,"Sheet16"}</definedName>
    <definedName name="_____________o1" hidden="1">{"det (May)",#N/A,FALSE,"June";"sum (MAY YTD)",#N/A,FALSE,"June YTD"}</definedName>
    <definedName name="_____________P0376001" hidden="1">{#N/A,#N/A,FALSE,"지침";#N/A,#N/A,FALSE,"환경분석";#N/A,#N/A,FALSE,"Sheet16"}</definedName>
    <definedName name="_____________tk2" hidden="1">{#N/A,#N/A,FALSE,"지침";#N/A,#N/A,FALSE,"환경분석";#N/A,#N/A,FALSE,"Sheet16"}</definedName>
    <definedName name="____________I027611" hidden="1">{#N/A,#N/A,FALSE,"지침";#N/A,#N/A,FALSE,"환경분석";#N/A,#N/A,FALSE,"Sheet16"}</definedName>
    <definedName name="____________o1" hidden="1">{"det (May)",#N/A,FALSE,"June";"sum (MAY YTD)",#N/A,FALSE,"June YTD"}</definedName>
    <definedName name="____________P0376001" hidden="1">{#N/A,#N/A,FALSE,"지침";#N/A,#N/A,FALSE,"환경분석";#N/A,#N/A,FALSE,"Sheet16"}</definedName>
    <definedName name="____________r" hidden="1">{"'171'!$A$1:$Z$50"}</definedName>
    <definedName name="____________tk2" hidden="1">{#N/A,#N/A,FALSE,"지침";#N/A,#N/A,FALSE,"환경분석";#N/A,#N/A,FALSE,"Sheet16"}</definedName>
    <definedName name="___________I027611" hidden="1">{#N/A,#N/A,FALSE,"지침";#N/A,#N/A,FALSE,"환경분석";#N/A,#N/A,FALSE,"Sheet16"}</definedName>
    <definedName name="___________o1" hidden="1">{"det (May)",#N/A,FALSE,"June";"sum (MAY YTD)",#N/A,FALSE,"June YTD"}</definedName>
    <definedName name="___________P0376001" hidden="1">{#N/A,#N/A,FALSE,"지침";#N/A,#N/A,FALSE,"환경분석";#N/A,#N/A,FALSE,"Sheet16"}</definedName>
    <definedName name="___________r" hidden="1">{"'171'!$A$1:$Z$50"}</definedName>
    <definedName name="___________tk2" hidden="1">{#N/A,#N/A,FALSE,"지침";#N/A,#N/A,FALSE,"환경분석";#N/A,#N/A,FALSE,"Sheet16"}</definedName>
    <definedName name="__________I027611" hidden="1">{#N/A,#N/A,FALSE,"지침";#N/A,#N/A,FALSE,"환경분석";#N/A,#N/A,FALSE,"Sheet16"}</definedName>
    <definedName name="__________o1" hidden="1">{"det (May)",#N/A,FALSE,"June";"sum (MAY YTD)",#N/A,FALSE,"June YTD"}</definedName>
    <definedName name="__________P0376001" hidden="1">{#N/A,#N/A,FALSE,"지침";#N/A,#N/A,FALSE,"환경분석";#N/A,#N/A,FALSE,"Sheet16"}</definedName>
    <definedName name="__________r" hidden="1">{"'171'!$A$1:$Z$50"}</definedName>
    <definedName name="__________tk2" hidden="1">{#N/A,#N/A,FALSE,"지침";#N/A,#N/A,FALSE,"환경분석";#N/A,#N/A,FALSE,"Sheet16"}</definedName>
    <definedName name="_________I027611" hidden="1">{#N/A,#N/A,FALSE,"지침";#N/A,#N/A,FALSE,"환경분석";#N/A,#N/A,FALSE,"Sheet16"}</definedName>
    <definedName name="_________o1" hidden="1">{"det (May)",#N/A,FALSE,"June";"sum (MAY YTD)",#N/A,FALSE,"June YTD"}</definedName>
    <definedName name="_________P0376001" hidden="1">{#N/A,#N/A,FALSE,"지침";#N/A,#N/A,FALSE,"환경분석";#N/A,#N/A,FALSE,"Sheet16"}</definedName>
    <definedName name="_________r" hidden="1">{"det (May)",#N/A,FALSE,"June";"sum (MAY YTD)",#N/A,FALSE,"June YTD"}</definedName>
    <definedName name="_________tk2" hidden="1">{#N/A,#N/A,FALSE,"지침";#N/A,#N/A,FALSE,"환경분석";#N/A,#N/A,FALSE,"Sheet16"}</definedName>
    <definedName name="________I027611" hidden="1">{#N/A,#N/A,FALSE,"지침";#N/A,#N/A,FALSE,"환경분석";#N/A,#N/A,FALSE,"Sheet16"}</definedName>
    <definedName name="________o1" hidden="1">{"det (May)",#N/A,FALSE,"June";"sum (MAY YTD)",#N/A,FALSE,"June YTD"}</definedName>
    <definedName name="________P0376001" hidden="1">{#N/A,#N/A,FALSE,"지침";#N/A,#N/A,FALSE,"환경분석";#N/A,#N/A,FALSE,"Sheet16"}</definedName>
    <definedName name="________r" hidden="1">{"det (May)",#N/A,FALSE,"June";"sum (MAY YTD)",#N/A,FALSE,"June YTD"}</definedName>
    <definedName name="________tk2" hidden="1">{#N/A,#N/A,FALSE,"지침";#N/A,#N/A,FALSE,"환경분석";#N/A,#N/A,FALSE,"Sheet16"}</definedName>
    <definedName name="__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__I027611" hidden="1">{#N/A,#N/A,FALSE,"지침";#N/A,#N/A,FALSE,"환경분석";#N/A,#N/A,FALSE,"Sheet16"}</definedName>
    <definedName name="_______o1" hidden="1">{"det (May)",#N/A,FALSE,"June";"sum (MAY YTD)",#N/A,FALSE,"June YTD"}</definedName>
    <definedName name="_______P0376001" hidden="1">{#N/A,#N/A,FALSE,"지침";#N/A,#N/A,FALSE,"환경분석";#N/A,#N/A,FALSE,"Sheet16"}</definedName>
    <definedName name="_______tk2" hidden="1">{#N/A,#N/A,FALSE,"지침";#N/A,#N/A,FALSE,"환경분석";#N/A,#N/A,FALSE,"Sheet16"}</definedName>
    <definedName name="______Ata2" hidden="1">{#N/A,#N/A,FALSE,"ROTINA";#N/A,#N/A,FALSE,"ITENS";#N/A,#N/A,FALSE,"ACOMP"}</definedName>
    <definedName name="_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_I027611" hidden="1">{#N/A,#N/A,FALSE,"지침";#N/A,#N/A,FALSE,"환경분석";#N/A,#N/A,FALSE,"Sheet16"}</definedName>
    <definedName name="______imp2" hidden="1">{#N/A,#N/A,FALSE,"Hoja1";#N/A,#N/A,FALSE,"Hoja2"}</definedName>
    <definedName name="______o1" hidden="1">{"det (May)",#N/A,FALSE,"June";"sum (MAY YTD)",#N/A,FALSE,"June YTD"}</definedName>
    <definedName name="______P0376001" hidden="1">{#N/A,#N/A,FALSE,"지침";#N/A,#N/A,FALSE,"환경분석";#N/A,#N/A,FALSE,"Sheet16"}</definedName>
    <definedName name="______tk2" hidden="1">{#N/A,#N/A,FALSE,"지침";#N/A,#N/A,FALSE,"환경분석";#N/A,#N/A,FALSE,"Sheet16"}</definedName>
    <definedName name="_____Ata1" hidden="1">{#N/A,#N/A,FALSE,"ROTINA";#N/A,#N/A,FALSE,"ITENS";#N/A,#N/A,FALSE,"ACOMP"}</definedName>
    <definedName name="_____CED10" hidden="1">{"Prenissas",#N/A,FALSE,"Consolidado (3)";"Lucros000",#N/A,FALSE,"Consolidado (3)";"LucrosHL",#N/A,FALSE,"Consolidado (3)";"Balanco",#N/A,FALSE,"Consolidado (3)";"FluxoC",#N/A,FALSE,"Consolidado (3)"}</definedName>
    <definedName name="_____CED101" hidden="1">{"Prenissas",#N/A,FALSE,"Consolidado (3)";"Lucros000",#N/A,FALSE,"Consolidado (3)";"LucrosHL",#N/A,FALSE,"Consolidado (3)";"Balanco",#N/A,FALSE,"Consolidado (3)";"FluxoC",#N/A,FALSE,"Consolidado (3)"}</definedName>
    <definedName name="_____CED11" hidden="1">{"miles",#N/A,FALSE,"LUCROS E PERDAS (US$ 000)";"hl",#N/A,FALSE,"LUCROS E PERDAS (US$ 000)"}</definedName>
    <definedName name="_____CED112" hidden="1">{"miles",#N/A,FALSE,"LUCROS E PERDAS (US$ 000)";"hl",#N/A,FALSE,"LUCROS E PERDAS (US$ 000)"}</definedName>
    <definedName name="_____co2" hidden="1">{"'171'!$A$1:$Z$50"}</definedName>
    <definedName name="_____co22" hidden="1">{"'171'!$A$1:$Z$50"}</definedName>
    <definedName name="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I027611" hidden="1">{#N/A,#N/A,FALSE,"지침";#N/A,#N/A,FALSE,"환경분석";#N/A,#N/A,FALSE,"Sheet16"}</definedName>
    <definedName name="_____imp2" hidden="1">{#N/A,#N/A,FALSE,"Hoja1";#N/A,#N/A,FALSE,"Hoja2"}</definedName>
    <definedName name="_____o1" hidden="1">{"det (May)",#N/A,FALSE,"June";"sum (MAY YTD)",#N/A,FALSE,"June YTD"}</definedName>
    <definedName name="_____P0376001" hidden="1">{#N/A,#N/A,FALSE,"지침";#N/A,#N/A,FALSE,"환경분석";#N/A,#N/A,FALSE,"Sheet16"}</definedName>
    <definedName name="_____te1" hidden="1">{#N/A,#N/A,FALSE,"ROTINA";#N/A,#N/A,FALSE,"ITENS";#N/A,#N/A,FALSE,"ACOMP"}</definedName>
    <definedName name="_____tk2" hidden="1">{#N/A,#N/A,FALSE,"지침";#N/A,#N/A,FALSE,"환경분석";#N/A,#N/A,FALSE,"Sheet16"}</definedName>
    <definedName name="____Ata1" hidden="1">{#N/A,#N/A,FALSE,"ROTINA";#N/A,#N/A,FALSE,"ITENS";#N/A,#N/A,FALSE,"ACOMP"}</definedName>
    <definedName name="____Ata2" hidden="1">{#N/A,#N/A,FALSE,"ROTINA";#N/A,#N/A,FALSE,"ITENS";#N/A,#N/A,FALSE,"ACOMP"}</definedName>
    <definedName name="____CED10" hidden="1">{"Prenissas",#N/A,FALSE,"Consolidado (3)";"Lucros000",#N/A,FALSE,"Consolidado (3)";"LucrosHL",#N/A,FALSE,"Consolidado (3)";"Balanco",#N/A,FALSE,"Consolidado (3)";"FluxoC",#N/A,FALSE,"Consolidado (3)"}</definedName>
    <definedName name="____CED101" hidden="1">{"Prenissas",#N/A,FALSE,"Consolidado (3)";"Lucros000",#N/A,FALSE,"Consolidado (3)";"LucrosHL",#N/A,FALSE,"Consolidado (3)";"Balanco",#N/A,FALSE,"Consolidado (3)";"FluxoC",#N/A,FALSE,"Consolidado (3)"}</definedName>
    <definedName name="____CED11" hidden="1">{"miles",#N/A,FALSE,"LUCROS E PERDAS (US$ 000)";"hl",#N/A,FALSE,"LUCROS E PERDAS (US$ 000)"}</definedName>
    <definedName name="____CED112" hidden="1">{"miles",#N/A,FALSE,"LUCROS E PERDAS (US$ 000)";"hl",#N/A,FALSE,"LUCROS E PERDAS (US$ 000)"}</definedName>
    <definedName name="____co2" hidden="1">{"'171'!$A$1:$Z$50"}</definedName>
    <definedName name="____co22" hidden="1">{"'171'!$A$1:$Z$50"}</definedName>
    <definedName name="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I027611" hidden="1">{#N/A,#N/A,FALSE,"지침";#N/A,#N/A,FALSE,"환경분석";#N/A,#N/A,FALSE,"Sheet16"}</definedName>
    <definedName name="____imp2" hidden="1">{#N/A,#N/A,FALSE,"Hoja1";#N/A,#N/A,FALSE,"Hoja2"}</definedName>
    <definedName name="____kja9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l" hidden="1">{#N/A,#N/A,FALSE,"Hoja1";#N/A,#N/A,FALSE,"Hoja2"}</definedName>
    <definedName name="____o1" hidden="1">{"det (May)",#N/A,FALSE,"June";"sum (MAY YTD)",#N/A,FALSE,"June YTD"}</definedName>
    <definedName name="____P0376001" hidden="1">{#N/A,#N/A,FALSE,"지침";#N/A,#N/A,FALSE,"환경분석";#N/A,#N/A,FALSE,"Sheet16"}</definedName>
    <definedName name="____t6" hidden="1">{#N/A,#N/A,FALSE,"RELATÓRIO";#N/A,#N/A,FALSE,"RELATÓRIO"}</definedName>
    <definedName name="____te1" hidden="1">{#N/A,#N/A,FALSE,"ROTINA";#N/A,#N/A,FALSE,"ITENS";#N/A,#N/A,FALSE,"ACOMP"}</definedName>
    <definedName name="____tk2" hidden="1">{#N/A,#N/A,FALSE,"지침";#N/A,#N/A,FALSE,"환경분석";#N/A,#N/A,FALSE,"Sheet16"}</definedName>
    <definedName name="___Ata1" hidden="1">{#N/A,#N/A,FALSE,"ROTINA";#N/A,#N/A,FALSE,"ITENS";#N/A,#N/A,FALSE,"ACOMP"}</definedName>
    <definedName name="___Ata2" hidden="1">{#N/A,#N/A,FALSE,"ROTINA";#N/A,#N/A,FALSE,"ITENS";#N/A,#N/A,FALSE,"ACOMP"}</definedName>
    <definedName name="___CED10" hidden="1">{"Prenissas",#N/A,FALSE,"Consolidado (3)";"Lucros000",#N/A,FALSE,"Consolidado (3)";"LucrosHL",#N/A,FALSE,"Consolidado (3)";"Balanco",#N/A,FALSE,"Consolidado (3)";"FluxoC",#N/A,FALSE,"Consolidado (3)"}</definedName>
    <definedName name="___CED101" hidden="1">{"Prenissas",#N/A,FALSE,"Consolidado (3)";"Lucros000",#N/A,FALSE,"Consolidado (3)";"LucrosHL",#N/A,FALSE,"Consolidado (3)";"Balanco",#N/A,FALSE,"Consolidado (3)";"FluxoC",#N/A,FALSE,"Consolidado (3)"}</definedName>
    <definedName name="___CED11" hidden="1">{"miles",#N/A,FALSE,"LUCROS E PERDAS (US$ 000)";"hl",#N/A,FALSE,"LUCROS E PERDAS (US$ 000)"}</definedName>
    <definedName name="___CED112" hidden="1">{"miles",#N/A,FALSE,"LUCROS E PERDAS (US$ 000)";"hl",#N/A,FALSE,"LUCROS E PERDAS (US$ 000)"}</definedName>
    <definedName name="___co2" hidden="1">{"'171'!$A$1:$Z$50"}</definedName>
    <definedName name="___co22" hidden="1">{"'171'!$A$1:$Z$50"}</definedName>
    <definedName name="___ds13" hidden="1">{#N/A,#N/A,FALSE,"PRECIO FULL";#N/A,#N/A,FALSE,"LARA";#N/A,#N/A,FALSE,"CARACAS";#N/A,#N/A,FALSE,"DISBRACENTRO";#N/A,#N/A,FALSE,"ANDES";#N/A,#N/A,FALSE,"MAR CARIBE";#N/A,#N/A,FALSE,"RIO BEER";#N/A,#N/A,FALSE,"DISBRAH"}</definedName>
    <definedName name="___I027611" hidden="1">{#N/A,#N/A,FALSE,"지침";#N/A,#N/A,FALSE,"환경분석";#N/A,#N/A,FALSE,"Sheet16"}</definedName>
    <definedName name="___imp2" hidden="1">{#N/A,#N/A,FALSE,"Hoja1";#N/A,#N/A,FALSE,"Hoja2"}</definedName>
    <definedName name="___kja9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o1" hidden="1">{"det (May)",#N/A,FALSE,"June";"sum (MAY YTD)",#N/A,FALSE,"June YTD"}</definedName>
    <definedName name="___P0376001" hidden="1">{#N/A,#N/A,FALSE,"지침";#N/A,#N/A,FALSE,"환경분석";#N/A,#N/A,FALSE,"Sheet16"}</definedName>
    <definedName name="___r" hidden="1">{"'171'!$A$1:$Z$50"}</definedName>
    <definedName name="___t6" hidden="1">{#N/A,#N/A,FALSE,"RELATÓRIO";#N/A,#N/A,FALSE,"RELATÓRIO"}</definedName>
    <definedName name="___te1" hidden="1">{#N/A,#N/A,FALSE,"ROTINA";#N/A,#N/A,FALSE,"ITENS";#N/A,#N/A,FALSE,"ACOMP"}</definedName>
    <definedName name="___tk2" hidden="1">{#N/A,#N/A,FALSE,"지침";#N/A,#N/A,FALSE,"환경분석";#N/A,#N/A,FALSE,"Sheet16"}</definedName>
    <definedName name="__1_?" hidden="1">{#N/A,#N/A,FALSE,"??";#N/A,#N/A,FALSE,"????";#N/A,#N/A,FALSE,"Sheet16"}</definedName>
    <definedName name="__10_??l" hidden="1">{#N/A,#N/A,FALSE,"??";#N/A,#N/A,FALSE,"????";#N/A,#N/A,FALSE,"Sheet16"}</definedName>
    <definedName name="__11_?1" hidden="1">{#N/A,#N/A,FALSE,"??";#N/A,#N/A,FALSE,"????";#N/A,#N/A,FALSE,"Sheet16"}</definedName>
    <definedName name="__12_?2" hidden="1">{#N/A,#N/A,FALSE,"??";#N/A,#N/A,FALSE,"????";#N/A,#N/A,FALSE,"Sheet16"}</definedName>
    <definedName name="__123Graph_A" hidden="1">#REF!</definedName>
    <definedName name="__123Graph_ABKHORECA" hidden="1">#REF!</definedName>
    <definedName name="__123Graph_ACHOMAGE" hidden="1">#REF!</definedName>
    <definedName name="__123Graph_AGRAF1" hidden="1">#REF!</definedName>
    <definedName name="__123Graph_ATEST1" hidden="1">#REF!</definedName>
    <definedName name="__123Graph_ATEST2" hidden="1">#REF!</definedName>
    <definedName name="__123Graph_ATEST5" hidden="1">#REF!</definedName>
    <definedName name="__123Graph_B" hidden="1">#REF!</definedName>
    <definedName name="__123Graph_BBKHORECA" hidden="1">#REF!</definedName>
    <definedName name="__123Graph_BCHOMAGE" hidden="1">#REF!</definedName>
    <definedName name="__123Graph_BGRAF1" hidden="1">#REF!</definedName>
    <definedName name="__123Graph_BTEST1" hidden="1">#REF!</definedName>
    <definedName name="__123Graph_BTEST2" hidden="1">#REF!</definedName>
    <definedName name="__123Graph_BTEST5" hidden="1">#REF!</definedName>
    <definedName name="__123Graph_C" hidden="1">#REF!</definedName>
    <definedName name="__123Graph_CBKHORECA" hidden="1">#REF!</definedName>
    <definedName name="__123Graph_CGRAF1" hidden="1">#REF!</definedName>
    <definedName name="__123Graph_CTEST1" hidden="1">#REF!</definedName>
    <definedName name="__123Graph_CTEST5" hidden="1">#REF!</definedName>
    <definedName name="__123Graph_D" hidden="1">#REF!</definedName>
    <definedName name="__123Graph_DBKHORECA" hidden="1">#REF!</definedName>
    <definedName name="__123Graph_DGRAF1" hidden="1">#REF!</definedName>
    <definedName name="__123Graph_DTEST1" hidden="1">#REF!</definedName>
    <definedName name="__123Graph_E" hidden="1">#REF!</definedName>
    <definedName name="__123Graph_EGRAF1" hidden="1">#REF!</definedName>
    <definedName name="__123Graph_LBL_A" hidden="1">#REF!</definedName>
    <definedName name="__123Graph_LBL_ABKHORECA" hidden="1">#REF!</definedName>
    <definedName name="__123Graph_LBL_ACHOMAGE" hidden="1">#REF!</definedName>
    <definedName name="__123Graph_LBL_ATEST1" hidden="1">#REF!</definedName>
    <definedName name="__123Graph_LBL_ATEST2" hidden="1">#REF!</definedName>
    <definedName name="__123Graph_LBL_ATEST5" hidden="1">#REF!</definedName>
    <definedName name="__123Graph_LBL_B" hidden="1">#REF!</definedName>
    <definedName name="__123Graph_LBL_BBKHORECA" hidden="1">#REF!</definedName>
    <definedName name="__123Graph_LBL_BCHOMAGE" hidden="1">#REF!</definedName>
    <definedName name="__123Graph_LBL_BTEST1" hidden="1">#REF!</definedName>
    <definedName name="__123Graph_LBL_BTEST2" hidden="1">#REF!</definedName>
    <definedName name="__123Graph_LBL_BTEST5" hidden="1">#REF!</definedName>
    <definedName name="__123Graph_LBL_C" hidden="1">#REF!</definedName>
    <definedName name="__123Graph_LBL_CBKHORECA" hidden="1">#REF!</definedName>
    <definedName name="__123Graph_LBL_CTEST1" hidden="1">#REF!</definedName>
    <definedName name="__123Graph_LBL_CTEST5" hidden="1">#REF!</definedName>
    <definedName name="__123Graph_LBL_D" hidden="1">#REF!</definedName>
    <definedName name="__123Graph_LBL_DBKHORECA" hidden="1">#REF!</definedName>
    <definedName name="__123Graph_LBL_DTEST1" hidden="1">#REF!</definedName>
    <definedName name="__123Graph_X" hidden="1">#REF!</definedName>
    <definedName name="__123Graph_XBKHORECA" hidden="1">#REF!</definedName>
    <definedName name="__123Graph_XCHOMAGE" hidden="1">#REF!</definedName>
    <definedName name="__123Graph_XGRAF1" hidden="1">#REF!</definedName>
    <definedName name="__123Graph_XTEST1" hidden="1">#REF!</definedName>
    <definedName name="__123Graph_XTEST2" hidden="1">#REF!</definedName>
    <definedName name="__123Graph_XTEST5" hidden="1">#REF!</definedName>
    <definedName name="__2_??" hidden="1">{#N/A,#N/A,FALSE,"??";#N/A,#N/A,FALSE,"????";#N/A,#N/A,FALSE,"Sheet16"}</definedName>
    <definedName name="__3_???" hidden="1">{#N/A,#N/A,FALSE,"??";#N/A,#N/A,FALSE,"????";#N/A,#N/A,FALSE,"Sheet16"}</definedName>
    <definedName name="__4_????" hidden="1">{#N/A,#N/A,FALSE,"??";#N/A,#N/A,FALSE,"????";#N/A,#N/A,FALSE,"Sheet16"}</definedName>
    <definedName name="__5_?????" hidden="1">{#N/A,#N/A,FALSE,"??";#N/A,#N/A,FALSE,"????";#N/A,#N/A,FALSE,"Sheet16"}</definedName>
    <definedName name="__6_?????????" hidden="1">{#N/A,#N/A,FALSE,"??";#N/A,#N/A,FALSE,"????";#N/A,#N/A,FALSE,"Sheet16"}</definedName>
    <definedName name="__7_????1" hidden="1">{#N/A,#N/A,FALSE,"??";#N/A,#N/A,FALSE,"????";#N/A,#N/A,FALSE,"Sheet16"}</definedName>
    <definedName name="__8_??BU" hidden="1">{#N/A,#N/A,FALSE,"??";#N/A,#N/A,FALSE,"????";#N/A,#N/A,FALSE,"Sheet16"}</definedName>
    <definedName name="__9_??I067606" hidden="1">{#N/A,#N/A,FALSE,"??";#N/A,#N/A,FALSE,"????";#N/A,#N/A,FALSE,"Sheet16"}</definedName>
    <definedName name="__Ata1" hidden="1">{#N/A,#N/A,FALSE,"ROTINA";#N/A,#N/A,FALSE,"ITENS";#N/A,#N/A,FALSE,"ACOMP"}</definedName>
    <definedName name="__Ata2" hidden="1">{#N/A,#N/A,FALSE,"ROTINA";#N/A,#N/A,FALSE,"ITENS";#N/A,#N/A,FALSE,"ACOMP"}</definedName>
    <definedName name="__CED10" hidden="1">{"Prenissas",#N/A,FALSE,"Consolidado (3)";"Lucros000",#N/A,FALSE,"Consolidado (3)";"LucrosHL",#N/A,FALSE,"Consolidado (3)";"Balanco",#N/A,FALSE,"Consolidado (3)";"FluxoC",#N/A,FALSE,"Consolidado (3)"}</definedName>
    <definedName name="__CED101" hidden="1">{"Prenissas",#N/A,FALSE,"Consolidado (3)";"Lucros000",#N/A,FALSE,"Consolidado (3)";"LucrosHL",#N/A,FALSE,"Consolidado (3)";"Balanco",#N/A,FALSE,"Consolidado (3)";"FluxoC",#N/A,FALSE,"Consolidado (3)"}</definedName>
    <definedName name="__CED11" hidden="1">{"miles",#N/A,FALSE,"LUCROS E PERDAS (US$ 000)";"hl",#N/A,FALSE,"LUCROS E PERDAS (US$ 000)"}</definedName>
    <definedName name="__CED112" hidden="1">{"miles",#N/A,FALSE,"LUCROS E PERDAS (US$ 000)";"hl",#N/A,FALSE,"LUCROS E PERDAS (US$ 000)"}</definedName>
    <definedName name="__co2" hidden="1">{"'171'!$A$1:$Z$50"}</definedName>
    <definedName name="__co22" hidden="1">{"'171'!$A$1:$Z$50"}</definedName>
    <definedName name="__ddd1" hidden="1">{#N/A,#N/A,FALSE,"지침";#N/A,#N/A,FALSE,"환경분석";#N/A,#N/A,FALSE,"Sheet16"}</definedName>
    <definedName name="__ds13" hidden="1">{#N/A,#N/A,FALSE,"PRECIO FULL";#N/A,#N/A,FALSE,"LARA";#N/A,#N/A,FALSE,"CARACAS";#N/A,#N/A,FALSE,"DISBRACENTRO";#N/A,#N/A,FALSE,"ANDES";#N/A,#N/A,FALSE,"MAR CARIBE";#N/A,#N/A,FALSE,"RIO BEER";#N/A,#N/A,FALSE,"DISBRAH"}</definedName>
    <definedName name="__I027611" hidden="1">{#N/A,#N/A,FALSE,"지침";#N/A,#N/A,FALSE,"환경분석";#N/A,#N/A,FALSE,"Sheet16"}</definedName>
    <definedName name="__imp2" hidden="1">{#N/A,#N/A,FALSE,"Hoja1";#N/A,#N/A,FALSE,"Hoja2"}</definedName>
    <definedName name="__kja9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l" hidden="1">{#N/A,#N/A,FALSE,"Hoja1";#N/A,#N/A,FALSE,"Hoja2"}</definedName>
    <definedName name="__o1" hidden="1">{"det (May)",#N/A,FALSE,"June";"sum (MAY YTD)",#N/A,FALSE,"June YTD"}</definedName>
    <definedName name="__P0376001" hidden="1">{#N/A,#N/A,FALSE,"지침";#N/A,#N/A,FALSE,"환경분석";#N/A,#N/A,FALSE,"Sheet16"}</definedName>
    <definedName name="__r" hidden="1">{"'171'!$A$1:$Z$50"}</definedName>
    <definedName name="__t6" hidden="1">{#N/A,#N/A,FALSE,"RELATÓRIO";#N/A,#N/A,FALSE,"RELATÓRIO"}</definedName>
    <definedName name="__te1" hidden="1">{#N/A,#N/A,FALSE,"ROTINA";#N/A,#N/A,FALSE,"ITENS";#N/A,#N/A,FALSE,"ACOMP"}</definedName>
    <definedName name="__tk2" hidden="1">{#N/A,#N/A,FALSE,"지침";#N/A,#N/A,FALSE,"환경분석";#N/A,#N/A,FALSE,"Sheet16"}</definedName>
    <definedName name="__xlfn.BAHTTEXT" hidden="1">#NAME?</definedName>
    <definedName name="_1_?" hidden="1">{#N/A,#N/A,FALSE,"??";#N/A,#N/A,FALSE,"????";#N/A,#N/A,FALSE,"Sheet16"}</definedName>
    <definedName name="_1__123Graph_ACHART_1" hidden="1">#REF!</definedName>
    <definedName name="_10_??l" hidden="1">{#N/A,#N/A,FALSE,"??";#N/A,#N/A,FALSE,"????";#N/A,#N/A,FALSE,"Sheet16"}</definedName>
    <definedName name="_11_?1" hidden="1">{#N/A,#N/A,FALSE,"??";#N/A,#N/A,FALSE,"????";#N/A,#N/A,FALSE,"Sheet16"}</definedName>
    <definedName name="_12_?2" hidden="1">{#N/A,#N/A,FALSE,"??";#N/A,#N/A,FALSE,"????";#N/A,#N/A,FALSE,"Sheet16"}</definedName>
    <definedName name="_123Graph_A" hidden="1">#REF!</definedName>
    <definedName name="_123Graph_AB" hidden="1">#REF!</definedName>
    <definedName name="_2_??" hidden="1">{#N/A,#N/A,FALSE,"??";#N/A,#N/A,FALSE,"????";#N/A,#N/A,FALSE,"Sheet16"}</definedName>
    <definedName name="_2__123Graph_BCHART_1" hidden="1">#REF!</definedName>
    <definedName name="_3_???" hidden="1">{#N/A,#N/A,FALSE,"??";#N/A,#N/A,FALSE,"????";#N/A,#N/A,FALSE,"Sheet16"}</definedName>
    <definedName name="_3__123Graph_XCHART_1" hidden="1">#REF!</definedName>
    <definedName name="_4_????" hidden="1">{#N/A,#N/A,FALSE,"??";#N/A,#N/A,FALSE,"????";#N/A,#N/A,FALSE,"Sheet16"}</definedName>
    <definedName name="_5_?????" hidden="1">{#N/A,#N/A,FALSE,"??";#N/A,#N/A,FALSE,"????";#N/A,#N/A,FALSE,"Sheet16"}</definedName>
    <definedName name="_6_?????????" hidden="1">{#N/A,#N/A,FALSE,"??";#N/A,#N/A,FALSE,"????";#N/A,#N/A,FALSE,"Sheet16"}</definedName>
    <definedName name="_7_????1" hidden="1">{#N/A,#N/A,FALSE,"??";#N/A,#N/A,FALSE,"????";#N/A,#N/A,FALSE,"Sheet16"}</definedName>
    <definedName name="_8_??BU" hidden="1">{#N/A,#N/A,FALSE,"??";#N/A,#N/A,FALSE,"????";#N/A,#N/A,FALSE,"Sheet16"}</definedName>
    <definedName name="_9_??I067606" hidden="1">{#N/A,#N/A,FALSE,"??";#N/A,#N/A,FALSE,"????";#N/A,#N/A,FALSE,"Sheet16"}</definedName>
    <definedName name="_Ata1" hidden="1">{#N/A,#N/A,FALSE,"ROTINA";#N/A,#N/A,FALSE,"ITENS";#N/A,#N/A,FALSE,"ACOMP"}</definedName>
    <definedName name="_ata123" hidden="1">{#N/A,#N/A,FALSE,"ROTINA";#N/A,#N/A,FALSE,"ITENS";#N/A,#N/A,FALSE,"ACOMP"}</definedName>
    <definedName name="_Ata2" hidden="1">{#N/A,#N/A,FALSE,"ROTINA";#N/A,#N/A,FALSE,"ITENS";#N/A,#N/A,FALSE,"ACOMP"}</definedName>
    <definedName name="_cd1" hidden="1">{"'cua 42'!$A$1:$O$40"}</definedName>
    <definedName name="_CED10" hidden="1">{"Prenissas",#N/A,FALSE,"Consolidado (3)";"Lucros000",#N/A,FALSE,"Consolidado (3)";"LucrosHL",#N/A,FALSE,"Consolidado (3)";"Balanco",#N/A,FALSE,"Consolidado (3)";"FluxoC",#N/A,FALSE,"Consolidado (3)"}</definedName>
    <definedName name="_CED101" hidden="1">{"Prenissas",#N/A,FALSE,"Consolidado (3)";"Lucros000",#N/A,FALSE,"Consolidado (3)";"LucrosHL",#N/A,FALSE,"Consolidado (3)";"Balanco",#N/A,FALSE,"Consolidado (3)";"FluxoC",#N/A,FALSE,"Consolidado (3)"}</definedName>
    <definedName name="_CED11" hidden="1">{"miles",#N/A,FALSE,"LUCROS E PERDAS (US$ 000)";"hl",#N/A,FALSE,"LUCROS E PERDAS (US$ 000)"}</definedName>
    <definedName name="_CED112" hidden="1">{"miles",#N/A,FALSE,"LUCROS E PERDAS (US$ 000)";"hl",#N/A,FALSE,"LUCROS E PERDAS (US$ 000)"}</definedName>
    <definedName name="_co2" hidden="1">{"'171'!$A$1:$Z$50"}</definedName>
    <definedName name="_co22" hidden="1">{"'171'!$A$1:$Z$50"}</definedName>
    <definedName name="_co23" hidden="1">{"'171'!$A$1:$Z$50"}</definedName>
    <definedName name="_ddd1" hidden="1">{#N/A,#N/A,FALSE,"지침";#N/A,#N/A,FALSE,"환경분석";#N/A,#N/A,FALSE,"Sheet16"}</definedName>
    <definedName name="_ds13" hidden="1">{#N/A,#N/A,FALSE,"PRECIO FULL";#N/A,#N/A,FALSE,"LARA";#N/A,#N/A,FALSE,"CARACAS";#N/A,#N/A,FALSE,"DISBRACENTRO";#N/A,#N/A,FALSE,"ANDES";#N/A,#N/A,FALSE,"MAR CARIBE";#N/A,#N/A,FALSE,"RIO BEER";#N/A,#N/A,FALSE,"DISBRAH"}</definedName>
    <definedName name="_Fill" hidden="1">#REF!</definedName>
    <definedName name="_xlnm._FilterDatabase" localSheetId="2" hidden="1">'Personal Total'!$A$3:$AU$165</definedName>
    <definedName name="_xlnm._FilterDatabase" hidden="1">#REF!</definedName>
    <definedName name="_I027611" hidden="1">{#N/A,#N/A,FALSE,"지침";#N/A,#N/A,FALSE,"환경분석";#N/A,#N/A,FALSE,"Sheet16"}</definedName>
    <definedName name="_imp2" hidden="1">{#N/A,#N/A,FALSE,"Hoja1";#N/A,#N/A,FALSE,"Hoja2"}</definedName>
    <definedName name="_Key1" hidden="1">#REF!</definedName>
    <definedName name="_Key2" hidden="1">#REF!</definedName>
    <definedName name="_KEY5" hidden="1">#REF!</definedName>
    <definedName name="_kja9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l" hidden="1">{#N/A,#N/A,FALSE,"Hoja1";#N/A,#N/A,FALSE,"Hoja2"}</definedName>
    <definedName name="_o1" hidden="1">{"det (May)",#N/A,FALSE,"June";"sum (MAY YTD)",#N/A,FALSE,"June YTD"}</definedName>
    <definedName name="_Order1" hidden="1">255</definedName>
    <definedName name="_Order2" hidden="1">255</definedName>
    <definedName name="_P0376001" hidden="1">{#N/A,#N/A,FALSE,"지침";#N/A,#N/A,FALSE,"환경분석";#N/A,#N/A,FALSE,"Sheet16"}</definedName>
    <definedName name="_Parse_In" hidden="1">#REF!</definedName>
    <definedName name="_Parse_Out" hidden="1">#REF!</definedName>
    <definedName name="_r" hidden="1">{"'171'!$A$1:$Z$50"}</definedName>
    <definedName name="_Sort" hidden="1">#REF!</definedName>
    <definedName name="_t6" hidden="1">{#N/A,#N/A,FALSE,"RELATÓRIO";#N/A,#N/A,FALSE,"RELATÓRIO"}</definedName>
    <definedName name="_Table1_In1" hidden="1">#REF!</definedName>
    <definedName name="_Table1_Out" hidden="1">#REF!</definedName>
    <definedName name="_Table2_Out" hidden="1">#REF!</definedName>
    <definedName name="_te1" hidden="1">{#N/A,#N/A,FALSE,"ROTINA";#N/A,#N/A,FALSE,"ITENS";#N/A,#N/A,FALSE,"ACOMP"}</definedName>
    <definedName name="_tk2" hidden="1">{#N/A,#N/A,FALSE,"지침";#N/A,#N/A,FALSE,"환경분석";#N/A,#N/A,FALSE,"Sheet16"}</definedName>
    <definedName name="_tK3" hidden="1">{#N/A,#N/A,FALSE,"지침";#N/A,#N/A,FALSE,"환경분석";#N/A,#N/A,FALSE,"Sheet16"}</definedName>
    <definedName name="a" hidden="1">{#N/A,#N/A,FALSE,"ROTINA";#N/A,#N/A,FALSE,"ITENS";#N/A,#N/A,FALSE,"ACOMP"}</definedName>
    <definedName name="A.???" hidden="1">{"det (May)",#N/A,FALSE,"June";"sum (MAY YTD)",#N/A,FALSE,"June YTD"}</definedName>
    <definedName name="a.4" hidden="1">{#VALUE!,#N/A,FALSE,0;#N/A,#N/A,FALSE,0;#N/A,#N/A,FALSE,0}</definedName>
    <definedName name="a.6" hidden="1">{0,#N/A,FALSE,0;0,#N/A,FALSE,0}</definedName>
    <definedName name="A.Ⅱ.i2" hidden="1">{"det (May)",#N/A,FALSE,"June";"sum (MAY YTD)",#N/A,FALSE,"June YTD"}</definedName>
    <definedName name="A.I.2" hidden="1">{"det (May)",#N/A,FALSE,"June";"sum (MAY YTD)",#N/A,FALSE,"June YTD"}</definedName>
    <definedName name="A.I.AA" hidden="1">{"det (May)",#N/A,FALSE,"June";"sum (MAY YTD)",#N/A,FALSE,"June YTD"}</definedName>
    <definedName name="a.II.i2" hidden="1">{"det (May)",#N/A,FALSE,"June";"sum (MAY YTD)",#N/A,FALSE,"June YTD"}</definedName>
    <definedName name="aa" hidden="1">{#N/A,#N/A,FALSE,"지침";#N/A,#N/A,FALSE,"환경분석";#N/A,#N/A,FALSE,"Sheet16"}</definedName>
    <definedName name="aaa" hidden="1">#REF!</definedName>
    <definedName name="aaaa" hidden="1">{"det (May)",#N/A,FALSE,"June";"sum (MAY YTD)",#N/A,FALSE,"June YTD"}</definedName>
    <definedName name="aaaaa" hidden="1">{"det (May)",#N/A,FALSE,"June";"sum (MAY YTD)",#N/A,FALSE,"June YTD"}</definedName>
    <definedName name="aaaaaaa" hidden="1">{"det (May)",#N/A,FALSE,"June";"sum (MAY YTD)",#N/A,FALSE,"June YTD"}</definedName>
    <definedName name="aaaaaaaaaaaaaaaaa" hidden="1">#REF!</definedName>
    <definedName name="aaad" hidden="1">{#N/A,#N/A,FALSE,"CONTEO";#N/A,#N/A,FALSE,"INSUMOS";#N/A,#N/A,FALSE,"STOCK";#N/A,#N/A,FALSE,"MOVIMIENTOS";#N/A,#N/A,FALSE,"Mov.Ins.L.L.";#N/A,#N/A,FALSE,"Conteo1";#N/A,#N/A,FALSE,"Conteo2";#N/A,#N/A,FALSE,"Promo ";#N/A,#N/A,FALSE,"Conteo Insumos"}</definedName>
    <definedName name="aald" hidden="1">{#N/A,#N/A,FALSE,"Hoja1";#N/A,#N/A,FALSE,"Hoja2"}</definedName>
    <definedName name="ab" hidden="1">{"'171'!$A$1:$Z$50"}</definedName>
    <definedName name="ABC" hidden="1">#REF!</definedName>
    <definedName name="abevssadsadsfdsfdsfdsfsdfdsssssssssssssssssssssssssssssssssss" hidden="1">#REF!</definedName>
    <definedName name="ac" hidden="1">{"'171'!$A$1:$Z$50"}</definedName>
    <definedName name="AccessDatabase" hidden="1">"G:\Cbz\CBZ Pcpal\CBZ Pcpal ver SAP 4.5.mdb"</definedName>
    <definedName name="adads" hidden="1">{#N/A,#N/A,FALSE,"ROTINA";#N/A,#N/A,FALSE,"ITENS";#N/A,#N/A,FALSE,"ACOMP"}</definedName>
    <definedName name="aeerf" hidden="1">{"det (May)",#N/A,FALSE,"June";"sum (MAY YTD)",#N/A,FALSE,"June YTD"}</definedName>
    <definedName name="AFDaf" hidden="1">#REF!</definedName>
    <definedName name="affff" hidden="1">{"'cua 42'!$A$1:$O$40"}</definedName>
    <definedName name="afrs" hidden="1">{#N/A,#N/A,FALSE,"ROTINA";#N/A,#N/A,FALSE,"ITENS";#N/A,#N/A,FALSE,"ACOMP"}</definedName>
    <definedName name="ago" hidden="1">{"'171'!$A$1:$Z$50"}</definedName>
    <definedName name="Agosto" hidden="1">#REF!</definedName>
    <definedName name="al" hidden="1">{"CAP VOL",#N/A,FALSE,"CAPITAL";"CAP VAR",#N/A,FALSE,"CAPITAL";"CAP FIJ",#N/A,FALSE,"CAPITAL";"CAP CONS",#N/A,FALSE,"CAPITAL";"CAP DATA",#N/A,FALSE,"CAPITAL"}</definedName>
    <definedName name="alçsdfjla" hidden="1">{"'171'!$A$1:$Z$50"}</definedName>
    <definedName name="ale" hidden="1">{#N/A,#N/A,FALSE,"RELATÓRIO";#N/A,#N/A,FALSE,"RELATÓRIO"}</definedName>
    <definedName name="alk" hidden="1">{#N/A,#N/A,FALSE,"Hoja1";#N/A,#N/A,FALSE,"Hoja2"}</definedName>
    <definedName name="alt" hidden="1">{"det (May)",#N/A,FALSE,"June";"sum (MAY YTD)",#N/A,FALSE,"June YTD"}</definedName>
    <definedName name="ambev" hidden="1">{"RESUMEN",#N/A,FALSE,"RESUMEN";"RESUMEN_MARG",#N/A,FALSE,"RESUMEN"}</definedName>
    <definedName name="Analise" hidden="1">{"'171'!$A$1:$Z$50"}</definedName>
    <definedName name="André" hidden="1">{#N/A,#N/A,FALSE,"ROTINA";#N/A,#N/A,FALSE,"ITENS";#N/A,#N/A,FALSE,"ACOMP"}</definedName>
    <definedName name="ANNA" hidden="1">{"det (May)",#N/A,FALSE,"June";"sum (MAY YTD)",#N/A,FALSE,"June YTD"}</definedName>
    <definedName name="anscount" hidden="1">1</definedName>
    <definedName name="Año" hidden="1">{"'171'!$A$1:$Z$50"}</definedName>
    <definedName name="ap" hidden="1">{"'171'!$A$1:$Z$50"}</definedName>
    <definedName name="APCindco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APcuatro" hidden="1">{#N/A,#N/A,FALSE,"RGD$";#N/A,#N/A,FALSE,"BG$";#N/A,#N/A,FALSE,"FC$"}</definedName>
    <definedName name="APDOS" hidden="1">{"RESUMEN",#N/A,FALSE,"RESUMEN";"RESUMEN_MARG",#N/A,FALSE,"RESUMEN"}</definedName>
    <definedName name="apres" hidden="1">{"'171'!$A$1:$Z$50"}</definedName>
    <definedName name="aprese" hidden="1">{"'171'!$A$1:$Z$50"}</definedName>
    <definedName name="APtres" hidden="1">{#N/A,#N/A,FALSE,"PRECIO FULL";#N/A,#N/A,FALSE,"LARA";#N/A,#N/A,FALSE,"CARACAS";#N/A,#N/A,FALSE,"DISBRACENTRO";#N/A,#N/A,FALSE,"ANDES";#N/A,#N/A,FALSE,"MAR CARIBE";#N/A,#N/A,FALSE,"RIO BEER";#N/A,#N/A,FALSE,"DISBRAH"}</definedName>
    <definedName name="APuno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aqaq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aqzs" hidden="1">{"det (May)",#N/A,FALSE,"June";"sum (MAY YTD)",#N/A,FALSE,"June YTD"}</definedName>
    <definedName name="ARC_SAC" hidden="1">{"'Farol'!$A$1:$AC$49"}</definedName>
    <definedName name="ARC_SAC1" hidden="1">{"'Farol'!$A$1:$AC$49"}</definedName>
    <definedName name="_xlnm.Print_Area" localSheetId="1">EAutonomos!$A$1:$L$43</definedName>
    <definedName name="arff" hidden="1">{#N/A,#N/A,FALSE,"ROTINA";#N/A,#N/A,FALSE,"ITENS";#N/A,#N/A,FALSE,"ACOMP"}</definedName>
    <definedName name="armando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AS" hidden="1">#REF!</definedName>
    <definedName name="AS2DocOpenMode" hidden="1">"AS2DocumentEdit"</definedName>
    <definedName name="asas" hidden="1">{#N/A,#N/A,FALSE,"Hoja1";#N/A,#N/A,FALSE,"Hoja2"}</definedName>
    <definedName name="asasas" hidden="1">{#N/A,#N/A,FALSE,"Hoja1";#N/A,#N/A,FALSE,"Hoja2"}</definedName>
    <definedName name="asd" hidden="1">{"det (May)",#N/A,FALSE,"June";"sum (MAY YTD)",#N/A,FALSE,"June YTD"}</definedName>
    <definedName name="asdadasdasda" hidden="1">{#N/A,#N/A,FALSE,"ROTINA";#N/A,#N/A,FALSE,"ITENS";#N/A,#N/A,FALSE,"ACOMP"}</definedName>
    <definedName name="asdas" hidden="1">{"'171'!$A$1:$Z$50"}</definedName>
    <definedName name="asdasda" hidden="1">{"prem1",#N/A,FALSE,"Consolidado";"pl_us",#N/A,FALSE,"Consolidado";"pl_hl",#N/A,FALSE,"Consolidado";"bs",#N/A,FALSE,"Consolidado";"cf",#N/A,FALSE,"Consolidado"}</definedName>
    <definedName name="ASDE" hidden="1">{#N/A,#N/A,FALSE,"FIN AÑO"}</definedName>
    <definedName name="asdf" hidden="1">{"det (May)",#N/A,FALSE,"June";"sum (MAY YTD)",#N/A,FALSE,"June YTD"}</definedName>
    <definedName name="asdfasd" hidden="1">{#N/A,#N/A,FALSE,"ROTINA";#N/A,#N/A,FALSE,"ITENS";#N/A,#N/A,FALSE,"ACOMP"}</definedName>
    <definedName name="asdfasg" hidden="1">{"det (May)",#N/A,FALSE,"June";"sum (MAY YTD)",#N/A,FALSE,"June YTD"}</definedName>
    <definedName name="asdqw" hidden="1">{"CAP VOL",#N/A,FALSE,"CAPITAL";"CAP VAR",#N/A,FALSE,"CAPITAL";"CAP FIJ",#N/A,FALSE,"CAPITAL";"CAP CONS",#N/A,FALSE,"CAPITAL";"CAP DATA",#N/A,FALSE,"CAPITAL"}</definedName>
    <definedName name="asdsa" hidden="1">{#N/A,#N/A,FALSE,"지침";#N/A,#N/A,FALSE,"환경분석";#N/A,#N/A,FALSE,"Sheet16"}</definedName>
    <definedName name="asñl" hidden="1">{#N/A,#N/A,FALSE,"RGD$";#N/A,#N/A,FALSE,"BG$";#N/A,#N/A,FALSE,"FC$"}</definedName>
    <definedName name="ass" hidden="1">{#N/A,#N/A,FALSE,"Hoja1";#N/A,#N/A,FALSE,"Hoja2"}</definedName>
    <definedName name="asx" hidden="1">{"Prenissas",#N/A,FALSE,"Consolidado (3)";"Lucros000",#N/A,FALSE,"Consolidado (3)";"LucrosHL",#N/A,FALSE,"Consolidado (3)";"Balanco",#N/A,FALSE,"Consolidado (3)";"FluxoC",#N/A,FALSE,"Consolidado (3)"}</definedName>
    <definedName name="aszz" hidden="1">{"det (May)",#N/A,FALSE,"June";"sum (MAY YTD)",#N/A,FALSE,"June YTD"}</definedName>
    <definedName name="Ata" hidden="1">{#N/A,#N/A,FALSE,"ROTINA";#N/A,#N/A,FALSE,"ITENS";#N/A,#N/A,FALSE,"ACOMP"}</definedName>
    <definedName name="ATAA" hidden="1">{#N/A,#N/A,FALSE,"ROTINA";#N/A,#N/A,FALSE,"ITENS";#N/A,#N/A,FALSE,"ACOMP"}</definedName>
    <definedName name="atal123" hidden="1">{#N/A,#N/A,FALSE,"ROTINA";#N/A,#N/A,FALSE,"ITENS";#N/A,#N/A,FALSE,"ACOMP"}</definedName>
    <definedName name="awe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hidden="1">{"total",#N/A,FALSE,"TOTAL $";"totalhl",#N/A,FALSE,"TOTAL $HL";"vol",#N/A,FALSE,"VOLUMEN";"xprod1",#N/A,FALSE,"X PROD";"xprod2",#N/A,FALSE,"X PROD";"finaño1",#N/A,FALSE,"FIN AÑO Meta";"finaño2",#N/A,FALSE,"FIN AÑO Meta"}</definedName>
    <definedName name="azedsd" hidden="1">{"det (May)",#N/A,FALSE,"June";"sum (MAY YTD)",#N/A,FALSE,"June YTD"}</definedName>
    <definedName name="B.IV.r" hidden="1">{"det (May)",#N/A,FALSE,"June";"sum (MAY YTD)",#N/A,FALSE,"June YTD"}</definedName>
    <definedName name="B.IV.r.SBC" hidden="1">{"det (May)",#N/A,FALSE,"June";"sum (MAY YTD)",#N/A,FALSE,"June YTD"}</definedName>
    <definedName name="babab" hidden="1">{#N/A,#N/A,FALSE,"Hoja1";#N/A,#N/A,FALSE,"Hoja2"}</definedName>
    <definedName name="BABABB" hidden="1">{#N/A,#N/A,FALSE,"Hoja1";#N/A,#N/A,FALSE,"Hoja2"}</definedName>
    <definedName name="BB" hidden="1">{"'cua 42'!$A$1:$O$40"}</definedName>
    <definedName name="bbbb" hidden="1">{"det (May)",#N/A,FALSE,"June";"sum (MAY YTD)",#N/A,FALSE,"June YTD"}</definedName>
    <definedName name="bbbbbbbbbbbbbbb" hidden="1">{"det (May)",#N/A,FALSE,"June";"sum (MAY YTD)",#N/A,FALSE,"June YTD"}</definedName>
    <definedName name="bbbbnn" hidden="1">{"det (May)",#N/A,FALSE,"June";"sum (MAY YTD)",#N/A,FALSE,"June YTD"}</definedName>
    <definedName name="bbbbvfdbghgdf" hidden="1">{"det (May)",#N/A,FALSE,"June";"sum (MAY YTD)",#N/A,FALSE,"June YTD"}</definedName>
    <definedName name="bgg" hidden="1">{#N/A,#N/A,FALSE,"RELATÓRIO";#N/A,#N/A,FALSE,"RELATÓRIO"}</definedName>
    <definedName name="bgggggbbbbbbbbbb" hidden="1">{"det (May)",#N/A,FALSE,"June";"sum (MAY YTD)",#N/A,FALSE,"June YTD"}</definedName>
    <definedName name="bggggggggggggggggggggf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jhch" hidden="1">{#N/A,#N/A,FALSE,"지침";#N/A,#N/A,FALSE,"환경분석";#N/A,#N/A,FALSE,"Sheet16"}</definedName>
    <definedName name="blb" hidden="1">{"det (May)",#N/A,FALSE,"June";"sum (MAY YTD)",#N/A,FALSE,"June YTD"}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b" hidden="1">{#N/A,#N/A,FALSE,"Hoja1";#N/A,#N/A,FALSE,"Hoja2"}</definedName>
    <definedName name="book" hidden="1">{"det (May)",#N/A,FALSE,"June";"sum (MAY YTD)",#N/A,FALSE,"June YTD"}</definedName>
    <definedName name="brasil" hidden="1">{#N/A,#N/A,FALSE,"ROTINA";#N/A,#N/A,FALSE,"ITENS";#N/A,#N/A,FALSE,"ACOMP"}</definedName>
    <definedName name="Brass" hidden="1">{#N/A,#N/A,FALSE,"RELATÓRIO";#N/A,#N/A,FALSE,"RELATÓRIO"}</definedName>
    <definedName name="BV_Agenda" hidden="1">{"'171'!$A$1:$Z$50"}</definedName>
    <definedName name="bvbn" hidden="1">{"det (May)",#N/A,FALSE,"June";"sum (MAY YTD)",#N/A,FALSE,"June YTD"}</definedName>
    <definedName name="bvbv" hidden="1">{"prem1",#N/A,FALSE,"Consolidado";"pl_us",#N/A,FALSE,"Consolidado";"pl_hl",#N/A,FALSE,"Consolidado";"bs",#N/A,FALSE,"Consolidado";"cf",#N/A,FALSE,"Consolidado"}</definedName>
    <definedName name="bvbvbv" hidden="1">{#N/A,"Carabeer",FALSE,"Dscto.";#N/A,"Disbracentro",FALSE,"Dscto.";#N/A,"Río Beer",FALSE,"Dscto.";#N/A,"Andes",FALSE,"Dscto."}</definedName>
    <definedName name="bvbvgfhg" hidden="1">{"prem1",#N/A,FALSE,"Consolidado";"pl_us",#N/A,FALSE,"Consolidado";"pl_hl",#N/A,FALSE,"Consolidado";"bs",#N/A,FALSE,"Consolidado";"cf",#N/A,FALSE,"Consolidado"}</definedName>
    <definedName name="bvcbcbf" hidden="1">{"miles",#N/A,FALSE,"LUCROS E PERDAS (US$ 000)";"hl",#N/A,FALSE,"LUCROS E PERDAS (US$ 000)"}</definedName>
    <definedName name="bvgffgdqget" hidden="1">{"det (May)",#N/A,FALSE,"June";"sum (MAY YTD)",#N/A,FALSE,"June YTD"}</definedName>
    <definedName name="bvhfhgff" hidden="1">{#N/A,#N/A,FALSE,"Hoja1";#N/A,#N/A,FALSE,"Hoja2"}</definedName>
    <definedName name="bvnbvnv" hidden="1">{"prem1",#N/A,FALSE,"Consolidado";"pl_us",#N/A,FALSE,"Consolidado";"pl_hl",#N/A,FALSE,"Consolidado";"bs",#N/A,FALSE,"Consolidado";"cf",#N/A,FALSE,"Consolidado"}</definedName>
    <definedName name="bxbcbcv" hidden="1">{"Prenissas",#N/A,FALSE,"Consolidado (3)";"Lucros000",#N/A,FALSE,"Consolidado (3)";"LucrosHL",#N/A,FALSE,"Consolidado (3)";"Balanco",#N/A,FALSE,"Consolidado (3)";"FluxoC",#N/A,FALSE,"Consolidado (3)"}</definedName>
    <definedName name="bxcghgj" hidden="1">{"det (May)",#N/A,FALSE,"June";"sum (MAY YTD)",#N/A,FALSE,"June YTD"}</definedName>
    <definedName name="ç" hidden="1">{"'171'!$A$1:$Z$50"}</definedName>
    <definedName name="ca" hidden="1">{"'171'!$A$1:$Z$50"}</definedName>
    <definedName name="caas" hidden="1">{"bs",#N/A,FALSE,"Consolidado";"cf",#N/A,FALSE,"Consolidado";"pl_hl",#N/A,FALSE,"Consolidado";"pl_us",#N/A,FALSE,"Consolidado";"Prem1",#N/A,FALSE,"Consolidado"}</definedName>
    <definedName name="CAASS" hidden="1">{"bs",#N/A,FALSE,"Consolidado";"cf",#N/A,FALSE,"Consolidado";"pl_hl",#N/A,FALSE,"Consolidado";"pl_us",#N/A,FALSE,"Consolidado";"Prem1",#N/A,FALSE,"Consolidado"}</definedName>
    <definedName name="cahshihc" hidden="1">{"det (May)",#N/A,FALSE,"June";"sum (MAY YTD)",#N/A,FALSE,"June YTD"}</definedName>
    <definedName name="CAPA2" hidden="1">{"'171'!$A$1:$Z$50"}</definedName>
    <definedName name="CAPEX.." hidden="1">{"'171'!$A$1:$Z$50"}</definedName>
    <definedName name="Captura" hidden="1">{#N/A,#N/A,FALSE,"RELATÓRIO";#N/A,#N/A,FALSE,"RELATÓRIO"}</definedName>
    <definedName name="CAPTURA2" hidden="1">{"'171'!$A$1:$Z$50"}</definedName>
    <definedName name="CARLOS" hidden="1">{#N/A,#N/A,FALSE,"Hoja1";#N/A,#N/A,FALSE,"Hoja2"}</definedName>
    <definedName name="carolina" hidden="1">{#N/A,#N/A,FALSE,"Hoja1";#N/A,#N/A,FALSE,"Hoja2"}</definedName>
    <definedName name="CASA" hidden="1">{"'Resumen US$'!$A$104:$B$104"}</definedName>
    <definedName name="Causes_Prioritization" hidden="1">{#N/A,#N/A,FALSE,"지침";#N/A,#N/A,FALSE,"환경분석";#N/A,#N/A,FALSE,"Sheet16"}</definedName>
    <definedName name="cbvdf" hidden="1">{"det (May)",#N/A,FALSE,"June";"sum (MAY YTD)",#N/A,FALSE,"June YTD"}</definedName>
    <definedName name="cc" hidden="1">{"'cua 42'!$A$1:$O$40"}</definedName>
    <definedName name="cccc" hidden="1">{"det (May)",#N/A,FALSE,"June";"sum (MAY YTD)",#N/A,FALSE,"June YTD"}</definedName>
    <definedName name="cccccc" hidden="1">{"det (May)",#N/A,FALSE,"June";"sum (MAY YTD)",#N/A,FALSE,"June YTD"}</definedName>
    <definedName name="ccccccccccsdddddddd" hidden="1">{#N/A,#N/A,FALSE,"ROTINA";#N/A,#N/A,FALSE,"ITENS";#N/A,#N/A,FALSE,"ACOMP"}</definedName>
    <definedName name="cchj" hidden="1">{#N/A,#N/A,FALSE,"Aging Summary";#N/A,#N/A,FALSE,"Ratio Analysis";#N/A,#N/A,FALSE,"Test 120 Day Accts";#N/A,#N/A,FALSE,"Tickmarks"}</definedName>
    <definedName name="ccvbnj" hidden="1">{"det (May)",#N/A,FALSE,"June";"sum (MAY YTD)",#N/A,FALSE,"June YTD"}</definedName>
    <definedName name="ccvvbn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cvvxcvvcv" hidden="1">{"det (May)",#N/A,FALSE,"June";"sum (MAY YTD)",#N/A,FALSE,"June YTD"}</definedName>
    <definedName name="cdfx" hidden="1">{"det (May)",#N/A,FALSE,"June";"sum (MAY YTD)",#N/A,FALSE,"June YTD"}</definedName>
    <definedName name="cdxx" hidden="1">{"det (May)",#N/A,FALSE,"June";"sum (MAY YTD)",#N/A,FALSE,"June YTD"}</definedName>
    <definedName name="CENG" hidden="1">{#N/A,#N/A,FALSE,"TOTAL"}</definedName>
    <definedName name="Cervesur" hidden="1">{"Prenissas",#N/A,FALSE,"Consolidado (3)";"Lucros000",#N/A,FALSE,"Consolidado (3)";"LucrosHL",#N/A,FALSE,"Consolidado (3)";"Balanco",#N/A,FALSE,"Consolidado (3)";"FluxoC",#N/A,FALSE,"Consolidado (3)"}</definedName>
    <definedName name="cf" hidden="1">{#N/A,#N/A,FALSE,"TOTAL"}</definedName>
    <definedName name="CK" hidden="1">{"'171'!$A$1:$Z$50"}</definedName>
    <definedName name="cnc" hidden="1">{"CAP VOL",#N/A,FALSE,"CAPITAL";"CAP VAR",#N/A,FALSE,"CAPITAL";"CAP FIJ",#N/A,FALSE,"CAPITAL";"CAP CONS",#N/A,FALSE,"CAPITAL";"CAP DATA",#N/A,FALSE,"CAPITAL"}</definedName>
    <definedName name="cnhhj" hidden="1">{"det (May)",#N/A,FALSE,"June";"sum (MAY YTD)",#N/A,FALSE,"June YTD"}</definedName>
    <definedName name="COCI" hidden="1">#REF!</definedName>
    <definedName name="Comm" hidden="1">{"miles",#N/A,FALSE,"LUCROS E PERDAS (US$ 000)";"hl",#N/A,FALSE,"LUCROS E PERDAS (US$ 000)"}</definedName>
    <definedName name="COMPROMETIDO" hidden="1">{"'171'!$A$1:$Z$50"}</definedName>
    <definedName name="Consumo" hidden="1">{"'171'!$A$1:$Z$50"}</definedName>
    <definedName name="copia" hidden="1">{#N/A,#N/A,FALSE,"CONTEO";#N/A,#N/A,FALSE,"INSUMOS";#N/A,#N/A,FALSE,"STOCK";#N/A,#N/A,FALSE,"MOVIMIENTOS";#N/A,#N/A,FALSE,"Mov.Ins.L.L.";#N/A,#N/A,FALSE,"Conteo1";#N/A,#N/A,FALSE,"Conteo2";#N/A,#N/A,FALSE,"Promo ";#N/A,#N/A,FALSE,"Conteo Insumos"}</definedName>
    <definedName name="Cronograma_2004" hidden="1">{"'171'!$A$1:$Z$50"}</definedName>
    <definedName name="cucaç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urva" hidden="1">{"'171'!$A$1:$Z$50"}</definedName>
    <definedName name="CURVA2" hidden="1">{"'171'!$A$1:$Z$50"}</definedName>
    <definedName name="Custo" hidden="1">{"'171'!$A$1:$Z$50"}</definedName>
    <definedName name="cvbbnhj" hidden="1">{"det (May)",#N/A,FALSE,"June";"sum (MAY YTD)",#N/A,FALSE,"June YTD"}</definedName>
    <definedName name="cvbhgf" hidden="1">{"CAP VOL",#N/A,FALSE,"CAPITAL";"CAP VAR",#N/A,FALSE,"CAPITAL";"CAP FIJ",#N/A,FALSE,"CAPITAL";"CAP CONS",#N/A,FALSE,"CAPITAL";"CAP DATA",#N/A,FALSE,"CAPITAL"}</definedName>
    <definedName name="cvcvcvcv" hidden="1">{"det (May)",#N/A,FALSE,"June";"sum (MAY YTD)",#N/A,FALSE,"June YTD"}</definedName>
    <definedName name="cvghgfhdgfhddf" hidden="1">{"det (May)",#N/A,FALSE,"June";"sum (MAY YTD)",#N/A,FALSE,"June YTD"}</definedName>
    <definedName name="cvvg" hidden="1">{"det (May)",#N/A,FALSE,"June";"sum (MAY YTD)",#N/A,FALSE,"June YTD"}</definedName>
    <definedName name="CX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cxcx" hidden="1">{"CAP VOL",#N/A,FALSE,"CAPITAL";"CAP VAR",#N/A,FALSE,"CAPITAL";"CAP FIJ",#N/A,FALSE,"CAPITAL";"CAP CONS",#N/A,FALSE,"CAPITAL";"CAP DATA",#N/A,FALSE,"CAPITAL"}</definedName>
    <definedName name="d" hidden="1">#REF!</definedName>
    <definedName name="dados2" hidden="1">{"'171'!$A$1:$Z$50"}</definedName>
    <definedName name="das" hidden="1">{#N/A,#N/A,FALSE,"RELATÓRIO";#N/A,#N/A,FALSE,"RELATÓRIO"}</definedName>
    <definedName name="dasasd" hidden="1">{#N/A,#N/A,FALSE,"Hoja1";#N/A,#N/A,FALSE,"Hoja2"}</definedName>
    <definedName name="dasasdads" hidden="1">{#N/A,#N/A,FALSE,"Hoja1";#N/A,#N/A,FALSE,"Hoja2"}</definedName>
    <definedName name="DC." hidden="1">{#N/A,#N/A,FALSE,"RELATÓRIO";#N/A,#N/A,FALSE,"RELATÓRIO"}</definedName>
    <definedName name="DD" hidden="1">{#N/A,#N/A,FALSE,"지침";#N/A,#N/A,FALSE,"환경분석";#N/A,#N/A,FALSE,"Sheet16"}</definedName>
    <definedName name="DDD" hidden="1">{#N/A,#N/A,FALSE,"지침";#N/A,#N/A,FALSE,"환경분석";#N/A,#N/A,FALSE,"Sheet16"}</definedName>
    <definedName name="dddd" hidden="1">{"'Farol'!$A$1:$AC$49"}</definedName>
    <definedName name="ddddd" hidden="1">{"det (May)",#N/A,FALSE,"June";"sum (MAY YTD)",#N/A,FALSE,"June YTD"}</definedName>
    <definedName name="DDDDDDDD" hidden="1">{"CAP VOL",#N/A,FALSE,"CAPITAL";"CAP VAR",#N/A,FALSE,"CAPITAL";"CAP FIJ",#N/A,FALSE,"CAPITAL";"CAP CONS",#N/A,FALSE,"CAPITAL";"CAP DATA",#N/A,FALSE,"CAPITAL"}</definedName>
    <definedName name="dddfff" hidden="1">{"det (May)",#N/A,FALSE,"June";"sum (MAY YTD)",#N/A,FALSE,"June YTD"}</definedName>
    <definedName name="DDDSSS" hidden="1">{"RESUMEN",#N/A,FALSE,"RESUMEN";"RESUMEN_MARG",#N/A,FALSE,"RESUMEN"}</definedName>
    <definedName name="DDFD" hidden="1">{"RESUMEN",#N/A,FALSE,"RESUMEN";"RESUMEN_MARG",#N/A,FALSE,"RESUMEN"}</definedName>
    <definedName name="ddfdfdg" hidden="1">{"det (May)",#N/A,FALSE,"June";"sum (MAY YTD)",#N/A,FALSE,"June YTD"}</definedName>
    <definedName name="ddffc" hidden="1">{"det (May)",#N/A,FALSE,"June";"sum (MAY YTD)",#N/A,FALSE,"June YTD"}</definedName>
    <definedName name="DDKOKO" hidden="1">{"RESUMEN",#N/A,FALSE,"RESUMEN";"RESUMEN_MARG",#N/A,FALSE,"RESUMEN"}</definedName>
    <definedName name="DDSDSSD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esder" hidden="1">{"det (May)",#N/A,FALSE,"June";"sum (MAY YTD)",#N/A,FALSE,"June YTD"}</definedName>
    <definedName name="DFD" hidden="1">{#N/A,#N/A,FALSE,"RGD$";#N/A,#N/A,FALSE,"BG$";#N/A,#N/A,FALSE,"FC$"}</definedName>
    <definedName name="dfdf" hidden="1">{"Real",#N/A,FALSE,"CONSOLIDADO";"Real",#N/A,FALSE,"OCCIDENTE";"Real",#N/A,FALSE,"LARA";"Real",#N/A,FALSE,"CENTRO";"Real",#N/A,FALSE,"METROPOLITANA";"Real",#N/A,FALSE,"ORIENTE";"Real",#N/A,FALSE,"Pto.libre"}</definedName>
    <definedName name="dfdfdffdfd" hidden="1">{"det (May)",#N/A,FALSE,"June";"sum (MAY YTD)",#N/A,FALSE,"June YTD"}</definedName>
    <definedName name="dfdsf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dxffx" hidden="1">{"det (May)",#N/A,FALSE,"June";"sum (MAY YTD)",#N/A,FALSE,"June YTD"}</definedName>
    <definedName name="dff" hidden="1">{"'Farol'!$A$1:$AC$49"}</definedName>
    <definedName name="dff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g" hidden="1">{#N/A,#N/A,FALSE,"지침";#N/A,#N/A,FALSE,"환경분석";#N/A,#N/A,FALSE,"Sheet16"}</definedName>
    <definedName name="dfgbvd" hidden="1">{"'171'!$A$1:$Z$50"}</definedName>
    <definedName name="dfgdfgs" hidden="1">{#N/A,#N/A,FALSE,"PRECIO FULL";#N/A,#N/A,FALSE,"LARA";#N/A,#N/A,FALSE,"CARACAS";#N/A,#N/A,FALSE,"DISBRACENTRO";#N/A,#N/A,FALSE,"ANDES";#N/A,#N/A,FALSE,"MAR CARIBE";#N/A,#N/A,FALSE,"RIO BEER";#N/A,#N/A,FALSE,"DISBRAH"}</definedName>
    <definedName name="dfgdgf" hidden="1">{#N/A,#N/A,FALSE,"FIN AÑO"}</definedName>
    <definedName name="dfgdgr" hidden="1">{"det (May)",#N/A,FALSE,"June";"sum (MAY YTD)",#N/A,FALSE,"June YTD"}</definedName>
    <definedName name="dfgh" hidden="1">{"'cua 42'!$A$1:$O$40"}</definedName>
    <definedName name="dfgsd" hidden="1">{"CAP VOL",#N/A,FALSE,"CAPITAL";"CAP VAR",#N/A,FALSE,"CAPITAL";"CAP FIJ",#N/A,FALSE,"CAPITAL";"CAP CONS",#N/A,FALSE,"CAPITAL";"CAP DATA",#N/A,FALSE,"CAPITAL"}</definedName>
    <definedName name="dfgsdfhh" hidden="1">{"det (May)",#N/A,FALSE,"June";"sum (MAY YTD)",#N/A,FALSE,"June YTD"}</definedName>
    <definedName name="dfhfdhdf" hidden="1">{"det (May)",#N/A,FALSE,"June";"sum (MAY YTD)",#N/A,FALSE,"June YTD"}</definedName>
    <definedName name="dfhg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sdf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sfsdf" hidden="1">{"prem1",#N/A,FALSE,"Consolidado";"pl_us",#N/A,FALSE,"Consolidado";"pl_hl",#N/A,FALSE,"Consolidado";"bs",#N/A,FALSE,"Consolidado";"cf",#N/A,FALSE,"Consolidado"}</definedName>
    <definedName name="dfsgfh" hidden="1">{"det (May)",#N/A,FALSE,"June";"sum (MAY YTD)",#N/A,FALSE,"June YTD"}</definedName>
    <definedName name="dfss" hidden="1">{#N/A,#N/A,FALSE,"FIN AÑO"}</definedName>
    <definedName name="dfzd" hidden="1">{"det (May)",#N/A,FALSE,"June";"sum (MAY YTD)",#N/A,FALSE,"June YTD"}</definedName>
    <definedName name="dghgg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ghj" hidden="1">{"det (May)",#N/A,FALSE,"June";"sum (MAY YTD)",#N/A,FALSE,"June YTD"}</definedName>
    <definedName name="dh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JHJH" hidden="1">{#N/A,#N/A,FALSE,"PRECIO FULL";#N/A,#N/A,FALSE,"LARA";#N/A,#N/A,FALSE,"CARACAS";#N/A,#N/A,FALSE,"DISBRACENTRO";#N/A,#N/A,FALSE,"ANDES";#N/A,#N/A,FALSE,"MAR CARIBE";#N/A,#N/A,FALSE,"RIO BEER";#N/A,#N/A,FALSE,"DISBRAH"}</definedName>
    <definedName name="DJJKJ" hidden="1">{"RESUMEN",#N/A,FALSE,"RESUMEN";"RESUMEN_MARG",#N/A,FALSE,"RESUMEN"}</definedName>
    <definedName name="DJLJLKJLK" hidden="1">{#N/A,#N/A,FALSE,"PRECIO FULL";#N/A,#N/A,FALSE,"LARA";#N/A,#N/A,FALSE,"CARACAS";#N/A,#N/A,FALSE,"DISBRACENTRO";#N/A,#N/A,FALSE,"ANDES";#N/A,#N/A,FALSE,"MAR CARIBE";#N/A,#N/A,FALSE,"RIO BEER";#N/A,#N/A,FALSE,"DISBRAH"}</definedName>
    <definedName name="dkk" hidden="1">{#N/A,#N/A,FALSE,"PRECIO FULL";#N/A,#N/A,FALSE,"LARA";#N/A,#N/A,FALSE,"CARACAS";#N/A,#N/A,FALSE,"DISBRACENTRO";#N/A,#N/A,FALSE,"ANDES";#N/A,#N/A,FALSE,"MAR CARIBE";#N/A,#N/A,FALSE,"RIO BEER";#N/A,#N/A,FALSE,"DISBRAH"}</definedName>
    <definedName name="DKLJJK" hidden="1">{#N/A,#N/A,FALSE,"PRECIO FULL";#N/A,#N/A,FALSE,"LARA";#N/A,#N/A,FALSE,"CARACAS";#N/A,#N/A,FALSE,"DISBRACENTRO";#N/A,#N/A,FALSE,"ANDES";#N/A,#N/A,FALSE,"MAR CARIBE";#N/A,#N/A,FALSE,"RIO BEER";#N/A,#N/A,FALSE,"DISBRAH"}</definedName>
    <definedName name="DLKKKLÑK" hidden="1">{#N/A,#N/A,FALSE,"RGD$";#N/A,#N/A,FALSE,"BG$";#N/A,#N/A,FALSE,"FC$"}</definedName>
    <definedName name="DLKLKLK" hidden="1">{#N/A,#N/A,FALSE,"RGD$";#N/A,#N/A,FALSE,"BG$";#N/A,#N/A,FALSE,"FC$"}</definedName>
    <definedName name="DLÑLÑ" hidden="1">{"CAP VOL",#N/A,FALSE,"CAPITAL";"CAP VAR",#N/A,FALSE,"CAPITAL";"CAP FIJ",#N/A,FALSE,"CAPITAL";"CAP CONS",#N/A,FALSE,"CAPITAL";"CAP DATA",#N/A,FALSE,"CAPITAL"}</definedName>
    <definedName name="DÑLS" hidden="1">{#N/A,#N/A,FALSE,"PRECIO FULL";#N/A,#N/A,FALSE,"LARA";#N/A,#N/A,FALSE,"CARACAS";#N/A,#N/A,FALSE,"DISBRACENTRO";#N/A,#N/A,FALSE,"ANDES";#N/A,#N/A,FALSE,"MAR CARIBE";#N/A,#N/A,FALSE,"RIO BEER";#N/A,#N/A,FALSE,"DISBRAH"}</definedName>
    <definedName name="draft53" hidden="1">{"det (May)",#N/A,FALSE,"June";"sum (MAY YTD)",#N/A,FALSE,"June YTD"}</definedName>
    <definedName name="ds" hidden="1">{#N/A,#N/A,FALSE,"Hoja1";#N/A,#N/A,FALSE,"Hoja2"}</definedName>
    <definedName name="dsasd" hidden="1">{"Cons_Occ_Lar",#N/A,FALSE,"márgenes";"Cen_met",#N/A,FALSE,"márgenes";"Ori_pl",#N/A,FALSE,"márgenes"}</definedName>
    <definedName name="dsc" hidden="1">{#N/A,#N/A,FALSE,"Hoja1";#N/A,#N/A,FALSE,"Hoja2"}</definedName>
    <definedName name="DSCA" hidden="1">{#N/A,#N/A,FALSE,"Hoja1";#N/A,#N/A,FALSE,"Hoja2"}</definedName>
    <definedName name="dsda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JKJKLJ" hidden="1">{"Real",#N/A,FALSE,"CONSOLIDADO";"Real",#N/A,FALSE,"OCCIDENTE";"Real",#N/A,FALSE,"LARA";"Real",#N/A,FALSE,"CENTRO";"Real",#N/A,FALSE,"METROPOLITANA";"Real",#N/A,FALSE,"ORIENTE";"Real",#N/A,FALSE,"Pto.libre"}</definedName>
    <definedName name="dsds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sd" hidden="1">{#N/A,#N/A,FALSE,"Hoja1";#N/A,#N/A,FALSE,"Hoja2"}</definedName>
    <definedName name="DSF" hidden="1">{#N/A,#N/A,FALSE,"Hoja1";#N/A,#N/A,FALSE,"Hoja2"}</definedName>
    <definedName name="dsfd" hidden="1">{"'171'!$A$1:$Z$50"}</definedName>
    <definedName name="dsfds" hidden="1">{"CAP VOL",#N/A,FALSE,"CAPITAL";"CAP VAR",#N/A,FALSE,"CAPITAL";"CAP FIJ",#N/A,FALSE,"CAPITAL";"CAP CONS",#N/A,FALSE,"CAPITAL";"CAP DATA",#N/A,FALSE,"CAPITAL"}</definedName>
    <definedName name="dsfsd" hidden="1">{"CAP VOL",#N/A,FALSE,"CAPITAL";"CAP VAR",#N/A,FALSE,"CAPITAL";"CAP FIJ",#N/A,FALSE,"CAPITAL";"CAP CONS",#N/A,FALSE,"CAPITAL";"CAP DATA",#N/A,FALSE,"CAPITAL"}</definedName>
    <definedName name="dsgdfgfghf" hidden="1">{"det (May)",#N/A,FALSE,"June";"sum (MAY YTD)",#N/A,FALSE,"June YTD"}</definedName>
    <definedName name="DSKKLÑ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sdsd" hidden="1">{#N/A,#N/A,FALSE,"Hoja1";#N/A,#N/A,FALSE,"Hoja2"}</definedName>
    <definedName name="DSSSSSSSSS" hidden="1">{"Cons_Occ_Lar",#N/A,FALSE,"márgenes";"Cen_met",#N/A,FALSE,"márgenes";"Ori_pl",#N/A,FALSE,"márgenes"}</definedName>
    <definedName name="dsvbgl" hidden="1">{"det (May)",#N/A,FALSE,"June";"sum (MAY YTD)",#N/A,FALSE,"June YTD"}</definedName>
    <definedName name="dsx" hidden="1">{"prem1",#N/A,FALSE,"Consolidado";"pl_us",#N/A,FALSE,"Consolidado";"pl_hl",#N/A,FALSE,"Consolidado";"bs",#N/A,FALSE,"Consolidado";"cf",#N/A,FALSE,"Consolidado"}</definedName>
    <definedName name="DSXA" hidden="1">{"prem1",#N/A,FALSE,"Consolidado";"pl_us",#N/A,FALSE,"Consolidado";"pl_hl",#N/A,FALSE,"Consolidado";"bs",#N/A,FALSE,"Consolidado";"cf",#N/A,FALSE,"Consolidado"}</definedName>
    <definedName name="dx" hidden="1">{"miles",#N/A,FALSE,"LUCROS E PERDAS (US$ 000)";"hl",#N/A,FALSE,"LUCROS E PERDAS (US$ 000)"}</definedName>
    <definedName name="DXC" hidden="1">{"miles",#N/A,FALSE,"LUCROS E PERDAS (US$ 000)";"hl",#N/A,FALSE,"LUCROS E PERDAS (US$ 000)"}</definedName>
    <definedName name="e" hidden="1">#REF!</definedName>
    <definedName name="E.2" hidden="1">{TRUE,2.781342323134E-308,4.45018591352148E-308,0;0,0,0,0}</definedName>
    <definedName name="ed" hidden="1">{#N/A,#N/A,FALSE,"RELATÓRIO";#N/A,#N/A,FALSE,"RELATÓRIO"}</definedName>
    <definedName name="ee" hidden="1">{"det (May)",#N/A,FALSE,"June";"sum (MAY YTD)",#N/A,FALSE,"June YTD"}</definedName>
    <definedName name="eee" hidden="1">{"det (May)",#N/A,FALSE,"June";"sum (MAY YTD)",#N/A,FALSE,"June YTD"}</definedName>
    <definedName name="eer" hidden="1">{#N/A,#N/A,FALSE,"Hoja1";#N/A,#N/A,FALSE,"Hoja2"}</definedName>
    <definedName name="efrfer" hidden="1">{"det (May)",#N/A,FALSE,"June";"sum (MAY YTD)",#N/A,FALSE,"June YTD"}</definedName>
    <definedName name="efze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irhg" hidden="1">{"det (May)",#N/A,FALSE,"June";"sum (MAY YTD)",#N/A,FALSE,"June YTD"}</definedName>
    <definedName name="eirnf" hidden="1">{"det (May)",#N/A,FALSE,"June";"sum (MAY YTD)",#N/A,FALSE,"June YTD"}</definedName>
    <definedName name="Enerigi2" hidden="1">{"'171'!$A$1:$Z$50"}</definedName>
    <definedName name="ENVAS" hidden="1">{#N/A,#N/A,FALSE,"CONTEO";#N/A,#N/A,FALSE,"INSUMOS";#N/A,#N/A,FALSE,"STOCK";#N/A,#N/A,FALSE,"MOVIMIENTOS";#N/A,#N/A,FALSE,"Mov.Ins.L.L.";#N/A,#N/A,FALSE,"Conteo1";#N/A,#N/A,FALSE,"Conteo2";#N/A,#N/A,FALSE,"Promo ";#N/A,#N/A,FALSE,"Conteo Insumos"}</definedName>
    <definedName name="epsa" hidden="1">{"Real",#N/A,FALSE,"CONSOLIDADO";"Real",#N/A,FALSE,"OCCIDENTE";"Real",#N/A,FALSE,"LARA";"Real",#N/A,FALSE,"CENTRO";"Real",#N/A,FALSE,"METROPOLITANA";"Real",#N/A,FALSE,"ORIENTE";"Real",#N/A,FALSE,"Pto.libre"}</definedName>
    <definedName name="eqgg" hidden="1">{"det (May)",#N/A,FALSE,"June";"sum (MAY YTD)",#N/A,FALSE,"June YTD"}</definedName>
    <definedName name="equat" hidden="1">{#N/A,#N/A,FALSE,"TOTAL"}</definedName>
    <definedName name="Equatorial" hidden="1">{#N/A,#N/A,FALSE,"TOTAL"}</definedName>
    <definedName name="er" hidden="1">{#N/A,#N/A,FALSE,"PRECIO FULL";#N/A,#N/A,FALSE,"LARA";#N/A,#N/A,FALSE,"CARACAS";#N/A,#N/A,FALSE,"DISBRACENTRO";#N/A,#N/A,FALSE,"ANDES";#N/A,#N/A,FALSE,"MAR CARIBE";#N/A,#N/A,FALSE,"RIO BEER";#N/A,#N/A,FALSE,"DISBRAH"}</definedName>
    <definedName name="erer" hidden="1">{#N/A,#N/A,FALSE,"Hoja1";#N/A,#N/A,FALSE,"Hoja2"}</definedName>
    <definedName name="ERERE" hidden="1">{#N/A,#N/A,FALSE,"Hoja1";#N/A,#N/A,FALSE,"Hoja2"}</definedName>
    <definedName name="erg" hidden="1">{"det (May)",#N/A,FALSE,"June";"sum (MAY YTD)",#N/A,FALSE,"June YTD"}</definedName>
    <definedName name="ergqag" hidden="1">{"det (May)",#N/A,FALSE,"June";"sum (MAY YTD)",#N/A,FALSE,"June YTD"}</definedName>
    <definedName name="ergqegqs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rgqgqg" hidden="1">{"det (May)",#N/A,FALSE,"June";"sum (MAY YTD)",#N/A,FALSE,"June YTD"}</definedName>
    <definedName name="ergqsgxcvfgh" hidden="1">{"det (May)",#N/A,FALSE,"June";"sum (MAY YTD)",#N/A,FALSE,"June YTD"}</definedName>
    <definedName name="eroweir" hidden="1">{"det (May)",#N/A,FALSE,"June";"sum (MAY YTD)",#N/A,FALSE,"June YTD"}</definedName>
    <definedName name="erre" hidden="1">{"CAP VOL",#N/A,FALSE,"CAPITAL";"CAP VAR",#N/A,FALSE,"CAPITAL";"CAP FIJ",#N/A,FALSE,"CAPITAL";"CAP CONS",#N/A,FALSE,"CAPITAL";"CAP DATA",#N/A,FALSE,"CAPITAL"}</definedName>
    <definedName name="erre2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ERRER" hidden="1">{"CAP VOL",#N/A,FALSE,"CAPITAL";"CAP VAR",#N/A,FALSE,"CAPITAL";"CAP FIJ",#N/A,FALSE,"CAPITAL";"CAP CONS",#N/A,FALSE,"CAPITAL";"CAP DATA",#N/A,FALSE,"CAPITAL"}</definedName>
    <definedName name="errre" hidden="1">{"CAP VOL",#N/A,FALSE,"CAPITAL";"CAP VAR",#N/A,FALSE,"CAPITAL";"CAP FIJ",#N/A,FALSE,"CAPITAL";"CAP CONS",#N/A,FALSE,"CAPITAL";"CAP DATA",#N/A,FALSE,"CAPITAL"}</definedName>
    <definedName name="errrr" hidden="1">{"prem1",#N/A,FALSE,"Consolidado";"pl_us",#N/A,FALSE,"Consolidado";"pl_hl",#N/A,FALSE,"Consolidado";"bs",#N/A,FALSE,"Consolidado";"cf",#N/A,FALSE,"Consolidado"}</definedName>
    <definedName name="errrrr" hidden="1">{"Prenissas",#N/A,FALSE,"Consolidado (3)";"Lucros000",#N/A,FALSE,"Consolidado (3)";"LucrosHL",#N/A,FALSE,"Consolidado (3)";"Balanco",#N/A,FALSE,"Consolidado (3)";"FluxoC",#N/A,FALSE,"Consolidado (3)"}</definedName>
    <definedName name="erttyy" hidden="1">{"det (May)",#N/A,FALSE,"June";"sum (MAY YTD)",#N/A,FALSE,"June YTD"}</definedName>
    <definedName name="ertyfrgh" hidden="1">{"det (May)",#N/A,FALSE,"June";"sum (MAY YTD)",#N/A,FALSE,"June YTD"}</definedName>
    <definedName name="eryhrh" hidden="1">{"det (May)",#N/A,FALSE,"June";"sum (MAY YTD)",#N/A,FALSE,"June YTD"}</definedName>
    <definedName name="esdr" hidden="1">{#N/A,#N/A,FALSE,"ROTINA";#N/A,#N/A,FALSE,"ITENS";#N/A,#N/A,FALSE,"ACOMP"}</definedName>
    <definedName name="esdr1" hidden="1">{#N/A,#N/A,FALSE,"ROTINA";#N/A,#N/A,FALSE,"ITENS";#N/A,#N/A,FALSE,"ACOMP"}</definedName>
    <definedName name="Estratificacion" hidden="1">{"'171'!$A$1:$Z$50"}</definedName>
    <definedName name="etyjde" hidden="1">{"det (May)",#N/A,FALSE,"June";"sum (MAY YTD)",#N/A,FALSE,"June YTD"}</definedName>
    <definedName name="Evol" hidden="1">{"'171'!$A$1:$Z$50"}</definedName>
    <definedName name="ew" hidden="1">{"CAP VOL",#N/A,FALSE,"CAPITAL";"CAP VAR",#N/A,FALSE,"CAPITAL";"CAP FIJ",#N/A,FALSE,"CAPITAL";"CAP CONS",#N/A,FALSE,"CAPITAL";"CAP DATA",#N/A,FALSE,"CAPITAL"}</definedName>
    <definedName name="extras" hidden="1">{#N/A,#N/A,FALSE,"Hoja1";#N/A,#N/A,FALSE,"Hoja2"}</definedName>
    <definedName name="eyig" hidden="1">{"det (May)",#N/A,FALSE,"June";"sum (MAY YTD)",#N/A,FALSE,"June YTD"}</definedName>
    <definedName name="ezerr" hidden="1">{"det (May)",#N/A,FALSE,"June";"sum (MAY YTD)",#N/A,FALSE,"June YTD"}</definedName>
    <definedName name="ezfzefa" hidden="1">{"det (May)",#N/A,FALSE,"June";"sum (MAY YTD)",#N/A,FALSE,"June YTD"}</definedName>
    <definedName name="Facão" hidden="1">{"'171'!$A$1:$Z$50"}</definedName>
    <definedName name="Facão1" hidden="1">{"'171'!$A$1:$Z$50"}</definedName>
    <definedName name="fcvxc" hidden="1">{#N/A,#N/A,FALSE,"Hoja1";#N/A,#N/A,FALSE,"Hoja2"}</definedName>
    <definedName name="fd" hidden="1">{#N/A,#N/A,FALSE,"RELATÓRIO";#N/A,#N/A,FALSE,"RELATÓRIO"}</definedName>
    <definedName name="fddddddddddddddddddddd" hidden="1">{"det (May)",#N/A,FALSE,"June";"sum (MAY YTD)",#N/A,FALSE,"June YTD"}</definedName>
    <definedName name="fddfr" hidden="1">{"Prenissas",#N/A,FALSE,"Consolidado (3)";"Lucros000",#N/A,FALSE,"Consolidado (3)";"LucrosHL",#N/A,FALSE,"Consolidado (3)";"Balanco",#N/A,FALSE,"Consolidado (3)";"FluxoC",#N/A,FALSE,"Consolidado (3)"}</definedName>
    <definedName name="fdfd" hidden="1">{#N/A,#N/A,FALSE,"RELATÓRIO";#N/A,#N/A,FALSE,"RELATÓRIO"}</definedName>
    <definedName name="fdfdfd" hidden="1">{#N/A,#N/A,FALSE,"RELATÓRIO";#N/A,#N/A,FALSE,"RELATÓRIO"}</definedName>
    <definedName name="fdfghs" hidden="1">{"det (May)",#N/A,FALSE,"June";"sum (MAY YTD)",#N/A,FALSE,"June YTD"}</definedName>
    <definedName name="fdg" hidden="1">{#N/A,#N/A,FALSE,"FIN AÑO"}</definedName>
    <definedName name="fdgdfg" hidden="1">{"RESUMEN",#N/A,FALSE,"RESUMEN";"RESUMEN_MARG",#N/A,FALSE,"RESUMEN"}</definedName>
    <definedName name="fdghdgjghj" hidden="1">{"det (May)",#N/A,FALSE,"June";"sum (MAY YTD)",#N/A,FALSE,"June YTD"}</definedName>
    <definedName name="fdgsf" hidden="1">{"'171'!$A$1:$Z$50"}</definedName>
    <definedName name="fdhdfh" hidden="1">{"det (May)",#N/A,FALSE,"June";"sum (MAY YTD)",#N/A,FALSE,"June YTD"}</definedName>
    <definedName name="fdhf" hidden="1">{"det (May)",#N/A,FALSE,"June";"sum (MAY YTD)",#N/A,FALSE,"June YTD"}</definedName>
    <definedName name="fdqf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ds" hidden="1">{"Cons_Occ_Lar",#N/A,FALSE,"márgenes";"Cen_met",#N/A,FALSE,"márgenes";"Ori_pl",#N/A,FALSE,"márgenes"}</definedName>
    <definedName name="fdsd" hidden="1">{"RESUMEN",#N/A,FALSE,"RESUMEN";"RESUMEN_MARG",#N/A,FALSE,"RESUMEN"}</definedName>
    <definedName name="fdsdfs" hidden="1">{"prem1",#N/A,FALSE,"Consolidado";"pl_us",#N/A,FALSE,"Consolidado";"pl_hl",#N/A,FALSE,"Consolidado";"bs",#N/A,FALSE,"Consolidado";"cf",#N/A,FALSE,"Consolidado"}</definedName>
    <definedName name="fdsfsdf" hidden="1">{#N/A,#N/A,FALSE,"Hoja1";#N/A,#N/A,FALSE,"Hoja2"}</definedName>
    <definedName name="fdsfsew" hidden="1">{#N/A,#N/A,FALSE,"Hoja1";#N/A,#N/A,FALSE,"Hoja2"}</definedName>
    <definedName name="fdssdffsd" hidden="1">{#N/A,#N/A,FALSE,"ROTINA";#N/A,#N/A,FALSE,"ITENS";#N/A,#N/A,FALSE,"ACOMP"}</definedName>
    <definedName name="fdssdfsdf" hidden="1">{"miles",#N/A,FALSE,"LUCROS E PERDAS (US$ 000)";"hl",#N/A,FALSE,"LUCROS E PERDAS (US$ 000)"}</definedName>
    <definedName name="fe" hidden="1">{#N/A,#N/A,FALSE,"ROTINA";#N/A,#N/A,FALSE,"ITENS";#N/A,#N/A,FALSE,"ACOMP"}</definedName>
    <definedName name="Febrero" hidden="1">{#N/A,#N/A,FALSE,"RELATÓRIO";#N/A,#N/A,FALSE,"RELATÓRIO"}</definedName>
    <definedName name="fer" hidden="1">{#N/A,#N/A,FALSE,"RGD$";#N/A,#N/A,FALSE,"BG$";#N/A,#N/A,FALSE,"FC$"}</definedName>
    <definedName name="ferafa" hidden="1">{"det (May)",#N/A,FALSE,"June";"sum (MAY YTD)",#N/A,FALSE,"June YTD"}</definedName>
    <definedName name="ferfrfr" hidden="1">{"det (May)",#N/A,FALSE,"June";"sum (MAY YTD)",#N/A,FALSE,"June YTD"}</definedName>
    <definedName name="fermad" hidden="1">{"CAP VOL",#N/A,FALSE,"CAPITAL";"CAP VAR",#N/A,FALSE,"CAPITAL";"CAP FIJ",#N/A,FALSE,"CAPITAL";"CAP CONS",#N/A,FALSE,"CAPITAL";"CAP DATA",#N/A,FALSE,"CAPITAL"}</definedName>
    <definedName name="FEV" hidden="1">{"'171'!$A$1:$Z$50"}</definedName>
    <definedName name="ff" hidden="1">{"det (May)",#N/A,FALSE,"June";"sum (MAY YTD)",#N/A,FALSE,"June YTD"}</definedName>
    <definedName name="ffd" hidden="1">{#N/A,#N/A,FALSE,"PRECIO FULL";#N/A,#N/A,FALSE,"LARA";#N/A,#N/A,FALSE,"CARACAS";#N/A,#N/A,FALSE,"DISBRACENTRO";#N/A,#N/A,FALSE,"ANDES";#N/A,#N/A,FALSE,"MAR CARIBE";#N/A,#N/A,FALSE,"RIO BEER";#N/A,#N/A,FALSE,"DISBRAH"}</definedName>
    <definedName name="ffdds" hidden="1">{"Cons_Occ_Lar",#N/A,FALSE,"márgenes";"Cen_met",#N/A,FALSE,"márgenes";"Ori_pl",#N/A,FALSE,"márgenes"}</definedName>
    <definedName name="ffdgwe" hidden="1">{"Real",#N/A,FALSE,"CONSOLIDADO";"Real",#N/A,FALSE,"OCCIDENTE";"Real",#N/A,FALSE,"LARA";"Real",#N/A,FALSE,"CENTRO";"Real",#N/A,FALSE,"METROPOLITANA";"Real",#N/A,FALSE,"ORIENTE";"Real",#N/A,FALSE,"Pto.libre"}</definedName>
    <definedName name="FFF" hidden="1">{#N/A,#N/A,FALSE,"지침";#N/A,#N/A,FALSE,"환경분석";#N/A,#N/A,FALSE,"Sheet16"}</definedName>
    <definedName name="fffff" hidden="1">#REF!</definedName>
    <definedName name="FFFFFFFF" hidden="1">{#N/A,#N/A,FALSE,"PRECIO FULL";#N/A,#N/A,FALSE,"LARA";#N/A,#N/A,FALSE,"CARACAS";#N/A,#N/A,FALSE,"DISBRACENTRO";#N/A,#N/A,FALSE,"ANDES";#N/A,#N/A,FALSE,"MAR CARIBE";#N/A,#N/A,FALSE,"RIO BEER";#N/A,#N/A,FALSE,"DISBRAH"}</definedName>
    <definedName name="fffffffffff" hidden="1">{"'tasa de salida'!$A$1:$G$48"}</definedName>
    <definedName name="fffffffffffffffd" hidden="1">{"det (May)",#N/A,FALSE,"June";"sum (MAY YTD)",#N/A,FALSE,"June YTD"}</definedName>
    <definedName name="ffvb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ggggggggggggggg" hidden="1">{"det (May)",#N/A,FALSE,"June";"sum (MAY YTD)",#N/A,FALSE,"June YTD"}</definedName>
    <definedName name="fg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ghfghf" hidden="1">{"prem1",#N/A,FALSE,"Consolidado";"pl_us",#N/A,FALSE,"Consolidado";"pl_hl",#N/A,FALSE,"Consolidado";"bs",#N/A,FALSE,"Consolidado";"cf",#N/A,FALSE,"Consolidado"}</definedName>
    <definedName name="fghfhdfhgf" hidden="1">{"det (May)",#N/A,FALSE,"June";"sum (MAY YTD)",#N/A,FALSE,"June YTD"}</definedName>
    <definedName name="fgjhcv" hidden="1">{"det (May)",#N/A,FALSE,"June";"sum (MAY YTD)",#N/A,FALSE,"June YTD"}</definedName>
    <definedName name="fgtdfde" hidden="1">{"det (May)",#N/A,FALSE,"June";"sum (MAY YTD)",#N/A,FALSE,"June YTD"}</definedName>
    <definedName name="fhcxgkfg" hidden="1">{"'171'!$A$1:$Z$50"}</definedName>
    <definedName name="Fig" hidden="1">{"det (May)",#N/A,FALSE,"June";"sum (MAY YTD)",#N/A,FALSE,"June YTD"}</definedName>
    <definedName name="FILE" hidden="1">#REF!</definedName>
    <definedName name="Filtração" hidden="1">{"'171'!$A$1:$Z$50"}</definedName>
    <definedName name="fkjhgdfgs" hidden="1">{"det (May)",#N/A,FALSE,"June";"sum (MAY YTD)",#N/A,FALSE,"June YTD"}</definedName>
    <definedName name="FKKF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flux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rm" hidden="1">{#N/A,#N/A,FALSE,"지침";#N/A,#N/A,FALSE,"환경분석";#N/A,#N/A,FALSE,"Sheet16"}</definedName>
    <definedName name="fqsdhb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rancis" hidden="1">{#N/A,#N/A,FALSE,"TOTAL"}</definedName>
    <definedName name="frfrfr" hidden="1">{"det (May)",#N/A,FALSE,"June";"sum (MAY YTD)",#N/A,FALSE,"June YTD"}</definedName>
    <definedName name="frfz" hidden="1">{"det (May)",#N/A,FALSE,"June";"sum (MAY YTD)",#N/A,FALSE,"June YTD"}</definedName>
    <definedName name="frrfr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rrgd" hidden="1">{"det (May)",#N/A,FALSE,"June";"sum (MAY YTD)",#N/A,FALSE,"June YTD"}</definedName>
    <definedName name="fsd" hidden="1">{#N/A,#N/A,FALSE,"Hoja1";#N/A,#N/A,FALSE,"Hoja2"}</definedName>
    <definedName name="fsdffrf" hidden="1">{"det (May)",#N/A,FALSE,"June";"sum (MAY YTD)",#N/A,FALSE,"June YTD"}</definedName>
    <definedName name="fsdfsd" hidden="1">{#N/A,#N/A,FALSE,"Hoja1";#N/A,#N/A,FALSE,"Hoja2"}</definedName>
    <definedName name="fseewrewczxczx" hidden="1">{"prem1",#N/A,FALSE,"Consolidado";"pl_us",#N/A,FALSE,"Consolidado";"pl_hl",#N/A,FALSE,"Consolidado";"bs",#N/A,FALSE,"Consolidado";"cf",#N/A,FALSE,"Consolidado"}</definedName>
    <definedName name="fsfddfss" hidden="1">{"RESUMEN",#N/A,FALSE,"RESUMEN";"RESUMEN_MARG",#N/A,FALSE,"RESUMEN"}</definedName>
    <definedName name="g" hidden="1">{"'171'!$A$1:$Z$50"}</definedName>
    <definedName name="gama" hidden="1">{#N/A,#N/A,FALSE,"TOTAL"}</definedName>
    <definedName name="Gap" hidden="1">{"det (May)",#N/A,FALSE,"June";"sum (MAY YTD)",#N/A,FALSE,"June YTD"}</definedName>
    <definedName name="GD" hidden="1">{#N/A,#N/A,FALSE,"지침";#N/A,#N/A,FALSE,"환경분석";#N/A,#N/A,FALSE,"Sheet16"}</definedName>
    <definedName name="gddgdf" hidden="1">{"Real",#N/A,FALSE,"CONSOLIDADO";"Real",#N/A,FALSE,"OCCIDENTE";"Real",#N/A,FALSE,"LARA";"Real",#N/A,FALSE,"CENTRO";"Real",#N/A,FALSE,"METROPOLITANA";"Real",#N/A,FALSE,"ORIENTE";"Real",#N/A,FALSE,"Pto.libre"}</definedName>
    <definedName name="gdfgdgfd" hidden="1">{"total",#N/A,FALSE,"TOTAL $";"totalhl",#N/A,FALSE,"TOTAL $HL";"vol",#N/A,FALSE,"VOLUMEN";"xprod1",#N/A,FALSE,"X PROD";"xprod2",#N/A,FALSE,"X PROD";"finaño1",#N/A,FALSE,"FIN AÑO Meta";"finaño2",#N/A,FALSE,"FIN AÑO Meta"}</definedName>
    <definedName name="Gf" hidden="1">{#N/A,#N/A,FALSE,"PRECIO FULL";#N/A,#N/A,FALSE,"LARA";#N/A,#N/A,FALSE,"CARACAS";#N/A,#N/A,FALSE,"DISBRACENTRO";#N/A,#N/A,FALSE,"ANDES";#N/A,#N/A,FALSE,"MAR CARIBE";#N/A,#N/A,FALSE,"RIO BEER";#N/A,#N/A,FALSE,"DISBRAH"}</definedName>
    <definedName name="gfdgvc" hidden="1">{#N/A,#N/A,FALSE,"Hoja1";#N/A,#N/A,FALSE,"Hoja2"}</definedName>
    <definedName name="gfdhcxv" hidden="1">{"det (May)",#N/A,FALSE,"June";"sum (MAY YTD)",#N/A,FALSE,"June YTD"}</definedName>
    <definedName name="gfdy" hidden="1">{#N/A,#N/A,FALSE,"지침";#N/A,#N/A,FALSE,"환경분석";#N/A,#N/A,FALSE,"Sheet16"}</definedName>
    <definedName name="gffgfghrtfhgtr" hidden="1">{#N/A,#N/A,FALSE,"RELATÓRIO";#N/A,#N/A,FALSE,"RELATÓRIO"}</definedName>
    <definedName name="gfg" hidden="1">{"CAP VOL",#N/A,FALSE,"CAPITAL";"CAP VAR",#N/A,FALSE,"CAPITAL";"CAP FIJ",#N/A,FALSE,"CAPITAL";"CAP CONS",#N/A,FALSE,"CAPITAL";"CAP DATA",#N/A,FALSE,"CAPITAL"}</definedName>
    <definedName name="gfgd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ghgf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hdfghfghg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jdhe" hidden="1">{"det (May)",#N/A,FALSE,"June";"sum (MAY YTD)",#N/A,FALSE,"June YTD"}</definedName>
    <definedName name="gfhjfg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nx" hidden="1">{"det (May)",#N/A,FALSE,"June";"sum (MAY YTD)",#N/A,FALSE,"June YTD"}</definedName>
    <definedName name="gfwdfddf" hidden="1">{"miles",#N/A,FALSE,"LUCROS E PERDAS (US$ 000)";"hl",#N/A,FALSE,"LUCROS E PERDAS (US$ 000)"}</definedName>
    <definedName name="gg" hidden="1">{"det (May)",#N/A,FALSE,"June";"sum (MAY YTD)",#N/A,FALSE,"June YTD"}</definedName>
    <definedName name="ggfgfg" hidden="1">#REF!</definedName>
    <definedName name="ggg" hidden="1">{"det (May)",#N/A,FALSE,"June";"sum (MAY YTD)",#N/A,FALSE,"June YTD"}</definedName>
    <definedName name="gggg" hidden="1">{"det (May)",#N/A,FALSE,"June";"sum (MAY YTD)",#N/A,FALSE,"June YTD"}</definedName>
    <definedName name="ggggggggggggggggg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gggggggggggggggggggg" hidden="1">{"det (May)",#N/A,FALSE,"June";"sum (MAY YTD)",#N/A,FALSE,"June YTD"}</definedName>
    <definedName name="ghdfhjhjn" hidden="1">{"det (May)",#N/A,FALSE,"June";"sum (MAY YTD)",#N/A,FALSE,"June YTD"}</definedName>
    <definedName name="ghdjhgj" hidden="1">{"det (May)",#N/A,FALSE,"June";"sum (MAY YTD)",#N/A,FALSE,"June YTD"}</definedName>
    <definedName name="ghfdgh" hidden="1">{#N/A,#N/A,FALSE,"RGD$";#N/A,#N/A,FALSE,"BG$";#N/A,#N/A,FALSE,"FC$"}</definedName>
    <definedName name="ghg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hgh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hghgh" hidden="1">{#N/A,#N/A,FALSE,"Hoja1";#N/A,#N/A,FALSE,"Hoja2"}</definedName>
    <definedName name="ghghghghghghghg" hidden="1">#REF!</definedName>
    <definedName name="ghjgh" hidden="1">{"miles",#N/A,FALSE,"LUCROS E PERDAS (US$ 000)";"hl",#N/A,FALSE,"LUCROS E PERDAS (US$ 000)"}</definedName>
    <definedName name="ghjjkk" hidden="1">{"det (May)",#N/A,FALSE,"June";"sum (MAY YTD)",#N/A,FALSE,"June YTD"}</definedName>
    <definedName name="ghsdfhdfhdf" hidden="1">{"det (May)",#N/A,FALSE,"June";"sum (MAY YTD)",#N/A,FALSE,"June YTD"}</definedName>
    <definedName name="ghuh" hidden="1">{"det (May)",#N/A,FALSE,"June";"sum (MAY YTD)",#N/A,FALSE,"June YTD"}</definedName>
    <definedName name="gianna" hidden="1">{"'171'!$A$1:$Z$50"}</definedName>
    <definedName name="graf" hidden="1">{"'171'!$A$1:$Z$50"}</definedName>
    <definedName name="GRAFICO2" hidden="1">{"'171'!$A$1:$Z$50"}</definedName>
    <definedName name="GRAFIO" hidden="1">{#N/A,#N/A,FALSE,"Hoja1";#N/A,#N/A,FALSE,"Hoja2"}</definedName>
    <definedName name="Graph2343g" hidden="1">#REF!</definedName>
    <definedName name="Graph398df" hidden="1">#REF!</definedName>
    <definedName name="Graph83387hd" hidden="1">#REF!</definedName>
    <definedName name="Graph847jhfd" hidden="1">#REF!</definedName>
    <definedName name="Graph8493843f" hidden="1">#REF!</definedName>
    <definedName name="grbbbbbbbq" hidden="1">{"det (May)",#N/A,FALSE,"June";"sum (MAY YTD)",#N/A,FALSE,"June YTD"}</definedName>
    <definedName name="grbsqsss" hidden="1">{"det (May)",#N/A,FALSE,"June";"sum (MAY YTD)",#N/A,FALSE,"June YTD"}</definedName>
    <definedName name="grl" hidden="1">{#N/A,#N/A,FALSE,"ROTINA";#N/A,#N/A,FALSE,"ITENS";#N/A,#N/A,FALSE,"ACOMP"}</definedName>
    <definedName name="gt" hidden="1">{"CAP VOL",#N/A,FALSE,"CAPITAL";"CAP VAR",#N/A,FALSE,"CAPITAL";"CAP FIJ",#N/A,FALSE,"CAPITAL";"CAP CONS",#N/A,FALSE,"CAPITAL";"CAP DATA",#N/A,FALSE,"CAPITAL"}</definedName>
    <definedName name="gttr" hidden="1">{"det (May)",#N/A,FALSE,"June";"sum (MAY YTD)",#N/A,FALSE,"June YTD"}</definedName>
    <definedName name="gu" hidden="1">#REF!</definedName>
    <definedName name="Guarana" hidden="1">{"'171'!$A$1:$Z$50"}</definedName>
    <definedName name="gut" hidden="1">{#N/A,#N/A,FALSE,"지침";#N/A,#N/A,FALSE,"환경분석";#N/A,#N/A,FALSE,"Sheet16"}</definedName>
    <definedName name="gyeru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ector" hidden="1">{"CAP VOL",#N/A,FALSE,"CAPITAL";"CAP VAR",#N/A,FALSE,"CAPITAL";"CAP FIJ",#N/A,FALSE,"CAPITAL";"CAP CONS",#N/A,FALSE,"CAPITAL";"CAP DATA",#N/A,FALSE,"CAPITAL"}</definedName>
    <definedName name="hehehe" hidden="1">{"det (May)",#N/A,FALSE,"June";"sum (MAY YTD)",#N/A,FALSE,"June YTD"}</definedName>
    <definedName name="hey" hidden="1">{"RESUMEN",#N/A,FALSE,"RESUMEN";"RESUMEN_MARG",#N/A,FALSE,"RESUMEN"}</definedName>
    <definedName name="hfjhjjhfgj" hidden="1">{"'171'!$A$1:$Z$50"}</definedName>
    <definedName name="hgd" hidden="1">{"det (May)",#N/A,FALSE,"June";"sum (MAY YTD)",#N/A,FALSE,"June YTD"}</definedName>
    <definedName name="hghg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h" hidden="1">{"prem1",#N/A,FALSE,"Consolidado";"pl_us",#N/A,FALSE,"Consolidado";"pl_hl",#N/A,FALSE,"Consolidado";"bs",#N/A,FALSE,"Consolidado";"cf",#N/A,FALSE,"Consolidado"}</definedName>
    <definedName name="hgjg" hidden="1">{"Prenissas",#N/A,FALSE,"Consolidado (3)";"Lucros000",#N/A,FALSE,"Consolidado (3)";"LucrosHL",#N/A,FALSE,"Consolidado (3)";"Balanco",#N/A,FALSE,"Consolidado (3)";"FluxoC",#N/A,FALSE,"Consolidado (3)"}</definedName>
    <definedName name="hgjghj" hidden="1">{"total",#N/A,FALSE,"TOTAL $";"totalhl",#N/A,FALSE,"TOTAL $HL";"vol",#N/A,FALSE,"VOLUMEN";"xprod1",#N/A,FALSE,"X PROD";"xprod2",#N/A,FALSE,"X PROD";"finaño1",#N/A,FALSE,"FIN AÑO Meta";"finaño2",#N/A,FALSE,"FIN AÑO Meta"}</definedName>
    <definedName name="hgjhh" hidden="1">{"CAP VOL",#N/A,FALSE,"CAPITAL";"CAP VAR",#N/A,FALSE,"CAPITAL";"CAP FIJ",#N/A,FALSE,"CAPITAL";"CAP CONS",#N/A,FALSE,"CAPITAL";"CAP DATA",#N/A,FALSE,"CAPITAL"}</definedName>
    <definedName name="h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h" hidden="1">{"det (May)",#N/A,FALSE,"June";"sum (MAY YTD)",#N/A,FALSE,"June YTD"}</definedName>
    <definedName name="HHHH" hidden="1">{#N/A,#N/A,FALSE,"RGD$";#N/A,#N/A,FALSE,"BG$";#N/A,#N/A,FALSE,"FC$"}</definedName>
    <definedName name="HHJ" hidden="1">{#N/A,#N/A,FALSE,"RELATÓRIO";#N/A,#N/A,FALSE,"RELATÓRIO"}</definedName>
    <definedName name="hhjk" hidden="1">{#N/A,#N/A,FALSE,"ROTINA";#N/A,#N/A,FALSE,"ITENS";#N/A,#N/A,FALSE,"ACOMP"}</definedName>
    <definedName name="hjgjggk" hidden="1">{"det (May)",#N/A,FALSE,"June";"sum (MAY YTD)",#N/A,FALSE,"June YTD"}</definedName>
    <definedName name="hjjjjjjjjjjjjjjjjjj" hidden="1">{"det (May)",#N/A,FALSE,"June";"sum (MAY YTD)",#N/A,FALSE,"June YTD"}</definedName>
    <definedName name="hjkk" hidden="1">{"bs",#N/A,FALSE,"Consolidado";"cf",#N/A,FALSE,"Consolidado";"pl_hl",#N/A,FALSE,"Consolidado";"pl_us",#N/A,FALSE,"Consolidado";"Prem1",#N/A,FALSE,"Consolidado"}</definedName>
    <definedName name="hkfnxcs" hidden="1">{"det (May)",#N/A,FALSE,"June";"sum (MAY YTD)",#N/A,FALSE,"June YTD"}</definedName>
    <definedName name="hkhjk" hidden="1">{"Prenissas",#N/A,FALSE,"Consolidado (3)";"Lucros000",#N/A,FALSE,"Consolidado (3)";"LucrosHL",#N/A,FALSE,"Consolidado (3)";"Balanco",#N/A,FALSE,"Consolidado (3)";"FluxoC",#N/A,FALSE,"Consolidado (3)"}</definedName>
    <definedName name="hllliun" hidden="1">#REF!</definedName>
    <definedName name="horas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s" hidden="1">{#N/A,#N/A,FALSE,"Hoja1";#N/A,#N/A,FALSE,"Hoja2"}</definedName>
    <definedName name="hs.extras" hidden="1">{#N/A,#N/A,FALSE,"Hoja1";#N/A,#N/A,FALSE,"Hoja2"}</definedName>
    <definedName name="hshds" hidden="1">{#N/A,#N/A,FALSE,"지침";#N/A,#N/A,FALSE,"환경분석";#N/A,#N/A,FALSE,"Sheet16"}</definedName>
    <definedName name="htdfjty" hidden="1">{"det (May)",#N/A,FALSE,"June";"sum (MAY YTD)",#N/A,FALSE,"June YTD"}</definedName>
    <definedName name="HTML_CodePage" hidden="1">1252</definedName>
    <definedName name="HTML_Cont" hidden="1">{"'171'!$A$1:$Z$50"}</definedName>
    <definedName name="HTML_Control" hidden="1">{"'RR'!$A$2:$E$81"}</definedName>
    <definedName name="HTML_Control1" hidden="1">{"'171'!$A$1:$Z$50"}</definedName>
    <definedName name="HTML_Control2" hidden="1">{"'171'!$A$1:$Z$50"}</definedName>
    <definedName name="HTML_Control3" hidden="1">{"'tasa de salida'!$A$1:$G$48"}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PathTemplate" hidden="1">"F:\Farol Comparativo.htm"</definedName>
    <definedName name="HTML_Title" hidden="1">"Regional 4 SET99"</definedName>
    <definedName name="ht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uih" hidden="1">{"'171'!$A$1:$Z$50"}</definedName>
    <definedName name="hyj" hidden="1">#REF!</definedName>
    <definedName name="hyuik" hidden="1">{"det (May)",#N/A,FALSE,"June";"sum (MAY YTD)",#N/A,FALSE,"June YTD"}</definedName>
    <definedName name="hzdrfg" hidden="1">{#N/A,#N/A,FALSE,"Aging Summary";#N/A,#N/A,FALSE,"Ratio Analysis";#N/A,#N/A,FALSE,"Test 120 Day Accts";#N/A,#N/A,FALSE,"Tickmarks"}</definedName>
    <definedName name="i" hidden="1">{#N/A,#N/A,FALSE,"ROTINA";#N/A,#N/A,FALSE,"ITENS";#N/A,#N/A,FALSE,"ACOMP"}</definedName>
    <definedName name="ic" hidden="1">{#N/A,#N/A,FALSE,"지침";#N/A,#N/A,FALSE,"환경분석";#N/A,#N/A,FALSE,"Sheet16"}</definedName>
    <definedName name="iii" hidden="1">{"det (May)",#N/A,FALSE,"June";"sum (MAY YTD)",#N/A,FALSE,"June YTD"}</definedName>
    <definedName name="iiiiiiiiiiiiiiiiiiop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iiiiiiiiiiiiiiik" hidden="1">{"det (May)",#N/A,FALSE,"June";"sum (MAY YTD)",#N/A,FALSE,"June YTD"}</definedName>
    <definedName name="iiiiiiiiiiiiio" hidden="1">{"det (May)",#N/A,FALSE,"June";"sum (MAY YTD)",#N/A,FALSE,"June YTD"}</definedName>
    <definedName name="IISIII" hidden="1">{#N/A,#N/A,FALSE,"RGD$";#N/A,#N/A,FALSE,"BG$";#N/A,#N/A,FALSE,"FC$"}</definedName>
    <definedName name="IISIIS" hidden="1">{"Real",#N/A,FALSE,"CONSOLIDADO";"Real",#N/A,FALSE,"OCCIDENTE";"Real",#N/A,FALSE,"LARA";"Real",#N/A,FALSE,"CENTRO";"Real",#N/A,FALSE,"METROPOLITANA";"Real",#N/A,FALSE,"ORIENTE";"Real",#N/A,FALSE,"Pto.libre"}</definedName>
    <definedName name="iiyu" hidden="1">{"Prenissas",#N/A,FALSE,"Consolidado (3)";"Lucros000",#N/A,FALSE,"Consolidado (3)";"LucrosHL",#N/A,FALSE,"Consolidado (3)";"Balanco",#N/A,FALSE,"Consolidado (3)";"FluxoC",#N/A,FALSE,"Consolidado (3)"}</definedName>
    <definedName name="ijki" hidden="1">{"det (May)",#N/A,FALSE,"June";"sum (MAY YTD)",#N/A,FALSE,"June YTD"}</definedName>
    <definedName name="illlllllllllllll" hidden="1">{"det (May)",#N/A,FALSE,"June";"sum (MAY YTD)",#N/A,FALSE,"June YTD"}</definedName>
    <definedName name="imp" hidden="1">{#N/A,#N/A,FALSE,"Hoja1";#N/A,#N/A,FALSE,"Hoja2"}</definedName>
    <definedName name="IMPO" hidden="1">{#N/A,#N/A,FALSE,"Hoja1";#N/A,#N/A,FALSE,"Hoja2"}</definedName>
    <definedName name="iogfrio" hidden="1">{"det (May)",#N/A,FALSE,"June";"sum (MAY YTD)",#N/A,FALSE,"June YTD"}</definedName>
    <definedName name="ioghgfgf" hidden="1">{"det (May)",#N/A,FALSE,"June";"sum (MAY YTD)",#N/A,FALSE,"June YTD"}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41171.508912037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pi" hidden="1">{#N/A,#N/A,FALSE,"RGD$";#N/A,#N/A,FALSE,"BG$";#N/A,#N/A,FALSE,"FC$"}</definedName>
    <definedName name="it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ui" hidden="1">{"total",#N/A,FALSE,"TOTAL $";"totalhl",#N/A,FALSE,"TOTAL $HL";"vol",#N/A,FALSE,"VOLUMEN";"xprod1",#N/A,FALSE,"X PROD";"xprod2",#N/A,FALSE,"X PROD";"finaño1",#N/A,FALSE,"FIN AÑO Meta";"finaño2",#N/A,FALSE,"FIN AÑO Meta"}</definedName>
    <definedName name="Janeiro" hidden="1">#REF!</definedName>
    <definedName name="Janeiro07" hidden="1">{"'171'!$A$1:$Z$50"}</definedName>
    <definedName name="jbbbbbbbbbbbbbbbbbb" hidden="1">{"det (May)",#N/A,FALSE,"June";"sum (MAY YTD)",#N/A,FALSE,"June YTD"}</definedName>
    <definedName name="jdfjewf" hidden="1">{#N/A,#N/A,FALSE,"지침";#N/A,#N/A,FALSE,"환경분석";#N/A,#N/A,FALSE,"Sheet16"}</definedName>
    <definedName name="JDSUYUY" hidden="1">{"RESUMEN",#N/A,FALSE,"RESUMEN";"RESUMEN_MARG",#N/A,FALSE,"RESUMEN"}</definedName>
    <definedName name="jeeeeeeeeeeeeeee" hidden="1">{"det (May)",#N/A,FALSE,"June";"sum (MAY YTD)",#N/A,FALSE,"June YTD"}</definedName>
    <definedName name="jg" hidden="1">{"'171'!$A$1:$Z$50"}</definedName>
    <definedName name="jgfhju" hidden="1">{"det (May)",#N/A,FALSE,"June";"sum (MAY YTD)",#N/A,FALSE,"June YTD"}</definedName>
    <definedName name="jghgg" hidden="1">{#N/A,#N/A,FALSE,"P.L.Full";#N/A,#N/A,FALSE,"P.L.Desc."}</definedName>
    <definedName name="jgtyyt" hidden="1">{#N/A,#N/A,FALSE,"Hoja1";#N/A,#N/A,FALSE,"Hoja2"}</definedName>
    <definedName name="jhghjgghh" hidden="1">{#N/A,#N/A,FALSE,"RELATÓRIO";#N/A,#N/A,FALSE,"RELATÓRIO"}</definedName>
    <definedName name="jhytt6rdwes" hidden="1">{"'171'!$A$1:$Z$50"}</definedName>
    <definedName name="j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IJIJ" hidden="1">{#N/A,#N/A,FALSE,"RGD$";#N/A,#N/A,FALSE,"BG$";#N/A,#N/A,FALSE,"FC$"}</definedName>
    <definedName name="jijuiu" hidden="1">{"det (May)",#N/A,FALSE,"June";"sum (MAY YTD)",#N/A,FALSE,"June YTD"}</definedName>
    <definedName name="jjj" hidden="1">{"'171'!$A$1:$Z$50"}</definedName>
    <definedName name="jjjg" hidden="1">{#N/A,#N/A,FALSE,"RGD$";#N/A,#N/A,FALSE,"BG$";#N/A,#N/A,FALSE,"FC$"}</definedName>
    <definedName name="jjjjjjj" hidden="1">{#N/A,#N/A,FALSE,"RELATÓRIO";#N/A,#N/A,FALSE,"RELATÓRIO"}</definedName>
    <definedName name="jjjjjjjjjjj" hidden="1">{"'cua 42'!$A$1:$O$40"}</definedName>
    <definedName name="jjjjjjjjjjjjj" hidden="1">{"det (May)",#N/A,FALSE,"June";"sum (MAY YTD)",#N/A,FALSE,"June YTD"}</definedName>
    <definedName name="jjjjjjjjjjjjjj" hidden="1">{"det (May)",#N/A,FALSE,"June";"sum (MAY YTD)",#N/A,FALSE,"June YTD"}</definedName>
    <definedName name="jjjjjjjjjjjjjjj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jjjjjjjjjjjjjjjjjjjjjjj" hidden="1">{"det (May)",#N/A,FALSE,"June";"sum (MAY YTD)",#N/A,FALSE,"June YTD"}</definedName>
    <definedName name="JJUJSD" hidden="1">{#N/A,#N/A,FALSE,"RGD$";#N/A,#N/A,FALSE,"BG$";#N/A,#N/A,FALSE,"FC$"}</definedName>
    <definedName name="JK" hidden="1">#REF!</definedName>
    <definedName name="jkj" hidden="1">{#N/A,#N/A,FALSE,"PRECIO FULL";#N/A,#N/A,FALSE,"LARA";#N/A,#N/A,FALSE,"CARACAS";#N/A,#N/A,FALSE,"DISBRACENTRO";#N/A,#N/A,FALSE,"ANDES";#N/A,#N/A,FALSE,"MAR CARIBE";#N/A,#N/A,FALSE,"RIO BEER";#N/A,#N/A,FALSE,"DISBRAH"}</definedName>
    <definedName name="jkja" hidden="1">{"CAP VOL",#N/A,FALSE,"CAPITAL";"CAP VAR",#N/A,FALSE,"CAPITAL";"CAP FIJ",#N/A,FALSE,"CAPITAL";"CAP CONS",#N/A,FALSE,"CAPITAL";"CAP DATA",#N/A,FALSE,"CAPITAL"}</definedName>
    <definedName name="JKJJKJK" hidden="1">{#N/A,#N/A,FALSE,"RGD$";#N/A,#N/A,FALSE,"BG$";#N/A,#N/A,FALSE,"FC$"}</definedName>
    <definedName name="jkjk" hidden="1">{#N/A,#N/A,FALSE,"PRECIO FULL";#N/A,#N/A,FALSE,"LARA";#N/A,#N/A,FALSE,"CARACAS";#N/A,#N/A,FALSE,"DISBRACENTRO";#N/A,#N/A,FALSE,"ANDES";#N/A,#N/A,FALSE,"MAR CARIBE";#N/A,#N/A,FALSE,"RIO BEER";#N/A,#N/A,FALSE,"DISBRAH"}</definedName>
    <definedName name="JKJKJ" hidden="1">{"Cons_Occ_Lar",#N/A,FALSE,"márgenes";"Cen_met",#N/A,FALSE,"márgenes";"Ori_pl",#N/A,FALSE,"márgenes"}</definedName>
    <definedName name="JKJKLJ" hidden="1">{"Real",#N/A,FALSE,"CONSOLIDADO";"Real",#N/A,FALSE,"OCCIDENTE";"Real",#N/A,FALSE,"LARA";"Real",#N/A,FALSE,"CENTRO";"Real",#N/A,FALSE,"METROPOLITANA";"Real",#N/A,FALSE,"ORIENTE";"Real",#N/A,FALSE,"Pto.libre"}</definedName>
    <definedName name="jkma" hidden="1">{"Cons_Occ_Lar",#N/A,FALSE,"márgenes";"Cen_met",#N/A,FALSE,"márgenes";"Ori_pl",#N/A,FALSE,"márgenes"}</definedName>
    <definedName name="jljl" hidden="1">{"det (May)",#N/A,FALSE,"June";"sum (MAY YTD)",#N/A,FALSE,"June YTD"}</definedName>
    <definedName name="jljlx" hidden="1">{"det (May)",#N/A,FALSE,"June";"sum (MAY YTD)",#N/A,FALSE,"June YTD"}</definedName>
    <definedName name="jnv" hidden="1">{#N/A,#N/A,FALSE,"Hoja1";#N/A,#N/A,FALSE,"Hoja2"}</definedName>
    <definedName name="jonathan" hidden="1">{"det (May)",#N/A,FALSE,"June";"sum (MAY YTD)",#N/A,FALSE,"June YTD"}</definedName>
    <definedName name="jppmpñ" hidden="1">{"'cua 42'!$A$1:$O$40"}</definedName>
    <definedName name="JS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JUJD" hidden="1">{"Cons_Occ_Lar",#N/A,FALSE,"márgenes";"Cen_met",#N/A,FALSE,"márgenes";"Ori_pl",#N/A,FALSE,"márgenes"}</definedName>
    <definedName name="JULIO" hidden="1">#REF!</definedName>
    <definedName name="Jun" hidden="1">{"'171'!$A$1:$Z$50"}</definedName>
    <definedName name="Junio" hidden="1">{"'171'!$A$1:$Z$50"}</definedName>
    <definedName name="jyttyty" hidden="1">{#N/A,#N/A,FALSE,"RELATÓRIO";#N/A,#N/A,FALSE,"RELATÓRIO"}</definedName>
    <definedName name="k" hidden="1">{"det (May)",#N/A,FALSE,"June";"sum (MAY YTD)",#N/A,FALSE,"June YTD"}</definedName>
    <definedName name="kas" hidden="1">{"Cons_Occ_Lar",#N/A,FALSE,"márgenes";"Cen_met",#N/A,FALSE,"márgenes";"Ori_pl",#N/A,FALSE,"márgenes"}</definedName>
    <definedName name="KDKDKD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SJKJ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egs" hidden="1">{"det (May)",#N/A,FALSE,"June";"sum (MAY YTD)",#N/A,FALSE,"June YTD"}</definedName>
    <definedName name="kegsx" hidden="1">{"det (May)",#N/A,FALSE,"June";"sum (MAY YTD)",#N/A,FALSE,"June YTD"}</definedName>
    <definedName name="KEY43iyu" hidden="1">#REF!</definedName>
    <definedName name="KEY615hfj" hidden="1">#REF!</definedName>
    <definedName name="KEYS233" hidden="1">#REF!</definedName>
    <definedName name="kht" hidden="1">{"Real",#N/A,FALSE,"CONSOLIDADO";"Real",#N/A,FALSE,"OCCIDENTE";"Real",#N/A,FALSE,"LARA";"Real",#N/A,FALSE,"CENTRO";"Real",#N/A,FALSE,"METROPOLITANA";"Real",#N/A,FALSE,"ORIENTE";"Real",#N/A,FALSE,"Pto.libre"}</definedName>
    <definedName name="kik" hidden="1">{"Cons_Occ_Lar",#N/A,FALSE,"márgenes";"Cen_met",#N/A,FALSE,"márgenes";"Ori_pl",#N/A,FALSE,"márgenes"}</definedName>
    <definedName name="kil" hidden="1">{"RESUMEN",#N/A,FALSE,"RESUMEN";"RESUMEN_MARG",#N/A,FALSE,"RESUMEN"}</definedName>
    <definedName name="kiojk" hidden="1">{"det (May)",#N/A,FALSE,"June";"sum (MAY YTD)",#N/A,FALSE,"June YTD"}</definedName>
    <definedName name="KJ" hidden="1">{#N/A,#N/A,FALSE,"지침";#N/A,#N/A,FALSE,"환경분석";#N/A,#N/A,FALSE,"Sheet16"}</definedName>
    <definedName name="KJJKJKJ" hidden="1">{"RESUMEN",#N/A,FALSE,"RESUMEN";"RESUMEN_MARG",#N/A,FALSE,"RESUMEN"}</definedName>
    <definedName name="KJKJKJ" hidden="1">{"Real",#N/A,FALSE,"CONSOLIDADO";"Real",#N/A,FALSE,"OCCIDENTE";"Real",#N/A,FALSE,"LARA";"Real",#N/A,FALSE,"CENTRO";"Real",#N/A,FALSE,"METROPOLITANA";"Real",#N/A,FALSE,"ORIENTE";"Real",#N/A,FALSE,"Pto.libre"}</definedName>
    <definedName name="kjlk" hidden="1">{#N/A,#N/A,FALSE,"PRECIO FULL";#N/A,#N/A,FALSE,"LARA";#N/A,#N/A,FALSE,"CARACAS";#N/A,#N/A,FALSE,"DISBRACENTRO";#N/A,#N/A,FALSE,"ANDES";#N/A,#N/A,FALSE,"MAR CARIBE";#N/A,#N/A,FALSE,"RIO BEER";#N/A,#N/A,FALSE,"DISBRAH"}</definedName>
    <definedName name="KJLKJL" hidden="1">{"CAP VOL",#N/A,FALSE,"CAPITAL";"CAP VAR",#N/A,FALSE,"CAPITAL";"CAP FIJ",#N/A,FALSE,"CAPITAL";"CAP CONS",#N/A,FALSE,"CAPITAL";"CAP DATA",#N/A,FALSE,"CAPITAL"}</definedName>
    <definedName name="kk" hidden="1">{"det (May)",#N/A,FALSE,"June";"sum (MAY YTD)",#N/A,FALSE,"June YTD"}</definedName>
    <definedName name="kkjkjkjkjuh" hidden="1">{"det (May)",#N/A,FALSE,"June";"sum (MAY YTD)",#N/A,FALSE,"June YTD"}</definedName>
    <definedName name="kkk" hidden="1">#REF!</definedName>
    <definedName name="kkkk" hidden="1">{"CAP VOL",#N/A,FALSE,"CAPITAL";"CAP VAR",#N/A,FALSE,"CAPITAL";"CAP FIJ",#N/A,FALSE,"CAPITAL";"CAP CONS",#N/A,FALSE,"CAPITAL";"CAP DATA",#N/A,FALSE,"CAPITAL"}</definedName>
    <definedName name="kkkkkkkio" hidden="1">{"det (May)",#N/A,FALSE,"June";"sum (MAY YTD)",#N/A,FALSE,"June YTD"}</definedName>
    <definedName name="KKLKLK" hidden="1">{#N/A,#N/A,FALSE,"PRECIO FULL";#N/A,#N/A,FALSE,"LARA";#N/A,#N/A,FALSE,"CARACAS";#N/A,#N/A,FALSE,"DISBRACENTRO";#N/A,#N/A,FALSE,"ANDES";#N/A,#N/A,FALSE,"MAR CARIBE";#N/A,#N/A,FALSE,"RIO BEER";#N/A,#N/A,FALSE,"DISBRAH"}</definedName>
    <definedName name="kklm" hidden="1">{"det (May)",#N/A,FALSE,"June";"sum (MAY YTD)",#N/A,FALSE,"June YTD"}</definedName>
    <definedName name="kklñk" hidden="1">{#N/A,#N/A,FALSE,"RGD$";#N/A,#N/A,FALSE,"BG$";#N/A,#N/A,FALSE,"FC$"}</definedName>
    <definedName name="KL" hidden="1">{#N/A,#N/A,FALSE,"RGD$";#N/A,#N/A,FALSE,"BG$";#N/A,#N/A,FALSE,"FC$"}</definedName>
    <definedName name="klka" hidden="1">{"Real",#N/A,FALSE,"CONSOLIDADO";"Real",#N/A,FALSE,"OCCIDENTE";"Real",#N/A,FALSE,"LARA";"Real",#N/A,FALSE,"CENTRO";"Real",#N/A,FALSE,"METROPOLITANA";"Real",#N/A,FALSE,"ORIENTE";"Real",#N/A,FALSE,"Pto.libre"}</definedName>
    <definedName name="KLKL" hidden="1">{"Real",#N/A,FALSE,"CONSOLIDADO";"Real",#N/A,FALSE,"OCCIDENTE";"Real",#N/A,FALSE,"LARA";"Real",#N/A,FALSE,"CENTRO";"Real",#N/A,FALSE,"METROPOLITANA";"Real",#N/A,FALSE,"ORIENTE";"Real",#N/A,FALSE,"Pto.libre"}</definedName>
    <definedName name="KLKLK" hidden="1">{"Cons_Occ_Lar",#N/A,FALSE,"márgenes";"Cen_met",#N/A,FALSE,"márgenes";"Ori_pl",#N/A,FALSE,"márgenes"}</definedName>
    <definedName name="KLKLKK" hidden="1">{#N/A,#N/A,FALSE,"RGD$";#N/A,#N/A,FALSE,"BG$";#N/A,#N/A,FALSE,"FC$"}</definedName>
    <definedName name="KLKLKL" hidden="1">{"CAP VOL",#N/A,FALSE,"CAPITAL";"CAP VAR",#N/A,FALSE,"CAPITAL";"CAP FIJ",#N/A,FALSE,"CAPITAL";"CAP CONS",#N/A,FALSE,"CAPITAL";"CAP DATA",#N/A,FALSE,"CAPITAL"}</definedName>
    <definedName name="klllkjj" hidden="1">{"det (May)",#N/A,FALSE,"June";"sum (MAY YTD)",#N/A,FALSE,"June YTD"}</definedName>
    <definedName name="kllllllllll" hidden="1">{"det (May)",#N/A,FALSE,"June";"sum (MAY YTD)",#N/A,FALSE,"June YTD"}</definedName>
    <definedName name="klñka" hidden="1">{#N/A,#N/A,FALSE,"RGD$";#N/A,#N/A,FALSE,"BG$";#N/A,#N/A,FALSE,"FC$"}</definedName>
    <definedName name="kms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x" hidden="1">{"det (May)",#N/A,FALSE,"June";"sum (MAY YTD)",#N/A,FALSE,"June YTD"}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DLKLKLKL" hidden="1">{"Real",#N/A,FALSE,"CONSOLIDADO";"Real",#N/A,FALSE,"OCCIDENTE";"Real",#N/A,FALSE,"LARA";"Real",#N/A,FALSE,"CENTRO";"Real",#N/A,FALSE,"METROPOLITANA";"Real",#N/A,FALSE,"ORIENTE";"Real",#N/A,FALSE,"Pto.libre"}</definedName>
    <definedName name="LEE" hidden="1">{"det (May)",#N/A,FALSE,"June";"sum (MAY YTD)",#N/A,FALSE,"June YTD"}</definedName>
    <definedName name="lhiu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ad" hidden="1">{"Real",#N/A,FALSE,"CONSOLIDADO";"Real",#N/A,FALSE,"OCCIDENTE";"Real",#N/A,FALSE,"LARA";"Real",#N/A,FALSE,"CENTRO";"Real",#N/A,FALSE,"METROPOLITANA";"Real",#N/A,FALSE,"ORIENTE";"Real",#N/A,FALSE,"Pto.libre"}</definedName>
    <definedName name="limcount" hidden="1">1</definedName>
    <definedName name="Linhas" hidden="1">{"'171'!$A$1:$Z$50"}</definedName>
    <definedName name="LIOOO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xo" hidden="1">{#N/A,#N/A,FALSE,"ROTINA";#N/A,#N/A,FALSE,"ITENS";#N/A,#N/A,FALSE,"ACOMP"}</definedName>
    <definedName name="lixo1" hidden="1">{#N/A,#N/A,FALSE,"ROTINA";#N/A,#N/A,FALSE,"ITENS";#N/A,#N/A,FALSE,"ACOMP"}</definedName>
    <definedName name="ljk" hidden="1">{"total",#N/A,FALSE,"TOTAL $";"totalhl",#N/A,FALSE,"TOTAL $HL";"vol",#N/A,FALSE,"VOLUMEN";"xprod1",#N/A,FALSE,"X PROD";"xprod2",#N/A,FALSE,"X PROD";"finaño1",#N/A,FALSE,"FIN AÑO Meta";"finaño2",#N/A,FALSE,"FIN AÑO Meta"}</definedName>
    <definedName name="lk" hidden="1">{#N/A,#N/A,FALSE,"RELATÓRIO";#N/A,#N/A,FALSE,"RELATÓRIO"}</definedName>
    <definedName name="lkjk" hidden="1">{"bs",#N/A,FALSE,"Consolidado";"cf",#N/A,FALSE,"Consolidado";"pl_hl",#N/A,FALSE,"Consolidado";"pl_us",#N/A,FALSE,"Consolidado";"Prem1",#N/A,FALSE,"Consolidado"}</definedName>
    <definedName name="lkjlkj" hidden="1">{#N/A,#N/A,FALSE,"RGD$";#N/A,#N/A,FALSE,"BG$";#N/A,#N/A,FALSE,"FC$"}</definedName>
    <definedName name="lkjp" hidden="1">#REF!</definedName>
    <definedName name="LKKKL" hidden="1">{"Cons_Occ_Lar",#N/A,FALSE,"márgenes";"Cen_met",#N/A,FALSE,"márgenes";"Ori_pl",#N/A,FALSE,"márgenes"}</definedName>
    <definedName name="lkl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LK" hidden="1">{#N/A,#N/A,FALSE,"RGD$";#N/A,#N/A,FALSE,"BG$";#N/A,#N/A,FALSE,"FC$"}</definedName>
    <definedName name="LKLKLKL" hidden="1">{"RESUMEN",#N/A,FALSE,"RESUMEN";"RESUMEN_MARG",#N/A,FALSE,"RESUMEN"}</definedName>
    <definedName name="lklñ" hidden="1">{"RESUMEN",#N/A,FALSE,"RESUMEN";"RESUMEN_MARG",#N/A,FALSE,"RESUMEN"}</definedName>
    <definedName name="lkñlk" hidden="1">{#N/A,#N/A,FALSE,"RGD$";#N/A,#N/A,FALSE,"BG$";#N/A,#N/A,FALSE,"FC$"}</definedName>
    <definedName name="lks" hidden="1">{#N/A,#N/A,FALSE,"RGD$";#N/A,#N/A,FALSE,"BG$";#N/A,#N/A,FALSE,"FC$"}</definedName>
    <definedName name="LL" hidden="1">{"RESUMEN",#N/A,FALSE,"RESUMEN";"RESUMEN_MARG",#N/A,FALSE,"RESUMEN"}</definedName>
    <definedName name="LLD" hidden="1">{"Cons_Occ_Lar",#N/A,FALSE,"márgenes";"Cen_met",#N/A,FALSE,"márgenes";"Ori_pl",#N/A,FALSE,"márgenes"}</definedName>
    <definedName name="LLIIID" hidden="1">{#N/A,#N/A,FALSE,"PRECIO FULL";#N/A,#N/A,FALSE,"LARA";#N/A,#N/A,FALSE,"CARACAS";#N/A,#N/A,FALSE,"DISBRACENTRO";#N/A,#N/A,FALSE,"ANDES";#N/A,#N/A,FALSE,"MAR CARIBE";#N/A,#N/A,FALSE,"RIO BEER";#N/A,#N/A,FALSE,"DISBRAH"}</definedName>
    <definedName name="LLKKL" hidden="1">{"Real",#N/A,FALSE,"CONSOLIDADO";"Real",#N/A,FALSE,"OCCIDENTE";"Real",#N/A,FALSE,"LARA";"Real",#N/A,FALSE,"CENTRO";"Real",#N/A,FALSE,"METROPOLITANA";"Real",#N/A,FALSE,"ORIENTE";"Real",#N/A,FALSE,"Pto.libre"}</definedName>
    <definedName name="lll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lllllllllllllllllllllll" hidden="1">{"det (May)",#N/A,FALSE,"June";"sum (MAY YTD)",#N/A,FALSE,"June YTD"}</definedName>
    <definedName name="LLÑLÑL" hidden="1">{#N/A,#N/A,FALSE,"RGD$";#N/A,#N/A,FALSE,"BG$";#N/A,#N/A,FALSE,"FC$"}</definedName>
    <definedName name="llsa" hidden="1">{"RESUMEN",#N/A,FALSE,"RESUMEN";"RESUMEN_MARG",#N/A,FALSE,"RESUMEN"}</definedName>
    <definedName name="lml" hidden="1">{"det (May)",#N/A,FALSE,"June";"sum (MAY YTD)",#N/A,FALSE,"June YTD"}</definedName>
    <definedName name="LÑK" hidden="1">#REF!</definedName>
    <definedName name="lñklñk" hidden="1">{"CAP VOL",#N/A,FALSE,"CAPITAL";"CAP VAR",#N/A,FALSE,"CAPITAL";"CAP FIJ",#N/A,FALSE,"CAPITAL";"CAP CONS",#N/A,FALSE,"CAPITAL";"CAP DATA",#N/A,FALSE,"CAPITAL"}</definedName>
    <definedName name="LOFD" hidden="1">{"RESUMEN",#N/A,FALSE,"RESUMEN";"RESUMEN_MARG",#N/A,FALSE,"RESUMEN"}</definedName>
    <definedName name="los" hidden="1">{"Real",#N/A,FALSE,"CONSOLIDADO";"Real",#N/A,FALSE,"OCCIDENTE";"Real",#N/A,FALSE,"LARA";"Real",#N/A,FALSE,"CENTRO";"Real",#N/A,FALSE,"METROPOLITANA";"Real",#N/A,FALSE,"ORIENTE";"Real",#N/A,FALSE,"Pto.libre"}</definedName>
    <definedName name="lou" hidden="1">{#N/A,#N/A,FALSE,"RGD$";#N/A,#N/A,FALSE,"BG$";#N/A,#N/A,FALSE,"FC$"}</definedName>
    <definedName name="m" hidden="1">{#N/A,#N/A,FALSE,"RELATÓRIO";#N/A,#N/A,FALSE,"RELATÓRIO"}</definedName>
    <definedName name="Mand" hidden="1">{"'171'!$A$1:$Z$50"}</definedName>
    <definedName name="mandamentos" hidden="1">{#N/A,#N/A,FALSE,"RELATÓRIO";#N/A,#N/A,FALSE,"RELATÓRIO"}</definedName>
    <definedName name="março_03" hidden="1">{"'171'!$A$1:$Z$50"}</definedName>
    <definedName name="mario" hidden="1">{"CAP VOL",#N/A,FALSE,"CAPITAL";"CAP VAR",#N/A,FALSE,"CAPITAL";"CAP FIJ",#N/A,FALSE,"CAPITAL";"CAP CONS",#N/A,FALSE,"CAPITAL";"CAP DATA",#N/A,FALSE,"CAPITAL"}</definedName>
    <definedName name="Marlon" hidden="1">{#N/A,#N/A,FALSE,"ROTINA";#N/A,#N/A,FALSE,"ITENS";#N/A,#N/A,FALSE,"ACOMP"}</definedName>
    <definedName name="Marzo" hidden="1">{#N/A,#N/A,FALSE,"RELATÓRIO";#N/A,#N/A,FALSE,"RELATÓRIO"}</definedName>
    <definedName name="mauricio" hidden="1">{#N/A,#N/A,FALSE,"ROTINA";#N/A,#N/A,FALSE,"ITENS";#N/A,#N/A,FALSE,"ACOMP"}</definedName>
    <definedName name="Mayo" hidden="1">{#N/A,#N/A,FALSE,"RELATÓRIO";#N/A,#N/A,FALSE,"RELATÓRIO"}</definedName>
    <definedName name="merda" hidden="1">{"'171'!$A$1:$Z$50"}</definedName>
    <definedName name="mierda" hidden="1">{#N/A,#N/A,FALSE,"RGD$";#N/A,#N/A,FALSE,"BG$";#N/A,#N/A,FALSE,"FC$"}</definedName>
    <definedName name="MIPS" hidden="1">{#N/A,#N/A,FALSE,"CONTEO";#N/A,#N/A,FALSE,"INSUMOS";#N/A,#N/A,FALSE,"STOCK";#N/A,#N/A,FALSE,"MOVIMIENTOS";#N/A,#N/A,FALSE,"Mov.Ins.L.L.";#N/A,#N/A,FALSE,"Conteo1";#N/A,#N/A,FALSE,"Conteo2";#N/A,#N/A,FALSE,"Promo ";#N/A,#N/A,FALSE,"Conteo Insumos"}</definedName>
    <definedName name="MKN" hidden="1">{"'171'!$A$1:$Z$50"}</definedName>
    <definedName name="mktg" hidden="1">{#N/A,#N/A,FALSE,"지침";#N/A,#N/A,FALSE,"환경분석";#N/A,#N/A,FALSE,"Sheet16"}</definedName>
    <definedName name="mm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m" hidden="1">{"det (May)",#N/A,FALSE,"June";"sum (MAY YTD)",#N/A,FALSE,"June YTD"}</definedName>
    <definedName name="mmml" hidden="1">{"det (May)",#N/A,FALSE,"June";"sum (MAY YTD)",#N/A,FALSE,"June YTD"}</definedName>
    <definedName name="mmmm" hidden="1">{"det (May)",#N/A,FALSE,"June";"sum (MAY YTD)",#N/A,FALSE,"June YTD"}</definedName>
    <definedName name="mmmmm" hidden="1">{"det (May)",#N/A,FALSE,"June";"sum (MAY YTD)",#N/A,FALSE,"June YTD"}</definedName>
    <definedName name="mmmmmm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mmmmm" hidden="1">{"det (May)",#N/A,FALSE,"June";"sum (MAY YTD)",#N/A,FALSE,"June YTD"}</definedName>
    <definedName name="mmmmmmmmmmmmmmmmm" hidden="1">{"det (May)",#N/A,FALSE,"June";"sum (MAY YTD)",#N/A,FALSE,"June YTD"}</definedName>
    <definedName name="mnak9" hidden="1">{#N/A,#N/A,FALSE,"RGD$";#N/A,#N/A,FALSE,"BG$";#N/A,#N/A,FALSE,"FC$"}</definedName>
    <definedName name="MNMNM" hidden="1">{#N/A,#N/A,FALSE,"PRECIO FULL";#N/A,#N/A,FALSE,"LARA";#N/A,#N/A,FALSE,"CARACAS";#N/A,#N/A,FALSE,"DISBRACENTRO";#N/A,#N/A,FALSE,"ANDES";#N/A,#N/A,FALSE,"MAR CARIBE";#N/A,#N/A,FALSE,"RIO BEER";#N/A,#N/A,FALSE,"DISBRAH"}</definedName>
    <definedName name="mñlk" hidden="1">{"CAP VOL",#N/A,FALSE,"CAPITAL";"CAP VAR",#N/A,FALSE,"CAPITAL";"CAP FIJ",#N/A,FALSE,"CAPITAL";"CAP CONS",#N/A,FALSE,"CAPITAL";"CAP DATA",#N/A,FALSE,"CAPITAL"}</definedName>
    <definedName name="n" hidden="1">{#N/A,#N/A,FALSE,"RELATÓRIO";#N/A,#N/A,FALSE,"RELATÓRIO"}</definedName>
    <definedName name="nada" hidden="1">{"'171'!$A$1:$Z$50"}</definedName>
    <definedName name="naoa" hidden="1">{"RESUMEN",#N/A,FALSE,"RESUMEN";"RESUMEN_MARG",#N/A,FALSE,"RESUMEN"}</definedName>
    <definedName name="napa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apa2" hidden="1">{"CAP VOL",#N/A,FALSE,"CAPITAL";"CAP VAR",#N/A,FALSE,"CAPITAL";"CAP FIJ",#N/A,FALSE,"CAPITAL";"CAP CONS",#N/A,FALSE,"CAPITAL";"CAP DATA",#N/A,FALSE,"CAPITAL"}</definedName>
    <definedName name="napa3" hidden="1">{"Cons_Occ_Lar",#N/A,FALSE,"márgenes";"Cen_met",#N/A,FALSE,"márgenes";"Ori_pl",#N/A,FALSE,"márgenes"}</definedName>
    <definedName name="napa4" hidden="1">{"CAP VOL",#N/A,FALSE,"CAPITAL";"CAP VAR",#N/A,FALSE,"CAPITAL";"CAP FIJ",#N/A,FALSE,"CAPITAL";"CAP CONS",#N/A,FALSE,"CAPITAL";"CAP DATA",#N/A,FALSE,"CAPITAL"}</definedName>
    <definedName name="napa5" hidden="1">{"Cons_Occ_Lar",#N/A,FALSE,"márgenes";"Cen_met",#N/A,FALSE,"márgenes";"Ori_pl",#N/A,FALSE,"márgenes"}</definedName>
    <definedName name="napa6" hidden="1">{"Real",#N/A,FALSE,"CONSOLIDADO";"Real",#N/A,FALSE,"OCCIDENTE";"Real",#N/A,FALSE,"LARA";"Real",#N/A,FALSE,"CENTRO";"Real",#N/A,FALSE,"METROPOLITANA";"Real",#N/A,FALSE,"ORIENTE";"Real",#N/A,FALSE,"Pto.libre"}</definedName>
    <definedName name="napa7" hidden="1">{#N/A,#N/A,FALSE,"PRECIO FULL";#N/A,#N/A,FALSE,"LARA";#N/A,#N/A,FALSE,"CARACAS";#N/A,#N/A,FALSE,"DISBRACENTRO";#N/A,#N/A,FALSE,"ANDES";#N/A,#N/A,FALSE,"MAR CARIBE";#N/A,#N/A,FALSE,"RIO BEER";#N/A,#N/A,FALSE,"DISBRAH"}</definedName>
    <definedName name="napa9" hidden="1">{"RESUMEN",#N/A,FALSE,"RESUMEN";"RESUMEN_MARG",#N/A,FALSE,"RESUMEN"}</definedName>
    <definedName name="nbbnt" hidden="1">{#N/A,#N/A,FALSE,"Hoja1";#N/A,#N/A,FALSE,"Hoja2"}</definedName>
    <definedName name="nbnbhgfg" hidden="1">{#N/A,#N/A,FALSE,"Hoja1";#N/A,#N/A,FALSE,"Hoja2"}</definedName>
    <definedName name="nbngfhgh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emas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gfnggnhd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hnhngfn" hidden="1">{"det (May)",#N/A,FALSE,"June";"sum (MAY YTD)",#N/A,FALSE,"June YTD"}</definedName>
    <definedName name="NIVEL" hidden="1">#REF!</definedName>
    <definedName name="njnj" hidden="1">{"det (May)",#N/A,FALSE,"June";"sum (MAY YTD)",#N/A,FALSE,"June YTD"}</definedName>
    <definedName name="nn" hidden="1">{"det (May)",#N/A,FALSE,"June";"sum (MAY YTD)",#N/A,FALSE,"June YTD"}</definedName>
    <definedName name="nnnnj" hidden="1">{"det (May)",#N/A,FALSE,"June";"sum (MAY YTD)",#N/A,FALSE,"June YTD"}</definedName>
    <definedName name="nnnnnnnnnnn" hidden="1">{"'cua 42'!$A$1:$O$40"}</definedName>
    <definedName name="Nov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uev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vnbvvb" hidden="1">{#N/A,#N/A,FALSE,"FIN AÑO"}</definedName>
    <definedName name="nvnv" hidden="1">{"miles",#N/A,FALSE,"LUCROS E PERDAS (US$ 000)";"hl",#N/A,FALSE,"LUCROS E PERDAS (US$ 000)"}</definedName>
    <definedName name="NZNLJKLJ" hidden="1">{#N/A,#N/A,FALSE,"RGD$";#N/A,#N/A,FALSE,"BG$";#N/A,#N/A,FALSE,"FC$"}</definedName>
    <definedName name="ñ" hidden="1">{"RESUMEN",#N/A,FALSE,"RESUMEN";"RESUMEN_MARG",#N/A,FALSE,"RESUMEN"}</definedName>
    <definedName name="ÑKSKLKL" hidden="1">{"CAP VOL",#N/A,FALSE,"CAPITAL";"CAP VAR",#N/A,FALSE,"CAPITAL";"CAP FIJ",#N/A,FALSE,"CAPITAL";"CAP CONS",#N/A,FALSE,"CAPITAL";"CAP DATA",#N/A,FALSE,"CAPITAL"}</definedName>
    <definedName name="ÑL" hidden="1">{"Real",#N/A,FALSE,"CONSOLIDADO";"Real",#N/A,FALSE,"OCCIDENTE";"Real",#N/A,FALSE,"LARA";"Real",#N/A,FALSE,"CENTRO";"Real",#N/A,FALSE,"METROPOLITANA";"Real",#N/A,FALSE,"ORIENTE";"Real",#N/A,FALSE,"Pto.libre"}</definedName>
    <definedName name="ññ" hidden="1">{"Cons_Occ_Lar",#N/A,FALSE,"márgenes";"Cen_met",#N/A,FALSE,"márgenes";"Ori_pl",#N/A,FALSE,"márgenes"}</definedName>
    <definedName name="ñññ" hidden="1">{"RESUMEN",#N/A,FALSE,"RESUMEN";"RESUMEN_MARG",#N/A,FALSE,"RESUMEN"}</definedName>
    <definedName name="ññññ" hidden="1">{"CAP VOL",#N/A,FALSE,"CAPITAL";"CAP VAR",#N/A,FALSE,"CAPITAL";"CAP FIJ",#N/A,FALSE,"CAPITAL";"CAP CONS",#N/A,FALSE,"CAPITAL";"CAP DATA",#N/A,FALSE,"CAPITAL"}</definedName>
    <definedName name="ñññññ" hidden="1">{#N/A,#N/A,FALSE,"PRECIO FULL";#N/A,#N/A,FALSE,"LARA";#N/A,#N/A,FALSE,"CARACAS";#N/A,#N/A,FALSE,"DISBRACENTRO";#N/A,#N/A,FALSE,"ANDES";#N/A,#N/A,FALSE,"MAR CARIBE";#N/A,#N/A,FALSE,"RIO BEER";#N/A,#N/A,FALSE,"DISBRAH"}</definedName>
    <definedName name="ñpa" hidden="1">{#N/A,#N/A,FALSE,"RGD$";#N/A,#N/A,FALSE,"BG$";#N/A,#N/A,FALSE,"FC$"}</definedName>
    <definedName name="o" hidden="1">{"det (May)",#N/A,FALSE,"June";"sum (MAY YTD)",#N/A,FALSE,"June YTD"}</definedName>
    <definedName name="o1x" hidden="1">{"det (May)",#N/A,FALSE,"June";"sum (MAY YTD)",#N/A,FALSE,"June YTD"}</definedName>
    <definedName name="OB" hidden="1">{#N/A,#N/A,FALSE,"ROTINA";#N/A,#N/A,FALSE,"ITENS";#N/A,#N/A,FALSE,"ACOMP"}</definedName>
    <definedName name="OBZ" hidden="1">{#N/A,#N/A,FALSE,"ROTINA";#N/A,#N/A,FALSE,"ITENS";#N/A,#N/A,FALSE,"ACOMP"}</definedName>
    <definedName name="OBZS" hidden="1">{#N/A,#N/A,FALSE,"ROTINA";#N/A,#N/A,FALSE,"ITENS";#N/A,#N/A,FALSE,"ACOMP"}</definedName>
    <definedName name="ocupPI" hidden="1">{#N/A,#N/A,FALSE,"Hoja1";#N/A,#N/A,FALSE,"Hoja2"}</definedName>
    <definedName name="oi" hidden="1">{"'171'!$A$1:$Z$50"}</definedName>
    <definedName name="oip" hidden="1">{"det (May)",#N/A,FALSE,"June";"sum (MAY YTD)",#N/A,FALSE,"June YTD"}</definedName>
    <definedName name="oj" hidden="1">{#N/A,#N/A,FALSE,"RGD$";#N/A,#N/A,FALSE,"BG$";#N/A,#N/A,FALSE,"FC$"}</definedName>
    <definedName name="okbari" hidden="1">{"det (May)",#N/A,FALSE,"June";"sum (MAY YTD)",#N/A,FALSE,"June YTD"}</definedName>
    <definedName name="okbaria" hidden="1">{"det (May)",#N/A,FALSE,"June";"sum (MAY YTD)",#N/A,FALSE,"June YTD"}</definedName>
    <definedName name="okbaric" hidden="1">{"det (May)",#N/A,FALSE,"June";"sum (MAY YTD)",#N/A,FALSE,"June YTD"}</definedName>
    <definedName name="óleo" hidden="1">{"'171'!$A$1:$Z$50"}</definedName>
    <definedName name="OMPO" hidden="1">{#N/A,#N/A,FALSE,"Hoja1";#N/A,#N/A,FALSE,"Hoja2"}</definedName>
    <definedName name="on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i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OO" hidden="1">#REF!</definedName>
    <definedName name="oooojk" hidden="1">{"det (May)",#N/A,FALSE,"June";"sum (MAY YTD)",#N/A,FALSE,"June YTD"}</definedName>
    <definedName name="ooooooo" hidden="1">{"det (May)",#N/A,FALSE,"June";"sum (MAY YTD)",#N/A,FALSE,"June YTD"}</definedName>
    <definedName name="oooooooo" hidden="1">{"det (May)",#N/A,FALSE,"June";"sum (MAY YTD)",#N/A,FALSE,"June YTD"}</definedName>
    <definedName name="oooooooooooooo" hidden="1">{"det (May)",#N/A,FALSE,"June";"sum (MAY YTD)",#N/A,FALSE,"June YTD"}</definedName>
    <definedName name="ooooooooooooooooooo" hidden="1">{"det (May)",#N/A,FALSE,"June";"sum (MAY YTD)",#N/A,FALSE,"June YTD"}</definedName>
    <definedName name="ooooooooooooooooooooooooooo" hidden="1">{"det (May)",#N/A,FALSE,"June";"sum (MAY YTD)",#N/A,FALSE,"June YTD"}</definedName>
    <definedName name="op" hidden="1">{#N/A,#N/A,FALSE,"RGD$";#N/A,#N/A,FALSE,"BG$";#N/A,#N/A,FALSE,"FC$"}</definedName>
    <definedName name="opo" hidden="1">{#N/A,#N/A,FALSE,"지침";#N/A,#N/A,FALSE,"환경분석";#N/A,#N/A,FALSE,"Sheet16"}</definedName>
    <definedName name="Orçamento" hidden="1">{#N/A,#N/A,FALSE,"TOTAL"}</definedName>
    <definedName name="ox" hidden="1">{"det (May)",#N/A,FALSE,"June";"sum (MAY YTD)",#N/A,FALSE,"June YTD"}</definedName>
    <definedName name="oytrfg" hidden="1">{"det (May)",#N/A,FALSE,"June";"sum (MAY YTD)",#N/A,FALSE,"June YTD"}</definedName>
    <definedName name="Pareto_acumul" hidden="1">{#N/A,#N/A,FALSE,"RELATÓRIO";#N/A,#N/A,FALSE,"RELATÓRIO"}</definedName>
    <definedName name="Pareto2" hidden="1">{"'171'!$A$1:$Z$50"}</definedName>
    <definedName name="Planejamento" hidden="1">{"'171'!$A$1:$Z$50"}</definedName>
    <definedName name="Planilha2" hidden="1">{#N/A,#N/A,FALSE,"RELATÓRIO";#N/A,#N/A,FALSE,"RELATÓRIO"}</definedName>
    <definedName name="Plano_3G" hidden="1">{"'171'!$A$1:$Z$50"}</definedName>
    <definedName name="playboy" hidden="1">{#N/A,#N/A,FALSE,"RGD$";#N/A,#N/A,FALSE,"BG$";#N/A,#N/A,FALSE,"FC$"}</definedName>
    <definedName name="plep" hidden="1">{#N/A,#N/A,FALSE,"TOTAL"}</definedName>
    <definedName name="POA" hidden="1">{"det (May)",#N/A,FALSE,"June";"sum (MAY YTD)",#N/A,FALSE,"June YTD"}</definedName>
    <definedName name="polkñ" hidden="1">{"CAP VOL",#N/A,FALSE,"CAPITAL";"CAP VAR",#N/A,FALSE,"CAPITAL";"CAP FIJ",#N/A,FALSE,"CAPITAL";"CAP CONS",#N/A,FALSE,"CAPITAL";"CAP DATA",#N/A,FALSE,"CAPITAL"}</definedName>
    <definedName name="poo" hidden="1">{"det (May)",#N/A,FALSE,"June";"sum (MAY YTD)",#N/A,FALSE,"June YTD"}</definedName>
    <definedName name="pp" hidden="1">{"det (May)",#N/A,FALSE,"June";"sum (MAY YTD)",#N/A,FALSE,"June YTD"}</definedName>
    <definedName name="ppp" hidden="1">{"det (May)",#N/A,FALSE,"June";"sum (MAY YTD)",#N/A,FALSE,"June YTD"}</definedName>
    <definedName name="pppppki" hidden="1">{"det (May)",#N/A,FALSE,"June";"sum (MAY YTD)",#N/A,FALSE,"June YTD"}</definedName>
    <definedName name="pppppppppp" hidden="1">{"det (May)",#N/A,FALSE,"June";"sum (MAY YTD)",#N/A,FALSE,"June YTD"}</definedName>
    <definedName name="ppppppppppl" hidden="1">{"det (May)",#N/A,FALSE,"June";"sum (MAY YTD)",#N/A,FALSE,"June YTD"}</definedName>
    <definedName name="pqs" hidden="1">{"'171'!$A$1:$Z$50"}</definedName>
    <definedName name="premi" hidden="1">{"prem1",#N/A,FALSE,"Consolidado";"pl_us",#N/A,FALSE,"Consolidado";"pl_hl",#N/A,FALSE,"Consolidado";"bs",#N/A,FALSE,"Consolidado";"cf",#N/A,FALSE,"Consolidado"}</definedName>
    <definedName name="premisas" hidden="1">{"prem1",#N/A,FALSE,"Consolidado";"pl_us",#N/A,FALSE,"Consolidado";"pl_hl",#N/A,FALSE,"Consolidado";"bs",#N/A,FALSE,"Consolidado";"cf",#N/A,FALSE,"Consolidado"}</definedName>
    <definedName name="Presenças" hidden="1">{"'171'!$A$1:$Z$50"}</definedName>
    <definedName name="PRO" hidden="1">{"det (May)",#N/A,FALSE,"June";"sum (MAY YTD)",#N/A,FALSE,"June YTD"}</definedName>
    <definedName name="Projetos" hidden="1">{#N/A,#N/A,FALSE,"ROTINA";#N/A,#N/A,FALSE,"ITENS";#N/A,#N/A,FALSE,"ACOMP"}</definedName>
    <definedName name="Projetos1" hidden="1">{#N/A,#N/A,FALSE,"ROTINA";#N/A,#N/A,FALSE,"ITENS";#N/A,#N/A,FALSE,"ACOMP"}</definedName>
    <definedName name="PX" hidden="1">{#N/A,#N/A,FALSE,"RELATÓRIO";#N/A,#N/A,FALSE,"RELATÓRIO"}</definedName>
    <definedName name="qa" hidden="1">{#N/A,#N/A,FALSE,"RELATÓRIO";#N/A,#N/A,FALSE,"RELATÓRIO"}</definedName>
    <definedName name="qawqw" hidden="1">{"CAP VOL",#N/A,FALSE,"CAPITAL";"CAP VAR",#N/A,FALSE,"CAPITAL";"CAP FIJ",#N/A,FALSE,"CAPITAL";"CAP CONS",#N/A,FALSE,"CAPITAL";"CAP DATA",#N/A,FALSE,"CAPITAL"}</definedName>
    <definedName name="qq" hidden="1">{"'Farol'!$A$1:$AC$49"}</definedName>
    <definedName name="qqq" hidden="1">{"'Farol'!$A$1:$AC$49"}</definedName>
    <definedName name="qqqq" hidden="1">#REF!</definedName>
    <definedName name="qqqqa" hidden="1">{"det (May)",#N/A,FALSE,"June";"sum (MAY YTD)",#N/A,FALSE,"June YTD"}</definedName>
    <definedName name="qqqqq" hidden="1">{#N/A,#N/A,FALSE,"RELATÓRIO";#N/A,#N/A,FALSE,"RELATÓRIO"}</definedName>
    <definedName name="qqqqqq" hidden="1">{"det (May)",#N/A,FALSE,"June";"sum (MAY YTD)",#N/A,FALSE,"June YTD"}</definedName>
    <definedName name="qqqqqqqqqqqqq" hidden="1">{"det (May)",#N/A,FALSE,"June";"sum (MAY YTD)",#N/A,FALSE,"June YTD"}</definedName>
    <definedName name="qqs" hidden="1">{"det (May)",#N/A,FALSE,"June";"sum (MAY YTD)",#N/A,FALSE,"June YTD"}</definedName>
    <definedName name="Qualidade_050106" hidden="1">{#N/A,#N/A,FALSE,"RELATÓRIO";#N/A,#N/A,FALSE,"RELATÓRIO"}</definedName>
    <definedName name="qw" hidden="1">{#N/A,#N/A,FALSE,"??";#N/A,#N/A,FALSE,"????";#N/A,#N/A,FALSE,"Sheet16"}</definedName>
    <definedName name="qwe" hidden="1">{#N/A,#N/A,FALSE,"Hoja1";#N/A,#N/A,FALSE,"Hoja2"}</definedName>
    <definedName name="RAT" hidden="1">{"'171'!$A$1:$Z$50"}</definedName>
    <definedName name="rddf" hidden="1">{"det (May)",#N/A,FALSE,"June";"sum (MAY YTD)",#N/A,FALSE,"June YTD"}</definedName>
    <definedName name="rdedf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ed" hidden="1">{#N/A,#N/A,FALSE,"Hoja1";#N/A,#N/A,FALSE,"Hoja2"}</definedName>
    <definedName name="redfre" hidden="1">{"det (May)",#N/A,FALSE,"June";"sum (MAY YTD)",#N/A,FALSE,"June YTD"}</definedName>
    <definedName name="reducao" hidden="1">{"'171'!$A$1:$Z$50"}</definedName>
    <definedName name="reducao2" hidden="1">{"'171'!$A$1:$Z$50"}</definedName>
    <definedName name="reer" hidden="1">{"Cons_Occ_Lar",#N/A,FALSE,"márgenes";"Cen_met",#N/A,FALSE,"márgenes";"Ori_pl",#N/A,FALSE,"márgenes"}</definedName>
    <definedName name="reffaf" hidden="1">{"det (May)",#N/A,FALSE,"June";"sum (MAY YTD)",#N/A,FALSE,"June YTD"}</definedName>
    <definedName name="regqsxgc" hidden="1">{"det (May)",#N/A,FALSE,"June";"sum (MAY YTD)",#N/A,FALSE,"June YTD"}</definedName>
    <definedName name="regrgf" hidden="1">{"det (May)",#N/A,FALSE,"June";"sum (MAY YTD)",#N/A,FALSE,"June YTD"}</definedName>
    <definedName name="rehyh" hidden="1">{"det (May)",#N/A,FALSE,"June";"sum (MAY YTD)",#N/A,FALSE,"June YTD"}</definedName>
    <definedName name="Relat" hidden="1">#REF!</definedName>
    <definedName name="rerd" hidden="1">{"det (May)",#N/A,FALSE,"June";"sum (MAY YTD)",#N/A,FALSE,"June YTD"}</definedName>
    <definedName name="rere" hidden="1">{"det (May)",#N/A,FALSE,"June";"sum (MAY YTD)",#N/A,FALSE,"June YTD"}</definedName>
    <definedName name="rerere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ewrwe" hidden="1">{"CAP VOL",#N/A,FALSE,"CAPITAL";"CAP VAR",#N/A,FALSE,"CAPITAL";"CAP FIJ",#N/A,FALSE,"CAPITAL";"CAP CONS",#N/A,FALSE,"CAPITAL";"CAP DATA",#N/A,FALSE,"CAPITAL"}</definedName>
    <definedName name="rewwrwr" hidden="1">{#N/A,"Carabeer",FALSE,"Dscto.";#N/A,"Disbracentro",FALSE,"Dscto.";#N/A,"Río Beer",FALSE,"Dscto.";#N/A,"Andes",FALSE,"Dscto."}</definedName>
    <definedName name="rfaw" hidden="1">{"'171'!$A$1:$Z$50"}</definedName>
    <definedName name="rffddd" hidden="1">{"det (May)",#N/A,FALSE,"June";"sum (MAY YTD)",#N/A,FALSE,"June YTD"}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rerrf" hidden="1">{"det (May)",#N/A,FALSE,"June";"sum (MAY YTD)",#N/A,FALSE,"June YTD"}</definedName>
    <definedName name="rfrffz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rfrfe" hidden="1">{"det (May)",#N/A,FALSE,"June";"sum (MAY YTD)",#N/A,FALSE,"June YTD"}</definedName>
    <definedName name="rfzgg" hidden="1">{"det (May)",#N/A,FALSE,"June";"sum (MAY YTD)",#N/A,FALSE,"June YTD"}</definedName>
    <definedName name="rgbbbbbbbbbbbbbb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gbbbbbbbbbbbbbbbbb" hidden="1">{"det (May)",#N/A,FALSE,"June";"sum (MAY YTD)",#N/A,FALSE,"June YTD"}</definedName>
    <definedName name="rhe" hidden="1">{"det (May)",#N/A,FALSE,"June";"sum (MAY YTD)",#N/A,FALSE,"June YTD"}</definedName>
    <definedName name="rhhd" hidden="1">{"det (May)",#N/A,FALSE,"June";"sum (MAY YTD)",#N/A,FALSE,"June YTD"}</definedName>
    <definedName name="rieifr" hidden="1">{"det (May)",#N/A,FALSE,"June";"sum (MAY YTD)",#N/A,FALSE,"June YTD"}</definedName>
    <definedName name="rieis" hidden="1">{"det (May)",#N/A,FALSE,"June";"sum (MAY YTD)",#N/A,FALSE,"June YTD"}</definedName>
    <definedName name="riso" hidden="1">{"'171'!$A$1:$Z$50"}</definedName>
    <definedName name="roic" hidden="1">{#N/A,#N/A,FALSE,"model"}</definedName>
    <definedName name="rrewerew" hidden="1">{"'Farol'!$A$1:$AC$49"}</definedName>
    <definedName name="rrrrrfrfe" hidden="1">{"det (May)",#N/A,FALSE,"June";"sum (MAY YTD)",#N/A,FALSE,"June YTD"}</definedName>
    <definedName name="rrrrrr" hidden="1">{"det (May)",#N/A,FALSE,"June";"sum (MAY YTD)",#N/A,FALSE,"June YTD"}</definedName>
    <definedName name="rrrrrrrrrf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rrrrrrrrrrfrf" hidden="1">{"det (May)",#N/A,FALSE,"June";"sum (MAY YTD)",#N/A,FALSE,"June YTD"}</definedName>
    <definedName name="rrrrrrrrrrrr" hidden="1">{#N/A,#N/A,FALSE,"CONTEO";#N/A,#N/A,FALSE,"INSUMOS";#N/A,#N/A,FALSE,"STOCK";#N/A,#N/A,FALSE,"MOVIMIENTOS";#N/A,#N/A,FALSE,"Mov.Ins.L.L.";#N/A,#N/A,FALSE,"Conteo1";#N/A,#N/A,FALSE,"Conteo2";#N/A,#N/A,FALSE,"Promo ";#N/A,#N/A,FALSE,"Conteo Insumos"}</definedName>
    <definedName name="rrrrrrrrrrrrr" hidden="1">{"det (May)",#N/A,FALSE,"June";"sum (MAY YTD)",#N/A,FALSE,"June YTD"}</definedName>
    <definedName name="rrrrrrrrrrrrrr" hidden="1">{"det (May)",#N/A,FALSE,"June";"sum (MAY YTD)",#N/A,FALSE,"June YTD"}</definedName>
    <definedName name="rrrrrrrrrrrrrrrrrrrrr" hidden="1">{"det (May)",#N/A,FALSE,"June";"sum (MAY YTD)",#N/A,FALSE,"June YTD"}</definedName>
    <definedName name="rrrrrrrrrrrrrrrrrrrrrrrr" hidden="1">{"det (May)",#N/A,FALSE,"June";"sum (MAY YTD)",#N/A,FALSE,"June YTD"}</definedName>
    <definedName name="rrrrrrrrrrrrrrrrrrrrrrrrrrrrrrrrrrr" hidden="1">{"det (May)",#N/A,FALSE,"June";"sum (MAY YTD)",#N/A,FALSE,"June YTD"}</definedName>
    <definedName name="Russo" hidden="1">{"'171'!$A$1:$Z$50"}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hidden="1">{"det (May)",#N/A,FALSE,"June";"sum (MAY YTD)",#N/A,FALSE,"June YTD"}</definedName>
    <definedName name="rzty" hidden="1">{"det (May)",#N/A,FALSE,"June";"sum (MAY YTD)",#N/A,FALSE,"June YTD"}</definedName>
    <definedName name="s" hidden="1">#REF!</definedName>
    <definedName name="SA" hidden="1">#REF!</definedName>
    <definedName name="sadasd" hidden="1">{#N/A,#N/A,FALSE,"??";#N/A,#N/A,FALSE,"????";#N/A,#N/A,FALSE,"Sheet16"}</definedName>
    <definedName name="safaf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idas" hidden="1">#REF!</definedName>
    <definedName name="samo" hidden="1">#REF!</definedName>
    <definedName name="santiago" hidden="1">{"'cua 42'!$A$1:$O$40"}</definedName>
    <definedName name="SAPBEXdnldView" hidden="1">"45AN0M0XM3X75HWY9J016QH9W"</definedName>
    <definedName name="SAPBEXsysID" hidden="1">"GWP"</definedName>
    <definedName name="SAPFuncF4Help" localSheetId="1" hidden="1">Maintenance()</definedName>
    <definedName name="SAPFuncF4Help" localSheetId="0" hidden="1">Maintenance()</definedName>
    <definedName name="SAPFuncF4Help" hidden="1">Maintenance()</definedName>
    <definedName name="sasa" hidden="1">{"Real",#N/A,FALSE,"CONSOLIDADO";"Real",#N/A,FALSE,"OCCIDENTE";"Real",#N/A,FALSE,"LARA";"Real",#N/A,FALSE,"CENTRO";"Real",#N/A,FALSE,"METROPOLITANA";"Real",#N/A,FALSE,"ORIENTE";"Real",#N/A,FALSE,"Pto.libre"}</definedName>
    <definedName name="sasas" hidden="1">{"prem1",#N/A,FALSE,"Consolidado";"pl_us",#N/A,FALSE,"Consolidado";"pl_hl",#N/A,FALSE,"Consolidado";"bs",#N/A,FALSE,"Consolidado";"cf",#N/A,FALSE,"Consolidado"}</definedName>
    <definedName name="savings" hidden="1">{#N/A,#N/A,FALSE,"지침";#N/A,#N/A,FALSE,"환경분석";#N/A,#N/A,FALSE,"Sheet16"}</definedName>
    <definedName name="Scaba" hidden="1">{#N/A,#N/A,FALSE,"지침";#N/A,#N/A,FALSE,"환경분석";#N/A,#N/A,FALSE,"Sheet16"}</definedName>
    <definedName name="sddx" hidden="1">{"prem1",#N/A,FALSE,"Consolidado";"pl_us",#N/A,FALSE,"Consolidado";"pl_hl",#N/A,FALSE,"Consolidado";"bs",#N/A,FALSE,"Consolidado";"cf",#N/A,FALSE,"Consolidado"}</definedName>
    <definedName name="sde" hidden="1">{"'171'!$A$1:$Z$50"}</definedName>
    <definedName name="sdfg" hidden="1">{#N/A,#N/A,FALSE,"Aging Summary";#N/A,#N/A,FALSE,"Ratio Analysis";#N/A,#N/A,FALSE,"Test 120 Day Accts";#N/A,#N/A,FALSE,"Tickmarks"}</definedName>
    <definedName name="sdfhgncv" hidden="1">{"det (May)",#N/A,FALSE,"June";"sum (MAY YTD)",#N/A,FALSE,"June YTD"}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sdf" hidden="1">{#N/A,#N/A,FALSE,"ROTINA";#N/A,#N/A,FALSE,"ITENS";#N/A,#N/A,FALSE,"ACOMP"}</definedName>
    <definedName name="sdg" hidden="1">{#N/A,#N/A,FALSE,"지침";#N/A,#N/A,FALSE,"환경분석";#N/A,#N/A,FALSE,"Sheet16"}</definedName>
    <definedName name="sdn" hidden="1">{#N/A,#N/A,FALSE,"Hoja1";#N/A,#N/A,FALSE,"Hoja2"}</definedName>
    <definedName name="SDS" hidden="1">{"Cons_Occ_Lar",#N/A,FALSE,"márgenes";"Cen_met",#N/A,FALSE,"márgenes";"Ori_pl",#N/A,FALSE,"márgenes"}</definedName>
    <definedName name="SDSD" hidden="1">{"Cons_Occ_Lar",#N/A,FALSE,"márgenes";"Cen_met",#N/A,FALSE,"márgenes";"Ori_pl",#N/A,FALSE,"márgenes"}</definedName>
    <definedName name="SDSDSLKLKLKL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vcsdvcsdvsadvasdfgvarfbvdsfvbdsa" hidden="1">{#N/A,#N/A,FALSE,"지침";#N/A,#N/A,FALSE,"환경분석";#N/A,#N/A,FALSE,"Sheet16"}</definedName>
    <definedName name="se" hidden="1">{"CAP VOL",#N/A,FALSE,"CAPITAL";"CAP VAR",#N/A,FALSE,"CAPITAL";"CAP FIJ",#N/A,FALSE,"CAPITAL";"CAP CONS",#N/A,FALSE,"CAPITAL";"CAP DATA",#N/A,FALSE,"CAPITAL"}</definedName>
    <definedName name="sencount" hidden="1">1</definedName>
    <definedName name="Sensorial" hidden="1">{#N/A,#N/A,FALSE,"RELATÓRIO";#N/A,#N/A,FALSE,"RELATÓRIO"}</definedName>
    <definedName name="serey" hidden="1">{#N/A,#N/A,FALSE,"TOTAL"}</definedName>
    <definedName name="sertes" hidden="1">{"'cua 42'!$A$1:$O$40"}</definedName>
    <definedName name="ses" hidden="1">{"RESUMEN",#N/A,FALSE,"RESUMEN";"RESUMEN_MARG",#N/A,FALSE,"RESUMEN"}</definedName>
    <definedName name="sfd" hidden="1">{#N/A,#N/A,FALSE,"Hoja1";#N/A,#N/A,FALSE,"Hoja2"}</definedName>
    <definedName name="sffgf" hidden="1">{"det (May)",#N/A,FALSE,"June";"sum (MAY YTD)",#N/A,FALSE,"June YTD"}</definedName>
    <definedName name="sfg" hidden="1">#REF!</definedName>
    <definedName name="sfghd" hidden="1">{"det (May)",#N/A,FALSE,"June";"sum (MAY YTD)",#N/A,FALSE,"June YTD"}</definedName>
    <definedName name="sfghsth" hidden="1">{#N/A,#N/A,FALSE,"CONTEO";#N/A,#N/A,FALSE,"INSUMOS";#N/A,#N/A,FALSE,"STOCK";#N/A,#N/A,FALSE,"MOVIMIENTOS";#N/A,#N/A,FALSE,"Mov.Ins.L.L.";#N/A,#N/A,FALSE,"Conteo1";#N/A,#N/A,FALSE,"Conteo2";#N/A,#N/A,FALSE,"Promo ";#N/A,#N/A,FALSE,"Conteo Insumos"}</definedName>
    <definedName name="sh" hidden="1">{#N/A,#N/A,FALSE,"TOTAL"}</definedName>
    <definedName name="sheet1" hidden="1">{#N/A,#N/A,FALSE,"지침";#N/A,#N/A,FALSE,"환경분석";#N/A,#N/A,FALSE,"Sheet16"}</definedName>
    <definedName name="Sheet5bvhjvgkghk" hidden="1">{"det (May)",#N/A,FALSE,"June";"sum (MAY YTD)",#N/A,FALSE,"June YTD"}</definedName>
    <definedName name="shit" hidden="1">{"'cua 42'!$A$1:$O$40"}</definedName>
    <definedName name="sici" hidden="1">{"det (May)",#N/A,FALSE,"June";"sum (MAY YTD)",#N/A,FALSE,"June YTD"}</definedName>
    <definedName name="SIPO" hidden="1">{"CAP VOL",#N/A,FALSE,"CAPITAL";"CAP VAR",#N/A,FALSE,"CAPITAL";"CAP FIJ",#N/A,FALSE,"CAPITAL";"CAP CONS",#N/A,FALSE,"CAPITAL";"CAP DATA",#N/A,FALSE,"CAPITAL"}</definedName>
    <definedName name="SJJJD" hidden="1">{"RESUMEN",#N/A,FALSE,"RESUMEN";"RESUMEN_MARG",#N/A,FALSE,"RESUMEN"}</definedName>
    <definedName name="sk" hidden="1">{"Cons_Occ_Lar",#N/A,FALSE,"márgenes";"Cen_met",#N/A,FALSE,"márgenes";"Ori_pl",#N/A,FALSE,"márgenes"}</definedName>
    <definedName name="skksk" hidden="1">{"RESUMEN",#N/A,FALSE,"RESUMEN";"RESUMEN_MARG",#N/A,FALSE,"RESUMEN"}</definedName>
    <definedName name="SKLKD" hidden="1">{#N/A,#N/A,FALSE,"RGD$";#N/A,#N/A,FALSE,"BG$";#N/A,#N/A,FALSE,"FC$"}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sa" hidden="1">{#N/A,#N/A,FALSE,"PRECIO FULL";#N/A,#N/A,FALSE,"LARA";#N/A,#N/A,FALSE,"CARACAS";#N/A,#N/A,FALSE,"DISBRACENTRO";#N/A,#N/A,FALSE,"ANDES";#N/A,#N/A,FALSE,"MAR CARIBE";#N/A,#N/A,FALSE,"RIO BEER";#N/A,#N/A,FALSE,"DISBRAH"}</definedName>
    <definedName name="SÑ" hidden="1">{"Cons_Occ_Lar",#N/A,FALSE,"márgenes";"Cen_met",#N/A,FALSE,"márgenes";"Ori_pl",#N/A,FALSE,"márgenes"}</definedName>
    <definedName name="so" hidden="1">{#N/A,#N/A,FALSE,"지침";#N/A,#N/A,FALSE,"환경분석";#N/A,#N/A,FALSE,"Sheet16"}</definedName>
    <definedName name="Soda" hidden="1">{"'171'!$A$1:$Z$50"}</definedName>
    <definedName name="Soft" hidden="1">{"det (May)",#N/A,FALSE,"June";"sum (MAY YTD)",#N/A,FALSE,"June YTD"}</definedName>
    <definedName name="softx" hidden="1">{"det (May)",#N/A,FALSE,"June";"sum (MAY YTD)",#N/A,FALSE,"June YTD"}</definedName>
    <definedName name="sq." hidden="1">{"CAP VOL",#N/A,FALSE,"CAPITAL";"CAP VAR",#N/A,FALSE,"CAPITAL";"CAP FIJ",#N/A,FALSE,"CAPITAL";"CAP CONS",#N/A,FALSE,"CAPITAL";"CAP DATA",#N/A,FALSE,"CAPITAL"}</definedName>
    <definedName name="ss" hidden="1">{"'RR'!$A$2:$E$81"}</definedName>
    <definedName name="ss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sdzs" hidden="1">{"det (May)",#N/A,FALSE,"June";"sum (MAY YTD)",#N/A,FALSE,"June YTD"}</definedName>
    <definedName name="SSEDF" hidden="1">{"CAP VOL",#N/A,FALSE,"CAPITAL";"CAP VAR",#N/A,FALSE,"CAPITAL";"CAP FIJ",#N/A,FALSE,"CAPITAL";"CAP CONS",#N/A,FALSE,"CAPITAL";"CAP DATA",#N/A,FALSE,"CAPITAL"}</definedName>
    <definedName name="SSKKKD" hidden="1">{#N/A,#N/A,FALSE,"PRECIO FULL";#N/A,#N/A,FALSE,"LARA";#N/A,#N/A,FALSE,"CARACAS";#N/A,#N/A,FALSE,"DISBRACENTRO";#N/A,#N/A,FALSE,"ANDES";#N/A,#N/A,FALSE,"MAR CARIBE";#N/A,#N/A,FALSE,"RIO BEER";#N/A,#N/A,FALSE,"DISBRAH"}</definedName>
    <definedName name="ssl" hidden="1">{#N/A,#N/A,FALSE,"RGD$";#N/A,#N/A,FALSE,"BG$";#N/A,#N/A,FALSE,"FC$"}</definedName>
    <definedName name="sss" hidden="1">{"'RR'!$A$2:$E$81"}</definedName>
    <definedName name="SSSDEER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JJD" hidden="1">{"Real",#N/A,FALSE,"CONSOLIDADO";"Real",#N/A,FALSE,"OCCIDENTE";"Real",#N/A,FALSE,"LARA";"Real",#N/A,FALSE,"CENTRO";"Real",#N/A,FALSE,"METROPOLITANA";"Real",#N/A,FALSE,"ORIENTE";"Real",#N/A,FALSE,"Pto.libre"}</definedName>
    <definedName name="ssss" hidden="1">#REF!</definedName>
    <definedName name="SSSSS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ssds" hidden="1">{"det (May)",#N/A,FALSE,"June";"sum (MAY YTD)",#N/A,FALSE,"June YTD"}</definedName>
    <definedName name="ssssss" hidden="1">{"'tasa de salida'!$A$1:$G$48"}</definedName>
    <definedName name="ssssssss" hidden="1">{#N/A,"Carabeer",FALSE,"Dscto.";#N/A,"Disbracentro",FALSE,"Dscto.";#N/A,"Río Beer",FALSE,"Dscto.";#N/A,"Andes",FALSE,"Dscto."}</definedName>
    <definedName name="SSSSSSSSSSSSSSS" hidden="1">{"'171'!$A$1:$Z$50"}</definedName>
    <definedName name="sszz" hidden="1">{"det (May)",#N/A,FALSE,"June";"sum (MAY YTD)",#N/A,FALSE,"June YTD"}</definedName>
    <definedName name="stella" hidden="1">{"det (May)",#N/A,FALSE,"June";"sum (MAY YTD)",#N/A,FALSE,"June YTD"}</definedName>
    <definedName name="stellax" hidden="1">{"det (May)",#N/A,FALSE,"June";"sum (MAY YTD)",#N/A,FALSE,"June YTD"}</definedName>
    <definedName name="SWOT" hidden="1">{#N/A,#N/A,FALSE,"ROTINA";#N/A,#N/A,FALSE,"ITENS";#N/A,#N/A,FALSE,"ACOMP"}</definedName>
    <definedName name="SWOT1" hidden="1">{#N/A,#N/A,FALSE,"ROTINA";#N/A,#N/A,FALSE,"ITENS";#N/A,#N/A,FALSE,"ACOMP"}</definedName>
    <definedName name="sws" hidden="1">{#N/A,#N/A,FALSE,"Hoja1";#N/A,#N/A,FALSE,"Hoja2"}</definedName>
    <definedName name="sxs" hidden="1">{"det (May)",#N/A,FALSE,"June";"sum (MAY YTD)",#N/A,FALSE,"June YTD"}</definedName>
    <definedName name="sxsad" hidden="1">{#N/A,#N/A,FALSE,"Hoja1";#N/A,#N/A,FALSE,"Hoja2"}</definedName>
    <definedName name="t" hidden="1">#REF!</definedName>
    <definedName name="tabla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emp" hidden="1">{"'171'!$A$1:$Z$50"}</definedName>
    <definedName name="Tend" hidden="1">{"'Farol'!$A$1:$AC$49"}</definedName>
    <definedName name="Tend1" hidden="1">{#N/A,#N/A,FALSE,"ROTINA";#N/A,#N/A,FALSE,"ITENS";#N/A,#N/A,FALSE,"ACOMP"}</definedName>
    <definedName name="test" hidden="1">{#N/A,#N/A,FALSE,"ROTINA";#N/A,#N/A,FALSE,"ITENS";#N/A,#N/A,FALSE,"ACOMP"}</definedName>
    <definedName name="teste" hidden="1">{#N/A,#N/A,FALSE,"ROTINA";#N/A,#N/A,FALSE,"ITENS";#N/A,#N/A,FALSE,"ACOMP"}</definedName>
    <definedName name="teste100" hidden="1">{#N/A,#N/A,FALSE,"ROTINA";#N/A,#N/A,FALSE,"ITENS";#N/A,#N/A,FALSE,"ACOMP"}</definedName>
    <definedName name="Teste2" hidden="1">{#N/A,#N/A,FALSE,"ROTINA";#N/A,#N/A,FALSE,"ITENS";#N/A,#N/A,FALSE,"ACOMP"}</definedName>
    <definedName name="teste200" hidden="1">{#N/A,#N/A,FALSE,"ROTINA";#N/A,#N/A,FALSE,"ITENS";#N/A,#N/A,FALSE,"ACOMP"}</definedName>
    <definedName name="testes" hidden="1">{#N/A,#N/A,FALSE,"ROTINA";#N/A,#N/A,FALSE,"ITENS";#N/A,#N/A,FALSE,"ACOMP"}</definedName>
    <definedName name="thi" hidden="1">{#N/A,#N/A,FALSE,"ROTINA";#N/A,#N/A,FALSE,"ITENS";#N/A,#N/A,FALSE,"ACOMP"}</definedName>
    <definedName name="thrt" hidden="1">#REF!</definedName>
    <definedName name="Tor" hidden="1">#REF!</definedName>
    <definedName name="trfgfd" hidden="1">{#N/A,#N/A,FALSE,"FIN AÑO"}</definedName>
    <definedName name="trrr" hidden="1">{"prem1",#N/A,FALSE,"Consolidado";"pl_us",#N/A,FALSE,"Consolidado";"pl_hl",#N/A,FALSE,"Consolidado";"bs",#N/A,FALSE,"Consolidado";"cf",#N/A,FALSE,"Consolidado"}</definedName>
    <definedName name="tryuuuuuuuuuuu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t" hidden="1">{"det (May)",#N/A,FALSE,"June";"sum (MAY YTD)",#N/A,FALSE,"June YTD"}</definedName>
    <definedName name="ttt" hidden="1">{#N/A,#N/A,FALSE,"RELATÓRIO";#N/A,#N/A,FALSE,"RELATÓRIO"}</definedName>
    <definedName name="ttt." hidden="1">{#N/A,#N/A,FALSE,"RELATÓRIO";#N/A,#N/A,FALSE,"RELATÓRIO"}</definedName>
    <definedName name="ttt.." hidden="1">{#N/A,#N/A,FALSE,"RELATÓRIO";#N/A,#N/A,FALSE,"RELATÓRIO"}</definedName>
    <definedName name="tttt" hidden="1">{#N/A,#N/A,FALSE,"RELATÓRIO";#N/A,#N/A,FALSE,"RELATÓRIO"}</definedName>
    <definedName name="ttttt" hidden="1">{#N/A,#N/A,FALSE,"지침";#N/A,#N/A,FALSE,"환경분석";#N/A,#N/A,FALSE,"Sheet16"}</definedName>
    <definedName name="ttttttttttttttt" hidden="1">{0,#N/A,FALSE,0;0,#N/A,FALSE,0}</definedName>
    <definedName name="tuytju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tyjuthdr" hidden="1">{"det (May)",#N/A,FALSE,"June";"sum (MAY YTD)",#N/A,FALSE,"June YTD"}</definedName>
    <definedName name="tykyukr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rez" hidden="1">{"det (May)",#N/A,FALSE,"June";"sum (MAY YTD)",#N/A,FALSE,"June YTD"}</definedName>
    <definedName name="tyurt" hidden="1">{"'cua 42'!$A$1:$O$40"}</definedName>
    <definedName name="tyuyu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yhgf" hidden="1">{"det (May)",#N/A,FALSE,"June";"sum (MAY YTD)",#N/A,FALSE,"June YTD"}</definedName>
    <definedName name="u" hidden="1">{"det (May)",#N/A,FALSE,"June";"sum (MAY YTD)",#N/A,FALSE,"June YTD"}</definedName>
    <definedName name="uigtyui" hidden="1">{"det (May)",#N/A,FALSE,"June";"sum (MAY YTD)",#N/A,FALSE,"June YTD"}</definedName>
    <definedName name="uii" hidden="1">{#N/A,#N/A,FALSE,"RELATÓRIO";#N/A,#N/A,FALSE,"RELATÓRIO"}</definedName>
    <definedName name="uiiiiiiiiiiiiiii" hidden="1">{"det (May)",#N/A,FALSE,"June";"sum (MAY YTD)",#N/A,FALSE,"June YTD"}</definedName>
    <definedName name="uikgjghgdf" hidden="1">{"det (May)",#N/A,FALSE,"June";"sum (MAY YTD)",#N/A,FALSE,"June YTD"}</definedName>
    <definedName name="uioi" hidden="1">{"'171'!$A$1:$Z$50"}</definedName>
    <definedName name="uiuiiiiii" hidden="1">{"det (May)",#N/A,FALSE,"June";"sum (MAY YTD)",#N/A,FALSE,"June YTD"}</definedName>
    <definedName name="ujh" hidden="1">{"det (May)",#N/A,FALSE,"June";"sum (MAY YTD)",#N/A,FALSE,"June YTD"}</definedName>
    <definedName name="ut" hidden="1">{"det (May)",#N/A,FALSE,"June";"sum (MAY YTD)",#N/A,FALSE,"June YTD"}</definedName>
    <definedName name="utyuuyyujuj" hidden="1">{"det (May)",#N/A,FALSE,"June";"sum (MAY YTD)",#N/A,FALSE,"June YTD"}</definedName>
    <definedName name="uu" hidden="1">{"det (May)",#N/A,FALSE,"June";"sum (MAY YTD)",#N/A,FALSE,"June YTD"}</definedName>
    <definedName name="uua" hidden="1">{#N/A,#N/A,FALSE,"RELATÓRIO";#N/A,#N/A,FALSE,"RELATÓRIO"}</definedName>
    <definedName name="uuu" hidden="1">{#N/A,#N/A,FALSE,"RELATÓRIO";#N/A,#N/A,FALSE,"RELATÓRIO"}</definedName>
    <definedName name="uuu." hidden="1">{#N/A,#N/A,FALSE,"RELATÓRIO";#N/A,#N/A,FALSE,"RELATÓRIO"}</definedName>
    <definedName name="uuu.." hidden="1">{#N/A,#N/A,FALSE,"RELATÓRIO";#N/A,#N/A,FALSE,"RELATÓRIO"}</definedName>
    <definedName name="uuuu" hidden="1">{"det (May)",#N/A,FALSE,"June";"sum (MAY YTD)",#N/A,FALSE,"June YTD"}</definedName>
    <definedName name="uuuuu" hidden="1">{"det (May)",#N/A,FALSE,"June";"sum (MAY YTD)",#N/A,FALSE,"June YTD"}</definedName>
    <definedName name="uuuuuuuu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uuuuuuuuhg" hidden="1">{"det (May)",#N/A,FALSE,"June";"sum (MAY YTD)",#N/A,FALSE,"June YTD"}</definedName>
    <definedName name="uuuuuuuuuuuu" hidden="1">{"det (May)",#N/A,FALSE,"June";"sum (MAY YTD)",#N/A,FALSE,"June YTD"}</definedName>
    <definedName name="uuuuuuuuuuuuuui" hidden="1">{"det (May)",#N/A,FALSE,"June";"sum (MAY YTD)",#N/A,FALSE,"June YTD"}</definedName>
    <definedName name="uuuuuuuuuuuuuuuu" hidden="1">{"det (May)",#N/A,FALSE,"June";"sum (MAY YTD)",#N/A,FALSE,"June YTD"}</definedName>
    <definedName name="uuuuuuuuuuuuuuy" hidden="1">{"det (May)",#N/A,FALSE,"June";"sum (MAY YTD)",#N/A,FALSE,"June YTD"}</definedName>
    <definedName name="uuuuuuuuuuy" hidden="1">{"det (May)",#N/A,FALSE,"June";"sum (MAY YTD)",#N/A,FALSE,"June YTD"}</definedName>
    <definedName name="u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yy" hidden="1">{"det (May)",#N/A,FALSE,"June";"sum (MAY YTD)",#N/A,FALSE,"June YTD"}</definedName>
    <definedName name="v" hidden="1">{#N/A,#N/A,FALSE,"RELATÓRIO";#N/A,#N/A,FALSE,"RELATÓRIO"}</definedName>
    <definedName name="VARI" hidden="1">{#N/A,#N/A,FALSE,"지침";#N/A,#N/A,FALSE,"환경분석";#N/A,#N/A,FALSE,"Sheet16"}</definedName>
    <definedName name="VARIA" hidden="1">{#N/A,#N/A,FALSE,"지침";#N/A,#N/A,FALSE,"환경분석";#N/A,#N/A,FALSE,"Sheet16"}</definedName>
    <definedName name="variaveis" hidden="1">{"'171'!$A$1:$Z$50"}</definedName>
    <definedName name="vbcvb" hidden="1">{#N/A,#N/A,FALSE,"P.L.Full";#N/A,#N/A,FALSE,"P.L.Desc."}</definedName>
    <definedName name="vbcvbcv" hidden="1">{"CAP VOL",#N/A,FALSE,"CAPITAL";"CAP VAR",#N/A,FALSE,"CAPITAL";"CAP FIJ",#N/A,FALSE,"CAPITAL";"CAP CONS",#N/A,FALSE,"CAPITAL";"CAP DATA",#N/A,FALSE,"CAPITAL"}</definedName>
    <definedName name="vbnbvn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xcbgfbhgf" hidden="1">{"det (May)",#N/A,FALSE,"June";"sum (MAY YTD)",#N/A,FALSE,"June YTD"}</definedName>
    <definedName name="vcvccv" hidden="1">{"miles",#N/A,FALSE,"LUCROS E PERDAS (US$ 000)";"hl",#N/A,FALSE,"LUCROS E PERDAS (US$ 000)"}</definedName>
    <definedName name="vcvcv" hidden="1">{"'171'!$A$1:$Z$50"}</definedName>
    <definedName name="vcvcvc" hidden="1">{"'171'!$A$1:$Z$50"}</definedName>
    <definedName name="vcxbcbbnv" hidden="1">{#N/A,#N/A,FALSE,"Hoja1";#N/A,#N/A,FALSE,"Hoja2"}</definedName>
    <definedName name="vcxvcxvx" hidden="1">{#N/A,#N/A,FALSE,"RGD$";#N/A,#N/A,FALSE,"BG$";#N/A,#N/A,FALSE,"FC$"}</definedName>
    <definedName name="vcxxcvxc" hidden="1">{#N/A,#N/A,FALSE,"PRECIO FULL";#N/A,#N/A,FALSE,"LARA";#N/A,#N/A,FALSE,"CARACAS";#N/A,#N/A,FALSE,"DISBRACENTRO";#N/A,#N/A,FALSE,"ANDES";#N/A,#N/A,FALSE,"MAR CARIBE";#N/A,#N/A,FALSE,"RIO BEER";#N/A,#N/A,FALSE,"DISBRAH"}</definedName>
    <definedName name="vff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olum" hidden="1">{"'171'!$A$1:$Z$50"}</definedName>
    <definedName name="vv" hidden="1">{"det (May)",#N/A,FALSE,"June";"sum (MAY YTD)",#N/A,FALSE,"June YTD"}</definedName>
    <definedName name="vvvv" hidden="1">{"det (May)",#N/A,FALSE,"June";"sum (MAY YTD)",#N/A,FALSE,"June YTD"}</definedName>
    <definedName name="vvvvvv" hidden="1">{"det (May)",#N/A,FALSE,"June";"sum (MAY YTD)",#N/A,FALSE,"June YTD"}</definedName>
    <definedName name="vvvvvv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" hidden="1">{"det (May)",#N/A,FALSE,"June";"sum (MAY YTD)",#N/A,FALSE,"June YTD"}</definedName>
    <definedName name="vvvvvvvvvvvvv" hidden="1">{"det (May)",#N/A,FALSE,"June";"sum (MAY YTD)",#N/A,FALSE,"June YTD"}</definedName>
    <definedName name="vvvvvvvvvvvvv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vv" hidden="1">{"det (May)",#N/A,FALSE,"June";"sum (MAY YTD)",#N/A,FALSE,"June YTD"}</definedName>
    <definedName name="vxvxcx" hidden="1">{"Cons_Occ_Lar",#N/A,FALSE,"márgenes";"Cen_met",#N/A,FALSE,"márgenes";"Ori_pl",#N/A,FALSE,"márgenes"}</definedName>
    <definedName name="vxwccccccccc" hidden="1">{"det (May)",#N/A,FALSE,"June";"sum (MAY YTD)",#N/A,FALSE,"June YTD"}</definedName>
    <definedName name="w" hidden="1">{#N/A,#N/A,FALSE,"Hoja1";#N/A,#N/A,FALSE,"Hoja2"}</definedName>
    <definedName name="w.forecast" hidden="1">{#N/A,#N/A,FALSE,"model"}</definedName>
    <definedName name="w.forecast2" hidden="1">{#N/A,#N/A,FALSE,"model"}</definedName>
    <definedName name="w2.forecast" hidden="1">{#N/A,#N/A,FALSE,"model"}</definedName>
    <definedName name="WA" hidden="1">{"Real",#N/A,FALSE,"CONSOLIDADO";"Real",#N/A,FALSE,"OCCIDENTE";"Real",#N/A,FALSE,"LARA";"Real",#N/A,FALSE,"CENTRO";"Real",#N/A,FALSE,"METROPOLITANA";"Real",#N/A,FALSE,"ORIENTE";"Real",#N/A,FALSE,"Pto.libre"}</definedName>
    <definedName name="was" hidden="1">{#N/A,#N/A,FALSE,"Aging Summary";#N/A,#N/A,FALSE,"Ratio Analysis";#N/A,#N/A,FALSE,"Test 120 Day Accts";#N/A,#N/A,FALSE,"Tickmarks"}</definedName>
    <definedName name="we" hidden="1">{"RESUMEN",#N/A,FALSE,"RESUMEN";"RESUMEN_MARG",#N/A,FALSE,"RESUMEN"}</definedName>
    <definedName name="weee" hidden="1">{#N/A,#N/A,FALSE,"PRECIO FULL";#N/A,#N/A,FALSE,"LARA";#N/A,#N/A,FALSE,"CARACAS";#N/A,#N/A,FALSE,"DISBRACENTRO";#N/A,#N/A,FALSE,"ANDES";#N/A,#N/A,FALSE,"MAR CARIBE";#N/A,#N/A,FALSE,"RIO BEER";#N/A,#N/A,FALSE,"DISBRAH"}</definedName>
    <definedName name="wer" hidden="1">{#N/A,#N/A,FALSE,"지침";#N/A,#N/A,FALSE,"환경분석";#N/A,#N/A,FALSE,"Sheet16"}</definedName>
    <definedName name="werftdsfgdfg" hidden="1">{"det (May)",#N/A,FALSE,"June";"sum (MAY YTD)",#N/A,FALSE,"June YTD"}</definedName>
    <definedName name="wewrew" hidden="1">{#N/A,#N/A,FALSE,"Hoja1";#N/A,#N/A,FALSE,"Hoja2"}</definedName>
    <definedName name="wfwxcv" hidden="1">{#N/A,#N/A,FALSE,"지침";#N/A,#N/A,FALSE,"환경분석";#N/A,#N/A,FALSE,"Sheet16"}</definedName>
    <definedName name="wgyerhy" hidden="1">{#N/A,#N/A,FALSE,"지침";#N/A,#N/A,FALSE,"환경분석";#N/A,#N/A,FALSE,"Sheet16"}</definedName>
    <definedName name="Willton.xls" hidden="1">{#N/A,#N/A,FALSE,"지침";#N/A,#N/A,FALSE,"환경분석";#N/A,#N/A,FALSE,"Sheet16"}</definedName>
    <definedName name="WOW" hidden="1">{"CAP VOL",#N/A,FALSE,"CAPITAL";"CAP VAR",#N/A,FALSE,"CAPITAL";"CAP FIJ",#N/A,FALSE,"CAPITAL";"CAP CONS",#N/A,FALSE,"CAPITAL";"CAP DATA",#N/A,FALSE,"CAPITAL"}</definedName>
    <definedName name="wqwd" hidden="1">{"'171'!$A$1:$Z$50"}</definedName>
    <definedName name="wrg.aug" hidden="1">{"det (May)",#N/A,FALSE,"June";"sum (MAY YTD)",#N/A,FALSE,"June YTD"}</definedName>
    <definedName name="wrn.1._.Month._.vs._.LY." hidden="1">{"1",#N/A,FALSE,"X2BA"}</definedName>
    <definedName name="wrn.2._.YTD._.vs._.LY." hidden="1">{"2",#N/A,FALSE,"X2BA"}</definedName>
    <definedName name="wrn.2000Base.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3._.STG._.vs._.LY." hidden="1">{"3",#N/A,FALSE,"X2BA"}</definedName>
    <definedName name="wrn.4._.Full._.Year._.vs._.LY." hidden="1">{"4",#N/A,FALSE,"X2BA"}</definedName>
    <definedName name="wrn.5._.Month._.vs._.BGT." hidden="1">{"5",#N/A,FALSE,"X2BA"}</definedName>
    <definedName name="wrn.6._.YTD._.vs._.BGT." hidden="1">{"6",#N/A,FALSE,"X2BA"}</definedName>
    <definedName name="wrn.7._.STG._.vs._.BGT." hidden="1">{"7",#N/A,FALSE,"X2BA"}</definedName>
    <definedName name="wrn.8._.Full._.Year._.vs._.BGT." hidden="1">{"8",#N/A,FALSE,"X2BA"}</definedName>
    <definedName name="wrn.97." hidden="1">{#N/A,#N/A,FALSE,"지침";#N/A,#N/A,FALSE,"환경분석";#N/A,#N/A,FALSE,"Sheet16"}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ug" hidden="1">{"det (May)",#N/A,FALSE,"June";"sum (MAY YTD)",#N/A,FALSE,"June YTD"}</definedName>
    <definedName name="wrn.augyt" hidden="1">{"det (May)",#N/A,FALSE,"June";"sum (MAY YTD)",#N/A,FALSE,"June YTD"}</definedName>
    <definedName name="wrn.augYTD" hidden="1">{"det (May)",#N/A,FALSE,"June";"sum (MAY YTD)",#N/A,FALSE,"June YTD"}</definedName>
    <definedName name="wrn.augYTDx" hidden="1">{"det (May)",#N/A,FALSE,"June";"sum (MAY YTD)",#N/A,FALSE,"June YTD"}</definedName>
    <definedName name="wrn.augytx" hidden="1">{"det (May)",#N/A,FALSE,"June";"sum (MAY YTD)",#N/A,FALSE,"June YTD"}</definedName>
    <definedName name="wrn.BALANCE._.PARA._.LUIZ._.CLAUDIO." hidden="1">{#N/A,#N/A,FALSE,"Hoja1";#N/A,#N/A,FALSE,"Hoja2"}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usiness." hidden="1">{"miles",#N/A,FALSE,"LUCROS E PERDAS (US$ 000)";"hl",#N/A,FALSE,"LUCROS E PERDAS (US$ 000)"}</definedName>
    <definedName name="wrn.CAPITAL._.TODO." hidden="1">{"CAP VOL",#N/A,FALSE,"CAPITAL";"CAP VAR",#N/A,FALSE,"CAPITAL";"CAP FIJ",#N/A,FALSE,"CAPITAL";"CAP CONS",#N/A,FALSE,"CAPITAL";"CAP DATA",#N/A,FALSE,"CAPITAL"}</definedName>
    <definedName name="wrn.CON_DESCUENTO." hidden="1">{#N/A,"Carabeer",FALSE,"Dscto.";#N/A,"Disbracentro",FALSE,"Dscto.";#N/A,"Río Beer",FALSE,"Dscto.";#N/A,"Andes",FALSE,"Dscto."}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IRETRIZ." hidden="1">{#N/A,#N/A,FALSE,"ROTINA";#N/A,#N/A,FALSE,"ITENS";#N/A,#N/A,FALSE,"ACOMP"}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history." hidden="1">{#N/A,#N/A,FALSE,"model"}</definedName>
    <definedName name="wrn.histROIC." hidden="1">{#N/A,#N/A,FALSE,"model"}</definedName>
    <definedName name="wrn.IMPRESION." hidden="1">{#N/A,#N/A,FALSE,"Hoja1";#N/A,#N/A,FALSE,"Hoja2"}</definedName>
    <definedName name="wrn.June." hidden="1">{"det (May)",#N/A,FALSE,"June";"sum (MAY YTD)",#N/A,FALSE,"June YTD"}</definedName>
    <definedName name="wrn.MARG." hidden="1">{"Cons_Occ_Lar",#N/A,FALSE,"márgenes";"Cen_met",#N/A,FALSE,"márgenes";"Ori_pl",#N/A,FALSE,"márgenes"}</definedName>
    <definedName name="wrn.Metas96." hidden="1">{"Prenissas",#N/A,FALSE,"Consolidado (3)";"Lucros000",#N/A,FALSE,"Consolidado (3)";"LucrosHL",#N/A,FALSE,"Consolidado (3)";"Balanco",#N/A,FALSE,"Consolidado (3)";"FluxoC",#N/A,FALSE,"Consolidado (3)"}</definedName>
    <definedName name="wrn.pto" hidden="1">{#N/A,#N/A,FALSE,"RELATÓRIO";#N/A,#N/A,FALSE,"RELATÓRIO"}</definedName>
    <definedName name="wrn.ptp" hidden="1">{#N/A,#N/A,FALSE,"RELATÓRIO";#N/A,#N/A,FALSE,"RELATÓRIO"}</definedName>
    <definedName name="wrn.ptp." hidden="1">{#N/A,#N/A,FALSE,"RELATÓRIO";#N/A,#N/A,FALSE,"RELATÓRIO"}</definedName>
    <definedName name="wrn.ptp.." hidden="1">{#N/A,#N/A,FALSE,"RELATÓRIO";#N/A,#N/A,FALSE,"RELATÓRIO"}</definedName>
    <definedName name="wrn.ptp..." hidden="1">{#N/A,#N/A,FALSE,"RELATÓRIO";#N/A,#N/A,FALSE,"RELATÓRIO"}</definedName>
    <definedName name="wrn.REAL." hidden="1">{"Real",#N/A,FALSE,"CONSOLIDADO";"Real",#N/A,FALSE,"OCCIDENTE";"Real",#N/A,FALSE,"LARA";"Real",#N/A,FALSE,"CENTRO";"Real",#N/A,FALSE,"METROPOLITANA";"Real",#N/A,FALSE,"ORIENTE";"Real",#N/A,FALSE,"Pto.libre"}</definedName>
    <definedName name="wrn.Reporte._.1." hidden="1">{#N/A,#N/A,FALSE,"PRECIO FULL";#N/A,#N/A,FALSE,"LARA";#N/A,#N/A,FALSE,"CARACAS";#N/A,#N/A,FALSE,"DISBRACENTRO";#N/A,#N/A,FALSE,"ANDES";#N/A,#N/A,FALSE,"MAR CARIBE";#N/A,#N/A,FALSE,"RIO BEER";#N/A,#N/A,FALSE,"DISBRAH"}</definedName>
    <definedName name="wrn.RESUMEN." hidden="1">{"RESUMEN",#N/A,FALSE,"RESUMEN";"RESUMEN_MARG",#N/A,FALSE,"RESUMEN"}</definedName>
    <definedName name="wrn.RGD_BG_FC." hidden="1">{#N/A,#N/A,FALSE,"RGD$";#N/A,#N/A,FALSE,"BG$";#N/A,#N/A,FALSE,"FC$"}</definedName>
    <definedName name="wrn.SOMMAIRE." hidden="1">{"MOIS",#N/A,FALSE,"Som. B.V";"CUMUL",#N/A,FALSE,"Som. B.V"}</definedName>
    <definedName name="wrn.STOCK." hidden="1">{#N/A,#N/A,FALSE,"CONTEO";#N/A,#N/A,FALSE,"INSUMOS";#N/A,#N/A,FALSE,"STOCK";#N/A,#N/A,FALSE,"MOVIMIENTOS";#N/A,#N/A,FALSE,"Mov.Ins.L.L.";#N/A,#N/A,FALSE,"Conteo1";#N/A,#N/A,FALSE,"Conteo2";#N/A,#N/A,FALSE,"Promo ";#N/A,#N/A,FALSE,"Conteo Insumos"}</definedName>
    <definedName name="wrn.Tabla._.PL." hidden="1">{#N/A,#N/A,FALSE,"P.L.Full";#N/A,#N/A,FALSE,"P.L.Desc."}</definedName>
    <definedName name="wrn.TEND.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2000." hidden="1">{"bs",#N/A,FALSE,"Consolidado";"cf",#N/A,FALSE,"Consolidado";"pl_hl",#N/A,FALSE,"Consolidado";"pl_us",#N/A,FALSE,"Consolidado";"Prem1",#N/A,FALSE,"Consolidado"}</definedName>
    <definedName name="wrn.Tendencia._.Año." hidden="1">{#N/A,#N/A,FALSE,"FIN AÑO"}</definedName>
    <definedName name="wrn.Todas._.las._.tablas.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tal." hidden="1">{#N/A,#N/A,FALSE,"TOTAL"}</definedName>
    <definedName name="wrn.tudo." hidden="1">{"prem1",#N/A,FALSE,"Consolidado";"pl_us",#N/A,FALSE,"Consolidado";"pl_hl",#N/A,FALSE,"Consolidado";"bs",#N/A,FALSE,"Consolidado";"cf",#N/A,FALSE,"Consolidado"}</definedName>
    <definedName name="wrn.VIP." hidden="1">{"total",#N/A,FALSE,"TOTAL $";"totalhl",#N/A,FALSE,"TOTAL $HL";"vol",#N/A,FALSE,"VOLUMEN";"xprod1",#N/A,FALSE,"X PROD";"xprod2",#N/A,FALSE,"X PROD";"finaño1",#N/A,FALSE,"FIN AÑO Meta";"finaño2",#N/A,FALSE,"FIN AÑO Meta"}</definedName>
    <definedName name="wrn1.aug" hidden="1">{"det (May)",#N/A,FALSE,"June";"sum (MAY YTD)",#N/A,FALSE,"June YTD"}</definedName>
    <definedName name="wrn1.augtyd" hidden="1">{"det (May)",#N/A,FALSE,"June";"sum (MAY YTD)",#N/A,FALSE,"June YTD"}</definedName>
    <definedName name="wrn1.augyt" hidden="1">{"det (May)",#N/A,FALSE,"June";"sum (MAY YTD)",#N/A,FALSE,"June YTD"}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hidden="1">{"det (May)",#N/A,FALSE,"June";"sum (MAY YTD)",#N/A,FALSE,"June YTD"}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hidden="1">{"det (May)",#N/A,FALSE,"June";"sum (MAY YTD)",#N/A,FALSE,"June YTD"}</definedName>
    <definedName name="ww" hidden="1">{"det (May)",#N/A,FALSE,"June";"sum (MAY YTD)",#N/A,FALSE,"June YTD"}</definedName>
    <definedName name="www" hidden="1">{"det (May)",#N/A,FALSE,"June";"sum (MAY YTD)",#N/A,FALSE,"June YTD"}</definedName>
    <definedName name="wwww" hidden="1">{#N/A,"Carabeer",FALSE,"Dscto.";#N/A,"Disbracentro",FALSE,"Dscto.";#N/A,"Río Beer",FALSE,"Dscto.";#N/A,"Andes",FALSE,"Dscto."}</definedName>
    <definedName name="wxcgxcv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cvxc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vxcxcvxc" hidden="1">{"det (May)",#N/A,FALSE,"June";"sum (MAY YTD)",#N/A,FALSE,"June YTD"}</definedName>
    <definedName name="x" hidden="1">{#N/A,#N/A,FALSE,"ROTINA";#N/A,#N/A,FALSE,"ITENS";#N/A,#N/A,FALSE,"ACOMP"}</definedName>
    <definedName name="xcbxbfb" hidden="1">{"det (May)",#N/A,FALSE,"June";"sum (MAY YTD)",#N/A,FALSE,"June YTD"}</definedName>
    <definedName name="xcvbgfbgbnc" hidden="1">{"det (May)",#N/A,FALSE,"June";"sum (MAY YTD)",#N/A,FALSE,"June YTD"}</definedName>
    <definedName name="xcvcdfbv" hidden="1">{"det (May)",#N/A,FALSE,"June";"sum (MAY YTD)",#N/A,FALSE,"June YTD"}</definedName>
    <definedName name="xcvgfgbg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cvxg" hidden="1">{"det (May)",#N/A,FALSE,"June";"sum (MAY YTD)",#N/A,FALSE,"June YTD"}</definedName>
    <definedName name="xcxc" hidden="1">{#N/A,#N/A,FALSE,"Hoja1";#N/A,#N/A,FALSE,"Hoja2"}</definedName>
    <definedName name="xcxxc" hidden="1">{"CAP VOL",#N/A,FALSE,"CAPITAL";"CAP VAR",#N/A,FALSE,"CAPITAL";"CAP FIJ",#N/A,FALSE,"CAPITAL";"CAP CONS",#N/A,FALSE,"CAPITAL";"CAP DATA",#N/A,FALSE,"CAPITAL"}</definedName>
    <definedName name="xdfghbnbdf" hidden="1">{"det (May)",#N/A,FALSE,"June";"sum (MAY YTD)",#N/A,FALSE,"June YTD"}</definedName>
    <definedName name="xdfghfjc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fbxbf" hidden="1">{"det (May)",#N/A,FALSE,"June";"sum (MAY YTD)",#N/A,FALSE,"June YTD"}</definedName>
    <definedName name="xgfhxfbgf" hidden="1">{"det (May)",#N/A,FALSE,"June";"sum (MAY YTD)",#N/A,FALSE,"June YTD"}</definedName>
    <definedName name="xgkafkjg" hidden="1">{"'171'!$A$1:$Z$50"}</definedName>
    <definedName name="xhegfir" hidden="1">{#N/A,#N/A,FALSE,"RELATÓRIO";#N/A,#N/A,FALSE,"RELATÓRIO"}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hidden="1">{"det (May)",#N/A,FALSE,"June";"sum (MAY YTD)",#N/A,FALSE,"June YTD"}</definedName>
    <definedName name="xkdirhj" hidden="1">{"det (May)",#N/A,FALSE,"June";"sum (MAY YTD)",#N/A,FALSE,"June YTD"}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vhgfhxnfbn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XXASD" hidden="1">{#N/A,#N/A,FALSE,"ROTINA";#N/A,#N/A,FALSE,"ITENS";#N/A,#N/A,FALSE,"ACOMP"}</definedName>
    <definedName name="xxxx" hidden="1">{"det (May)",#N/A,FALSE,"June";"sum (MAY YTD)",#N/A,FALSE,"June YTD"}</definedName>
    <definedName name="xxxxx" hidden="1">{#N/A,#N/A,FALSE,"RELATÓRIO";#N/A,#N/A,FALSE,"RELATÓRIO"}</definedName>
    <definedName name="xxxxxxx" hidden="1">{#N/A,#N/A,FALSE,"ROTINA";#N/A,#N/A,FALSE,"ITENS";#N/A,#N/A,FALSE,"ACOMP"}</definedName>
    <definedName name="xxxxxxxx" hidden="1">{#N/A,#N/A,FALSE,"TOTAL"}</definedName>
    <definedName name="xzzx" hidden="1">{"miles",#N/A,FALSE,"LUCROS E PERDAS (US$ 000)";"hl",#N/A,FALSE,"LUCROS E PERDAS (US$ 000)"}</definedName>
    <definedName name="xzzxzx" hidden="1">{"'171'!$A$1:$Z$50"}</definedName>
    <definedName name="y" hidden="1">{#N/A,#N/A,FALSE,"ROTINA";#N/A,#N/A,FALSE,"ITENS";#N/A,#N/A,FALSE,"ACOMP"}</definedName>
    <definedName name="ym" hidden="1">{"det (May)",#N/A,FALSE,"June";"sum (MAY YTD)",#N/A,FALSE,"June YTD"}</definedName>
    <definedName name="yreyter" hidden="1">{"bs",#N/A,FALSE,"Consolidado";"cf",#N/A,FALSE,"Consolidado";"pl_hl",#N/A,FALSE,"Consolidado";"pl_us",#N/A,FALSE,"Consolidado";"Prem1",#N/A,FALSE,"Consolidado"}</definedName>
    <definedName name="ytedh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tini" hidden="1">{"det (May)",#N/A,FALSE,"June";"sum (MAY YTD)",#N/A,FALSE,"June YTD"}</definedName>
    <definedName name="ytyu" hidden="1">{"det (May)",#N/A,FALSE,"June";"sum (MAY YTD)",#N/A,FALSE,"June YTD"}</definedName>
    <definedName name="yuetyy" hidden="1">{"'cua 42'!$A$1:$O$40"}</definedName>
    <definedName name="yutyin" hidden="1">{"det (May)",#N/A,FALSE,"June";"sum (MAY YTD)",#N/A,FALSE,"June YTD"}</definedName>
    <definedName name="yuyu" hidden="1">{"det (May)",#N/A,FALSE,"June";"sum (MAY YTD)",#N/A,FALSE,"June YTD"}</definedName>
    <definedName name="yyuurrrrrrrrrr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yy" hidden="1">{#N/A,#N/A,FALSE,"지침";#N/A,#N/A,FALSE,"환경분석";#N/A,#N/A,FALSE,"Sheet16"}</definedName>
    <definedName name="yyyyy" hidden="1">{#N/A,#N/A,FALSE,"RGD$";#N/A,#N/A,FALSE,"BG$";#N/A,#N/A,FALSE,"FC$"}</definedName>
    <definedName name="yyyyyyyyu" hidden="1">{"det (May)",#N/A,FALSE,"June";"sum (MAY YTD)",#N/A,FALSE,"June YTD"}</definedName>
    <definedName name="yyyyyyyyyy" hidden="1">{"det (May)",#N/A,FALSE,"June";"sum (MAY YTD)",#N/A,FALSE,"June YTD"}</definedName>
    <definedName name="yyyyyyyyyyyyy" hidden="1">{"det (May)",#N/A,FALSE,"June";"sum (MAY YTD)",#N/A,FALSE,"June YTD"}</definedName>
    <definedName name="yyyyyyyyyyyyyyyyyy" hidden="1">{"det (May)",#N/A,FALSE,"June";"sum (MAY YTD)",#N/A,FALSE,"June YTD"}</definedName>
    <definedName name="z" hidden="1">{#N/A,#N/A,FALSE,"ROTINA";#N/A,#N/A,FALSE,"ITENS";#N/A,#N/A,FALSE,"ACOMP"}</definedName>
    <definedName name="Z_00522606_ED06_11D8_93C6_00A0248BD7D0_.wvu.Cols" hidden="1">#REF!</definedName>
    <definedName name="Z_00522606_ED06_11D8_93C6_00A0248BD7D0_.wvu.PrintArea" hidden="1">#REF!</definedName>
    <definedName name="Z_00522606_ED06_11D8_93C6_00A0248BD7D0_.wvu.Rows" hidden="1">#REF!,#REF!,#REF!,#REF!,#REF!,#REF!,#REF!,#REF!,#REF!,#REF!,#REF!,#REF!,#REF!,#REF!,#REF!,#REF!</definedName>
    <definedName name="Z_031EEBCC_01CF_4C8B_B9B8_9D649C654F83_.wvu.FilterData" hidden="1">#REF!</definedName>
    <definedName name="Z_05F715DF_8186_4956_AD86_D123DC571EF6_.wvu.FilterData" hidden="1">#REF!</definedName>
    <definedName name="Z_07A15DFF_FCDB_436B_9264_04BB299D5B7C_.wvu.FilterData" hidden="1">#REF!</definedName>
    <definedName name="Z_07F96E41_0B7E_4E6F_B201_622F71CA9CFA_.wvu.FilterData" hidden="1">#REF!</definedName>
    <definedName name="Z_117A18DB_B496_4BC7_8035_022F5D5B09DE_.wvu.FilterData" hidden="1">#REF!</definedName>
    <definedName name="Z_12839A3B_DE77_47E0_B340_8CCD3491513A_.wvu.FilterData" hidden="1">#REF!</definedName>
    <definedName name="Z_1B19079F_58E8_4216_9DDC_5D995629A276_.wvu.FilterData" hidden="1">#REF!</definedName>
    <definedName name="Z_210DF800_4D59_11D6_9DF9_0004AC9599ED_.wvu.Cols" hidden="1">#REF!</definedName>
    <definedName name="Z_2359B268_9855_4F0B_8CD1_0DF750B64890_.wvu.FilterData" hidden="1">#REF!</definedName>
    <definedName name="Z_26B55F9F_EA07_4C68_A102_82820A375608_.wvu.FilterData" hidden="1">#REF!</definedName>
    <definedName name="Z_2D424510_4664_11D6_B3AA_0050DA063BEA_.wvu.PrintTitles" hidden="1">#REF!</definedName>
    <definedName name="Z_35402825_EA5C_460B_94C5_DE09A3205DE9_.wvu.Rows" hidden="1">#REF!,#REF!,#REF!,#REF!,#REF!,#REF!,#REF!,#REF!,#REF!,#REF!,#REF!,#REF!,#REF!,#REF!,#REF!,#REF!,#REF!,#REF!,#REF!,#REF!,#REF!,#REF!</definedName>
    <definedName name="Z_3DBF11C1_AF68_11D6_A998_000629AADC70_.wvu.FilterData" hidden="1">#REF!</definedName>
    <definedName name="Z_4102EF71_DEC1_4795_A9DE_9A3827B8355B_.wvu.FilterData" hidden="1">#REF!</definedName>
    <definedName name="Z_44931E07_568C_11D5_BDEA_0004AC32B916_.wvu.Cols" hidden="1">#REF!</definedName>
    <definedName name="Z_4ACE6C89_B219_44BB_B981_808D8F0DAE73_.wvu.FilterData" hidden="1">#REF!</definedName>
    <definedName name="Z_501FF78C_5C37_47DB_9996_0773533781F0_.wvu.FilterData" hidden="1">#REF!</definedName>
    <definedName name="Z_516F6B20_006D_11D6_8D7C_0060081E3BF8_.wvu.Rows" hidden="1">#REF!,#REF!,#REF!,#REF!,#REF!,#REF!,#REF!</definedName>
    <definedName name="Z_59881E64_7D77_4761_8E53_4AC638660077_.wvu.FilterData" hidden="1">#REF!</definedName>
    <definedName name="Z_60F84D11_50D9_4986_8A85_B94DE5FCEF10_.wvu.FilterData" hidden="1">#REF!</definedName>
    <definedName name="Z_692D3694_5532_4A95_AD03_B5D1ECB2A486_.wvu.FilterData" hidden="1">#REF!</definedName>
    <definedName name="Z_84E8BEAD_3744_4F2E_BEEA_08FDF9AD0255_.wvu.FilterData" hidden="1">#REF!</definedName>
    <definedName name="Z_8524BCFA_5BE6_4A51_B95F_5836F5DC1E12_.wvu.FilterData" hidden="1">#REF!</definedName>
    <definedName name="Z_89B24FFA_B8EE_11D6_9DF9_0004AC9599ED_.wvu.PrintArea" hidden="1">#REF!</definedName>
    <definedName name="Z_8AFE931A_53E9_43B0_BBE6_DE7878F7B066_.wvu.FilterData" hidden="1">#REF!</definedName>
    <definedName name="Z_8BA4715C_EC6D_472D_8E7D_6B55C8A2D072_.wvu.Rows" hidden="1">#REF!,#REF!</definedName>
    <definedName name="Z_8F6155DE_6281_43E6_B196_ABE0246C96D3_.wvu.FilterData" hidden="1">#REF!</definedName>
    <definedName name="Z_A236D5D3_651E_4400_93B6_1C2BF900468B_.wvu.FilterData" hidden="1">#REF!</definedName>
    <definedName name="Z_AF7625A3_E279_490C_86E2_6D0723D57A1E_.wvu.FilterData" hidden="1">#REF!</definedName>
    <definedName name="Z_BDB4B167_E3AA_11D7_8D7A_00B0D08F20DC_.wvu.PrintArea" hidden="1">#REF!</definedName>
    <definedName name="Z_D5A69C33_B44D_4602_A7B1_4F5C232FF30C_.wvu.FilterData" hidden="1">#REF!</definedName>
    <definedName name="Z_E24C1EE5_98CF_11D6_A72B_08005AA614B9_.wvu.PrintArea" hidden="1">#REF!</definedName>
    <definedName name="Z_EB2247E4_8521_4AF9_A402_6DDF71203D57_.wvu.FilterData" hidden="1">#REF!</definedName>
    <definedName name="Z_EE98CF61_AC15_42D3_9A9E_EB68296245C6_.wvu.FilterData" hidden="1">#REF!</definedName>
    <definedName name="Z_EF7ECF05_99AF_11D6_8A55_0004AC55CD8B_.wvu.PrintArea" hidden="1">#REF!</definedName>
    <definedName name="Z_F1EAFE80_1ADA_11D5_A65B_000629AADB3E_.wvu.Cols" hidden="1">#REF!</definedName>
    <definedName name="za" hidden="1">{"det (May)",#N/A,FALSE,"June";"sum (MAY YTD)",#N/A,FALSE,"June YTD"}</definedName>
    <definedName name="zaz" hidden="1">{"det (May)",#N/A,FALSE,"June";"sum (MAY YTD)",#N/A,FALSE,"June YTD"}</definedName>
    <definedName name="zaza" hidden="1">{"det (May)",#N/A,FALSE,"June";"sum (MAY YTD)",#N/A,FALSE,"June YTD"}</definedName>
    <definedName name="zazaza" hidden="1">{"det (May)",#N/A,FALSE,"June";"sum (MAY YTD)",#N/A,FALSE,"June YTD"}</definedName>
    <definedName name="zazazaz" hidden="1">{"det (May)",#N/A,FALSE,"June";"sum (MAY YTD)",#N/A,FALSE,"June YTD"}</definedName>
    <definedName name="zazazaza" hidden="1">{"det (May)",#N/A,FALSE,"June";"sum (MAY YTD)",#N/A,FALSE,"June YTD"}</definedName>
    <definedName name="zazazazaazz" hidden="1">{"det (May)",#N/A,FALSE,"June";"sum (MAY YTD)",#N/A,FALSE,"June YTD"}</definedName>
    <definedName name="zazazazaza" hidden="1">{"det (May)",#N/A,FALSE,"June";"sum (MAY YTD)",#N/A,FALSE,"June YTD"}</definedName>
    <definedName name="zcczxz" hidden="1">{"bs",#N/A,FALSE,"Consolidado";"cf",#N/A,FALSE,"Consolidado";"pl_hl",#N/A,FALSE,"Consolidado";"pl_us",#N/A,FALSE,"Consolidado";"Prem1",#N/A,FALSE,"Consolidado"}</definedName>
    <definedName name="zeljka" hidden="1">{"det (May)",#N/A,FALSE,"June";"sum (MAY YTD)",#N/A,FALSE,"June YTD"}</definedName>
    <definedName name="zeljka1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etytrh" hidden="1">{"det (May)",#N/A,FALSE,"June";"sum (MAY YTD)",#N/A,FALSE,"June YTD"}</definedName>
    <definedName name="zfazfzr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rhdf" hidden="1">{#N/A,#N/A,FALSE,"Aging Summary";#N/A,#N/A,FALSE,"Ratio Analysis";#N/A,#N/A,FALSE,"Test 120 Day Accts";#N/A,#N/A,FALSE,"Tickmarks"}</definedName>
    <definedName name="zszsdfffvgfv" hidden="1">{"det (May)",#N/A,FALSE,"June";"sum (MAY YTD)",#N/A,FALSE,"June YTD"}</definedName>
    <definedName name="zx" hidden="1">{"det (May)",#N/A,FALSE,"June";"sum (MAY YTD)",#N/A,FALSE,"June YTD"}</definedName>
    <definedName name="zytts" hidden="1">{"det (May)",#N/A,FALSE,"June";"sum (MAY YTD)",#N/A,FALSE,"June YTD"}</definedName>
    <definedName name="zzssdd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zz" hidden="1">{"det (May)",#N/A,FALSE,"June";"sum (MAY YTD)",#N/A,FALSE,"June YTD"}</definedName>
    <definedName name="zzzzzzzzz" hidden="1">{"det (May)",#N/A,FALSE,"June";"sum (MAY YTD)",#N/A,FALSE,"June YTD"}</definedName>
    <definedName name="ааа" hidden="1">{"det (May)",#N/A,FALSE,"June";"sum (MAY YTD)",#N/A,FALSE,"June YTD"}</definedName>
    <definedName name="ввв" hidden="1">{#N/A,#N/A,FALSE,"RELATÓRIO";#N/A,#N/A,FALSE,"RELATÓRIO"}</definedName>
    <definedName name="ㄱㄱㄱㄱ" hidden="1">{#N/A,#N/A,FALSE,"지침";#N/A,#N/A,FALSE,"환경분석";#N/A,#N/A,FALSE,"Sheet16"}</definedName>
    <definedName name="가나" hidden="1">{#N/A,#N/A,FALSE,"지침";#N/A,#N/A,FALSE,"환경분석";#N/A,#N/A,FALSE,"Sheet16"}</definedName>
    <definedName name="경제성" hidden="1">{#N/A,#N/A,FALSE,"지침";#N/A,#N/A,FALSE,"환경분석";#N/A,#N/A,FALSE,"Sheet16"}</definedName>
    <definedName name="고" hidden="1">{#N/A,#N/A,FALSE,"지침";#N/A,#N/A,FALSE,"환경분석";#N/A,#N/A,FALSE,"Sheet16"}</definedName>
    <definedName name="광" hidden="1">{#N/A,#N/A,FALSE,"지침";#N/A,#N/A,FALSE,"환경분석";#N/A,#N/A,FALSE,"Sheet16"}</definedName>
    <definedName name="김재현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도면" hidden="1">#REF!</definedName>
    <definedName name="ㅀ효ㅇㄱ쇼셔ㅓ쇼ㅓ" hidden="1">{#N/A,#N/A,FALSE,"지침";#N/A,#N/A,FALSE,"환경분석";#N/A,#N/A,FALSE,"Sheet16"}</definedName>
    <definedName name="ㅁ" hidden="1">{#N/A,#N/A,FALSE,"지침";#N/A,#N/A,FALSE,"환경분석";#N/A,#N/A,FALSE,"Sheet16"}</definedName>
    <definedName name="ㅁㅁ" hidden="1">{"det (May)",#N/A,FALSE,"June";"sum (MAY YTD)",#N/A,FALSE,"June YTD"}</definedName>
    <definedName name="ㅁㅁㅁ" hidden="1">{#N/A,#N/A,FALSE,"지침";#N/A,#N/A,FALSE,"환경분석";#N/A,#N/A,FALSE,"Sheet16"}</definedName>
    <definedName name="비상l" hidden="1">{#N/A,#N/A,FALSE,"지침";#N/A,#N/A,FALSE,"환경분석";#N/A,#N/A,FALSE,"Sheet16"}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생2" hidden="1">{#N/A,#N/A,FALSE,"지침";#N/A,#N/A,FALSE,"환경분석";#N/A,#N/A,FALSE,"Sheet16"}</definedName>
    <definedName name="ㅇ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양식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hidden="1">{#N/A,#N/A,FALSE,"지침";#N/A,#N/A,FALSE,"환경분석";#N/A,#N/A,FALSE,"Sheet16"}</definedName>
    <definedName name="ㅈㅈㅈ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주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ㅏㅓ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ㅔ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8543" i="3" l="1"/>
  <c r="K2" i="3"/>
  <c r="N46" i="3" s="1"/>
  <c r="M95" i="3" l="1"/>
  <c r="O95" i="3" s="1"/>
  <c r="M75" i="3"/>
  <c r="O75" i="3" s="1"/>
  <c r="N113" i="3"/>
  <c r="N39" i="3"/>
  <c r="M80" i="3"/>
  <c r="O80" i="3" s="1"/>
  <c r="M110" i="3"/>
  <c r="O110" i="3" s="1"/>
  <c r="N11" i="3"/>
  <c r="N132" i="3"/>
  <c r="N80" i="3"/>
  <c r="M125" i="3"/>
  <c r="O125" i="3" s="1"/>
  <c r="M26" i="3"/>
  <c r="O26" i="3" s="1"/>
  <c r="M135" i="3"/>
  <c r="O135" i="3" s="1"/>
  <c r="N55" i="3"/>
  <c r="M58" i="3"/>
  <c r="O58" i="3" s="1"/>
  <c r="N114" i="3"/>
  <c r="M50" i="3"/>
  <c r="O50" i="3" s="1"/>
  <c r="M103" i="3"/>
  <c r="O103" i="3" s="1"/>
  <c r="M126" i="3"/>
  <c r="O126" i="3" s="1"/>
  <c r="M29" i="3"/>
  <c r="O29" i="3" s="1"/>
  <c r="M143" i="3"/>
  <c r="O143" i="3" s="1"/>
  <c r="M5" i="3"/>
  <c r="O5" i="3" s="1"/>
  <c r="N58" i="3"/>
  <c r="M54" i="3"/>
  <c r="O54" i="3" s="1"/>
  <c r="M107" i="3"/>
  <c r="O107" i="3" s="1"/>
  <c r="N126" i="3"/>
  <c r="N15" i="3"/>
  <c r="N156" i="3"/>
  <c r="N108" i="3"/>
  <c r="M79" i="3"/>
  <c r="O79" i="3" s="1"/>
  <c r="M55" i="3"/>
  <c r="O55" i="3" s="1"/>
  <c r="M108" i="3"/>
  <c r="O108" i="3" s="1"/>
  <c r="M4" i="3"/>
  <c r="O4" i="3" s="1"/>
  <c r="N33" i="3"/>
  <c r="N64" i="3"/>
  <c r="M15" i="3"/>
  <c r="O15" i="3" s="1"/>
  <c r="N161" i="3"/>
  <c r="M39" i="3"/>
  <c r="O39" i="3" s="1"/>
  <c r="N145" i="3"/>
  <c r="M156" i="3"/>
  <c r="O156" i="3" s="1"/>
  <c r="N103" i="3"/>
  <c r="M115" i="3"/>
  <c r="O115" i="3" s="1"/>
  <c r="N110" i="3"/>
  <c r="N5" i="3"/>
  <c r="M67" i="3"/>
  <c r="O67" i="3" s="1"/>
  <c r="N96" i="3"/>
  <c r="N137" i="3"/>
  <c r="M148" i="3"/>
  <c r="O148" i="3" s="1"/>
  <c r="N51" i="3"/>
  <c r="N104" i="3"/>
  <c r="M116" i="3"/>
  <c r="O116" i="3" s="1"/>
  <c r="N122" i="3"/>
  <c r="M21" i="3"/>
  <c r="O21" i="3" s="1"/>
  <c r="M159" i="3"/>
  <c r="O159" i="3" s="1"/>
  <c r="N50" i="3"/>
  <c r="N75" i="3"/>
  <c r="N27" i="3"/>
  <c r="M164" i="3"/>
  <c r="O164" i="3" s="1"/>
  <c r="M36" i="3"/>
  <c r="O36" i="3" s="1"/>
  <c r="N76" i="3"/>
  <c r="N67" i="3"/>
  <c r="M16" i="3"/>
  <c r="O16" i="3" s="1"/>
  <c r="N164" i="3"/>
  <c r="M42" i="3"/>
  <c r="O42" i="3" s="1"/>
  <c r="N148" i="3"/>
  <c r="N52" i="3"/>
  <c r="M120" i="3"/>
  <c r="O120" i="3" s="1"/>
  <c r="N77" i="3"/>
  <c r="N105" i="3"/>
  <c r="M117" i="3"/>
  <c r="O117" i="3" s="1"/>
  <c r="N123" i="3"/>
  <c r="M129" i="3"/>
  <c r="O129" i="3" s="1"/>
  <c r="M86" i="3"/>
  <c r="O86" i="3" s="1"/>
  <c r="N10" i="3"/>
  <c r="M12" i="3"/>
  <c r="O12" i="3" s="1"/>
  <c r="N91" i="3"/>
  <c r="N44" i="3"/>
  <c r="M140" i="3"/>
  <c r="O140" i="3" s="1"/>
  <c r="M46" i="3"/>
  <c r="O46" i="3" s="1"/>
  <c r="N158" i="3"/>
  <c r="M153" i="3"/>
  <c r="O153" i="3" s="1"/>
  <c r="N150" i="3"/>
  <c r="M145" i="3"/>
  <c r="O145" i="3" s="1"/>
  <c r="N142" i="3"/>
  <c r="M137" i="3"/>
  <c r="O137" i="3" s="1"/>
  <c r="N134" i="3"/>
  <c r="M44" i="3"/>
  <c r="O44" i="3" s="1"/>
  <c r="N41" i="3"/>
  <c r="M19" i="3"/>
  <c r="O19" i="3" s="1"/>
  <c r="N18" i="3"/>
  <c r="M161" i="3"/>
  <c r="O161" i="3" s="1"/>
  <c r="N100" i="3"/>
  <c r="M96" i="3"/>
  <c r="O96" i="3" s="1"/>
  <c r="N94" i="3"/>
  <c r="M91" i="3"/>
  <c r="O91" i="3" s="1"/>
  <c r="N70" i="3"/>
  <c r="M13" i="3"/>
  <c r="O13" i="3" s="1"/>
  <c r="N68" i="3"/>
  <c r="M64" i="3"/>
  <c r="O64" i="3" s="1"/>
  <c r="N62" i="3"/>
  <c r="M27" i="3"/>
  <c r="O27" i="3" s="1"/>
  <c r="N25" i="3"/>
  <c r="M10" i="3"/>
  <c r="O10" i="3" s="1"/>
  <c r="N87" i="3"/>
  <c r="M8" i="3"/>
  <c r="O8" i="3" s="1"/>
  <c r="M37" i="3"/>
  <c r="O37" i="3" s="1"/>
  <c r="N128" i="3"/>
  <c r="M123" i="3"/>
  <c r="O123" i="3" s="1"/>
  <c r="N119" i="3"/>
  <c r="M114" i="3"/>
  <c r="O114" i="3" s="1"/>
  <c r="N111" i="3"/>
  <c r="M105" i="3"/>
  <c r="O105" i="3" s="1"/>
  <c r="N102" i="3"/>
  <c r="N82" i="3"/>
  <c r="M77" i="3"/>
  <c r="O77" i="3" s="1"/>
  <c r="N74" i="3"/>
  <c r="M52" i="3"/>
  <c r="O52" i="3" s="1"/>
  <c r="N49" i="3"/>
  <c r="M171" i="3"/>
  <c r="O171" i="3" s="1"/>
  <c r="M155" i="3"/>
  <c r="O155" i="3" s="1"/>
  <c r="N152" i="3"/>
  <c r="M147" i="3"/>
  <c r="O147" i="3" s="1"/>
  <c r="N144" i="3"/>
  <c r="M139" i="3"/>
  <c r="O139" i="3" s="1"/>
  <c r="N136" i="3"/>
  <c r="M38" i="3"/>
  <c r="O38" i="3" s="1"/>
  <c r="N35" i="3"/>
  <c r="N160" i="3"/>
  <c r="M71" i="3"/>
  <c r="O71" i="3" s="1"/>
  <c r="N32" i="3"/>
  <c r="N90" i="3"/>
  <c r="M66" i="3"/>
  <c r="O66" i="3" s="1"/>
  <c r="N63" i="3"/>
  <c r="N59" i="3"/>
  <c r="M23" i="3"/>
  <c r="O23" i="3" s="1"/>
  <c r="M57" i="3"/>
  <c r="O57" i="3" s="1"/>
  <c r="N171" i="3"/>
  <c r="M158" i="3"/>
  <c r="O158" i="3" s="1"/>
  <c r="N155" i="3"/>
  <c r="M150" i="3"/>
  <c r="O150" i="3" s="1"/>
  <c r="N147" i="3"/>
  <c r="M142" i="3"/>
  <c r="O142" i="3" s="1"/>
  <c r="N139" i="3"/>
  <c r="M134" i="3"/>
  <c r="O134" i="3" s="1"/>
  <c r="N131" i="3"/>
  <c r="M41" i="3"/>
  <c r="O41" i="3" s="1"/>
  <c r="N38" i="3"/>
  <c r="M18" i="3"/>
  <c r="O18" i="3" s="1"/>
  <c r="N163" i="3"/>
  <c r="M100" i="3"/>
  <c r="O100" i="3" s="1"/>
  <c r="N72" i="3"/>
  <c r="M94" i="3"/>
  <c r="O94" i="3" s="1"/>
  <c r="N71" i="3"/>
  <c r="M70" i="3"/>
  <c r="O70" i="3" s="1"/>
  <c r="N30" i="3"/>
  <c r="M68" i="3"/>
  <c r="O68" i="3" s="1"/>
  <c r="N66" i="3"/>
  <c r="M62" i="3"/>
  <c r="O62" i="3" s="1"/>
  <c r="N61" i="3"/>
  <c r="M25" i="3"/>
  <c r="O25" i="3" s="1"/>
  <c r="N23" i="3"/>
  <c r="M87" i="3"/>
  <c r="O87" i="3" s="1"/>
  <c r="N57" i="3"/>
  <c r="N4" i="3"/>
  <c r="M128" i="3"/>
  <c r="O128" i="3" s="1"/>
  <c r="N125" i="3"/>
  <c r="M119" i="3"/>
  <c r="O119" i="3" s="1"/>
  <c r="N116" i="3"/>
  <c r="M111" i="3"/>
  <c r="O111" i="3" s="1"/>
  <c r="N107" i="3"/>
  <c r="M102" i="3"/>
  <c r="O102" i="3" s="1"/>
  <c r="M82" i="3"/>
  <c r="O82" i="3" s="1"/>
  <c r="N79" i="3"/>
  <c r="M74" i="3"/>
  <c r="O74" i="3" s="1"/>
  <c r="N36" i="3"/>
  <c r="N54" i="3"/>
  <c r="M49" i="3"/>
  <c r="O49" i="3" s="1"/>
  <c r="N45" i="3"/>
  <c r="M131" i="3"/>
  <c r="O131" i="3" s="1"/>
  <c r="N43" i="3"/>
  <c r="M163" i="3"/>
  <c r="O163" i="3" s="1"/>
  <c r="M72" i="3"/>
  <c r="O72" i="3" s="1"/>
  <c r="N17" i="3"/>
  <c r="M30" i="3"/>
  <c r="O30" i="3" s="1"/>
  <c r="M61" i="3"/>
  <c r="O61" i="3" s="1"/>
  <c r="N88" i="3"/>
  <c r="M45" i="3"/>
  <c r="O45" i="3" s="1"/>
  <c r="N157" i="3"/>
  <c r="M152" i="3"/>
  <c r="O152" i="3" s="1"/>
  <c r="N149" i="3"/>
  <c r="M144" i="3"/>
  <c r="O144" i="3" s="1"/>
  <c r="N141" i="3"/>
  <c r="M136" i="3"/>
  <c r="O136" i="3" s="1"/>
  <c r="N133" i="3"/>
  <c r="M43" i="3"/>
  <c r="O43" i="3" s="1"/>
  <c r="N40" i="3"/>
  <c r="M35" i="3"/>
  <c r="O35" i="3" s="1"/>
  <c r="N165" i="3"/>
  <c r="M160" i="3"/>
  <c r="O160" i="3" s="1"/>
  <c r="N99" i="3"/>
  <c r="M17" i="3"/>
  <c r="O17" i="3" s="1"/>
  <c r="N93" i="3"/>
  <c r="M32" i="3"/>
  <c r="O32" i="3" s="1"/>
  <c r="N31" i="3"/>
  <c r="M90" i="3"/>
  <c r="O90" i="3" s="1"/>
  <c r="N89" i="3"/>
  <c r="M63" i="3"/>
  <c r="O63" i="3" s="1"/>
  <c r="N28" i="3"/>
  <c r="M59" i="3"/>
  <c r="O59" i="3" s="1"/>
  <c r="N24" i="3"/>
  <c r="M88" i="3"/>
  <c r="O88" i="3" s="1"/>
  <c r="N20" i="3"/>
  <c r="M7" i="3"/>
  <c r="O7" i="3" s="1"/>
  <c r="N6" i="3"/>
  <c r="N127" i="3"/>
  <c r="M122" i="3"/>
  <c r="O122" i="3" s="1"/>
  <c r="N118" i="3"/>
  <c r="M113" i="3"/>
  <c r="O113" i="3" s="1"/>
  <c r="N109" i="3"/>
  <c r="M104" i="3"/>
  <c r="O104" i="3" s="1"/>
  <c r="N101" i="3"/>
  <c r="N81" i="3"/>
  <c r="M76" i="3"/>
  <c r="O76" i="3" s="1"/>
  <c r="N121" i="3"/>
  <c r="N56" i="3"/>
  <c r="M51" i="3"/>
  <c r="O51" i="3" s="1"/>
  <c r="N48" i="3"/>
  <c r="N159" i="3"/>
  <c r="M146" i="3"/>
  <c r="O146" i="3" s="1"/>
  <c r="N143" i="3"/>
  <c r="M138" i="3"/>
  <c r="O138" i="3" s="1"/>
  <c r="M98" i="3"/>
  <c r="O98" i="3" s="1"/>
  <c r="N95" i="3"/>
  <c r="M65" i="3"/>
  <c r="O65" i="3" s="1"/>
  <c r="N29" i="3"/>
  <c r="M60" i="3"/>
  <c r="O60" i="3" s="1"/>
  <c r="N26" i="3"/>
  <c r="M22" i="3"/>
  <c r="O22" i="3" s="1"/>
  <c r="N21" i="3"/>
  <c r="M9" i="3"/>
  <c r="O9" i="3" s="1"/>
  <c r="N47" i="3"/>
  <c r="M157" i="3"/>
  <c r="O157" i="3" s="1"/>
  <c r="N154" i="3"/>
  <c r="M149" i="3"/>
  <c r="O149" i="3" s="1"/>
  <c r="N146" i="3"/>
  <c r="M141" i="3"/>
  <c r="O141" i="3" s="1"/>
  <c r="N138" i="3"/>
  <c r="M133" i="3"/>
  <c r="O133" i="3" s="1"/>
  <c r="N130" i="3"/>
  <c r="M40" i="3"/>
  <c r="O40" i="3" s="1"/>
  <c r="N73" i="3"/>
  <c r="M165" i="3"/>
  <c r="O165" i="3" s="1"/>
  <c r="N162" i="3"/>
  <c r="M99" i="3"/>
  <c r="O99" i="3" s="1"/>
  <c r="N98" i="3"/>
  <c r="M93" i="3"/>
  <c r="O93" i="3" s="1"/>
  <c r="N92" i="3"/>
  <c r="M31" i="3"/>
  <c r="O31" i="3" s="1"/>
  <c r="N14" i="3"/>
  <c r="M89" i="3"/>
  <c r="O89" i="3" s="1"/>
  <c r="N65" i="3"/>
  <c r="M28" i="3"/>
  <c r="O28" i="3" s="1"/>
  <c r="N60" i="3"/>
  <c r="M24" i="3"/>
  <c r="O24" i="3" s="1"/>
  <c r="N22" i="3"/>
  <c r="M20" i="3"/>
  <c r="O20" i="3" s="1"/>
  <c r="N9" i="3"/>
  <c r="M6" i="3"/>
  <c r="O6" i="3" s="1"/>
  <c r="N85" i="3"/>
  <c r="M127" i="3"/>
  <c r="O127" i="3" s="1"/>
  <c r="N124" i="3"/>
  <c r="M118" i="3"/>
  <c r="O118" i="3" s="1"/>
  <c r="N115" i="3"/>
  <c r="M109" i="3"/>
  <c r="O109" i="3" s="1"/>
  <c r="N106" i="3"/>
  <c r="M101" i="3"/>
  <c r="O101" i="3" s="1"/>
  <c r="M81" i="3"/>
  <c r="O81" i="3" s="1"/>
  <c r="N78" i="3"/>
  <c r="M121" i="3"/>
  <c r="O121" i="3" s="1"/>
  <c r="M56" i="3"/>
  <c r="N53" i="3"/>
  <c r="M48" i="3"/>
  <c r="M47" i="3"/>
  <c r="O47" i="3" s="1"/>
  <c r="M154" i="3"/>
  <c r="O154" i="3" s="1"/>
  <c r="N151" i="3"/>
  <c r="N135" i="3"/>
  <c r="M130" i="3"/>
  <c r="O130" i="3" s="1"/>
  <c r="N42" i="3"/>
  <c r="M73" i="3"/>
  <c r="O73" i="3" s="1"/>
  <c r="N34" i="3"/>
  <c r="M162" i="3"/>
  <c r="O162" i="3" s="1"/>
  <c r="M92" i="3"/>
  <c r="O92" i="3" s="1"/>
  <c r="N16" i="3"/>
  <c r="M14" i="3"/>
  <c r="O14" i="3" s="1"/>
  <c r="N69" i="3"/>
  <c r="N86" i="3"/>
  <c r="M85" i="3"/>
  <c r="O85" i="3" s="1"/>
  <c r="N129" i="3"/>
  <c r="N120" i="3"/>
  <c r="M83" i="3"/>
  <c r="M112" i="3"/>
  <c r="O112" i="3" s="1"/>
  <c r="N117" i="3"/>
  <c r="N7" i="3"/>
  <c r="N12" i="3"/>
  <c r="M69" i="3"/>
  <c r="O69" i="3" s="1"/>
  <c r="M34" i="3"/>
  <c r="O34" i="3" s="1"/>
  <c r="N140" i="3"/>
  <c r="M151" i="3"/>
  <c r="O151" i="3" s="1"/>
  <c r="M53" i="3"/>
  <c r="O53" i="3" s="1"/>
  <c r="M78" i="3"/>
  <c r="O78" i="3" s="1"/>
  <c r="N83" i="3"/>
  <c r="M106" i="3"/>
  <c r="O106" i="3" s="1"/>
  <c r="N112" i="3"/>
  <c r="M124" i="3"/>
  <c r="O124" i="3" s="1"/>
  <c r="N37" i="3"/>
  <c r="N8" i="3"/>
  <c r="M11" i="3"/>
  <c r="O11" i="3" s="1"/>
  <c r="N13" i="3"/>
  <c r="M33" i="3"/>
  <c r="O33" i="3" s="1"/>
  <c r="N19" i="3"/>
  <c r="M132" i="3"/>
  <c r="O132" i="3" s="1"/>
  <c r="N153" i="3"/>
  <c r="M2" i="3" l="1"/>
  <c r="O4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Jaime Alejandro Lagunas Carrera</author>
  </authors>
  <commentList>
    <comment ref="E37" authorId="0" shapeId="0" xr:uid="{B8192364-1E09-4B85-9D78-231494854278}">
      <text>
        <r>
          <rPr>
            <b/>
            <sz val="9"/>
            <color indexed="81"/>
            <rFont val="Tahoma"/>
            <family val="2"/>
          </rPr>
          <t xml:space="preserve">Se quita equip Goberneitors
</t>
        </r>
      </text>
    </comment>
    <comment ref="E38" authorId="0" shapeId="0" xr:uid="{0A490DA5-AB22-4B12-B1F5-3B8A9809890A}">
      <text>
        <r>
          <rPr>
            <b/>
            <sz val="9"/>
            <color indexed="81"/>
            <rFont val="Tahoma"/>
            <family val="2"/>
          </rPr>
          <t xml:space="preserve">Se quita el equipo de Monse y sus fermentadores
</t>
        </r>
      </text>
    </comment>
    <comment ref="E90" authorId="0" shapeId="0" xr:uid="{E4F43A12-310A-4E32-9019-508CB8DE4EC8}">
      <text>
        <r>
          <rPr>
            <b/>
            <sz val="9"/>
            <color indexed="81"/>
            <rFont val="Tahoma"/>
            <family val="2"/>
          </rPr>
          <t>Se quita equio Los Fuertes del frío</t>
        </r>
      </text>
    </comment>
  </commentList>
</comments>
</file>

<file path=xl/sharedStrings.xml><?xml version="1.0" encoding="utf-8"?>
<sst xmlns="http://schemas.openxmlformats.org/spreadsheetml/2006/main" count="1392" uniqueCount="361">
  <si>
    <t>Años</t>
  </si>
  <si>
    <t>Area</t>
  </si>
  <si>
    <t>Prom Experiencia del Equipo</t>
  </si>
  <si>
    <t>Prom Edad</t>
  </si>
  <si>
    <t>Total  Dias de Vacaciones</t>
  </si>
  <si>
    <t>Prom Dias de Vacaciones</t>
  </si>
  <si>
    <t>Mín. Antigüedad</t>
  </si>
  <si>
    <t>Prom Antigüedad</t>
  </si>
  <si>
    <t>Máx. Antigüedad</t>
  </si>
  <si>
    <t>COCIMIENTOS</t>
  </si>
  <si>
    <t>CUARTOS FRIOS</t>
  </si>
  <si>
    <t>ELABORACION</t>
  </si>
  <si>
    <t>MANTENIMIENTO</t>
  </si>
  <si>
    <t>Total general</t>
  </si>
  <si>
    <t>Mín. Edad</t>
  </si>
  <si>
    <t>Máx. Edad</t>
  </si>
  <si>
    <t>Fecha de actualizacion  17-01-2026</t>
  </si>
  <si>
    <t>Banda</t>
  </si>
  <si>
    <t>Departamento</t>
  </si>
  <si>
    <t>Cuenta de Nombre del Lider</t>
  </si>
  <si>
    <t>Equipo Autonomo</t>
  </si>
  <si>
    <t xml:space="preserve"> Integrantes</t>
  </si>
  <si>
    <t>GERENTE DE ELABORACION</t>
  </si>
  <si>
    <t>BREWMAN</t>
  </si>
  <si>
    <t>GERENTE CFR</t>
  </si>
  <si>
    <t xml:space="preserve">AXEL GUILLEN RAMÍREZ </t>
  </si>
  <si>
    <t>GERENTE DE COCIMIENTOS</t>
  </si>
  <si>
    <t>ERNESTO ANGEL RANGEL</t>
  </si>
  <si>
    <t>INGENIERO EN PROCESOS</t>
  </si>
  <si>
    <t>STAFF PRODUCTIVIDAD CERV MANTENIMIENTO</t>
  </si>
  <si>
    <t>CLAUDIA ALEXANDRA ALVAREZ BARBA</t>
  </si>
  <si>
    <t>SUPERVISOR DE COCIMIENTOS</t>
  </si>
  <si>
    <t>LOS CAZADORES DEL AMARGOR</t>
  </si>
  <si>
    <t>SUPERVISOR DE MATERIAS PRIMAS</t>
  </si>
  <si>
    <t>LOS PANCHITOS</t>
  </si>
  <si>
    <t>TECNICO DE ELABORACION</t>
  </si>
  <si>
    <t>MASH-RAINBOW</t>
  </si>
  <si>
    <t>TECNICO MANTENIMIENTO</t>
  </si>
  <si>
    <t>MOSTO-BOYS</t>
  </si>
  <si>
    <t>CUCHILLAS</t>
  </si>
  <si>
    <t>SUPERVISOR DE CUARTOS FRIOS</t>
  </si>
  <si>
    <t>JAIME ALEJANDRO LAGUNAS CARRERA</t>
  </si>
  <si>
    <t>LOS BRONCOS</t>
  </si>
  <si>
    <t>PLANEADOR</t>
  </si>
  <si>
    <t>REYES DE LA MEZCLA</t>
  </si>
  <si>
    <t>SUPERVISOR DE MANTENIMIENTO</t>
  </si>
  <si>
    <t>LOS FUERTES DEL FRIO</t>
  </si>
  <si>
    <t>ANDAMOS CON TODO</t>
  </si>
  <si>
    <t>BRAVOS DEL FRIO</t>
  </si>
  <si>
    <t>RUBEN EDGARDO OLIVA ESPINOSA</t>
  </si>
  <si>
    <t>MUNICH</t>
  </si>
  <si>
    <t>NAHUALES</t>
  </si>
  <si>
    <t>Operador de Braumat</t>
  </si>
  <si>
    <t>Operador</t>
  </si>
  <si>
    <t>Supervisor líder principal EA</t>
  </si>
  <si>
    <t>Puesto en en Worday</t>
  </si>
  <si>
    <t>SHARP</t>
  </si>
  <si>
    <t>Integrante</t>
  </si>
  <si>
    <t>SHARP Lider</t>
  </si>
  <si>
    <t>Nombre del Lider</t>
  </si>
  <si>
    <t>Nombre del Equipo</t>
  </si>
  <si>
    <t xml:space="preserve">Observaciones </t>
  </si>
  <si>
    <t>Turno (Para Estructura)</t>
  </si>
  <si>
    <t xml:space="preserve">Fecha de Ingreso  </t>
  </si>
  <si>
    <t>Fecha de Nacimiento</t>
  </si>
  <si>
    <t>Antigüedad</t>
  </si>
  <si>
    <t>Edad</t>
  </si>
  <si>
    <t>Dias de Vacaciones</t>
  </si>
  <si>
    <t>Escolaridad</t>
  </si>
  <si>
    <t>Cursos Externos</t>
  </si>
  <si>
    <t>Materias Primas</t>
  </si>
  <si>
    <t>Cocedor - Macerador</t>
  </si>
  <si>
    <t>Filtro-Olla</t>
  </si>
  <si>
    <t>Determinacion de Platos</t>
  </si>
  <si>
    <t>Operación Fermentacion</t>
  </si>
  <si>
    <t>Filtros</t>
  </si>
  <si>
    <t>BBTS</t>
  </si>
  <si>
    <t>Planeacion Cerveza</t>
  </si>
  <si>
    <t>Manejo de Inventarios C.Frios</t>
  </si>
  <si>
    <t>Operación Blender</t>
  </si>
  <si>
    <t>Champion Seguridad</t>
  </si>
  <si>
    <t>Champion Ambiental</t>
  </si>
  <si>
    <t>Champion Gestion</t>
  </si>
  <si>
    <t>Champion Gente</t>
  </si>
  <si>
    <t>Champion Calidad</t>
  </si>
  <si>
    <t>Champion Logistica</t>
  </si>
  <si>
    <t>Champion Mantto</t>
  </si>
  <si>
    <t>Especialista PSM Dust</t>
  </si>
  <si>
    <t>Planeacion Cocimientos</t>
  </si>
  <si>
    <t>Tecnico Electrico</t>
  </si>
  <si>
    <t>Tecnico Electronico</t>
  </si>
  <si>
    <t>Tecnico Mecanico</t>
  </si>
  <si>
    <t>Supervisor de Mantto</t>
  </si>
  <si>
    <t>Planeador de Mantto</t>
  </si>
  <si>
    <t>Ayudante de Disolución</t>
  </si>
  <si>
    <t>Preparador</t>
  </si>
  <si>
    <t>Relevo y QUAS</t>
  </si>
  <si>
    <t>Recibo de Materias Primas</t>
  </si>
  <si>
    <t>Recibo de Quimicos</t>
  </si>
  <si>
    <t>Tolvas de Bagazo</t>
  </si>
  <si>
    <t>JUAN SALAZAR BANDA</t>
  </si>
  <si>
    <t>LIDER DE TURNO</t>
  </si>
  <si>
    <t>INGENIERIA</t>
  </si>
  <si>
    <t>ABEL GUILLERMO MAZATAN PAREDES</t>
  </si>
  <si>
    <t>TECNICO  MANTENIMIENTO</t>
  </si>
  <si>
    <t>BACHILLERATO</t>
  </si>
  <si>
    <t xml:space="preserve">OPERADOR DE MONTACARGAS </t>
  </si>
  <si>
    <t xml:space="preserve">AM </t>
  </si>
  <si>
    <t>MARIO ALBERTO ZAMARRIPA LLANAS</t>
  </si>
  <si>
    <t>SECUNDARIA</t>
  </si>
  <si>
    <t xml:space="preserve">OPERADOR PREPARADOR </t>
  </si>
  <si>
    <t>B</t>
  </si>
  <si>
    <t>JOSÉ LUIS MALDONADO</t>
  </si>
  <si>
    <t xml:space="preserve">OPERADOR RECIBO DE QUÍMICOS </t>
  </si>
  <si>
    <t>BM</t>
  </si>
  <si>
    <t>ADRIAN HERNANDEZ DE AVILA</t>
  </si>
  <si>
    <t>OPERADOR PREPARADOR</t>
  </si>
  <si>
    <t>OPERADOR RELEVO Y QUAS</t>
  </si>
  <si>
    <t>MANUEL DE JESUS DEL REAL ESQUIVEL</t>
  </si>
  <si>
    <t xml:space="preserve">OPERADOR DE MATERIAS PRIMAS </t>
  </si>
  <si>
    <t>C</t>
  </si>
  <si>
    <t>VALERIA NATALY CASTAÑON RAMIREZ</t>
  </si>
  <si>
    <t xml:space="preserve">BETSAIDA GUERRERO SILVA </t>
  </si>
  <si>
    <t xml:space="preserve">OPERADOR DE MATERIAS PRIMAS  </t>
  </si>
  <si>
    <t>BASE</t>
  </si>
  <si>
    <t xml:space="preserve">CONCEPCIÓN REYES MONTERO </t>
  </si>
  <si>
    <t>PREPARATORIA</t>
  </si>
  <si>
    <t>J JESUS ALVARADO TENORIO</t>
  </si>
  <si>
    <t>RELEVO DE VACACIONES</t>
  </si>
  <si>
    <t>LICENCIATURA</t>
  </si>
  <si>
    <t>OBED CALVILLO RAMIREZ</t>
  </si>
  <si>
    <t>PAOLA CRISTINA OLIVARES SANCHEZ</t>
  </si>
  <si>
    <t>LIDER SECUNDARIO</t>
  </si>
  <si>
    <t>FÁTIMA NEDITH GOMEZ MIRELES</t>
  </si>
  <si>
    <t>CERVECERO</t>
  </si>
  <si>
    <t>OSCAR NUÑEZ CALZADA</t>
  </si>
  <si>
    <t>SIEBEL</t>
  </si>
  <si>
    <t>JUAN RAMON JIMENEZ DELGADO</t>
  </si>
  <si>
    <t>J MARIO TRUJILLO MEZA</t>
  </si>
  <si>
    <t>JUAN ANTONIO VALDEZ LICERIO</t>
  </si>
  <si>
    <t>BACCHILLERATO</t>
  </si>
  <si>
    <t xml:space="preserve">OPERADOR ADICIONADOR </t>
  </si>
  <si>
    <t>URIEL ESCOBEDO MURO</t>
  </si>
  <si>
    <t>EXCEL</t>
  </si>
  <si>
    <t>OMAR ALBERTO ROBLES SOSA</t>
  </si>
  <si>
    <t xml:space="preserve">OPERADOR AYUDANTE DE DISOLUCIÓN </t>
  </si>
  <si>
    <t>MARCO AURELIO CUAUCOATL RAMIREZ REVELES</t>
  </si>
  <si>
    <t>RAFAEL VERA ORTEGA</t>
  </si>
  <si>
    <t>ERIKA IVONE IBARRA NAVA</t>
  </si>
  <si>
    <t>JOSÉ FRANCISCO TORRES LÓPEZ</t>
  </si>
  <si>
    <t>HUGO ALBERTO CARDONA ESPINOZA</t>
  </si>
  <si>
    <t>LUIS FERNANDO GUTIERREZ</t>
  </si>
  <si>
    <t xml:space="preserve">OPERADOR RELEVO DE MONTACARGAS </t>
  </si>
  <si>
    <t>LEOBARDO VARELA NIETO</t>
  </si>
  <si>
    <t>SANTIAGO HERRERA AMADOR</t>
  </si>
  <si>
    <t xml:space="preserve">OPERADOR DE TOLVAS DE BAGAZO </t>
  </si>
  <si>
    <t>EDGAR EMANUEL JUAREZ ALBA</t>
  </si>
  <si>
    <t>HECTOR HUGO VALDEZ PIÑA</t>
  </si>
  <si>
    <t>JOSE MANUEL VARELA ROSALES</t>
  </si>
  <si>
    <t>OSCAR IVAN IBARRA ORTIZ</t>
  </si>
  <si>
    <t>RUBEN CARRILLO CASAS</t>
  </si>
  <si>
    <t>SOLDADURA, EQUIPO MINERO</t>
  </si>
  <si>
    <t>RODRÍGUEZ RANGEL JOSÉ LUIS</t>
  </si>
  <si>
    <t>JAIME LOPEZ CHAVEZ</t>
  </si>
  <si>
    <t>ALBERTO NUÑEZ VELEZ</t>
  </si>
  <si>
    <t>EDGAR ZAMARRON ACOSTA</t>
  </si>
  <si>
    <t>BACHILERATO</t>
  </si>
  <si>
    <t>RIGOBERTO MOTA CORTES</t>
  </si>
  <si>
    <t>J MANUEL RAYGOZA JUAREZ</t>
  </si>
  <si>
    <t>CARLOS RIVERA REYES</t>
  </si>
  <si>
    <t>CM</t>
  </si>
  <si>
    <t>J GUADALUPE GUZMAN MUÑOZ</t>
  </si>
  <si>
    <t>SAMANTHA MONTSERRAT ROJERO LERMA</t>
  </si>
  <si>
    <t>MANUEL DE JESUS CHAVEZ GARCIA</t>
  </si>
  <si>
    <t>JOSE LUIS CAZARES PINALES</t>
  </si>
  <si>
    <t>JOSE CARLOS CARDONA LOERA</t>
  </si>
  <si>
    <t>ALDO ADRIAN SIFUENTES VELOZ</t>
  </si>
  <si>
    <t>JOSE AMADOR RODRIGUEZ JUAREZ</t>
  </si>
  <si>
    <t>EDUARDO VALLE ARIAS</t>
  </si>
  <si>
    <t>J JESUS RIVERA MEDINA</t>
  </si>
  <si>
    <t>PRIMARIA</t>
  </si>
  <si>
    <t>RAÚL BAÑUELOS FLORES</t>
  </si>
  <si>
    <t>TEC ELECTROMECANICO</t>
  </si>
  <si>
    <t>BOMBERO DE CERVEZA</t>
  </si>
  <si>
    <t>AM</t>
  </si>
  <si>
    <t>ROGELIO MARTINEZ ALVARADO</t>
  </si>
  <si>
    <t>IVAN ALEJANDRO ROJERO MALDONADO</t>
  </si>
  <si>
    <t>Bombero de cerveza</t>
  </si>
  <si>
    <t>TOPILTZIN TONATIUH I CURIEL CABRAL</t>
  </si>
  <si>
    <t>LLENADOR DE MOSTOS</t>
  </si>
  <si>
    <t>BENITO VALLE VELAZQUEZ</t>
  </si>
  <si>
    <t>Llenador de mosto</t>
  </si>
  <si>
    <t>BOMBERO DE LEVADURA</t>
  </si>
  <si>
    <t>A</t>
  </si>
  <si>
    <t>Operador de blender</t>
  </si>
  <si>
    <t>JUAN JOSE MEJIA MONTOYA</t>
  </si>
  <si>
    <t>OPERADOR DE PLATOS</t>
  </si>
  <si>
    <t>PEDRO LUIS RODRIGUEZ GAMEZ</t>
  </si>
  <si>
    <t>Manejo de tierras filtrantes</t>
  </si>
  <si>
    <t>CURSANDO LIC.</t>
  </si>
  <si>
    <t>OSCAR CAMPOS GUERRERO</t>
  </si>
  <si>
    <t>QUAS</t>
  </si>
  <si>
    <t>RAUL DAVID CORTES ALANIZ</t>
  </si>
  <si>
    <t>QUAs</t>
  </si>
  <si>
    <t>LLENADOR DE GOBIERNO</t>
  </si>
  <si>
    <t>JESUS CALDERON ALFARO</t>
  </si>
  <si>
    <t>Llenador de gobierno</t>
  </si>
  <si>
    <t>JESUS MENCHACA DEL VILLAR</t>
  </si>
  <si>
    <t>PEDRO ANTONIO URIBE ARANDA</t>
  </si>
  <si>
    <t>SERGIO MIGUEL PARRA VAZQUEZ</t>
  </si>
  <si>
    <t>ARTURO SAUCEDO CABRERA</t>
  </si>
  <si>
    <t>MIGUEL ANGEL RIVERA MUÑOZ</t>
  </si>
  <si>
    <t>MIGUEL ANGEL SANCHEZ FLORES</t>
  </si>
  <si>
    <t>Técnico de elaboración</t>
  </si>
  <si>
    <t>VACIADOR DE GOBIERNO</t>
  </si>
  <si>
    <t>RAFAEL CHAVEZ REVELES</t>
  </si>
  <si>
    <t>Vaciador de gobierno</t>
  </si>
  <si>
    <t>RODOLFO CABRERA CASTRO</t>
  </si>
  <si>
    <t>ARMANDO RAYZOLA ROLDAN</t>
  </si>
  <si>
    <t>WILMAR YOEL GONZALEZ LARA</t>
  </si>
  <si>
    <t>PEDRO MALDONADO MARQUEZ</t>
  </si>
  <si>
    <t>JESUS EDUARDO BRICEÑO MONTELONGO</t>
  </si>
  <si>
    <t>Bombero de levadura</t>
  </si>
  <si>
    <t>LUIS MANUEL DOMINGUEZ GARCIA</t>
  </si>
  <si>
    <t>JUAN MANUEL HUERTA DE LA ROSA</t>
  </si>
  <si>
    <t>MAURICIO ARELLANO TREJO</t>
  </si>
  <si>
    <t>HUMBERTO RODARTE MARTINEZ</t>
  </si>
  <si>
    <t>RAFAEL MARTINEZ MARES</t>
  </si>
  <si>
    <t>ERON GUARDADO ROBLES</t>
  </si>
  <si>
    <t>ENRIQUE MEDINA GARCIA</t>
  </si>
  <si>
    <t>LUIS ADOLFO MALDONADO DOMINGUEZ</t>
  </si>
  <si>
    <t>Platos</t>
  </si>
  <si>
    <t>PEDRO PALOS JARA</t>
  </si>
  <si>
    <t>FRANCISCO JAVIER VARELA RODRIGUEZ</t>
  </si>
  <si>
    <t>GUSTAVO MELENCIANO MARTINEZ</t>
  </si>
  <si>
    <t>JUAN GABRIEL HERNANDEZ GUARDADO</t>
  </si>
  <si>
    <t>MANEJO DE TIERRAS FILTRANTES</t>
  </si>
  <si>
    <t>OSWALDO DELGADILLO GONZALEZ</t>
  </si>
  <si>
    <t>EDGAR RENE DIAZ SANCHEZ</t>
  </si>
  <si>
    <t>ALDO ERNESTO SILVA VARELA</t>
  </si>
  <si>
    <t>JUAN FRANCISCO GARCIA CARRILLO</t>
  </si>
  <si>
    <t>GUILLERMO GERARDO GONZALEZ ULLOA</t>
  </si>
  <si>
    <t>MARIO ALBERTO REYES HERNANDEZ</t>
  </si>
  <si>
    <t>JOSE EDUARDO ALVARADO CEBALLOS</t>
  </si>
  <si>
    <t>JOSE LEANDRO MARTINEZ SANDOVAL</t>
  </si>
  <si>
    <t>GERMAN RUEDAS SANCHEZ</t>
  </si>
  <si>
    <t>JORGE ALBERTO ORTIZ HERNANDEZ</t>
  </si>
  <si>
    <t>LUIS FERNANDO ZAPATA CARDONA</t>
  </si>
  <si>
    <t>JUAN CARLOS MORALES ORTIZ</t>
  </si>
  <si>
    <t>JAIME CID VEYNA</t>
  </si>
  <si>
    <t>CARLOS EDUARDO ORNEDO ESQUEDA</t>
  </si>
  <si>
    <t>JUAN MANUEL RODARTE MARTINEZ</t>
  </si>
  <si>
    <t>VICTOR HUGO ASCENCIO LEYVA</t>
  </si>
  <si>
    <t>MANUEL DE JESUS FALCON ARROYO</t>
  </si>
  <si>
    <t>JORGE LUIS RODRIGUEZ BERMUDEZ</t>
  </si>
  <si>
    <t>OSCAR RODRIGUEZ CODALLOS</t>
  </si>
  <si>
    <t>RODOLFO ESPARZA GONZALEZ</t>
  </si>
  <si>
    <t>Jose Guadalupe Valle Acuña</t>
  </si>
  <si>
    <t>RICARDO ESPARZA DOMINGUEZ</t>
  </si>
  <si>
    <t>EFREN GONZALEZ CONTRERAS</t>
  </si>
  <si>
    <t>HECTOR MANUEL DE LA ROSA AGUERO</t>
  </si>
  <si>
    <t>RICARDO ESTEBAN JARAMILLO  ROBLES</t>
  </si>
  <si>
    <t>SHERLYN GARCIA PEREZ</t>
  </si>
  <si>
    <t>ANA PAOLA PERERA MARIN</t>
  </si>
  <si>
    <t>BLENDER</t>
  </si>
  <si>
    <t>CARLOS ADRIAN ROBLES MONTENEGRO</t>
  </si>
  <si>
    <t>HELMER DEL REAL PEREZ</t>
  </si>
  <si>
    <t>JOSE REFUGIO LOPEZ MARTINEZ</t>
  </si>
  <si>
    <t>LUIS ARMANDO REYES DEL REAL</t>
  </si>
  <si>
    <t>LUIS RICARDO VALDES SANCHEZ</t>
  </si>
  <si>
    <t>NESTOR MONTOYA DUEÑAS</t>
  </si>
  <si>
    <t>VICTOR SOTO LIZARDO</t>
  </si>
  <si>
    <t>OSCAR EDUARDO VALDEZ MUÑOZ</t>
  </si>
  <si>
    <t>ISAÍ SOLOZANO HUARACHA</t>
  </si>
  <si>
    <t>VICTOR HUGO ZAPATA DOMINGUEZ</t>
  </si>
  <si>
    <t>ARIADNNE MAGDALENA TORRES RODRIGUEZ</t>
  </si>
  <si>
    <t>OSCAR GUILLERMO MEJIA GARCIA</t>
  </si>
  <si>
    <t>SUPERVISOR PROPAGACION</t>
  </si>
  <si>
    <t>OSCAR MANUEL GONZALEZ BOTELLO</t>
  </si>
  <si>
    <t>INGENIERO EN PROCESO</t>
  </si>
  <si>
    <t>ADRIAN DIAZ MARRUFO</t>
  </si>
  <si>
    <t>GERENTE DE AREA</t>
  </si>
  <si>
    <t>AXEL GUILLEN RAMIREZ</t>
  </si>
  <si>
    <t>Ingeniero Mecatronico</t>
  </si>
  <si>
    <t>ALEJANDRO LOPEZ RODRIGUEZ</t>
  </si>
  <si>
    <t>JUAN CARLOS CALVILLO GARAY</t>
  </si>
  <si>
    <t>Especialista de Filtracion e buscara que sea PTE</t>
  </si>
  <si>
    <t>Preparatoria</t>
  </si>
  <si>
    <t>LAZARO QUEZADA OJEDA</t>
  </si>
  <si>
    <t>Tecnico Maquinas Herramientas (Conalep)</t>
  </si>
  <si>
    <t>SERGIO ENRIQUE RODRIGUEZ  ESPARZA</t>
  </si>
  <si>
    <t>Secundaria</t>
  </si>
  <si>
    <t>MARCO ANTONIO MENCHACA PEREZ</t>
  </si>
  <si>
    <t>JUAN ISIDRO CAMPOS SOLIS</t>
  </si>
  <si>
    <t>Bachillerato Tecnico</t>
  </si>
  <si>
    <t>ARTURO VELAZQUEZ BELTRAN</t>
  </si>
  <si>
    <t>Carrera Tecnica mecanico electricista.(Conalep)</t>
  </si>
  <si>
    <t>HERIBERTO LIMON BORREGO</t>
  </si>
  <si>
    <t>Especialista de Fermentacion se buscara que sea PTE</t>
  </si>
  <si>
    <t>Secundario</t>
  </si>
  <si>
    <t>LUIS ANTONIO RAMIREZ ACOSTA</t>
  </si>
  <si>
    <t>Carrera tecnica (electronico industrial).</t>
  </si>
  <si>
    <t>JUAN LOPEZ JUAREZ</t>
  </si>
  <si>
    <t>VICTOR MENDOZA MARTINEZ</t>
  </si>
  <si>
    <t>RAMON COLLAZO CAMARILLO</t>
  </si>
  <si>
    <t>Tecnico mecanico automotriz (Diesel)</t>
  </si>
  <si>
    <t>ALEJANDRO DE JESUS ROBLES GUZMAN</t>
  </si>
  <si>
    <t>Ingeniero Industrial</t>
  </si>
  <si>
    <t>EUSEBIO IBARRA</t>
  </si>
  <si>
    <t>LUIS OTONIEL PACHECO</t>
  </si>
  <si>
    <t>Tecnico Electromecánico-Industrial</t>
  </si>
  <si>
    <t xml:space="preserve"> PABLO CESAR OROZCO DELGADO</t>
  </si>
  <si>
    <t>Ingenieria</t>
  </si>
  <si>
    <t>LUIS MANUEL GARCIA VICTORIO</t>
  </si>
  <si>
    <t>Arquitecto</t>
  </si>
  <si>
    <t>FILIBERTO PINEDO RODRIGUEZ</t>
  </si>
  <si>
    <t>Bachillerato</t>
  </si>
  <si>
    <t>VICTOR MANUEL DE JESUS SIMENTAL</t>
  </si>
  <si>
    <t>Carrera tecnica (Programador-analista)</t>
  </si>
  <si>
    <t>VICTOR MANUEL HURTADO ORTIZ</t>
  </si>
  <si>
    <t>EDUARDO NERI DE LUNA</t>
  </si>
  <si>
    <t>GERARDO ESPARZA TOSTADO</t>
  </si>
  <si>
    <t>JOSE MARIA LUJAN SORIANO</t>
  </si>
  <si>
    <t>Especialista de Cocimientos</t>
  </si>
  <si>
    <t>SERGIO TRUJILLO GUARDADO</t>
  </si>
  <si>
    <t>ANDRES SARABIA RODARTE</t>
  </si>
  <si>
    <t>JOSE GABRIEL RODRIGUEZ CERVANTES.</t>
  </si>
  <si>
    <t>FLAVIO CESAR DIAZ MALDONADO</t>
  </si>
  <si>
    <t>TSU</t>
  </si>
  <si>
    <t>JUAN ANTONIO RIVERA NAJAR</t>
  </si>
  <si>
    <t>Ingeniero En Energia Renovables</t>
  </si>
  <si>
    <t>MARIO DAVID CASTAÑEDA</t>
  </si>
  <si>
    <t>ARTURO RODARTE</t>
  </si>
  <si>
    <t>PEDRO RODRIGUEZ GUERRERO</t>
  </si>
  <si>
    <t>SUPERVISOR DE CONTROL &amp; AUTOMATIZACION</t>
  </si>
  <si>
    <t>JOSE BENJAMIN RAMIREZ RAMIREZ</t>
  </si>
  <si>
    <t xml:space="preserve">PLANEADOR </t>
  </si>
  <si>
    <t>Ingeniero Electromecanico</t>
  </si>
  <si>
    <t>JUAN CARLOS CEBALLOS</t>
  </si>
  <si>
    <t>Ingeniero Mecanico</t>
  </si>
  <si>
    <t>REPOSICION PENDIENTE</t>
  </si>
  <si>
    <t>DPTO</t>
  </si>
  <si>
    <t xml:space="preserve">Puesto </t>
  </si>
  <si>
    <t>BANDA/  CATEGORIA</t>
  </si>
  <si>
    <t>INTEGRANTES</t>
  </si>
  <si>
    <t>SHARP LÍDER</t>
  </si>
  <si>
    <t>NOMBRE DEL LIDER</t>
  </si>
  <si>
    <t>NOMBRE DEL EQUIPO</t>
  </si>
  <si>
    <t>OBSERVACIONES</t>
  </si>
  <si>
    <t>SAMUEL MONTES JUAREZ</t>
  </si>
  <si>
    <t>LOS CHAMBINES DE FERMENTACIÓN</t>
  </si>
  <si>
    <t>HECTOR ALEJANDRO CRISTERNA CRUZ</t>
  </si>
  <si>
    <t>(Todas)</t>
  </si>
  <si>
    <t>GOBIERNO</t>
  </si>
  <si>
    <t>RODRIGO REGALADO PALOMEQUE</t>
  </si>
  <si>
    <t>Supervisor Elaboraión</t>
  </si>
  <si>
    <t>ALEXIS BERLIN ALVAREZ CORONA</t>
  </si>
  <si>
    <t>Etiquetas de fila</t>
  </si>
  <si>
    <t>Cuenta de Nombre del Equipo</t>
  </si>
  <si>
    <t>(en blanco)</t>
  </si>
  <si>
    <t>CESAR RODRIGUEZ BANDA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</si>
</sst>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FFFF"/>
      <name val="Aptos Narrow"/>
      <family val="2"/>
    </font>
    <font>
      <sz val="11"/>
      <color rgb="FF000000"/>
      <name val="Aptos Narrow"/>
      <family val="2"/>
    </font>
    <font>
      <sz val="12"/>
      <name val="Aptos Narrow"/>
      <family val="2"/>
    </font>
    <font>
      <sz val="12"/>
      <color rgb="FF000000"/>
      <name val="Aptos Narrow"/>
      <family val="2"/>
    </font>
    <font>
      <sz val="12"/>
      <color theme="1"/>
      <name val="Calibri"/>
      <family val="2"/>
      <scheme val="minor"/>
    </font>
    <font>
      <sz val="12"/>
      <color rgb="FF000000"/>
      <name val="Aptos Narrow"/>
      <family val="2"/>
    </font>
    <font>
      <sz val="12"/>
      <color rgb="FF0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left" indent="1"/>
    </xf>
    <xf numFmtId="0" fontId="0" fillId="2" borderId="0" xfId="0" applyFill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/>
    <xf numFmtId="0" fontId="4" fillId="4" borderId="0" xfId="0" applyFont="1" applyFill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readingOrder="1"/>
    </xf>
    <xf numFmtId="0" fontId="6" fillId="8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readingOrder="1"/>
    </xf>
    <xf numFmtId="0" fontId="2" fillId="0" borderId="1" xfId="1" applyFont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wrapText="1"/>
    </xf>
    <xf numFmtId="0" fontId="0" fillId="7" borderId="0" xfId="0" applyFill="1"/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14" fontId="4" fillId="5" borderId="0" xfId="0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11" fillId="11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14" fontId="11" fillId="11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0" borderId="0" xfId="0" pivotButton="1"/>
    <xf numFmtId="0" fontId="1" fillId="0" borderId="0" xfId="0" pivotButton="1" applyFont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4" fillId="5" borderId="0" xfId="0" applyFont="1" applyFill="1"/>
    <xf numFmtId="0" fontId="10" fillId="10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4" fillId="4" borderId="0" xfId="0" applyFont="1" applyFill="1"/>
    <xf numFmtId="0" fontId="4" fillId="0" borderId="0" xfId="0" applyFont="1"/>
  </cellXfs>
  <cellStyles count="2">
    <cellStyle name="Normal" xfId="0" builtinId="0"/>
    <cellStyle name="Normal 2" xfId="1" xr:uid="{F0E46C10-66C1-43F5-8B8B-BDCA8C493A1B}"/>
  </cellStyles>
  <dxfs count="105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numFmt numFmtId="1" formatCode="0"/>
    </dxf>
    <dxf>
      <alignment vertical="center"/>
    </dxf>
    <dxf>
      <alignment horizontal="center"/>
    </dxf>
    <dxf>
      <numFmt numFmtId="2" formatCode="0.00"/>
    </dxf>
    <dxf>
      <alignment vertical="center"/>
    </dxf>
    <dxf>
      <alignment horizontal="center"/>
    </dxf>
    <dxf>
      <numFmt numFmtId="2" formatCode="0.00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11837</xdr:colOff>
      <xdr:row>0</xdr:row>
      <xdr:rowOff>0</xdr:rowOff>
    </xdr:from>
    <xdr:to>
      <xdr:col>19</xdr:col>
      <xdr:colOff>394737</xdr:colOff>
      <xdr:row>14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AD03D8-6217-4827-BF90-115E0F83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4887" y="0"/>
          <a:ext cx="4707250" cy="2809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axelguillenramirez_gmodelo_com_mx/Documents/Estructura%20de%20Elab/Personal%20Elaboracion%20R8_2025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Guillen Ramirez" refreshedDate="46078.963167361107" createdVersion="8" refreshedVersion="8" minRefreshableVersion="3" recordCount="166" xr:uid="{0B69753C-28C0-4FE9-9D18-D15FD42F3A0A}">
  <cacheSource type="worksheet">
    <worksheetSource ref="A3:AU169" sheet="Personal Total" r:id="rId2"/>
  </cacheSource>
  <cacheFields count="47">
    <cacheField name="Departamento" numFmtId="0">
      <sharedItems count="4">
        <s v="COCIMIENTOS"/>
        <s v="CUARTOS FRIOS"/>
        <s v="ELABORACION"/>
        <s v="MANTENIMIENTO"/>
      </sharedItems>
    </cacheField>
    <cacheField name="Puesto en en Worday" numFmtId="0">
      <sharedItems count="33">
        <s v="SUPERVISOR DE COCIMIENTOS"/>
        <s v="TECNICO MANTENIMIENTO"/>
        <s v="OPERADOR DE MONTACARGAS "/>
        <s v="OPERADOR PREPARADOR "/>
        <s v="OPERADOR RECIBO DE QUÍMICOS "/>
        <s v="OPERADOR RELEVO Y QUAS"/>
        <s v="OPERADOR DE MATERIAS PRIMAS "/>
        <s v="TECNICO DE ELABORACION"/>
        <s v="OPERADOR DE MATERIAS PRIMAS  "/>
        <s v="OPERADOR ADICIONADOR "/>
        <s v="OPERADOR AYUDANTE DE DISOLUCIÓN "/>
        <s v="OPERADOR RELEVO DE MONTACARGAS "/>
        <s v="OPERADOR DE TOLVAS DE BAGAZO "/>
        <s v="SUPERVISOR DE MATERIAS PRIMAS"/>
        <s v="SUPERVISOR DE ELABORACION"/>
        <s v="SUPERVISOR DE CUARTOS FRIOS"/>
        <s v="BOMBERO DE LEVADURA"/>
        <s v="OPERADOR DE PLATOS"/>
        <s v="BOMBERO DE CERVEZA"/>
        <s v="LLENADOR DE GOBIERNO"/>
        <s v="LLENADOR DE MOSTOS"/>
        <s v="QUAS"/>
        <s v="VACIADOR DE GOBIERNO"/>
        <s v="MANEJO DE TIERRAS FILTRANTES"/>
        <s v="ESPECIALISTA DE ELABORACIÓN "/>
        <s v="BLENDER"/>
        <s v="INGENIERO EN PROCESOS"/>
        <s v="GERENTE CFR"/>
        <s v="STAFF PRODUCTIVIDAD CERV MANTENIMIENTO"/>
        <s v="GERENTE DE COCIMIENTOS"/>
        <s v="GERENTE DE ELABORACION"/>
        <s v="SUPERVISOR DE MANTENIMIENTO"/>
        <s v="PLANEADOR"/>
      </sharedItems>
    </cacheField>
    <cacheField name="Banda" numFmtId="0">
      <sharedItems containsMixedTypes="1" containsNumber="1" containsInteger="1" minValue="4" maxValue="9" count="14">
        <n v="7"/>
        <n v="9"/>
        <s v="AM "/>
        <s v="B"/>
        <s v="BM"/>
        <s v="C"/>
        <s v="BASE"/>
        <n v="8"/>
        <s v="CM"/>
        <s v="A"/>
        <s v="AM"/>
        <n v="5"/>
        <n v="6"/>
        <n v="4"/>
      </sharedItems>
    </cacheField>
    <cacheField name="SHARP" numFmtId="0">
      <sharedItems containsString="0" containsBlank="1" containsNumber="1" containsInteger="1" minValue="3245556" maxValue="32237830"/>
    </cacheField>
    <cacheField name="Integrante" numFmtId="0">
      <sharedItems count="166">
        <s v="JUAN SALAZAR BANDA"/>
        <s v="ABEL GUILLERMO MAZATAN PAREDES"/>
        <s v="MARIO ALBERTO ZAMARRIPA LLANAS"/>
        <s v="JOSÉ LUIS MALDONADO"/>
        <s v="ADRIAN HERNANDEZ DE AVILA"/>
        <s v="MANUEL DE JESUS DEL REAL ESQUIVEL"/>
        <s v="VALERIA NATALY CASTAÑON RAMIREZ"/>
        <s v="BETSAIDA GUERRERO SILVA "/>
        <s v="CONCEPCIÓN REYES MONTERO "/>
        <s v="J JESUS ALVARADO TENORIO"/>
        <s v="OBED CALVILLO RAMIREZ"/>
        <s v="PAOLA CRISTINA OLIVARES SANCHEZ"/>
        <s v="FÁTIMA NEDITH GOMEZ MIRELES"/>
        <s v="OSCAR NUÑEZ CALZADA"/>
        <s v="JUAN RAMON JIMENEZ DELGADO"/>
        <s v="J MARIO TRUJILLO MEZA"/>
        <s v="JUAN ANTONIO VALDEZ LICERIO"/>
        <s v="URIEL ESCOBEDO MURO"/>
        <s v="OMAR ALBERTO ROBLES SOSA"/>
        <s v="MARCO AURELIO CUAUCOATL RAMIREZ REVELES"/>
        <s v="RAFAEL VERA ORTEGA"/>
        <s v="ERIKA IVONE IBARRA NAVA"/>
        <s v="JOSÉ FRANCISCO TORRES LÓPEZ"/>
        <s v="HUGO ALBERTO CARDONA ESPINOZA"/>
        <s v="LEOBARDO VARELA NIETO"/>
        <s v="SANTIAGO HERRERA AMADOR"/>
        <s v="EDGAR EMANUEL JUAREZ ALBA"/>
        <s v="HECTOR HUGO VALDEZ PIÑA"/>
        <s v="JOSE MANUEL VARELA ROSALES"/>
        <s v="OSCAR IVAN IBARRA ORTIZ"/>
        <s v="RUBEN CARRILLO CASAS"/>
        <s v="RODRÍGUEZ RANGEL JOSÉ LUIS"/>
        <s v="JAIME LOPEZ CHAVEZ"/>
        <s v="ALBERTO NUÑEZ VELEZ"/>
        <s v="EDGAR ZAMARRON ACOSTA"/>
        <s v="RIGOBERTO MOTA CORTES"/>
        <s v="J MANUEL RAYGOZA JUAREZ"/>
        <s v="CARLOS RIVERA REYES"/>
        <s v="J GUADALUPE GUZMAN MUÑOZ"/>
        <s v="SAMANTHA MONTSERRAT ROJERO LERMA"/>
        <s v="LUIS FERNANDO GUTIERREZ"/>
        <s v="MANUEL DE JESUS CHAVEZ GARCIA"/>
        <s v="JOSE LUIS CAZARES PINALES"/>
        <s v="JOSE CARLOS CARDONA LOERA"/>
        <s v="ALDO ADRIAN SIFUENTES VELOZ"/>
        <s v="JOSE AMADOR RODRIGUEZ JUAREZ"/>
        <s v="EDUARDO VALLE ARIAS"/>
        <s v="J JESUS RIVERA MEDINA"/>
        <s v="RAÚL BAÑUELOS FLORES"/>
        <s v="ROGRIGO REGALADO"/>
        <s v="TOPILTZIN TONATIUH I CURIEL CABRAL"/>
        <s v="OSCAR RODRIGUEZ CODALLOS"/>
        <s v="PENDIENTE CONTRATACION"/>
        <s v="JUAN JOSE MEJIA MONTOYA"/>
        <s v="PEDRO LUIS RODRIGUEZ GAMEZ"/>
        <s v="OSCAR CAMPOS GUERRERO"/>
        <s v="JESUS EDUARDO BRICEÑO MONTELONGO"/>
        <s v="JESUS CALDERON ALFARO"/>
        <s v="JESUS MENCHACA DEL VILLAR"/>
        <s v="PEDRO ANTONIO URIBE ARANDA"/>
        <s v="SERGIO MIGUEL PARRA VAZQUEZ"/>
        <s v="MANUEL DE JESUS FALCON ARROYO"/>
        <s v="ALDO ERNESTO SILVA VARELA"/>
        <s v="LUIS FERNANDO ZAPATA CARDONA"/>
        <s v="SHERLYN GARCIA PEREZ"/>
        <s v="ISAÍ SOLOZANO HUARACHA"/>
        <s v="JUAN MANUEL RODARTE MARTINEZ"/>
        <s v="PEDRO MALDONADO MARQUEZ"/>
        <s v="RAUL DAVID CORTES ALANIZ"/>
        <s v="JUAN MANUEL HUERTA DE LA ROSA"/>
        <s v="MIGUEL ANGEL NAVARRO ESCOBEDO"/>
        <s v="ARMANDO RAYZOLA ROLDAN"/>
        <s v="PEDRO PALOS JARA"/>
        <s v="JORGE LUIS RODRIGUEZ BERMUDEZ"/>
        <s v="MARIO ALBERTO REYES HERNANDEZ"/>
        <s v="OSCAR EDUARDO VALDEZ MUÑOZ"/>
        <s v="OSWALDO DELGADILLO GONZALEZ"/>
        <s v="RICARDO ESTEBAN JARAMILLO  ROBLES"/>
        <s v="LUIS ADOLFO MALDONADO DOMINGUEZ"/>
        <s v="VICTOR MANUEL REYES VALLE"/>
        <s v="ARIADNNE MAGDALENA TORRES RODRIGUEZ"/>
        <s v="FRANCISCO JAVIER VARELA RODRIGUEZ"/>
        <s v="MIGUEL ANGEL RIVERA MUÑOZ"/>
        <s v="GUSTAVO MELENCIANO MARTINEZ"/>
        <s v="ENRIQUE MEDINA GARCIA"/>
        <s v="MIGUEL ANGEL SANCHEZ FLORES"/>
        <s v="ERON GUARDADO ROBLES"/>
        <s v="Jose Guadalupe Valle Acuña"/>
        <s v="ARTURO SAUCEDO CABRERA"/>
        <s v="JUAN CARLOS MORALES ORTIZ"/>
        <s v="EFREN GONZALEZ CONTRERAS"/>
        <s v="JOSE EDUARDO ALVARADO CEBALLOS"/>
        <s v="JOSE LEANDRO MARTINEZ SANDOVAL"/>
        <s v="CARLOS EDUARDO ORNEDO ESQUEDA"/>
        <s v="JORGE ALBERTO ORTIZ HERNANDEZ"/>
        <s v="RAFAEL CHAVEZ REVELES"/>
        <s v="JUAN GABRIEL HERNANDEZ GUARDADO"/>
        <s v="JAIME CID VEYNA"/>
        <s v="LUIS MANUEL DOMINGUEZ GARCIA"/>
        <s v="BENITO VALLE VELAZQUEZ"/>
        <s v="JUAN FRANCISCO GARCIA CARRILLO"/>
        <s v="HUMBERTO RODARTE MARTINEZ"/>
        <s v="RAFAEL MARTINEZ MARES"/>
        <s v="HECTOR MANUEL DE LA ROSA AGUERO"/>
        <s v="VICTOR HUGO ASCENCIO LEYVA"/>
        <s v="RODOLFO ESPARZA GONZALEZ"/>
        <s v="RICARDO ESPARZA DOMINGUEZ"/>
        <s v="ANA PAOLA PERERA MARIN"/>
        <s v="RODOLFO CABRERA CASTRO"/>
        <s v="GUILLERMO GERARDO GONZALEZ ULLOA"/>
        <s v="SAGRARIO MONTSERRAT BERNAL GARCIA"/>
        <s v="ROGELIO MARTINEZ ALVARADO"/>
        <s v="IVAN ALEJANDRO ROJERO MALDONADO"/>
        <s v="LUIS ALBERTO MONTAÑEZ ARELLANO"/>
        <s v="CARLOS ADRIAN ROBLES MONTENEGRO"/>
        <s v="HELMER DEL REAL PEREZ"/>
        <s v="JOSE REFUGIO LOPEZ MARTINEZ"/>
        <s v="LUIS ARMANDO REYES DEL REAL"/>
        <s v="LUIS RICARDO VALDES SANCHEZ"/>
        <s v="NESTOR MONTOYA DUEÑAS"/>
        <s v="WILMAR YOEL GONZALEZ LARA"/>
        <s v="VICTOR SOTO LIZARDO"/>
        <s v="MAURICIO ARELLANO TREJO"/>
        <s v="GERMAN RUEDAS SANCHEZ"/>
        <s v="VICTOR HUGO ZAPATA DOMINGUEZ"/>
        <s v="EDGAR RENE DIAZ SANCHEZ"/>
        <s v="OSCAR GUILLERMO MEJIA GARCIA"/>
        <s v="OSCAR MANUEL GONZALEZ BOTELLO"/>
        <s v="ADRIAN DIAZ MARRUFO"/>
        <s v="JAIME ALEJANDRO LAGUNAS CARRERA"/>
        <s v="RUBEN EDGARDO OLIVA ESPINOSA"/>
        <s v="CLAUDIA ALEXANDRA ALVAREZ BARBA"/>
        <s v="AXEL GUILLEN RAMIREZ"/>
        <s v="ALEJANDRO LOPEZ RODRIGUEZ"/>
        <s v="LAZARO QUEZADA OJEDA"/>
        <s v="SERGIO ENRIQUE RODRIGUEZ  ESPARZA"/>
        <s v="MARCO ANTONIO MENCHACA PEREZ"/>
        <s v="JUAN ISIDRO CAMPOS SOLIS"/>
        <s v="ARTURO VELAZQUEZ BELTRAN"/>
        <s v="HERIBERTO LIMON BORREGO"/>
        <s v="LUIS ANTONIO RAMIREZ ACOSTA"/>
        <s v="JUAN LOPEZ JUAREZ"/>
        <s v="VICTOR MENDOZA MARTINEZ"/>
        <s v="RAMON COLLAZO CAMARILLO"/>
        <s v="ALEJANDRO DE JESUS ROBLES GUZMAN"/>
        <s v="EUSEBIO IBARRA"/>
        <s v="LUIS OTONIEL PACHECO"/>
        <s v=" PABLO CESAR OROZCO DELGADO"/>
        <s v="JUAN CARLOS CALVILLO GARAY"/>
        <s v="LUIS MANUEL GARCIA VICTORIO"/>
        <s v="FILIBERTO PINEDO RODRIGUEZ"/>
        <s v="VICTOR MANUEL DE JESUS SIMENTAL"/>
        <s v="VICTOR MANUEL HURTADO ORTIZ"/>
        <s v="EDUARDO NERI DE LUNA"/>
        <s v="GERARDO ESPARZA TOSTADO"/>
        <s v="JOSE MARIA LUJAN SORIANO"/>
        <s v="SERGIO TRUJILLO GUARDADO"/>
        <s v="ANDRES SARABIA RODARTE"/>
        <s v="JOSE GABRIEL RODRIGUEZ CERVANTES."/>
        <s v="FLAVIO CESAR DIAZ MALDONADO"/>
        <s v="JUAN ANTONIO RIVERA NAJAR"/>
        <s v="MARIO DAVID CASTAÑEDA"/>
        <s v="ARTURO RODARTE"/>
        <s v="PEDRO RODRIGUEZ GUERRERO"/>
        <s v="JOSE BENJAMIN RAMIREZ RAMIREZ"/>
        <s v="JUAN CARLOS CEBALLOS"/>
      </sharedItems>
    </cacheField>
    <cacheField name="SHARP Lider" numFmtId="0">
      <sharedItems containsString="0" containsBlank="1" containsNumber="1" containsInteger="1" minValue="1" maxValue="32224001"/>
    </cacheField>
    <cacheField name="Nombre del Lider" numFmtId="0">
      <sharedItems containsBlank="1" count="21">
        <s v="CLAUDIA ALEXANDRA ALVAREZ BARBA"/>
        <s v="JUAN SALAZAR BANDA"/>
        <s v="FÁTIMA NEDITH GOMEZ MIRELES"/>
        <s v="LUIS FERNANDO GUTIERREZ"/>
        <s v="RODRÍGUEZ RANGEL JOSÉ LUIS"/>
        <s v="OBED CALVILLO RAMIREZ"/>
        <s v="IVAN ALEJANDRO ROJERO MALDONADO"/>
        <s v="JAIME ALEJANDRO LAGUNAS CARRERA"/>
        <s v="LUIS ALBERTO MONTAÑEZ ARELLANO"/>
        <s v="JUAN JOSE MEJIA MONTOYA"/>
        <s v="RAUL DAVID CORTES ALANIZ"/>
        <s v="MIGUEL ANGEL RIVERA MUÑOZ"/>
        <s v="AXEL GUILLEN RAMÍREZ "/>
        <s v="ERNESTO ANGEL RANGEL"/>
        <s v="JUAN CARLOS CALVILLO GARAY"/>
        <s v="RUBEN EDGARDO OLIVA ESPINOSA"/>
        <s v="LUIS MANUEL GARCIA VICTORIO"/>
        <s v="OSCAR NUÑEZ CALZADA" u="1"/>
        <s v="JOSE FRANCISCO TORRES LOPEZ" u="1"/>
        <s v="DEFINIR LIDER" u="1"/>
        <m u="1"/>
      </sharedItems>
    </cacheField>
    <cacheField name="Nombre del Equipo" numFmtId="0">
      <sharedItems containsBlank="1" count="22">
        <s v="CUCHILLAS"/>
        <s v="BREWMAN"/>
        <s v="MOSTO-BOYS"/>
        <s v="LOS CAZADORES DEL AMARGOR"/>
        <s v="LOS PANCHITOS"/>
        <s v="MASH-RAINBOW"/>
        <s v="LOS FUERTES DEL FRIO"/>
        <s v="REYES DE LA MEZCLA"/>
        <s v="ANDAMOS CON TODO"/>
        <s v="BRAVOS DEL FRIO"/>
        <s v="LOS BRONCOS"/>
        <s v="MUNICH"/>
        <s v="NAHUALES"/>
        <s v="Los fuertes del frío" u="1"/>
        <s v="Los reyes de la mezcla" u="1"/>
        <s v="Los andamos con todo" u="1"/>
        <s v="Los bravos del frío" u="1"/>
        <s v="DEFINIR EQUIPO" u="1"/>
        <s v="NO APLICA" u="1"/>
        <s v="LOS BRAVOS DEL FRIO" u="1"/>
        <m u="1"/>
        <s v="NO PERTENECE A NINGUNO" u="1"/>
      </sharedItems>
    </cacheField>
    <cacheField name="Observaciones " numFmtId="0">
      <sharedItems containsBlank="1"/>
    </cacheField>
    <cacheField name="Turno (Para Estructura)" numFmtId="0">
      <sharedItems containsString="0" containsBlank="1" containsNumber="1" containsInteger="1" minValue="1" maxValue="3"/>
    </cacheField>
    <cacheField name="Fecha de Ingreso  " numFmtId="14">
      <sharedItems containsNonDate="0" containsDate="1" containsString="0" containsBlank="1" minDate="1995-09-18T00:00:00" maxDate="2025-10-04T00:00:00"/>
    </cacheField>
    <cacheField name="Fecha de Nacimiento" numFmtId="14">
      <sharedItems containsNonDate="0" containsDate="1" containsString="0" containsBlank="1" minDate="1966-09-07T00:00:00" maxDate="2003-12-04T00:00:00"/>
    </cacheField>
    <cacheField name="Antigüedad" numFmtId="0">
      <sharedItems containsString="0" containsBlank="1" containsNumber="1" containsInteger="1" minValue="0" maxValue="30"/>
    </cacheField>
    <cacheField name="Edad" numFmtId="2">
      <sharedItems containsString="0" containsBlank="1" containsNumber="1" minValue="22.246575342465754" maxValue="59.509589041095893"/>
    </cacheField>
    <cacheField name="Dias de Vacaciones" numFmtId="0">
      <sharedItems containsString="0" containsBlank="1" containsNumber="1" containsInteger="1" minValue="12" maxValue="30"/>
    </cacheField>
    <cacheField name="Escolaridad" numFmtId="0">
      <sharedItems containsBlank="1"/>
    </cacheField>
    <cacheField name="Cursos Externos" numFmtId="0">
      <sharedItems containsBlank="1" containsMixedTypes="1" containsNumber="1" containsInteger="1" minValue="0" maxValue="1"/>
    </cacheField>
    <cacheField name="Materias Primas" numFmtId="0">
      <sharedItems containsString="0" containsBlank="1" containsNumber="1" containsInteger="1" minValue="0" maxValue="1"/>
    </cacheField>
    <cacheField name="Cocedor - Macerador" numFmtId="0">
      <sharedItems containsString="0" containsBlank="1" containsNumber="1" containsInteger="1" minValue="0" maxValue="1"/>
    </cacheField>
    <cacheField name="Filtro-Olla" numFmtId="0">
      <sharedItems containsString="0" containsBlank="1" containsNumber="1" containsInteger="1" minValue="0" maxValue="1"/>
    </cacheField>
    <cacheField name="Determinacion de Platos" numFmtId="0">
      <sharedItems containsString="0" containsBlank="1" containsNumber="1" containsInteger="1" minValue="0" maxValue="1"/>
    </cacheField>
    <cacheField name="Operación Fermentacion" numFmtId="0">
      <sharedItems containsString="0" containsBlank="1" containsNumber="1" containsInteger="1" minValue="0" maxValue="1"/>
    </cacheField>
    <cacheField name="Filtros" numFmtId="0">
      <sharedItems containsString="0" containsBlank="1" containsNumber="1" containsInteger="1" minValue="0" maxValue="1"/>
    </cacheField>
    <cacheField name="BBTS" numFmtId="0">
      <sharedItems containsString="0" containsBlank="1" containsNumber="1" containsInteger="1" minValue="0" maxValue="1"/>
    </cacheField>
    <cacheField name="Planeacion Cerveza" numFmtId="0">
      <sharedItems containsString="0" containsBlank="1" containsNumber="1" containsInteger="1" minValue="0" maxValue="1"/>
    </cacheField>
    <cacheField name="Manejo de Inventarios C.Frios" numFmtId="0">
      <sharedItems containsString="0" containsBlank="1" containsNumber="1" containsInteger="1" minValue="0" maxValue="1"/>
    </cacheField>
    <cacheField name="Operación Blender" numFmtId="0">
      <sharedItems containsString="0" containsBlank="1" containsNumber="1" containsInteger="1" minValue="0" maxValue="1"/>
    </cacheField>
    <cacheField name="Champion Seguridad" numFmtId="0">
      <sharedItems containsString="0" containsBlank="1" containsNumber="1" containsInteger="1" minValue="0" maxValue="1"/>
    </cacheField>
    <cacheField name="Champion Ambiental" numFmtId="0">
      <sharedItems containsString="0" containsBlank="1" containsNumber="1" containsInteger="1" minValue="0" maxValue="1"/>
    </cacheField>
    <cacheField name="Champion Gestion" numFmtId="0">
      <sharedItems containsString="0" containsBlank="1" containsNumber="1" containsInteger="1" minValue="0" maxValue="1"/>
    </cacheField>
    <cacheField name="Champion Gente" numFmtId="0">
      <sharedItems containsString="0" containsBlank="1" containsNumber="1" containsInteger="1" minValue="0" maxValue="1"/>
    </cacheField>
    <cacheField name="Champion Calidad" numFmtId="0">
      <sharedItems containsString="0" containsBlank="1" containsNumber="1" containsInteger="1" minValue="0" maxValue="0"/>
    </cacheField>
    <cacheField name="Champion Logistica" numFmtId="0">
      <sharedItems containsString="0" containsBlank="1" containsNumber="1" containsInteger="1" minValue="0" maxValue="1"/>
    </cacheField>
    <cacheField name="Champion Mantto" numFmtId="0">
      <sharedItems containsString="0" containsBlank="1" containsNumber="1" containsInteger="1" minValue="0" maxValue="1"/>
    </cacheField>
    <cacheField name="Especialista PSM Dust" numFmtId="0">
      <sharedItems containsString="0" containsBlank="1" containsNumber="1" containsInteger="1" minValue="0" maxValue="0"/>
    </cacheField>
    <cacheField name="Planeacion Cocimientos" numFmtId="0">
      <sharedItems containsString="0" containsBlank="1" containsNumber="1" containsInteger="1" minValue="0" maxValue="0"/>
    </cacheField>
    <cacheField name="Tecnico Electrico" numFmtId="0">
      <sharedItems containsString="0" containsBlank="1" containsNumber="1" containsInteger="1" minValue="0" maxValue="1"/>
    </cacheField>
    <cacheField name="Tecnico Electronico" numFmtId="0">
      <sharedItems containsString="0" containsBlank="1" containsNumber="1" containsInteger="1" minValue="0" maxValue="1"/>
    </cacheField>
    <cacheField name="Tecnico Mecanico" numFmtId="0">
      <sharedItems containsString="0" containsBlank="1" containsNumber="1" containsInteger="1" minValue="0" maxValue="1"/>
    </cacheField>
    <cacheField name="Supervisor de Mantto" numFmtId="0">
      <sharedItems containsString="0" containsBlank="1" containsNumber="1" containsInteger="1" minValue="0" maxValue="1"/>
    </cacheField>
    <cacheField name="Planeador de Mantto" numFmtId="0">
      <sharedItems containsString="0" containsBlank="1" containsNumber="1" containsInteger="1" minValue="0" maxValue="1"/>
    </cacheField>
    <cacheField name="Ayudante de Disolución" numFmtId="0">
      <sharedItems containsNonDate="0" containsString="0" containsBlank="1"/>
    </cacheField>
    <cacheField name="Preparador" numFmtId="0">
      <sharedItems containsNonDate="0" containsString="0" containsBlank="1"/>
    </cacheField>
    <cacheField name="Relevo y QUAS" numFmtId="0">
      <sharedItems containsNonDate="0" containsString="0" containsBlank="1"/>
    </cacheField>
    <cacheField name="Recibo de Materias Primas" numFmtId="0">
      <sharedItems containsNonDate="0" containsString="0" containsBlank="1"/>
    </cacheField>
    <cacheField name="Recibo de Quimicos" numFmtId="0">
      <sharedItems containsNonDate="0" containsString="0" containsBlank="1"/>
    </cacheField>
    <cacheField name="Tolvas de Bagaz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rlyn Garcia Perez" refreshedDate="46195.662605092592" createdVersion="8" refreshedVersion="8" minRefreshableVersion="3" recordCount="166" xr:uid="{C57CB4C5-14DE-4DEE-9290-447B4D8C0B56}">
  <cacheSource type="worksheet">
    <worksheetSource ref="A3:I165" sheet="Personal Total"/>
  </cacheSource>
  <cacheFields count="9">
    <cacheField name="Departamento" numFmtId="0">
      <sharedItems count="4">
        <s v="CUARTOS FRIOS"/>
        <s v="COCIMIENTOS"/>
        <s v="ELABORACION"/>
        <s v="MANTENIMIENTO"/>
      </sharedItems>
    </cacheField>
    <cacheField name="Puesto en en Worday" numFmtId="0">
      <sharedItems/>
    </cacheField>
    <cacheField name="Banda" numFmtId="0">
      <sharedItems containsMixedTypes="1" containsNumber="1" containsInteger="1" minValue="4" maxValue="9"/>
    </cacheField>
    <cacheField name="SHARP" numFmtId="0">
      <sharedItems containsString="0" containsBlank="1" containsNumber="1" containsInteger="1" minValue="3245556" maxValue="32244174"/>
    </cacheField>
    <cacheField name="Integrante" numFmtId="0">
      <sharedItems/>
    </cacheField>
    <cacheField name="SHARP Lider" numFmtId="0">
      <sharedItems containsString="0" containsBlank="1" containsNumber="1" containsInteger="1" minValue="1" maxValue="32209640"/>
    </cacheField>
    <cacheField name="Nombre del Lider" numFmtId="0">
      <sharedItems/>
    </cacheField>
    <cacheField name="Nombre del Equipo" numFmtId="0">
      <sharedItems containsBlank="1" count="14">
        <s v="ANDAMOS CON TODO"/>
        <m/>
        <s v="BRAVOS DEL FRIO"/>
        <s v="BREWMAN"/>
        <s v="CUCHILLAS"/>
        <s v="LOS BRONCOS"/>
        <s v="LOS CAZADORES DEL AMARGOR"/>
        <s v="LOS FUERTES DEL FRIO"/>
        <s v="REYES DE LA MEZCLA"/>
        <s v="LOS PANCHITOS"/>
        <s v="MASH-RAINBOW"/>
        <s v="MOSTO-BOYS"/>
        <s v="MUNICH"/>
        <s v="NAHUALES"/>
      </sharedItems>
    </cacheField>
    <cacheField name="Observaciones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x v="0"/>
    <x v="0"/>
    <x v="0"/>
    <n v="32045531"/>
    <x v="0"/>
    <n v="32132858"/>
    <x v="0"/>
    <x v="0"/>
    <s v="LIDER DE TURNO"/>
    <n v="1"/>
    <d v="2001-09-17T00:00:00"/>
    <d v="1977-10-30T00:00:00"/>
    <n v="24"/>
    <n v="48.356164383561641"/>
    <n v="28"/>
    <s v="INGENIERIA"/>
    <m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1"/>
    <x v="1"/>
    <n v="32044502"/>
    <x v="1"/>
    <n v="32045531"/>
    <x v="1"/>
    <x v="0"/>
    <s v="TECNICO  MANTENIMIENTO"/>
    <n v="1"/>
    <d v="1998-11-24T00:00:00"/>
    <d v="1979-03-01T00:00:00"/>
    <n v="27"/>
    <n v="47.021917808219179"/>
    <n v="30"/>
    <s v="BACHILLERATO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2"/>
    <x v="2"/>
    <n v="32102191"/>
    <x v="2"/>
    <n v="32045531"/>
    <x v="1"/>
    <x v="0"/>
    <s v="OPERADOR DE MONTACARGAS "/>
    <n v="1"/>
    <d v="2011-07-15T00:00:00"/>
    <d v="1992-04-10T00:00:00"/>
    <n v="15"/>
    <n v="33.901369863013699"/>
    <n v="24"/>
    <s v="SECUNDARIA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3"/>
    <x v="3"/>
    <n v="32209454"/>
    <x v="3"/>
    <n v="32045531"/>
    <x v="1"/>
    <x v="0"/>
    <s v="OPERADOR PREPARADOR "/>
    <n v="1"/>
    <d v="2022-04-22T00:00:00"/>
    <d v="1991-05-08T00:00:00"/>
    <n v="4"/>
    <n v="34.827397260273976"/>
    <n v="18"/>
    <s v="BACHILLERATO"/>
    <m/>
    <n v="1"/>
    <n v="1"/>
    <n v="1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m/>
    <m/>
    <m/>
    <m/>
    <m/>
    <m/>
  </r>
  <r>
    <x v="0"/>
    <x v="4"/>
    <x v="4"/>
    <n v="32204264"/>
    <x v="4"/>
    <n v="32045531"/>
    <x v="1"/>
    <x v="0"/>
    <s v="OPERADOR PREPARADOR"/>
    <n v="1"/>
    <d v="2022-11-02T00:00:00"/>
    <d v="2002-07-13T00:00:00"/>
    <n v="3"/>
    <n v="23.638356164383563"/>
    <n v="16"/>
    <s v="BACHILLERATO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5"/>
    <x v="4"/>
    <n v="32222225"/>
    <x v="5"/>
    <n v="32045531"/>
    <x v="1"/>
    <x v="0"/>
    <s v="OPERADOR RELEVO Y QUAS"/>
    <n v="1"/>
    <d v="2023-06-16T00:00:00"/>
    <d v="2003-07-06T00:00:00"/>
    <n v="3"/>
    <n v="22.657534246575342"/>
    <n v="16"/>
    <s v="BACHILLERATO"/>
    <m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6"/>
    <x v="5"/>
    <n v="32198258"/>
    <x v="6"/>
    <n v="32045531"/>
    <x v="1"/>
    <x v="0"/>
    <s v="OPERADOR DE MATERIAS PRIMAS "/>
    <n v="1"/>
    <d v="2021-01-09T00:00:00"/>
    <d v="1994-10-06T00:00:00"/>
    <n v="5"/>
    <n v="31.410958904109588"/>
    <n v="20"/>
    <s v="BACHILLERATO"/>
    <m/>
    <n v="1"/>
    <n v="1"/>
    <n v="1"/>
    <n v="0"/>
    <n v="0"/>
    <n v="0"/>
    <n v="0"/>
    <n v="0"/>
    <n v="0"/>
    <n v="0"/>
    <n v="0"/>
    <n v="0"/>
    <n v="0"/>
    <n v="0"/>
    <n v="0"/>
    <n v="0"/>
    <n v="0"/>
    <m/>
    <n v="0"/>
    <m/>
    <m/>
    <m/>
    <m/>
    <m/>
    <m/>
    <m/>
    <m/>
    <m/>
    <m/>
    <m/>
  </r>
  <r>
    <x v="0"/>
    <x v="7"/>
    <x v="1"/>
    <n v="32231912"/>
    <x v="7"/>
    <n v="32045531"/>
    <x v="1"/>
    <x v="0"/>
    <s v="TECNICO DE ELABORACION"/>
    <n v="1"/>
    <d v="2024-10-18T00:00:00"/>
    <d v="2001-04-08T00:00:00"/>
    <n v="1"/>
    <n v="24.901369863013699"/>
    <n v="12"/>
    <s v="INGENIERI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8"/>
    <x v="6"/>
    <n v="32237827"/>
    <x v="8"/>
    <n v="32045531"/>
    <x v="1"/>
    <x v="0"/>
    <s v="OPERADOR DE MATERIAS PRIMAS  "/>
    <n v="1"/>
    <d v="2025-10-03T00:00:00"/>
    <d v="1998-07-01T00:00:00"/>
    <n v="0"/>
    <n v="27.673972602739727"/>
    <n v="12"/>
    <s v="PREPARATORI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n v="32045014"/>
    <x v="9"/>
    <n v="32132858"/>
    <x v="0"/>
    <x v="1"/>
    <s v="RELEVO DE VACACIONES"/>
    <n v="1"/>
    <d v="2000-06-29T00:00:00"/>
    <d v="1975-10-26T00:00:00"/>
    <n v="26"/>
    <n v="50.369863013698627"/>
    <n v="30"/>
    <s v="LICENCIATURA"/>
    <m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0"/>
    <x v="0"/>
    <n v="32144668"/>
    <x v="10"/>
    <n v="32132858"/>
    <x v="0"/>
    <x v="2"/>
    <s v="LIDER DE TURNO"/>
    <n v="1"/>
    <d v="2015-12-18T00:00:00"/>
    <d v="1990-03-02T00:00:00"/>
    <n v="10"/>
    <n v="36.010958904109586"/>
    <n v="22"/>
    <s v="LICENCIATURA"/>
    <m/>
    <n v="1"/>
    <n v="1"/>
    <n v="1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</r>
  <r>
    <x v="0"/>
    <x v="0"/>
    <x v="0"/>
    <n v="32151919"/>
    <x v="11"/>
    <n v="32132858"/>
    <x v="0"/>
    <x v="2"/>
    <s v="LIDER SECUNDARIO"/>
    <n v="2"/>
    <d v="2016-08-16T00:00:00"/>
    <d v="1991-01-22T00:00:00"/>
    <n v="10"/>
    <n v="35.11780821917808"/>
    <n v="22"/>
    <s v="LICENCIATURA"/>
    <m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0"/>
    <x v="0"/>
    <n v="32174889"/>
    <x v="12"/>
    <n v="32132858"/>
    <x v="0"/>
    <x v="3"/>
    <s v="LIDER DE TURNO"/>
    <n v="1"/>
    <d v="2019-02-18T00:00:00"/>
    <d v="1996-10-02T00:00:00"/>
    <n v="7"/>
    <n v="29.419178082191781"/>
    <n v="22"/>
    <s v="INGENIERIA"/>
    <s v="CERVECERO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0"/>
    <x v="0"/>
    <n v="32044788"/>
    <x v="13"/>
    <n v="32132858"/>
    <x v="0"/>
    <x v="3"/>
    <s v="LIDER SECUNDARIO"/>
    <n v="1"/>
    <d v="1999-09-09T00:00:00"/>
    <d v="1976-04-27T00:00:00"/>
    <n v="26"/>
    <n v="49.865753424657534"/>
    <n v="30"/>
    <s v="INGENIERIA"/>
    <s v="SIEBEL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2"/>
    <x v="2"/>
    <n v="32043796"/>
    <x v="14"/>
    <n v="32174889"/>
    <x v="2"/>
    <x v="3"/>
    <s v="OPERADOR DE MONTACARGAS "/>
    <n v="1"/>
    <d v="1996-02-26T00:00:00"/>
    <d v="1972-04-22T00:00:00"/>
    <n v="30"/>
    <n v="53.88219178082192"/>
    <n v="30"/>
    <s v="SECUNDARIA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2"/>
    <x v="2"/>
    <n v="32044838"/>
    <x v="15"/>
    <n v="32174889"/>
    <x v="2"/>
    <x v="3"/>
    <s v="OPERADOR DE MONTACARGAS "/>
    <n v="1"/>
    <d v="2000-01-24T00:00:00"/>
    <d v="1978-03-11T00:00:00"/>
    <n v="26"/>
    <n v="47.994520547945207"/>
    <n v="30"/>
    <s v="SECUNDARI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2"/>
    <x v="2"/>
    <n v="32148922"/>
    <x v="16"/>
    <n v="32174889"/>
    <x v="2"/>
    <x v="3"/>
    <s v="OPERADOR DE MONTACARGAS "/>
    <n v="1"/>
    <d v="2016-05-16T00:00:00"/>
    <d v="1992-10-16T00:00:00"/>
    <n v="10"/>
    <n v="33.38356164383562"/>
    <n v="22"/>
    <s v="BACCHILLERATO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9"/>
    <x v="4"/>
    <n v="32197423"/>
    <x v="17"/>
    <n v="32174889"/>
    <x v="2"/>
    <x v="3"/>
    <s v="OPERADOR ADICIONADOR "/>
    <n v="1"/>
    <d v="2021-08-06T00:00:00"/>
    <d v="1998-07-21T00:00:00"/>
    <n v="5"/>
    <n v="27.61917808219178"/>
    <n v="20"/>
    <s v="BACHILLERATO"/>
    <s v="EXCE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9"/>
    <x v="5"/>
    <n v="32202297"/>
    <x v="18"/>
    <n v="32174889"/>
    <x v="2"/>
    <x v="3"/>
    <s v="OPERADOR ADICIONADOR "/>
    <n v="1"/>
    <d v="2021-11-08T00:00:00"/>
    <d v="2001-03-11T00:00:00"/>
    <n v="4"/>
    <n v="24.978082191780821"/>
    <n v="18"/>
    <s v="BACHILLERATO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10"/>
    <x v="5"/>
    <n v="32218817"/>
    <x v="19"/>
    <n v="32174889"/>
    <x v="2"/>
    <x v="3"/>
    <s v="OPERADOR AYUDANTE DE DISOLUCIÓN "/>
    <n v="1"/>
    <d v="2022-11-18T00:00:00"/>
    <d v="1998-05-20T00:00:00"/>
    <n v="3"/>
    <n v="27.789041095890411"/>
    <n v="16"/>
    <s v="BACHILLERATO"/>
    <m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m/>
    <m/>
    <m/>
    <m/>
    <m/>
    <m/>
  </r>
  <r>
    <x v="0"/>
    <x v="7"/>
    <x v="1"/>
    <n v="32233326"/>
    <x v="20"/>
    <n v="32174889"/>
    <x v="2"/>
    <x v="3"/>
    <s v="TECNICO DE ELABORACION"/>
    <n v="1"/>
    <d v="2025-02-17T00:00:00"/>
    <d v="2002-10-24T00:00:00"/>
    <n v="1"/>
    <n v="23.356164383561644"/>
    <n v="12"/>
    <s v="INGENIERIA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8"/>
    <x v="6"/>
    <n v="32237830"/>
    <x v="21"/>
    <n v="32174889"/>
    <x v="2"/>
    <x v="3"/>
    <s v="OPERADOR DE MATERIAS PRIMAS  "/>
    <n v="1"/>
    <d v="2025-10-03T00:00:00"/>
    <d v="1997-12-28T00:00:00"/>
    <n v="0"/>
    <n v="28.18082191780822"/>
    <n v="12"/>
    <s v="LICENCIATUR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n v="32045378"/>
    <x v="22"/>
    <n v="32132858"/>
    <x v="0"/>
    <x v="4"/>
    <s v="LIDER SECUNDARIO"/>
    <n v="2"/>
    <d v="2001-01-06T00:00:00"/>
    <d v="1974-03-29T00:00:00"/>
    <n v="25"/>
    <n v="51.947945205479449"/>
    <n v="28"/>
    <s v="INGENIERI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2"/>
    <x v="2"/>
    <n v="32045438"/>
    <x v="23"/>
    <n v="32209640"/>
    <x v="3"/>
    <x v="4"/>
    <s v="OPERADOR DE MONTACARGAS "/>
    <n v="1"/>
    <d v="2001-07-13T00:00:00"/>
    <d v="1982-01-30T00:00:00"/>
    <n v="25"/>
    <n v="44.101369863013701"/>
    <n v="28"/>
    <s v="SECUNDARIA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11"/>
    <x v="2"/>
    <n v="32044892"/>
    <x v="24"/>
    <n v="32209640"/>
    <x v="3"/>
    <x v="4"/>
    <s v="OPERADOR RELEVO DE MONTACARGAS "/>
    <n v="1"/>
    <d v="2000-04-26T00:00:00"/>
    <d v="1971-10-05T00:00:00"/>
    <n v="26"/>
    <n v="54.43013698630137"/>
    <n v="30"/>
    <s v="SECUNDARIA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11"/>
    <x v="2"/>
    <n v="32044783"/>
    <x v="25"/>
    <n v="32209640"/>
    <x v="3"/>
    <x v="4"/>
    <s v="OPERADOR RELEVO DE MONTACARGAS "/>
    <n v="1"/>
    <d v="1999-08-10T00:00:00"/>
    <d v="1981-07-24T00:00:00"/>
    <n v="27"/>
    <n v="44.62191780821918"/>
    <n v="30"/>
    <s v="SECUNDARIA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12"/>
    <x v="3"/>
    <n v="32209189"/>
    <x v="26"/>
    <n v="32209640"/>
    <x v="3"/>
    <x v="4"/>
    <s v="OPERADOR DE TOLVAS DE BAGAZO "/>
    <n v="1"/>
    <d v="2023-04-13T00:00:00"/>
    <d v="1998-12-12T00:00:00"/>
    <n v="3"/>
    <n v="27.224657534246575"/>
    <n v="16"/>
    <s v="BACHILLERATO"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9"/>
    <x v="4"/>
    <n v="32132194"/>
    <x v="27"/>
    <n v="32209640"/>
    <x v="3"/>
    <x v="4"/>
    <s v="OPERADOR ADICIONADOR "/>
    <n v="1"/>
    <d v="2014-12-15T00:00:00"/>
    <d v="1989-08-07T00:00:00"/>
    <n v="11"/>
    <n v="36.578082191780823"/>
    <n v="24"/>
    <s v="BACHILLERATO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9"/>
    <x v="4"/>
    <n v="32188007"/>
    <x v="28"/>
    <n v="32209640"/>
    <x v="3"/>
    <x v="4"/>
    <s v="OPERADOR ADICIONADOR "/>
    <n v="1"/>
    <d v="2021-06-21T00:00:00"/>
    <d v="1998-07-19T00:00:00"/>
    <n v="5"/>
    <n v="27.624657534246577"/>
    <n v="20"/>
    <s v="BACHILLERATO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13"/>
    <x v="7"/>
    <n v="32131972"/>
    <x v="29"/>
    <n v="32209640"/>
    <x v="3"/>
    <x v="4"/>
    <s v="SUPERVISOR DE MATERIAS PRIMAS"/>
    <n v="1"/>
    <d v="2012-12-15T00:00:00"/>
    <d v="1998-05-19T00:00:00"/>
    <n v="13"/>
    <n v="27.791780821917808"/>
    <n v="24"/>
    <s v="INGENIERIA"/>
    <m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7"/>
    <x v="1"/>
    <n v="32132054"/>
    <x v="30"/>
    <n v="32209640"/>
    <x v="3"/>
    <x v="4"/>
    <s v="TECNICO DE ELABORACION"/>
    <n v="1"/>
    <d v="2014-12-15T00:00:00"/>
    <d v="1992-07-19T00:00:00"/>
    <n v="11"/>
    <n v="33.627397260273973"/>
    <n v="24"/>
    <s v="INGENIERIA"/>
    <s v="SOLDADURA, EQUIPO MINERO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0"/>
    <x v="0"/>
    <n v="32044518"/>
    <x v="31"/>
    <n v="32132858"/>
    <x v="0"/>
    <x v="5"/>
    <s v="LIDER DE TURNO"/>
    <n v="1"/>
    <d v="1998-12-21T00:00:00"/>
    <d v="1975-06-05T00:00:00"/>
    <n v="27"/>
    <n v="50.761643835616439"/>
    <n v="30"/>
    <s v="INGENIERIA"/>
    <m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2"/>
    <x v="2"/>
    <n v="32044839"/>
    <x v="32"/>
    <n v="32044518"/>
    <x v="4"/>
    <x v="5"/>
    <s v="OPERADOR DE MONTACARGAS "/>
    <n v="1"/>
    <d v="2000-01-24T00:00:00"/>
    <d v="1971-01-06T00:00:00"/>
    <n v="26"/>
    <n v="55.175342465753424"/>
    <n v="30"/>
    <s v="SECUNDARIA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2"/>
    <x v="2"/>
    <n v="32045409"/>
    <x v="33"/>
    <n v="32044518"/>
    <x v="4"/>
    <x v="5"/>
    <s v="OPERADOR DE MONTACARGAS "/>
    <n v="1"/>
    <d v="2001-06-19T00:00:00"/>
    <d v="1973-07-06T00:00:00"/>
    <n v="25"/>
    <n v="52.676712328767124"/>
    <n v="28"/>
    <s v="SECUNDARIA"/>
    <m/>
    <n v="1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9"/>
    <x v="4"/>
    <n v="32197427"/>
    <x v="34"/>
    <n v="32044518"/>
    <x v="4"/>
    <x v="5"/>
    <s v="OPERADOR ADICIONADOR "/>
    <n v="1"/>
    <d v="2021-08-06T00:00:00"/>
    <d v="1994-07-24T00:00:00"/>
    <n v="5"/>
    <n v="31.613698630136987"/>
    <n v="20"/>
    <s v="BACHILERATO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9"/>
    <x v="4"/>
    <n v="32148846"/>
    <x v="35"/>
    <n v="32044518"/>
    <x v="4"/>
    <x v="5"/>
    <s v="OPERADOR ADICIONADOR "/>
    <n v="1"/>
    <d v="2016-05-16T00:00:00"/>
    <d v="1995-12-01T00:00:00"/>
    <n v="10"/>
    <n v="30.257534246575343"/>
    <n v="22"/>
    <s v="BACHILLERATO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5"/>
    <x v="4"/>
    <n v="32045510"/>
    <x v="36"/>
    <n v="32044518"/>
    <x v="4"/>
    <x v="5"/>
    <s v="OPERADOR RELEVO Y QUAS"/>
    <n v="1"/>
    <d v="2001-08-27T00:00:00"/>
    <d v="1971-07-17T00:00:00"/>
    <n v="25"/>
    <n v="54.649315068493152"/>
    <n v="28"/>
    <s v="SECUNDARIA"/>
    <m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8"/>
    <x v="5"/>
    <n v="32222227"/>
    <x v="37"/>
    <n v="32044518"/>
    <x v="4"/>
    <x v="5"/>
    <s v="OPERADOR DE MATERIAS PRIMAS  "/>
    <n v="1"/>
    <d v="2023-06-16T00:00:00"/>
    <d v="1992-09-27T00:00:00"/>
    <n v="3"/>
    <n v="33.435616438356163"/>
    <n v="16"/>
    <s v="BACHILLERATO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10"/>
    <x v="8"/>
    <n v="32045572"/>
    <x v="38"/>
    <n v="32044518"/>
    <x v="4"/>
    <x v="5"/>
    <s v="OPERADOR AYUDANTE DE DISOLUCIÓN "/>
    <n v="1"/>
    <d v="2002-02-04T00:00:00"/>
    <d v="1972-01-07T00:00:00"/>
    <n v="24"/>
    <n v="54.172602739726024"/>
    <n v="28"/>
    <s v="SECUNDARI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7"/>
    <x v="1"/>
    <n v="32186666"/>
    <x v="39"/>
    <n v="32044518"/>
    <x v="4"/>
    <x v="5"/>
    <s v="TECNICO DE ELABORACION"/>
    <n v="3"/>
    <d v="2020-03-17T00:00:00"/>
    <d v="1996-04-05T00:00:00"/>
    <n v="6"/>
    <n v="29.912328767123288"/>
    <n v="22"/>
    <s v="INGENIERIA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0"/>
    <x v="0"/>
    <n v="32209640"/>
    <x v="40"/>
    <n v="32132858"/>
    <x v="0"/>
    <x v="4"/>
    <s v="LIDER DE TURNO"/>
    <n v="1"/>
    <d v="2022-02-05T00:00:00"/>
    <d v="1998-04-05T00:00:00"/>
    <n v="4"/>
    <n v="27.912328767123288"/>
    <n v="18"/>
    <s v="INGENIERIA"/>
    <m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m/>
    <m/>
    <m/>
    <m/>
    <m/>
    <m/>
  </r>
  <r>
    <x v="0"/>
    <x v="2"/>
    <x v="2"/>
    <n v="32044037"/>
    <x v="41"/>
    <n v="32144668"/>
    <x v="5"/>
    <x v="2"/>
    <s v="OPERADOR DE MONTACARGAS "/>
    <n v="1"/>
    <d v="1997-03-13T00:00:00"/>
    <d v="1973-05-19T00:00:00"/>
    <n v="29"/>
    <n v="52.80821917808219"/>
    <n v="30"/>
    <s v="SECUNDARIA"/>
    <m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9"/>
    <x v="4"/>
    <n v="32173445"/>
    <x v="42"/>
    <n v="32144668"/>
    <x v="5"/>
    <x v="2"/>
    <s v="OPERADOR ADICIONADOR "/>
    <n v="1"/>
    <d v="2018-11-30T00:00:00"/>
    <d v="1998-11-07T00:00:00"/>
    <n v="7"/>
    <n v="27.32054794520548"/>
    <n v="22"/>
    <s v="BACHILLERATO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9"/>
    <x v="4"/>
    <n v="32046259"/>
    <x v="43"/>
    <n v="32144668"/>
    <x v="5"/>
    <x v="2"/>
    <s v="OPERADOR ADICIONADOR "/>
    <n v="1"/>
    <d v="2005-03-27T00:00:00"/>
    <d v="1980-03-02T00:00:00"/>
    <n v="21"/>
    <n v="46.016438356164386"/>
    <n v="28"/>
    <s v="SECUNDARIA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</r>
  <r>
    <x v="0"/>
    <x v="4"/>
    <x v="4"/>
    <n v="32177483"/>
    <x v="44"/>
    <n v="32144668"/>
    <x v="5"/>
    <x v="2"/>
    <s v="OPERADOR RECIBO DE QUÍMICOS "/>
    <n v="1"/>
    <d v="2019-04-05T00:00:00"/>
    <d v="1995-11-29T00:00:00"/>
    <n v="7"/>
    <n v="30.263013698630136"/>
    <n v="22"/>
    <s v="BACHILLERATO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11"/>
    <x v="4"/>
    <n v="32132055"/>
    <x v="45"/>
    <n v="32144668"/>
    <x v="5"/>
    <x v="2"/>
    <s v="OPERADOR RELEVO DE MONTACARGAS "/>
    <n v="1"/>
    <d v="2014-12-15T00:00:00"/>
    <d v="1983-06-25T00:00:00"/>
    <n v="11"/>
    <n v="42.701369863013696"/>
    <n v="24"/>
    <s v="BACHILLERATO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5"/>
    <x v="4"/>
    <n v="32137247"/>
    <x v="46"/>
    <n v="32144668"/>
    <x v="5"/>
    <x v="2"/>
    <s v="OPERADOR RELEVO Y QUAS"/>
    <n v="1"/>
    <d v="2015-02-23T00:00:00"/>
    <d v="1996-07-03T00:00:00"/>
    <n v="11"/>
    <n v="29.668493150684931"/>
    <n v="24"/>
    <s v="BACHILLERATO"/>
    <m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10"/>
    <x v="8"/>
    <n v="32045004"/>
    <x v="47"/>
    <n v="32144668"/>
    <x v="5"/>
    <x v="2"/>
    <s v="OPERADOR AYUDANTE DE DISOLUCIÓN "/>
    <n v="1"/>
    <d v="2000-06-21T00:00:00"/>
    <d v="1975-10-25T00:00:00"/>
    <n v="26"/>
    <n v="50.372602739726027"/>
    <n v="30"/>
    <s v="PRIMARI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0"/>
    <x v="7"/>
    <x v="1"/>
    <n v="32044983"/>
    <x v="48"/>
    <n v="32144668"/>
    <x v="5"/>
    <x v="2"/>
    <s v="TECNICO DE ELABORACION"/>
    <n v="3"/>
    <d v="2000-06-13T00:00:00"/>
    <d v="1981-01-19T00:00:00"/>
    <n v="26"/>
    <n v="45.131506849315066"/>
    <n v="30"/>
    <s v="INGENIERIA"/>
    <s v="TEC ELECTROMECANICO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1"/>
    <x v="14"/>
    <x v="7"/>
    <m/>
    <x v="49"/>
    <m/>
    <x v="6"/>
    <x v="6"/>
    <s v="Técnico de elaboració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15"/>
    <x v="0"/>
    <n v="32046063"/>
    <x v="50"/>
    <n v="32045961"/>
    <x v="7"/>
    <x v="1"/>
    <s v="RELEVO DE VACACIONES"/>
    <n v="1"/>
    <d v="2004-08-02T00:00:00"/>
    <d v="1981-03-25T00:00:00"/>
    <n v="22"/>
    <n v="44.953424657534249"/>
    <n v="28"/>
    <s v="LICENCIATURA"/>
    <n v="1"/>
    <n v="0"/>
    <n v="0"/>
    <n v="0"/>
    <n v="1"/>
    <n v="1"/>
    <n v="1"/>
    <n v="1"/>
    <n v="1"/>
    <n v="0"/>
    <n v="1"/>
    <n v="0"/>
    <n v="0"/>
    <n v="0"/>
    <n v="0"/>
    <n v="0"/>
    <n v="0"/>
    <n v="0"/>
    <m/>
    <m/>
    <m/>
    <m/>
    <m/>
    <m/>
    <m/>
    <m/>
    <m/>
    <m/>
    <m/>
    <m/>
    <m/>
  </r>
  <r>
    <x v="1"/>
    <x v="7"/>
    <x v="1"/>
    <n v="32196674"/>
    <x v="51"/>
    <n v="32045961"/>
    <x v="6"/>
    <x v="6"/>
    <s v="Técnico de elaboración"/>
    <n v="2"/>
    <d v="2021-07-16T00:00:00"/>
    <d v="1982-02-09T00:00:00"/>
    <n v="5"/>
    <n v="44.073972602739723"/>
    <n v="20"/>
    <s v="LICENCIATURA"/>
    <n v="0"/>
    <n v="0"/>
    <n v="0"/>
    <n v="0"/>
    <n v="0"/>
    <n v="0"/>
    <n v="0"/>
    <n v="0"/>
    <n v="0"/>
    <n v="1"/>
    <n v="1"/>
    <n v="0"/>
    <n v="0"/>
    <n v="0"/>
    <n v="0"/>
    <n v="0"/>
    <n v="0"/>
    <n v="0"/>
    <m/>
    <m/>
    <m/>
    <m/>
    <m/>
    <m/>
    <m/>
    <m/>
    <m/>
    <m/>
    <m/>
    <m/>
    <m/>
  </r>
  <r>
    <x v="1"/>
    <x v="16"/>
    <x v="9"/>
    <m/>
    <x v="52"/>
    <m/>
    <x v="8"/>
    <x v="7"/>
    <s v="Operador de blend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15"/>
    <x v="0"/>
    <n v="32052981"/>
    <x v="53"/>
    <n v="32045961"/>
    <x v="7"/>
    <x v="8"/>
    <s v="LIDER DE TURNO"/>
    <n v="1"/>
    <d v="2006-06-14T00:00:00"/>
    <d v="1982-06-21T00:00:00"/>
    <n v="20"/>
    <n v="43.712328767123289"/>
    <n v="26"/>
    <s v="LICENCIATURA"/>
    <n v="0"/>
    <n v="0"/>
    <n v="0"/>
    <n v="0"/>
    <n v="0"/>
    <n v="1"/>
    <n v="1"/>
    <n v="1"/>
    <n v="0"/>
    <n v="0"/>
    <n v="0"/>
    <n v="1"/>
    <n v="0"/>
    <n v="0"/>
    <n v="0"/>
    <n v="0"/>
    <n v="0"/>
    <n v="1"/>
    <m/>
    <m/>
    <m/>
    <m/>
    <m/>
    <m/>
    <m/>
    <m/>
    <m/>
    <m/>
    <m/>
    <m/>
    <m/>
  </r>
  <r>
    <x v="1"/>
    <x v="17"/>
    <x v="10"/>
    <n v="32213349"/>
    <x v="54"/>
    <n v="32044049"/>
    <x v="9"/>
    <x v="8"/>
    <s v="Manejo de tierras filtrantes"/>
    <n v="1"/>
    <d v="2022-07-15T00:00:00"/>
    <d v="1997-11-09T00:00:00"/>
    <n v="4"/>
    <n v="28.315068493150687"/>
    <n v="18"/>
    <s v="CURSANDO LIC."/>
    <n v="0"/>
    <n v="0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8"/>
    <x v="10"/>
    <n v="32144777"/>
    <x v="55"/>
    <n v="32052750"/>
    <x v="9"/>
    <x v="8"/>
    <s v="Bombero de cerveza"/>
    <n v="1"/>
    <d v="2015-12-19T00:00:00"/>
    <d v="1989-11-23T00:00:00"/>
    <n v="10"/>
    <n v="36.282191780821918"/>
    <n v="22"/>
    <s v="SECUNDARIA"/>
    <n v="0"/>
    <n v="0"/>
    <n v="0"/>
    <n v="0"/>
    <n v="0"/>
    <n v="1"/>
    <n v="1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7"/>
    <x v="1"/>
    <n v="32044235"/>
    <x v="56"/>
    <n v="32044049"/>
    <x v="10"/>
    <x v="9"/>
    <s v="Técnico de elaboración"/>
    <n v="1"/>
    <d v="1997-10-31T00:00:00"/>
    <d v="1970-11-19T00:00:00"/>
    <n v="28"/>
    <n v="55.30684931506849"/>
    <n v="30"/>
    <s v="LICENCIATURA"/>
    <n v="0"/>
    <n v="0"/>
    <n v="0"/>
    <n v="0"/>
    <n v="0"/>
    <n v="0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x v="1"/>
    <x v="19"/>
    <x v="10"/>
    <n v="32045128"/>
    <x v="57"/>
    <n v="32146684"/>
    <x v="6"/>
    <x v="6"/>
    <s v="Llenador de gobierno"/>
    <n v="1"/>
    <d v="2000-10-07T00:00:00"/>
    <d v="1979-11-19T00:00:00"/>
    <n v="25"/>
    <n v="46.301369863013697"/>
    <n v="28"/>
    <s v="PREPARATORIA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9"/>
    <x v="10"/>
    <n v="32157221"/>
    <x v="58"/>
    <n v="32146684"/>
    <x v="9"/>
    <x v="8"/>
    <s v="Llenador de gobierno"/>
    <n v="1"/>
    <d v="2017-03-03T00:00:00"/>
    <d v="1991-11-08T00:00:00"/>
    <n v="9"/>
    <n v="34.323287671232876"/>
    <n v="22"/>
    <s v="PREPARATORIA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9"/>
    <x v="10"/>
    <n v="32043849"/>
    <x v="59"/>
    <n v="32044049"/>
    <x v="9"/>
    <x v="8"/>
    <s v="Llenador de gobierno"/>
    <n v="1"/>
    <d v="1996-08-05T00:00:00"/>
    <d v="1968-06-28T00:00:00"/>
    <n v="30"/>
    <n v="57.701369863013696"/>
    <n v="30"/>
    <s v="SECUNDARIA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0"/>
    <x v="10"/>
    <n v="32132025"/>
    <x v="60"/>
    <n v="32052750"/>
    <x v="9"/>
    <x v="8"/>
    <s v="Llenador de mosto"/>
    <n v="1"/>
    <d v="2014-06-16T00:00:00"/>
    <d v="1994-09-29T00:00:00"/>
    <n v="12"/>
    <n v="31.43013698630137"/>
    <n v="24"/>
    <s v="PREPARATORIA"/>
    <n v="0"/>
    <n v="0"/>
    <n v="0"/>
    <n v="0"/>
    <n v="0"/>
    <n v="1"/>
    <n v="1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7"/>
    <x v="10"/>
    <n v="32213345"/>
    <x v="61"/>
    <n v="32146677"/>
    <x v="11"/>
    <x v="10"/>
    <s v="Platos"/>
    <n v="1"/>
    <d v="2022-07-15T00:00:00"/>
    <d v="1996-01-31T00:00:00"/>
    <n v="4"/>
    <n v="30.090410958904108"/>
    <n v="18"/>
    <s v="LICENCIATURA"/>
    <n v="0"/>
    <n v="0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1"/>
    <x v="9"/>
    <n v="32188009"/>
    <x v="62"/>
    <n v="32146684"/>
    <x v="11"/>
    <x v="10"/>
    <s v="QUAs"/>
    <n v="1"/>
    <d v="2021-07-02T00:00:00"/>
    <d v="1998-10-14T00:00:00"/>
    <n v="5"/>
    <n v="27.386301369863013"/>
    <n v="20"/>
    <s v="PREPARATORIA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7"/>
    <x v="1"/>
    <n v="32146003"/>
    <x v="63"/>
    <n v="32044049"/>
    <x v="10"/>
    <x v="9"/>
    <s v="Técnico de elaboración"/>
    <n v="2"/>
    <d v="2016-02-02T00:00:00"/>
    <d v="1997-01-24T00:00:00"/>
    <n v="10"/>
    <n v="29.106849315068494"/>
    <n v="22"/>
    <s v="LICENCIATURA"/>
    <n v="0"/>
    <n v="0"/>
    <n v="0"/>
    <n v="0"/>
    <n v="1"/>
    <n v="1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x v="1"/>
    <x v="7"/>
    <x v="1"/>
    <n v="32224001"/>
    <x v="64"/>
    <n v="32052981"/>
    <x v="6"/>
    <x v="6"/>
    <s v="Técnico de elaboración"/>
    <n v="3"/>
    <d v="2023-10-16T00:00:00"/>
    <d v="2000-06-21T00:00:00"/>
    <n v="2"/>
    <n v="25.698630136986303"/>
    <n v="14"/>
    <s v="LICENCIATURA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x v="1"/>
    <x v="7"/>
    <x v="1"/>
    <n v="32233327"/>
    <x v="65"/>
    <n v="32146684"/>
    <x v="10"/>
    <x v="9"/>
    <s v="Técnico de elaboración"/>
    <n v="1"/>
    <d v="2025-02-17T00:00:00"/>
    <d v="2000-09-24T00:00:00"/>
    <n v="1"/>
    <n v="25.438356164383563"/>
    <n v="12"/>
    <s v="LICENCIATUR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2"/>
    <x v="10"/>
    <n v="32149605"/>
    <x v="66"/>
    <n v="32146684"/>
    <x v="6"/>
    <x v="6"/>
    <s v="Vaciador de gobierno"/>
    <n v="1"/>
    <d v="2016-06-06T00:00:00"/>
    <d v="1993-06-10T00:00:00"/>
    <n v="10"/>
    <n v="32.734246575342468"/>
    <n v="22"/>
    <s v="SECUNDARIA"/>
    <n v="0"/>
    <n v="0"/>
    <n v="0"/>
    <n v="0"/>
    <n v="0"/>
    <n v="0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22"/>
    <x v="10"/>
    <n v="32045134"/>
    <x v="67"/>
    <n v="32146684"/>
    <x v="9"/>
    <x v="8"/>
    <s v="Vaciador de gobierno"/>
    <n v="1"/>
    <d v="2000-10-12T00:00:00"/>
    <d v="1975-01-21T00:00:00"/>
    <n v="25"/>
    <n v="51.131506849315066"/>
    <n v="28"/>
    <s v="SECUNDARIA"/>
    <n v="0"/>
    <n v="0"/>
    <n v="0"/>
    <n v="0"/>
    <n v="0"/>
    <n v="0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15"/>
    <x v="0"/>
    <n v="32044049"/>
    <x v="68"/>
    <n v="32045961"/>
    <x v="7"/>
    <x v="9"/>
    <s v="LIDER DE TURNO"/>
    <n v="2"/>
    <d v="1997-03-31T00:00:00"/>
    <d v="1972-12-29T00:00:00"/>
    <n v="29"/>
    <n v="53.194520547945203"/>
    <n v="30"/>
    <s v="LICENCIATURA"/>
    <n v="0"/>
    <n v="0"/>
    <n v="0"/>
    <n v="0"/>
    <n v="1"/>
    <n v="1"/>
    <n v="1"/>
    <n v="1"/>
    <n v="1"/>
    <n v="1"/>
    <n v="0"/>
    <n v="0"/>
    <n v="0"/>
    <n v="0"/>
    <n v="0"/>
    <n v="0"/>
    <n v="0"/>
    <n v="0"/>
    <m/>
    <m/>
    <m/>
    <m/>
    <m/>
    <m/>
    <m/>
    <m/>
    <m/>
    <m/>
    <m/>
    <m/>
    <m/>
  </r>
  <r>
    <x v="1"/>
    <x v="18"/>
    <x v="10"/>
    <n v="32044751"/>
    <x v="69"/>
    <n v="32052750"/>
    <x v="10"/>
    <x v="9"/>
    <s v="Bombero de cerveza"/>
    <n v="1"/>
    <d v="1999-07-02T00:00:00"/>
    <d v="1981-06-22T00:00:00"/>
    <n v="27"/>
    <n v="44.709589041095889"/>
    <n v="30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6"/>
    <x v="10"/>
    <n v="32188117"/>
    <x v="70"/>
    <n v="32146683"/>
    <x v="9"/>
    <x v="8"/>
    <s v="Bombero de levadura"/>
    <n v="1"/>
    <d v="2020-08-14T00:00:00"/>
    <d v="1993-08-08T00:00:00"/>
    <n v="6"/>
    <n v="32.57260273972603"/>
    <n v="22"/>
    <s v="SECUNDARIA"/>
    <n v="0"/>
    <n v="0"/>
    <n v="0"/>
    <n v="0"/>
    <n v="0"/>
    <n v="1"/>
    <n v="1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9"/>
    <x v="10"/>
    <n v="32043891"/>
    <x v="71"/>
    <n v="32046063"/>
    <x v="10"/>
    <x v="9"/>
    <s v="Llenador de gobierno"/>
    <n v="1"/>
    <d v="1996-10-28T00:00:00"/>
    <d v="1971-10-13T00:00:00"/>
    <n v="29"/>
    <n v="54.408219178082192"/>
    <n v="30"/>
    <s v="SECUNDARIA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9"/>
    <x v="10"/>
    <n v="32045574"/>
    <x v="72"/>
    <n v="32046063"/>
    <x v="10"/>
    <x v="9"/>
    <s v="Llenador de gobierno"/>
    <n v="1"/>
    <d v="2002-02-11T00:00:00"/>
    <d v="1974-07-24T00:00:00"/>
    <n v="24"/>
    <n v="51.627397260273973"/>
    <n v="28"/>
    <s v="SECUNDARIA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3"/>
    <x v="10"/>
    <n v="32197833"/>
    <x v="73"/>
    <n v="32146683"/>
    <x v="10"/>
    <x v="9"/>
    <s v="Bombero de cerveza"/>
    <n v="1"/>
    <d v="2021-08-20T00:00:00"/>
    <d v="1997-04-23T00:00:00"/>
    <n v="5"/>
    <n v="28.863013698630137"/>
    <n v="20"/>
    <s v="PREPARATORIA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3"/>
    <x v="10"/>
    <n v="32197835"/>
    <x v="74"/>
    <n v="32146683"/>
    <x v="11"/>
    <x v="10"/>
    <s v="Bombero de cerveza"/>
    <n v="1"/>
    <d v="2021-08-20T00:00:00"/>
    <d v="1995-02-16T00:00:00"/>
    <n v="5"/>
    <n v="31.046575342465754"/>
    <n v="20"/>
    <s v="LICENCIATURA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3"/>
    <x v="10"/>
    <n v="32209921"/>
    <x v="75"/>
    <n v="32146683"/>
    <x v="10"/>
    <x v="9"/>
    <s v="Platos"/>
    <n v="1"/>
    <d v="2022-05-06T00:00:00"/>
    <d v="1999-12-07T00:00:00"/>
    <n v="4"/>
    <n v="26.238356164383561"/>
    <n v="18"/>
    <s v="PREPARATORIA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3"/>
    <x v="10"/>
    <n v="32149238"/>
    <x v="76"/>
    <n v="32146683"/>
    <x v="11"/>
    <x v="10"/>
    <s v="Llenador de mosto"/>
    <n v="1"/>
    <d v="2016-05-30T00:00:00"/>
    <d v="1995-09-27T00:00:00"/>
    <n v="10"/>
    <n v="30.435616438356163"/>
    <n v="22"/>
    <s v="PREPARATORIA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3"/>
    <x v="5"/>
    <n v="32222224"/>
    <x v="77"/>
    <n v="32146683"/>
    <x v="11"/>
    <x v="10"/>
    <s v="Manejo de tierras filtrantes"/>
    <n v="1"/>
    <d v="2023-06-16T00:00:00"/>
    <d v="2003-12-03T00:00:00"/>
    <n v="3"/>
    <n v="22.246575342465754"/>
    <n v="16"/>
    <s v="CURSANDO LIC.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7"/>
    <x v="10"/>
    <n v="32197834"/>
    <x v="78"/>
    <n v="32052750"/>
    <x v="9"/>
    <x v="8"/>
    <s v="Platos"/>
    <n v="1"/>
    <d v="2021-08-20T00:00:00"/>
    <d v="1994-02-06T00:00:00"/>
    <n v="5"/>
    <n v="32.073972602739723"/>
    <n v="20"/>
    <s v="PREPARATORIA"/>
    <n v="0"/>
    <n v="0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1"/>
    <x v="10"/>
    <n v="3245556"/>
    <x v="79"/>
    <n v="32044049"/>
    <x v="10"/>
    <x v="9"/>
    <s v="QUAs"/>
    <n v="1"/>
    <d v="2001-10-15T00:00:00"/>
    <d v="1966-09-07T00:00:00"/>
    <n v="24"/>
    <n v="59.509589041095893"/>
    <n v="28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7"/>
    <x v="1"/>
    <n v="32231910"/>
    <x v="80"/>
    <n v="32154187"/>
    <x v="11"/>
    <x v="10"/>
    <s v="Técnico de elaboración"/>
    <n v="1"/>
    <d v="2024-10-18T00:00:00"/>
    <d v="2001-04-16T00:00:00"/>
    <n v="1"/>
    <n v="24.87945205479452"/>
    <n v="12"/>
    <s v="LICENCIATURA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2"/>
    <x v="10"/>
    <n v="32111307"/>
    <x v="81"/>
    <n v="32046063"/>
    <x v="10"/>
    <x v="9"/>
    <s v="Vaciador de gobierno"/>
    <n v="1"/>
    <d v="2012-07-02T00:00:00"/>
    <d v="1991-01-24T00:00:00"/>
    <n v="14"/>
    <n v="35.112328767123287"/>
    <n v="24"/>
    <s v="PREPARATORIA"/>
    <n v="0"/>
    <n v="0"/>
    <n v="0"/>
    <n v="0"/>
    <n v="0"/>
    <n v="0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15"/>
    <x v="0"/>
    <n v="32045174"/>
    <x v="82"/>
    <n v="32045961"/>
    <x v="7"/>
    <x v="10"/>
    <s v="LIDER DE TURNO"/>
    <n v="1"/>
    <d v="2000-11-16T00:00:00"/>
    <d v="1973-07-12T00:00:00"/>
    <n v="25"/>
    <n v="52.660273972602738"/>
    <n v="28"/>
    <s v="LICENCIATURA"/>
    <n v="0"/>
    <n v="0"/>
    <n v="0"/>
    <n v="0"/>
    <n v="0"/>
    <n v="0"/>
    <n v="1"/>
    <n v="1"/>
    <n v="0"/>
    <n v="0"/>
    <n v="0"/>
    <n v="0"/>
    <n v="0"/>
    <n v="0"/>
    <n v="1"/>
    <n v="0"/>
    <n v="0"/>
    <n v="0"/>
    <m/>
    <m/>
    <m/>
    <m/>
    <m/>
    <m/>
    <m/>
    <m/>
    <m/>
    <m/>
    <m/>
    <m/>
    <m/>
  </r>
  <r>
    <x v="1"/>
    <x v="18"/>
    <x v="10"/>
    <n v="32045357"/>
    <x v="83"/>
    <n v="32052981"/>
    <x v="11"/>
    <x v="10"/>
    <s v="Bombero de cerveza"/>
    <n v="1"/>
    <d v="2001-05-12T00:00:00"/>
    <d v="1971-10-31T00:00:00"/>
    <n v="25"/>
    <n v="54.358904109589041"/>
    <n v="28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6"/>
    <x v="10"/>
    <n v="32045149"/>
    <x v="84"/>
    <n v="32052750"/>
    <x v="11"/>
    <x v="10"/>
    <s v="Bombero de levadura"/>
    <n v="1"/>
    <d v="2000-10-25T00:00:00"/>
    <d v="1982-03-15T00:00:00"/>
    <n v="25"/>
    <n v="43.980821917808221"/>
    <n v="28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7"/>
    <x v="1"/>
    <n v="32044246"/>
    <x v="85"/>
    <n v="32045174"/>
    <x v="11"/>
    <x v="10"/>
    <s v="Técnico de elaboración"/>
    <n v="1"/>
    <d v="1997-12-15T00:00:00"/>
    <d v="1974-02-02T00:00:00"/>
    <n v="28"/>
    <n v="52.098630136986301"/>
    <n v="30"/>
    <s v="LICENCIATURA"/>
    <n v="0"/>
    <n v="0"/>
    <n v="0"/>
    <n v="0"/>
    <n v="0"/>
    <n v="0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x v="1"/>
    <x v="19"/>
    <x v="10"/>
    <n v="32045076"/>
    <x v="86"/>
    <n v="32045174"/>
    <x v="11"/>
    <x v="10"/>
    <s v="Llenador de gobierno"/>
    <n v="1"/>
    <d v="2000-08-28T00:00:00"/>
    <d v="1978-06-30T00:00:00"/>
    <n v="26"/>
    <n v="47.69041095890411"/>
    <n v="30"/>
    <s v="SECUNDARIA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9"/>
    <x v="10"/>
    <n v="32209922"/>
    <x v="87"/>
    <n v="32045174"/>
    <x v="6"/>
    <x v="6"/>
    <s v="Llenador de gobierno"/>
    <n v="1"/>
    <d v="2022-05-06T00:00:00"/>
    <d v="1995-12-27T00:00:00"/>
    <n v="4"/>
    <n v="30.186301369863013"/>
    <n v="18"/>
    <s v="PREPARATORIA"/>
    <n v="0"/>
    <n v="0"/>
    <n v="0"/>
    <n v="0"/>
    <n v="0"/>
    <n v="1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19"/>
    <x v="10"/>
    <n v="32043902"/>
    <x v="88"/>
    <n v="32154187"/>
    <x v="11"/>
    <x v="10"/>
    <s v="Llenador de gobierno"/>
    <n v="1"/>
    <d v="1996-11-04T00:00:00"/>
    <d v="1968-10-07T00:00:00"/>
    <n v="29"/>
    <n v="57.424657534246577"/>
    <n v="30"/>
    <s v="SECUNDARIA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3"/>
    <x v="10"/>
    <n v="32201712"/>
    <x v="89"/>
    <n v="32154187"/>
    <x v="11"/>
    <x v="10"/>
    <s v="Vaciador de gobierno"/>
    <n v="1"/>
    <d v="2021-10-29T00:00:00"/>
    <d v="1986-06-27T00:00:00"/>
    <n v="4"/>
    <n v="39.69315068493151"/>
    <n v="18"/>
    <s v="CURSANDO LIC."/>
    <n v="0"/>
    <n v="0"/>
    <n v="0"/>
    <n v="0"/>
    <n v="0"/>
    <n v="1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21"/>
    <x v="3"/>
    <n v="32222222"/>
    <x v="90"/>
    <n v="32045174"/>
    <x v="6"/>
    <x v="6"/>
    <s v="Bombero de levadura"/>
    <n v="1"/>
    <d v="2023-06-16T00:00:00"/>
    <d v="1987-07-09T00:00:00"/>
    <n v="3"/>
    <n v="38.660273972602738"/>
    <n v="16"/>
    <s v="PREPARATORIA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1"/>
    <x v="10"/>
    <n v="32173446"/>
    <x v="91"/>
    <n v="32045174"/>
    <x v="9"/>
    <x v="8"/>
    <s v="QUAs"/>
    <n v="1"/>
    <d v="2018-11-30T00:00:00"/>
    <d v="1998-08-09T00:00:00"/>
    <n v="7"/>
    <n v="27.567123287671233"/>
    <n v="22"/>
    <s v="LICENCIATURA"/>
    <n v="0"/>
    <n v="0"/>
    <n v="0"/>
    <n v="0"/>
    <n v="0"/>
    <n v="1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7"/>
    <x v="1"/>
    <n v="32045116"/>
    <x v="92"/>
    <n v="32046063"/>
    <x v="9"/>
    <x v="8"/>
    <s v="Técnico de elaboración"/>
    <n v="1"/>
    <d v="2000-10-02T00:00:00"/>
    <d v="1976-10-28T00:00:00"/>
    <n v="25"/>
    <n v="49.361643835616441"/>
    <n v="28"/>
    <s v="LICENCIATURA"/>
    <n v="0"/>
    <n v="0"/>
    <n v="0"/>
    <n v="0"/>
    <n v="0"/>
    <n v="0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x v="1"/>
    <x v="7"/>
    <x v="1"/>
    <n v="32154187"/>
    <x v="93"/>
    <n v="32045961"/>
    <x v="10"/>
    <x v="9"/>
    <s v="Técnico de elaboración"/>
    <n v="2"/>
    <d v="2023-11-01T00:00:00"/>
    <d v="1998-12-05T00:00:00"/>
    <n v="2"/>
    <n v="27.243835616438357"/>
    <n v="14"/>
    <s v="LICENCIATURA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x v="1"/>
    <x v="22"/>
    <x v="10"/>
    <n v="32149607"/>
    <x v="94"/>
    <n v="32045174"/>
    <x v="9"/>
    <x v="8"/>
    <s v="Vaciador de gobierno"/>
    <n v="1"/>
    <d v="2016-06-06T00:00:00"/>
    <d v="1996-01-15T00:00:00"/>
    <n v="10"/>
    <n v="30.134246575342466"/>
    <n v="22"/>
    <s v="SECUNDARIA"/>
    <n v="0"/>
    <n v="0"/>
    <n v="0"/>
    <n v="0"/>
    <n v="0"/>
    <n v="0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22"/>
    <x v="10"/>
    <n v="32043886"/>
    <x v="95"/>
    <n v="32045174"/>
    <x v="10"/>
    <x v="9"/>
    <s v="Vaciador de gobierno"/>
    <n v="1"/>
    <d v="1996-10-21T00:00:00"/>
    <d v="1975-11-30T00:00:00"/>
    <n v="29"/>
    <n v="50.273972602739725"/>
    <n v="30"/>
    <s v="SECUNDARIA"/>
    <n v="0"/>
    <n v="0"/>
    <n v="0"/>
    <n v="0"/>
    <n v="0"/>
    <n v="0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22"/>
    <x v="10"/>
    <n v="32045396"/>
    <x v="96"/>
    <n v="32154187"/>
    <x v="11"/>
    <x v="10"/>
    <s v="Vaciador de gobierno"/>
    <n v="1"/>
    <d v="2001-06-13T00:00:00"/>
    <d v="1973-03-22T00:00:00"/>
    <n v="25"/>
    <n v="52.967123287671235"/>
    <n v="28"/>
    <s v="SECUNDARIA"/>
    <n v="0"/>
    <n v="0"/>
    <n v="0"/>
    <n v="0"/>
    <n v="0"/>
    <n v="0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18"/>
    <x v="10"/>
    <n v="32043880"/>
    <x v="97"/>
    <n v="32146677"/>
    <x v="9"/>
    <x v="8"/>
    <s v="Bombero de cerveza"/>
    <n v="1"/>
    <d v="1996-10-14T00:00:00"/>
    <d v="1968-10-13T00:00:00"/>
    <n v="29"/>
    <n v="57.408219178082192"/>
    <n v="30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6"/>
    <x v="10"/>
    <n v="32044514"/>
    <x v="98"/>
    <n v="32146677"/>
    <x v="10"/>
    <x v="9"/>
    <s v="Bombero de levadura"/>
    <n v="1"/>
    <d v="1998-12-07T00:00:00"/>
    <d v="1973-08-19T00:00:00"/>
    <n v="27"/>
    <n v="52.556164383561644"/>
    <n v="30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0"/>
    <x v="10"/>
    <n v="32044776"/>
    <x v="99"/>
    <n v="32052981"/>
    <x v="6"/>
    <x v="6"/>
    <s v="Llenador de mosto"/>
    <n v="1"/>
    <d v="1999-08-09T00:00:00"/>
    <d v="1969-03-21T00:00:00"/>
    <n v="27"/>
    <n v="56.972602739726028"/>
    <n v="30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0"/>
    <x v="10"/>
    <n v="32144778"/>
    <x v="100"/>
    <n v="32052981"/>
    <x v="6"/>
    <x v="6"/>
    <s v="Llenador de mosto"/>
    <n v="1"/>
    <d v="2015-12-21T00:00:00"/>
    <d v="1992-06-30T00:00:00"/>
    <n v="10"/>
    <n v="33.679452054794524"/>
    <n v="22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0"/>
    <x v="10"/>
    <n v="32044513"/>
    <x v="101"/>
    <n v="32146677"/>
    <x v="11"/>
    <x v="10"/>
    <s v="Llenador de mosto"/>
    <n v="1"/>
    <d v="1998-12-07T00:00:00"/>
    <d v="1972-06-19T00:00:00"/>
    <n v="27"/>
    <n v="53.723287671232875"/>
    <n v="30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0"/>
    <x v="10"/>
    <n v="32044771"/>
    <x v="102"/>
    <n v="32146677"/>
    <x v="10"/>
    <x v="9"/>
    <s v="Llenador de mosto"/>
    <n v="1"/>
    <d v="1999-07-27T00:00:00"/>
    <d v="1977-10-11T00:00:00"/>
    <n v="27"/>
    <n v="48.408219178082192"/>
    <n v="30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3"/>
    <x v="3"/>
    <n v="32222223"/>
    <x v="103"/>
    <n v="32046063"/>
    <x v="6"/>
    <x v="6"/>
    <s v="Manejo de tierras filtrantes"/>
    <n v="1"/>
    <d v="2023-06-16T00:00:00"/>
    <d v="1999-03-24T00:00:00"/>
    <n v="3"/>
    <n v="26.945205479452056"/>
    <n v="16"/>
    <s v="CURSANDO LIC."/>
    <n v="0"/>
    <n v="0"/>
    <n v="0"/>
    <n v="0"/>
    <n v="0"/>
    <n v="1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17"/>
    <x v="10"/>
    <n v="32196366"/>
    <x v="104"/>
    <n v="32052981"/>
    <x v="6"/>
    <x v="6"/>
    <s v="Bombero de cerveza"/>
    <n v="1"/>
    <d v="2021-07-02T00:00:00"/>
    <d v="1991-11-17T00:00:00"/>
    <n v="5"/>
    <n v="34.298630136986304"/>
    <n v="20"/>
    <s v="CURSANDO LIC."/>
    <n v="0"/>
    <n v="0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1"/>
    <x v="10"/>
    <n v="32201713"/>
    <x v="105"/>
    <n v="32154187"/>
    <x v="6"/>
    <x v="6"/>
    <s v="QUAs"/>
    <n v="1"/>
    <d v="2021-10-29T00:00:00"/>
    <d v="2002-12-21T00:00:00"/>
    <n v="4"/>
    <n v="23.197260273972603"/>
    <n v="18"/>
    <s v="PREPARATORIA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7"/>
    <x v="1"/>
    <n v="32045139"/>
    <x v="106"/>
    <n v="32046063"/>
    <x v="9"/>
    <x v="8"/>
    <s v="Técnico de elaboración"/>
    <n v="3"/>
    <d v="2000-10-16T00:00:00"/>
    <d v="1975-01-02T00:00:00"/>
    <n v="25"/>
    <n v="51.183561643835617"/>
    <n v="28"/>
    <s v="LICENCIATURA"/>
    <n v="0"/>
    <n v="0"/>
    <n v="0"/>
    <n v="0"/>
    <n v="0"/>
    <n v="0"/>
    <n v="1"/>
    <n v="1"/>
    <n v="0"/>
    <n v="1"/>
    <n v="0"/>
    <n v="0"/>
    <n v="0"/>
    <n v="0"/>
    <n v="0"/>
    <n v="0"/>
    <n v="0"/>
    <n v="0"/>
    <m/>
    <m/>
    <m/>
    <m/>
    <m/>
    <m/>
    <m/>
    <m/>
    <m/>
    <m/>
    <m/>
    <m/>
    <m/>
  </r>
  <r>
    <x v="1"/>
    <x v="7"/>
    <x v="1"/>
    <n v="32231911"/>
    <x v="107"/>
    <n v="32052750"/>
    <x v="6"/>
    <x v="6"/>
    <s v="Técnico de elaboración"/>
    <n v="1"/>
    <d v="2024-10-18T00:00:00"/>
    <d v="1998-03-23T00:00:00"/>
    <n v="1"/>
    <n v="27.947945205479453"/>
    <n v="12"/>
    <s v="LICENCIATUR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2"/>
    <x v="10"/>
    <n v="32045410"/>
    <x v="108"/>
    <n v="32044049"/>
    <x v="6"/>
    <x v="6"/>
    <s v="Vaciador de gobierno"/>
    <n v="1"/>
    <d v="2001-06-20T00:00:00"/>
    <d v="1980-08-08T00:00:00"/>
    <n v="25"/>
    <n v="45.580821917808223"/>
    <n v="28"/>
    <s v="PREPARATORIA"/>
    <n v="0"/>
    <n v="0"/>
    <n v="0"/>
    <n v="0"/>
    <n v="0"/>
    <n v="0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7"/>
    <x v="1"/>
    <n v="32188513"/>
    <x v="109"/>
    <n v="32146677"/>
    <x v="11"/>
    <x v="10"/>
    <s v="Técnico de elaboración"/>
    <n v="1"/>
    <d v="2020-09-01T00:00:00"/>
    <d v="1995-09-04T00:00:00"/>
    <n v="5"/>
    <n v="30.4986301369863"/>
    <n v="20"/>
    <s v="LICENCIATURA"/>
    <n v="0"/>
    <n v="0"/>
    <n v="0"/>
    <n v="0"/>
    <n v="1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4"/>
    <x v="7"/>
    <n v="32188512"/>
    <x v="110"/>
    <n v="32052750"/>
    <x v="9"/>
    <x v="8"/>
    <s v="Técnico de elaboración"/>
    <n v="1"/>
    <d v="2020-09-01T00:00:00"/>
    <d v="1993-03-01T00:00:00"/>
    <n v="5"/>
    <n v="33.010958904109586"/>
    <n v="20"/>
    <s v="LICENCIATURA"/>
    <n v="0"/>
    <n v="0"/>
    <n v="0"/>
    <n v="0"/>
    <n v="1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8"/>
    <x v="10"/>
    <n v="32044447"/>
    <x v="111"/>
    <n v="32146677"/>
    <x v="6"/>
    <x v="6"/>
    <s v="Bombero de cerveza"/>
    <n v="1"/>
    <d v="1998-09-22T00:00:00"/>
    <d v="1970-04-20T00:00:00"/>
    <n v="27"/>
    <n v="55.890410958904113"/>
    <n v="30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15"/>
    <x v="0"/>
    <n v="32146677"/>
    <x v="112"/>
    <n v="32052556"/>
    <x v="7"/>
    <x v="6"/>
    <s v="LIDER DE TURNO"/>
    <n v="2"/>
    <d v="2016-03-01T00:00:00"/>
    <d v="1989-04-11T00:00:00"/>
    <n v="10"/>
    <n v="36.901369863013699"/>
    <n v="22"/>
    <s v="LICENCIATUR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15"/>
    <x v="0"/>
    <n v="32146684"/>
    <x v="113"/>
    <n v="32045961"/>
    <x v="7"/>
    <x v="7"/>
    <s v="LIDER DE TURNO"/>
    <n v="3"/>
    <d v="2016-03-01T00:00:00"/>
    <d v="1992-10-20T00:00:00"/>
    <n v="10"/>
    <n v="33.372602739726027"/>
    <n v="22"/>
    <s v="LICENCIATURA"/>
    <n v="1"/>
    <n v="0"/>
    <n v="0"/>
    <n v="0"/>
    <n v="0"/>
    <n v="0"/>
    <n v="0"/>
    <n v="0"/>
    <n v="0"/>
    <n v="1"/>
    <n v="0"/>
    <n v="0"/>
    <n v="1"/>
    <n v="0"/>
    <n v="0"/>
    <n v="0"/>
    <n v="1"/>
    <n v="0"/>
    <m/>
    <m/>
    <m/>
    <m/>
    <m/>
    <m/>
    <m/>
    <m/>
    <m/>
    <m/>
    <m/>
    <m/>
    <m/>
  </r>
  <r>
    <x v="1"/>
    <x v="25"/>
    <x v="10"/>
    <n v="32181712"/>
    <x v="114"/>
    <n v="32224001"/>
    <x v="8"/>
    <x v="7"/>
    <s v="Operador de blender"/>
    <n v="1"/>
    <d v="2019-08-16T00:00:00"/>
    <d v="1991-04-13T00:00:00"/>
    <n v="7"/>
    <n v="34.895890410958906"/>
    <n v="22"/>
    <s v="PREPARATORIA"/>
    <n v="0"/>
    <n v="0"/>
    <n v="0"/>
    <n v="0"/>
    <n v="0"/>
    <n v="0"/>
    <n v="0"/>
    <n v="0"/>
    <n v="0"/>
    <n v="0"/>
    <n v="1"/>
    <m/>
    <m/>
    <m/>
    <m/>
    <m/>
    <m/>
    <m/>
    <m/>
    <m/>
    <m/>
    <m/>
    <m/>
    <m/>
    <m/>
    <m/>
    <m/>
    <m/>
    <m/>
    <m/>
    <m/>
  </r>
  <r>
    <x v="1"/>
    <x v="25"/>
    <x v="10"/>
    <n v="32149237"/>
    <x v="115"/>
    <n v="32224001"/>
    <x v="8"/>
    <x v="7"/>
    <s v="Operador de blender"/>
    <n v="1"/>
    <d v="2016-05-30T00:00:00"/>
    <d v="1995-02-23T00:00:00"/>
    <n v="10"/>
    <n v="31.027397260273972"/>
    <n v="22"/>
    <s v="PREPARATORIA"/>
    <n v="0"/>
    <n v="0"/>
    <n v="0"/>
    <n v="0"/>
    <n v="0"/>
    <n v="0"/>
    <n v="1"/>
    <n v="1"/>
    <n v="0"/>
    <n v="0"/>
    <n v="1"/>
    <m/>
    <m/>
    <m/>
    <m/>
    <m/>
    <m/>
    <m/>
    <m/>
    <m/>
    <m/>
    <m/>
    <m/>
    <m/>
    <m/>
    <m/>
    <m/>
    <m/>
    <m/>
    <m/>
    <m/>
  </r>
  <r>
    <x v="1"/>
    <x v="25"/>
    <x v="10"/>
    <n v="32176720"/>
    <x v="116"/>
    <n v="32224001"/>
    <x v="8"/>
    <x v="7"/>
    <s v="Operador de blender"/>
    <n v="1"/>
    <d v="2019-03-29T00:00:00"/>
    <d v="1988-07-06T00:00:00"/>
    <n v="7"/>
    <n v="37.665753424657531"/>
    <n v="22"/>
    <s v="PREPARATORIA"/>
    <n v="0"/>
    <n v="0"/>
    <n v="0"/>
    <n v="0"/>
    <n v="0"/>
    <n v="0"/>
    <n v="1"/>
    <n v="1"/>
    <n v="0"/>
    <n v="0"/>
    <n v="1"/>
    <m/>
    <m/>
    <m/>
    <m/>
    <m/>
    <m/>
    <m/>
    <m/>
    <m/>
    <m/>
    <m/>
    <m/>
    <m/>
    <m/>
    <m/>
    <m/>
    <m/>
    <m/>
    <m/>
    <m/>
  </r>
  <r>
    <x v="1"/>
    <x v="25"/>
    <x v="10"/>
    <n v="32183480"/>
    <x v="117"/>
    <n v="32224001"/>
    <x v="8"/>
    <x v="7"/>
    <s v="Operador de blender"/>
    <n v="1"/>
    <d v="2019-11-01T00:00:00"/>
    <d v="2001-06-22T00:00:00"/>
    <n v="6"/>
    <n v="24.695890410958903"/>
    <n v="22"/>
    <s v="LICENCIATURA"/>
    <n v="0"/>
    <n v="0"/>
    <n v="0"/>
    <n v="0"/>
    <n v="0"/>
    <n v="0"/>
    <n v="0"/>
    <n v="0"/>
    <n v="0"/>
    <n v="0"/>
    <n v="1"/>
    <m/>
    <m/>
    <m/>
    <m/>
    <m/>
    <m/>
    <m/>
    <m/>
    <m/>
    <m/>
    <m/>
    <m/>
    <m/>
    <m/>
    <m/>
    <m/>
    <m/>
    <m/>
    <m/>
    <m/>
  </r>
  <r>
    <x v="1"/>
    <x v="25"/>
    <x v="10"/>
    <n v="32197975"/>
    <x v="118"/>
    <n v="32224001"/>
    <x v="8"/>
    <x v="7"/>
    <s v="Operador de blender"/>
    <n v="1"/>
    <d v="2021-08-20T00:00:00"/>
    <d v="2000-07-06T00:00:00"/>
    <n v="5"/>
    <n v="25.657534246575342"/>
    <n v="20"/>
    <s v="CURSANDO LIC."/>
    <n v="0"/>
    <n v="0"/>
    <n v="0"/>
    <n v="0"/>
    <n v="0"/>
    <n v="0"/>
    <n v="0"/>
    <n v="0"/>
    <n v="0"/>
    <n v="0"/>
    <n v="1"/>
    <m/>
    <m/>
    <m/>
    <m/>
    <m/>
    <m/>
    <m/>
    <m/>
    <m/>
    <m/>
    <m/>
    <m/>
    <m/>
    <m/>
    <m/>
    <m/>
    <m/>
    <m/>
    <m/>
    <m/>
  </r>
  <r>
    <x v="1"/>
    <x v="25"/>
    <x v="10"/>
    <n v="32175115"/>
    <x v="119"/>
    <n v="32224001"/>
    <x v="8"/>
    <x v="7"/>
    <s v="Operador de blender"/>
    <n v="1"/>
    <d v="2019-03-01T00:00:00"/>
    <d v="1997-11-05T00:00:00"/>
    <n v="7"/>
    <n v="28.326027397260273"/>
    <n v="22"/>
    <s v="PREPARATORIA"/>
    <n v="0"/>
    <n v="0"/>
    <n v="0"/>
    <n v="0"/>
    <n v="0"/>
    <n v="0"/>
    <n v="1"/>
    <n v="1"/>
    <n v="0"/>
    <n v="0"/>
    <n v="1"/>
    <m/>
    <m/>
    <m/>
    <m/>
    <m/>
    <m/>
    <m/>
    <m/>
    <m/>
    <m/>
    <m/>
    <m/>
    <m/>
    <m/>
    <m/>
    <m/>
    <m/>
    <m/>
    <m/>
    <m/>
  </r>
  <r>
    <x v="1"/>
    <x v="18"/>
    <x v="10"/>
    <n v="32144776"/>
    <x v="120"/>
    <n v="32052981"/>
    <x v="6"/>
    <x v="6"/>
    <s v="Bombero de cerveza"/>
    <n v="1"/>
    <d v="2015-12-21T00:00:00"/>
    <d v="1997-07-17T00:00:00"/>
    <n v="10"/>
    <n v="28.63013698630137"/>
    <n v="22"/>
    <s v="PREPARATORIA"/>
    <n v="0"/>
    <n v="0"/>
    <n v="0"/>
    <n v="0"/>
    <n v="0"/>
    <n v="1"/>
    <n v="1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0"/>
    <x v="10"/>
    <n v="32044036"/>
    <x v="121"/>
    <n v="32146677"/>
    <x v="9"/>
    <x v="8"/>
    <s v="Llenador de mosto"/>
    <n v="1"/>
    <d v="1997-03-13T00:00:00"/>
    <d v="1976-12-04T00:00:00"/>
    <n v="29"/>
    <n v="49.260273972602739"/>
    <n v="30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0"/>
    <x v="10"/>
    <n v="32044760"/>
    <x v="122"/>
    <n v="32052750"/>
    <x v="10"/>
    <x v="9"/>
    <s v="Llenador de mosto"/>
    <n v="1"/>
    <d v="1999-07-10T00:00:00"/>
    <d v="1969-05-05T00:00:00"/>
    <n v="27"/>
    <n v="56.849315068493148"/>
    <n v="30"/>
    <s v="SECUNDARIA"/>
    <n v="0"/>
    <n v="0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m/>
    <m/>
  </r>
  <r>
    <x v="1"/>
    <x v="23"/>
    <x v="10"/>
    <n v="32142953"/>
    <x v="123"/>
    <n v="32044049"/>
    <x v="10"/>
    <x v="9"/>
    <s v="Manejo de tierras filtrantes"/>
    <n v="1"/>
    <d v="2015-10-26T00:00:00"/>
    <d v="1986-11-24T00:00:00"/>
    <n v="10"/>
    <n v="39.282191780821918"/>
    <n v="22"/>
    <s v="SECUNDARIA"/>
    <n v="0"/>
    <n v="0"/>
    <n v="0"/>
    <n v="0"/>
    <n v="0"/>
    <n v="0"/>
    <n v="1"/>
    <n v="1"/>
    <n v="0"/>
    <n v="0"/>
    <n v="0"/>
    <m/>
    <m/>
    <m/>
    <m/>
    <m/>
    <m/>
    <m/>
    <m/>
    <m/>
    <m/>
    <m/>
    <m/>
    <m/>
    <m/>
    <m/>
    <m/>
    <m/>
    <m/>
    <m/>
    <m/>
  </r>
  <r>
    <x v="1"/>
    <x v="7"/>
    <x v="1"/>
    <n v="32143106"/>
    <x v="124"/>
    <n v="32196674"/>
    <x v="9"/>
    <x v="8"/>
    <s v="Técnico de elaboración"/>
    <n v="1"/>
    <d v="2015-11-02T00:00:00"/>
    <d v="1988-07-08T00:00:00"/>
    <n v="10"/>
    <n v="37.660273972602738"/>
    <n v="22"/>
    <s v="LICENCIATURA"/>
    <n v="0"/>
    <n v="0"/>
    <n v="0"/>
    <n v="0"/>
    <n v="0"/>
    <n v="0"/>
    <n v="0"/>
    <n v="1"/>
    <n v="0"/>
    <n v="1"/>
    <n v="1"/>
    <n v="0"/>
    <n v="0"/>
    <n v="0"/>
    <n v="0"/>
    <n v="0"/>
    <n v="0"/>
    <n v="0"/>
    <m/>
    <m/>
    <m/>
    <m/>
    <m/>
    <m/>
    <m/>
    <m/>
    <m/>
    <m/>
    <m/>
    <m/>
    <m/>
  </r>
  <r>
    <x v="1"/>
    <x v="7"/>
    <x v="1"/>
    <n v="32154634"/>
    <x v="125"/>
    <n v="32046063"/>
    <x v="11"/>
    <x v="10"/>
    <s v="Técnico de elaboración"/>
    <n v="2"/>
    <d v="2016-11-16T00:00:00"/>
    <d v="1992-11-12T00:00:00"/>
    <n v="9"/>
    <n v="33.30958904109589"/>
    <n v="22"/>
    <s v="LICENCIATURA"/>
    <n v="0"/>
    <n v="0"/>
    <n v="0"/>
    <n v="0"/>
    <n v="0"/>
    <n v="0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x v="1"/>
    <x v="15"/>
    <x v="0"/>
    <n v="32052750"/>
    <x v="126"/>
    <n v="32045961"/>
    <x v="8"/>
    <x v="1"/>
    <s v="SUPERVISOR PROPAGACION"/>
    <n v="2"/>
    <d v="2006-07-05T00:00:00"/>
    <d v="1977-06-30T00:00:00"/>
    <n v="20"/>
    <n v="48.69041095890411"/>
    <n v="26"/>
    <s v="LICENCIATURA"/>
    <n v="0"/>
    <n v="0"/>
    <n v="0"/>
    <n v="0"/>
    <n v="1"/>
    <n v="1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x v="2"/>
    <x v="26"/>
    <x v="0"/>
    <n v="32146683"/>
    <x v="127"/>
    <n v="32045961"/>
    <x v="12"/>
    <x v="1"/>
    <s v="INGENIERO EN PROCESO"/>
    <n v="2"/>
    <d v="2020-03-17T00:00:00"/>
    <d v="1996-09-04T00:00:00"/>
    <n v="6"/>
    <n v="29.495890410958904"/>
    <n v="22"/>
    <s v="LICENCIATURA"/>
    <n v="0"/>
    <n v="0"/>
    <n v="0"/>
    <n v="0"/>
    <n v="0"/>
    <n v="0"/>
    <n v="0"/>
    <n v="0"/>
    <n v="0"/>
    <n v="0"/>
    <n v="0"/>
    <n v="0"/>
    <n v="0"/>
    <n v="1"/>
    <n v="1"/>
    <n v="0"/>
    <n v="0"/>
    <n v="0"/>
    <m/>
    <m/>
    <m/>
    <m/>
    <m/>
    <m/>
    <m/>
    <m/>
    <m/>
    <m/>
    <m/>
    <m/>
    <m/>
  </r>
  <r>
    <x v="2"/>
    <x v="26"/>
    <x v="0"/>
    <n v="32044914"/>
    <x v="128"/>
    <n v="32052556"/>
    <x v="12"/>
    <x v="1"/>
    <s v="INGENIERO EN PROCESO"/>
    <n v="2"/>
    <d v="2000-08-05T00:00:00"/>
    <d v="1973-07-08T00:00:00"/>
    <n v="26"/>
    <n v="52.671232876712331"/>
    <n v="30"/>
    <s v="INGENIERIA"/>
    <s v="SIEBE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2"/>
    <x v="27"/>
    <x v="11"/>
    <n v="32045961"/>
    <x v="129"/>
    <n v="32052556"/>
    <x v="12"/>
    <x v="1"/>
    <s v="GERENTE DE AREA"/>
    <n v="2"/>
    <d v="2003-07-01T00:00:00"/>
    <d v="1980-04-14T00:00:00"/>
    <n v="23"/>
    <n v="45.898630136986299"/>
    <n v="28"/>
    <s v="LICENCIATUR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12"/>
    <n v="32044762"/>
    <x v="130"/>
    <n v="32052556"/>
    <x v="12"/>
    <x v="1"/>
    <s v="GERENTE DE AREA"/>
    <n v="2"/>
    <d v="1999-07-13T00:00:00"/>
    <d v="1976-08-04T00:00:00"/>
    <n v="27"/>
    <n v="49.594520547945208"/>
    <n v="3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2"/>
    <x v="29"/>
    <x v="11"/>
    <n v="32132858"/>
    <x v="131"/>
    <n v="32052556"/>
    <x v="12"/>
    <x v="1"/>
    <s v="GERENTE DE AREA"/>
    <n v="2"/>
    <d v="2014-07-01T00:00:00"/>
    <d v="1990-01-25T00:00:00"/>
    <n v="12"/>
    <n v="36.109589041095887"/>
    <n v="24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x v="2"/>
    <x v="30"/>
    <x v="13"/>
    <n v="32052556"/>
    <x v="132"/>
    <n v="1"/>
    <x v="13"/>
    <x v="1"/>
    <s v="GERENTE DE AREA"/>
    <n v="2"/>
    <d v="2006-06-28T00:00:00"/>
    <d v="1983-11-01T00:00:00"/>
    <n v="20"/>
    <n v="42.347945205479455"/>
    <n v="26"/>
    <s v="Ingeniero Mecatroni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  <m/>
    <m/>
    <m/>
    <m/>
  </r>
  <r>
    <x v="3"/>
    <x v="1"/>
    <x v="1"/>
    <n v="32043804"/>
    <x v="133"/>
    <n v="32044762"/>
    <x v="14"/>
    <x v="11"/>
    <s v="Especialista de Filtracion e buscara que sea PTE"/>
    <n v="1"/>
    <d v="1996-03-01T00:00:00"/>
    <d v="1976-04-05T00:00:00"/>
    <n v="30"/>
    <n v="49.926027397260277"/>
    <n v="30"/>
    <s v="PREPARATORIA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044319"/>
    <x v="134"/>
    <n v="32145498"/>
    <x v="14"/>
    <x v="11"/>
    <m/>
    <n v="1"/>
    <d v="1995-09-18T00:00:00"/>
    <d v="1977-05-09T00:00:00"/>
    <n v="30"/>
    <n v="48.832876712328769"/>
    <n v="30"/>
    <s v="Tecnico Maquinas Herramientas (Conalep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  <m/>
    <m/>
    <m/>
    <m/>
  </r>
  <r>
    <x v="3"/>
    <x v="1"/>
    <x v="1"/>
    <n v="32044478"/>
    <x v="135"/>
    <n v="32145498"/>
    <x v="14"/>
    <x v="11"/>
    <m/>
    <n v="1"/>
    <d v="1996-10-21T00:00:00"/>
    <d v="1969-01-31T00:00:00"/>
    <n v="29"/>
    <n v="57.106849315068494"/>
    <n v="30"/>
    <s v="SECUNDARI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044319"/>
    <x v="136"/>
    <n v="32145498"/>
    <x v="14"/>
    <x v="11"/>
    <m/>
    <n v="1"/>
    <d v="1998-03-16T00:00:00"/>
    <d v="1970-08-05T00:00:00"/>
    <n v="28"/>
    <n v="55.597260273972601"/>
    <n v="30"/>
    <s v="PREPARATORI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044789"/>
    <x v="137"/>
    <n v="32145498"/>
    <x v="14"/>
    <x v="11"/>
    <m/>
    <n v="1"/>
    <d v="1999-09-20T00:00:00"/>
    <d v="1980-10-16T00:00:00"/>
    <n v="26"/>
    <n v="45.391780821917806"/>
    <n v="30"/>
    <s v="Bachillerato Tecni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  <m/>
    <m/>
    <m/>
    <m/>
  </r>
  <r>
    <x v="3"/>
    <x v="1"/>
    <x v="1"/>
    <n v="32045106"/>
    <x v="138"/>
    <n v="32145498"/>
    <x v="14"/>
    <x v="11"/>
    <m/>
    <n v="1"/>
    <d v="2000-09-25T00:00:00"/>
    <d v="1977-09-29T00:00:00"/>
    <n v="25"/>
    <n v="48.441095890410956"/>
    <n v="28"/>
    <s v="Carrera Tecnica mecanico electricista.(Conalep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  <m/>
    <m/>
    <m/>
    <m/>
  </r>
  <r>
    <x v="3"/>
    <x v="1"/>
    <x v="1"/>
    <n v="32044909"/>
    <x v="139"/>
    <n v="32044762"/>
    <x v="14"/>
    <x v="11"/>
    <s v="Especialista de Fermentacion se buscara que sea PTE"/>
    <n v="1"/>
    <d v="2000-05-08T00:00:00"/>
    <d v="1973-01-22T00:00:00"/>
    <n v="26"/>
    <n v="53.128767123287673"/>
    <n v="30"/>
    <s v="Secundari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045043"/>
    <x v="140"/>
    <n v="32145498"/>
    <x v="14"/>
    <x v="11"/>
    <m/>
    <n v="1"/>
    <d v="2000-07-27T00:00:00"/>
    <d v="1982-05-23T00:00:00"/>
    <n v="26"/>
    <n v="43.791780821917811"/>
    <n v="30"/>
    <s v="Carrera tecnica (electronico industrial).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  <m/>
    <m/>
    <m/>
    <m/>
  </r>
  <r>
    <x v="3"/>
    <x v="1"/>
    <x v="1"/>
    <n v="32045769"/>
    <x v="141"/>
    <n v="32145498"/>
    <x v="14"/>
    <x v="11"/>
    <m/>
    <n v="1"/>
    <d v="2002-06-01T00:00:00"/>
    <d v="1968-09-16T00:00:00"/>
    <n v="24"/>
    <n v="57.482191780821921"/>
    <n v="28"/>
    <s v="PREPARATORI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045952"/>
    <x v="142"/>
    <n v="32145498"/>
    <x v="14"/>
    <x v="11"/>
    <m/>
    <n v="1"/>
    <d v="2003-06-16T00:00:00"/>
    <d v="1982-08-06T00:00:00"/>
    <n v="23"/>
    <n v="43.586301369863016"/>
    <n v="28"/>
    <s v="Bachillerato Tecni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  <m/>
    <m/>
    <m/>
    <m/>
  </r>
  <r>
    <x v="3"/>
    <x v="1"/>
    <x v="1"/>
    <n v="32146005"/>
    <x v="143"/>
    <n v="32145498"/>
    <x v="14"/>
    <x v="11"/>
    <m/>
    <n v="2"/>
    <d v="2016-02-03T00:00:00"/>
    <d v="1983-08-07T00:00:00"/>
    <n v="10"/>
    <n v="42.583561643835615"/>
    <n v="22"/>
    <s v="Tecnico mecanico automotriz (Diesel)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173447"/>
    <x v="144"/>
    <n v="32145498"/>
    <x v="14"/>
    <x v="11"/>
    <m/>
    <n v="1"/>
    <d v="2018-11-30T00:00:00"/>
    <d v="1997-12-09T00:00:00"/>
    <n v="7"/>
    <n v="28.232876712328768"/>
    <n v="22"/>
    <s v="Ingeniero Indust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176714"/>
    <x v="145"/>
    <n v="32145498"/>
    <x v="14"/>
    <x v="11"/>
    <m/>
    <n v="1"/>
    <d v="2019-03-29T00:00:00"/>
    <d v="1998-08-23T00:00:00"/>
    <n v="7"/>
    <n v="27.528767123287672"/>
    <n v="22"/>
    <s v="PREPARATORI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199794"/>
    <x v="146"/>
    <n v="32145498"/>
    <x v="14"/>
    <x v="11"/>
    <m/>
    <n v="1"/>
    <d v="2021-09-24T00:00:00"/>
    <d v="2001-01-10T00:00:00"/>
    <n v="4"/>
    <n v="25.142465753424659"/>
    <n v="18"/>
    <s v="Tecnico Electromecánico-Indust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m/>
    <m/>
    <m/>
    <m/>
    <m/>
    <m/>
  </r>
  <r>
    <x v="3"/>
    <x v="1"/>
    <x v="1"/>
    <n v="32219006"/>
    <x v="147"/>
    <n v="32145498"/>
    <x v="14"/>
    <x v="11"/>
    <m/>
    <n v="1"/>
    <d v="2022-12-01T00:00:00"/>
    <d v="1998-01-18T00:00:00"/>
    <n v="3"/>
    <n v="28.123287671232877"/>
    <n v="16"/>
    <s v="Ingeniero Mecatroni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  <m/>
    <m/>
    <m/>
    <m/>
  </r>
  <r>
    <x v="3"/>
    <x v="31"/>
    <x v="0"/>
    <n v="32043857"/>
    <x v="148"/>
    <n v="32045961"/>
    <x v="15"/>
    <x v="11"/>
    <s v="LIDER DE TURNO"/>
    <n v="2"/>
    <d v="1996-08-16T00:00:00"/>
    <d v="1978-06-01T00:00:00"/>
    <n v="30"/>
    <n v="47.769863013698632"/>
    <n v="30"/>
    <s v="INGENIERIA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31"/>
    <x v="0"/>
    <n v="32045495"/>
    <x v="149"/>
    <n v="32045961"/>
    <x v="15"/>
    <x v="12"/>
    <s v="LIDER DE TURNO"/>
    <n v="2"/>
    <d v="2001-08-16T00:00:00"/>
    <d v="1983-07-07T00:00:00"/>
    <n v="25"/>
    <n v="42.668493150684931"/>
    <n v="28"/>
    <s v="Arquitect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043861"/>
    <x v="150"/>
    <n v="32043783"/>
    <x v="16"/>
    <x v="12"/>
    <m/>
    <n v="1"/>
    <d v="1996-07-01T00:00:00"/>
    <d v="1976-08-22T00:00:00"/>
    <n v="30"/>
    <n v="49.545205479452058"/>
    <n v="30"/>
    <s v="BACHILLERATO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044301"/>
    <x v="151"/>
    <n v="32043783"/>
    <x v="16"/>
    <x v="12"/>
    <m/>
    <n v="1"/>
    <d v="1996-09-02T00:00:00"/>
    <d v="1977-02-17T00:00:00"/>
    <n v="30"/>
    <n v="49.054794520547944"/>
    <n v="30"/>
    <s v="Carrera tecnica (Programador-analista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173442"/>
    <x v="152"/>
    <n v="32043783"/>
    <x v="16"/>
    <x v="12"/>
    <m/>
    <n v="1"/>
    <d v="1996-11-01T00:00:00"/>
    <d v="1970-12-13T00:00:00"/>
    <n v="29"/>
    <n v="55.241095890410961"/>
    <n v="30"/>
    <s v="SECUNDARI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043739"/>
    <x v="153"/>
    <n v="32043783"/>
    <x v="16"/>
    <x v="12"/>
    <m/>
    <n v="1"/>
    <d v="1998-02-14T00:00:00"/>
    <d v="1976-09-29T00:00:00"/>
    <n v="28"/>
    <n v="49.441095890410956"/>
    <n v="30"/>
    <s v="SECUNDARI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044251"/>
    <x v="154"/>
    <n v="32043783"/>
    <x v="16"/>
    <x v="12"/>
    <m/>
    <n v="1"/>
    <d v="1997-12-18T00:00:00"/>
    <d v="1974-11-09T00:00:00"/>
    <n v="28"/>
    <n v="51.331506849315069"/>
    <n v="30"/>
    <s v="SECUNDARI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  <m/>
    <m/>
    <m/>
    <m/>
  </r>
  <r>
    <x v="3"/>
    <x v="1"/>
    <x v="1"/>
    <n v="32045469"/>
    <x v="155"/>
    <n v="32043783"/>
    <x v="16"/>
    <x v="12"/>
    <s v="Especialista de Cocimientos"/>
    <n v="1"/>
    <d v="1998-03-02T00:00:00"/>
    <d v="1979-04-05T00:00:00"/>
    <n v="28"/>
    <n v="46.926027397260277"/>
    <n v="30"/>
    <s v="BACHILLERAT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145333"/>
    <x v="156"/>
    <n v="32043783"/>
    <x v="16"/>
    <x v="12"/>
    <m/>
    <n v="1"/>
    <d v="1998-03-02T00:00:00"/>
    <d v="1973-07-28T00:00:00"/>
    <n v="28"/>
    <n v="52.61643835616438"/>
    <n v="30"/>
    <s v="SECUNDARI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043900"/>
    <x v="157"/>
    <n v="32043783"/>
    <x v="16"/>
    <x v="12"/>
    <m/>
    <n v="1"/>
    <d v="2001-08-01T00:00:00"/>
    <d v="1974-11-30T00:00:00"/>
    <n v="25"/>
    <n v="51.273972602739725"/>
    <n v="28"/>
    <s v="SECUNDARI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092747"/>
    <x v="158"/>
    <n v="32043783"/>
    <x v="16"/>
    <x v="12"/>
    <m/>
    <n v="1"/>
    <d v="2010-07-01T00:00:00"/>
    <d v="1982-03-24T00:00:00"/>
    <n v="16"/>
    <n v="43.956164383561642"/>
    <n v="26"/>
    <s v="BACHILLERAT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  <m/>
    <m/>
    <m/>
    <m/>
  </r>
  <r>
    <x v="3"/>
    <x v="1"/>
    <x v="1"/>
    <n v="32043835"/>
    <x v="159"/>
    <n v="32043783"/>
    <x v="16"/>
    <x v="12"/>
    <m/>
    <n v="3"/>
    <d v="2016-01-18T00:00:00"/>
    <d v="1995-01-10T00:00:00"/>
    <n v="10"/>
    <n v="31.147945205479452"/>
    <n v="22"/>
    <s v="TS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149490"/>
    <x v="160"/>
    <n v="32043783"/>
    <x v="16"/>
    <x v="12"/>
    <m/>
    <n v="1"/>
    <d v="2016-06-01T00:00:00"/>
    <d v="1994-10-05T00:00:00"/>
    <n v="10"/>
    <n v="31.413698630136988"/>
    <n v="22"/>
    <s v="Ingeniero En Energia Renovab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  <m/>
    <m/>
    <m/>
    <m/>
  </r>
  <r>
    <x v="3"/>
    <x v="1"/>
    <x v="1"/>
    <n v="32044316"/>
    <x v="161"/>
    <n v="32043783"/>
    <x v="16"/>
    <x v="12"/>
    <m/>
    <n v="1"/>
    <d v="2018-12-03T00:00:00"/>
    <d v="1996-06-19T00:00:00"/>
    <n v="7"/>
    <n v="29.706849315068492"/>
    <n v="22"/>
    <s v="SECUNDARI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  <m/>
    <m/>
    <m/>
    <m/>
    <m/>
  </r>
  <r>
    <x v="3"/>
    <x v="1"/>
    <x v="1"/>
    <n v="32199772"/>
    <x v="162"/>
    <n v="32043783"/>
    <x v="16"/>
    <x v="12"/>
    <m/>
    <n v="1"/>
    <d v="2021-09-24T00:00:00"/>
    <d v="1992-12-23T00:00:00"/>
    <n v="4"/>
    <n v="33.197260273972603"/>
    <n v="18"/>
    <s v="Ingeniero Industrial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  <m/>
    <m/>
    <m/>
    <m/>
    <m/>
  </r>
  <r>
    <x v="3"/>
    <x v="31"/>
    <x v="0"/>
    <n v="32043783"/>
    <x v="163"/>
    <n v="32044762"/>
    <x v="15"/>
    <x v="1"/>
    <s v="SUPERVISOR DE CONTROL &amp; AUTOMATIZACION"/>
    <n v="2"/>
    <d v="1996-02-01T00:00:00"/>
    <d v="1973-07-18T00:00:00"/>
    <n v="30"/>
    <n v="52.643835616438359"/>
    <n v="30"/>
    <s v="INGENIERI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m/>
    <m/>
    <m/>
    <m/>
    <m/>
    <m/>
  </r>
  <r>
    <x v="3"/>
    <x v="32"/>
    <x v="0"/>
    <n v="32045472"/>
    <x v="164"/>
    <n v="32044762"/>
    <x v="15"/>
    <x v="1"/>
    <s v="PLANEADOR "/>
    <n v="2"/>
    <d v="2001-08-01T00:00:00"/>
    <d v="1974-01-01T00:00:00"/>
    <n v="25"/>
    <n v="52.186301369863017"/>
    <n v="28"/>
    <s v="Ingeniero Electromecanico"/>
    <m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1"/>
    <n v="0"/>
    <m/>
    <m/>
    <m/>
    <m/>
    <m/>
    <m/>
  </r>
  <r>
    <x v="3"/>
    <x v="32"/>
    <x v="0"/>
    <n v="32063998"/>
    <x v="165"/>
    <n v="32044762"/>
    <x v="15"/>
    <x v="1"/>
    <s v="PLANEADOR "/>
    <n v="2"/>
    <d v="2007-07-23T00:00:00"/>
    <d v="1983-11-04T00:00:00"/>
    <n v="19"/>
    <n v="42.339726027397262"/>
    <n v="26"/>
    <s v="Ingeniero Mecanico"/>
    <m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x v="0"/>
    <s v="SUPERVISOR DE CUARTOS FRIOS"/>
    <n v="7"/>
    <n v="32052981"/>
    <s v="JUAN JOSE MEJIA MONTOYA"/>
    <n v="32045961"/>
    <s v="JAIME ALEJANDRO LAGUNAS CARRERA"/>
    <x v="0"/>
    <s v="LIDER DE TURNO"/>
  </r>
  <r>
    <x v="0"/>
    <s v="OPERADOR DE PLATOS"/>
    <s v="AM"/>
    <n v="32213349"/>
    <s v="PEDRO LUIS RODRIGUEZ GAMEZ"/>
    <n v="32052981"/>
    <s v="JUAN JOSE MEJIA MONTOYA"/>
    <x v="0"/>
    <s v="Manejo de tierras filtrantes"/>
  </r>
  <r>
    <x v="0"/>
    <s v="BOMBERO DE CERVEZA"/>
    <s v="AM"/>
    <n v="32144777"/>
    <s v="OSCAR CAMPOS GUERRERO"/>
    <n v="32052981"/>
    <s v="JUAN JOSE MEJIA MONTOYA"/>
    <x v="0"/>
    <s v="Bombero de cerveza"/>
  </r>
  <r>
    <x v="0"/>
    <s v="LLENADOR DE GOBIERNO"/>
    <s v="AM"/>
    <n v="32157221"/>
    <s v="JESUS MENCHACA DEL VILLAR"/>
    <n v="32052981"/>
    <s v="JUAN JOSE MEJIA MONTOYA"/>
    <x v="0"/>
    <s v="Llenador de gobierno"/>
  </r>
  <r>
    <x v="0"/>
    <s v="LLENADOR DE GOBIERNO"/>
    <s v="AM"/>
    <n v="32043849"/>
    <s v="PEDRO ANTONIO URIBE ARANDA"/>
    <n v="32052981"/>
    <s v="JUAN JOSE MEJIA MONTOYA"/>
    <x v="0"/>
    <s v="Llenador de gobierno"/>
  </r>
  <r>
    <x v="0"/>
    <s v="LLENADOR DE MOSTOS"/>
    <s v="AM"/>
    <n v="32132025"/>
    <s v="SERGIO MIGUEL PARRA VAZQUEZ"/>
    <n v="32052981"/>
    <s v="JUAN JOSE MEJIA MONTOYA"/>
    <x v="0"/>
    <s v="Llenador de mosto"/>
  </r>
  <r>
    <x v="0"/>
    <s v="VACIADOR DE GOBIERNO"/>
    <s v="AM"/>
    <n v="32045134"/>
    <s v="PEDRO MALDONADO MARQUEZ"/>
    <n v="32052981"/>
    <s v="JUAN JOSE MEJIA MONTOYA"/>
    <x v="0"/>
    <s v="Vaciador de gobierno"/>
  </r>
  <r>
    <x v="0"/>
    <s v="BOMBERO DE LEVADURA"/>
    <s v="AM"/>
    <n v="32188117"/>
    <s v="MIGUEL ANGEL NAVARRO ESCOBEDO"/>
    <n v="32052981"/>
    <s v="JUAN JOSE MEJIA MONTOYA"/>
    <x v="0"/>
    <s v="Bombero de levadura"/>
  </r>
  <r>
    <x v="0"/>
    <s v="OPERADOR DE PLATOS"/>
    <s v="AM"/>
    <n v="32197834"/>
    <s v="LUIS ADOLFO MALDONADO DOMINGUEZ"/>
    <n v="32052981"/>
    <s v="JUAN JOSE MEJIA MONTOYA"/>
    <x v="0"/>
    <s v="Platos"/>
  </r>
  <r>
    <x v="0"/>
    <s v="QUAS"/>
    <s v="AM"/>
    <n v="32173446"/>
    <s v="JOSE EDUARDO ALVARADO CEBALLOS"/>
    <n v="32052981"/>
    <s v="JUAN JOSE MEJIA MONTOYA"/>
    <x v="0"/>
    <s v="QUAs"/>
  </r>
  <r>
    <x v="0"/>
    <s v="TECNICO DE ELABORACION"/>
    <n v="9"/>
    <n v="32045116"/>
    <s v="JOSE LEANDRO MARTINEZ SANDOVAL"/>
    <n v="32052981"/>
    <s v="JUAN JOSE MEJIA MONTOYA"/>
    <x v="0"/>
    <s v="Técnico de elaboración"/>
  </r>
  <r>
    <x v="0"/>
    <s v="VACIADOR DE GOBIERNO"/>
    <s v="AM"/>
    <n v="32149607"/>
    <s v="JORGE ALBERTO ORTIZ HERNANDEZ"/>
    <n v="32052981"/>
    <s v="JUAN JOSE MEJIA MONTOYA"/>
    <x v="0"/>
    <s v="Vaciador de gobierno"/>
  </r>
  <r>
    <x v="0"/>
    <s v="BOMBERO DE CERVEZA"/>
    <s v="AM"/>
    <n v="32043880"/>
    <s v="JAIME CID VEYNA"/>
    <n v="32052981"/>
    <s v="JUAN JOSE MEJIA MONTOYA"/>
    <x v="0"/>
    <s v="Bombero de cerveza"/>
  </r>
  <r>
    <x v="0"/>
    <s v="TECNICO DE ELABORACION"/>
    <n v="9"/>
    <n v="32045139"/>
    <s v="RICARDO ESPARZA DOMINGUEZ"/>
    <n v="32052981"/>
    <s v="JUAN JOSE MEJIA MONTOYA"/>
    <x v="0"/>
    <s v="Técnico de elaboración"/>
  </r>
  <r>
    <x v="0"/>
    <s v="ESPECIALISTA DE ELABORACIÓN "/>
    <n v="8"/>
    <n v="32188512"/>
    <s v="SAGRARIO MONTSERRAT BERNAL GARCIA"/>
    <n v="32052981"/>
    <s v="JUAN JOSE MEJIA MONTOYA"/>
    <x v="1"/>
    <s v="Técnico de elaboración"/>
  </r>
  <r>
    <x v="0"/>
    <s v="LLENADOR DE MOSTOS"/>
    <s v="AM"/>
    <n v="32044036"/>
    <s v="VICTOR SOTO LIZARDO"/>
    <n v="32052981"/>
    <s v="JUAN JOSE MEJIA MONTOYA"/>
    <x v="0"/>
    <s v="Llenador de mosto"/>
  </r>
  <r>
    <x v="0"/>
    <s v="TECNICO DE ELABORACION"/>
    <n v="9"/>
    <n v="32143106"/>
    <s v="VICTOR HUGO ZAPATA DOMINGUEZ"/>
    <n v="32052981"/>
    <s v="JUAN JOSE MEJIA MONTOYA"/>
    <x v="0"/>
    <s v="Técnico de elaboración"/>
  </r>
  <r>
    <x v="0"/>
    <s v="QUAS"/>
    <s v="AM"/>
    <n v="3245556"/>
    <s v="VICTOR MANUEL REYES VALLE"/>
    <n v="32044049"/>
    <s v="RAUL DAVID CORTES ALANIZ"/>
    <x v="2"/>
    <s v="QUAs"/>
  </r>
  <r>
    <x v="0"/>
    <s v="VACIADOR DE GOBIERNO"/>
    <s v="AM"/>
    <n v="32043886"/>
    <s v="RAFAEL CHAVEZ REVELES"/>
    <n v="32044049"/>
    <s v="RAUL DAVID CORTES ALANIZ"/>
    <x v="2"/>
    <s v="Vaciador de gobierno"/>
  </r>
  <r>
    <x v="0"/>
    <s v="LLENADOR DE GOBIERNO"/>
    <s v="AM"/>
    <n v="32043891"/>
    <s v="ARMANDO RAYZOLA ROLDAN"/>
    <n v="32044049"/>
    <s v="RAUL DAVID CORTES ALANIZ"/>
    <x v="2"/>
    <s v="Llenador de gobierno"/>
  </r>
  <r>
    <x v="0"/>
    <s v="SUPERVISOR DE CUARTOS FRIOS"/>
    <n v="7"/>
    <n v="32044049"/>
    <s v="RAUL DAVID CORTES ALANIZ"/>
    <n v="32045961"/>
    <s v="JAIME ALEJANDRO LAGUNAS CARRERA"/>
    <x v="2"/>
    <s v="LIDER DE TURNO"/>
  </r>
  <r>
    <x v="0"/>
    <s v="TECNICO DE ELABORACION"/>
    <n v="9"/>
    <n v="32044235"/>
    <s v="JESUS EDUARDO BRICEÑO MONTELONGO"/>
    <n v="32044049"/>
    <s v="RAUL DAVID CORTES ALANIZ"/>
    <x v="2"/>
    <s v="Técnico de elaboración"/>
  </r>
  <r>
    <x v="0"/>
    <s v="BOMBERO DE LEVADURA"/>
    <s v="AM"/>
    <n v="32044514"/>
    <s v="LUIS MANUEL DOMINGUEZ GARCIA"/>
    <n v="32044049"/>
    <s v="RAUL DAVID CORTES ALANIZ"/>
    <x v="2"/>
    <s v="Bombero de levadura"/>
  </r>
  <r>
    <x v="0"/>
    <s v="BOMBERO DE CERVEZA"/>
    <s v="AM"/>
    <n v="32044751"/>
    <s v="JUAN MANUEL HUERTA DE LA ROSA"/>
    <n v="32044049"/>
    <s v="RAUL DAVID CORTES ALANIZ"/>
    <x v="2"/>
    <s v="Bombero de cerveza"/>
  </r>
  <r>
    <x v="0"/>
    <s v="LLENADOR DE MOSTOS"/>
    <s v="AM"/>
    <n v="32044760"/>
    <s v="MAURICIO ARELLANO TREJO"/>
    <n v="32044049"/>
    <s v="RAUL DAVID CORTES ALANIZ"/>
    <x v="2"/>
    <s v="Llenador de mosto"/>
  </r>
  <r>
    <x v="0"/>
    <s v="LLENADOR DE MOSTOS"/>
    <s v="AM"/>
    <n v="32044771"/>
    <s v="RAFAEL MARTINEZ MARES"/>
    <n v="32044049"/>
    <s v="RAUL DAVID CORTES ALANIZ"/>
    <x v="2"/>
    <s v="Llenador de mosto"/>
  </r>
  <r>
    <x v="0"/>
    <s v="LLENADOR DE GOBIERNO"/>
    <s v="AM"/>
    <n v="32045574"/>
    <s v="PEDRO PALOS JARA"/>
    <n v="32044049"/>
    <s v="RAUL DAVID CORTES ALANIZ"/>
    <x v="2"/>
    <s v="Llenador de gobierno"/>
  </r>
  <r>
    <x v="0"/>
    <s v="VACIADOR DE GOBIERNO"/>
    <s v="AM"/>
    <n v="32111307"/>
    <s v="FRANCISCO JAVIER VARELA RODRIGUEZ"/>
    <n v="32044049"/>
    <s v="RAUL DAVID CORTES ALANIZ"/>
    <x v="2"/>
    <s v="Vaciador de gobierno"/>
  </r>
  <r>
    <x v="0"/>
    <s v="MANEJO DE TIERRAS FILTRANTES"/>
    <s v="AM"/>
    <n v="32142953"/>
    <s v="GERMAN RUEDAS SANCHEZ"/>
    <n v="32044049"/>
    <s v="RAUL DAVID CORTES ALANIZ"/>
    <x v="2"/>
    <s v="Manejo de tierras filtrantes"/>
  </r>
  <r>
    <x v="0"/>
    <s v="TECNICO DE ELABORACION"/>
    <n v="9"/>
    <n v="32146003"/>
    <s v="LUIS FERNANDO ZAPATA CARDONA"/>
    <n v="32044049"/>
    <s v="RAUL DAVID CORTES ALANIZ"/>
    <x v="2"/>
    <s v="Técnico de elaboración"/>
  </r>
  <r>
    <x v="0"/>
    <s v="TECNICO DE ELABORACION"/>
    <n v="9"/>
    <n v="32224377"/>
    <s v="CARLOS EDUARDO ORNEDO ESQUEDA"/>
    <n v="32044049"/>
    <s v="RAUL DAVID CORTES ALANIZ"/>
    <x v="2"/>
    <s v="Técnico de elaboración"/>
  </r>
  <r>
    <x v="0"/>
    <s v="MANEJO DE TIERRAS FILTRANTES"/>
    <s v="AM"/>
    <n v="32197833"/>
    <s v="JORGE LUIS RODRIGUEZ BERMUDEZ"/>
    <n v="32044049"/>
    <s v="RAUL DAVID CORTES ALANIZ"/>
    <x v="2"/>
    <s v="Bombero de cerveza"/>
  </r>
  <r>
    <x v="0"/>
    <s v="MANEJO DE TIERRAS FILTRANTES"/>
    <s v="AM"/>
    <n v="32209921"/>
    <s v="OSCAR EDUARDO VALDEZ MUÑOZ"/>
    <n v="32044049"/>
    <s v="RAUL DAVID CORTES ALANIZ"/>
    <x v="2"/>
    <s v="Platos"/>
  </r>
  <r>
    <x v="0"/>
    <s v="TECNICO DE ELABORACION"/>
    <n v="9"/>
    <n v="32233327"/>
    <s v="ISAÍ SOLOZANO HUARACHA"/>
    <n v="32044049"/>
    <s v="RAUL DAVID CORTES ALANIZ"/>
    <x v="2"/>
    <s v="Técnico de elaboración"/>
  </r>
  <r>
    <x v="1"/>
    <s v="SUPERVISOR DE COCIMIENTOS"/>
    <n v="7"/>
    <n v="32045014"/>
    <s v="J JESUS ALVARADO TENORIO"/>
    <n v="32132858"/>
    <s v="CLAUDIA ALEXANDRA ALVAREZ BARBA"/>
    <x v="3"/>
    <s v="RELEVO DE VACACIONES"/>
  </r>
  <r>
    <x v="0"/>
    <s v="SUPERVISOR DE CUARTOS FRIOS"/>
    <n v="7"/>
    <n v="32046063"/>
    <s v="TOPILTZIN TONATIUH I CURIEL CABRAL"/>
    <n v="32045961"/>
    <s v="JAIME ALEJANDRO LAGUNAS CARRERA"/>
    <x v="3"/>
    <s v="RELEVO DE VACACIONES"/>
  </r>
  <r>
    <x v="0"/>
    <s v="SUPERVISOR DE CUARTOS FRIOS"/>
    <n v="7"/>
    <n v="32052750"/>
    <s v="OSCAR GUILLERMO MEJIA GARCIA"/>
    <n v="32132858"/>
    <s v="CLAUDIA ALEXANDRA ALVAREZ BARBA"/>
    <x v="3"/>
    <s v="SUPERVISOR PROPAGACION"/>
  </r>
  <r>
    <x v="0"/>
    <s v="INGENIERO EN PROCESOS"/>
    <n v="7"/>
    <n v="32146683"/>
    <s v="OSCAR MANUEL GONZALEZ BOTELLO"/>
    <n v="32045961"/>
    <s v="AXEL GUILLEN RAMÍREZ "/>
    <x v="3"/>
    <s v="INGENIERO EN PROCESO"/>
  </r>
  <r>
    <x v="1"/>
    <s v="INGENIERO EN PROCESOS"/>
    <n v="7"/>
    <n v="32044914"/>
    <s v="ADRIAN DIAZ MARRUFO"/>
    <n v="32052556"/>
    <s v="AXEL GUILLEN RAMÍREZ "/>
    <x v="3"/>
    <s v="INGENIERO EN PROCESO"/>
  </r>
  <r>
    <x v="2"/>
    <s v="GERENTE CFR"/>
    <n v="5"/>
    <n v="32045961"/>
    <s v="JAIME ALEJANDRO LAGUNAS CARRERA"/>
    <n v="32052556"/>
    <s v="AXEL GUILLEN RAMÍREZ "/>
    <x v="3"/>
    <s v="GERENTE DE AREA"/>
  </r>
  <r>
    <x v="2"/>
    <s v="STAFF PRODUCTIVIDAD CERV MANTENIMIENTO"/>
    <n v="6"/>
    <n v="32044762"/>
    <s v="RUBEN EDGARDO OLIVA ESPINOSA"/>
    <n v="32052556"/>
    <s v="AXEL GUILLEN RAMÍREZ "/>
    <x v="3"/>
    <s v="GERENTE DE AREA"/>
  </r>
  <r>
    <x v="2"/>
    <s v="GERENTE DE COCIMIENTOS"/>
    <n v="5"/>
    <n v="32132858"/>
    <s v="CLAUDIA ALEXANDRA ALVAREZ BARBA"/>
    <n v="32052556"/>
    <s v="AXEL GUILLEN RAMÍREZ "/>
    <x v="3"/>
    <s v="GERENTE DE AREA"/>
  </r>
  <r>
    <x v="2"/>
    <s v="GERENTE DE ELABORACION"/>
    <n v="4"/>
    <n v="32052556"/>
    <s v="AXEL GUILLEN RAMIREZ"/>
    <n v="1"/>
    <s v="ERNESTO ANGEL RANGEL"/>
    <x v="3"/>
    <s v="GERENTE DE AREA"/>
  </r>
  <r>
    <x v="3"/>
    <s v="SUPERVISOR DE MANTENIMIENTO"/>
    <n v="7"/>
    <n v="32043783"/>
    <s v="PEDRO RODRIGUEZ GUERRERO"/>
    <n v="32044762"/>
    <s v="RUBEN EDGARDO OLIVA ESPINOSA"/>
    <x v="3"/>
    <s v="SUPERVISOR DE CONTROL &amp; AUTOMATIZACION"/>
  </r>
  <r>
    <x v="3"/>
    <s v="PLANEADOR"/>
    <n v="7"/>
    <n v="32045472"/>
    <s v="JOSE BENJAMIN RAMIREZ RAMIREZ"/>
    <n v="32044762"/>
    <s v="RUBEN EDGARDO OLIVA ESPINOSA"/>
    <x v="3"/>
    <s v="PLANEADOR "/>
  </r>
  <r>
    <x v="3"/>
    <s v="PLANEADOR"/>
    <n v="7"/>
    <n v="32063998"/>
    <s v="JUAN CARLOS CEBALLOS"/>
    <n v="32044762"/>
    <s v="RUBEN EDGARDO OLIVA ESPINOSA"/>
    <x v="3"/>
    <s v="PLANEADOR "/>
  </r>
  <r>
    <x v="1"/>
    <s v="SUPERVISOR DE COCIMIENTOS"/>
    <n v="7"/>
    <n v="32045531"/>
    <s v="JUAN SALAZAR BANDA"/>
    <n v="32132858"/>
    <s v="CLAUDIA ALEXANDRA ALVAREZ BARBA"/>
    <x v="4"/>
    <s v="LIDER DE TURNO"/>
  </r>
  <r>
    <x v="1"/>
    <s v="TECNICO MANTENIMIENTO"/>
    <n v="9"/>
    <n v="32044502"/>
    <s v="ABEL GUILLERMO MAZATAN PAREDES"/>
    <n v="32045531"/>
    <s v="JUAN SALAZAR BANDA"/>
    <x v="4"/>
    <s v="TECNICO  MANTENIMIENTO"/>
  </r>
  <r>
    <x v="1"/>
    <s v="OPERADOR DE MONTACARGAS "/>
    <s v="AM "/>
    <n v="32102191"/>
    <s v="MARIO ALBERTO ZAMARRIPA LLANAS"/>
    <n v="32045531"/>
    <s v="JUAN SALAZAR BANDA"/>
    <x v="4"/>
    <s v="OPERADOR DE MONTACARGAS "/>
  </r>
  <r>
    <x v="1"/>
    <s v="OPERADOR PREPARADOR "/>
    <s v="B"/>
    <n v="32209454"/>
    <s v="JOSÉ LUIS MALDONADO"/>
    <n v="32045531"/>
    <s v="JUAN SALAZAR BANDA"/>
    <x v="4"/>
    <s v="OPERADOR PREPARADOR "/>
  </r>
  <r>
    <x v="1"/>
    <s v="OPERADOR RECIBO DE QUÍMICOS "/>
    <s v="BM"/>
    <n v="32204264"/>
    <s v="ADRIAN HERNANDEZ DE AVILA"/>
    <n v="32045531"/>
    <s v="JUAN SALAZAR BANDA"/>
    <x v="4"/>
    <s v="OPERADOR PREPARADOR"/>
  </r>
  <r>
    <x v="1"/>
    <s v="OPERADOR RELEVO Y QUAS"/>
    <s v="BM"/>
    <n v="32222225"/>
    <s v="MANUEL DE JESUS DEL REAL ESQUIVEL"/>
    <n v="32045531"/>
    <s v="JUAN SALAZAR BANDA"/>
    <x v="4"/>
    <s v="OPERADOR RELEVO Y QUAS"/>
  </r>
  <r>
    <x v="1"/>
    <s v="OPERADOR DE MATERIAS PRIMAS "/>
    <s v="C"/>
    <n v="32198258"/>
    <s v="VALERIA NATALY CASTAÑON RAMIREZ"/>
    <n v="32045531"/>
    <s v="JUAN SALAZAR BANDA"/>
    <x v="4"/>
    <s v="OPERADOR DE MATERIAS PRIMAS "/>
  </r>
  <r>
    <x v="1"/>
    <s v="TECNICO DE ELABORACION"/>
    <n v="9"/>
    <n v="32231912"/>
    <s v="BETSAIDA GUERRERO SILVA "/>
    <n v="32045531"/>
    <s v="JUAN SALAZAR BANDA"/>
    <x v="4"/>
    <s v="TECNICO DE ELABORACION"/>
  </r>
  <r>
    <x v="1"/>
    <s v="OPERADOR DE MATERIAS PRIMAS  "/>
    <s v="BASE"/>
    <n v="32237827"/>
    <s v="CONCEPCIÓN REYES MONTERO "/>
    <n v="32045531"/>
    <s v="JUAN SALAZAR BANDA"/>
    <x v="4"/>
    <s v="OPERADOR DE MATERIAS PRIMAS  "/>
  </r>
  <r>
    <x v="0"/>
    <s v="LLENADOR DE GOBIERNO"/>
    <s v="AM"/>
    <n v="32043902"/>
    <s v="ARTURO SAUCEDO CABRERA"/>
    <n v="32045174"/>
    <s v="MIGUEL ANGEL RIVERA MUÑOZ"/>
    <x v="5"/>
    <s v="Llenador de gobierno"/>
  </r>
  <r>
    <x v="0"/>
    <s v="TECNICO DE ELABORACION"/>
    <n v="9"/>
    <n v="32044246"/>
    <s v="MIGUEL ANGEL SANCHEZ FLORES"/>
    <n v="32045174"/>
    <s v="MIGUEL ANGEL RIVERA MUÑOZ"/>
    <x v="5"/>
    <s v="Técnico de elaboración"/>
  </r>
  <r>
    <x v="0"/>
    <s v="LLENADOR DE MOSTOS"/>
    <s v="AM"/>
    <n v="32044513"/>
    <s v="HUMBERTO RODARTE MARTINEZ"/>
    <n v="32045174"/>
    <s v="MIGUEL ANGEL RIVERA MUÑOZ"/>
    <x v="5"/>
    <s v="Llenador de mosto"/>
  </r>
  <r>
    <x v="0"/>
    <s v="LLENADOR DE GOBIERNO"/>
    <s v="AM"/>
    <n v="32045076"/>
    <s v="ERON GUARDADO ROBLES"/>
    <n v="32045174"/>
    <s v="MIGUEL ANGEL RIVERA MUÑOZ"/>
    <x v="5"/>
    <s v="Llenador de gobierno"/>
  </r>
  <r>
    <x v="0"/>
    <s v="BOMBERO DE LEVADURA"/>
    <s v="AM"/>
    <n v="32045149"/>
    <s v="ENRIQUE MEDINA GARCIA"/>
    <n v="32045174"/>
    <s v="MIGUEL ANGEL RIVERA MUÑOZ"/>
    <x v="5"/>
    <s v="Bombero de levadura"/>
  </r>
  <r>
    <x v="0"/>
    <s v="SUPERVISOR DE CUARTOS FRIOS"/>
    <n v="7"/>
    <n v="32045174"/>
    <s v="MIGUEL ANGEL RIVERA MUÑOZ"/>
    <n v="32045961"/>
    <s v="JAIME ALEJANDRO LAGUNAS CARRERA"/>
    <x v="5"/>
    <s v="LIDER DE TURNO"/>
  </r>
  <r>
    <x v="0"/>
    <s v="BOMBERO DE CERVEZA"/>
    <s v="AM"/>
    <n v="32045357"/>
    <s v="GUSTAVO MELENCIANO MARTINEZ"/>
    <n v="32045174"/>
    <s v="MIGUEL ANGEL RIVERA MUÑOZ"/>
    <x v="5"/>
    <s v="Bombero de cerveza"/>
  </r>
  <r>
    <x v="0"/>
    <s v="VACIADOR DE GOBIERNO"/>
    <s v="AM"/>
    <n v="32045396"/>
    <s v="JUAN GABRIEL HERNANDEZ GUARDADO"/>
    <n v="32045174"/>
    <s v="MIGUEL ANGEL RIVERA MUÑOZ"/>
    <x v="5"/>
    <s v="Vaciador de gobierno"/>
  </r>
  <r>
    <x v="0"/>
    <s v="MANEJO DE TIERRAS FILTRANTES"/>
    <s v="AM"/>
    <n v="32149238"/>
    <s v="OSWALDO DELGADILLO GONZALEZ"/>
    <n v="32045174"/>
    <s v="MIGUEL ANGEL RIVERA MUÑOZ"/>
    <x v="5"/>
    <s v="Llenador de mosto"/>
  </r>
  <r>
    <x v="0"/>
    <s v="TECNICO DE ELABORACION"/>
    <n v="9"/>
    <n v="32154634"/>
    <s v="EDGAR RENE DIAZ SANCHEZ"/>
    <n v="32045174"/>
    <s v="MIGUEL ANGEL RIVERA MUÑOZ"/>
    <x v="5"/>
    <s v="Técnico de elaboración"/>
  </r>
  <r>
    <x v="0"/>
    <s v="QUAS"/>
    <s v="A"/>
    <n v="32188009"/>
    <s v="ALDO ERNESTO SILVA VARELA"/>
    <n v="32045174"/>
    <s v="MIGUEL ANGEL RIVERA MUÑOZ"/>
    <x v="5"/>
    <s v="QUAs"/>
  </r>
  <r>
    <x v="0"/>
    <s v="TECNICO DE ELABORACION"/>
    <n v="9"/>
    <n v="32188513"/>
    <s v="GUILLERMO GERARDO GONZALEZ ULLOA"/>
    <n v="32045174"/>
    <s v="MIGUEL ANGEL RIVERA MUÑOZ"/>
    <x v="5"/>
    <s v="Técnico de elaboración"/>
  </r>
  <r>
    <x v="0"/>
    <s v="MANEJO DE TIERRAS FILTRANTES"/>
    <s v="AM"/>
    <n v="32197835"/>
    <s v="MARIO ALBERTO REYES HERNANDEZ"/>
    <n v="32045174"/>
    <s v="MIGUEL ANGEL RIVERA MUÑOZ"/>
    <x v="5"/>
    <s v="Bombero de cerveza"/>
  </r>
  <r>
    <x v="0"/>
    <s v="MANEJO DE TIERRAS FILTRANTES"/>
    <s v="AM"/>
    <n v="32201712"/>
    <s v="JUAN CARLOS MORALES ORTIZ"/>
    <n v="32045174"/>
    <s v="MIGUEL ANGEL RIVERA MUÑOZ"/>
    <x v="5"/>
    <s v="Vaciador de gobierno"/>
  </r>
  <r>
    <x v="0"/>
    <s v="OPERADOR DE PLATOS"/>
    <s v="AM"/>
    <n v="32213345"/>
    <s v="MANUEL DE JESUS FALCON ARROYO"/>
    <n v="32045174"/>
    <s v="MIGUEL ANGEL RIVERA MUÑOZ"/>
    <x v="5"/>
    <s v="Platos"/>
  </r>
  <r>
    <x v="0"/>
    <s v="MANEJO DE TIERRAS FILTRANTES"/>
    <s v="C"/>
    <n v="32222224"/>
    <s v="RICARDO ESTEBAN JARAMILLO  ROBLES"/>
    <n v="32045174"/>
    <s v="MIGUEL ANGEL RIVERA MUÑOZ"/>
    <x v="5"/>
    <s v="Manejo de tierras filtrantes"/>
  </r>
  <r>
    <x v="0"/>
    <s v="TECNICO DE ELABORACION"/>
    <n v="9"/>
    <n v="32231910"/>
    <s v="ARIADNNE MAGDALENA TORRES RODRIGUEZ"/>
    <n v="32045174"/>
    <s v="MIGUEL ANGEL RIVERA MUÑOZ"/>
    <x v="5"/>
    <s v="Técnico de elaboración"/>
  </r>
  <r>
    <x v="1"/>
    <s v="SUPERVISOR DE COCIMIENTOS"/>
    <n v="7"/>
    <n v="32174889"/>
    <s v="FÁTIMA NEDITH GOMEZ MIRELES"/>
    <n v="32132858"/>
    <s v="CLAUDIA ALEXANDRA ALVAREZ BARBA"/>
    <x v="6"/>
    <s v="LIDER DE TURNO"/>
  </r>
  <r>
    <x v="1"/>
    <s v="SUPERVISOR DE COCIMIENTOS"/>
    <n v="7"/>
    <n v="32044788"/>
    <s v="OSCAR NUÑEZ CALZADA"/>
    <n v="32132858"/>
    <s v="CLAUDIA ALEXANDRA ALVAREZ BARBA"/>
    <x v="6"/>
    <s v="LIDER SECUNDARIO"/>
  </r>
  <r>
    <x v="1"/>
    <s v="OPERADOR DE MONTACARGAS "/>
    <s v="AM "/>
    <n v="32043796"/>
    <s v="JUAN RAMON JIMENEZ DELGADO"/>
    <n v="32174889"/>
    <s v="FÁTIMA NEDITH GOMEZ MIRELES"/>
    <x v="6"/>
    <s v="OPERADOR DE MONTACARGAS "/>
  </r>
  <r>
    <x v="1"/>
    <s v="OPERADOR DE MONTACARGAS "/>
    <s v="AM "/>
    <n v="32044838"/>
    <s v="J MARIO TRUJILLO MEZA"/>
    <n v="32174889"/>
    <s v="FÁTIMA NEDITH GOMEZ MIRELES"/>
    <x v="6"/>
    <s v="OPERADOR DE MONTACARGAS "/>
  </r>
  <r>
    <x v="1"/>
    <s v="OPERADOR DE MONTACARGAS "/>
    <s v="AM "/>
    <n v="32148922"/>
    <s v="JUAN ANTONIO VALDEZ LICERIO"/>
    <n v="32174889"/>
    <s v="FÁTIMA NEDITH GOMEZ MIRELES"/>
    <x v="6"/>
    <s v="OPERADOR DE MONTACARGAS "/>
  </r>
  <r>
    <x v="1"/>
    <s v="OPERADOR ADICIONADOR "/>
    <s v="BM"/>
    <n v="32197423"/>
    <s v="URIEL ESCOBEDO MURO"/>
    <n v="32174889"/>
    <s v="FÁTIMA NEDITH GOMEZ MIRELES"/>
    <x v="6"/>
    <s v="OPERADOR ADICIONADOR "/>
  </r>
  <r>
    <x v="1"/>
    <s v="OPERADOR ADICIONADOR "/>
    <s v="C"/>
    <n v="32202297"/>
    <s v="OMAR ALBERTO ROBLES SOSA"/>
    <n v="32174889"/>
    <s v="FÁTIMA NEDITH GOMEZ MIRELES"/>
    <x v="6"/>
    <s v="OPERADOR ADICIONADOR "/>
  </r>
  <r>
    <x v="1"/>
    <s v="OPERADOR AYUDANTE DE DISOLUCIÓN "/>
    <s v="C"/>
    <n v="32218817"/>
    <s v="MARCO AURELIO CUAUCOATL RAMIREZ REVELES"/>
    <n v="32174889"/>
    <s v="FÁTIMA NEDITH GOMEZ MIRELES"/>
    <x v="6"/>
    <s v="OPERADOR AYUDANTE DE DISOLUCIÓN "/>
  </r>
  <r>
    <x v="1"/>
    <s v="TECNICO DE ELABORACION"/>
    <n v="9"/>
    <n v="32233326"/>
    <s v="RAFAEL VERA ORTEGA"/>
    <n v="32174889"/>
    <s v="FÁTIMA NEDITH GOMEZ MIRELES"/>
    <x v="6"/>
    <s v="TECNICO DE ELABORACION"/>
  </r>
  <r>
    <x v="1"/>
    <s v="OPERADOR DE MATERIAS PRIMAS  "/>
    <s v="BASE"/>
    <n v="32237830"/>
    <s v="ERIKA IVONE IBARRA NAVA"/>
    <n v="32174889"/>
    <s v="FÁTIMA NEDITH GOMEZ MIRELES"/>
    <x v="6"/>
    <s v="OPERADOR DE MATERIAS PRIMAS  "/>
  </r>
  <r>
    <x v="0"/>
    <s v="QUAS"/>
    <s v="AM"/>
    <n v="32244174"/>
    <s v="ALEXIS BERLIN ALVAREZ CORONA"/>
    <n v="32146677"/>
    <s v="IVAN ALEJANDRO ROJERO MALDONADO"/>
    <x v="7"/>
    <s v="Bombero de cerveza"/>
  </r>
  <r>
    <x v="0"/>
    <s v="LLENADOR DE MOSTOS"/>
    <s v="AM"/>
    <n v="32044776"/>
    <s v="BENITO VALLE VELAZQUEZ"/>
    <n v="32146677"/>
    <s v="IVAN ALEJANDRO ROJERO MALDONADO"/>
    <x v="7"/>
    <s v="Llenador de mosto"/>
  </r>
  <r>
    <x v="0"/>
    <s v="LLENADOR DE GOBIERNO"/>
    <s v="AM"/>
    <n v="32045128"/>
    <s v="JESUS CALDERON ALFARO"/>
    <n v="32146677"/>
    <s v="IVAN ALEJANDRO ROJERO MALDONADO"/>
    <x v="7"/>
    <s v="Llenador de gobierno"/>
  </r>
  <r>
    <x v="0"/>
    <s v="VACIADOR DE GOBIERNO"/>
    <s v="AM"/>
    <n v="32045410"/>
    <s v="RODOLFO CABRERA CASTRO"/>
    <n v="32146677"/>
    <s v="IVAN ALEJANDRO ROJERO MALDONADO"/>
    <x v="7"/>
    <s v="Vaciador de gobierno"/>
  </r>
  <r>
    <x v="0"/>
    <s v="BOMBERO DE CERVEZA"/>
    <s v="AM"/>
    <n v="32144776"/>
    <s v="WILMAR YOEL GONZALEZ LARA"/>
    <n v="32146677"/>
    <s v="IVAN ALEJANDRO ROJERO MALDONADO"/>
    <x v="7"/>
    <s v="Bombero de cerveza"/>
  </r>
  <r>
    <x v="0"/>
    <s v="LLENADOR DE MOSTOS"/>
    <s v="AM"/>
    <n v="32144778"/>
    <s v="JUAN FRANCISCO GARCIA CARRILLO"/>
    <n v="32146677"/>
    <s v="IVAN ALEJANDRO ROJERO MALDONADO"/>
    <x v="7"/>
    <s v="Llenador de mosto"/>
  </r>
  <r>
    <x v="0"/>
    <s v="SUPERVISOR DE CUARTOS FRIOS"/>
    <n v="7"/>
    <n v="32146677"/>
    <s v="IVAN ALEJANDRO ROJERO MALDONADO"/>
    <n v="32052556"/>
    <s v="JAIME ALEJANDRO LAGUNAS CARRERA"/>
    <x v="7"/>
    <s v="LIDER DE TURNO"/>
  </r>
  <r>
    <x v="0"/>
    <s v="VACIADOR DE GOBIERNO"/>
    <s v="AM"/>
    <n v="32149605"/>
    <s v="JUAN MANUEL RODARTE MARTINEZ"/>
    <n v="32146677"/>
    <s v="IVAN ALEJANDRO ROJERO MALDONADO"/>
    <x v="7"/>
    <s v="Vaciador de gobierno"/>
  </r>
  <r>
    <x v="0"/>
    <s v="OPERADOR DE PLATOS"/>
    <s v="AM"/>
    <n v="32196366"/>
    <s v="VICTOR HUGO ASCENCIO LEYVA"/>
    <n v="32146677"/>
    <s v="IVAN ALEJANDRO ROJERO MALDONADO"/>
    <x v="7"/>
    <s v="Bombero de cerveza"/>
  </r>
  <r>
    <x v="0"/>
    <s v="TECNICO DE ELABORACION"/>
    <n v="9"/>
    <n v="32196674"/>
    <s v="OSCAR RODRIGUEZ CODALLOS"/>
    <n v="32146677"/>
    <s v="IVAN ALEJANDRO ROJERO MALDONADO"/>
    <x v="7"/>
    <s v="Técnico de elaboración"/>
  </r>
  <r>
    <x v="0"/>
    <s v="QUAS"/>
    <s v="AM"/>
    <n v="32201713"/>
    <s v="RODOLFO ESPARZA GONZALEZ"/>
    <n v="32146677"/>
    <s v="IVAN ALEJANDRO ROJERO MALDONADO"/>
    <x v="7"/>
    <s v="QUAs"/>
  </r>
  <r>
    <x v="0"/>
    <s v="LLENADOR DE GOBIERNO"/>
    <s v="AM"/>
    <n v="32209922"/>
    <s v="Jose Guadalupe Valle Acuña"/>
    <n v="32146677"/>
    <s v="IVAN ALEJANDRO ROJERO MALDONADO"/>
    <x v="7"/>
    <s v="Llenador de gobierno"/>
  </r>
  <r>
    <x v="0"/>
    <s v="QUAS"/>
    <s v="B"/>
    <n v="32222222"/>
    <s v="EFREN GONZALEZ CONTRERAS"/>
    <n v="32146677"/>
    <s v="IVAN ALEJANDRO ROJERO MALDONADO"/>
    <x v="7"/>
    <s v="Bombero de levadura"/>
  </r>
  <r>
    <x v="0"/>
    <s v="GOBIERNO"/>
    <n v="7"/>
    <n v="32231307"/>
    <s v="RODRIGO REGALADO PALOMEQUE"/>
    <m/>
    <s v="CLAUDIA ALEXANDRA ALVAREZ BARBA"/>
    <x v="8"/>
    <s v="Supervisor Elaboraión"/>
  </r>
  <r>
    <x v="0"/>
    <s v="MANEJO DE TIERRAS FILTRANTES"/>
    <s v="B"/>
    <n v="32222223"/>
    <s v="HECTOR MANUEL DE LA ROSA AGUERO"/>
    <n v="32146677"/>
    <s v="IVAN ALEJANDRO ROJERO MALDONADO"/>
    <x v="7"/>
    <s v="Manejo de tierras filtrantes"/>
  </r>
  <r>
    <x v="0"/>
    <s v="TECNICO DE ELABORACION"/>
    <n v="9"/>
    <n v="32224001"/>
    <s v="SHERLYN GARCIA PEREZ"/>
    <n v="32146677"/>
    <s v="IVAN ALEJANDRO ROJERO MALDONADO"/>
    <x v="7"/>
    <s v="Técnico de elaboración"/>
  </r>
  <r>
    <x v="0"/>
    <s v="TECNICO DE ELABORACION"/>
    <n v="9"/>
    <n v="32231911"/>
    <s v="ANA PAOLA PERERA MARIN"/>
    <n v="32146677"/>
    <s v="IVAN ALEJANDRO ROJERO MALDONADO"/>
    <x v="7"/>
    <s v="Técnico de elaboración"/>
  </r>
  <r>
    <x v="1"/>
    <s v="SUPERVISOR DE COCIMIENTOS"/>
    <n v="7"/>
    <n v="32045378"/>
    <s v="JOSÉ FRANCISCO TORRES LÓPEZ"/>
    <n v="32132858"/>
    <s v="CLAUDIA ALEXANDRA ALVAREZ BARBA"/>
    <x v="9"/>
    <s v="LIDER SECUNDARIO"/>
  </r>
  <r>
    <x v="1"/>
    <s v="OPERADOR DE MONTACARGAS "/>
    <s v="AM "/>
    <n v="32045438"/>
    <s v="HUGO ALBERTO CARDONA ESPINOZA"/>
    <n v="32209640"/>
    <s v="LUIS FERNANDO GUTIERREZ"/>
    <x v="9"/>
    <s v="OPERADOR DE MONTACARGAS "/>
  </r>
  <r>
    <x v="1"/>
    <s v="OPERADOR RELEVO DE MONTACARGAS "/>
    <s v="AM "/>
    <n v="32044892"/>
    <s v="LEOBARDO VARELA NIETO"/>
    <n v="32209640"/>
    <s v="LUIS FERNANDO GUTIERREZ"/>
    <x v="9"/>
    <s v="OPERADOR RELEVO DE MONTACARGAS "/>
  </r>
  <r>
    <x v="1"/>
    <s v="OPERADOR RELEVO DE MONTACARGAS "/>
    <s v="AM "/>
    <n v="32044783"/>
    <s v="SANTIAGO HERRERA AMADOR"/>
    <n v="32209640"/>
    <s v="LUIS FERNANDO GUTIERREZ"/>
    <x v="9"/>
    <s v="OPERADOR RELEVO DE MONTACARGAS "/>
  </r>
  <r>
    <x v="1"/>
    <s v="OPERADOR DE TOLVAS DE BAGAZO "/>
    <s v="B"/>
    <n v="32209189"/>
    <s v="EDGAR EMANUEL JUAREZ ALBA"/>
    <n v="32209640"/>
    <s v="LUIS FERNANDO GUTIERREZ"/>
    <x v="9"/>
    <s v="OPERADOR DE TOLVAS DE BAGAZO "/>
  </r>
  <r>
    <x v="1"/>
    <s v="OPERADOR ADICIONADOR "/>
    <s v="BM"/>
    <n v="32132194"/>
    <s v="HECTOR HUGO VALDEZ PIÑA"/>
    <n v="32209640"/>
    <s v="LUIS FERNANDO GUTIERREZ"/>
    <x v="9"/>
    <s v="OPERADOR ADICIONADOR "/>
  </r>
  <r>
    <x v="1"/>
    <s v="OPERADOR ADICIONADOR "/>
    <s v="BM"/>
    <n v="32188007"/>
    <s v="JOSE MANUEL VARELA ROSALES"/>
    <n v="32209640"/>
    <s v="LUIS FERNANDO GUTIERREZ"/>
    <x v="9"/>
    <s v="OPERADOR ADICIONADOR "/>
  </r>
  <r>
    <x v="1"/>
    <s v="SUPERVISOR DE MATERIAS PRIMAS"/>
    <n v="8"/>
    <n v="32131972"/>
    <s v="OSCAR IVAN IBARRA ORTIZ"/>
    <n v="32209640"/>
    <s v="LUIS FERNANDO GUTIERREZ"/>
    <x v="9"/>
    <s v="SUPERVISOR DE MATERIAS PRIMAS"/>
  </r>
  <r>
    <x v="1"/>
    <s v="TECNICO DE ELABORACION"/>
    <n v="9"/>
    <n v="32132054"/>
    <s v="RUBEN CARRILLO CASAS"/>
    <n v="32209640"/>
    <s v="LUIS FERNANDO GUTIERREZ"/>
    <x v="9"/>
    <s v="TECNICO DE ELABORACION"/>
  </r>
  <r>
    <x v="1"/>
    <s v="SUPERVISOR DE COCIMIENTOS"/>
    <n v="7"/>
    <n v="32209640"/>
    <s v="LUIS FERNANDO GUTIERREZ"/>
    <n v="32132858"/>
    <s v="CLAUDIA ALEXANDRA ALVAREZ BARBA"/>
    <x v="9"/>
    <s v="LIDER DE TURNO"/>
  </r>
  <r>
    <x v="1"/>
    <s v="SUPERVISOR DE COCIMIENTOS"/>
    <n v="7"/>
    <n v="32044518"/>
    <s v="RODRÍGUEZ RANGEL JOSÉ LUIS"/>
    <n v="32132858"/>
    <s v="CLAUDIA ALEXANDRA ALVAREZ BARBA"/>
    <x v="10"/>
    <s v="LIDER DE TURNO"/>
  </r>
  <r>
    <x v="1"/>
    <s v="OPERADOR DE MONTACARGAS "/>
    <s v="AM "/>
    <n v="32044839"/>
    <s v="JAIME LOPEZ CHAVEZ"/>
    <n v="32044518"/>
    <s v="RODRÍGUEZ RANGEL JOSÉ LUIS"/>
    <x v="10"/>
    <s v="OPERADOR DE MONTACARGAS "/>
  </r>
  <r>
    <x v="1"/>
    <s v="OPERADOR DE MONTACARGAS "/>
    <s v="AM "/>
    <n v="32045409"/>
    <s v="ALBERTO NUÑEZ VELEZ"/>
    <n v="32044518"/>
    <s v="RODRÍGUEZ RANGEL JOSÉ LUIS"/>
    <x v="10"/>
    <s v="OPERADOR DE MONTACARGAS "/>
  </r>
  <r>
    <x v="1"/>
    <s v="OPERADOR ADICIONADOR "/>
    <s v="BM"/>
    <n v="32197427"/>
    <s v="EDGAR ZAMARRON ACOSTA"/>
    <n v="32044518"/>
    <s v="RODRÍGUEZ RANGEL JOSÉ LUIS"/>
    <x v="10"/>
    <s v="OPERADOR ADICIONADOR "/>
  </r>
  <r>
    <x v="1"/>
    <s v="OPERADOR ADICIONADOR "/>
    <s v="BM"/>
    <n v="32148846"/>
    <s v="RIGOBERTO MOTA CORTES"/>
    <n v="32044518"/>
    <s v="RODRÍGUEZ RANGEL JOSÉ LUIS"/>
    <x v="10"/>
    <s v="OPERADOR ADICIONADOR "/>
  </r>
  <r>
    <x v="1"/>
    <s v="OPERADOR RELEVO Y QUAS"/>
    <s v="BM"/>
    <n v="32045510"/>
    <s v="J MANUEL RAYGOZA JUAREZ"/>
    <n v="32044518"/>
    <s v="RODRÍGUEZ RANGEL JOSÉ LUIS"/>
    <x v="10"/>
    <s v="OPERADOR RELEVO Y QUAS"/>
  </r>
  <r>
    <x v="1"/>
    <s v="OPERADOR DE MATERIAS PRIMAS  "/>
    <s v="C"/>
    <n v="32222227"/>
    <s v="CARLOS RIVERA REYES"/>
    <n v="32044518"/>
    <s v="RODRÍGUEZ RANGEL JOSÉ LUIS"/>
    <x v="10"/>
    <s v="OPERADOR DE MATERIAS PRIMAS  "/>
  </r>
  <r>
    <x v="1"/>
    <s v="OPERADOR AYUDANTE DE DISOLUCIÓN "/>
    <s v="CM"/>
    <n v="32045572"/>
    <s v="J GUADALUPE GUZMAN MUÑOZ"/>
    <n v="32044518"/>
    <s v="RODRÍGUEZ RANGEL JOSÉ LUIS"/>
    <x v="10"/>
    <s v="OPERADOR AYUDANTE DE DISOLUCIÓN "/>
  </r>
  <r>
    <x v="1"/>
    <s v="TECNICO DE ELABORACION"/>
    <n v="9"/>
    <n v="32186666"/>
    <s v="SAMANTHA MONTSERRAT ROJERO LERMA"/>
    <n v="32044518"/>
    <s v="RODRÍGUEZ RANGEL JOSÉ LUIS"/>
    <x v="10"/>
    <s v="TECNICO DE ELABORACION"/>
  </r>
  <r>
    <x v="1"/>
    <s v="SUPERVISOR DE COCIMIENTOS"/>
    <n v="7"/>
    <n v="32144668"/>
    <s v="OBED CALVILLO RAMIREZ"/>
    <n v="32132858"/>
    <s v="CLAUDIA ALEXANDRA ALVAREZ BARBA"/>
    <x v="11"/>
    <s v="LIDER DE TURNO"/>
  </r>
  <r>
    <x v="1"/>
    <s v="SUPERVISOR DE COCIMIENTOS"/>
    <n v="7"/>
    <n v="32151919"/>
    <s v="PAOLA CRISTINA OLIVARES SANCHEZ"/>
    <n v="32132858"/>
    <s v="CLAUDIA ALEXANDRA ALVAREZ BARBA"/>
    <x v="11"/>
    <s v="LIDER SECUNDARIO"/>
  </r>
  <r>
    <x v="1"/>
    <s v="OPERADOR DE MONTACARGAS "/>
    <s v="AM "/>
    <n v="32044037"/>
    <s v="MANUEL DE JESUS CHAVEZ GARCIA"/>
    <n v="32144668"/>
    <s v="OBED CALVILLO RAMIREZ"/>
    <x v="11"/>
    <s v="OPERADOR DE MONTACARGAS "/>
  </r>
  <r>
    <x v="1"/>
    <s v="OPERADOR ADICIONADOR "/>
    <s v="BM"/>
    <n v="32173445"/>
    <s v="JOSE LUIS CAZARES PINALES"/>
    <n v="32144668"/>
    <s v="OBED CALVILLO RAMIREZ"/>
    <x v="11"/>
    <s v="OPERADOR ADICIONADOR "/>
  </r>
  <r>
    <x v="1"/>
    <s v="OPERADOR ADICIONADOR "/>
    <s v="BM"/>
    <n v="32046259"/>
    <s v="JOSE CARLOS CARDONA LOERA"/>
    <n v="32144668"/>
    <s v="OBED CALVILLO RAMIREZ"/>
    <x v="11"/>
    <s v="OPERADOR ADICIONADOR "/>
  </r>
  <r>
    <x v="1"/>
    <s v="OPERADOR RECIBO DE QUÍMICOS "/>
    <s v="BM"/>
    <n v="32177483"/>
    <s v="ALDO ADRIAN SIFUENTES VELOZ"/>
    <n v="32144668"/>
    <s v="OBED CALVILLO RAMIREZ"/>
    <x v="11"/>
    <s v="OPERADOR RECIBO DE QUÍMICOS "/>
  </r>
  <r>
    <x v="1"/>
    <s v="OPERADOR RELEVO DE MONTACARGAS "/>
    <s v="BM"/>
    <n v="32132055"/>
    <s v="JOSE AMADOR RODRIGUEZ JUAREZ"/>
    <n v="32144668"/>
    <s v="OBED CALVILLO RAMIREZ"/>
    <x v="11"/>
    <s v="OPERADOR RELEVO DE MONTACARGAS "/>
  </r>
  <r>
    <x v="1"/>
    <s v="OPERADOR RELEVO Y QUAS"/>
    <s v="BM"/>
    <n v="32137247"/>
    <s v="EDUARDO VALLE ARIAS"/>
    <n v="32144668"/>
    <s v="OBED CALVILLO RAMIREZ"/>
    <x v="11"/>
    <s v="OPERADOR RELEVO Y QUAS"/>
  </r>
  <r>
    <x v="1"/>
    <s v="OPERADOR AYUDANTE DE DISOLUCIÓN "/>
    <s v="CM"/>
    <n v="32045004"/>
    <s v="J JESUS RIVERA MEDINA"/>
    <n v="32144668"/>
    <s v="OBED CALVILLO RAMIREZ"/>
    <x v="11"/>
    <s v="OPERADOR AYUDANTE DE DISOLUCIÓN "/>
  </r>
  <r>
    <x v="1"/>
    <s v="TECNICO DE ELABORACION"/>
    <n v="9"/>
    <n v="32044983"/>
    <s v="RAÚL BAÑUELOS FLORES"/>
    <n v="32144668"/>
    <s v="OBED CALVILLO RAMIREZ"/>
    <x v="11"/>
    <s v="TECNICO DE ELABORACION"/>
  </r>
  <r>
    <x v="3"/>
    <s v="TECNICO MANTENIMIENTO"/>
    <n v="9"/>
    <n v="32043804"/>
    <s v="ALEJANDRO LOPEZ RODRIGUEZ"/>
    <n v="32043857"/>
    <s v="JUAN CARLOS CALVILLO GARAY"/>
    <x v="12"/>
    <s v="Especialista de Filtracion e buscara que sea PTE"/>
  </r>
  <r>
    <x v="3"/>
    <s v="TECNICO MANTENIMIENTO"/>
    <n v="9"/>
    <n v="32044319"/>
    <s v="LAZARO QUEZADA OJEDA"/>
    <n v="32043857"/>
    <s v="JUAN CARLOS CALVILLO GARAY"/>
    <x v="12"/>
    <m/>
  </r>
  <r>
    <x v="3"/>
    <s v="TECNICO MANTENIMIENTO"/>
    <n v="9"/>
    <n v="32044478"/>
    <s v="SERGIO ENRIQUE RODRIGUEZ  ESPARZA"/>
    <n v="32043857"/>
    <s v="JUAN CARLOS CALVILLO GARAY"/>
    <x v="12"/>
    <m/>
  </r>
  <r>
    <x v="3"/>
    <s v="TECNICO MANTENIMIENTO"/>
    <n v="9"/>
    <n v="32044319"/>
    <s v="MARCO ANTONIO MENCHACA PEREZ"/>
    <n v="32043857"/>
    <s v="JUAN CARLOS CALVILLO GARAY"/>
    <x v="12"/>
    <m/>
  </r>
  <r>
    <x v="3"/>
    <s v="TECNICO MANTENIMIENTO"/>
    <n v="9"/>
    <n v="32044789"/>
    <s v="JUAN ISIDRO CAMPOS SOLIS"/>
    <n v="32043857"/>
    <s v="JUAN CARLOS CALVILLO GARAY"/>
    <x v="12"/>
    <m/>
  </r>
  <r>
    <x v="3"/>
    <s v="TECNICO MANTENIMIENTO"/>
    <n v="9"/>
    <n v="32045106"/>
    <s v="ARTURO VELAZQUEZ BELTRAN"/>
    <n v="32043857"/>
    <s v="JUAN CARLOS CALVILLO GARAY"/>
    <x v="12"/>
    <m/>
  </r>
  <r>
    <x v="3"/>
    <s v="TECNICO MANTENIMIENTO"/>
    <n v="9"/>
    <n v="32044909"/>
    <s v="HERIBERTO LIMON BORREGO"/>
    <n v="32043857"/>
    <s v="JUAN CARLOS CALVILLO GARAY"/>
    <x v="12"/>
    <s v="Especialista de Fermentacion se buscara que sea PTE"/>
  </r>
  <r>
    <x v="3"/>
    <s v="TECNICO MANTENIMIENTO"/>
    <n v="9"/>
    <n v="32045043"/>
    <s v="LUIS ANTONIO RAMIREZ ACOSTA"/>
    <n v="32043857"/>
    <s v="JUAN CARLOS CALVILLO GARAY"/>
    <x v="12"/>
    <m/>
  </r>
  <r>
    <x v="3"/>
    <s v="TECNICO MANTENIMIENTO"/>
    <n v="9"/>
    <n v="32045769"/>
    <s v="JUAN LOPEZ JUAREZ"/>
    <n v="32043857"/>
    <s v="JUAN CARLOS CALVILLO GARAY"/>
    <x v="12"/>
    <m/>
  </r>
  <r>
    <x v="3"/>
    <s v="TECNICO MANTENIMIENTO"/>
    <n v="9"/>
    <n v="32045952"/>
    <s v="VICTOR MENDOZA MARTINEZ"/>
    <n v="32043857"/>
    <s v="JUAN CARLOS CALVILLO GARAY"/>
    <x v="12"/>
    <m/>
  </r>
  <r>
    <x v="3"/>
    <s v="TECNICO MANTENIMIENTO"/>
    <n v="9"/>
    <n v="32146005"/>
    <s v="RAMON COLLAZO CAMARILLO"/>
    <n v="32043857"/>
    <s v="JUAN CARLOS CALVILLO GARAY"/>
    <x v="12"/>
    <m/>
  </r>
  <r>
    <x v="3"/>
    <s v="TECNICO MANTENIMIENTO"/>
    <n v="9"/>
    <n v="32173447"/>
    <s v="ALEJANDRO DE JESUS ROBLES GUZMAN"/>
    <n v="32043857"/>
    <s v="JUAN CARLOS CALVILLO GARAY"/>
    <x v="12"/>
    <m/>
  </r>
  <r>
    <x v="3"/>
    <s v="TECNICO MANTENIMIENTO"/>
    <n v="9"/>
    <n v="32176714"/>
    <s v="EUSEBIO IBARRA"/>
    <n v="32043857"/>
    <s v="JUAN CARLOS CALVILLO GARAY"/>
    <x v="12"/>
    <m/>
  </r>
  <r>
    <x v="3"/>
    <s v="TECNICO MANTENIMIENTO"/>
    <n v="9"/>
    <n v="32199794"/>
    <s v="LUIS OTONIEL PACHECO"/>
    <n v="32043857"/>
    <s v="JUAN CARLOS CALVILLO GARAY"/>
    <x v="12"/>
    <m/>
  </r>
  <r>
    <x v="3"/>
    <s v="TECNICO MANTENIMIENTO"/>
    <n v="9"/>
    <n v="32219006"/>
    <s v=" PABLO CESAR OROZCO DELGADO"/>
    <n v="32043857"/>
    <s v="JUAN CARLOS CALVILLO GARAY"/>
    <x v="12"/>
    <m/>
  </r>
  <r>
    <x v="3"/>
    <s v="SUPERVISOR DE MANTENIMIENTO"/>
    <n v="7"/>
    <n v="32043857"/>
    <s v="JUAN CARLOS CALVILLO GARAY"/>
    <n v="32045961"/>
    <s v="RUBEN EDGARDO OLIVA ESPINOSA"/>
    <x v="12"/>
    <s v="LIDER DE TURNO"/>
  </r>
  <r>
    <x v="3"/>
    <s v="SUPERVISOR DE MANTENIMIENTO"/>
    <n v="7"/>
    <n v="32045495"/>
    <s v="LUIS MANUEL GARCIA VICTORIO"/>
    <n v="32045961"/>
    <s v="RUBEN EDGARDO OLIVA ESPINOSA"/>
    <x v="13"/>
    <s v="LIDER DE TURNO"/>
  </r>
  <r>
    <x v="3"/>
    <s v="TECNICO MANTENIMIENTO"/>
    <n v="9"/>
    <n v="32043861"/>
    <s v="FILIBERTO PINEDO RODRIGUEZ"/>
    <n v="32043783"/>
    <s v="LUIS MANUEL GARCIA VICTORIO"/>
    <x v="13"/>
    <m/>
  </r>
  <r>
    <x v="3"/>
    <s v="TECNICO MANTENIMIENTO"/>
    <n v="9"/>
    <n v="32044301"/>
    <s v="VICTOR MANUEL DE JESUS SIMENTAL"/>
    <n v="32043783"/>
    <s v="LUIS MANUEL GARCIA VICTORIO"/>
    <x v="13"/>
    <m/>
  </r>
  <r>
    <x v="3"/>
    <s v="TECNICO MANTENIMIENTO"/>
    <n v="9"/>
    <n v="32173442"/>
    <s v="VICTOR MANUEL HURTADO ORTIZ"/>
    <n v="32043783"/>
    <s v="LUIS MANUEL GARCIA VICTORIO"/>
    <x v="13"/>
    <m/>
  </r>
  <r>
    <x v="3"/>
    <s v="TECNICO MANTENIMIENTO"/>
    <n v="9"/>
    <n v="32043739"/>
    <s v="EDUARDO NERI DE LUNA"/>
    <n v="32043783"/>
    <s v="LUIS MANUEL GARCIA VICTORIO"/>
    <x v="13"/>
    <m/>
  </r>
  <r>
    <x v="3"/>
    <s v="TECNICO MANTENIMIENTO"/>
    <n v="9"/>
    <n v="32044251"/>
    <s v="GERARDO ESPARZA TOSTADO"/>
    <n v="32043783"/>
    <s v="LUIS MANUEL GARCIA VICTORIO"/>
    <x v="13"/>
    <m/>
  </r>
  <r>
    <x v="3"/>
    <s v="TECNICO MANTENIMIENTO"/>
    <n v="9"/>
    <n v="32044314"/>
    <s v="JOSE MARIA LUJAN SORIANO"/>
    <n v="32043783"/>
    <s v="LUIS MANUEL GARCIA VICTORIO"/>
    <x v="13"/>
    <s v="Especialista de Cocimientos"/>
  </r>
  <r>
    <x v="3"/>
    <s v="TECNICO MANTENIMIENTO"/>
    <n v="9"/>
    <n v="32145333"/>
    <s v="SERGIO TRUJILLO GUARDADO"/>
    <n v="32043783"/>
    <s v="LUIS MANUEL GARCIA VICTORIO"/>
    <x v="13"/>
    <m/>
  </r>
  <r>
    <x v="3"/>
    <s v="TECNICO MANTENIMIENTO"/>
    <n v="9"/>
    <n v="32043900"/>
    <s v="ANDRES SARABIA RODARTE"/>
    <n v="32043783"/>
    <s v="LUIS MANUEL GARCIA VICTORIO"/>
    <x v="13"/>
    <m/>
  </r>
  <r>
    <x v="3"/>
    <s v="TECNICO MANTENIMIENTO"/>
    <n v="9"/>
    <n v="32092747"/>
    <s v="JOSE GABRIEL RODRIGUEZ CERVANTES."/>
    <n v="32043783"/>
    <s v="LUIS MANUEL GARCIA VICTORIO"/>
    <x v="13"/>
    <m/>
  </r>
  <r>
    <x v="3"/>
    <s v="TECNICO MANTENIMIENTO"/>
    <n v="9"/>
    <n v="32043835"/>
    <s v="FLAVIO CESAR DIAZ MALDONADO"/>
    <n v="32043783"/>
    <s v="LUIS MANUEL GARCIA VICTORIO"/>
    <x v="13"/>
    <m/>
  </r>
  <r>
    <x v="3"/>
    <s v="TECNICO MANTENIMIENTO"/>
    <n v="9"/>
    <n v="32149490"/>
    <s v="JUAN ANTONIO RIVERA NAJAR"/>
    <n v="32043783"/>
    <s v="LUIS MANUEL GARCIA VICTORIO"/>
    <x v="13"/>
    <m/>
  </r>
  <r>
    <x v="3"/>
    <s v="TECNICO MANTENIMIENTO"/>
    <n v="9"/>
    <n v="32044316"/>
    <s v="MARIO DAVID CASTAÑEDA"/>
    <n v="32043783"/>
    <s v="LUIS MANUEL GARCIA VICTORIO"/>
    <x v="13"/>
    <m/>
  </r>
  <r>
    <x v="3"/>
    <s v="TECNICO MANTENIMIENTO"/>
    <n v="9"/>
    <n v="32199772"/>
    <s v="ARTURO RODARTE"/>
    <n v="32043783"/>
    <s v="LUIS MANUEL GARCIA VICTORIO"/>
    <x v="13"/>
    <m/>
  </r>
  <r>
    <x v="0"/>
    <s v="BOMBERO DE LEVADURA"/>
    <s v="A"/>
    <m/>
    <s v="PENDIENTE CONTRATACION"/>
    <m/>
    <s v="LUIS ALBERTO MONTAÑEZ ARELLANO"/>
    <x v="8"/>
    <s v="Operador de blender"/>
  </r>
  <r>
    <x v="0"/>
    <s v="SUPERVISOR DE CUARTOS FRIOS"/>
    <n v="7"/>
    <n v="32146684"/>
    <s v="LUIS ALBERTO MONTAÑEZ ARELLANO"/>
    <n v="32045961"/>
    <s v="JAIME ALEJANDRO LAGUNAS CARRERA"/>
    <x v="8"/>
    <s v="LIDER DE TURNO"/>
  </r>
  <r>
    <x v="0"/>
    <s v="BLENDER"/>
    <s v="AM"/>
    <n v="32181712"/>
    <s v="CARLOS ADRIAN ROBLES MONTENEGRO"/>
    <n v="32146684"/>
    <s v="LUIS ALBERTO MONTAÑEZ ARELLANO"/>
    <x v="8"/>
    <s v="Operador de blender"/>
  </r>
  <r>
    <x v="0"/>
    <s v="BLENDER"/>
    <s v="AM"/>
    <n v="32149237"/>
    <s v="HELMER DEL REAL PEREZ"/>
    <n v="32146684"/>
    <s v="LUIS ALBERTO MONTAÑEZ ARELLANO"/>
    <x v="8"/>
    <s v="Operador de blender"/>
  </r>
  <r>
    <x v="0"/>
    <s v="BLENDER"/>
    <s v="AM"/>
    <n v="32176720"/>
    <s v="JOSE REFUGIO LOPEZ MARTINEZ"/>
    <n v="32146684"/>
    <s v="LUIS ALBERTO MONTAÑEZ ARELLANO"/>
    <x v="8"/>
    <s v="Operador de blender"/>
  </r>
  <r>
    <x v="0"/>
    <s v="BLENDER"/>
    <s v="AM"/>
    <n v="32183480"/>
    <s v="LUIS ARMANDO REYES DEL REAL"/>
    <n v="32146684"/>
    <s v="LUIS ALBERTO MONTAÑEZ ARELLANO"/>
    <x v="8"/>
    <s v="Operador de blender"/>
  </r>
  <r>
    <x v="0"/>
    <s v="BLENDER"/>
    <s v="AM"/>
    <n v="32197975"/>
    <s v="LUIS RICARDO VALDES SANCHEZ"/>
    <n v="32146684"/>
    <s v="LUIS ALBERTO MONTAÑEZ ARELLANO"/>
    <x v="8"/>
    <s v="Operador de blender"/>
  </r>
  <r>
    <x v="0"/>
    <s v="BLENDER"/>
    <s v="AM"/>
    <n v="32175115"/>
    <s v="NESTOR MONTOYA DUEÑAS"/>
    <n v="32146684"/>
    <s v="LUIS ALBERTO MONTAÑEZ ARELLANO"/>
    <x v="8"/>
    <s v="Operador de blend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14614-1C8C-4E1C-8C16-AC301C14063D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rea">
  <location ref="A2:E7" firstHeaderRow="0" firstDataRow="1" firstDataCol="1"/>
  <pivotFields count="47">
    <pivotField axis="axisRow" showAll="0">
      <items count="5">
        <item sd="0" x="0"/>
        <item sd="0" x="1"/>
        <item sd="0" x="2"/>
        <item sd="0"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2">
        <item x="12"/>
        <item x="0"/>
        <item x="7"/>
        <item m="1" x="18"/>
        <item x="9"/>
        <item x="1"/>
        <item x="8"/>
        <item x="3"/>
        <item x="11"/>
        <item x="10"/>
        <item x="15"/>
        <item m="1" x="20"/>
        <item x="13"/>
        <item m="1" x="17"/>
        <item x="4"/>
        <item x="6"/>
        <item x="16"/>
        <item x="14"/>
        <item m="1" x="19"/>
        <item x="2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 Experiencia del Equipo" fld="12" subtotal="average" baseField="0" baseItem="0"/>
    <dataField name="Prom Edad" fld="13" subtotal="average" baseField="0" baseItem="0"/>
    <dataField name="Total  Dias de Vacaciones" fld="14" baseField="0" baseItem="0" numFmtId="1"/>
    <dataField name="Prom Dias de Vacaciones" fld="14" subtotal="average" baseField="0" baseItem="1"/>
  </dataFields>
  <formats count="13">
    <format dxfId="89">
      <pivotArea outline="0" collapsedLevelsAreSubtotals="1" fieldPosition="0"/>
    </format>
    <format dxfId="88">
      <pivotArea outline="0" collapsedLevelsAreSubtotals="1" fieldPosition="0"/>
    </format>
    <format dxfId="87">
      <pivotArea outline="0" collapsedLevelsAreSubtotals="1" fieldPosition="0"/>
    </format>
    <format dxfId="8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2">
      <pivotArea field="0" type="button" dataOnly="0" labelOnly="1" outline="0" axis="axisRow" fieldPosition="0"/>
    </format>
    <format dxfId="81">
      <pivotArea field="0" type="button" dataOnly="0" labelOnly="1" outline="0" axis="axisRow" fieldPosition="0"/>
    </format>
    <format dxfId="80">
      <pivotArea field="0" type="button" dataOnly="0" labelOnly="1" outline="0" axis="axisRow" fieldPosition="0"/>
    </format>
    <format dxfId="7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8">
      <pivotArea field="0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FA71E-FD85-418D-87D6-03BA07796AF9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rea">
  <location ref="H10:K15" firstHeaderRow="0" firstDataRow="1" firstDataCol="1"/>
  <pivotFields count="4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ín. Edad" fld="13" subtotal="min" baseField="0" baseItem="0"/>
    <dataField name="Prom Edad" fld="13" subtotal="average" baseField="0" baseItem="0"/>
    <dataField name="Máx. Edad" fld="13" subtotal="max" baseField="0" baseItem="0"/>
  </dataFields>
  <formats count="3">
    <format dxfId="92">
      <pivotArea outline="0" collapsedLevelsAreSubtotals="1" fieldPosition="0"/>
    </format>
    <format dxfId="91">
      <pivotArea outline="0" collapsedLevelsAreSubtotals="1" fieldPosition="0"/>
    </format>
    <format dxfId="9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74A7E-6279-445D-94F5-1A2758B1103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rea">
  <location ref="H2:K7" firstHeaderRow="0" firstDataRow="1" firstDataCol="1"/>
  <pivotFields count="4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ín. Antigüedad" fld="12" subtotal="min" baseField="0" baseItem="0"/>
    <dataField name="Prom Antigüedad" fld="12" subtotal="average" baseField="0" baseItem="1"/>
    <dataField name="Máx. Antigüedad" fld="12" subtotal="max" baseField="0" baseItem="3"/>
  </dataFields>
  <formats count="12">
    <format dxfId="104">
      <pivotArea outline="0" collapsedLevelsAreSubtotals="1" fieldPosition="0"/>
    </format>
    <format dxfId="103">
      <pivotArea outline="0" collapsedLevelsAreSubtotals="1" fieldPosition="0"/>
    </format>
    <format dxfId="102">
      <pivotArea outline="0" collapsedLevelsAreSubtotals="1" fieldPosition="0"/>
    </format>
    <format dxfId="1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8">
      <pivotArea field="0" type="button" dataOnly="0" labelOnly="1" outline="0" axis="axisRow" fieldPosition="0"/>
    </format>
    <format dxfId="97">
      <pivotArea field="0" type="button" dataOnly="0" labelOnly="1" outline="0" axis="axisRow" fieldPosition="0"/>
    </format>
    <format dxfId="96">
      <pivotArea field="0" type="button" dataOnly="0" labelOnly="1" outline="0" axis="axisRow" fieldPosition="0"/>
    </format>
    <format dxfId="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4">
      <pivotArea field="0" type="button" dataOnly="0" labelOnly="1" outline="0" axis="axisRow" fieldPosition="0"/>
    </format>
    <format dxfId="9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BFDFD-8292-4C98-AC06-8F70B30D4F5D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partamento">
  <location ref="B4:C9" firstHeaderRow="1" firstDataRow="1" firstDataCol="1" rowPageCount="1" colPageCount="1"/>
  <pivotFields count="47">
    <pivotField axis="axisRow" showAll="0">
      <items count="5">
        <item sd="0" x="2"/>
        <item sd="0" x="0"/>
        <item sd="0" x="1"/>
        <item sd="0" x="3"/>
        <item t="default"/>
      </items>
    </pivotField>
    <pivotField axis="axisRow" showAll="0">
      <items count="34">
        <item sd="0" x="25"/>
        <item sd="0" x="18"/>
        <item sd="0" x="16"/>
        <item sd="0" x="24"/>
        <item sd="0" x="30"/>
        <item sd="0" x="27"/>
        <item sd="0" x="29"/>
        <item sd="0" x="26"/>
        <item sd="0" x="19"/>
        <item sd="0" x="20"/>
        <item sd="0" x="23"/>
        <item sd="0" x="9"/>
        <item sd="0" x="10"/>
        <item sd="0" x="6"/>
        <item sd="0" x="8"/>
        <item sd="0" x="2"/>
        <item sd="0" x="17"/>
        <item sd="0" x="12"/>
        <item sd="0" x="3"/>
        <item sd="0" x="4"/>
        <item sd="0" x="11"/>
        <item sd="0" x="5"/>
        <item sd="0" x="32"/>
        <item sd="0" x="21"/>
        <item sd="0" x="28"/>
        <item sd="0" x="0"/>
        <item sd="0" x="15"/>
        <item sd="0" x="14"/>
        <item sd="0" x="31"/>
        <item sd="0" x="13"/>
        <item sd="0" x="7"/>
        <item sd="0" x="1"/>
        <item sd="0" x="22"/>
        <item t="default" sd="0"/>
      </items>
    </pivotField>
    <pivotField axis="axisPage" multipleItemSelectionAllowed="1" showAll="0">
      <items count="15">
        <item x="13"/>
        <item x="11"/>
        <item x="12"/>
        <item x="0"/>
        <item x="7"/>
        <item x="1"/>
        <item x="9"/>
        <item x="10"/>
        <item x="2"/>
        <item x="3"/>
        <item x="6"/>
        <item x="4"/>
        <item x="5"/>
        <item x="8"/>
        <item t="default"/>
      </items>
    </pivotField>
    <pivotField showAll="0"/>
    <pivotField axis="axisRow" showAll="0">
      <items count="167">
        <item x="147"/>
        <item x="1"/>
        <item x="132"/>
        <item x="4"/>
        <item x="33"/>
        <item x="44"/>
        <item x="62"/>
        <item x="144"/>
        <item x="133"/>
        <item x="107"/>
        <item x="157"/>
        <item x="80"/>
        <item x="71"/>
        <item x="162"/>
        <item x="88"/>
        <item x="138"/>
        <item x="99"/>
        <item x="7"/>
        <item x="114"/>
        <item x="93"/>
        <item x="37"/>
        <item x="131"/>
        <item x="8"/>
        <item x="26"/>
        <item x="125"/>
        <item x="34"/>
        <item x="153"/>
        <item x="46"/>
        <item x="90"/>
        <item x="84"/>
        <item x="21"/>
        <item x="86"/>
        <item x="145"/>
        <item x="12"/>
        <item x="150"/>
        <item x="159"/>
        <item x="81"/>
        <item x="154"/>
        <item x="123"/>
        <item x="109"/>
        <item x="83"/>
        <item x="27"/>
        <item x="103"/>
        <item x="115"/>
        <item x="139"/>
        <item x="23"/>
        <item x="101"/>
        <item x="65"/>
        <item x="112"/>
        <item x="38"/>
        <item x="9"/>
        <item x="47"/>
        <item x="36"/>
        <item x="15"/>
        <item x="129"/>
        <item x="97"/>
        <item x="32"/>
        <item x="57"/>
        <item x="56"/>
        <item x="58"/>
        <item x="94"/>
        <item x="73"/>
        <item x="45"/>
        <item x="164"/>
        <item x="43"/>
        <item x="91"/>
        <item x="22"/>
        <item x="158"/>
        <item x="87"/>
        <item x="92"/>
        <item x="42"/>
        <item x="3"/>
        <item x="28"/>
        <item x="155"/>
        <item x="116"/>
        <item x="160"/>
        <item x="16"/>
        <item x="148"/>
        <item x="165"/>
        <item x="89"/>
        <item x="100"/>
        <item x="96"/>
        <item x="137"/>
        <item x="53"/>
        <item x="141"/>
        <item x="69"/>
        <item x="66"/>
        <item x="14"/>
        <item x="0"/>
        <item x="134"/>
        <item x="24"/>
        <item x="78"/>
        <item x="113"/>
        <item x="140"/>
        <item x="117"/>
        <item x="40"/>
        <item x="63"/>
        <item x="98"/>
        <item x="149"/>
        <item x="146"/>
        <item x="118"/>
        <item x="41"/>
        <item x="5"/>
        <item x="61"/>
        <item x="136"/>
        <item x="19"/>
        <item x="74"/>
        <item x="2"/>
        <item x="161"/>
        <item x="122"/>
        <item x="70"/>
        <item x="82"/>
        <item x="85"/>
        <item x="119"/>
        <item x="10"/>
        <item x="18"/>
        <item x="55"/>
        <item x="75"/>
        <item x="126"/>
        <item x="29"/>
        <item x="130"/>
        <item x="127"/>
        <item x="13"/>
        <item x="51"/>
        <item x="76"/>
        <item x="11"/>
        <item x="59"/>
        <item x="54"/>
        <item x="67"/>
        <item x="72"/>
        <item x="163"/>
        <item x="52"/>
        <item x="95"/>
        <item x="102"/>
        <item x="20"/>
        <item x="143"/>
        <item x="48"/>
        <item x="68"/>
        <item x="106"/>
        <item x="77"/>
        <item x="35"/>
        <item x="108"/>
        <item x="105"/>
        <item x="31"/>
        <item x="111"/>
        <item x="49"/>
        <item x="30"/>
        <item x="128"/>
        <item x="110"/>
        <item x="39"/>
        <item x="25"/>
        <item x="135"/>
        <item x="60"/>
        <item x="156"/>
        <item x="64"/>
        <item x="50"/>
        <item x="17"/>
        <item x="6"/>
        <item x="104"/>
        <item x="124"/>
        <item x="151"/>
        <item x="152"/>
        <item x="79"/>
        <item x="142"/>
        <item x="121"/>
        <item x="1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Cuenta de Nombre del Lider" fld="6" subtotal="count" baseField="0" baseItem="0"/>
  </dataFields>
  <formats count="65">
    <format dxfId="66">
      <pivotArea collapsedLevelsAreSubtotals="1" fieldPosition="0">
        <references count="2">
          <reference field="0" count="1" selected="0">
            <x v="3"/>
          </reference>
          <reference field="1" count="1">
            <x v="22"/>
          </reference>
        </references>
      </pivotArea>
    </format>
    <format dxfId="65">
      <pivotArea collapsedLevelsAreSubtotals="1" fieldPosition="0">
        <references count="2">
          <reference field="0" count="1" selected="0">
            <x v="3"/>
          </reference>
          <reference field="1" count="1">
            <x v="28"/>
          </reference>
        </references>
      </pivotArea>
    </format>
    <format dxfId="64">
      <pivotArea collapsedLevelsAreSubtotals="1" fieldPosition="0">
        <references count="2">
          <reference field="0" count="1" selected="0">
            <x v="3"/>
          </reference>
          <reference field="1" count="1">
            <x v="31"/>
          </reference>
        </references>
      </pivotArea>
    </format>
    <format dxfId="63">
      <pivotArea dataOnly="0" labelOnly="1" fieldPosition="0">
        <references count="2">
          <reference field="0" count="1" selected="0">
            <x v="3"/>
          </reference>
          <reference field="1" count="3">
            <x v="22"/>
            <x v="28"/>
            <x v="31"/>
          </reference>
        </references>
      </pivotArea>
    </format>
    <format dxfId="62">
      <pivotArea collapsedLevelsAreSubtotals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61">
      <pivotArea collapsedLevelsAreSubtotals="1" fieldPosition="0">
        <references count="2">
          <reference field="0" count="1" selected="0">
            <x v="0"/>
          </reference>
          <reference field="1" count="1">
            <x v="5"/>
          </reference>
        </references>
      </pivotArea>
    </format>
    <format dxfId="60">
      <pivotArea collapsedLevelsAreSubtotals="1" fieldPosition="0">
        <references count="2">
          <reference field="0" count="1" selected="0">
            <x v="0"/>
          </reference>
          <reference field="1" count="1">
            <x v="6"/>
          </reference>
        </references>
      </pivotArea>
    </format>
    <format dxfId="59">
      <pivotArea collapsedLevelsAreSubtotals="1" fieldPosition="0">
        <references count="2">
          <reference field="0" count="1" selected="0">
            <x v="0"/>
          </reference>
          <reference field="1" count="1">
            <x v="7"/>
          </reference>
        </references>
      </pivotArea>
    </format>
    <format dxfId="58">
      <pivotArea collapsedLevelsAreSubtotals="1" fieldPosition="0">
        <references count="2">
          <reference field="0" count="1" selected="0">
            <x v="0"/>
          </reference>
          <reference field="1" count="1">
            <x v="24"/>
          </reference>
        </references>
      </pivotArea>
    </format>
    <format dxfId="57">
      <pivotArea dataOnly="0" labelOnly="1" fieldPosition="0">
        <references count="2">
          <reference field="0" count="1" selected="0">
            <x v="0"/>
          </reference>
          <reference field="1" count="5">
            <x v="4"/>
            <x v="5"/>
            <x v="6"/>
            <x v="7"/>
            <x v="24"/>
          </reference>
        </references>
      </pivotArea>
    </format>
    <format dxfId="56">
      <pivotArea collapsedLevelsAreSubtotals="1" fieldPosition="0">
        <references count="2">
          <reference field="0" count="1" selected="0">
            <x v="1"/>
          </reference>
          <reference field="1" count="1">
            <x v="31"/>
          </reference>
        </references>
      </pivotArea>
    </format>
    <format dxfId="55">
      <pivotArea dataOnly="0" labelOnly="1" fieldPosition="0">
        <references count="2">
          <reference field="0" count="1" selected="0">
            <x v="1"/>
          </reference>
          <reference field="1" count="1">
            <x v="31"/>
          </reference>
        </references>
      </pivotArea>
    </format>
    <format dxfId="54">
      <pivotArea collapsedLevelsAreSubtotals="1" fieldPosition="0">
        <references count="2">
          <reference field="0" count="1" selected="0">
            <x v="1"/>
          </reference>
          <reference field="1" count="1">
            <x v="25"/>
          </reference>
        </references>
      </pivotArea>
    </format>
    <format dxfId="53">
      <pivotArea dataOnly="0" labelOnly="1" fieldPosition="0">
        <references count="2">
          <reference field="0" count="1" selected="0">
            <x v="1"/>
          </reference>
          <reference field="1" count="1">
            <x v="25"/>
          </reference>
        </references>
      </pivotArea>
    </format>
    <format dxfId="52">
      <pivotArea collapsedLevelsAreSubtotals="1" fieldPosition="0">
        <references count="2">
          <reference field="0" count="1" selected="0">
            <x v="1"/>
          </reference>
          <reference field="1" count="1">
            <x v="30"/>
          </reference>
        </references>
      </pivotArea>
    </format>
    <format dxfId="51">
      <pivotArea dataOnly="0" labelOnly="1" fieldPosition="0">
        <references count="2">
          <reference field="0" count="1" selected="0">
            <x v="1"/>
          </reference>
          <reference field="1" count="1">
            <x v="30"/>
          </reference>
        </references>
      </pivotArea>
    </format>
    <format dxfId="50">
      <pivotArea collapsedLevelsAreSubtotals="1" fieldPosition="0">
        <references count="2">
          <reference field="0" count="1" selected="0">
            <x v="1"/>
          </reference>
          <reference field="1" count="1">
            <x v="29"/>
          </reference>
        </references>
      </pivotArea>
    </format>
    <format dxfId="49">
      <pivotArea dataOnly="0" labelOnly="1" fieldPosition="0">
        <references count="2">
          <reference field="0" count="1" selected="0">
            <x v="1"/>
          </reference>
          <reference field="1" count="1">
            <x v="29"/>
          </reference>
        </references>
      </pivotArea>
    </format>
    <format dxfId="48">
      <pivotArea collapsedLevelsAreSubtotals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47">
      <pivotArea dataOnly="0" labelOnly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46">
      <pivotArea collapsedLevelsAreSubtotals="1" fieldPosition="0">
        <references count="2">
          <reference field="0" count="1" selected="0">
            <x v="2"/>
          </reference>
          <reference field="1" count="1">
            <x v="30"/>
          </reference>
        </references>
      </pivotArea>
    </format>
    <format dxfId="45">
      <pivotArea dataOnly="0" labelOnly="1" fieldPosition="0">
        <references count="2">
          <reference field="0" count="1" selected="0">
            <x v="2"/>
          </reference>
          <reference field="1" count="1">
            <x v="30"/>
          </reference>
        </references>
      </pivotArea>
    </format>
    <format dxfId="44">
      <pivotArea collapsedLevelsAreSubtotals="1" fieldPosition="0">
        <references count="2">
          <reference field="0" count="1" selected="0">
            <x v="1"/>
          </reference>
          <reference field="1" count="1">
            <x v="11"/>
          </reference>
        </references>
      </pivotArea>
    </format>
    <format dxfId="43">
      <pivotArea collapsedLevelsAreSubtotals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42">
      <pivotArea collapsedLevelsAreSubtotals="1" fieldPosition="0">
        <references count="2">
          <reference field="0" count="1" selected="0">
            <x v="1"/>
          </reference>
          <reference field="1" count="1">
            <x v="13"/>
          </reference>
        </references>
      </pivotArea>
    </format>
    <format dxfId="41">
      <pivotArea collapsedLevelsAreSubtotals="1" fieldPosition="0">
        <references count="2">
          <reference field="0" count="1" selected="0">
            <x v="1"/>
          </reference>
          <reference field="1" count="1">
            <x v="14"/>
          </reference>
        </references>
      </pivotArea>
    </format>
    <format dxfId="40">
      <pivotArea collapsedLevelsAreSubtotals="1" fieldPosition="0">
        <references count="2">
          <reference field="0" count="1" selected="0">
            <x v="1"/>
          </reference>
          <reference field="1" count="1">
            <x v="15"/>
          </reference>
        </references>
      </pivotArea>
    </format>
    <format dxfId="39">
      <pivotArea collapsedLevelsAreSubtotals="1" fieldPosition="0">
        <references count="2">
          <reference field="0" count="1" selected="0">
            <x v="1"/>
          </reference>
          <reference field="1" count="1">
            <x v="17"/>
          </reference>
        </references>
      </pivotArea>
    </format>
    <format dxfId="38">
      <pivotArea collapsedLevelsAreSubtotals="1" fieldPosition="0">
        <references count="2">
          <reference field="0" count="1" selected="0">
            <x v="1"/>
          </reference>
          <reference field="1" count="1">
            <x v="18"/>
          </reference>
        </references>
      </pivotArea>
    </format>
    <format dxfId="37">
      <pivotArea collapsedLevelsAreSubtotals="1" fieldPosition="0">
        <references count="2">
          <reference field="0" count="1" selected="0">
            <x v="1"/>
          </reference>
          <reference field="1" count="1">
            <x v="19"/>
          </reference>
        </references>
      </pivotArea>
    </format>
    <format dxfId="36">
      <pivotArea collapsedLevelsAreSubtotals="1" fieldPosition="0">
        <references count="2">
          <reference field="0" count="1" selected="0">
            <x v="1"/>
          </reference>
          <reference field="1" count="1">
            <x v="20"/>
          </reference>
        </references>
      </pivotArea>
    </format>
    <format dxfId="35">
      <pivotArea collapsedLevelsAreSubtotals="1" fieldPosition="0">
        <references count="2">
          <reference field="0" count="1" selected="0">
            <x v="1"/>
          </reference>
          <reference field="1" count="1">
            <x v="21"/>
          </reference>
        </references>
      </pivotArea>
    </format>
    <format dxfId="34">
      <pivotArea collapsedLevelsAreSubtotals="1" fieldPosition="0">
        <references count="2">
          <reference field="0" count="1" selected="0">
            <x v="1"/>
          </reference>
          <reference field="1" count="1">
            <x v="25"/>
          </reference>
        </references>
      </pivotArea>
    </format>
    <format dxfId="33">
      <pivotArea collapsedLevelsAreSubtotals="1" fieldPosition="0">
        <references count="2">
          <reference field="0" count="1" selected="0">
            <x v="1"/>
          </reference>
          <reference field="1" count="1">
            <x v="29"/>
          </reference>
        </references>
      </pivotArea>
    </format>
    <format dxfId="32">
      <pivotArea collapsedLevelsAreSubtotals="1" fieldPosition="0">
        <references count="2">
          <reference field="0" count="1" selected="0">
            <x v="1"/>
          </reference>
          <reference field="1" count="1">
            <x v="30"/>
          </reference>
        </references>
      </pivotArea>
    </format>
    <format dxfId="31">
      <pivotArea collapsedLevelsAreSubtotals="1" fieldPosition="0">
        <references count="2">
          <reference field="0" count="1" selected="0">
            <x v="1"/>
          </reference>
          <reference field="1" count="1">
            <x v="31"/>
          </reference>
        </references>
      </pivotArea>
    </format>
    <format dxfId="30">
      <pivotArea collapsedLevelsAreSubtotals="1" fieldPosition="0">
        <references count="1">
          <reference field="0" count="1">
            <x v="2"/>
          </reference>
        </references>
      </pivotArea>
    </format>
    <format dxfId="29">
      <pivotArea collapsedLevelsAreSubtotals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28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7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26">
      <pivotArea collapsedLevelsAreSubtotals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25">
      <pivotArea collapsedLevelsAreSubtotals="1" fieldPosition="0">
        <references count="2">
          <reference field="0" count="1" selected="0">
            <x v="2"/>
          </reference>
          <reference field="1" count="1">
            <x v="8"/>
          </reference>
        </references>
      </pivotArea>
    </format>
    <format dxfId="24">
      <pivotArea collapsedLevelsAreSubtotals="1" fieldPosition="0">
        <references count="2">
          <reference field="0" count="1" selected="0">
            <x v="2"/>
          </reference>
          <reference field="1" count="1">
            <x v="9"/>
          </reference>
        </references>
      </pivotArea>
    </format>
    <format dxfId="23">
      <pivotArea collapsedLevelsAreSubtotals="1" fieldPosition="0">
        <references count="2">
          <reference field="0" count="1" selected="0">
            <x v="2"/>
          </reference>
          <reference field="1" count="1">
            <x v="10"/>
          </reference>
        </references>
      </pivotArea>
    </format>
    <format dxfId="22">
      <pivotArea collapsedLevelsAreSubtotals="1" fieldPosition="0">
        <references count="2">
          <reference field="0" count="1" selected="0">
            <x v="2"/>
          </reference>
          <reference field="1" count="1">
            <x v="16"/>
          </reference>
        </references>
      </pivotArea>
    </format>
    <format dxfId="21">
      <pivotArea collapsedLevelsAreSubtotals="1" fieldPosition="0">
        <references count="2">
          <reference field="0" count="1" selected="0">
            <x v="2"/>
          </reference>
          <reference field="1" count="1">
            <x v="23"/>
          </reference>
        </references>
      </pivotArea>
    </format>
    <format dxfId="20">
      <pivotArea collapsedLevelsAreSubtotals="1" fieldPosition="0">
        <references count="2">
          <reference field="0" count="1" selected="0">
            <x v="2"/>
          </reference>
          <reference field="1" count="1">
            <x v="26"/>
          </reference>
        </references>
      </pivotArea>
    </format>
    <format dxfId="19">
      <pivotArea collapsedLevelsAreSubtotals="1" fieldPosition="0">
        <references count="2">
          <reference field="0" count="1" selected="0">
            <x v="2"/>
          </reference>
          <reference field="1" count="1">
            <x v="27"/>
          </reference>
        </references>
      </pivotArea>
    </format>
    <format dxfId="18">
      <pivotArea collapsedLevelsAreSubtotals="1" fieldPosition="0">
        <references count="2">
          <reference field="0" count="1" selected="0">
            <x v="2"/>
          </reference>
          <reference field="1" count="1">
            <x v="30"/>
          </reference>
        </references>
      </pivotArea>
    </format>
    <format dxfId="17">
      <pivotArea collapsedLevelsAreSubtotals="1" fieldPosition="0">
        <references count="2">
          <reference field="0" count="1" selected="0">
            <x v="2"/>
          </reference>
          <reference field="1" count="1">
            <x v="32"/>
          </reference>
        </references>
      </pivotArea>
    </format>
    <format dxfId="16">
      <pivotArea collapsedLevelsAreSubtotals="1" fieldPosition="0">
        <references count="1">
          <reference field="0" count="1">
            <x v="3"/>
          </reference>
        </references>
      </pivotArea>
    </format>
    <format dxfId="15">
      <pivotArea collapsedLevelsAreSubtotals="1" fieldPosition="0">
        <references count="2">
          <reference field="0" count="1" selected="0">
            <x v="3"/>
          </reference>
          <reference field="1" count="1">
            <x v="22"/>
          </reference>
        </references>
      </pivotArea>
    </format>
    <format dxfId="14">
      <pivotArea collapsedLevelsAreSubtotals="1" fieldPosition="0">
        <references count="2">
          <reference field="0" count="1" selected="0">
            <x v="3"/>
          </reference>
          <reference field="1" count="1">
            <x v="28"/>
          </reference>
        </references>
      </pivotArea>
    </format>
    <format dxfId="13">
      <pivotArea collapsedLevelsAreSubtotals="1" fieldPosition="0">
        <references count="2">
          <reference field="0" count="1" selected="0">
            <x v="3"/>
          </reference>
          <reference field="1" count="1">
            <x v="31"/>
          </reference>
        </references>
      </pivotArea>
    </format>
    <format dxfId="12">
      <pivotArea dataOnly="0" labelOnly="1" fieldPosition="0">
        <references count="1">
          <reference field="0" count="3">
            <x v="1"/>
            <x v="2"/>
            <x v="3"/>
          </reference>
        </references>
      </pivotArea>
    </format>
    <format dxfId="11">
      <pivotArea dataOnly="0" labelOnly="1" fieldPosition="0">
        <references count="2">
          <reference field="0" count="1" selected="0">
            <x v="0"/>
          </reference>
          <reference field="1" count="5">
            <x v="4"/>
            <x v="5"/>
            <x v="6"/>
            <x v="7"/>
            <x v="24"/>
          </reference>
        </references>
      </pivotArea>
    </format>
    <format dxfId="10">
      <pivotArea dataOnly="0" labelOnly="1" fieldPosition="0">
        <references count="2">
          <reference field="0" count="1" selected="0">
            <x v="1"/>
          </reference>
          <reference field="1" count="14">
            <x v="11"/>
            <x v="12"/>
            <x v="13"/>
            <x v="14"/>
            <x v="15"/>
            <x v="17"/>
            <x v="18"/>
            <x v="19"/>
            <x v="20"/>
            <x v="21"/>
            <x v="25"/>
            <x v="29"/>
            <x v="30"/>
            <x v="31"/>
          </reference>
        </references>
      </pivotArea>
    </format>
    <format dxfId="9">
      <pivotArea dataOnly="0" labelOnly="1" fieldPosition="0">
        <references count="2">
          <reference field="0" count="1" selected="0">
            <x v="2"/>
          </reference>
          <reference field="1" count="13">
            <x v="0"/>
            <x v="1"/>
            <x v="2"/>
            <x v="3"/>
            <x v="8"/>
            <x v="9"/>
            <x v="10"/>
            <x v="16"/>
            <x v="23"/>
            <x v="26"/>
            <x v="27"/>
            <x v="30"/>
            <x v="32"/>
          </reference>
        </references>
      </pivotArea>
    </format>
    <format dxfId="8">
      <pivotArea dataOnly="0" labelOnly="1" fieldPosition="0">
        <references count="2">
          <reference field="0" count="1" selected="0">
            <x v="3"/>
          </reference>
          <reference field="1" count="3">
            <x v="22"/>
            <x v="28"/>
            <x v="31"/>
          </reference>
        </references>
      </pivotArea>
    </format>
    <format dxfId="7">
      <pivotArea collapsedLevelsAreSubtotals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6">
      <pivotArea collapsedLevelsAreSubtotals="1" fieldPosition="0">
        <references count="2">
          <reference field="0" count="1" selected="0">
            <x v="0"/>
          </reference>
          <reference field="1" count="1">
            <x v="5"/>
          </reference>
        </references>
      </pivotArea>
    </format>
    <format dxfId="5">
      <pivotArea collapsedLevelsAreSubtotals="1" fieldPosition="0">
        <references count="2">
          <reference field="0" count="1" selected="0">
            <x v="0"/>
          </reference>
          <reference field="1" count="1">
            <x v="6"/>
          </reference>
        </references>
      </pivotArea>
    </format>
    <format dxfId="4">
      <pivotArea collapsedLevelsAreSubtotals="1" fieldPosition="0">
        <references count="2">
          <reference field="0" count="1" selected="0">
            <x v="0"/>
          </reference>
          <reference field="1" count="1">
            <x v="7"/>
          </reference>
        </references>
      </pivotArea>
    </format>
    <format dxfId="3">
      <pivotArea collapsedLevelsAreSubtotals="1" fieldPosition="0">
        <references count="2">
          <reference field="0" count="1" selected="0">
            <x v="0"/>
          </reference>
          <reference field="1" count="1">
            <x v="24"/>
          </reference>
        </references>
      </pivotArea>
    </format>
    <format dxfId="2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BC73E-4380-4C31-818E-9E5EE994B9CC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5:I27" firstHeaderRow="1" firstDataRow="1" firstDataCol="1"/>
  <pivotFields count="9"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15">
        <item x="0"/>
        <item x="2"/>
        <item x="3"/>
        <item x="4"/>
        <item x="5"/>
        <item x="6"/>
        <item x="7"/>
        <item x="9"/>
        <item x="10"/>
        <item x="11"/>
        <item x="12"/>
        <item x="13"/>
        <item x="8"/>
        <item x="1"/>
        <item t="default"/>
      </items>
    </pivotField>
    <pivotField showAll="0"/>
  </pivotFields>
  <rowFields count="2">
    <field x="0"/>
    <field x="7"/>
  </rowFields>
  <rowItems count="22">
    <i>
      <x/>
    </i>
    <i r="1">
      <x v="2"/>
    </i>
    <i r="1">
      <x v="3"/>
    </i>
    <i r="1">
      <x v="5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4"/>
    </i>
    <i r="1">
      <x v="6"/>
    </i>
    <i r="1">
      <x v="12"/>
    </i>
    <i r="1">
      <x v="13"/>
    </i>
    <i>
      <x v="2"/>
    </i>
    <i r="1">
      <x v="2"/>
    </i>
    <i>
      <x v="3"/>
    </i>
    <i r="1">
      <x v="2"/>
    </i>
    <i r="1">
      <x v="10"/>
    </i>
    <i r="1">
      <x v="11"/>
    </i>
    <i t="grand">
      <x/>
    </i>
  </rowItems>
  <colItems count="1">
    <i/>
  </colItems>
  <dataFields count="1">
    <dataField name="Cuenta de Nombre del Equipo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EB99C-67CD-40C2-A231-F065921A60D6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quipo Autonomo">
  <location ref="E4:F20" firstHeaderRow="1" firstDataRow="1" firstDataCol="1"/>
  <pivotFields count="47">
    <pivotField axis="axisRow" showAll="0">
      <items count="5">
        <item sd="0"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22">
        <item sd="0" x="12"/>
        <item sd="0" x="0"/>
        <item sd="0" x="3"/>
        <item sd="0" x="15"/>
        <item sd="0" m="1" x="20"/>
        <item sd="0" x="7"/>
        <item sd="0" x="8"/>
        <item sd="0" x="11"/>
        <item sd="0" x="10"/>
        <item sd="0" x="9"/>
        <item x="1"/>
        <item m="1" x="18"/>
        <item x="13"/>
        <item m="1" x="17"/>
        <item x="4"/>
        <item x="6"/>
        <item x="16"/>
        <item x="14"/>
        <item m="1" x="19"/>
        <item x="2"/>
        <item x="5"/>
        <item t="default" sd="0"/>
      </items>
    </pivotField>
    <pivotField axis="axisRow" showAll="0">
      <items count="23">
        <item h="1" sd="0" x="1"/>
        <item sd="0" x="3"/>
        <item sd="0" x="4"/>
        <item sd="0" x="5"/>
        <item sd="0" x="2"/>
        <item sd="0" x="11"/>
        <item sd="0" x="12"/>
        <item sd="0" m="1" x="20"/>
        <item sd="0" x="10"/>
        <item sd="0" m="1" x="15"/>
        <item sd="0" m="1" x="19"/>
        <item sd="0" x="7"/>
        <item sd="0" m="1" x="18"/>
        <item sd="0" m="1" x="21"/>
        <item sd="0" x="0"/>
        <item sd="0" x="6"/>
        <item sd="0" m="1" x="17"/>
        <item sd="0" m="1" x="13"/>
        <item sd="0" m="1" x="14"/>
        <item sd="0" m="1" x="16"/>
        <item sd="0" x="8"/>
        <item sd="0"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7"/>
    <field x="6"/>
  </rowFields>
  <rowItems count="16">
    <i>
      <x v="1"/>
    </i>
    <i r="1">
      <x v="1"/>
    </i>
    <i r="1">
      <x v="2"/>
    </i>
    <i r="1">
      <x v="3"/>
    </i>
    <i r="1">
      <x v="4"/>
    </i>
    <i r="1">
      <x v="14"/>
    </i>
    <i>
      <x v="2"/>
    </i>
    <i r="1">
      <x v="8"/>
    </i>
    <i r="1">
      <x v="11"/>
    </i>
    <i r="1">
      <x v="15"/>
    </i>
    <i r="1">
      <x v="20"/>
    </i>
    <i r="1">
      <x v="21"/>
    </i>
    <i>
      <x v="3"/>
    </i>
    <i r="1">
      <x v="5"/>
    </i>
    <i r="1">
      <x v="6"/>
    </i>
    <i t="grand">
      <x/>
    </i>
  </rowItems>
  <colItems count="1">
    <i/>
  </colItems>
  <dataFields count="1">
    <dataField name=" Integrantes" fld="4" subtotal="count" baseField="0" baseItem="0"/>
  </dataFields>
  <formats count="10">
    <format dxfId="76">
      <pivotArea dataOnly="0" labelOnly="1" fieldPosition="0">
        <references count="3">
          <reference field="0" count="1" selected="0">
            <x v="1"/>
          </reference>
          <reference field="6" count="1">
            <x v="13"/>
          </reference>
          <reference field="7" count="1" selected="0">
            <x v="1"/>
          </reference>
        </references>
      </pivotArea>
    </format>
    <format dxfId="75">
      <pivotArea dataOnly="0" labelOnly="1" fieldPosition="0">
        <references count="3">
          <reference field="0" count="1" selected="0">
            <x v="1"/>
          </reference>
          <reference field="6" count="1">
            <x v="11"/>
          </reference>
          <reference field="7" count="1" selected="0">
            <x v="2"/>
          </reference>
        </references>
      </pivotArea>
    </format>
    <format dxfId="74">
      <pivotArea dataOnly="0" labelOnly="1" fieldPosition="0">
        <references count="3">
          <reference field="0" count="1" selected="0">
            <x v="1"/>
          </reference>
          <reference field="6" count="1">
            <x v="14"/>
          </reference>
          <reference field="7" count="1" selected="0">
            <x v="3"/>
          </reference>
        </references>
      </pivotArea>
    </format>
    <format dxfId="73">
      <pivotArea dataOnly="0" labelOnly="1" fieldPosition="0">
        <references count="3">
          <reference field="0" count="1" selected="0">
            <x v="1"/>
          </reference>
          <reference field="6" count="1">
            <x v="14"/>
          </reference>
          <reference field="7" count="1" selected="0">
            <x v="3"/>
          </reference>
        </references>
      </pivotArea>
    </format>
    <format dxfId="72">
      <pivotArea dataOnly="0" labelOnly="1" fieldPosition="0">
        <references count="3">
          <reference field="0" count="1" selected="0">
            <x v="1"/>
          </reference>
          <reference field="6" count="1">
            <x v="2"/>
          </reference>
          <reference field="7" count="1" selected="0">
            <x v="4"/>
          </reference>
        </references>
      </pivotArea>
    </format>
    <format dxfId="71">
      <pivotArea dataOnly="0" labelOnly="1" fieldPosition="0">
        <references count="3">
          <reference field="0" count="1" selected="0">
            <x v="1"/>
          </reference>
          <reference field="6" count="1">
            <x v="10"/>
          </reference>
          <reference field="7" count="1" selected="0">
            <x v="14"/>
          </reference>
        </references>
      </pivotArea>
    </format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outline="0" collapsedLevelsAreSubtotals="1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44B9-F97B-4CA1-88DA-04AEAD707DE3}">
  <sheetPr>
    <tabColor rgb="FF002060"/>
  </sheetPr>
  <dimension ref="A1:S36"/>
  <sheetViews>
    <sheetView zoomScale="110" zoomScaleNormal="110" workbookViewId="0">
      <selection activeCell="B4" sqref="B4"/>
    </sheetView>
  </sheetViews>
  <sheetFormatPr baseColWidth="10" defaultColWidth="10.7109375" defaultRowHeight="15" x14ac:dyDescent="0.25"/>
  <cols>
    <col min="1" max="1" width="18.28515625" bestFit="1" customWidth="1"/>
    <col min="2" max="2" width="23.5703125" bestFit="1" customWidth="1"/>
    <col min="3" max="3" width="9.42578125" bestFit="1" customWidth="1"/>
    <col min="4" max="5" width="20.7109375" bestFit="1" customWidth="1"/>
    <col min="6" max="6" width="11.85546875" bestFit="1" customWidth="1"/>
    <col min="8" max="8" width="16.7109375" bestFit="1" customWidth="1"/>
    <col min="9" max="9" width="9.85546875" bestFit="1" customWidth="1"/>
    <col min="10" max="10" width="10.7109375" bestFit="1" customWidth="1"/>
    <col min="11" max="11" width="10.140625" bestFit="1" customWidth="1"/>
    <col min="12" max="12" width="9" customWidth="1"/>
    <col min="13" max="13" width="13.28515625" customWidth="1"/>
    <col min="14" max="14" width="8" style="1" customWidth="1"/>
    <col min="15" max="16" width="14.5703125" customWidth="1"/>
    <col min="17" max="17" width="14.28515625" customWidth="1"/>
  </cols>
  <sheetData>
    <row r="1" spans="1:19" x14ac:dyDescent="0.25">
      <c r="M1" t="s">
        <v>0</v>
      </c>
    </row>
    <row r="2" spans="1:19" s="4" customFormat="1" ht="25.5" x14ac:dyDescent="0.25">
      <c r="A2" s="10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/>
      <c r="H2" s="2" t="s">
        <v>1</v>
      </c>
      <c r="I2" s="3" t="s">
        <v>6</v>
      </c>
      <c r="J2" s="3" t="s">
        <v>7</v>
      </c>
      <c r="K2" s="3" t="s">
        <v>8</v>
      </c>
      <c r="M2" s="5">
        <v>1</v>
      </c>
      <c r="N2" s="2">
        <v>12</v>
      </c>
    </row>
    <row r="3" spans="1:19" x14ac:dyDescent="0.25">
      <c r="A3" s="6" t="s">
        <v>9</v>
      </c>
      <c r="B3" s="7">
        <v>13.857142857142858</v>
      </c>
      <c r="C3" s="7">
        <v>37.860273972602734</v>
      </c>
      <c r="D3" s="8">
        <v>1138</v>
      </c>
      <c r="E3" s="7">
        <v>23.224489795918366</v>
      </c>
      <c r="H3" s="6" t="s">
        <v>9</v>
      </c>
      <c r="I3" s="7">
        <v>0</v>
      </c>
      <c r="J3" s="7">
        <v>13.857142857142858</v>
      </c>
      <c r="K3" s="7">
        <v>30</v>
      </c>
      <c r="M3" s="8">
        <v>2</v>
      </c>
      <c r="N3" s="1">
        <v>14</v>
      </c>
    </row>
    <row r="4" spans="1:19" x14ac:dyDescent="0.25">
      <c r="A4" s="6" t="s">
        <v>10</v>
      </c>
      <c r="B4" s="7">
        <v>14.460526315789474</v>
      </c>
      <c r="C4" s="7">
        <v>39.509625090122562</v>
      </c>
      <c r="D4" s="8">
        <v>1786</v>
      </c>
      <c r="E4" s="7">
        <v>23.5</v>
      </c>
      <c r="H4" s="6" t="s">
        <v>10</v>
      </c>
      <c r="I4" s="7">
        <v>1</v>
      </c>
      <c r="J4" s="7">
        <v>14.460526315789474</v>
      </c>
      <c r="K4" s="7">
        <v>30</v>
      </c>
      <c r="M4" s="8">
        <v>3</v>
      </c>
      <c r="N4" s="1">
        <v>16</v>
      </c>
    </row>
    <row r="5" spans="1:19" s="9" customFormat="1" x14ac:dyDescent="0.25">
      <c r="A5" s="6" t="s">
        <v>11</v>
      </c>
      <c r="B5" s="7">
        <v>19</v>
      </c>
      <c r="C5" s="7">
        <v>42.68630136986301</v>
      </c>
      <c r="D5" s="8">
        <v>160</v>
      </c>
      <c r="E5" s="7">
        <v>26.666666666666668</v>
      </c>
      <c r="F5"/>
      <c r="G5"/>
      <c r="H5" s="6" t="s">
        <v>11</v>
      </c>
      <c r="I5" s="7">
        <v>6</v>
      </c>
      <c r="J5" s="7">
        <v>19</v>
      </c>
      <c r="K5" s="7">
        <v>27</v>
      </c>
      <c r="L5"/>
      <c r="M5" s="8">
        <v>4</v>
      </c>
      <c r="N5" s="9">
        <v>18</v>
      </c>
      <c r="R5"/>
      <c r="S5"/>
    </row>
    <row r="6" spans="1:19" x14ac:dyDescent="0.25">
      <c r="A6" s="6" t="s">
        <v>12</v>
      </c>
      <c r="B6" s="7">
        <v>21.212121212121211</v>
      </c>
      <c r="C6" s="7">
        <v>44.465338314653387</v>
      </c>
      <c r="D6" s="8">
        <v>884</v>
      </c>
      <c r="E6" s="7">
        <v>26.787878787878789</v>
      </c>
      <c r="H6" s="6" t="s">
        <v>12</v>
      </c>
      <c r="I6" s="7">
        <v>3</v>
      </c>
      <c r="J6" s="7">
        <v>21.212121212121211</v>
      </c>
      <c r="K6" s="7">
        <v>30</v>
      </c>
      <c r="M6" s="8">
        <v>5</v>
      </c>
      <c r="N6" s="1">
        <v>20</v>
      </c>
      <c r="O6" s="7"/>
      <c r="P6" s="7"/>
      <c r="Q6" s="7"/>
    </row>
    <row r="7" spans="1:19" x14ac:dyDescent="0.25">
      <c r="A7" s="6" t="s">
        <v>13</v>
      </c>
      <c r="B7" s="7">
        <v>15.804878048780488</v>
      </c>
      <c r="C7" s="7">
        <v>40.130237220180412</v>
      </c>
      <c r="D7" s="8">
        <v>3968</v>
      </c>
      <c r="E7" s="7">
        <v>24.195121951219512</v>
      </c>
      <c r="H7" s="6" t="s">
        <v>13</v>
      </c>
      <c r="I7" s="7">
        <v>0</v>
      </c>
      <c r="J7" s="7">
        <v>15.804878048780488</v>
      </c>
      <c r="K7" s="7">
        <v>30</v>
      </c>
      <c r="M7" s="8">
        <v>6</v>
      </c>
      <c r="N7" s="1">
        <v>22</v>
      </c>
      <c r="O7" s="7"/>
      <c r="P7" s="7"/>
      <c r="Q7" s="7"/>
    </row>
    <row r="8" spans="1:19" x14ac:dyDescent="0.25">
      <c r="M8" s="8">
        <v>7</v>
      </c>
      <c r="N8" s="1">
        <v>22</v>
      </c>
      <c r="O8" s="7"/>
      <c r="P8" s="7"/>
      <c r="Q8" s="7"/>
    </row>
    <row r="9" spans="1:19" x14ac:dyDescent="0.25">
      <c r="M9" s="8">
        <v>8</v>
      </c>
      <c r="N9" s="1">
        <v>22</v>
      </c>
      <c r="O9" s="7"/>
      <c r="P9" s="7"/>
      <c r="Q9" s="7"/>
    </row>
    <row r="10" spans="1:19" x14ac:dyDescent="0.25">
      <c r="H10" t="s">
        <v>1</v>
      </c>
      <c r="I10" t="s">
        <v>14</v>
      </c>
      <c r="J10" t="s">
        <v>3</v>
      </c>
      <c r="K10" t="s">
        <v>15</v>
      </c>
      <c r="M10" s="8">
        <v>9</v>
      </c>
      <c r="N10" s="1">
        <v>22</v>
      </c>
    </row>
    <row r="11" spans="1:19" x14ac:dyDescent="0.25">
      <c r="H11" s="6" t="s">
        <v>9</v>
      </c>
      <c r="I11" s="7">
        <v>22.657534246575342</v>
      </c>
      <c r="J11" s="7">
        <v>37.860273972602734</v>
      </c>
      <c r="K11" s="7">
        <v>55.175342465753424</v>
      </c>
      <c r="M11" s="8">
        <v>10</v>
      </c>
      <c r="N11" s="1">
        <v>22</v>
      </c>
    </row>
    <row r="12" spans="1:19" x14ac:dyDescent="0.25">
      <c r="H12" s="6" t="s">
        <v>10</v>
      </c>
      <c r="I12" s="7">
        <v>22.246575342465754</v>
      </c>
      <c r="J12" s="7">
        <v>39.509625090122562</v>
      </c>
      <c r="K12" s="7">
        <v>59.509589041095893</v>
      </c>
      <c r="M12" s="8">
        <v>11</v>
      </c>
      <c r="N12" s="1">
        <v>24</v>
      </c>
    </row>
    <row r="13" spans="1:19" x14ac:dyDescent="0.25">
      <c r="H13" s="6" t="s">
        <v>11</v>
      </c>
      <c r="I13" s="7">
        <v>29.495890410958904</v>
      </c>
      <c r="J13" s="7">
        <v>42.68630136986301</v>
      </c>
      <c r="K13" s="7">
        <v>52.671232876712331</v>
      </c>
      <c r="M13" s="8">
        <v>12</v>
      </c>
      <c r="N13" s="1">
        <v>24</v>
      </c>
    </row>
    <row r="14" spans="1:19" x14ac:dyDescent="0.25">
      <c r="H14" s="6" t="s">
        <v>12</v>
      </c>
      <c r="I14" s="7">
        <v>25.142465753424659</v>
      </c>
      <c r="J14" s="7">
        <v>44.465338314653387</v>
      </c>
      <c r="K14" s="7">
        <v>57.482191780821921</v>
      </c>
      <c r="M14" s="8">
        <v>13</v>
      </c>
      <c r="N14" s="1">
        <v>24</v>
      </c>
    </row>
    <row r="15" spans="1:19" x14ac:dyDescent="0.25">
      <c r="H15" s="6" t="s">
        <v>13</v>
      </c>
      <c r="I15" s="7">
        <v>22.246575342465754</v>
      </c>
      <c r="J15" s="7">
        <v>40.130237220180412</v>
      </c>
      <c r="K15" s="7">
        <v>59.509589041095893</v>
      </c>
      <c r="M15" s="8">
        <v>14</v>
      </c>
      <c r="N15" s="1">
        <v>24</v>
      </c>
    </row>
    <row r="16" spans="1:19" x14ac:dyDescent="0.25">
      <c r="M16" s="8">
        <v>15</v>
      </c>
      <c r="N16" s="1">
        <v>24</v>
      </c>
    </row>
    <row r="17" spans="13:14" x14ac:dyDescent="0.25">
      <c r="M17" s="8">
        <v>16</v>
      </c>
      <c r="N17" s="1">
        <v>26</v>
      </c>
    </row>
    <row r="18" spans="13:14" x14ac:dyDescent="0.25">
      <c r="M18" s="8">
        <v>17</v>
      </c>
      <c r="N18" s="1">
        <v>26</v>
      </c>
    </row>
    <row r="19" spans="13:14" x14ac:dyDescent="0.25">
      <c r="M19" s="8">
        <v>18</v>
      </c>
      <c r="N19" s="1">
        <v>26</v>
      </c>
    </row>
    <row r="20" spans="13:14" x14ac:dyDescent="0.25">
      <c r="M20" s="8">
        <v>19</v>
      </c>
      <c r="N20" s="1">
        <v>26</v>
      </c>
    </row>
    <row r="21" spans="13:14" x14ac:dyDescent="0.25">
      <c r="M21" s="8">
        <v>20</v>
      </c>
      <c r="N21" s="1">
        <v>26</v>
      </c>
    </row>
    <row r="22" spans="13:14" x14ac:dyDescent="0.25">
      <c r="M22" s="8">
        <v>21</v>
      </c>
      <c r="N22" s="1">
        <v>28</v>
      </c>
    </row>
    <row r="23" spans="13:14" x14ac:dyDescent="0.25">
      <c r="M23" s="8">
        <v>22</v>
      </c>
      <c r="N23" s="1">
        <v>28</v>
      </c>
    </row>
    <row r="24" spans="13:14" x14ac:dyDescent="0.25">
      <c r="M24" s="8">
        <v>23</v>
      </c>
      <c r="N24" s="1">
        <v>28</v>
      </c>
    </row>
    <row r="25" spans="13:14" x14ac:dyDescent="0.25">
      <c r="M25" s="8">
        <v>24</v>
      </c>
      <c r="N25" s="1">
        <v>28</v>
      </c>
    </row>
    <row r="26" spans="13:14" x14ac:dyDescent="0.25">
      <c r="M26" s="8">
        <v>25</v>
      </c>
      <c r="N26" s="1">
        <v>28</v>
      </c>
    </row>
    <row r="27" spans="13:14" x14ac:dyDescent="0.25">
      <c r="M27" s="8">
        <v>26</v>
      </c>
      <c r="N27" s="1">
        <v>30</v>
      </c>
    </row>
    <row r="28" spans="13:14" x14ac:dyDescent="0.25">
      <c r="M28" s="8">
        <v>27</v>
      </c>
      <c r="N28" s="1">
        <v>30</v>
      </c>
    </row>
    <row r="29" spans="13:14" x14ac:dyDescent="0.25">
      <c r="M29" s="8">
        <v>28</v>
      </c>
      <c r="N29" s="1">
        <v>30</v>
      </c>
    </row>
    <row r="30" spans="13:14" x14ac:dyDescent="0.25">
      <c r="M30" s="8">
        <v>29</v>
      </c>
      <c r="N30" s="1">
        <v>30</v>
      </c>
    </row>
    <row r="31" spans="13:14" x14ac:dyDescent="0.25">
      <c r="M31" s="8">
        <v>30</v>
      </c>
      <c r="N31" s="1">
        <v>30</v>
      </c>
    </row>
    <row r="32" spans="13:14" x14ac:dyDescent="0.25">
      <c r="M32" s="8">
        <v>31</v>
      </c>
      <c r="N32" s="1">
        <v>32</v>
      </c>
    </row>
    <row r="33" spans="13:14" x14ac:dyDescent="0.25">
      <c r="M33" s="8">
        <v>32</v>
      </c>
      <c r="N33" s="1">
        <v>32</v>
      </c>
    </row>
    <row r="34" spans="13:14" x14ac:dyDescent="0.25">
      <c r="M34" s="8">
        <v>33</v>
      </c>
      <c r="N34" s="1">
        <v>32</v>
      </c>
    </row>
    <row r="35" spans="13:14" x14ac:dyDescent="0.25">
      <c r="M35" s="8">
        <v>34</v>
      </c>
      <c r="N35" s="1">
        <v>32</v>
      </c>
    </row>
    <row r="36" spans="13:14" x14ac:dyDescent="0.25">
      <c r="M36" s="8">
        <v>35</v>
      </c>
      <c r="N36" s="1">
        <v>32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49FD-FA2C-44E5-8CF4-CDEF7FB1B65A}">
  <sheetPr>
    <tabColor rgb="FF002060"/>
  </sheetPr>
  <dimension ref="A1:I43"/>
  <sheetViews>
    <sheetView showGridLines="0" topLeftCell="C1" zoomScale="90" zoomScaleNormal="90" zoomScaleSheetLayoutView="90" workbookViewId="0">
      <selection activeCell="H10" sqref="H10"/>
    </sheetView>
  </sheetViews>
  <sheetFormatPr baseColWidth="10" defaultColWidth="10.7109375" defaultRowHeight="15" x14ac:dyDescent="0.25"/>
  <cols>
    <col min="1" max="1" width="4.140625" customWidth="1"/>
    <col min="2" max="2" width="18.85546875" bestFit="1" customWidth="1"/>
    <col min="3" max="3" width="26.140625" bestFit="1" customWidth="1"/>
    <col min="4" max="4" width="6.42578125" customWidth="1"/>
    <col min="5" max="5" width="33.5703125" bestFit="1" customWidth="1"/>
    <col min="6" max="6" width="11.7109375" style="1" bestFit="1" customWidth="1"/>
    <col min="8" max="8" width="32.7109375" bestFit="1" customWidth="1"/>
    <col min="9" max="9" width="28" bestFit="1" customWidth="1"/>
    <col min="10" max="10" width="15" bestFit="1" customWidth="1"/>
    <col min="11" max="11" width="13.7109375" bestFit="1" customWidth="1"/>
    <col min="12" max="12" width="17" bestFit="1" customWidth="1"/>
    <col min="13" max="13" width="12.5703125" bestFit="1" customWidth="1"/>
    <col min="14" max="14" width="18.5703125" bestFit="1" customWidth="1"/>
    <col min="15" max="20" width="20.7109375" bestFit="1" customWidth="1"/>
    <col min="21" max="21" width="20" bestFit="1" customWidth="1"/>
    <col min="22" max="22" width="15.5703125" bestFit="1" customWidth="1"/>
    <col min="23" max="23" width="18.7109375" bestFit="1" customWidth="1"/>
    <col min="24" max="26" width="18.85546875" bestFit="1" customWidth="1"/>
    <col min="27" max="27" width="22" bestFit="1" customWidth="1"/>
    <col min="28" max="28" width="12.5703125" bestFit="1" customWidth="1"/>
  </cols>
  <sheetData>
    <row r="1" spans="1:9" x14ac:dyDescent="0.25">
      <c r="B1" t="s">
        <v>16</v>
      </c>
    </row>
    <row r="2" spans="1:9" x14ac:dyDescent="0.25">
      <c r="B2" s="101" t="s">
        <v>17</v>
      </c>
      <c r="C2" t="s">
        <v>352</v>
      </c>
    </row>
    <row r="4" spans="1:9" x14ac:dyDescent="0.25">
      <c r="B4" s="101" t="s">
        <v>18</v>
      </c>
      <c r="C4" t="s">
        <v>19</v>
      </c>
      <c r="E4" s="101" t="s">
        <v>20</v>
      </c>
      <c r="F4" s="1" t="s">
        <v>21</v>
      </c>
    </row>
    <row r="5" spans="1:9" x14ac:dyDescent="0.25">
      <c r="B5" s="6" t="s">
        <v>11</v>
      </c>
      <c r="C5">
        <v>6</v>
      </c>
      <c r="E5" s="6" t="s">
        <v>9</v>
      </c>
      <c r="F5" s="1">
        <v>48</v>
      </c>
      <c r="H5" s="101" t="s">
        <v>357</v>
      </c>
      <c r="I5" t="s">
        <v>358</v>
      </c>
    </row>
    <row r="6" spans="1:9" x14ac:dyDescent="0.25">
      <c r="A6" s="10"/>
      <c r="B6" s="12" t="s">
        <v>9</v>
      </c>
      <c r="C6" s="10">
        <v>49</v>
      </c>
      <c r="D6" s="10"/>
      <c r="E6" s="11" t="s">
        <v>32</v>
      </c>
      <c r="F6" s="1">
        <v>10</v>
      </c>
      <c r="H6" s="6" t="s">
        <v>9</v>
      </c>
      <c r="I6">
        <v>50</v>
      </c>
    </row>
    <row r="7" spans="1:9" x14ac:dyDescent="0.25">
      <c r="A7" s="10"/>
      <c r="B7" s="12" t="s">
        <v>10</v>
      </c>
      <c r="C7" s="10">
        <v>78</v>
      </c>
      <c r="D7" s="10"/>
      <c r="E7" s="11" t="s">
        <v>34</v>
      </c>
      <c r="F7" s="1">
        <v>10</v>
      </c>
      <c r="H7" s="11" t="s">
        <v>23</v>
      </c>
      <c r="I7">
        <v>2</v>
      </c>
    </row>
    <row r="8" spans="1:9" x14ac:dyDescent="0.25">
      <c r="A8" s="10"/>
      <c r="B8" s="12" t="s">
        <v>12</v>
      </c>
      <c r="C8" s="10">
        <v>33</v>
      </c>
      <c r="D8" s="10"/>
      <c r="E8" s="11" t="s">
        <v>36</v>
      </c>
      <c r="F8" s="1">
        <v>9</v>
      </c>
      <c r="H8" s="11" t="s">
        <v>39</v>
      </c>
      <c r="I8">
        <v>9</v>
      </c>
    </row>
    <row r="9" spans="1:9" x14ac:dyDescent="0.25">
      <c r="A9" s="10"/>
      <c r="B9" s="6" t="s">
        <v>13</v>
      </c>
      <c r="C9">
        <v>166</v>
      </c>
      <c r="D9" s="10"/>
      <c r="E9" s="11" t="s">
        <v>38</v>
      </c>
      <c r="F9" s="1">
        <v>10</v>
      </c>
      <c r="H9" s="11" t="s">
        <v>32</v>
      </c>
      <c r="I9">
        <v>10</v>
      </c>
    </row>
    <row r="10" spans="1:9" x14ac:dyDescent="0.25">
      <c r="A10" s="10"/>
      <c r="D10" s="10"/>
      <c r="E10" s="11" t="s">
        <v>39</v>
      </c>
      <c r="F10" s="1">
        <v>9</v>
      </c>
      <c r="H10" s="11" t="s">
        <v>34</v>
      </c>
      <c r="I10">
        <v>10</v>
      </c>
    </row>
    <row r="11" spans="1:9" x14ac:dyDescent="0.25">
      <c r="A11" s="10"/>
      <c r="D11" s="10"/>
      <c r="E11" s="6" t="s">
        <v>10</v>
      </c>
      <c r="F11" s="1">
        <v>76</v>
      </c>
      <c r="H11" s="11" t="s">
        <v>36</v>
      </c>
      <c r="I11">
        <v>9</v>
      </c>
    </row>
    <row r="12" spans="1:9" x14ac:dyDescent="0.25">
      <c r="A12" s="10"/>
      <c r="D12" s="10"/>
      <c r="E12" s="11" t="s">
        <v>42</v>
      </c>
      <c r="F12" s="1">
        <v>17</v>
      </c>
      <c r="H12" s="11" t="s">
        <v>38</v>
      </c>
      <c r="I12">
        <v>10</v>
      </c>
    </row>
    <row r="13" spans="1:9" x14ac:dyDescent="0.25">
      <c r="A13" s="10"/>
      <c r="D13" s="10"/>
      <c r="E13" s="11" t="s">
        <v>44</v>
      </c>
      <c r="F13" s="1">
        <v>8</v>
      </c>
      <c r="H13" s="6" t="s">
        <v>10</v>
      </c>
      <c r="I13">
        <v>78</v>
      </c>
    </row>
    <row r="14" spans="1:9" x14ac:dyDescent="0.25">
      <c r="A14" s="10"/>
      <c r="D14" s="10"/>
      <c r="E14" s="11" t="s">
        <v>46</v>
      </c>
      <c r="F14" s="1">
        <v>17</v>
      </c>
      <c r="H14" s="11" t="s">
        <v>47</v>
      </c>
      <c r="I14">
        <v>16</v>
      </c>
    </row>
    <row r="15" spans="1:9" x14ac:dyDescent="0.25">
      <c r="A15" s="10"/>
      <c r="D15" s="10"/>
      <c r="E15" s="11" t="s">
        <v>47</v>
      </c>
      <c r="F15" s="1">
        <v>17</v>
      </c>
      <c r="H15" s="11" t="s">
        <v>48</v>
      </c>
      <c r="I15">
        <v>17</v>
      </c>
    </row>
    <row r="16" spans="1:9" x14ac:dyDescent="0.25">
      <c r="A16" s="10"/>
      <c r="D16" s="10"/>
      <c r="E16" s="11" t="s">
        <v>48</v>
      </c>
      <c r="F16" s="1">
        <v>17</v>
      </c>
      <c r="H16" s="11" t="s">
        <v>23</v>
      </c>
      <c r="I16">
        <v>3</v>
      </c>
    </row>
    <row r="17" spans="1:9" x14ac:dyDescent="0.25">
      <c r="A17" s="10"/>
      <c r="D17" s="10"/>
      <c r="E17" s="6" t="s">
        <v>12</v>
      </c>
      <c r="F17" s="1">
        <v>30</v>
      </c>
      <c r="H17" s="11" t="s">
        <v>42</v>
      </c>
      <c r="I17">
        <v>17</v>
      </c>
    </row>
    <row r="18" spans="1:9" x14ac:dyDescent="0.25">
      <c r="A18" s="10"/>
      <c r="D18" s="10"/>
      <c r="E18" s="11" t="s">
        <v>50</v>
      </c>
      <c r="F18" s="1">
        <v>16</v>
      </c>
      <c r="H18" s="11" t="s">
        <v>46</v>
      </c>
      <c r="I18">
        <v>16</v>
      </c>
    </row>
    <row r="19" spans="1:9" x14ac:dyDescent="0.25">
      <c r="A19" s="10"/>
      <c r="D19" s="10"/>
      <c r="E19" s="11" t="s">
        <v>51</v>
      </c>
      <c r="F19" s="1">
        <v>14</v>
      </c>
      <c r="H19" s="11" t="s">
        <v>44</v>
      </c>
      <c r="I19">
        <v>9</v>
      </c>
    </row>
    <row r="20" spans="1:9" x14ac:dyDescent="0.25">
      <c r="A20" s="10"/>
      <c r="D20" s="10"/>
      <c r="E20" s="6" t="s">
        <v>13</v>
      </c>
      <c r="F20" s="1">
        <v>154</v>
      </c>
      <c r="H20" s="11" t="s">
        <v>359</v>
      </c>
    </row>
    <row r="21" spans="1:9" x14ac:dyDescent="0.25">
      <c r="A21" s="10"/>
      <c r="D21" s="10"/>
      <c r="F21"/>
      <c r="H21" s="6" t="s">
        <v>11</v>
      </c>
      <c r="I21">
        <v>4</v>
      </c>
    </row>
    <row r="22" spans="1:9" x14ac:dyDescent="0.25">
      <c r="A22" s="10"/>
      <c r="D22" s="10"/>
      <c r="F22"/>
      <c r="H22" s="11" t="s">
        <v>23</v>
      </c>
      <c r="I22">
        <v>4</v>
      </c>
    </row>
    <row r="23" spans="1:9" x14ac:dyDescent="0.25">
      <c r="A23" s="10"/>
      <c r="D23" s="10"/>
      <c r="F23"/>
      <c r="H23" s="6" t="s">
        <v>12</v>
      </c>
      <c r="I23">
        <v>33</v>
      </c>
    </row>
    <row r="24" spans="1:9" x14ac:dyDescent="0.25">
      <c r="A24" s="10"/>
      <c r="D24" s="10"/>
      <c r="F24"/>
      <c r="H24" s="11" t="s">
        <v>23</v>
      </c>
      <c r="I24">
        <v>3</v>
      </c>
    </row>
    <row r="25" spans="1:9" x14ac:dyDescent="0.25">
      <c r="A25" s="10"/>
      <c r="D25" s="10"/>
      <c r="F25"/>
      <c r="H25" s="11" t="s">
        <v>50</v>
      </c>
      <c r="I25">
        <v>16</v>
      </c>
    </row>
    <row r="26" spans="1:9" x14ac:dyDescent="0.25">
      <c r="A26" s="10"/>
      <c r="D26" s="10"/>
      <c r="F26"/>
      <c r="H26" s="11" t="s">
        <v>51</v>
      </c>
      <c r="I26">
        <v>14</v>
      </c>
    </row>
    <row r="27" spans="1:9" x14ac:dyDescent="0.25">
      <c r="A27" s="10"/>
      <c r="D27" s="10"/>
      <c r="F27"/>
      <c r="H27" s="6" t="s">
        <v>13</v>
      </c>
      <c r="I27">
        <v>165</v>
      </c>
    </row>
    <row r="28" spans="1:9" x14ac:dyDescent="0.25">
      <c r="A28" s="10"/>
      <c r="D28" s="10"/>
      <c r="F28"/>
    </row>
    <row r="29" spans="1:9" x14ac:dyDescent="0.25">
      <c r="A29" s="10"/>
      <c r="D29" s="10"/>
      <c r="F29"/>
    </row>
    <row r="30" spans="1:9" x14ac:dyDescent="0.25">
      <c r="A30" s="10"/>
      <c r="D30" s="10"/>
      <c r="F30"/>
    </row>
    <row r="31" spans="1:9" x14ac:dyDescent="0.25">
      <c r="A31" s="10"/>
      <c r="D31" s="10"/>
      <c r="F31"/>
    </row>
    <row r="32" spans="1:9" x14ac:dyDescent="0.25">
      <c r="A32" s="10"/>
      <c r="D32" s="10"/>
    </row>
    <row r="33" spans="1:4" x14ac:dyDescent="0.25">
      <c r="A33" s="10"/>
      <c r="D33" s="10"/>
    </row>
    <row r="34" spans="1:4" x14ac:dyDescent="0.25">
      <c r="A34" s="10"/>
      <c r="D34" s="10"/>
    </row>
    <row r="35" spans="1:4" x14ac:dyDescent="0.25">
      <c r="A35" s="10"/>
      <c r="D35" s="10"/>
    </row>
    <row r="36" spans="1:4" x14ac:dyDescent="0.25">
      <c r="A36" s="10"/>
      <c r="D36" s="10"/>
    </row>
    <row r="37" spans="1:4" x14ac:dyDescent="0.25">
      <c r="A37" s="10"/>
      <c r="D37" s="10"/>
    </row>
    <row r="38" spans="1:4" x14ac:dyDescent="0.25">
      <c r="A38" s="10"/>
      <c r="D38" s="10"/>
    </row>
    <row r="39" spans="1:4" x14ac:dyDescent="0.25">
      <c r="A39" s="10"/>
      <c r="D39" s="10"/>
    </row>
    <row r="40" spans="1:4" x14ac:dyDescent="0.25">
      <c r="A40" s="10"/>
      <c r="D40" s="10"/>
    </row>
    <row r="41" spans="1:4" x14ac:dyDescent="0.25">
      <c r="A41" s="10"/>
      <c r="D41" s="10"/>
    </row>
    <row r="42" spans="1:4" x14ac:dyDescent="0.25">
      <c r="A42" s="10"/>
      <c r="D42" s="10"/>
    </row>
    <row r="43" spans="1:4" x14ac:dyDescent="0.25">
      <c r="A43" s="10"/>
      <c r="D43" s="10"/>
    </row>
  </sheetData>
  <pageMargins left="0.7" right="0.7" top="0.75" bottom="0.75" header="0.3" footer="0.3"/>
  <pageSetup scale="42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B9E97-3BFC-4CAB-830E-1FF3DAFF5E7E}">
  <sheetPr>
    <tabColor rgb="FF002060"/>
  </sheetPr>
  <dimension ref="A1:BE1048543"/>
  <sheetViews>
    <sheetView tabSelected="1" zoomScale="70" zoomScaleNormal="70" workbookViewId="0">
      <selection activeCell="B11" sqref="B11"/>
    </sheetView>
  </sheetViews>
  <sheetFormatPr baseColWidth="10" defaultColWidth="11.42578125" defaultRowHeight="15" outlineLevelCol="1" x14ac:dyDescent="0.25"/>
  <cols>
    <col min="1" max="1" width="25.85546875" customWidth="1"/>
    <col min="2" max="2" width="47.5703125" bestFit="1" customWidth="1"/>
    <col min="3" max="3" width="10" customWidth="1"/>
    <col min="4" max="4" width="11.7109375" customWidth="1"/>
    <col min="5" max="5" width="52.140625" customWidth="1"/>
    <col min="6" max="6" width="16.85546875" customWidth="1"/>
    <col min="7" max="7" width="44" customWidth="1"/>
    <col min="8" max="8" width="35.85546875" customWidth="1"/>
    <col min="9" max="9" width="38" style="1" customWidth="1"/>
    <col min="10" max="10" width="14.7109375" customWidth="1"/>
    <col min="11" max="11" width="14.85546875" style="1" customWidth="1" outlineLevel="1"/>
    <col min="12" max="12" width="12.85546875" style="15" customWidth="1" outlineLevel="1"/>
    <col min="13" max="13" width="18.140625" style="16" customWidth="1" outlineLevel="1"/>
    <col min="14" max="15" width="14.5703125" style="16" customWidth="1" outlineLevel="1"/>
    <col min="16" max="16" width="19.28515625" style="16" customWidth="1" outlineLevel="1"/>
    <col min="17" max="17" width="15.28515625" style="1" customWidth="1" outlineLevel="1"/>
    <col min="18" max="18" width="12.85546875" style="1" customWidth="1" outlineLevel="1"/>
    <col min="19" max="36" width="11.42578125" style="1" customWidth="1" outlineLevel="1"/>
    <col min="37" max="41" width="13.85546875" style="1" customWidth="1" outlineLevel="1"/>
    <col min="42" max="43" width="11.42578125" style="1" customWidth="1" outlineLevel="1"/>
    <col min="44" max="44" width="9.42578125" style="1" customWidth="1"/>
    <col min="45" max="47" width="11.42578125" style="1"/>
    <col min="48" max="52" width="10.7109375" customWidth="1"/>
    <col min="53" max="16384" width="11.42578125" style="10"/>
  </cols>
  <sheetData>
    <row r="1" spans="1:57" ht="15.75" x14ac:dyDescent="0.25">
      <c r="F1" s="13"/>
      <c r="G1" s="13" t="s">
        <v>52</v>
      </c>
      <c r="H1" s="13" t="s">
        <v>53</v>
      </c>
      <c r="I1" s="13" t="s">
        <v>54</v>
      </c>
      <c r="J1" s="14"/>
    </row>
    <row r="2" spans="1:57" ht="15.75" thickBot="1" x14ac:dyDescent="0.3">
      <c r="K2" s="15">
        <f ca="1">TODAY()</f>
        <v>46204</v>
      </c>
      <c r="M2" s="1">
        <f ca="1">PERCENTILE(M4:M159,0.75)</f>
        <v>26</v>
      </c>
    </row>
    <row r="3" spans="1:57" ht="47.25" x14ac:dyDescent="0.25">
      <c r="A3" s="17" t="s">
        <v>18</v>
      </c>
      <c r="B3" s="18" t="s">
        <v>55</v>
      </c>
      <c r="C3" s="19" t="s">
        <v>17</v>
      </c>
      <c r="D3" s="19" t="s">
        <v>56</v>
      </c>
      <c r="E3" s="18" t="s">
        <v>57</v>
      </c>
      <c r="F3" s="19" t="s">
        <v>58</v>
      </c>
      <c r="G3" s="19" t="s">
        <v>59</v>
      </c>
      <c r="H3" s="19" t="s">
        <v>60</v>
      </c>
      <c r="I3" s="19" t="s">
        <v>61</v>
      </c>
      <c r="J3" s="19" t="s">
        <v>62</v>
      </c>
      <c r="K3" s="19" t="s">
        <v>63</v>
      </c>
      <c r="L3" s="20" t="s">
        <v>64</v>
      </c>
      <c r="M3" s="19" t="s">
        <v>65</v>
      </c>
      <c r="N3" s="21" t="s">
        <v>66</v>
      </c>
      <c r="O3" s="21" t="s">
        <v>67</v>
      </c>
      <c r="P3" s="21" t="s">
        <v>68</v>
      </c>
      <c r="Q3" s="21" t="s">
        <v>69</v>
      </c>
      <c r="R3" s="21" t="s">
        <v>70</v>
      </c>
      <c r="S3" s="21" t="s">
        <v>71</v>
      </c>
      <c r="T3" s="21" t="s">
        <v>72</v>
      </c>
      <c r="U3" s="21" t="s">
        <v>73</v>
      </c>
      <c r="V3" s="21" t="s">
        <v>74</v>
      </c>
      <c r="W3" s="21" t="s">
        <v>75</v>
      </c>
      <c r="X3" s="21" t="s">
        <v>76</v>
      </c>
      <c r="Y3" s="21" t="s">
        <v>77</v>
      </c>
      <c r="Z3" s="21" t="s">
        <v>78</v>
      </c>
      <c r="AA3" s="21" t="s">
        <v>79</v>
      </c>
      <c r="AB3" s="21" t="s">
        <v>80</v>
      </c>
      <c r="AC3" s="21" t="s">
        <v>81</v>
      </c>
      <c r="AD3" s="21" t="s">
        <v>82</v>
      </c>
      <c r="AE3" s="21" t="s">
        <v>83</v>
      </c>
      <c r="AF3" s="21" t="s">
        <v>84</v>
      </c>
      <c r="AG3" s="21" t="s">
        <v>85</v>
      </c>
      <c r="AH3" s="21" t="s">
        <v>86</v>
      </c>
      <c r="AI3" s="21" t="s">
        <v>87</v>
      </c>
      <c r="AJ3" s="21" t="s">
        <v>88</v>
      </c>
      <c r="AK3" s="21" t="s">
        <v>89</v>
      </c>
      <c r="AL3" s="21" t="s">
        <v>90</v>
      </c>
      <c r="AM3" s="21" t="s">
        <v>91</v>
      </c>
      <c r="AN3" s="21" t="s">
        <v>92</v>
      </c>
      <c r="AO3" s="22" t="s">
        <v>93</v>
      </c>
      <c r="AP3" s="22" t="s">
        <v>94</v>
      </c>
      <c r="AQ3" s="22" t="s">
        <v>95</v>
      </c>
      <c r="AR3" s="22" t="s">
        <v>96</v>
      </c>
      <c r="AS3" s="22" t="s">
        <v>97</v>
      </c>
      <c r="AT3" s="22" t="s">
        <v>98</v>
      </c>
      <c r="AU3" s="22" t="s">
        <v>99</v>
      </c>
      <c r="AV3" s="114"/>
      <c r="AW3" s="114"/>
      <c r="AX3" s="23"/>
      <c r="AY3" s="23"/>
      <c r="AZ3" s="23"/>
      <c r="BA3" s="23"/>
      <c r="BB3" s="23"/>
      <c r="BC3" s="23"/>
      <c r="BD3" s="23"/>
      <c r="BE3" s="23"/>
    </row>
    <row r="4" spans="1:57" ht="15.75" x14ac:dyDescent="0.25">
      <c r="A4" s="42" t="s">
        <v>10</v>
      </c>
      <c r="B4" s="42" t="s">
        <v>40</v>
      </c>
      <c r="C4" s="72">
        <v>7</v>
      </c>
      <c r="D4" s="80">
        <v>32052981</v>
      </c>
      <c r="E4" s="81" t="s">
        <v>195</v>
      </c>
      <c r="F4" s="75">
        <v>32045961</v>
      </c>
      <c r="G4" s="76" t="s">
        <v>41</v>
      </c>
      <c r="H4" s="13" t="s">
        <v>47</v>
      </c>
      <c r="I4" s="29" t="s">
        <v>101</v>
      </c>
      <c r="J4" s="29">
        <v>1</v>
      </c>
      <c r="K4" s="30">
        <v>38882</v>
      </c>
      <c r="L4" s="30">
        <v>30123</v>
      </c>
      <c r="M4" s="31">
        <f t="shared" ref="M4:M33" ca="1" si="0">ROUND((($K$2-K4)/365),0)</f>
        <v>20</v>
      </c>
      <c r="N4" s="32">
        <f t="shared" ref="N4:N33" ca="1" si="1">($K$2-L4)/365</f>
        <v>44.057534246575344</v>
      </c>
      <c r="O4" s="33">
        <f ca="1">VLOOKUP(M4,Edad_Antigüedad!$M$2:$N$36,2)</f>
        <v>26</v>
      </c>
      <c r="P4" s="33" t="s">
        <v>129</v>
      </c>
      <c r="Q4" s="41">
        <v>0</v>
      </c>
      <c r="R4" s="41">
        <v>0</v>
      </c>
      <c r="S4" s="41">
        <v>0</v>
      </c>
      <c r="T4" s="41">
        <v>0</v>
      </c>
      <c r="U4" s="41">
        <v>0</v>
      </c>
      <c r="V4" s="41">
        <v>1</v>
      </c>
      <c r="W4" s="41">
        <v>1</v>
      </c>
      <c r="X4" s="41">
        <v>1</v>
      </c>
      <c r="Y4" s="41">
        <v>0</v>
      </c>
      <c r="Z4" s="41">
        <v>0</v>
      </c>
      <c r="AA4" s="41">
        <v>0</v>
      </c>
      <c r="AB4" s="41">
        <v>1</v>
      </c>
      <c r="AC4" s="41">
        <v>0</v>
      </c>
      <c r="AD4" s="41">
        <v>0</v>
      </c>
      <c r="AE4" s="41">
        <v>0</v>
      </c>
      <c r="AF4" s="41">
        <v>0</v>
      </c>
      <c r="AG4" s="41">
        <v>0</v>
      </c>
      <c r="AH4" s="41">
        <v>1</v>
      </c>
      <c r="AI4" s="41"/>
      <c r="AJ4" s="41"/>
      <c r="AK4" s="41"/>
      <c r="AL4" s="41"/>
      <c r="AM4" s="41"/>
      <c r="AN4" s="41"/>
      <c r="AO4" s="45"/>
      <c r="AP4" s="46"/>
      <c r="AQ4" s="46"/>
      <c r="AR4" s="46"/>
      <c r="AS4" s="46"/>
      <c r="AT4" s="46"/>
      <c r="AU4" s="46"/>
      <c r="AV4" s="110"/>
      <c r="AW4" s="110"/>
      <c r="AX4" s="37"/>
      <c r="AY4" s="37"/>
      <c r="AZ4" s="37"/>
      <c r="BA4" s="38"/>
      <c r="BB4" s="38"/>
    </row>
    <row r="5" spans="1:57" ht="15.75" x14ac:dyDescent="0.25">
      <c r="A5" s="42" t="s">
        <v>10</v>
      </c>
      <c r="B5" s="42" t="s">
        <v>196</v>
      </c>
      <c r="C5" s="42" t="s">
        <v>184</v>
      </c>
      <c r="D5" s="43">
        <v>32213349</v>
      </c>
      <c r="E5" s="76" t="s">
        <v>197</v>
      </c>
      <c r="F5" s="40">
        <v>32052981</v>
      </c>
      <c r="G5" s="81" t="s">
        <v>195</v>
      </c>
      <c r="H5" s="13" t="s">
        <v>47</v>
      </c>
      <c r="I5" s="42" t="s">
        <v>198</v>
      </c>
      <c r="J5" s="29">
        <v>1</v>
      </c>
      <c r="K5" s="30">
        <v>44757</v>
      </c>
      <c r="L5" s="30">
        <v>35743</v>
      </c>
      <c r="M5" s="31">
        <f t="shared" ca="1" si="0"/>
        <v>4</v>
      </c>
      <c r="N5" s="32">
        <f t="shared" ca="1" si="1"/>
        <v>28.660273972602738</v>
      </c>
      <c r="O5" s="33">
        <f ca="1">VLOOKUP(M5,Edad_Antigüedad!$M$2:$N$36,2)</f>
        <v>18</v>
      </c>
      <c r="P5" s="33" t="s">
        <v>199</v>
      </c>
      <c r="Q5" s="41">
        <v>0</v>
      </c>
      <c r="R5" s="41">
        <v>0</v>
      </c>
      <c r="S5" s="41">
        <v>0</v>
      </c>
      <c r="T5" s="41">
        <v>0</v>
      </c>
      <c r="U5" s="41">
        <v>1</v>
      </c>
      <c r="V5" s="41">
        <v>0</v>
      </c>
      <c r="W5" s="41">
        <v>0</v>
      </c>
      <c r="X5" s="41">
        <v>0</v>
      </c>
      <c r="Y5" s="41">
        <v>0</v>
      </c>
      <c r="Z5" s="41">
        <v>0</v>
      </c>
      <c r="AA5" s="41">
        <v>0</v>
      </c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5"/>
      <c r="AP5" s="41"/>
      <c r="AQ5" s="41"/>
      <c r="AR5" s="41"/>
      <c r="AS5" s="41"/>
      <c r="AT5" s="46"/>
      <c r="AU5" s="46"/>
      <c r="AV5" s="110"/>
      <c r="AW5" s="110"/>
      <c r="AX5" s="37"/>
      <c r="AY5" s="37"/>
      <c r="AZ5" s="37"/>
      <c r="BA5" s="38"/>
      <c r="BB5" s="38"/>
    </row>
    <row r="6" spans="1:57" ht="15.75" x14ac:dyDescent="0.25">
      <c r="A6" s="42" t="s">
        <v>10</v>
      </c>
      <c r="B6" s="42" t="s">
        <v>183</v>
      </c>
      <c r="C6" s="42" t="s">
        <v>184</v>
      </c>
      <c r="D6" s="80">
        <v>32144777</v>
      </c>
      <c r="E6" s="81" t="s">
        <v>200</v>
      </c>
      <c r="F6" s="40">
        <v>32052981</v>
      </c>
      <c r="G6" s="81" t="s">
        <v>195</v>
      </c>
      <c r="H6" s="13" t="s">
        <v>47</v>
      </c>
      <c r="I6" s="42" t="s">
        <v>187</v>
      </c>
      <c r="J6" s="29">
        <v>1</v>
      </c>
      <c r="K6" s="30">
        <v>42357</v>
      </c>
      <c r="L6" s="30">
        <v>32835</v>
      </c>
      <c r="M6" s="31">
        <f t="shared" ca="1" si="0"/>
        <v>11</v>
      </c>
      <c r="N6" s="32">
        <f t="shared" ca="1" si="1"/>
        <v>36.627397260273973</v>
      </c>
      <c r="O6" s="33">
        <f ca="1">VLOOKUP(M6,Edad_Antigüedad!$M$2:$N$36,2)</f>
        <v>24</v>
      </c>
      <c r="P6" s="33" t="s">
        <v>109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41">
        <v>1</v>
      </c>
      <c r="W6" s="41">
        <v>1</v>
      </c>
      <c r="X6" s="41">
        <v>0</v>
      </c>
      <c r="Y6" s="41">
        <v>0</v>
      </c>
      <c r="Z6" s="41">
        <v>0</v>
      </c>
      <c r="AA6" s="41">
        <v>0</v>
      </c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5"/>
      <c r="AP6" s="46"/>
      <c r="AQ6" s="46"/>
      <c r="AR6" s="46"/>
      <c r="AS6" s="46"/>
      <c r="AT6" s="46"/>
      <c r="AU6" s="46"/>
      <c r="AV6" s="110"/>
      <c r="AW6" s="110"/>
      <c r="AX6" s="37"/>
      <c r="AY6" s="37"/>
      <c r="AZ6" s="37"/>
      <c r="BA6" s="38"/>
      <c r="BB6" s="38"/>
    </row>
    <row r="7" spans="1:57" ht="15.75" x14ac:dyDescent="0.25">
      <c r="A7" s="42" t="s">
        <v>10</v>
      </c>
      <c r="B7" s="42" t="s">
        <v>204</v>
      </c>
      <c r="C7" s="42" t="s">
        <v>184</v>
      </c>
      <c r="D7" s="43">
        <v>32157221</v>
      </c>
      <c r="E7" s="76" t="s">
        <v>207</v>
      </c>
      <c r="F7" s="40">
        <v>32052981</v>
      </c>
      <c r="G7" s="81" t="s">
        <v>195</v>
      </c>
      <c r="H7" s="13" t="s">
        <v>47</v>
      </c>
      <c r="I7" s="42" t="s">
        <v>206</v>
      </c>
      <c r="J7" s="29">
        <v>1</v>
      </c>
      <c r="K7" s="30">
        <v>42797</v>
      </c>
      <c r="L7" s="30">
        <v>33550</v>
      </c>
      <c r="M7" s="31">
        <f t="shared" ca="1" si="0"/>
        <v>9</v>
      </c>
      <c r="N7" s="32">
        <f t="shared" ca="1" si="1"/>
        <v>34.668493150684931</v>
      </c>
      <c r="O7" s="33">
        <f ca="1">VLOOKUP(M7,Edad_Antigüedad!$M$2:$N$36,2)</f>
        <v>22</v>
      </c>
      <c r="P7" s="33" t="s">
        <v>126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5"/>
      <c r="AP7" s="46"/>
      <c r="AQ7" s="46"/>
      <c r="AR7" s="46"/>
      <c r="AS7" s="46"/>
      <c r="AT7" s="46"/>
      <c r="AU7" s="46"/>
      <c r="AV7" s="110"/>
      <c r="AW7" s="110"/>
      <c r="AX7" s="37"/>
      <c r="AY7" s="37"/>
      <c r="AZ7" s="37"/>
      <c r="BA7" s="38"/>
      <c r="BB7" s="38"/>
    </row>
    <row r="8" spans="1:57" ht="15.75" x14ac:dyDescent="0.25">
      <c r="A8" s="42" t="s">
        <v>10</v>
      </c>
      <c r="B8" s="42" t="s">
        <v>204</v>
      </c>
      <c r="C8" s="42" t="s">
        <v>184</v>
      </c>
      <c r="D8" s="43">
        <v>32043849</v>
      </c>
      <c r="E8" s="76" t="s">
        <v>208</v>
      </c>
      <c r="F8" s="40">
        <v>32052981</v>
      </c>
      <c r="G8" s="81" t="s">
        <v>195</v>
      </c>
      <c r="H8" s="13" t="s">
        <v>47</v>
      </c>
      <c r="I8" s="42" t="s">
        <v>206</v>
      </c>
      <c r="J8" s="29">
        <v>1</v>
      </c>
      <c r="K8" s="30">
        <v>35282</v>
      </c>
      <c r="L8" s="30">
        <v>25017</v>
      </c>
      <c r="M8" s="31">
        <f t="shared" ca="1" si="0"/>
        <v>30</v>
      </c>
      <c r="N8" s="32">
        <f t="shared" ca="1" si="1"/>
        <v>58.046575342465751</v>
      </c>
      <c r="O8" s="33">
        <f ca="1">VLOOKUP(M8,Edad_Antigüedad!$M$2:$N$36,2)</f>
        <v>30</v>
      </c>
      <c r="P8" s="33" t="s">
        <v>109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5"/>
      <c r="AP8" s="46"/>
      <c r="AQ8" s="46"/>
      <c r="AR8" s="46"/>
      <c r="AS8" s="46"/>
      <c r="AT8" s="46"/>
      <c r="AU8" s="46"/>
      <c r="AV8" s="110"/>
      <c r="AW8" s="110"/>
      <c r="AX8" s="37"/>
      <c r="AY8" s="37"/>
      <c r="AZ8" s="37"/>
      <c r="BA8" s="38"/>
      <c r="BB8" s="38"/>
    </row>
    <row r="9" spans="1:57" ht="16.5" customHeight="1" x14ac:dyDescent="0.25">
      <c r="A9" s="42" t="s">
        <v>10</v>
      </c>
      <c r="B9" s="42" t="s">
        <v>189</v>
      </c>
      <c r="C9" s="42" t="s">
        <v>184</v>
      </c>
      <c r="D9" s="80">
        <v>32132025</v>
      </c>
      <c r="E9" s="81" t="s">
        <v>209</v>
      </c>
      <c r="F9" s="40">
        <v>32052981</v>
      </c>
      <c r="G9" s="81" t="s">
        <v>195</v>
      </c>
      <c r="H9" s="13" t="s">
        <v>47</v>
      </c>
      <c r="I9" s="42" t="s">
        <v>191</v>
      </c>
      <c r="J9" s="29">
        <v>1</v>
      </c>
      <c r="K9" s="30">
        <v>41806</v>
      </c>
      <c r="L9" s="30">
        <v>34606</v>
      </c>
      <c r="M9" s="31">
        <f t="shared" ca="1" si="0"/>
        <v>12</v>
      </c>
      <c r="N9" s="32">
        <f t="shared" ca="1" si="1"/>
        <v>31.775342465753425</v>
      </c>
      <c r="O9" s="33">
        <f ca="1">VLOOKUP(M9,Edad_Antigüedad!$M$2:$N$36,2)</f>
        <v>24</v>
      </c>
      <c r="P9" s="33" t="s">
        <v>126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1</v>
      </c>
      <c r="W9" s="41">
        <v>1</v>
      </c>
      <c r="X9" s="41">
        <v>0</v>
      </c>
      <c r="Y9" s="41">
        <v>0</v>
      </c>
      <c r="Z9" s="41">
        <v>0</v>
      </c>
      <c r="AA9" s="41">
        <v>0</v>
      </c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5"/>
      <c r="AP9" s="46"/>
      <c r="AQ9" s="46"/>
      <c r="AR9" s="46"/>
      <c r="AS9" s="46"/>
      <c r="AT9" s="46"/>
      <c r="AU9" s="46"/>
      <c r="AV9" s="110"/>
      <c r="AW9" s="110"/>
      <c r="AX9" s="37"/>
      <c r="AY9" s="37"/>
      <c r="AZ9" s="37"/>
      <c r="BA9" s="38"/>
      <c r="BB9" s="38"/>
    </row>
    <row r="10" spans="1:57" ht="15.75" x14ac:dyDescent="0.25">
      <c r="A10" s="42" t="s">
        <v>10</v>
      </c>
      <c r="B10" s="42" t="s">
        <v>214</v>
      </c>
      <c r="C10" s="42" t="s">
        <v>184</v>
      </c>
      <c r="D10" s="43">
        <v>32045134</v>
      </c>
      <c r="E10" s="76" t="s">
        <v>220</v>
      </c>
      <c r="F10" s="40">
        <v>32052981</v>
      </c>
      <c r="G10" s="81" t="s">
        <v>195</v>
      </c>
      <c r="H10" s="13" t="s">
        <v>47</v>
      </c>
      <c r="I10" s="42" t="s">
        <v>216</v>
      </c>
      <c r="J10" s="29">
        <v>1</v>
      </c>
      <c r="K10" s="30">
        <v>36811</v>
      </c>
      <c r="L10" s="30">
        <v>27415</v>
      </c>
      <c r="M10" s="31">
        <f t="shared" ca="1" si="0"/>
        <v>26</v>
      </c>
      <c r="N10" s="32">
        <f t="shared" ca="1" si="1"/>
        <v>51.476712328767121</v>
      </c>
      <c r="O10" s="33">
        <f ca="1">VLOOKUP(M10,Edad_Antigüedad!$M$2:$N$36,2)</f>
        <v>30</v>
      </c>
      <c r="P10" s="33" t="s">
        <v>109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1</v>
      </c>
      <c r="X10" s="41">
        <v>1</v>
      </c>
      <c r="Y10" s="41">
        <v>0</v>
      </c>
      <c r="Z10" s="41">
        <v>0</v>
      </c>
      <c r="AA10" s="41">
        <v>0</v>
      </c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5"/>
      <c r="AP10" s="46"/>
      <c r="AQ10" s="46"/>
      <c r="AR10" s="46"/>
      <c r="AS10" s="46"/>
      <c r="AT10" s="46"/>
      <c r="AU10" s="46"/>
      <c r="AV10" s="110"/>
      <c r="AW10" s="110"/>
      <c r="AX10" s="37"/>
      <c r="AY10" s="37"/>
      <c r="AZ10" s="37"/>
      <c r="BA10" s="38"/>
      <c r="BB10" s="38"/>
    </row>
    <row r="11" spans="1:57" ht="15.75" x14ac:dyDescent="0.25">
      <c r="A11" s="42" t="s">
        <v>10</v>
      </c>
      <c r="B11" s="42" t="s">
        <v>192</v>
      </c>
      <c r="C11" s="42" t="s">
        <v>184</v>
      </c>
      <c r="D11" s="43">
        <v>32197863</v>
      </c>
      <c r="E11" s="76" t="s">
        <v>360</v>
      </c>
      <c r="F11" s="40">
        <v>32052981</v>
      </c>
      <c r="G11" s="81" t="s">
        <v>195</v>
      </c>
      <c r="H11" s="13" t="s">
        <v>47</v>
      </c>
      <c r="I11" s="42" t="s">
        <v>201</v>
      </c>
      <c r="J11" s="29">
        <v>1</v>
      </c>
      <c r="K11" s="30">
        <v>44057</v>
      </c>
      <c r="L11" s="30">
        <v>34189</v>
      </c>
      <c r="M11" s="31">
        <f t="shared" ca="1" si="0"/>
        <v>6</v>
      </c>
      <c r="N11" s="32">
        <f t="shared" ca="1" si="1"/>
        <v>32.917808219178085</v>
      </c>
      <c r="O11" s="33">
        <f ca="1">VLOOKUP(M11,Edad_Antigüedad!$M$2:$N$36,2)</f>
        <v>22</v>
      </c>
      <c r="P11" s="33" t="s">
        <v>109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1</v>
      </c>
      <c r="W11" s="41">
        <v>1</v>
      </c>
      <c r="X11" s="41">
        <v>0</v>
      </c>
      <c r="Y11" s="41">
        <v>0</v>
      </c>
      <c r="Z11" s="41">
        <v>0</v>
      </c>
      <c r="AA11" s="41">
        <v>0</v>
      </c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5"/>
      <c r="AP11" s="46"/>
      <c r="AQ11" s="46"/>
      <c r="AR11" s="46"/>
      <c r="AS11" s="46"/>
      <c r="AT11" s="46"/>
      <c r="AU11" s="46"/>
      <c r="AV11" s="110"/>
      <c r="AW11" s="110"/>
      <c r="AX11" s="37"/>
      <c r="AY11" s="37"/>
      <c r="AZ11" s="37"/>
      <c r="BA11" s="38"/>
      <c r="BB11" s="38"/>
    </row>
    <row r="12" spans="1:57" ht="15.75" x14ac:dyDescent="0.25">
      <c r="A12" s="42" t="s">
        <v>10</v>
      </c>
      <c r="B12" s="42" t="s">
        <v>196</v>
      </c>
      <c r="C12" s="42" t="s">
        <v>184</v>
      </c>
      <c r="D12" s="42">
        <v>32197834</v>
      </c>
      <c r="E12" s="13" t="s">
        <v>230</v>
      </c>
      <c r="F12" s="40">
        <v>32052981</v>
      </c>
      <c r="G12" s="81" t="s">
        <v>195</v>
      </c>
      <c r="H12" s="13" t="s">
        <v>47</v>
      </c>
      <c r="I12" s="42" t="s">
        <v>231</v>
      </c>
      <c r="J12" s="29">
        <v>1</v>
      </c>
      <c r="K12" s="30">
        <v>44428</v>
      </c>
      <c r="L12" s="30">
        <v>34371</v>
      </c>
      <c r="M12" s="31">
        <f t="shared" ca="1" si="0"/>
        <v>5</v>
      </c>
      <c r="N12" s="32">
        <f t="shared" ca="1" si="1"/>
        <v>32.419178082191777</v>
      </c>
      <c r="O12" s="33">
        <f ca="1">VLOOKUP(M12,Edad_Antigüedad!$M$2:$N$36,2)</f>
        <v>20</v>
      </c>
      <c r="P12" s="33" t="s">
        <v>126</v>
      </c>
      <c r="Q12" s="41">
        <v>0</v>
      </c>
      <c r="R12" s="41">
        <v>0</v>
      </c>
      <c r="S12" s="41">
        <v>0</v>
      </c>
      <c r="T12" s="41">
        <v>0</v>
      </c>
      <c r="U12" s="41">
        <v>1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5"/>
      <c r="AP12" s="46"/>
      <c r="AQ12" s="46"/>
      <c r="AR12" s="46"/>
      <c r="AS12" s="46"/>
      <c r="AT12" s="46"/>
      <c r="AU12" s="46"/>
      <c r="AV12" s="110"/>
      <c r="AW12" s="110"/>
      <c r="AX12" s="37"/>
      <c r="AY12" s="37"/>
      <c r="AZ12" s="37"/>
      <c r="BA12" s="38"/>
      <c r="BB12" s="38"/>
    </row>
    <row r="13" spans="1:57" ht="15.75" x14ac:dyDescent="0.25">
      <c r="A13" s="42" t="s">
        <v>10</v>
      </c>
      <c r="B13" s="42" t="s">
        <v>201</v>
      </c>
      <c r="C13" s="42" t="s">
        <v>184</v>
      </c>
      <c r="D13" s="43">
        <v>32173446</v>
      </c>
      <c r="E13" s="76" t="s">
        <v>243</v>
      </c>
      <c r="F13" s="40">
        <v>32052981</v>
      </c>
      <c r="G13" s="81" t="s">
        <v>195</v>
      </c>
      <c r="H13" s="13" t="s">
        <v>47</v>
      </c>
      <c r="I13" s="42" t="s">
        <v>203</v>
      </c>
      <c r="J13" s="29">
        <v>1</v>
      </c>
      <c r="K13" s="30">
        <v>43434</v>
      </c>
      <c r="L13" s="30">
        <v>36016</v>
      </c>
      <c r="M13" s="31">
        <f t="shared" ca="1" si="0"/>
        <v>8</v>
      </c>
      <c r="N13" s="32">
        <f t="shared" ca="1" si="1"/>
        <v>27.912328767123288</v>
      </c>
      <c r="O13" s="33">
        <f ca="1">VLOOKUP(M13,Edad_Antigüedad!$M$2:$N$36,2)</f>
        <v>22</v>
      </c>
      <c r="P13" s="33" t="s">
        <v>129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1</v>
      </c>
      <c r="W13" s="41">
        <v>1</v>
      </c>
      <c r="X13" s="41">
        <v>1</v>
      </c>
      <c r="Y13" s="41">
        <v>0</v>
      </c>
      <c r="Z13" s="41">
        <v>0</v>
      </c>
      <c r="AA13" s="41">
        <v>0</v>
      </c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5"/>
      <c r="AP13" s="46"/>
      <c r="AQ13" s="46"/>
      <c r="AR13" s="46"/>
      <c r="AS13" s="46"/>
      <c r="AT13" s="46"/>
      <c r="AU13" s="46"/>
      <c r="AV13" s="110"/>
      <c r="AW13" s="110"/>
      <c r="AX13" s="37"/>
      <c r="AY13" s="37"/>
      <c r="AZ13" s="37"/>
      <c r="BA13" s="38"/>
      <c r="BB13" s="38"/>
    </row>
    <row r="14" spans="1:57" ht="15.75" x14ac:dyDescent="0.25">
      <c r="A14" s="42" t="s">
        <v>10</v>
      </c>
      <c r="B14" s="25" t="s">
        <v>35</v>
      </c>
      <c r="C14" s="42">
        <v>9</v>
      </c>
      <c r="D14" s="73">
        <v>32045116</v>
      </c>
      <c r="E14" s="74" t="s">
        <v>244</v>
      </c>
      <c r="F14" s="40">
        <v>32052981</v>
      </c>
      <c r="G14" s="81" t="s">
        <v>195</v>
      </c>
      <c r="H14" s="13" t="s">
        <v>47</v>
      </c>
      <c r="I14" s="42" t="s">
        <v>213</v>
      </c>
      <c r="J14" s="29">
        <v>1</v>
      </c>
      <c r="K14" s="30">
        <v>36801</v>
      </c>
      <c r="L14" s="30">
        <v>28061</v>
      </c>
      <c r="M14" s="31">
        <f t="shared" ca="1" si="0"/>
        <v>26</v>
      </c>
      <c r="N14" s="32">
        <f t="shared" ca="1" si="1"/>
        <v>49.706849315068496</v>
      </c>
      <c r="O14" s="33">
        <f ca="1">VLOOKUP(M14,Edad_Antigüedad!$M$2:$N$36,2)</f>
        <v>30</v>
      </c>
      <c r="P14" s="33" t="s">
        <v>129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1</v>
      </c>
      <c r="X14" s="41">
        <v>1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/>
      <c r="AJ14" s="41"/>
      <c r="AK14" s="41"/>
      <c r="AL14" s="41"/>
      <c r="AM14" s="41"/>
      <c r="AN14" s="41"/>
      <c r="AO14" s="45"/>
      <c r="AP14" s="46"/>
      <c r="AQ14" s="46"/>
      <c r="AR14" s="46"/>
      <c r="AS14" s="46"/>
      <c r="AT14" s="46"/>
      <c r="AU14" s="46"/>
      <c r="AV14" s="110"/>
      <c r="AW14" s="110"/>
      <c r="AX14" s="37"/>
      <c r="AY14" s="37"/>
      <c r="AZ14" s="37"/>
      <c r="BA14" s="38"/>
      <c r="BB14" s="38"/>
    </row>
    <row r="15" spans="1:57" ht="15.75" x14ac:dyDescent="0.25">
      <c r="A15" s="42" t="s">
        <v>10</v>
      </c>
      <c r="B15" s="42" t="s">
        <v>214</v>
      </c>
      <c r="C15" s="42" t="s">
        <v>184</v>
      </c>
      <c r="D15" s="43">
        <v>32149607</v>
      </c>
      <c r="E15" s="76" t="s">
        <v>246</v>
      </c>
      <c r="F15" s="40">
        <v>32052981</v>
      </c>
      <c r="G15" s="81" t="s">
        <v>195</v>
      </c>
      <c r="H15" s="13" t="s">
        <v>47</v>
      </c>
      <c r="I15" s="42" t="s">
        <v>216</v>
      </c>
      <c r="J15" s="29">
        <v>1</v>
      </c>
      <c r="K15" s="30">
        <v>42527</v>
      </c>
      <c r="L15" s="30">
        <v>35079</v>
      </c>
      <c r="M15" s="31">
        <f t="shared" ca="1" si="0"/>
        <v>10</v>
      </c>
      <c r="N15" s="32">
        <f t="shared" ca="1" si="1"/>
        <v>30.479452054794521</v>
      </c>
      <c r="O15" s="33">
        <f ca="1">VLOOKUP(M15,Edad_Antigüedad!$M$2:$N$36,2)</f>
        <v>22</v>
      </c>
      <c r="P15" s="33" t="s">
        <v>109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1</v>
      </c>
      <c r="X15" s="41">
        <v>1</v>
      </c>
      <c r="Y15" s="41">
        <v>0</v>
      </c>
      <c r="Z15" s="41">
        <v>0</v>
      </c>
      <c r="AA15" s="41">
        <v>0</v>
      </c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5"/>
      <c r="AP15" s="46"/>
      <c r="AQ15" s="46"/>
      <c r="AR15" s="46"/>
      <c r="AS15" s="46"/>
      <c r="AT15" s="46"/>
      <c r="AU15" s="46"/>
      <c r="AV15" s="110"/>
      <c r="AW15" s="110"/>
      <c r="AX15" s="37"/>
      <c r="AY15" s="37"/>
      <c r="AZ15" s="37"/>
      <c r="BA15" s="38"/>
      <c r="BB15" s="38"/>
    </row>
    <row r="16" spans="1:57" ht="15.75" x14ac:dyDescent="0.25">
      <c r="A16" s="42" t="s">
        <v>10</v>
      </c>
      <c r="B16" s="42" t="s">
        <v>183</v>
      </c>
      <c r="C16" s="42" t="s">
        <v>184</v>
      </c>
      <c r="D16" s="80">
        <v>32043880</v>
      </c>
      <c r="E16" s="81" t="s">
        <v>249</v>
      </c>
      <c r="F16" s="40">
        <v>32052981</v>
      </c>
      <c r="G16" s="81" t="s">
        <v>195</v>
      </c>
      <c r="H16" s="13" t="s">
        <v>47</v>
      </c>
      <c r="I16" s="42" t="s">
        <v>187</v>
      </c>
      <c r="J16" s="29">
        <v>1</v>
      </c>
      <c r="K16" s="30">
        <v>35352</v>
      </c>
      <c r="L16" s="30">
        <v>25124</v>
      </c>
      <c r="M16" s="31">
        <f t="shared" ca="1" si="0"/>
        <v>30</v>
      </c>
      <c r="N16" s="32">
        <f t="shared" ca="1" si="1"/>
        <v>57.753424657534246</v>
      </c>
      <c r="O16" s="33">
        <f ca="1">VLOOKUP(M16,Edad_Antigüedad!$M$2:$N$36,2)</f>
        <v>30</v>
      </c>
      <c r="P16" s="33" t="s">
        <v>109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1</v>
      </c>
      <c r="W16" s="41">
        <v>0</v>
      </c>
      <c r="X16" s="41">
        <v>0</v>
      </c>
      <c r="Y16" s="41">
        <v>0</v>
      </c>
      <c r="Z16" s="41">
        <v>0</v>
      </c>
      <c r="AA16" s="41">
        <v>0</v>
      </c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5"/>
      <c r="AP16" s="46"/>
      <c r="AQ16" s="46"/>
      <c r="AR16" s="46"/>
      <c r="AS16" s="46"/>
      <c r="AT16" s="46"/>
      <c r="AU16" s="46"/>
      <c r="AV16" s="110"/>
      <c r="AW16" s="110"/>
      <c r="AX16" s="37"/>
      <c r="AY16" s="37"/>
      <c r="AZ16" s="37"/>
      <c r="BA16" s="38"/>
      <c r="BB16" s="38"/>
    </row>
    <row r="17" spans="1:54" ht="15.75" x14ac:dyDescent="0.25">
      <c r="A17" s="42" t="s">
        <v>10</v>
      </c>
      <c r="B17" s="25" t="s">
        <v>35</v>
      </c>
      <c r="C17" s="72">
        <v>9</v>
      </c>
      <c r="D17" s="73">
        <v>32045139</v>
      </c>
      <c r="E17" s="74" t="s">
        <v>258</v>
      </c>
      <c r="F17" s="40">
        <v>32052981</v>
      </c>
      <c r="G17" s="81" t="s">
        <v>195</v>
      </c>
      <c r="H17" s="13" t="s">
        <v>47</v>
      </c>
      <c r="I17" s="42" t="s">
        <v>213</v>
      </c>
      <c r="J17" s="29">
        <v>3</v>
      </c>
      <c r="K17" s="30">
        <v>36815</v>
      </c>
      <c r="L17" s="30">
        <v>27396</v>
      </c>
      <c r="M17" s="31">
        <f t="shared" ca="1" si="0"/>
        <v>26</v>
      </c>
      <c r="N17" s="32">
        <f t="shared" ca="1" si="1"/>
        <v>51.528767123287672</v>
      </c>
      <c r="O17" s="33">
        <f ca="1">VLOOKUP(M17,Edad_Antigüedad!$M$2:$N$36,2)</f>
        <v>30</v>
      </c>
      <c r="P17" s="33" t="s">
        <v>129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1</v>
      </c>
      <c r="X17" s="41">
        <v>1</v>
      </c>
      <c r="Y17" s="41">
        <v>0</v>
      </c>
      <c r="Z17" s="41">
        <v>1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/>
      <c r="AJ17" s="41"/>
      <c r="AK17" s="41"/>
      <c r="AL17" s="41"/>
      <c r="AM17" s="41"/>
      <c r="AN17" s="41"/>
      <c r="AO17" s="45"/>
      <c r="AP17" s="46"/>
      <c r="AQ17" s="46"/>
      <c r="AR17" s="46"/>
      <c r="AS17" s="46"/>
      <c r="AT17" s="46"/>
      <c r="AU17" s="46"/>
      <c r="AV17" s="110"/>
      <c r="AW17" s="110"/>
      <c r="AX17" s="37"/>
      <c r="AY17" s="37"/>
      <c r="AZ17" s="37"/>
      <c r="BA17" s="38"/>
      <c r="BB17" s="38"/>
    </row>
    <row r="18" spans="1:54" ht="15.75" x14ac:dyDescent="0.25">
      <c r="A18" s="42" t="s">
        <v>10</v>
      </c>
      <c r="B18" s="42" t="s">
        <v>189</v>
      </c>
      <c r="C18" s="42" t="s">
        <v>184</v>
      </c>
      <c r="D18" s="43">
        <v>32044036</v>
      </c>
      <c r="E18" s="76" t="s">
        <v>271</v>
      </c>
      <c r="F18" s="40">
        <v>32052981</v>
      </c>
      <c r="G18" s="81" t="s">
        <v>195</v>
      </c>
      <c r="H18" s="13" t="s">
        <v>47</v>
      </c>
      <c r="I18" s="42" t="s">
        <v>191</v>
      </c>
      <c r="J18" s="29">
        <v>1</v>
      </c>
      <c r="K18" s="30">
        <v>35502</v>
      </c>
      <c r="L18" s="30">
        <v>28098</v>
      </c>
      <c r="M18" s="31">
        <f t="shared" ca="1" si="0"/>
        <v>29</v>
      </c>
      <c r="N18" s="32">
        <f t="shared" ca="1" si="1"/>
        <v>49.605479452054794</v>
      </c>
      <c r="O18" s="33">
        <f ca="1">VLOOKUP(M18,Edad_Antigüedad!$M$2:$N$36,2)</f>
        <v>30</v>
      </c>
      <c r="P18" s="33" t="s">
        <v>109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1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5"/>
      <c r="AP18" s="46"/>
      <c r="AQ18" s="46"/>
      <c r="AR18" s="46"/>
      <c r="AS18" s="46"/>
      <c r="AT18" s="46"/>
      <c r="AU18" s="46"/>
      <c r="AV18" s="110"/>
      <c r="AW18" s="110"/>
      <c r="AX18" s="37"/>
      <c r="AY18" s="37"/>
      <c r="AZ18" s="37"/>
      <c r="BA18" s="38"/>
      <c r="BB18" s="38"/>
    </row>
    <row r="19" spans="1:54" ht="15.75" x14ac:dyDescent="0.25">
      <c r="A19" s="42" t="s">
        <v>10</v>
      </c>
      <c r="B19" s="25" t="s">
        <v>35</v>
      </c>
      <c r="C19" s="72">
        <v>9</v>
      </c>
      <c r="D19" s="75">
        <v>32143106</v>
      </c>
      <c r="E19" s="82" t="s">
        <v>274</v>
      </c>
      <c r="F19" s="40">
        <v>32052981</v>
      </c>
      <c r="G19" s="81" t="s">
        <v>195</v>
      </c>
      <c r="H19" s="13" t="s">
        <v>47</v>
      </c>
      <c r="I19" s="42" t="s">
        <v>213</v>
      </c>
      <c r="J19" s="29">
        <v>1</v>
      </c>
      <c r="K19" s="30">
        <v>42310</v>
      </c>
      <c r="L19" s="30">
        <v>32332</v>
      </c>
      <c r="M19" s="31">
        <f t="shared" ca="1" si="0"/>
        <v>11</v>
      </c>
      <c r="N19" s="32">
        <f t="shared" ca="1" si="1"/>
        <v>38.005479452054793</v>
      </c>
      <c r="O19" s="33">
        <f ca="1">VLOOKUP(M19,Edad_Antigüedad!$M$2:$N$36,2)</f>
        <v>24</v>
      </c>
      <c r="P19" s="33" t="s">
        <v>129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1</v>
      </c>
      <c r="Y19" s="41">
        <v>0</v>
      </c>
      <c r="Z19" s="41">
        <v>1</v>
      </c>
      <c r="AA19" s="41">
        <v>1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/>
      <c r="AJ19" s="41"/>
      <c r="AK19" s="41"/>
      <c r="AL19" s="41"/>
      <c r="AM19" s="41"/>
      <c r="AN19" s="41"/>
      <c r="AO19" s="45"/>
      <c r="AP19" s="46"/>
      <c r="AQ19" s="46"/>
      <c r="AR19" s="46"/>
      <c r="AS19" s="46"/>
      <c r="AT19" s="46"/>
      <c r="AU19" s="46"/>
      <c r="AV19" s="110"/>
      <c r="AW19" s="110"/>
      <c r="AX19" s="37"/>
      <c r="AY19" s="37"/>
      <c r="AZ19" s="37"/>
      <c r="BA19" s="38"/>
      <c r="BB19" s="38"/>
    </row>
    <row r="20" spans="1:54" ht="15.75" x14ac:dyDescent="0.25">
      <c r="A20" s="42" t="s">
        <v>10</v>
      </c>
      <c r="B20" s="42" t="s">
        <v>214</v>
      </c>
      <c r="C20" s="42" t="s">
        <v>184</v>
      </c>
      <c r="D20" s="43">
        <v>32043886</v>
      </c>
      <c r="E20" s="76" t="s">
        <v>215</v>
      </c>
      <c r="F20" s="73">
        <v>32044049</v>
      </c>
      <c r="G20" s="76" t="s">
        <v>202</v>
      </c>
      <c r="H20" s="13" t="s">
        <v>48</v>
      </c>
      <c r="I20" s="42" t="s">
        <v>216</v>
      </c>
      <c r="J20" s="29">
        <v>1</v>
      </c>
      <c r="K20" s="30">
        <v>35359</v>
      </c>
      <c r="L20" s="30">
        <v>27728</v>
      </c>
      <c r="M20" s="31">
        <f t="shared" ca="1" si="0"/>
        <v>30</v>
      </c>
      <c r="N20" s="32">
        <f t="shared" ca="1" si="1"/>
        <v>50.61917808219178</v>
      </c>
      <c r="O20" s="33">
        <f ca="1">VLOOKUP(M20,Edad_Antigüedad!$M$2:$N$36,2)</f>
        <v>30</v>
      </c>
      <c r="P20" s="33" t="s">
        <v>109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1</v>
      </c>
      <c r="X20" s="41">
        <v>1</v>
      </c>
      <c r="Y20" s="41">
        <v>0</v>
      </c>
      <c r="Z20" s="41">
        <v>0</v>
      </c>
      <c r="AA20" s="41">
        <v>0</v>
      </c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5"/>
      <c r="AP20" s="46"/>
      <c r="AQ20" s="46"/>
      <c r="AR20" s="46"/>
      <c r="AS20" s="46"/>
      <c r="AT20" s="46"/>
      <c r="AU20" s="46"/>
      <c r="AV20" s="110"/>
      <c r="AW20" s="110"/>
      <c r="AX20" s="37"/>
      <c r="AY20" s="37"/>
      <c r="AZ20" s="37"/>
      <c r="BA20" s="38"/>
      <c r="BB20" s="38"/>
    </row>
    <row r="21" spans="1:54" ht="15.75" x14ac:dyDescent="0.25">
      <c r="A21" s="42" t="s">
        <v>10</v>
      </c>
      <c r="B21" s="42" t="s">
        <v>204</v>
      </c>
      <c r="C21" s="42" t="s">
        <v>184</v>
      </c>
      <c r="D21" s="73">
        <v>32043891</v>
      </c>
      <c r="E21" s="74" t="s">
        <v>218</v>
      </c>
      <c r="F21" s="73">
        <v>32044049</v>
      </c>
      <c r="G21" s="76" t="s">
        <v>202</v>
      </c>
      <c r="H21" s="13" t="s">
        <v>48</v>
      </c>
      <c r="I21" s="42" t="s">
        <v>206</v>
      </c>
      <c r="J21" s="29">
        <v>1</v>
      </c>
      <c r="K21" s="30">
        <v>35366</v>
      </c>
      <c r="L21" s="30">
        <v>26219</v>
      </c>
      <c r="M21" s="31">
        <f t="shared" ca="1" si="0"/>
        <v>30</v>
      </c>
      <c r="N21" s="32">
        <f t="shared" ca="1" si="1"/>
        <v>54.753424657534246</v>
      </c>
      <c r="O21" s="33">
        <f ca="1">VLOOKUP(M21,Edad_Antigüedad!$M$2:$N$36,2)</f>
        <v>30</v>
      </c>
      <c r="P21" s="33" t="s">
        <v>109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5"/>
      <c r="AP21" s="46"/>
      <c r="AQ21" s="46"/>
      <c r="AR21" s="46"/>
      <c r="AS21" s="46"/>
      <c r="AT21" s="46"/>
      <c r="AU21" s="46"/>
      <c r="AV21" s="110"/>
      <c r="AW21" s="110"/>
      <c r="AX21" s="37"/>
      <c r="AY21" s="37"/>
      <c r="AZ21" s="37"/>
      <c r="BA21" s="38"/>
      <c r="BB21" s="38"/>
    </row>
    <row r="22" spans="1:54" ht="15.75" x14ac:dyDescent="0.25">
      <c r="A22" s="42" t="s">
        <v>10</v>
      </c>
      <c r="B22" s="42" t="s">
        <v>40</v>
      </c>
      <c r="C22" s="72">
        <v>7</v>
      </c>
      <c r="D22" s="73">
        <v>32044049</v>
      </c>
      <c r="E22" s="74" t="s">
        <v>202</v>
      </c>
      <c r="F22" s="75">
        <v>32045961</v>
      </c>
      <c r="G22" s="76" t="s">
        <v>41</v>
      </c>
      <c r="H22" s="13" t="s">
        <v>48</v>
      </c>
      <c r="I22" s="29" t="s">
        <v>101</v>
      </c>
      <c r="J22" s="29">
        <v>2</v>
      </c>
      <c r="K22" s="30">
        <v>35520</v>
      </c>
      <c r="L22" s="30">
        <v>26662</v>
      </c>
      <c r="M22" s="31">
        <f t="shared" ca="1" si="0"/>
        <v>29</v>
      </c>
      <c r="N22" s="32">
        <f t="shared" ca="1" si="1"/>
        <v>53.539726027397258</v>
      </c>
      <c r="O22" s="33">
        <f ca="1">VLOOKUP(M22,Edad_Antigüedad!$M$2:$N$36,2)</f>
        <v>30</v>
      </c>
      <c r="P22" s="33" t="s">
        <v>129</v>
      </c>
      <c r="Q22" s="41">
        <v>0</v>
      </c>
      <c r="R22" s="41">
        <v>0</v>
      </c>
      <c r="S22" s="41">
        <v>0</v>
      </c>
      <c r="T22" s="41">
        <v>0</v>
      </c>
      <c r="U22" s="41">
        <v>1</v>
      </c>
      <c r="V22" s="41">
        <v>1</v>
      </c>
      <c r="W22" s="41">
        <v>1</v>
      </c>
      <c r="X22" s="41">
        <v>1</v>
      </c>
      <c r="Y22" s="41">
        <v>1</v>
      </c>
      <c r="Z22" s="41">
        <v>1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/>
      <c r="AJ22" s="41"/>
      <c r="AK22" s="41"/>
      <c r="AL22" s="41"/>
      <c r="AM22" s="41"/>
      <c r="AN22" s="41"/>
      <c r="AO22" s="45"/>
      <c r="AP22" s="46"/>
      <c r="AQ22" s="46"/>
      <c r="AR22" s="46"/>
      <c r="AS22" s="46"/>
      <c r="AT22" s="46"/>
      <c r="AU22" s="46"/>
      <c r="AV22" s="110"/>
      <c r="AW22" s="110"/>
      <c r="AX22" s="37"/>
      <c r="AY22" s="37"/>
      <c r="AZ22" s="37"/>
      <c r="BA22" s="38"/>
      <c r="BB22" s="38"/>
    </row>
    <row r="23" spans="1:54" ht="15.75" x14ac:dyDescent="0.25">
      <c r="A23" s="42" t="s">
        <v>10</v>
      </c>
      <c r="B23" s="25" t="s">
        <v>35</v>
      </c>
      <c r="C23" s="72">
        <v>9</v>
      </c>
      <c r="D23" s="42">
        <v>32044235</v>
      </c>
      <c r="E23" s="13" t="s">
        <v>221</v>
      </c>
      <c r="F23" s="73">
        <v>32044049</v>
      </c>
      <c r="G23" s="76" t="s">
        <v>202</v>
      </c>
      <c r="H23" s="13" t="s">
        <v>48</v>
      </c>
      <c r="I23" s="42" t="s">
        <v>213</v>
      </c>
      <c r="J23" s="29">
        <v>1</v>
      </c>
      <c r="K23" s="30">
        <v>35734</v>
      </c>
      <c r="L23" s="30">
        <v>25891</v>
      </c>
      <c r="M23" s="31">
        <f t="shared" ca="1" si="0"/>
        <v>29</v>
      </c>
      <c r="N23" s="32">
        <f t="shared" ca="1" si="1"/>
        <v>55.652054794520545</v>
      </c>
      <c r="O23" s="33">
        <f ca="1">VLOOKUP(M23,Edad_Antigüedad!$M$2:$N$36,2)</f>
        <v>30</v>
      </c>
      <c r="P23" s="33" t="s">
        <v>129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1</v>
      </c>
      <c r="X23" s="41">
        <v>1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1"/>
      <c r="AJ23" s="41"/>
      <c r="AK23" s="41"/>
      <c r="AL23" s="41"/>
      <c r="AM23" s="41"/>
      <c r="AN23" s="41"/>
      <c r="AO23" s="45"/>
      <c r="AP23" s="46"/>
      <c r="AQ23" s="46"/>
      <c r="AR23" s="46"/>
      <c r="AS23" s="46"/>
      <c r="AT23" s="46"/>
      <c r="AU23" s="46"/>
      <c r="AV23" s="110"/>
      <c r="AW23" s="110"/>
      <c r="AX23" s="37"/>
      <c r="AY23" s="37"/>
      <c r="AZ23" s="37"/>
      <c r="BA23" s="38"/>
      <c r="BB23" s="38"/>
    </row>
    <row r="24" spans="1:54" ht="15.75" x14ac:dyDescent="0.25">
      <c r="A24" s="42" t="s">
        <v>10</v>
      </c>
      <c r="B24" s="42" t="s">
        <v>192</v>
      </c>
      <c r="C24" s="42" t="s">
        <v>184</v>
      </c>
      <c r="D24" s="73">
        <v>32044514</v>
      </c>
      <c r="E24" s="74" t="s">
        <v>223</v>
      </c>
      <c r="F24" s="73">
        <v>32044049</v>
      </c>
      <c r="G24" s="76" t="s">
        <v>202</v>
      </c>
      <c r="H24" s="13" t="s">
        <v>48</v>
      </c>
      <c r="I24" s="42" t="s">
        <v>222</v>
      </c>
      <c r="J24" s="29">
        <v>1</v>
      </c>
      <c r="K24" s="30">
        <v>36136</v>
      </c>
      <c r="L24" s="30">
        <v>26895</v>
      </c>
      <c r="M24" s="31">
        <f t="shared" ca="1" si="0"/>
        <v>28</v>
      </c>
      <c r="N24" s="32">
        <f t="shared" ca="1" si="1"/>
        <v>52.901369863013699</v>
      </c>
      <c r="O24" s="33">
        <f ca="1">VLOOKUP(M24,Edad_Antigüedad!$M$2:$N$36,2)</f>
        <v>30</v>
      </c>
      <c r="P24" s="33" t="s">
        <v>109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1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5"/>
      <c r="AP24" s="46"/>
      <c r="AQ24" s="46"/>
      <c r="AR24" s="46"/>
      <c r="AS24" s="46"/>
      <c r="AT24" s="46"/>
      <c r="AU24" s="46"/>
      <c r="AV24" s="110"/>
      <c r="AW24" s="110"/>
      <c r="AX24" s="37"/>
      <c r="AY24" s="37"/>
      <c r="AZ24" s="37"/>
      <c r="BA24" s="38"/>
      <c r="BB24" s="38"/>
    </row>
    <row r="25" spans="1:54" ht="15.75" x14ac:dyDescent="0.25">
      <c r="A25" s="42" t="s">
        <v>10</v>
      </c>
      <c r="B25" s="42" t="s">
        <v>183</v>
      </c>
      <c r="C25" s="42" t="s">
        <v>184</v>
      </c>
      <c r="D25" s="42">
        <v>32044751</v>
      </c>
      <c r="E25" s="13" t="s">
        <v>224</v>
      </c>
      <c r="F25" s="73">
        <v>32044049</v>
      </c>
      <c r="G25" s="76" t="s">
        <v>202</v>
      </c>
      <c r="H25" s="13" t="s">
        <v>48</v>
      </c>
      <c r="I25" s="42" t="s">
        <v>187</v>
      </c>
      <c r="J25" s="29">
        <v>1</v>
      </c>
      <c r="K25" s="30">
        <v>36343</v>
      </c>
      <c r="L25" s="30">
        <v>29759</v>
      </c>
      <c r="M25" s="31">
        <f t="shared" ca="1" si="0"/>
        <v>27</v>
      </c>
      <c r="N25" s="32">
        <f t="shared" ca="1" si="1"/>
        <v>45.054794520547944</v>
      </c>
      <c r="O25" s="33">
        <f ca="1">VLOOKUP(M25,Edad_Antigüedad!$M$2:$N$36,2)</f>
        <v>30</v>
      </c>
      <c r="P25" s="33" t="s">
        <v>109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1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5"/>
      <c r="AP25" s="46"/>
      <c r="AQ25" s="46"/>
      <c r="AR25" s="46"/>
      <c r="AS25" s="46"/>
      <c r="AT25" s="46"/>
      <c r="AU25" s="46"/>
      <c r="AV25" s="110"/>
      <c r="AW25" s="110"/>
      <c r="AX25" s="37"/>
      <c r="AY25" s="37"/>
      <c r="AZ25" s="37"/>
      <c r="BA25" s="38"/>
      <c r="BB25" s="38"/>
    </row>
    <row r="26" spans="1:54" ht="15.75" x14ac:dyDescent="0.25">
      <c r="A26" s="42" t="s">
        <v>10</v>
      </c>
      <c r="B26" s="42" t="s">
        <v>189</v>
      </c>
      <c r="C26" s="42" t="s">
        <v>184</v>
      </c>
      <c r="D26" s="80">
        <v>32044760</v>
      </c>
      <c r="E26" s="81" t="s">
        <v>225</v>
      </c>
      <c r="F26" s="73">
        <v>32044049</v>
      </c>
      <c r="G26" s="76" t="s">
        <v>202</v>
      </c>
      <c r="H26" s="13" t="s">
        <v>48</v>
      </c>
      <c r="I26" s="42" t="s">
        <v>191</v>
      </c>
      <c r="J26" s="29">
        <v>1</v>
      </c>
      <c r="K26" s="30">
        <v>36351</v>
      </c>
      <c r="L26" s="30">
        <v>25328</v>
      </c>
      <c r="M26" s="31">
        <f t="shared" ca="1" si="0"/>
        <v>27</v>
      </c>
      <c r="N26" s="32">
        <f t="shared" ca="1" si="1"/>
        <v>57.194520547945203</v>
      </c>
      <c r="O26" s="33">
        <f ca="1">VLOOKUP(M26,Edad_Antigüedad!$M$2:$N$36,2)</f>
        <v>30</v>
      </c>
      <c r="P26" s="33" t="s">
        <v>109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1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5"/>
      <c r="AP26" s="46"/>
      <c r="AQ26" s="46"/>
      <c r="AR26" s="46"/>
      <c r="AS26" s="46"/>
      <c r="AT26" s="46"/>
      <c r="AU26" s="46"/>
      <c r="AV26" s="110"/>
      <c r="AW26" s="110"/>
      <c r="AX26" s="37"/>
      <c r="AY26" s="37"/>
      <c r="AZ26" s="37"/>
      <c r="BA26" s="38"/>
      <c r="BB26" s="38"/>
    </row>
    <row r="27" spans="1:54" ht="15.75" x14ac:dyDescent="0.25">
      <c r="A27" s="42" t="s">
        <v>10</v>
      </c>
      <c r="B27" s="42" t="s">
        <v>189</v>
      </c>
      <c r="C27" s="42" t="s">
        <v>184</v>
      </c>
      <c r="D27" s="73">
        <v>32044771</v>
      </c>
      <c r="E27" s="74" t="s">
        <v>227</v>
      </c>
      <c r="F27" s="73">
        <v>32044049</v>
      </c>
      <c r="G27" s="76" t="s">
        <v>202</v>
      </c>
      <c r="H27" s="13" t="s">
        <v>48</v>
      </c>
      <c r="I27" s="42" t="s">
        <v>191</v>
      </c>
      <c r="J27" s="29">
        <v>1</v>
      </c>
      <c r="K27" s="30">
        <v>36368</v>
      </c>
      <c r="L27" s="30">
        <v>28409</v>
      </c>
      <c r="M27" s="31">
        <f t="shared" ca="1" si="0"/>
        <v>27</v>
      </c>
      <c r="N27" s="32">
        <f t="shared" ca="1" si="1"/>
        <v>48.753424657534246</v>
      </c>
      <c r="O27" s="33">
        <f ca="1">VLOOKUP(M27,Edad_Antigüedad!$M$2:$N$36,2)</f>
        <v>30</v>
      </c>
      <c r="P27" s="33" t="s">
        <v>109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1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5"/>
      <c r="AP27" s="46"/>
      <c r="AQ27" s="46"/>
      <c r="AR27" s="46"/>
      <c r="AS27" s="46"/>
      <c r="AT27" s="46"/>
      <c r="AU27" s="46"/>
      <c r="AV27" s="110"/>
      <c r="AW27" s="110"/>
      <c r="AX27" s="37"/>
      <c r="AY27" s="37"/>
      <c r="AZ27" s="37"/>
      <c r="BA27" s="38"/>
      <c r="BB27" s="38"/>
    </row>
    <row r="28" spans="1:54" ht="15.75" x14ac:dyDescent="0.25">
      <c r="A28" s="42" t="s">
        <v>10</v>
      </c>
      <c r="B28" s="42" t="s">
        <v>204</v>
      </c>
      <c r="C28" s="42" t="s">
        <v>184</v>
      </c>
      <c r="D28" s="80">
        <v>32045574</v>
      </c>
      <c r="E28" s="81" t="s">
        <v>232</v>
      </c>
      <c r="F28" s="73">
        <v>32044049</v>
      </c>
      <c r="G28" s="76" t="s">
        <v>202</v>
      </c>
      <c r="H28" s="13" t="s">
        <v>48</v>
      </c>
      <c r="I28" s="42" t="s">
        <v>206</v>
      </c>
      <c r="J28" s="29">
        <v>1</v>
      </c>
      <c r="K28" s="30">
        <v>37298</v>
      </c>
      <c r="L28" s="30">
        <v>27234</v>
      </c>
      <c r="M28" s="31">
        <f t="shared" ca="1" si="0"/>
        <v>24</v>
      </c>
      <c r="N28" s="32">
        <f t="shared" ca="1" si="1"/>
        <v>51.972602739726028</v>
      </c>
      <c r="O28" s="33">
        <f ca="1">VLOOKUP(M28,Edad_Antigüedad!$M$2:$N$36,2)</f>
        <v>28</v>
      </c>
      <c r="P28" s="33" t="s">
        <v>109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5"/>
      <c r="AP28" s="46"/>
      <c r="AQ28" s="46"/>
      <c r="AR28" s="46"/>
      <c r="AS28" s="46"/>
      <c r="AT28" s="46"/>
      <c r="AU28" s="46"/>
      <c r="AV28" s="110"/>
      <c r="AW28" s="110"/>
      <c r="AX28" s="37"/>
      <c r="AY28" s="37"/>
      <c r="AZ28" s="37"/>
      <c r="BA28" s="38"/>
      <c r="BB28" s="38"/>
    </row>
    <row r="29" spans="1:54" ht="15.75" x14ac:dyDescent="0.25">
      <c r="A29" s="42" t="s">
        <v>10</v>
      </c>
      <c r="B29" s="42" t="s">
        <v>214</v>
      </c>
      <c r="C29" s="42" t="s">
        <v>184</v>
      </c>
      <c r="D29" s="42">
        <v>32111307</v>
      </c>
      <c r="E29" s="13" t="s">
        <v>233</v>
      </c>
      <c r="F29" s="73">
        <v>32044049</v>
      </c>
      <c r="G29" s="76" t="s">
        <v>202</v>
      </c>
      <c r="H29" s="13" t="s">
        <v>48</v>
      </c>
      <c r="I29" s="42" t="s">
        <v>216</v>
      </c>
      <c r="J29" s="29">
        <v>1</v>
      </c>
      <c r="K29" s="30">
        <v>41092</v>
      </c>
      <c r="L29" s="30">
        <v>33262</v>
      </c>
      <c r="M29" s="31">
        <f t="shared" ca="1" si="0"/>
        <v>14</v>
      </c>
      <c r="N29" s="32">
        <f t="shared" ca="1" si="1"/>
        <v>35.457534246575342</v>
      </c>
      <c r="O29" s="33">
        <f ca="1">VLOOKUP(M29,Edad_Antigüedad!$M$2:$N$36,2)</f>
        <v>24</v>
      </c>
      <c r="P29" s="33" t="s">
        <v>126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1</v>
      </c>
      <c r="X29" s="41">
        <v>1</v>
      </c>
      <c r="Y29" s="41">
        <v>0</v>
      </c>
      <c r="Z29" s="41">
        <v>0</v>
      </c>
      <c r="AA29" s="41">
        <v>0</v>
      </c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5"/>
      <c r="AP29" s="46"/>
      <c r="AQ29" s="46"/>
      <c r="AR29" s="46"/>
      <c r="AS29" s="46"/>
      <c r="AT29" s="46"/>
      <c r="AU29" s="46"/>
      <c r="AV29" s="110"/>
      <c r="AW29" s="110"/>
      <c r="AX29" s="37"/>
      <c r="AY29" s="37"/>
      <c r="AZ29" s="37"/>
      <c r="BA29" s="38"/>
      <c r="BB29" s="38"/>
    </row>
    <row r="30" spans="1:54" ht="15.75" x14ac:dyDescent="0.25">
      <c r="A30" s="42" t="s">
        <v>10</v>
      </c>
      <c r="B30" s="42" t="s">
        <v>236</v>
      </c>
      <c r="C30" s="42" t="s">
        <v>184</v>
      </c>
      <c r="D30" s="73">
        <v>32142953</v>
      </c>
      <c r="E30" s="74" t="s">
        <v>245</v>
      </c>
      <c r="F30" s="73">
        <v>32044049</v>
      </c>
      <c r="G30" s="76" t="s">
        <v>202</v>
      </c>
      <c r="H30" s="13" t="s">
        <v>48</v>
      </c>
      <c r="I30" s="42" t="s">
        <v>198</v>
      </c>
      <c r="J30" s="29">
        <v>1</v>
      </c>
      <c r="K30" s="30">
        <v>42303</v>
      </c>
      <c r="L30" s="30">
        <v>31740</v>
      </c>
      <c r="M30" s="31">
        <f t="shared" ca="1" si="0"/>
        <v>11</v>
      </c>
      <c r="N30" s="32">
        <f t="shared" ca="1" si="1"/>
        <v>39.627397260273973</v>
      </c>
      <c r="O30" s="33">
        <f ca="1">VLOOKUP(M30,Edad_Antigüedad!$M$2:$N$36,2)</f>
        <v>24</v>
      </c>
      <c r="P30" s="33" t="s">
        <v>109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1</v>
      </c>
      <c r="X30" s="41">
        <v>1</v>
      </c>
      <c r="Y30" s="41">
        <v>0</v>
      </c>
      <c r="Z30" s="41">
        <v>0</v>
      </c>
      <c r="AA30" s="41">
        <v>0</v>
      </c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5"/>
      <c r="AP30" s="46"/>
      <c r="AQ30" s="46"/>
      <c r="AR30" s="46"/>
      <c r="AS30" s="46"/>
      <c r="AT30" s="46"/>
      <c r="AU30" s="46"/>
      <c r="AV30" s="110"/>
      <c r="AW30" s="110"/>
      <c r="AX30" s="37"/>
      <c r="AY30" s="37"/>
      <c r="AZ30" s="37"/>
      <c r="BA30" s="38"/>
      <c r="BB30" s="38"/>
    </row>
    <row r="31" spans="1:54" ht="15.75" x14ac:dyDescent="0.25">
      <c r="A31" s="42" t="s">
        <v>10</v>
      </c>
      <c r="B31" s="25" t="s">
        <v>35</v>
      </c>
      <c r="C31" s="72">
        <v>9</v>
      </c>
      <c r="D31" s="75">
        <v>32146003</v>
      </c>
      <c r="E31" s="82" t="s">
        <v>247</v>
      </c>
      <c r="F31" s="73">
        <v>32044049</v>
      </c>
      <c r="G31" s="76" t="s">
        <v>202</v>
      </c>
      <c r="H31" s="13" t="s">
        <v>48</v>
      </c>
      <c r="I31" s="42" t="s">
        <v>213</v>
      </c>
      <c r="J31" s="29">
        <v>2</v>
      </c>
      <c r="K31" s="30">
        <v>42402</v>
      </c>
      <c r="L31" s="30">
        <v>35454</v>
      </c>
      <c r="M31" s="31">
        <f t="shared" ca="1" si="0"/>
        <v>10</v>
      </c>
      <c r="N31" s="32">
        <f t="shared" ca="1" si="1"/>
        <v>29.452054794520549</v>
      </c>
      <c r="O31" s="33">
        <f ca="1">VLOOKUP(M31,Edad_Antigüedad!$M$2:$N$36,2)</f>
        <v>22</v>
      </c>
      <c r="P31" s="33" t="s">
        <v>129</v>
      </c>
      <c r="Q31" s="41">
        <v>0</v>
      </c>
      <c r="R31" s="41">
        <v>0</v>
      </c>
      <c r="S31" s="41">
        <v>0</v>
      </c>
      <c r="T31" s="41">
        <v>0</v>
      </c>
      <c r="U31" s="41">
        <v>1</v>
      </c>
      <c r="V31" s="41">
        <v>1</v>
      </c>
      <c r="W31" s="41">
        <v>1</v>
      </c>
      <c r="X31" s="41">
        <v>1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/>
      <c r="AJ31" s="41"/>
      <c r="AK31" s="41"/>
      <c r="AL31" s="41"/>
      <c r="AM31" s="41"/>
      <c r="AN31" s="41"/>
      <c r="AO31" s="45"/>
      <c r="AP31" s="46"/>
      <c r="AQ31" s="46"/>
      <c r="AR31" s="46"/>
      <c r="AS31" s="46"/>
      <c r="AT31" s="46"/>
      <c r="AU31" s="46"/>
      <c r="AV31" s="110"/>
      <c r="AW31" s="110"/>
      <c r="AX31" s="37"/>
      <c r="AY31" s="37"/>
      <c r="AZ31" s="37"/>
      <c r="BA31" s="38"/>
      <c r="BB31" s="38"/>
    </row>
    <row r="32" spans="1:54" ht="15.75" x14ac:dyDescent="0.25">
      <c r="A32" s="42" t="s">
        <v>10</v>
      </c>
      <c r="B32" s="25" t="s">
        <v>35</v>
      </c>
      <c r="C32" s="72">
        <v>9</v>
      </c>
      <c r="D32" s="75">
        <v>32224377</v>
      </c>
      <c r="E32" s="82" t="s">
        <v>250</v>
      </c>
      <c r="F32" s="73">
        <v>32044049</v>
      </c>
      <c r="G32" s="76" t="s">
        <v>202</v>
      </c>
      <c r="H32" s="13" t="s">
        <v>48</v>
      </c>
      <c r="I32" s="42" t="s">
        <v>213</v>
      </c>
      <c r="J32" s="29">
        <v>2</v>
      </c>
      <c r="K32" s="30">
        <v>45231</v>
      </c>
      <c r="L32" s="30">
        <v>36134</v>
      </c>
      <c r="M32" s="31">
        <f t="shared" ca="1" si="0"/>
        <v>3</v>
      </c>
      <c r="N32" s="32">
        <f t="shared" ca="1" si="1"/>
        <v>27.589041095890412</v>
      </c>
      <c r="O32" s="33">
        <f ca="1">VLOOKUP(M32,Edad_Antigüedad!$M$2:$N$36,2)</f>
        <v>16</v>
      </c>
      <c r="P32" s="33" t="s">
        <v>129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1</v>
      </c>
      <c r="Y32" s="41">
        <v>0</v>
      </c>
      <c r="Z32" s="41">
        <v>0</v>
      </c>
      <c r="AA32" s="41">
        <v>0</v>
      </c>
      <c r="AB32" s="41">
        <v>0</v>
      </c>
      <c r="AC32" s="41">
        <v>0</v>
      </c>
      <c r="AD32" s="41">
        <v>0</v>
      </c>
      <c r="AE32" s="41">
        <v>0</v>
      </c>
      <c r="AF32" s="41">
        <v>0</v>
      </c>
      <c r="AG32" s="41">
        <v>0</v>
      </c>
      <c r="AH32" s="41">
        <v>0</v>
      </c>
      <c r="AI32" s="41"/>
      <c r="AJ32" s="41"/>
      <c r="AK32" s="41"/>
      <c r="AL32" s="41"/>
      <c r="AM32" s="41"/>
      <c r="AN32" s="41"/>
      <c r="AO32" s="45"/>
      <c r="AP32" s="46"/>
      <c r="AQ32" s="46"/>
      <c r="AR32" s="46"/>
      <c r="AS32" s="46"/>
      <c r="AT32" s="46"/>
      <c r="AU32" s="46"/>
      <c r="AV32" s="110"/>
      <c r="AW32" s="110"/>
      <c r="AX32" s="37"/>
      <c r="AY32" s="37"/>
      <c r="AZ32" s="37"/>
      <c r="BA32" s="38"/>
      <c r="BB32" s="38"/>
    </row>
    <row r="33" spans="1:54" ht="15.75" x14ac:dyDescent="0.25">
      <c r="A33" s="42" t="s">
        <v>10</v>
      </c>
      <c r="B33" s="42" t="s">
        <v>236</v>
      </c>
      <c r="C33" s="42" t="s">
        <v>184</v>
      </c>
      <c r="D33" s="43">
        <v>32197833</v>
      </c>
      <c r="E33" s="76" t="s">
        <v>254</v>
      </c>
      <c r="F33" s="73">
        <v>32044049</v>
      </c>
      <c r="G33" s="76" t="s">
        <v>202</v>
      </c>
      <c r="H33" s="13" t="s">
        <v>48</v>
      </c>
      <c r="I33" s="42" t="s">
        <v>187</v>
      </c>
      <c r="J33" s="29">
        <v>1</v>
      </c>
      <c r="K33" s="30">
        <v>44428</v>
      </c>
      <c r="L33" s="30">
        <v>35543</v>
      </c>
      <c r="M33" s="31">
        <f t="shared" ca="1" si="0"/>
        <v>5</v>
      </c>
      <c r="N33" s="32">
        <f t="shared" ca="1" si="1"/>
        <v>29.208219178082192</v>
      </c>
      <c r="O33" s="33">
        <f ca="1">VLOOKUP(M33,Edad_Antigüedad!$M$2:$N$36,2)</f>
        <v>20</v>
      </c>
      <c r="P33" s="33" t="s">
        <v>126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1</v>
      </c>
      <c r="X33" s="41">
        <v>0</v>
      </c>
      <c r="Y33" s="41">
        <v>0</v>
      </c>
      <c r="Z33" s="41">
        <v>0</v>
      </c>
      <c r="AA33" s="41">
        <v>0</v>
      </c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5"/>
      <c r="AP33" s="46"/>
      <c r="AQ33" s="46"/>
      <c r="AR33" s="46"/>
      <c r="AS33" s="46"/>
      <c r="AT33" s="46"/>
      <c r="AU33" s="46"/>
      <c r="AV33" s="110"/>
      <c r="AW33" s="110"/>
      <c r="AX33" s="37"/>
      <c r="AY33" s="37"/>
      <c r="AZ33" s="37"/>
      <c r="BA33" s="38"/>
      <c r="BB33" s="38"/>
    </row>
    <row r="34" spans="1:54" ht="15.75" x14ac:dyDescent="0.25">
      <c r="A34" s="42" t="s">
        <v>10</v>
      </c>
      <c r="B34" s="42" t="s">
        <v>236</v>
      </c>
      <c r="C34" s="42" t="s">
        <v>184</v>
      </c>
      <c r="D34" s="43">
        <v>32209921</v>
      </c>
      <c r="E34" s="76" t="s">
        <v>272</v>
      </c>
      <c r="F34" s="73">
        <v>32044049</v>
      </c>
      <c r="G34" s="76" t="s">
        <v>202</v>
      </c>
      <c r="H34" s="13" t="s">
        <v>48</v>
      </c>
      <c r="I34" s="42" t="s">
        <v>231</v>
      </c>
      <c r="J34" s="29">
        <v>1</v>
      </c>
      <c r="K34" s="30">
        <v>44687</v>
      </c>
      <c r="L34" s="30">
        <v>36501</v>
      </c>
      <c r="M34" s="31">
        <f t="shared" ref="M34:M65" ca="1" si="2">ROUND((($K$2-K34)/365),0)</f>
        <v>4</v>
      </c>
      <c r="N34" s="32">
        <f t="shared" ref="N34:N65" ca="1" si="3">($K$2-L34)/365</f>
        <v>26.583561643835615</v>
      </c>
      <c r="O34" s="33">
        <f ca="1">VLOOKUP(M34,Edad_Antigüedad!$M$2:$N$36,2)</f>
        <v>18</v>
      </c>
      <c r="P34" s="33" t="s">
        <v>126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1</v>
      </c>
      <c r="X34" s="41">
        <v>0</v>
      </c>
      <c r="Y34" s="41">
        <v>0</v>
      </c>
      <c r="Z34" s="41">
        <v>0</v>
      </c>
      <c r="AA34" s="41">
        <v>0</v>
      </c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5"/>
      <c r="AP34" s="46"/>
      <c r="AQ34" s="46"/>
      <c r="AR34" s="46"/>
      <c r="AS34" s="46"/>
      <c r="AT34" s="46"/>
      <c r="AU34" s="46"/>
      <c r="AV34" s="110"/>
      <c r="AW34" s="110"/>
      <c r="AX34" s="37"/>
      <c r="AY34" s="37"/>
      <c r="AZ34" s="37"/>
      <c r="BA34" s="38"/>
      <c r="BB34" s="38"/>
    </row>
    <row r="35" spans="1:54" ht="15.75" x14ac:dyDescent="0.25">
      <c r="A35" s="42" t="s">
        <v>10</v>
      </c>
      <c r="B35" s="25" t="s">
        <v>35</v>
      </c>
      <c r="C35" s="72">
        <v>9</v>
      </c>
      <c r="D35" s="43">
        <v>32233327</v>
      </c>
      <c r="E35" s="76" t="s">
        <v>273</v>
      </c>
      <c r="F35" s="73">
        <v>32044049</v>
      </c>
      <c r="G35" s="76" t="s">
        <v>202</v>
      </c>
      <c r="H35" s="13" t="s">
        <v>48</v>
      </c>
      <c r="I35" s="42" t="s">
        <v>213</v>
      </c>
      <c r="J35" s="29">
        <v>1</v>
      </c>
      <c r="K35" s="30">
        <v>45705</v>
      </c>
      <c r="L35" s="30">
        <v>36793</v>
      </c>
      <c r="M35" s="31">
        <f t="shared" ca="1" si="2"/>
        <v>1</v>
      </c>
      <c r="N35" s="32">
        <f t="shared" ca="1" si="3"/>
        <v>25.783561643835615</v>
      </c>
      <c r="O35" s="33">
        <f ca="1">VLOOKUP(M35,Edad_Antigüedad!$M$2:$N$36,2)</f>
        <v>12</v>
      </c>
      <c r="P35" s="33" t="s">
        <v>129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1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5"/>
      <c r="AP35" s="46"/>
      <c r="AQ35" s="46"/>
      <c r="AR35" s="46"/>
      <c r="AS35" s="46"/>
      <c r="AT35" s="46"/>
      <c r="AU35" s="46"/>
      <c r="AV35" s="110"/>
      <c r="AW35" s="110"/>
      <c r="AX35" s="37"/>
      <c r="AY35" s="37"/>
      <c r="AZ35" s="37"/>
      <c r="BA35" s="38"/>
      <c r="BB35" s="38"/>
    </row>
    <row r="36" spans="1:54" ht="15.75" x14ac:dyDescent="0.25">
      <c r="A36" s="24" t="s">
        <v>9</v>
      </c>
      <c r="B36" s="25" t="s">
        <v>31</v>
      </c>
      <c r="C36" s="26">
        <v>7</v>
      </c>
      <c r="D36" s="29">
        <v>32045014</v>
      </c>
      <c r="E36" s="39" t="s">
        <v>127</v>
      </c>
      <c r="F36" s="28">
        <v>32132858</v>
      </c>
      <c r="G36" s="29" t="s">
        <v>30</v>
      </c>
      <c r="H36" s="35" t="s">
        <v>23</v>
      </c>
      <c r="I36" s="13" t="s">
        <v>128</v>
      </c>
      <c r="J36" s="29">
        <v>1</v>
      </c>
      <c r="K36" s="30">
        <v>36706</v>
      </c>
      <c r="L36" s="30">
        <v>27693</v>
      </c>
      <c r="M36" s="31">
        <f t="shared" ca="1" si="2"/>
        <v>26</v>
      </c>
      <c r="N36" s="32">
        <f t="shared" ca="1" si="3"/>
        <v>50.715068493150682</v>
      </c>
      <c r="O36" s="33">
        <f ca="1">VLOOKUP(M36,Edad_Antigüedad!$M$2:$N$36,2)</f>
        <v>30</v>
      </c>
      <c r="P36" s="34" t="s">
        <v>129</v>
      </c>
      <c r="Q36" s="35"/>
      <c r="R36" s="35">
        <v>1</v>
      </c>
      <c r="S36" s="35">
        <v>1</v>
      </c>
      <c r="T36" s="35">
        <v>1</v>
      </c>
      <c r="U36" s="35">
        <v>1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  <c r="AI36" s="35">
        <v>0</v>
      </c>
      <c r="AJ36" s="35">
        <v>0</v>
      </c>
      <c r="AK36" s="35">
        <v>0</v>
      </c>
      <c r="AL36" s="35">
        <v>0</v>
      </c>
      <c r="AM36" s="35">
        <v>0</v>
      </c>
      <c r="AN36" s="35">
        <v>0</v>
      </c>
      <c r="AO36" s="57">
        <v>0</v>
      </c>
      <c r="AP36" s="35"/>
      <c r="AQ36" s="35"/>
      <c r="AR36" s="35"/>
      <c r="AS36" s="35"/>
      <c r="AT36" s="35"/>
      <c r="AU36" s="35"/>
      <c r="AV36" s="110"/>
      <c r="AW36" s="110"/>
      <c r="AX36" s="37"/>
      <c r="AY36" s="37"/>
      <c r="AZ36" s="37"/>
      <c r="BA36" s="38"/>
      <c r="BB36" s="38"/>
    </row>
    <row r="37" spans="1:54" ht="15.75" x14ac:dyDescent="0.25">
      <c r="A37" s="42" t="s">
        <v>10</v>
      </c>
      <c r="B37" s="42" t="s">
        <v>40</v>
      </c>
      <c r="C37" s="72">
        <v>7</v>
      </c>
      <c r="D37" s="73">
        <v>32046063</v>
      </c>
      <c r="E37" s="74" t="s">
        <v>188</v>
      </c>
      <c r="F37" s="75">
        <v>32045961</v>
      </c>
      <c r="G37" s="76" t="s">
        <v>41</v>
      </c>
      <c r="H37" s="35" t="s">
        <v>23</v>
      </c>
      <c r="I37" s="42" t="s">
        <v>128</v>
      </c>
      <c r="J37" s="29">
        <v>1</v>
      </c>
      <c r="K37" s="30">
        <v>38201</v>
      </c>
      <c r="L37" s="30">
        <v>29670</v>
      </c>
      <c r="M37" s="31">
        <f t="shared" ca="1" si="2"/>
        <v>22</v>
      </c>
      <c r="N37" s="32">
        <f t="shared" ca="1" si="3"/>
        <v>45.298630136986304</v>
      </c>
      <c r="O37" s="33">
        <f ca="1">VLOOKUP(M37,Edad_Antigüedad!$M$2:$N$36,2)</f>
        <v>28</v>
      </c>
      <c r="P37" s="33" t="s">
        <v>129</v>
      </c>
      <c r="Q37" s="41">
        <v>1</v>
      </c>
      <c r="R37" s="41">
        <v>0</v>
      </c>
      <c r="S37" s="41">
        <v>0</v>
      </c>
      <c r="T37" s="41">
        <v>0</v>
      </c>
      <c r="U37" s="41">
        <v>1</v>
      </c>
      <c r="V37" s="41">
        <v>1</v>
      </c>
      <c r="W37" s="41">
        <v>1</v>
      </c>
      <c r="X37" s="41">
        <v>1</v>
      </c>
      <c r="Y37" s="41">
        <v>1</v>
      </c>
      <c r="Z37" s="41">
        <v>0</v>
      </c>
      <c r="AA37" s="41">
        <v>1</v>
      </c>
      <c r="AB37" s="41">
        <v>0</v>
      </c>
      <c r="AC37" s="41">
        <v>0</v>
      </c>
      <c r="AD37" s="41">
        <v>0</v>
      </c>
      <c r="AE37" s="41">
        <v>0</v>
      </c>
      <c r="AF37" s="41">
        <v>0</v>
      </c>
      <c r="AG37" s="41">
        <v>0</v>
      </c>
      <c r="AH37" s="41">
        <v>0</v>
      </c>
      <c r="AI37" s="41"/>
      <c r="AJ37" s="41"/>
      <c r="AK37" s="41"/>
      <c r="AL37" s="41"/>
      <c r="AM37" s="41"/>
      <c r="AN37" s="45"/>
      <c r="AO37" s="103"/>
      <c r="AP37" s="46"/>
      <c r="AQ37" s="46"/>
      <c r="AR37" s="46"/>
      <c r="AS37" s="46"/>
      <c r="AT37" s="46"/>
      <c r="AU37" s="46"/>
      <c r="AV37" s="110"/>
      <c r="AW37" s="110"/>
      <c r="AX37" s="37"/>
      <c r="AY37" s="37"/>
      <c r="AZ37" s="37"/>
      <c r="BA37" s="38"/>
      <c r="BB37" s="38"/>
    </row>
    <row r="38" spans="1:54" ht="15.75" x14ac:dyDescent="0.25">
      <c r="A38" s="42" t="s">
        <v>10</v>
      </c>
      <c r="B38" s="42" t="s">
        <v>40</v>
      </c>
      <c r="C38" s="72">
        <v>7</v>
      </c>
      <c r="D38" s="73">
        <v>32052750</v>
      </c>
      <c r="E38" s="74" t="s">
        <v>276</v>
      </c>
      <c r="F38" s="75">
        <v>32132858</v>
      </c>
      <c r="G38" s="83" t="s">
        <v>30</v>
      </c>
      <c r="H38" s="35" t="s">
        <v>23</v>
      </c>
      <c r="I38" s="29" t="s">
        <v>277</v>
      </c>
      <c r="J38" s="29">
        <v>2</v>
      </c>
      <c r="K38" s="30">
        <v>38903</v>
      </c>
      <c r="L38" s="30">
        <v>28306</v>
      </c>
      <c r="M38" s="31">
        <f t="shared" ca="1" si="2"/>
        <v>20</v>
      </c>
      <c r="N38" s="32">
        <f t="shared" ca="1" si="3"/>
        <v>49.035616438356165</v>
      </c>
      <c r="O38" s="33">
        <f ca="1">VLOOKUP(M38,Edad_Antigüedad!$M$2:$N$36,2)</f>
        <v>26</v>
      </c>
      <c r="P38" s="33" t="s">
        <v>129</v>
      </c>
      <c r="Q38" s="41">
        <v>0</v>
      </c>
      <c r="R38" s="41">
        <v>0</v>
      </c>
      <c r="S38" s="41">
        <v>0</v>
      </c>
      <c r="T38" s="41">
        <v>0</v>
      </c>
      <c r="U38" s="41">
        <v>1</v>
      </c>
      <c r="V38" s="41">
        <v>1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  <c r="AC38" s="41">
        <v>0</v>
      </c>
      <c r="AD38" s="41">
        <v>0</v>
      </c>
      <c r="AE38" s="41">
        <v>0</v>
      </c>
      <c r="AF38" s="41">
        <v>0</v>
      </c>
      <c r="AG38" s="41">
        <v>0</v>
      </c>
      <c r="AH38" s="41">
        <v>0</v>
      </c>
      <c r="AI38" s="41"/>
      <c r="AJ38" s="41"/>
      <c r="AK38" s="41"/>
      <c r="AL38" s="41"/>
      <c r="AM38" s="41"/>
      <c r="AN38" s="41"/>
      <c r="AO38" s="104"/>
      <c r="AP38" s="46"/>
      <c r="AQ38" s="46"/>
      <c r="AR38" s="46"/>
      <c r="AS38" s="46"/>
      <c r="AT38" s="46"/>
      <c r="AU38" s="46"/>
      <c r="AV38" s="110"/>
      <c r="AW38" s="110"/>
      <c r="AX38" s="37"/>
      <c r="AY38" s="37"/>
      <c r="AZ38" s="37"/>
      <c r="BA38" s="38"/>
      <c r="BB38" s="38"/>
    </row>
    <row r="39" spans="1:54" ht="15.75" x14ac:dyDescent="0.25">
      <c r="A39" s="42" t="s">
        <v>10</v>
      </c>
      <c r="B39" s="25" t="s">
        <v>28</v>
      </c>
      <c r="C39" s="72">
        <v>7</v>
      </c>
      <c r="D39" s="75">
        <v>32146683</v>
      </c>
      <c r="E39" s="82" t="s">
        <v>278</v>
      </c>
      <c r="F39" s="75">
        <v>32045961</v>
      </c>
      <c r="G39" s="29" t="s">
        <v>25</v>
      </c>
      <c r="H39" s="35" t="s">
        <v>23</v>
      </c>
      <c r="I39" s="42" t="s">
        <v>279</v>
      </c>
      <c r="J39" s="29">
        <v>2</v>
      </c>
      <c r="K39" s="30">
        <v>43907</v>
      </c>
      <c r="L39" s="30">
        <v>35312</v>
      </c>
      <c r="M39" s="31">
        <f t="shared" ca="1" si="2"/>
        <v>6</v>
      </c>
      <c r="N39" s="32">
        <f t="shared" ca="1" si="3"/>
        <v>29.841095890410958</v>
      </c>
      <c r="O39" s="33">
        <f ca="1">VLOOKUP(M39,Edad_Antigüedad!$M$2:$N$36,2)</f>
        <v>22</v>
      </c>
      <c r="P39" s="33" t="s">
        <v>129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1</v>
      </c>
      <c r="AE39" s="41">
        <v>1</v>
      </c>
      <c r="AF39" s="41">
        <v>0</v>
      </c>
      <c r="AG39" s="41">
        <v>0</v>
      </c>
      <c r="AH39" s="41">
        <v>0</v>
      </c>
      <c r="AI39" s="41"/>
      <c r="AJ39" s="41"/>
      <c r="AK39" s="41"/>
      <c r="AL39" s="41"/>
      <c r="AM39" s="41"/>
      <c r="AN39" s="41"/>
      <c r="AO39" s="45"/>
      <c r="AP39" s="46"/>
      <c r="AQ39" s="46"/>
      <c r="AR39" s="46"/>
      <c r="AS39" s="46"/>
      <c r="AT39" s="46"/>
      <c r="AU39" s="46"/>
      <c r="AV39" s="110"/>
      <c r="AW39" s="110"/>
      <c r="AX39" s="37"/>
      <c r="AY39" s="37"/>
      <c r="AZ39" s="37"/>
      <c r="BA39" s="38"/>
      <c r="BB39" s="38"/>
    </row>
    <row r="40" spans="1:54" ht="15.75" x14ac:dyDescent="0.25">
      <c r="A40" s="24" t="s">
        <v>9</v>
      </c>
      <c r="B40" s="25" t="s">
        <v>28</v>
      </c>
      <c r="C40" s="26">
        <v>7</v>
      </c>
      <c r="D40" s="28">
        <v>32044914</v>
      </c>
      <c r="E40" s="48" t="s">
        <v>280</v>
      </c>
      <c r="F40" s="28">
        <v>32052556</v>
      </c>
      <c r="G40" s="29" t="s">
        <v>25</v>
      </c>
      <c r="H40" s="35" t="s">
        <v>23</v>
      </c>
      <c r="I40" s="42" t="s">
        <v>279</v>
      </c>
      <c r="J40" s="29">
        <v>2</v>
      </c>
      <c r="K40" s="30">
        <v>36743</v>
      </c>
      <c r="L40" s="30">
        <v>26853</v>
      </c>
      <c r="M40" s="31">
        <f t="shared" ca="1" si="2"/>
        <v>26</v>
      </c>
      <c r="N40" s="32">
        <f t="shared" ca="1" si="3"/>
        <v>53.016438356164386</v>
      </c>
      <c r="O40" s="33">
        <f ca="1">VLOOKUP(M40,Edad_Antigüedad!$M$2:$N$36,2)</f>
        <v>30</v>
      </c>
      <c r="P40" s="34" t="s">
        <v>102</v>
      </c>
      <c r="Q40" s="35" t="s">
        <v>136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5">
        <v>0</v>
      </c>
      <c r="AJ40" s="35">
        <v>0</v>
      </c>
      <c r="AK40" s="35">
        <v>0</v>
      </c>
      <c r="AL40" s="35">
        <v>0</v>
      </c>
      <c r="AM40" s="35">
        <v>0</v>
      </c>
      <c r="AN40" s="35">
        <v>0</v>
      </c>
      <c r="AO40" s="36">
        <v>0</v>
      </c>
      <c r="AP40" s="35"/>
      <c r="AQ40" s="35"/>
      <c r="AR40" s="35"/>
      <c r="AS40" s="35"/>
      <c r="AT40" s="35"/>
      <c r="AU40" s="35"/>
      <c r="AV40" s="113"/>
      <c r="AW40" s="113"/>
      <c r="AX40" s="38"/>
      <c r="AY40" s="38"/>
      <c r="AZ40" s="38"/>
      <c r="BA40" s="38"/>
      <c r="BB40" s="38"/>
    </row>
    <row r="41" spans="1:54" ht="15.75" x14ac:dyDescent="0.25">
      <c r="A41" s="42" t="s">
        <v>11</v>
      </c>
      <c r="B41" s="42" t="s">
        <v>24</v>
      </c>
      <c r="C41" s="42">
        <v>5</v>
      </c>
      <c r="D41" s="75">
        <v>32045961</v>
      </c>
      <c r="E41" s="75" t="s">
        <v>41</v>
      </c>
      <c r="F41" s="75">
        <v>32052556</v>
      </c>
      <c r="G41" s="85" t="s">
        <v>25</v>
      </c>
      <c r="H41" s="35" t="s">
        <v>23</v>
      </c>
      <c r="I41" s="33" t="s">
        <v>281</v>
      </c>
      <c r="J41" s="29">
        <v>2</v>
      </c>
      <c r="K41" s="30">
        <v>37803</v>
      </c>
      <c r="L41" s="30">
        <v>29325</v>
      </c>
      <c r="M41" s="31">
        <f t="shared" ca="1" si="2"/>
        <v>23</v>
      </c>
      <c r="N41" s="32">
        <f t="shared" ca="1" si="3"/>
        <v>46.243835616438353</v>
      </c>
      <c r="O41" s="33">
        <f ca="1">VLOOKUP(M41,Edad_Antigüedad!$M$2:$N$36,2)</f>
        <v>28</v>
      </c>
      <c r="P41" s="33" t="s">
        <v>129</v>
      </c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5"/>
      <c r="AP41" s="46"/>
      <c r="AQ41" s="46"/>
      <c r="AR41" s="46"/>
      <c r="AS41" s="46"/>
      <c r="AT41" s="46"/>
      <c r="AU41" s="46"/>
      <c r="AV41" s="110"/>
      <c r="AW41" s="110"/>
      <c r="AX41" s="37"/>
      <c r="AY41" s="37"/>
      <c r="AZ41" s="37"/>
      <c r="BA41" s="38"/>
      <c r="BB41" s="38"/>
    </row>
    <row r="42" spans="1:54" ht="15.75" x14ac:dyDescent="0.25">
      <c r="A42" s="42" t="s">
        <v>11</v>
      </c>
      <c r="B42" s="42" t="s">
        <v>29</v>
      </c>
      <c r="C42" s="42">
        <v>6</v>
      </c>
      <c r="D42" s="42">
        <v>32044762</v>
      </c>
      <c r="E42" s="42" t="s">
        <v>49</v>
      </c>
      <c r="F42" s="73">
        <v>32052556</v>
      </c>
      <c r="G42" s="80" t="s">
        <v>25</v>
      </c>
      <c r="H42" s="35" t="s">
        <v>23</v>
      </c>
      <c r="I42" s="33" t="s">
        <v>281</v>
      </c>
      <c r="J42" s="29">
        <v>2</v>
      </c>
      <c r="K42" s="44">
        <v>36354</v>
      </c>
      <c r="L42" s="44">
        <v>27976</v>
      </c>
      <c r="M42" s="31">
        <f t="shared" ca="1" si="2"/>
        <v>27</v>
      </c>
      <c r="N42" s="32">
        <f t="shared" ca="1" si="3"/>
        <v>49.939726027397263</v>
      </c>
      <c r="O42" s="33">
        <f ca="1">VLOOKUP(M42,Edad_Antigüedad!$M$2:$N$36,2)</f>
        <v>30</v>
      </c>
      <c r="P42" s="33"/>
      <c r="Q42" s="41"/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1</v>
      </c>
      <c r="AN42" s="41">
        <v>0</v>
      </c>
      <c r="AO42" s="45">
        <v>0</v>
      </c>
      <c r="AP42" s="46"/>
      <c r="AQ42" s="46"/>
      <c r="AR42" s="46"/>
      <c r="AS42" s="46"/>
      <c r="AT42" s="46"/>
      <c r="AU42" s="46"/>
      <c r="AV42" s="58"/>
      <c r="AW42" s="58"/>
      <c r="AX42" s="58"/>
      <c r="AY42" s="58"/>
      <c r="AZ42" s="58"/>
      <c r="BA42" s="59"/>
      <c r="BB42" s="59"/>
    </row>
    <row r="43" spans="1:54" s="61" customFormat="1" ht="18.75" customHeight="1" x14ac:dyDescent="0.25">
      <c r="A43" s="42" t="s">
        <v>11</v>
      </c>
      <c r="B43" s="35" t="s">
        <v>26</v>
      </c>
      <c r="C43" s="35">
        <v>5</v>
      </c>
      <c r="D43" s="28">
        <v>32132858</v>
      </c>
      <c r="E43" s="29" t="s">
        <v>30</v>
      </c>
      <c r="F43" s="28">
        <v>32052556</v>
      </c>
      <c r="G43" s="29" t="s">
        <v>25</v>
      </c>
      <c r="H43" s="35" t="s">
        <v>23</v>
      </c>
      <c r="I43" s="33" t="s">
        <v>281</v>
      </c>
      <c r="J43" s="29">
        <v>2</v>
      </c>
      <c r="K43" s="30">
        <v>41821</v>
      </c>
      <c r="L43" s="30">
        <v>32898</v>
      </c>
      <c r="M43" s="31">
        <f t="shared" ca="1" si="2"/>
        <v>12</v>
      </c>
      <c r="N43" s="32">
        <f t="shared" ca="1" si="3"/>
        <v>36.454794520547942</v>
      </c>
      <c r="O43" s="33">
        <f ca="1">VLOOKUP(M43,Edad_Antigüedad!$M$2:$N$36,2)</f>
        <v>24</v>
      </c>
      <c r="P43" s="34"/>
      <c r="Q43" s="35"/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v>0</v>
      </c>
      <c r="AI43" s="35">
        <v>0</v>
      </c>
      <c r="AJ43" s="35">
        <v>0</v>
      </c>
      <c r="AK43" s="35">
        <v>0</v>
      </c>
      <c r="AL43" s="35">
        <v>0</v>
      </c>
      <c r="AM43" s="35">
        <v>0</v>
      </c>
      <c r="AN43" s="35">
        <v>0</v>
      </c>
      <c r="AO43" s="36">
        <v>0</v>
      </c>
      <c r="AP43" s="35"/>
      <c r="AQ43" s="35"/>
      <c r="AR43" s="35"/>
      <c r="AS43" s="35"/>
      <c r="AT43" s="35"/>
      <c r="AU43" s="35"/>
      <c r="AV43" s="110"/>
      <c r="AW43" s="110"/>
      <c r="AX43" s="37"/>
      <c r="AY43" s="37"/>
      <c r="AZ43" s="37"/>
      <c r="BA43" s="38"/>
      <c r="BB43" s="38"/>
    </row>
    <row r="44" spans="1:54" ht="15.75" x14ac:dyDescent="0.25">
      <c r="A44" s="42" t="s">
        <v>11</v>
      </c>
      <c r="B44" s="42" t="s">
        <v>22</v>
      </c>
      <c r="C44" s="42">
        <v>4</v>
      </c>
      <c r="D44" s="43">
        <v>32052556</v>
      </c>
      <c r="E44" s="43" t="s">
        <v>282</v>
      </c>
      <c r="F44" s="73">
        <v>1</v>
      </c>
      <c r="G44" s="80" t="s">
        <v>27</v>
      </c>
      <c r="H44" s="35" t="s">
        <v>23</v>
      </c>
      <c r="I44" s="33" t="s">
        <v>281</v>
      </c>
      <c r="J44" s="29">
        <v>2</v>
      </c>
      <c r="K44" s="44">
        <v>38896</v>
      </c>
      <c r="L44" s="44">
        <v>30621</v>
      </c>
      <c r="M44" s="31">
        <f t="shared" ca="1" si="2"/>
        <v>20</v>
      </c>
      <c r="N44" s="32">
        <f t="shared" ca="1" si="3"/>
        <v>42.69315068493151</v>
      </c>
      <c r="O44" s="33">
        <f ca="1">VLOOKUP(M44,Edad_Antigüedad!$M$2:$N$36,2)</f>
        <v>26</v>
      </c>
      <c r="P44" s="33" t="s">
        <v>283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1</v>
      </c>
      <c r="AM44" s="41">
        <v>0</v>
      </c>
      <c r="AN44" s="41">
        <v>0</v>
      </c>
      <c r="AO44" s="45">
        <v>0</v>
      </c>
      <c r="AP44" s="46"/>
      <c r="AQ44" s="46"/>
      <c r="AR44" s="46"/>
      <c r="AS44" s="46"/>
      <c r="AT44" s="46"/>
      <c r="AU44" s="46"/>
      <c r="AV44" s="110"/>
      <c r="AW44" s="110"/>
      <c r="AX44" s="37"/>
      <c r="AY44" s="37"/>
      <c r="AZ44" s="37"/>
      <c r="BA44" s="38"/>
      <c r="BB44" s="38"/>
    </row>
    <row r="45" spans="1:54" ht="31.5" x14ac:dyDescent="0.25">
      <c r="A45" s="42" t="s">
        <v>12</v>
      </c>
      <c r="B45" s="42" t="s">
        <v>45</v>
      </c>
      <c r="C45" s="42">
        <v>7</v>
      </c>
      <c r="D45" s="43">
        <v>32043783</v>
      </c>
      <c r="E45" s="43" t="s">
        <v>333</v>
      </c>
      <c r="F45" s="42">
        <v>32044762</v>
      </c>
      <c r="G45" s="42" t="s">
        <v>49</v>
      </c>
      <c r="H45" s="35" t="s">
        <v>23</v>
      </c>
      <c r="I45" s="85" t="s">
        <v>334</v>
      </c>
      <c r="J45" s="29">
        <v>2</v>
      </c>
      <c r="K45" s="44">
        <v>35096</v>
      </c>
      <c r="L45" s="44">
        <v>26863</v>
      </c>
      <c r="M45" s="31">
        <f t="shared" ca="1" si="2"/>
        <v>30</v>
      </c>
      <c r="N45" s="32">
        <f t="shared" ca="1" si="3"/>
        <v>52.989041095890414</v>
      </c>
      <c r="O45" s="33">
        <f ca="1">VLOOKUP(M45,Edad_Antigüedad!$M$2:$N$36,2)</f>
        <v>30</v>
      </c>
      <c r="P45" s="33" t="s">
        <v>312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41">
        <v>0</v>
      </c>
      <c r="AH45" s="41">
        <v>0</v>
      </c>
      <c r="AI45" s="41">
        <v>0</v>
      </c>
      <c r="AJ45" s="41">
        <v>0</v>
      </c>
      <c r="AK45" s="41">
        <v>0</v>
      </c>
      <c r="AL45" s="41">
        <v>0</v>
      </c>
      <c r="AM45" s="41">
        <v>0</v>
      </c>
      <c r="AN45" s="41">
        <v>1</v>
      </c>
      <c r="AO45" s="45">
        <v>1</v>
      </c>
      <c r="AP45" s="46"/>
      <c r="AQ45" s="46"/>
      <c r="AR45" s="46"/>
      <c r="AS45" s="46"/>
      <c r="AT45" s="46"/>
      <c r="AU45" s="46"/>
      <c r="AV45" s="110"/>
      <c r="AW45" s="110"/>
      <c r="AX45" s="37"/>
      <c r="AY45" s="37"/>
      <c r="AZ45" s="37"/>
      <c r="BA45" s="38"/>
      <c r="BB45" s="38"/>
    </row>
    <row r="46" spans="1:54" ht="15.75" x14ac:dyDescent="0.25">
      <c r="A46" s="42" t="s">
        <v>12</v>
      </c>
      <c r="B46" s="42" t="s">
        <v>43</v>
      </c>
      <c r="C46" s="42">
        <v>7</v>
      </c>
      <c r="D46" s="43">
        <v>32045472</v>
      </c>
      <c r="E46" s="43" t="s">
        <v>335</v>
      </c>
      <c r="F46" s="42">
        <v>32044762</v>
      </c>
      <c r="G46" s="42" t="s">
        <v>49</v>
      </c>
      <c r="H46" s="35" t="s">
        <v>23</v>
      </c>
      <c r="I46" s="85" t="s">
        <v>336</v>
      </c>
      <c r="J46" s="29">
        <v>2</v>
      </c>
      <c r="K46" s="44">
        <v>37104</v>
      </c>
      <c r="L46" s="44">
        <v>27030</v>
      </c>
      <c r="M46" s="31">
        <f t="shared" ca="1" si="2"/>
        <v>25</v>
      </c>
      <c r="N46" s="32">
        <f t="shared" ca="1" si="3"/>
        <v>52.531506849315072</v>
      </c>
      <c r="O46" s="33">
        <f ca="1">VLOOKUP(M46,Edad_Antigüedad!$M$2:$N$36,2)</f>
        <v>28</v>
      </c>
      <c r="P46" s="33" t="s">
        <v>337</v>
      </c>
      <c r="Q46" s="41"/>
      <c r="R46" s="41">
        <v>0</v>
      </c>
      <c r="S46" s="41">
        <v>0</v>
      </c>
      <c r="T46" s="41">
        <v>0</v>
      </c>
      <c r="U46" s="41">
        <v>0</v>
      </c>
      <c r="V46" s="41">
        <v>0</v>
      </c>
      <c r="W46" s="41">
        <v>0</v>
      </c>
      <c r="X46" s="41">
        <v>0</v>
      </c>
      <c r="Y46" s="41">
        <v>0</v>
      </c>
      <c r="Z46" s="41">
        <v>0</v>
      </c>
      <c r="AA46" s="41">
        <v>1</v>
      </c>
      <c r="AB46" s="41">
        <v>0</v>
      </c>
      <c r="AC46" s="41">
        <v>0</v>
      </c>
      <c r="AD46" s="41">
        <v>0</v>
      </c>
      <c r="AE46" s="41">
        <v>0</v>
      </c>
      <c r="AF46" s="41">
        <v>0</v>
      </c>
      <c r="AG46" s="41">
        <v>0</v>
      </c>
      <c r="AH46" s="41">
        <v>0</v>
      </c>
      <c r="AI46" s="41">
        <v>0</v>
      </c>
      <c r="AJ46" s="41">
        <v>0</v>
      </c>
      <c r="AK46" s="41">
        <v>0</v>
      </c>
      <c r="AL46" s="41">
        <v>1</v>
      </c>
      <c r="AM46" s="41">
        <v>0</v>
      </c>
      <c r="AN46" s="41">
        <v>1</v>
      </c>
      <c r="AO46" s="45">
        <v>0</v>
      </c>
      <c r="AP46" s="46"/>
      <c r="AQ46" s="46"/>
      <c r="AR46" s="46"/>
      <c r="AS46" s="46"/>
      <c r="AT46" s="46"/>
      <c r="AU46" s="46"/>
      <c r="AV46" s="110"/>
      <c r="AW46" s="110"/>
      <c r="AX46" s="37"/>
      <c r="AY46" s="37"/>
      <c r="AZ46" s="37"/>
      <c r="BA46" s="38"/>
      <c r="BB46" s="38"/>
    </row>
    <row r="47" spans="1:54" ht="15.75" x14ac:dyDescent="0.25">
      <c r="A47" s="42" t="s">
        <v>12</v>
      </c>
      <c r="B47" s="42" t="s">
        <v>43</v>
      </c>
      <c r="C47" s="42">
        <v>7</v>
      </c>
      <c r="D47" s="43">
        <v>32063998</v>
      </c>
      <c r="E47" s="43" t="s">
        <v>338</v>
      </c>
      <c r="F47" s="42">
        <v>32044762</v>
      </c>
      <c r="G47" s="42" t="s">
        <v>49</v>
      </c>
      <c r="H47" s="35" t="s">
        <v>23</v>
      </c>
      <c r="I47" s="85" t="s">
        <v>336</v>
      </c>
      <c r="J47" s="29">
        <v>2</v>
      </c>
      <c r="K47" s="44">
        <v>39286</v>
      </c>
      <c r="L47" s="44">
        <v>30624</v>
      </c>
      <c r="M47" s="31">
        <f t="shared" ca="1" si="2"/>
        <v>19</v>
      </c>
      <c r="N47" s="32">
        <f t="shared" ca="1" si="3"/>
        <v>42.684931506849317</v>
      </c>
      <c r="O47" s="33">
        <f ca="1">VLOOKUP(M47,Edad_Antigüedad!$M$2:$N$36,2)</f>
        <v>26</v>
      </c>
      <c r="P47" s="33" t="s">
        <v>339</v>
      </c>
      <c r="Q47" s="41"/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  <c r="X47" s="41">
        <v>0</v>
      </c>
      <c r="Y47" s="41">
        <v>0</v>
      </c>
      <c r="Z47" s="41">
        <v>0</v>
      </c>
      <c r="AA47" s="41">
        <v>0</v>
      </c>
      <c r="AB47" s="41">
        <v>0</v>
      </c>
      <c r="AC47" s="41">
        <v>1</v>
      </c>
      <c r="AD47" s="41">
        <v>0</v>
      </c>
      <c r="AE47" s="41">
        <v>0</v>
      </c>
      <c r="AF47" s="41">
        <v>0</v>
      </c>
      <c r="AG47" s="41">
        <v>0</v>
      </c>
      <c r="AH47" s="41">
        <v>0</v>
      </c>
      <c r="AI47" s="41">
        <v>0</v>
      </c>
      <c r="AJ47" s="41">
        <v>0</v>
      </c>
      <c r="AK47" s="41">
        <v>0</v>
      </c>
      <c r="AL47" s="41">
        <v>0</v>
      </c>
      <c r="AM47" s="41">
        <v>0</v>
      </c>
      <c r="AN47" s="41">
        <v>1</v>
      </c>
      <c r="AO47" s="45">
        <v>1</v>
      </c>
      <c r="AP47" s="46"/>
      <c r="AQ47" s="46"/>
      <c r="AR47" s="46"/>
      <c r="AS47" s="46"/>
      <c r="AT47" s="46"/>
      <c r="AU47" s="46"/>
      <c r="AV47" s="110"/>
      <c r="AW47" s="110"/>
      <c r="AX47" s="37"/>
      <c r="AY47" s="37"/>
      <c r="AZ47" s="37"/>
      <c r="BA47" s="38"/>
      <c r="BB47" s="38"/>
    </row>
    <row r="48" spans="1:54" ht="15.75" x14ac:dyDescent="0.25">
      <c r="A48" s="24" t="s">
        <v>9</v>
      </c>
      <c r="B48" s="25" t="s">
        <v>31</v>
      </c>
      <c r="C48" s="26">
        <v>7</v>
      </c>
      <c r="D48" s="25">
        <v>32045531</v>
      </c>
      <c r="E48" s="27" t="s">
        <v>100</v>
      </c>
      <c r="F48" s="28">
        <v>32132858</v>
      </c>
      <c r="G48" s="29" t="s">
        <v>30</v>
      </c>
      <c r="H48" s="29" t="s">
        <v>39</v>
      </c>
      <c r="I48" s="29" t="s">
        <v>101</v>
      </c>
      <c r="J48" s="29">
        <v>1</v>
      </c>
      <c r="K48" s="30">
        <v>37151</v>
      </c>
      <c r="L48" s="30">
        <v>28428</v>
      </c>
      <c r="M48" s="31">
        <f t="shared" ca="1" si="2"/>
        <v>25</v>
      </c>
      <c r="N48" s="32">
        <f t="shared" ca="1" si="3"/>
        <v>48.701369863013696</v>
      </c>
      <c r="O48" s="33">
        <f ca="1">VLOOKUP(M48,Edad_Antigüedad!$M$2:$N$36,2)</f>
        <v>28</v>
      </c>
      <c r="P48" s="34" t="s">
        <v>102</v>
      </c>
      <c r="Q48" s="35"/>
      <c r="R48" s="35">
        <v>1</v>
      </c>
      <c r="S48" s="35">
        <v>1</v>
      </c>
      <c r="T48" s="35">
        <v>1</v>
      </c>
      <c r="U48" s="35">
        <v>1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5">
        <v>0</v>
      </c>
      <c r="AJ48" s="35">
        <v>0</v>
      </c>
      <c r="AK48" s="35">
        <v>0</v>
      </c>
      <c r="AL48" s="35">
        <v>0</v>
      </c>
      <c r="AM48" s="35">
        <v>0</v>
      </c>
      <c r="AN48" s="35">
        <v>0</v>
      </c>
      <c r="AO48" s="36">
        <v>0</v>
      </c>
      <c r="AP48" s="35"/>
      <c r="AQ48" s="35"/>
      <c r="AR48" s="35"/>
      <c r="AS48" s="35"/>
      <c r="AT48" s="35"/>
      <c r="AU48" s="35"/>
      <c r="AV48" s="110"/>
      <c r="AW48" s="110"/>
      <c r="AX48" s="37"/>
      <c r="AY48" s="37"/>
      <c r="AZ48" s="37"/>
      <c r="BA48" s="38"/>
      <c r="BB48" s="38"/>
    </row>
    <row r="49" spans="1:54" ht="15.75" x14ac:dyDescent="0.25">
      <c r="A49" s="24" t="s">
        <v>9</v>
      </c>
      <c r="B49" s="25" t="s">
        <v>37</v>
      </c>
      <c r="C49" s="25">
        <v>9</v>
      </c>
      <c r="D49" s="25">
        <v>32044502</v>
      </c>
      <c r="E49" s="27" t="s">
        <v>103</v>
      </c>
      <c r="F49" s="25">
        <v>32045531</v>
      </c>
      <c r="G49" s="28" t="s">
        <v>100</v>
      </c>
      <c r="H49" s="29" t="s">
        <v>39</v>
      </c>
      <c r="I49" s="29" t="s">
        <v>104</v>
      </c>
      <c r="J49" s="29">
        <v>1</v>
      </c>
      <c r="K49" s="30">
        <v>36123</v>
      </c>
      <c r="L49" s="30">
        <v>28915</v>
      </c>
      <c r="M49" s="31">
        <f t="shared" ca="1" si="2"/>
        <v>28</v>
      </c>
      <c r="N49" s="32">
        <f t="shared" ca="1" si="3"/>
        <v>47.367123287671234</v>
      </c>
      <c r="O49" s="33">
        <f ca="1">VLOOKUP(M49,Edad_Antigüedad!$M$2:$N$36,2)</f>
        <v>30</v>
      </c>
      <c r="P49" s="34" t="s">
        <v>105</v>
      </c>
      <c r="Q49" s="35"/>
      <c r="R49" s="35">
        <v>1</v>
      </c>
      <c r="S49" s="35">
        <v>1</v>
      </c>
      <c r="T49" s="35">
        <v>1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  <c r="AJ49" s="35">
        <v>0</v>
      </c>
      <c r="AK49" s="35">
        <v>0</v>
      </c>
      <c r="AL49" s="35">
        <v>0</v>
      </c>
      <c r="AM49" s="35">
        <v>0</v>
      </c>
      <c r="AN49" s="35">
        <v>0</v>
      </c>
      <c r="AO49" s="36">
        <v>0</v>
      </c>
      <c r="AP49" s="35"/>
      <c r="AQ49" s="35"/>
      <c r="AR49" s="35"/>
      <c r="AS49" s="35"/>
      <c r="AT49" s="35"/>
      <c r="AU49" s="35"/>
      <c r="AV49" s="110"/>
      <c r="AW49" s="110"/>
      <c r="AX49" s="37"/>
      <c r="AY49" s="37"/>
      <c r="AZ49" s="37"/>
      <c r="BA49" s="38"/>
      <c r="BB49" s="38"/>
    </row>
    <row r="50" spans="1:54" ht="15.75" x14ac:dyDescent="0.25">
      <c r="A50" s="24" t="s">
        <v>9</v>
      </c>
      <c r="B50" s="25" t="s">
        <v>106</v>
      </c>
      <c r="C50" s="25" t="s">
        <v>107</v>
      </c>
      <c r="D50" s="25">
        <v>32102191</v>
      </c>
      <c r="E50" s="39" t="s">
        <v>108</v>
      </c>
      <c r="F50" s="25">
        <v>32045531</v>
      </c>
      <c r="G50" s="28" t="s">
        <v>100</v>
      </c>
      <c r="H50" s="29" t="s">
        <v>39</v>
      </c>
      <c r="I50" s="29" t="s">
        <v>106</v>
      </c>
      <c r="J50" s="29">
        <v>1</v>
      </c>
      <c r="K50" s="30">
        <v>40739</v>
      </c>
      <c r="L50" s="30">
        <v>33704</v>
      </c>
      <c r="M50" s="31">
        <f t="shared" ca="1" si="2"/>
        <v>15</v>
      </c>
      <c r="N50" s="32">
        <f t="shared" ca="1" si="3"/>
        <v>34.246575342465754</v>
      </c>
      <c r="O50" s="33">
        <f ca="1">VLOOKUP(M50,Edad_Antigüedad!$M$2:$N$36,2)</f>
        <v>24</v>
      </c>
      <c r="P50" s="34" t="s">
        <v>109</v>
      </c>
      <c r="Q50" s="35"/>
      <c r="R50" s="35">
        <v>1</v>
      </c>
      <c r="S50" s="35">
        <v>1</v>
      </c>
      <c r="T50" s="35">
        <v>1</v>
      </c>
      <c r="U50" s="35">
        <v>0</v>
      </c>
      <c r="V50" s="35">
        <v>0</v>
      </c>
      <c r="W50" s="35">
        <v>0</v>
      </c>
      <c r="X50" s="35">
        <v>0</v>
      </c>
      <c r="Y50" s="35">
        <v>0</v>
      </c>
      <c r="Z50" s="35">
        <v>0</v>
      </c>
      <c r="AA50" s="35">
        <v>0</v>
      </c>
      <c r="AB50" s="35">
        <v>0</v>
      </c>
      <c r="AC50" s="35">
        <v>0</v>
      </c>
      <c r="AD50" s="35">
        <v>0</v>
      </c>
      <c r="AE50" s="35">
        <v>0</v>
      </c>
      <c r="AF50" s="35">
        <v>0</v>
      </c>
      <c r="AG50" s="35">
        <v>0</v>
      </c>
      <c r="AH50" s="35">
        <v>0</v>
      </c>
      <c r="AI50" s="35">
        <v>0</v>
      </c>
      <c r="AJ50" s="35">
        <v>0</v>
      </c>
      <c r="AK50" s="35">
        <v>0</v>
      </c>
      <c r="AL50" s="35">
        <v>0</v>
      </c>
      <c r="AM50" s="35">
        <v>0</v>
      </c>
      <c r="AN50" s="35">
        <v>0</v>
      </c>
      <c r="AO50" s="36">
        <v>0</v>
      </c>
      <c r="AP50" s="35"/>
      <c r="AQ50" s="35"/>
      <c r="AR50" s="35"/>
      <c r="AS50" s="35"/>
      <c r="AT50" s="35"/>
      <c r="AU50" s="35"/>
      <c r="AV50" s="110"/>
      <c r="AW50" s="110"/>
      <c r="AX50" s="37"/>
      <c r="AY50" s="37"/>
      <c r="AZ50" s="37"/>
      <c r="BA50" s="38"/>
      <c r="BB50" s="38"/>
    </row>
    <row r="51" spans="1:54" ht="15.75" x14ac:dyDescent="0.25">
      <c r="A51" s="24" t="s">
        <v>9</v>
      </c>
      <c r="B51" s="25" t="s">
        <v>110</v>
      </c>
      <c r="C51" s="25" t="s">
        <v>111</v>
      </c>
      <c r="D51" s="25">
        <v>32209454</v>
      </c>
      <c r="E51" s="39" t="s">
        <v>112</v>
      </c>
      <c r="F51" s="25">
        <v>32045531</v>
      </c>
      <c r="G51" s="28" t="s">
        <v>100</v>
      </c>
      <c r="H51" s="29" t="s">
        <v>39</v>
      </c>
      <c r="I51" s="29" t="s">
        <v>110</v>
      </c>
      <c r="J51" s="29">
        <v>1</v>
      </c>
      <c r="K51" s="30">
        <v>44673</v>
      </c>
      <c r="L51" s="30">
        <v>33366</v>
      </c>
      <c r="M51" s="31">
        <f t="shared" ca="1" si="2"/>
        <v>4</v>
      </c>
      <c r="N51" s="32">
        <f t="shared" ca="1" si="3"/>
        <v>35.172602739726024</v>
      </c>
      <c r="O51" s="33">
        <f ca="1">VLOOKUP(M51,Edad_Antigüedad!$M$2:$N$36,2)</f>
        <v>18</v>
      </c>
      <c r="P51" s="34" t="s">
        <v>105</v>
      </c>
      <c r="Q51" s="35"/>
      <c r="R51" s="35">
        <v>1</v>
      </c>
      <c r="S51" s="35">
        <v>1</v>
      </c>
      <c r="T51" s="35">
        <v>1</v>
      </c>
      <c r="U51" s="35">
        <v>0</v>
      </c>
      <c r="V51" s="35">
        <v>0</v>
      </c>
      <c r="W51" s="35">
        <v>0</v>
      </c>
      <c r="X51" s="35">
        <v>0</v>
      </c>
      <c r="Y51" s="35">
        <v>0</v>
      </c>
      <c r="Z51" s="35">
        <v>0</v>
      </c>
      <c r="AA51" s="35">
        <v>0</v>
      </c>
      <c r="AB51" s="35">
        <v>0</v>
      </c>
      <c r="AC51" s="35">
        <v>0</v>
      </c>
      <c r="AD51" s="35">
        <v>0</v>
      </c>
      <c r="AE51" s="35">
        <v>0</v>
      </c>
      <c r="AF51" s="35">
        <v>0</v>
      </c>
      <c r="AG51" s="35"/>
      <c r="AH51" s="35">
        <v>0</v>
      </c>
      <c r="AI51" s="35">
        <v>0</v>
      </c>
      <c r="AJ51" s="35">
        <v>0</v>
      </c>
      <c r="AK51" s="35">
        <v>0</v>
      </c>
      <c r="AL51" s="35">
        <v>0</v>
      </c>
      <c r="AM51" s="35">
        <v>0</v>
      </c>
      <c r="AN51" s="35">
        <v>0</v>
      </c>
      <c r="AO51" s="36">
        <v>0</v>
      </c>
      <c r="AP51" s="35"/>
      <c r="AQ51" s="35"/>
      <c r="AR51" s="35"/>
      <c r="AS51" s="35"/>
      <c r="AT51" s="35"/>
      <c r="AU51" s="35"/>
    </row>
    <row r="52" spans="1:54" ht="15.75" x14ac:dyDescent="0.25">
      <c r="A52" s="24" t="s">
        <v>9</v>
      </c>
      <c r="B52" s="25" t="s">
        <v>113</v>
      </c>
      <c r="C52" s="25" t="s">
        <v>114</v>
      </c>
      <c r="D52" s="25">
        <v>32204264</v>
      </c>
      <c r="E52" s="39" t="s">
        <v>115</v>
      </c>
      <c r="F52" s="25">
        <v>32045531</v>
      </c>
      <c r="G52" s="28" t="s">
        <v>100</v>
      </c>
      <c r="H52" s="29" t="s">
        <v>39</v>
      </c>
      <c r="I52" s="29" t="s">
        <v>116</v>
      </c>
      <c r="J52" s="29">
        <v>1</v>
      </c>
      <c r="K52" s="30">
        <v>44867</v>
      </c>
      <c r="L52" s="30">
        <v>37450</v>
      </c>
      <c r="M52" s="31">
        <f t="shared" ca="1" si="2"/>
        <v>4</v>
      </c>
      <c r="N52" s="32">
        <f t="shared" ca="1" si="3"/>
        <v>23.983561643835618</v>
      </c>
      <c r="O52" s="33">
        <f ca="1">VLOOKUP(M52,Edad_Antigüedad!$M$2:$N$36,2)</f>
        <v>18</v>
      </c>
      <c r="P52" s="34" t="s">
        <v>105</v>
      </c>
      <c r="Q52" s="35"/>
      <c r="R52" s="35">
        <v>1</v>
      </c>
      <c r="S52" s="35">
        <v>1</v>
      </c>
      <c r="T52" s="35">
        <v>1</v>
      </c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0</v>
      </c>
      <c r="AA52" s="35">
        <v>0</v>
      </c>
      <c r="AB52" s="35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  <c r="AH52" s="35">
        <v>0</v>
      </c>
      <c r="AI52" s="35">
        <v>0</v>
      </c>
      <c r="AJ52" s="35">
        <v>0</v>
      </c>
      <c r="AK52" s="35">
        <v>0</v>
      </c>
      <c r="AL52" s="35">
        <v>0</v>
      </c>
      <c r="AM52" s="35">
        <v>0</v>
      </c>
      <c r="AN52" s="35">
        <v>0</v>
      </c>
      <c r="AO52" s="36">
        <v>0</v>
      </c>
      <c r="AP52" s="35"/>
      <c r="AQ52" s="35"/>
      <c r="AR52" s="35"/>
      <c r="AS52" s="35"/>
      <c r="AT52" s="35"/>
      <c r="AU52" s="35"/>
    </row>
    <row r="53" spans="1:54" ht="60" customHeight="1" x14ac:dyDescent="0.25">
      <c r="A53" s="24" t="s">
        <v>9</v>
      </c>
      <c r="B53" s="25" t="s">
        <v>117</v>
      </c>
      <c r="C53" s="25" t="s">
        <v>114</v>
      </c>
      <c r="D53" s="25">
        <v>32222225</v>
      </c>
      <c r="E53" s="39" t="s">
        <v>118</v>
      </c>
      <c r="F53" s="25">
        <v>32045531</v>
      </c>
      <c r="G53" s="28" t="s">
        <v>100</v>
      </c>
      <c r="H53" s="29" t="s">
        <v>39</v>
      </c>
      <c r="I53" s="29" t="s">
        <v>117</v>
      </c>
      <c r="J53" s="29">
        <v>1</v>
      </c>
      <c r="K53" s="30">
        <v>45093</v>
      </c>
      <c r="L53" s="30">
        <v>37808</v>
      </c>
      <c r="M53" s="31">
        <f t="shared" ca="1" si="2"/>
        <v>3</v>
      </c>
      <c r="N53" s="32">
        <f t="shared" ca="1" si="3"/>
        <v>23.002739726027396</v>
      </c>
      <c r="O53" s="33">
        <f ca="1">VLOOKUP(M53,Edad_Antigüedad!$M$2:$N$36,2)</f>
        <v>16</v>
      </c>
      <c r="P53" s="34" t="s">
        <v>105</v>
      </c>
      <c r="Q53" s="35"/>
      <c r="R53" s="35">
        <v>1</v>
      </c>
      <c r="S53" s="35">
        <v>1</v>
      </c>
      <c r="T53" s="35">
        <v>1</v>
      </c>
      <c r="U53" s="35">
        <v>1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  <c r="AA53" s="35">
        <v>0</v>
      </c>
      <c r="AB53" s="35">
        <v>0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  <c r="AH53" s="35">
        <v>0</v>
      </c>
      <c r="AI53" s="35">
        <v>0</v>
      </c>
      <c r="AJ53" s="35">
        <v>0</v>
      </c>
      <c r="AK53" s="35">
        <v>0</v>
      </c>
      <c r="AL53" s="35">
        <v>0</v>
      </c>
      <c r="AM53" s="35">
        <v>0</v>
      </c>
      <c r="AN53" s="35">
        <v>0</v>
      </c>
      <c r="AO53" s="36">
        <v>0</v>
      </c>
      <c r="AP53" s="35"/>
      <c r="AQ53" s="35"/>
      <c r="AR53" s="35"/>
      <c r="AS53" s="35"/>
      <c r="AT53" s="35"/>
      <c r="AU53" s="35"/>
      <c r="AV53" s="10"/>
      <c r="AW53" s="10"/>
      <c r="AX53" s="10"/>
      <c r="AY53" s="10"/>
      <c r="AZ53" s="10"/>
    </row>
    <row r="54" spans="1:54" ht="15.75" x14ac:dyDescent="0.25">
      <c r="A54" s="24" t="s">
        <v>9</v>
      </c>
      <c r="B54" s="29" t="s">
        <v>119</v>
      </c>
      <c r="C54" s="25" t="s">
        <v>120</v>
      </c>
      <c r="D54" s="25">
        <v>32198258</v>
      </c>
      <c r="E54" s="39" t="s">
        <v>121</v>
      </c>
      <c r="F54" s="25">
        <v>32045531</v>
      </c>
      <c r="G54" s="28" t="s">
        <v>100</v>
      </c>
      <c r="H54" s="89" t="s">
        <v>39</v>
      </c>
      <c r="I54" s="29" t="s">
        <v>119</v>
      </c>
      <c r="J54" s="29">
        <v>1</v>
      </c>
      <c r="K54" s="30">
        <v>44205</v>
      </c>
      <c r="L54" s="30">
        <v>34613</v>
      </c>
      <c r="M54" s="31">
        <f t="shared" ca="1" si="2"/>
        <v>5</v>
      </c>
      <c r="N54" s="32">
        <f t="shared" ca="1" si="3"/>
        <v>31.756164383561643</v>
      </c>
      <c r="O54" s="33">
        <f ca="1">VLOOKUP(M54,Edad_Antigüedad!$M$2:$N$36,2)</f>
        <v>20</v>
      </c>
      <c r="P54" s="34" t="s">
        <v>105</v>
      </c>
      <c r="Q54" s="35"/>
      <c r="R54" s="35">
        <v>1</v>
      </c>
      <c r="S54" s="35">
        <v>1</v>
      </c>
      <c r="T54" s="35">
        <v>1</v>
      </c>
      <c r="U54" s="35">
        <v>0</v>
      </c>
      <c r="V54" s="35">
        <v>0</v>
      </c>
      <c r="W54" s="35">
        <v>0</v>
      </c>
      <c r="X54" s="35">
        <v>0</v>
      </c>
      <c r="Y54" s="35">
        <v>0</v>
      </c>
      <c r="Z54" s="35">
        <v>0</v>
      </c>
      <c r="AA54" s="35">
        <v>0</v>
      </c>
      <c r="AB54" s="35">
        <v>0</v>
      </c>
      <c r="AC54" s="35">
        <v>0</v>
      </c>
      <c r="AD54" s="35">
        <v>0</v>
      </c>
      <c r="AE54" s="35">
        <v>0</v>
      </c>
      <c r="AF54" s="35">
        <v>0</v>
      </c>
      <c r="AG54" s="35">
        <v>0</v>
      </c>
      <c r="AH54" s="35">
        <v>0</v>
      </c>
      <c r="AI54" s="35"/>
      <c r="AJ54" s="35">
        <v>0</v>
      </c>
      <c r="AK54" s="35"/>
      <c r="AL54" s="35"/>
      <c r="AM54" s="35"/>
      <c r="AN54" s="35"/>
      <c r="AO54" s="36"/>
      <c r="AP54" s="35"/>
      <c r="AQ54" s="35"/>
      <c r="AR54" s="35"/>
      <c r="AS54" s="35"/>
      <c r="AT54" s="35"/>
      <c r="AU54" s="35"/>
    </row>
    <row r="55" spans="1:54" ht="15.75" x14ac:dyDescent="0.25">
      <c r="A55" s="24" t="s">
        <v>9</v>
      </c>
      <c r="B55" s="25" t="s">
        <v>35</v>
      </c>
      <c r="C55" s="26">
        <v>9</v>
      </c>
      <c r="D55" s="28">
        <v>32231912</v>
      </c>
      <c r="E55" s="40" t="s">
        <v>122</v>
      </c>
      <c r="F55" s="25">
        <v>32045531</v>
      </c>
      <c r="G55" s="28" t="s">
        <v>100</v>
      </c>
      <c r="H55" s="29" t="s">
        <v>39</v>
      </c>
      <c r="I55" s="25" t="s">
        <v>35</v>
      </c>
      <c r="J55" s="29">
        <v>1</v>
      </c>
      <c r="K55" s="30">
        <v>45583</v>
      </c>
      <c r="L55" s="30">
        <v>36989</v>
      </c>
      <c r="M55" s="41">
        <f t="shared" ca="1" si="2"/>
        <v>2</v>
      </c>
      <c r="N55" s="32">
        <f t="shared" ca="1" si="3"/>
        <v>25.246575342465754</v>
      </c>
      <c r="O55" s="33">
        <f ca="1">VLOOKUP(M55,Edad_Antigüedad!$M$2:$N$36,2)</f>
        <v>14</v>
      </c>
      <c r="P55" s="34" t="s">
        <v>102</v>
      </c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6"/>
      <c r="AP55" s="35"/>
      <c r="AQ55" s="35"/>
      <c r="AR55" s="35"/>
      <c r="AS55" s="35"/>
      <c r="AT55" s="35"/>
      <c r="AU55" s="35"/>
    </row>
    <row r="56" spans="1:54" ht="15.75" x14ac:dyDescent="0.25">
      <c r="A56" s="42" t="s">
        <v>9</v>
      </c>
      <c r="B56" s="25" t="s">
        <v>123</v>
      </c>
      <c r="C56" s="42" t="s">
        <v>124</v>
      </c>
      <c r="D56" s="43">
        <v>32237827</v>
      </c>
      <c r="E56" s="43" t="s">
        <v>125</v>
      </c>
      <c r="F56" s="25">
        <v>32045531</v>
      </c>
      <c r="G56" s="28" t="s">
        <v>100</v>
      </c>
      <c r="H56" s="29" t="s">
        <v>39</v>
      </c>
      <c r="I56" s="25" t="s">
        <v>123</v>
      </c>
      <c r="J56" s="29">
        <v>1</v>
      </c>
      <c r="K56" s="44">
        <v>45933</v>
      </c>
      <c r="L56" s="44">
        <v>35977</v>
      </c>
      <c r="M56" s="31">
        <f t="shared" ca="1" si="2"/>
        <v>1</v>
      </c>
      <c r="N56" s="32">
        <f t="shared" ca="1" si="3"/>
        <v>28.019178082191782</v>
      </c>
      <c r="O56" s="33">
        <v>12</v>
      </c>
      <c r="P56" s="33" t="s">
        <v>126</v>
      </c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5"/>
      <c r="AP56" s="46"/>
      <c r="AQ56" s="46"/>
      <c r="AR56" s="46"/>
      <c r="AS56" s="46"/>
      <c r="AT56" s="46"/>
      <c r="AU56" s="46"/>
    </row>
    <row r="57" spans="1:54" ht="15.75" x14ac:dyDescent="0.25">
      <c r="A57" s="42" t="s">
        <v>10</v>
      </c>
      <c r="B57" s="42" t="s">
        <v>204</v>
      </c>
      <c r="C57" s="42" t="s">
        <v>184</v>
      </c>
      <c r="D57" s="73">
        <v>32043902</v>
      </c>
      <c r="E57" s="74" t="s">
        <v>210</v>
      </c>
      <c r="F57" s="75">
        <v>32045174</v>
      </c>
      <c r="G57" s="76" t="s">
        <v>211</v>
      </c>
      <c r="H57" s="13" t="s">
        <v>42</v>
      </c>
      <c r="I57" s="42" t="s">
        <v>206</v>
      </c>
      <c r="J57" s="29">
        <v>1</v>
      </c>
      <c r="K57" s="30">
        <v>35373</v>
      </c>
      <c r="L57" s="30">
        <v>25118</v>
      </c>
      <c r="M57" s="31">
        <f t="shared" ca="1" si="2"/>
        <v>30</v>
      </c>
      <c r="N57" s="32">
        <f t="shared" ca="1" si="3"/>
        <v>57.769863013698632</v>
      </c>
      <c r="O57" s="33">
        <f ca="1">VLOOKUP(M57,Edad_Antigüedad!$M$2:$N$36,2)</f>
        <v>30</v>
      </c>
      <c r="P57" s="33" t="s">
        <v>109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5"/>
      <c r="AP57" s="46"/>
      <c r="AQ57" s="46"/>
      <c r="AR57" s="46"/>
      <c r="AS57" s="46"/>
      <c r="AT57" s="46"/>
      <c r="AU57" s="46"/>
    </row>
    <row r="58" spans="1:54" ht="15.75" x14ac:dyDescent="0.25">
      <c r="A58" s="42" t="s">
        <v>10</v>
      </c>
      <c r="B58" s="25" t="s">
        <v>35</v>
      </c>
      <c r="C58" s="72">
        <v>9</v>
      </c>
      <c r="D58" s="42">
        <v>32044246</v>
      </c>
      <c r="E58" s="13" t="s">
        <v>212</v>
      </c>
      <c r="F58" s="75">
        <v>32045174</v>
      </c>
      <c r="G58" s="76" t="s">
        <v>211</v>
      </c>
      <c r="H58" s="13" t="s">
        <v>42</v>
      </c>
      <c r="I58" s="42" t="s">
        <v>213</v>
      </c>
      <c r="J58" s="29">
        <v>1</v>
      </c>
      <c r="K58" s="30">
        <v>35779</v>
      </c>
      <c r="L58" s="30">
        <v>27062</v>
      </c>
      <c r="M58" s="31">
        <f t="shared" ca="1" si="2"/>
        <v>29</v>
      </c>
      <c r="N58" s="32">
        <f t="shared" ca="1" si="3"/>
        <v>52.443835616438356</v>
      </c>
      <c r="O58" s="33">
        <f ca="1">VLOOKUP(M58,Edad_Antigüedad!$M$2:$N$36,2)</f>
        <v>30</v>
      </c>
      <c r="P58" s="33" t="s">
        <v>129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1</v>
      </c>
      <c r="X58" s="41">
        <v>1</v>
      </c>
      <c r="Y58" s="41">
        <v>0</v>
      </c>
      <c r="Z58" s="41">
        <v>0</v>
      </c>
      <c r="AA58" s="41">
        <v>0</v>
      </c>
      <c r="AB58" s="41">
        <v>0</v>
      </c>
      <c r="AC58" s="41">
        <v>0</v>
      </c>
      <c r="AD58" s="41">
        <v>0</v>
      </c>
      <c r="AE58" s="41">
        <v>0</v>
      </c>
      <c r="AF58" s="41">
        <v>0</v>
      </c>
      <c r="AG58" s="41">
        <v>0</v>
      </c>
      <c r="AH58" s="41">
        <v>0</v>
      </c>
      <c r="AI58" s="41"/>
      <c r="AJ58" s="41"/>
      <c r="AK58" s="41"/>
      <c r="AL58" s="41"/>
      <c r="AM58" s="41"/>
      <c r="AN58" s="41"/>
      <c r="AO58" s="45"/>
      <c r="AP58" s="46"/>
      <c r="AQ58" s="46"/>
      <c r="AR58" s="46"/>
      <c r="AS58" s="46"/>
      <c r="AT58" s="46"/>
      <c r="AU58" s="46"/>
    </row>
    <row r="59" spans="1:54" ht="15.75" x14ac:dyDescent="0.25">
      <c r="A59" s="42" t="s">
        <v>10</v>
      </c>
      <c r="B59" s="42" t="s">
        <v>189</v>
      </c>
      <c r="C59" s="42" t="s">
        <v>184</v>
      </c>
      <c r="D59" s="73">
        <v>32044513</v>
      </c>
      <c r="E59" s="74" t="s">
        <v>226</v>
      </c>
      <c r="F59" s="75">
        <v>32045174</v>
      </c>
      <c r="G59" s="76" t="s">
        <v>211</v>
      </c>
      <c r="H59" s="13" t="s">
        <v>42</v>
      </c>
      <c r="I59" s="42" t="s">
        <v>191</v>
      </c>
      <c r="J59" s="29">
        <v>1</v>
      </c>
      <c r="K59" s="30">
        <v>36136</v>
      </c>
      <c r="L59" s="30">
        <v>26469</v>
      </c>
      <c r="M59" s="31">
        <f t="shared" ca="1" si="2"/>
        <v>28</v>
      </c>
      <c r="N59" s="32">
        <f t="shared" ca="1" si="3"/>
        <v>54.06849315068493</v>
      </c>
      <c r="O59" s="33">
        <f ca="1">VLOOKUP(M59,Edad_Antigüedad!$M$2:$N$36,2)</f>
        <v>30</v>
      </c>
      <c r="P59" s="33" t="s">
        <v>109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1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5"/>
      <c r="AP59" s="46"/>
      <c r="AQ59" s="46"/>
      <c r="AR59" s="46"/>
      <c r="AS59" s="46"/>
      <c r="AT59" s="46"/>
      <c r="AU59" s="46"/>
    </row>
    <row r="60" spans="1:54" ht="15.75" x14ac:dyDescent="0.25">
      <c r="A60" s="42" t="s">
        <v>10</v>
      </c>
      <c r="B60" s="42" t="s">
        <v>204</v>
      </c>
      <c r="C60" s="42" t="s">
        <v>184</v>
      </c>
      <c r="D60" s="43">
        <v>32045076</v>
      </c>
      <c r="E60" s="76" t="s">
        <v>228</v>
      </c>
      <c r="F60" s="75">
        <v>32045174</v>
      </c>
      <c r="G60" s="76" t="s">
        <v>211</v>
      </c>
      <c r="H60" s="13" t="s">
        <v>42</v>
      </c>
      <c r="I60" s="42" t="s">
        <v>206</v>
      </c>
      <c r="J60" s="29">
        <v>1</v>
      </c>
      <c r="K60" s="30">
        <v>36766</v>
      </c>
      <c r="L60" s="30">
        <v>28671</v>
      </c>
      <c r="M60" s="31">
        <f t="shared" ca="1" si="2"/>
        <v>26</v>
      </c>
      <c r="N60" s="32">
        <f t="shared" ca="1" si="3"/>
        <v>48.035616438356165</v>
      </c>
      <c r="O60" s="33">
        <f ca="1">VLOOKUP(M60,Edad_Antigüedad!$M$2:$N$36,2)</f>
        <v>30</v>
      </c>
      <c r="P60" s="33" t="s">
        <v>109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5"/>
      <c r="AP60" s="46"/>
      <c r="AQ60" s="46"/>
      <c r="AR60" s="46"/>
      <c r="AS60" s="46"/>
      <c r="AT60" s="46"/>
      <c r="AU60" s="46"/>
    </row>
    <row r="61" spans="1:54" ht="15.75" x14ac:dyDescent="0.25">
      <c r="A61" s="42" t="s">
        <v>10</v>
      </c>
      <c r="B61" s="42" t="s">
        <v>192</v>
      </c>
      <c r="C61" s="42" t="s">
        <v>184</v>
      </c>
      <c r="D61" s="80">
        <v>32045149</v>
      </c>
      <c r="E61" s="81" t="s">
        <v>229</v>
      </c>
      <c r="F61" s="75">
        <v>32045174</v>
      </c>
      <c r="G61" s="76" t="s">
        <v>211</v>
      </c>
      <c r="H61" s="13" t="s">
        <v>42</v>
      </c>
      <c r="I61" s="42" t="s">
        <v>222</v>
      </c>
      <c r="J61" s="29">
        <v>1</v>
      </c>
      <c r="K61" s="30">
        <v>36824</v>
      </c>
      <c r="L61" s="30">
        <v>30025</v>
      </c>
      <c r="M61" s="31">
        <f t="shared" ca="1" si="2"/>
        <v>26</v>
      </c>
      <c r="N61" s="32">
        <f t="shared" ca="1" si="3"/>
        <v>44.326027397260276</v>
      </c>
      <c r="O61" s="33">
        <f ca="1">VLOOKUP(M61,Edad_Antigüedad!$M$2:$N$36,2)</f>
        <v>30</v>
      </c>
      <c r="P61" s="33" t="s">
        <v>109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1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5"/>
      <c r="AP61" s="46"/>
      <c r="AQ61" s="46"/>
      <c r="AR61" s="46"/>
      <c r="AS61" s="46"/>
      <c r="AT61" s="46"/>
      <c r="AU61" s="46"/>
    </row>
    <row r="62" spans="1:54" ht="15.75" x14ac:dyDescent="0.25">
      <c r="A62" s="42" t="s">
        <v>10</v>
      </c>
      <c r="B62" s="42" t="s">
        <v>40</v>
      </c>
      <c r="C62" s="72">
        <v>7</v>
      </c>
      <c r="D62" s="80">
        <v>32045174</v>
      </c>
      <c r="E62" s="81" t="s">
        <v>211</v>
      </c>
      <c r="F62" s="75">
        <v>32045961</v>
      </c>
      <c r="G62" s="76" t="s">
        <v>41</v>
      </c>
      <c r="H62" s="13" t="s">
        <v>42</v>
      </c>
      <c r="I62" s="56" t="s">
        <v>101</v>
      </c>
      <c r="J62" s="29">
        <v>1</v>
      </c>
      <c r="K62" s="30">
        <v>36846</v>
      </c>
      <c r="L62" s="30">
        <v>26857</v>
      </c>
      <c r="M62" s="31">
        <f t="shared" ca="1" si="2"/>
        <v>26</v>
      </c>
      <c r="N62" s="32">
        <f t="shared" ca="1" si="3"/>
        <v>53.005479452054793</v>
      </c>
      <c r="O62" s="33">
        <f ca="1">VLOOKUP(M62,Edad_Antigüedad!$M$2:$N$36,2)</f>
        <v>30</v>
      </c>
      <c r="P62" s="33" t="s">
        <v>129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1</v>
      </c>
      <c r="X62" s="41">
        <v>1</v>
      </c>
      <c r="Y62" s="41">
        <v>0</v>
      </c>
      <c r="Z62" s="41">
        <v>0</v>
      </c>
      <c r="AA62" s="41">
        <v>0</v>
      </c>
      <c r="AB62" s="41">
        <v>0</v>
      </c>
      <c r="AC62" s="41">
        <v>0</v>
      </c>
      <c r="AD62" s="41">
        <v>0</v>
      </c>
      <c r="AE62" s="41">
        <v>1</v>
      </c>
      <c r="AF62" s="41">
        <v>0</v>
      </c>
      <c r="AG62" s="41">
        <v>0</v>
      </c>
      <c r="AH62" s="41">
        <v>0</v>
      </c>
      <c r="AI62" s="41"/>
      <c r="AJ62" s="41"/>
      <c r="AK62" s="41"/>
      <c r="AL62" s="41"/>
      <c r="AM62" s="41"/>
      <c r="AN62" s="41"/>
      <c r="AO62" s="45"/>
      <c r="AP62" s="46"/>
      <c r="AQ62" s="46"/>
      <c r="AR62" s="46"/>
      <c r="AS62" s="46"/>
      <c r="AT62" s="46"/>
      <c r="AU62" s="46"/>
    </row>
    <row r="63" spans="1:54" ht="15.75" x14ac:dyDescent="0.25">
      <c r="A63" s="42" t="s">
        <v>10</v>
      </c>
      <c r="B63" s="42" t="s">
        <v>183</v>
      </c>
      <c r="C63" s="42" t="s">
        <v>184</v>
      </c>
      <c r="D63" s="43">
        <v>32045357</v>
      </c>
      <c r="E63" s="76" t="s">
        <v>234</v>
      </c>
      <c r="F63" s="75">
        <v>32045174</v>
      </c>
      <c r="G63" s="76" t="s">
        <v>211</v>
      </c>
      <c r="H63" s="13" t="s">
        <v>42</v>
      </c>
      <c r="I63" s="42" t="s">
        <v>187</v>
      </c>
      <c r="J63" s="29">
        <v>1</v>
      </c>
      <c r="K63" s="30">
        <v>37023</v>
      </c>
      <c r="L63" s="30">
        <v>26237</v>
      </c>
      <c r="M63" s="31">
        <f t="shared" ca="1" si="2"/>
        <v>25</v>
      </c>
      <c r="N63" s="32">
        <f t="shared" ca="1" si="3"/>
        <v>54.704109589041096</v>
      </c>
      <c r="O63" s="33">
        <f ca="1">VLOOKUP(M63,Edad_Antigüedad!$M$2:$N$36,2)</f>
        <v>28</v>
      </c>
      <c r="P63" s="33" t="s">
        <v>109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1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5"/>
      <c r="AP63" s="46"/>
      <c r="AQ63" s="46"/>
      <c r="AR63" s="46"/>
      <c r="AS63" s="46"/>
      <c r="AT63" s="46"/>
      <c r="AU63" s="46"/>
    </row>
    <row r="64" spans="1:54" ht="15.75" x14ac:dyDescent="0.25">
      <c r="A64" s="42" t="s">
        <v>10</v>
      </c>
      <c r="B64" s="42" t="s">
        <v>214</v>
      </c>
      <c r="C64" s="42" t="s">
        <v>184</v>
      </c>
      <c r="D64" s="73">
        <v>32045396</v>
      </c>
      <c r="E64" s="74" t="s">
        <v>235</v>
      </c>
      <c r="F64" s="75">
        <v>32045174</v>
      </c>
      <c r="G64" s="76" t="s">
        <v>211</v>
      </c>
      <c r="H64" s="13" t="s">
        <v>42</v>
      </c>
      <c r="I64" s="42" t="s">
        <v>216</v>
      </c>
      <c r="J64" s="29">
        <v>1</v>
      </c>
      <c r="K64" s="30">
        <v>37055</v>
      </c>
      <c r="L64" s="30">
        <v>26745</v>
      </c>
      <c r="M64" s="31">
        <f t="shared" ca="1" si="2"/>
        <v>25</v>
      </c>
      <c r="N64" s="32">
        <f t="shared" ca="1" si="3"/>
        <v>53.31232876712329</v>
      </c>
      <c r="O64" s="33">
        <f ca="1">VLOOKUP(M64,Edad_Antigüedad!$M$2:$N$36,2)</f>
        <v>28</v>
      </c>
      <c r="P64" s="33" t="s">
        <v>109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1</v>
      </c>
      <c r="X64" s="41">
        <v>1</v>
      </c>
      <c r="Y64" s="41">
        <v>0</v>
      </c>
      <c r="Z64" s="41">
        <v>0</v>
      </c>
      <c r="AA64" s="41">
        <v>0</v>
      </c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5"/>
      <c r="AP64" s="46"/>
      <c r="AQ64" s="46"/>
      <c r="AR64" s="46"/>
      <c r="AS64" s="46"/>
      <c r="AT64" s="46"/>
      <c r="AU64" s="46"/>
    </row>
    <row r="65" spans="1:47" ht="15.75" x14ac:dyDescent="0.25">
      <c r="A65" s="42" t="s">
        <v>10</v>
      </c>
      <c r="B65" s="42" t="s">
        <v>236</v>
      </c>
      <c r="C65" s="42" t="s">
        <v>184</v>
      </c>
      <c r="D65" s="43">
        <v>32149238</v>
      </c>
      <c r="E65" s="76" t="s">
        <v>237</v>
      </c>
      <c r="F65" s="75">
        <v>32045174</v>
      </c>
      <c r="G65" s="76" t="s">
        <v>211</v>
      </c>
      <c r="H65" s="13" t="s">
        <v>42</v>
      </c>
      <c r="I65" s="42" t="s">
        <v>191</v>
      </c>
      <c r="J65" s="29">
        <v>1</v>
      </c>
      <c r="K65" s="30">
        <v>42520</v>
      </c>
      <c r="L65" s="30">
        <v>34969</v>
      </c>
      <c r="M65" s="31">
        <f t="shared" ca="1" si="2"/>
        <v>10</v>
      </c>
      <c r="N65" s="32">
        <f t="shared" ca="1" si="3"/>
        <v>30.780821917808218</v>
      </c>
      <c r="O65" s="33">
        <f ca="1">VLOOKUP(M65,Edad_Antigüedad!$M$2:$N$36,2)</f>
        <v>22</v>
      </c>
      <c r="P65" s="33" t="s">
        <v>126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1</v>
      </c>
      <c r="X65" s="41">
        <v>0</v>
      </c>
      <c r="Y65" s="41">
        <v>0</v>
      </c>
      <c r="Z65" s="41">
        <v>0</v>
      </c>
      <c r="AA65" s="41">
        <v>0</v>
      </c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5"/>
      <c r="AP65" s="46"/>
      <c r="AQ65" s="46"/>
      <c r="AR65" s="46"/>
      <c r="AS65" s="46"/>
      <c r="AT65" s="46"/>
      <c r="AU65" s="46"/>
    </row>
    <row r="66" spans="1:47" ht="15.75" x14ac:dyDescent="0.25">
      <c r="A66" s="42" t="s">
        <v>10</v>
      </c>
      <c r="B66" s="25" t="s">
        <v>35</v>
      </c>
      <c r="C66" s="42">
        <v>9</v>
      </c>
      <c r="D66" s="75">
        <v>32154634</v>
      </c>
      <c r="E66" s="82" t="s">
        <v>238</v>
      </c>
      <c r="F66" s="75">
        <v>32045174</v>
      </c>
      <c r="G66" s="76" t="s">
        <v>211</v>
      </c>
      <c r="H66" s="13" t="s">
        <v>42</v>
      </c>
      <c r="I66" s="42" t="s">
        <v>213</v>
      </c>
      <c r="J66" s="29">
        <v>2</v>
      </c>
      <c r="K66" s="30">
        <v>42690</v>
      </c>
      <c r="L66" s="30">
        <v>33920</v>
      </c>
      <c r="M66" s="31">
        <f t="shared" ref="M66:M96" ca="1" si="4">ROUND((($K$2-K66)/365),0)</f>
        <v>10</v>
      </c>
      <c r="N66" s="32">
        <f t="shared" ref="N66:N96" ca="1" si="5">($K$2-L66)/365</f>
        <v>33.654794520547945</v>
      </c>
      <c r="O66" s="33">
        <f ca="1">VLOOKUP(M66,Edad_Antigüedad!$M$2:$N$36,2)</f>
        <v>22</v>
      </c>
      <c r="P66" s="33" t="s">
        <v>129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1</v>
      </c>
      <c r="X66" s="41">
        <v>1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0</v>
      </c>
      <c r="AH66" s="41">
        <v>0</v>
      </c>
      <c r="AI66" s="41"/>
      <c r="AJ66" s="41"/>
      <c r="AK66" s="41"/>
      <c r="AL66" s="41"/>
      <c r="AM66" s="41"/>
      <c r="AN66" s="41"/>
      <c r="AO66" s="45"/>
      <c r="AP66" s="46"/>
      <c r="AQ66" s="46"/>
      <c r="AR66" s="46"/>
      <c r="AS66" s="46"/>
      <c r="AT66" s="46"/>
      <c r="AU66" s="46"/>
    </row>
    <row r="67" spans="1:47" ht="15.75" x14ac:dyDescent="0.25">
      <c r="A67" s="42" t="s">
        <v>10</v>
      </c>
      <c r="B67" s="42" t="s">
        <v>201</v>
      </c>
      <c r="C67" s="42" t="s">
        <v>193</v>
      </c>
      <c r="D67" s="43">
        <v>32188009</v>
      </c>
      <c r="E67" s="76" t="s">
        <v>239</v>
      </c>
      <c r="F67" s="75">
        <v>32045174</v>
      </c>
      <c r="G67" s="76" t="s">
        <v>211</v>
      </c>
      <c r="H67" s="13" t="s">
        <v>42</v>
      </c>
      <c r="I67" s="42" t="s">
        <v>203</v>
      </c>
      <c r="J67" s="29">
        <v>1</v>
      </c>
      <c r="K67" s="30">
        <v>44379</v>
      </c>
      <c r="L67" s="30">
        <v>36082</v>
      </c>
      <c r="M67" s="31">
        <f t="shared" ca="1" si="4"/>
        <v>5</v>
      </c>
      <c r="N67" s="32">
        <f t="shared" ca="1" si="5"/>
        <v>27.731506849315068</v>
      </c>
      <c r="O67" s="33">
        <f ca="1">VLOOKUP(M67,Edad_Antigüedad!$M$2:$N$36,2)</f>
        <v>20</v>
      </c>
      <c r="P67" s="33" t="s">
        <v>126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5"/>
      <c r="AP67" s="46"/>
      <c r="AQ67" s="46"/>
      <c r="AR67" s="46"/>
      <c r="AS67" s="46"/>
      <c r="AT67" s="46"/>
      <c r="AU67" s="46"/>
    </row>
    <row r="68" spans="1:47" ht="15.75" x14ac:dyDescent="0.25">
      <c r="A68" s="42" t="s">
        <v>10</v>
      </c>
      <c r="B68" s="25" t="s">
        <v>35</v>
      </c>
      <c r="C68" s="72">
        <v>9</v>
      </c>
      <c r="D68" s="75">
        <v>32188513</v>
      </c>
      <c r="E68" s="82" t="s">
        <v>241</v>
      </c>
      <c r="F68" s="75">
        <v>32045174</v>
      </c>
      <c r="G68" s="76" t="s">
        <v>211</v>
      </c>
      <c r="H68" s="13" t="s">
        <v>42</v>
      </c>
      <c r="I68" s="42" t="s">
        <v>213</v>
      </c>
      <c r="J68" s="29">
        <v>1</v>
      </c>
      <c r="K68" s="30">
        <v>44075</v>
      </c>
      <c r="L68" s="30">
        <v>34946</v>
      </c>
      <c r="M68" s="31">
        <f t="shared" ca="1" si="4"/>
        <v>6</v>
      </c>
      <c r="N68" s="32">
        <f t="shared" ca="1" si="5"/>
        <v>30.843835616438355</v>
      </c>
      <c r="O68" s="33">
        <f ca="1">VLOOKUP(M68,Edad_Antigüedad!$M$2:$N$36,2)</f>
        <v>22</v>
      </c>
      <c r="P68" s="33" t="s">
        <v>129</v>
      </c>
      <c r="Q68" s="41">
        <v>0</v>
      </c>
      <c r="R68" s="41">
        <v>0</v>
      </c>
      <c r="S68" s="41">
        <v>0</v>
      </c>
      <c r="T68" s="41">
        <v>0</v>
      </c>
      <c r="U68" s="41">
        <v>1</v>
      </c>
      <c r="V68" s="41">
        <v>1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5"/>
      <c r="AP68" s="46"/>
      <c r="AQ68" s="46"/>
      <c r="AR68" s="46"/>
      <c r="AS68" s="46"/>
      <c r="AT68" s="46"/>
      <c r="AU68" s="46"/>
    </row>
    <row r="69" spans="1:47" ht="15.75" x14ac:dyDescent="0.25">
      <c r="A69" s="42" t="s">
        <v>10</v>
      </c>
      <c r="B69" s="42" t="s">
        <v>236</v>
      </c>
      <c r="C69" s="42" t="s">
        <v>184</v>
      </c>
      <c r="D69" s="43">
        <v>32197835</v>
      </c>
      <c r="E69" s="76" t="s">
        <v>242</v>
      </c>
      <c r="F69" s="75">
        <v>32045174</v>
      </c>
      <c r="G69" s="76" t="s">
        <v>211</v>
      </c>
      <c r="H69" s="13" t="s">
        <v>42</v>
      </c>
      <c r="I69" s="42" t="s">
        <v>187</v>
      </c>
      <c r="J69" s="29">
        <v>1</v>
      </c>
      <c r="K69" s="30">
        <v>44428</v>
      </c>
      <c r="L69" s="30">
        <v>34746</v>
      </c>
      <c r="M69" s="31">
        <f t="shared" ca="1" si="4"/>
        <v>5</v>
      </c>
      <c r="N69" s="32">
        <f t="shared" ca="1" si="5"/>
        <v>31.391780821917809</v>
      </c>
      <c r="O69" s="33">
        <f ca="1">VLOOKUP(M69,Edad_Antigüedad!$M$2:$N$36,2)</f>
        <v>20</v>
      </c>
      <c r="P69" s="33" t="s">
        <v>129</v>
      </c>
      <c r="Q69" s="41">
        <v>0</v>
      </c>
      <c r="R69" s="41">
        <v>0</v>
      </c>
      <c r="S69" s="41">
        <v>0</v>
      </c>
      <c r="T69" s="41">
        <v>0</v>
      </c>
      <c r="U69" s="41">
        <v>0</v>
      </c>
      <c r="V69" s="41">
        <v>0</v>
      </c>
      <c r="W69" s="41">
        <v>1</v>
      </c>
      <c r="X69" s="41">
        <v>0</v>
      </c>
      <c r="Y69" s="41">
        <v>0</v>
      </c>
      <c r="Z69" s="41">
        <v>0</v>
      </c>
      <c r="AA69" s="41">
        <v>0</v>
      </c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5"/>
      <c r="AP69" s="46"/>
      <c r="AQ69" s="46"/>
      <c r="AR69" s="46"/>
      <c r="AS69" s="46"/>
      <c r="AT69" s="46"/>
      <c r="AU69" s="46"/>
    </row>
    <row r="70" spans="1:47" ht="15.75" x14ac:dyDescent="0.25">
      <c r="A70" s="42" t="s">
        <v>10</v>
      </c>
      <c r="B70" s="42" t="s">
        <v>236</v>
      </c>
      <c r="C70" s="42" t="s">
        <v>184</v>
      </c>
      <c r="D70" s="73">
        <v>32201712</v>
      </c>
      <c r="E70" s="74" t="s">
        <v>248</v>
      </c>
      <c r="F70" s="75">
        <v>32045174</v>
      </c>
      <c r="G70" s="76" t="s">
        <v>211</v>
      </c>
      <c r="H70" s="13" t="s">
        <v>42</v>
      </c>
      <c r="I70" s="42" t="s">
        <v>216</v>
      </c>
      <c r="J70" s="29">
        <v>1</v>
      </c>
      <c r="K70" s="30">
        <v>44498</v>
      </c>
      <c r="L70" s="30">
        <v>31590</v>
      </c>
      <c r="M70" s="31">
        <f t="shared" ca="1" si="4"/>
        <v>5</v>
      </c>
      <c r="N70" s="32">
        <f t="shared" ca="1" si="5"/>
        <v>40.038356164383565</v>
      </c>
      <c r="O70" s="33">
        <f ca="1">VLOOKUP(M70,Edad_Antigüedad!$M$2:$N$36,2)</f>
        <v>20</v>
      </c>
      <c r="P70" s="33" t="s">
        <v>199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1</v>
      </c>
      <c r="W70" s="41">
        <v>1</v>
      </c>
      <c r="X70" s="41">
        <v>1</v>
      </c>
      <c r="Y70" s="41">
        <v>0</v>
      </c>
      <c r="Z70" s="41">
        <v>0</v>
      </c>
      <c r="AA70" s="41">
        <v>0</v>
      </c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5"/>
      <c r="AP70" s="46"/>
      <c r="AQ70" s="46"/>
      <c r="AR70" s="46"/>
      <c r="AS70" s="46"/>
      <c r="AT70" s="46"/>
      <c r="AU70" s="46"/>
    </row>
    <row r="71" spans="1:47" ht="15.75" x14ac:dyDescent="0.25">
      <c r="A71" s="42" t="s">
        <v>10</v>
      </c>
      <c r="B71" s="42" t="s">
        <v>196</v>
      </c>
      <c r="C71" s="42" t="s">
        <v>184</v>
      </c>
      <c r="D71" s="73">
        <v>32213345</v>
      </c>
      <c r="E71" s="74" t="s">
        <v>253</v>
      </c>
      <c r="F71" s="75">
        <v>32045174</v>
      </c>
      <c r="G71" s="76" t="s">
        <v>211</v>
      </c>
      <c r="H71" s="13" t="s">
        <v>42</v>
      </c>
      <c r="I71" s="42" t="s">
        <v>231</v>
      </c>
      <c r="J71" s="29">
        <v>1</v>
      </c>
      <c r="K71" s="30">
        <v>44757</v>
      </c>
      <c r="L71" s="30">
        <v>35095</v>
      </c>
      <c r="M71" s="31">
        <f t="shared" ca="1" si="4"/>
        <v>4</v>
      </c>
      <c r="N71" s="32">
        <f t="shared" ca="1" si="5"/>
        <v>30.435616438356163</v>
      </c>
      <c r="O71" s="33">
        <f ca="1">VLOOKUP(M71,Edad_Antigüedad!$M$2:$N$36,2)</f>
        <v>18</v>
      </c>
      <c r="P71" s="33" t="s">
        <v>129</v>
      </c>
      <c r="Q71" s="41">
        <v>0</v>
      </c>
      <c r="R71" s="41">
        <v>0</v>
      </c>
      <c r="S71" s="41">
        <v>0</v>
      </c>
      <c r="T71" s="41">
        <v>0</v>
      </c>
      <c r="U71" s="41">
        <v>1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5"/>
      <c r="AP71" s="46"/>
      <c r="AQ71" s="46"/>
      <c r="AR71" s="46"/>
      <c r="AS71" s="46"/>
      <c r="AT71" s="46"/>
      <c r="AU71" s="46"/>
    </row>
    <row r="72" spans="1:47" ht="15.75" x14ac:dyDescent="0.25">
      <c r="A72" s="42" t="s">
        <v>10</v>
      </c>
      <c r="B72" s="42" t="s">
        <v>236</v>
      </c>
      <c r="C72" s="42" t="s">
        <v>120</v>
      </c>
      <c r="D72" s="43">
        <v>32222224</v>
      </c>
      <c r="E72" s="76" t="s">
        <v>261</v>
      </c>
      <c r="F72" s="75">
        <v>32045174</v>
      </c>
      <c r="G72" s="76" t="s">
        <v>211</v>
      </c>
      <c r="H72" s="13" t="s">
        <v>42</v>
      </c>
      <c r="I72" s="42" t="s">
        <v>198</v>
      </c>
      <c r="J72" s="29">
        <v>1</v>
      </c>
      <c r="K72" s="30">
        <v>45093</v>
      </c>
      <c r="L72" s="30">
        <v>37958</v>
      </c>
      <c r="M72" s="31">
        <f t="shared" ca="1" si="4"/>
        <v>3</v>
      </c>
      <c r="N72" s="32">
        <f t="shared" ca="1" si="5"/>
        <v>22.591780821917808</v>
      </c>
      <c r="O72" s="33">
        <f ca="1">VLOOKUP(M72,Edad_Antigüedad!$M$2:$N$36,2)</f>
        <v>16</v>
      </c>
      <c r="P72" s="33" t="s">
        <v>199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1</v>
      </c>
      <c r="X72" s="41">
        <v>0</v>
      </c>
      <c r="Y72" s="41">
        <v>0</v>
      </c>
      <c r="Z72" s="41">
        <v>0</v>
      </c>
      <c r="AA72" s="41">
        <v>0</v>
      </c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5"/>
      <c r="AP72" s="46"/>
      <c r="AQ72" s="46"/>
      <c r="AR72" s="46"/>
      <c r="AS72" s="46"/>
      <c r="AT72" s="46"/>
      <c r="AU72" s="46"/>
    </row>
    <row r="73" spans="1:47" ht="15.75" x14ac:dyDescent="0.25">
      <c r="A73" s="42" t="s">
        <v>10</v>
      </c>
      <c r="B73" s="25" t="s">
        <v>35</v>
      </c>
      <c r="C73" s="72">
        <v>9</v>
      </c>
      <c r="D73" s="75">
        <v>32231910</v>
      </c>
      <c r="E73" s="82" t="s">
        <v>275</v>
      </c>
      <c r="F73" s="75">
        <v>32045174</v>
      </c>
      <c r="G73" s="76" t="s">
        <v>211</v>
      </c>
      <c r="H73" s="13" t="s">
        <v>42</v>
      </c>
      <c r="I73" s="42" t="s">
        <v>213</v>
      </c>
      <c r="J73" s="29">
        <v>1</v>
      </c>
      <c r="K73" s="30">
        <v>45583</v>
      </c>
      <c r="L73" s="30">
        <v>36997</v>
      </c>
      <c r="M73" s="31">
        <f t="shared" ca="1" si="4"/>
        <v>2</v>
      </c>
      <c r="N73" s="32">
        <f t="shared" ca="1" si="5"/>
        <v>25.224657534246575</v>
      </c>
      <c r="O73" s="33">
        <f ca="1">VLOOKUP(M73,Edad_Antigüedad!$M$2:$N$36,2)</f>
        <v>14</v>
      </c>
      <c r="P73" s="33" t="s">
        <v>129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1</v>
      </c>
      <c r="X73" s="41">
        <v>0</v>
      </c>
      <c r="Y73" s="41">
        <v>0</v>
      </c>
      <c r="Z73" s="41">
        <v>0</v>
      </c>
      <c r="AA73" s="41">
        <v>0</v>
      </c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5"/>
      <c r="AP73" s="46"/>
      <c r="AQ73" s="46"/>
      <c r="AR73" s="46"/>
      <c r="AS73" s="46"/>
      <c r="AT73" s="46"/>
      <c r="AU73" s="46"/>
    </row>
    <row r="74" spans="1:47" ht="15.75" x14ac:dyDescent="0.25">
      <c r="A74" s="24" t="s">
        <v>9</v>
      </c>
      <c r="B74" s="24" t="s">
        <v>31</v>
      </c>
      <c r="C74" s="26">
        <v>7</v>
      </c>
      <c r="D74" s="48">
        <v>32174889</v>
      </c>
      <c r="E74" s="40" t="s">
        <v>133</v>
      </c>
      <c r="F74" s="48">
        <v>32132858</v>
      </c>
      <c r="G74" s="49" t="s">
        <v>30</v>
      </c>
      <c r="H74" s="13" t="s">
        <v>32</v>
      </c>
      <c r="I74" s="39" t="s">
        <v>101</v>
      </c>
      <c r="J74" s="29">
        <v>1</v>
      </c>
      <c r="K74" s="50">
        <v>43514</v>
      </c>
      <c r="L74" s="50">
        <v>35340</v>
      </c>
      <c r="M74" s="31">
        <f t="shared" ca="1" si="4"/>
        <v>7</v>
      </c>
      <c r="N74" s="32">
        <f t="shared" ca="1" si="5"/>
        <v>29.764383561643836</v>
      </c>
      <c r="O74" s="33">
        <f ca="1">VLOOKUP(M74,Edad_Antigüedad!$M$2:$N$36,2)</f>
        <v>22</v>
      </c>
      <c r="P74" s="51" t="s">
        <v>102</v>
      </c>
      <c r="Q74" s="52" t="s">
        <v>134</v>
      </c>
      <c r="R74" s="52">
        <v>1</v>
      </c>
      <c r="S74" s="52">
        <v>1</v>
      </c>
      <c r="T74" s="52">
        <v>1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2">
        <v>0</v>
      </c>
      <c r="AG74" s="52">
        <v>0</v>
      </c>
      <c r="AH74" s="52">
        <v>0</v>
      </c>
      <c r="AI74" s="52">
        <v>0</v>
      </c>
      <c r="AJ74" s="52">
        <v>0</v>
      </c>
      <c r="AK74" s="52">
        <v>0</v>
      </c>
      <c r="AL74" s="52">
        <v>0</v>
      </c>
      <c r="AM74" s="52">
        <v>0</v>
      </c>
      <c r="AN74" s="52">
        <v>0</v>
      </c>
      <c r="AO74" s="53">
        <v>0</v>
      </c>
      <c r="AP74" s="52"/>
      <c r="AQ74" s="52"/>
      <c r="AR74" s="52"/>
      <c r="AS74" s="52"/>
      <c r="AT74" s="52"/>
      <c r="AU74" s="52"/>
    </row>
    <row r="75" spans="1:47" ht="15.75" x14ac:dyDescent="0.25">
      <c r="A75" s="24" t="s">
        <v>9</v>
      </c>
      <c r="B75" s="25" t="s">
        <v>31</v>
      </c>
      <c r="C75" s="26">
        <v>7</v>
      </c>
      <c r="D75" s="28">
        <v>32044788</v>
      </c>
      <c r="E75" s="39" t="s">
        <v>135</v>
      </c>
      <c r="F75" s="28">
        <v>32132858</v>
      </c>
      <c r="G75" s="29" t="s">
        <v>30</v>
      </c>
      <c r="H75" s="29" t="s">
        <v>32</v>
      </c>
      <c r="I75" s="29" t="s">
        <v>132</v>
      </c>
      <c r="J75" s="29">
        <v>1</v>
      </c>
      <c r="K75" s="30">
        <v>36412</v>
      </c>
      <c r="L75" s="30">
        <v>27877</v>
      </c>
      <c r="M75" s="31">
        <f t="shared" ca="1" si="4"/>
        <v>27</v>
      </c>
      <c r="N75" s="32">
        <f t="shared" ca="1" si="5"/>
        <v>50.210958904109589</v>
      </c>
      <c r="O75" s="33">
        <f ca="1">VLOOKUP(M75,Edad_Antigüedad!$M$2:$N$36,2)</f>
        <v>30</v>
      </c>
      <c r="P75" s="34" t="s">
        <v>102</v>
      </c>
      <c r="Q75" s="35" t="s">
        <v>136</v>
      </c>
      <c r="R75" s="35">
        <v>1</v>
      </c>
      <c r="S75" s="35">
        <v>1</v>
      </c>
      <c r="T75" s="35">
        <v>1</v>
      </c>
      <c r="U75" s="35">
        <v>1</v>
      </c>
      <c r="V75" s="35">
        <v>0</v>
      </c>
      <c r="W75" s="35">
        <v>0</v>
      </c>
      <c r="X75" s="35">
        <v>0</v>
      </c>
      <c r="Y75" s="35">
        <v>0</v>
      </c>
      <c r="Z75" s="35">
        <v>0</v>
      </c>
      <c r="AA75" s="35">
        <v>0</v>
      </c>
      <c r="AB75" s="35">
        <v>0</v>
      </c>
      <c r="AC75" s="35">
        <v>0</v>
      </c>
      <c r="AD75" s="35">
        <v>0</v>
      </c>
      <c r="AE75" s="35">
        <v>0</v>
      </c>
      <c r="AF75" s="35">
        <v>0</v>
      </c>
      <c r="AG75" s="35">
        <v>0</v>
      </c>
      <c r="AH75" s="35">
        <v>0</v>
      </c>
      <c r="AI75" s="35">
        <v>0</v>
      </c>
      <c r="AJ75" s="35">
        <v>0</v>
      </c>
      <c r="AK75" s="35">
        <v>0</v>
      </c>
      <c r="AL75" s="35">
        <v>0</v>
      </c>
      <c r="AM75" s="35">
        <v>0</v>
      </c>
      <c r="AN75" s="35">
        <v>0</v>
      </c>
      <c r="AO75" s="36">
        <v>0</v>
      </c>
      <c r="AP75" s="35"/>
      <c r="AQ75" s="35"/>
      <c r="AR75" s="35"/>
      <c r="AS75" s="35"/>
      <c r="AT75" s="35"/>
      <c r="AU75" s="35"/>
    </row>
    <row r="76" spans="1:47" ht="15.75" x14ac:dyDescent="0.25">
      <c r="A76" s="24" t="s">
        <v>9</v>
      </c>
      <c r="B76" s="25" t="s">
        <v>106</v>
      </c>
      <c r="C76" s="25" t="s">
        <v>107</v>
      </c>
      <c r="D76" s="25">
        <v>32043796</v>
      </c>
      <c r="E76" s="39" t="s">
        <v>137</v>
      </c>
      <c r="F76" s="54">
        <v>32174889</v>
      </c>
      <c r="G76" s="55" t="s">
        <v>133</v>
      </c>
      <c r="H76" s="29" t="s">
        <v>32</v>
      </c>
      <c r="I76" s="29" t="s">
        <v>106</v>
      </c>
      <c r="J76" s="29">
        <v>1</v>
      </c>
      <c r="K76" s="30">
        <v>35121</v>
      </c>
      <c r="L76" s="30">
        <v>26411</v>
      </c>
      <c r="M76" s="31">
        <f t="shared" ca="1" si="4"/>
        <v>30</v>
      </c>
      <c r="N76" s="32">
        <f t="shared" ca="1" si="5"/>
        <v>54.227397260273975</v>
      </c>
      <c r="O76" s="33">
        <f ca="1">VLOOKUP(M76,Edad_Antigüedad!$M$2:$N$36,2)</f>
        <v>30</v>
      </c>
      <c r="P76" s="34" t="s">
        <v>109</v>
      </c>
      <c r="Q76" s="35"/>
      <c r="R76" s="35">
        <v>1</v>
      </c>
      <c r="S76" s="35">
        <v>1</v>
      </c>
      <c r="T76" s="35">
        <v>1</v>
      </c>
      <c r="U76" s="35">
        <v>0</v>
      </c>
      <c r="V76" s="35">
        <v>0</v>
      </c>
      <c r="W76" s="35">
        <v>0</v>
      </c>
      <c r="X76" s="35">
        <v>0</v>
      </c>
      <c r="Y76" s="35">
        <v>0</v>
      </c>
      <c r="Z76" s="35">
        <v>0</v>
      </c>
      <c r="AA76" s="35">
        <v>0</v>
      </c>
      <c r="AB76" s="35">
        <v>0</v>
      </c>
      <c r="AC76" s="35">
        <v>0</v>
      </c>
      <c r="AD76" s="35">
        <v>0</v>
      </c>
      <c r="AE76" s="35">
        <v>0</v>
      </c>
      <c r="AF76" s="35">
        <v>0</v>
      </c>
      <c r="AG76" s="35">
        <v>0</v>
      </c>
      <c r="AH76" s="35">
        <v>0</v>
      </c>
      <c r="AI76" s="35">
        <v>0</v>
      </c>
      <c r="AJ76" s="35">
        <v>0</v>
      </c>
      <c r="AK76" s="35">
        <v>0</v>
      </c>
      <c r="AL76" s="35">
        <v>0</v>
      </c>
      <c r="AM76" s="35">
        <v>0</v>
      </c>
      <c r="AN76" s="35">
        <v>0</v>
      </c>
      <c r="AO76" s="36">
        <v>0</v>
      </c>
      <c r="AP76" s="35"/>
      <c r="AQ76" s="35"/>
      <c r="AR76" s="35"/>
      <c r="AS76" s="35"/>
      <c r="AT76" s="35"/>
      <c r="AU76" s="35"/>
    </row>
    <row r="77" spans="1:47" ht="15.75" x14ac:dyDescent="0.25">
      <c r="A77" s="24" t="s">
        <v>9</v>
      </c>
      <c r="B77" s="25" t="s">
        <v>106</v>
      </c>
      <c r="C77" s="25" t="s">
        <v>107</v>
      </c>
      <c r="D77" s="25">
        <v>32044838</v>
      </c>
      <c r="E77" s="39" t="s">
        <v>138</v>
      </c>
      <c r="F77" s="54">
        <v>32174889</v>
      </c>
      <c r="G77" s="55" t="s">
        <v>133</v>
      </c>
      <c r="H77" s="29" t="s">
        <v>32</v>
      </c>
      <c r="I77" s="29" t="s">
        <v>106</v>
      </c>
      <c r="J77" s="29">
        <v>1</v>
      </c>
      <c r="K77" s="30">
        <v>36549</v>
      </c>
      <c r="L77" s="30">
        <v>28560</v>
      </c>
      <c r="M77" s="31">
        <f t="shared" ca="1" si="4"/>
        <v>26</v>
      </c>
      <c r="N77" s="32">
        <f t="shared" ca="1" si="5"/>
        <v>48.339726027397262</v>
      </c>
      <c r="O77" s="33">
        <f ca="1">VLOOKUP(M77,Edad_Antigüedad!$M$2:$N$36,2)</f>
        <v>30</v>
      </c>
      <c r="P77" s="34" t="s">
        <v>109</v>
      </c>
      <c r="Q77" s="35"/>
      <c r="R77" s="35">
        <v>0</v>
      </c>
      <c r="S77" s="35">
        <v>0</v>
      </c>
      <c r="T77" s="35">
        <v>0</v>
      </c>
      <c r="U77" s="35">
        <v>0</v>
      </c>
      <c r="V77" s="35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5">
        <v>0</v>
      </c>
      <c r="AJ77" s="35">
        <v>0</v>
      </c>
      <c r="AK77" s="35">
        <v>0</v>
      </c>
      <c r="AL77" s="35">
        <v>0</v>
      </c>
      <c r="AM77" s="35">
        <v>0</v>
      </c>
      <c r="AN77" s="35">
        <v>0</v>
      </c>
      <c r="AO77" s="36">
        <v>0</v>
      </c>
      <c r="AP77" s="35"/>
      <c r="AQ77" s="35"/>
      <c r="AR77" s="35"/>
      <c r="AS77" s="35"/>
      <c r="AT77" s="35"/>
      <c r="AU77" s="35"/>
    </row>
    <row r="78" spans="1:47" ht="15.75" x14ac:dyDescent="0.25">
      <c r="A78" s="24" t="s">
        <v>9</v>
      </c>
      <c r="B78" s="25" t="s">
        <v>106</v>
      </c>
      <c r="C78" s="25" t="s">
        <v>107</v>
      </c>
      <c r="D78" s="25">
        <v>32148922</v>
      </c>
      <c r="E78" s="39" t="s">
        <v>139</v>
      </c>
      <c r="F78" s="54">
        <v>32174889</v>
      </c>
      <c r="G78" s="55" t="s">
        <v>133</v>
      </c>
      <c r="H78" s="29" t="s">
        <v>32</v>
      </c>
      <c r="I78" s="29" t="s">
        <v>106</v>
      </c>
      <c r="J78" s="29">
        <v>1</v>
      </c>
      <c r="K78" s="30">
        <v>42506</v>
      </c>
      <c r="L78" s="30">
        <v>33893</v>
      </c>
      <c r="M78" s="31">
        <f t="shared" ca="1" si="4"/>
        <v>10</v>
      </c>
      <c r="N78" s="32">
        <f t="shared" ca="1" si="5"/>
        <v>33.728767123287675</v>
      </c>
      <c r="O78" s="33">
        <f ca="1">VLOOKUP(M78,Edad_Antigüedad!$M$2:$N$36,2)</f>
        <v>22</v>
      </c>
      <c r="P78" s="34" t="s">
        <v>140</v>
      </c>
      <c r="Q78" s="35"/>
      <c r="R78" s="35">
        <v>1</v>
      </c>
      <c r="S78" s="35">
        <v>1</v>
      </c>
      <c r="T78" s="35">
        <v>1</v>
      </c>
      <c r="U78" s="35">
        <v>0</v>
      </c>
      <c r="V78" s="35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0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5">
        <v>0</v>
      </c>
      <c r="AJ78" s="35">
        <v>0</v>
      </c>
      <c r="AK78" s="35">
        <v>0</v>
      </c>
      <c r="AL78" s="35">
        <v>0</v>
      </c>
      <c r="AM78" s="35">
        <v>0</v>
      </c>
      <c r="AN78" s="35">
        <v>0</v>
      </c>
      <c r="AO78" s="36">
        <v>0</v>
      </c>
      <c r="AP78" s="35"/>
      <c r="AQ78" s="35"/>
      <c r="AR78" s="35"/>
      <c r="AS78" s="35"/>
      <c r="AT78" s="35"/>
      <c r="AU78" s="35"/>
    </row>
    <row r="79" spans="1:47" ht="15.75" x14ac:dyDescent="0.25">
      <c r="A79" s="24" t="s">
        <v>9</v>
      </c>
      <c r="B79" s="25" t="s">
        <v>141</v>
      </c>
      <c r="C79" s="25" t="s">
        <v>114</v>
      </c>
      <c r="D79" s="25">
        <v>32197423</v>
      </c>
      <c r="E79" s="39" t="s">
        <v>142</v>
      </c>
      <c r="F79" s="54">
        <v>32174889</v>
      </c>
      <c r="G79" s="55" t="s">
        <v>133</v>
      </c>
      <c r="H79" s="29" t="s">
        <v>32</v>
      </c>
      <c r="I79" s="29" t="s">
        <v>141</v>
      </c>
      <c r="J79" s="29">
        <v>1</v>
      </c>
      <c r="K79" s="30">
        <v>44414</v>
      </c>
      <c r="L79" s="30">
        <v>35997</v>
      </c>
      <c r="M79" s="31">
        <f t="shared" ca="1" si="4"/>
        <v>5</v>
      </c>
      <c r="N79" s="32">
        <f t="shared" ca="1" si="5"/>
        <v>27.964383561643835</v>
      </c>
      <c r="O79" s="33">
        <f ca="1">VLOOKUP(M79,Edad_Antigüedad!$M$2:$N$36,2)</f>
        <v>20</v>
      </c>
      <c r="P79" s="34" t="s">
        <v>105</v>
      </c>
      <c r="Q79" s="35" t="s">
        <v>143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  <c r="AJ79" s="35">
        <v>0</v>
      </c>
      <c r="AK79" s="35">
        <v>0</v>
      </c>
      <c r="AL79" s="35">
        <v>0</v>
      </c>
      <c r="AM79" s="35">
        <v>0</v>
      </c>
      <c r="AN79" s="35">
        <v>0</v>
      </c>
      <c r="AO79" s="36">
        <v>0</v>
      </c>
      <c r="AP79" s="35"/>
      <c r="AQ79" s="35"/>
      <c r="AR79" s="35"/>
      <c r="AS79" s="35"/>
      <c r="AT79" s="35"/>
      <c r="AU79" s="35"/>
    </row>
    <row r="80" spans="1:47" ht="15.75" x14ac:dyDescent="0.25">
      <c r="A80" s="24" t="s">
        <v>9</v>
      </c>
      <c r="B80" s="25" t="s">
        <v>141</v>
      </c>
      <c r="C80" s="25" t="s">
        <v>120</v>
      </c>
      <c r="D80" s="25">
        <v>32202297</v>
      </c>
      <c r="E80" s="39" t="s">
        <v>144</v>
      </c>
      <c r="F80" s="54">
        <v>32174889</v>
      </c>
      <c r="G80" s="55" t="s">
        <v>133</v>
      </c>
      <c r="H80" s="29" t="s">
        <v>32</v>
      </c>
      <c r="I80" s="29" t="s">
        <v>141</v>
      </c>
      <c r="J80" s="29">
        <v>1</v>
      </c>
      <c r="K80" s="30">
        <v>44508</v>
      </c>
      <c r="L80" s="30">
        <v>36961</v>
      </c>
      <c r="M80" s="31">
        <f t="shared" ca="1" si="4"/>
        <v>5</v>
      </c>
      <c r="N80" s="32">
        <f t="shared" ca="1" si="5"/>
        <v>25.323287671232876</v>
      </c>
      <c r="O80" s="33">
        <f ca="1">VLOOKUP(M80,Edad_Antigüedad!$M$2:$N$36,2)</f>
        <v>20</v>
      </c>
      <c r="P80" s="34" t="s">
        <v>105</v>
      </c>
      <c r="Q80" s="35"/>
      <c r="R80" s="35">
        <v>0</v>
      </c>
      <c r="S80" s="35">
        <v>0</v>
      </c>
      <c r="T80" s="35">
        <v>0</v>
      </c>
      <c r="U80" s="35">
        <v>0</v>
      </c>
      <c r="V80" s="35">
        <v>0</v>
      </c>
      <c r="W80" s="35">
        <v>0</v>
      </c>
      <c r="X80" s="35">
        <v>0</v>
      </c>
      <c r="Y80" s="35">
        <v>0</v>
      </c>
      <c r="Z80" s="35">
        <v>0</v>
      </c>
      <c r="AA80" s="35">
        <v>0</v>
      </c>
      <c r="AB80" s="35">
        <v>0</v>
      </c>
      <c r="AC80" s="35">
        <v>0</v>
      </c>
      <c r="AD80" s="35">
        <v>0</v>
      </c>
      <c r="AE80" s="35">
        <v>0</v>
      </c>
      <c r="AF80" s="35">
        <v>0</v>
      </c>
      <c r="AG80" s="35">
        <v>0</v>
      </c>
      <c r="AH80" s="35">
        <v>0</v>
      </c>
      <c r="AI80" s="35">
        <v>0</v>
      </c>
      <c r="AJ80" s="35">
        <v>0</v>
      </c>
      <c r="AK80" s="35">
        <v>0</v>
      </c>
      <c r="AL80" s="35">
        <v>0</v>
      </c>
      <c r="AM80" s="35">
        <v>0</v>
      </c>
      <c r="AN80" s="35">
        <v>0</v>
      </c>
      <c r="AO80" s="36">
        <v>0</v>
      </c>
      <c r="AP80" s="35"/>
      <c r="AQ80" s="35"/>
      <c r="AR80" s="35"/>
      <c r="AS80" s="35"/>
      <c r="AT80" s="35"/>
      <c r="AU80" s="35"/>
    </row>
    <row r="81" spans="1:50" ht="31.5" x14ac:dyDescent="0.25">
      <c r="A81" s="24" t="s">
        <v>9</v>
      </c>
      <c r="B81" s="29" t="s">
        <v>145</v>
      </c>
      <c r="C81" s="25" t="s">
        <v>120</v>
      </c>
      <c r="D81" s="25">
        <v>32218817</v>
      </c>
      <c r="E81" s="39" t="s">
        <v>146</v>
      </c>
      <c r="F81" s="54">
        <v>32174889</v>
      </c>
      <c r="G81" s="55" t="s">
        <v>133</v>
      </c>
      <c r="H81" s="29" t="s">
        <v>32</v>
      </c>
      <c r="I81" s="29" t="s">
        <v>145</v>
      </c>
      <c r="J81" s="29">
        <v>1</v>
      </c>
      <c r="K81" s="30">
        <v>44883</v>
      </c>
      <c r="L81" s="30">
        <v>35935</v>
      </c>
      <c r="M81" s="31">
        <f t="shared" ca="1" si="4"/>
        <v>4</v>
      </c>
      <c r="N81" s="32">
        <f t="shared" ca="1" si="5"/>
        <v>28.134246575342466</v>
      </c>
      <c r="O81" s="33">
        <f ca="1">VLOOKUP(M81,Edad_Antigüedad!$M$2:$N$36,2)</f>
        <v>18</v>
      </c>
      <c r="P81" s="34" t="s">
        <v>105</v>
      </c>
      <c r="Q81" s="35"/>
      <c r="R81" s="35">
        <v>0</v>
      </c>
      <c r="S81" s="35">
        <v>0</v>
      </c>
      <c r="T81" s="35">
        <v>0</v>
      </c>
      <c r="U81" s="35">
        <v>0</v>
      </c>
      <c r="V81" s="35">
        <v>0</v>
      </c>
      <c r="W81" s="35">
        <v>0</v>
      </c>
      <c r="X81" s="35">
        <v>0</v>
      </c>
      <c r="Y81" s="35">
        <v>0</v>
      </c>
      <c r="Z81" s="35">
        <v>0</v>
      </c>
      <c r="AA81" s="35">
        <v>0</v>
      </c>
      <c r="AB81" s="35"/>
      <c r="AC81" s="35">
        <v>0</v>
      </c>
      <c r="AD81" s="35">
        <v>0</v>
      </c>
      <c r="AE81" s="35"/>
      <c r="AF81" s="35">
        <v>0</v>
      </c>
      <c r="AG81" s="35">
        <v>0</v>
      </c>
      <c r="AH81" s="35">
        <v>0</v>
      </c>
      <c r="AI81" s="35">
        <v>0</v>
      </c>
      <c r="AJ81" s="35">
        <v>0</v>
      </c>
      <c r="AK81" s="35">
        <v>0</v>
      </c>
      <c r="AL81" s="35">
        <v>0</v>
      </c>
      <c r="AM81" s="35">
        <v>0</v>
      </c>
      <c r="AN81" s="35">
        <v>0</v>
      </c>
      <c r="AO81" s="36">
        <v>0</v>
      </c>
      <c r="AP81" s="35"/>
      <c r="AQ81" s="35"/>
      <c r="AR81" s="35"/>
      <c r="AS81" s="35"/>
      <c r="AT81" s="35"/>
      <c r="AU81" s="35"/>
    </row>
    <row r="82" spans="1:50" ht="15.75" x14ac:dyDescent="0.25">
      <c r="A82" s="24" t="s">
        <v>9</v>
      </c>
      <c r="B82" s="25" t="s">
        <v>35</v>
      </c>
      <c r="C82" s="26">
        <v>9</v>
      </c>
      <c r="D82" s="48">
        <v>32233326</v>
      </c>
      <c r="E82" s="48" t="s">
        <v>147</v>
      </c>
      <c r="F82" s="54">
        <v>32174889</v>
      </c>
      <c r="G82" s="55" t="s">
        <v>133</v>
      </c>
      <c r="H82" s="29" t="s">
        <v>32</v>
      </c>
      <c r="I82" s="25" t="s">
        <v>35</v>
      </c>
      <c r="J82" s="29">
        <v>1</v>
      </c>
      <c r="K82" s="30">
        <v>45705</v>
      </c>
      <c r="L82" s="30">
        <v>37553</v>
      </c>
      <c r="M82" s="31">
        <f t="shared" ca="1" si="4"/>
        <v>1</v>
      </c>
      <c r="N82" s="32">
        <f t="shared" ca="1" si="5"/>
        <v>23.701369863013699</v>
      </c>
      <c r="O82" s="33">
        <f ca="1">VLOOKUP(M82,Edad_Antigüedad!$M$2:$N$36,2)</f>
        <v>12</v>
      </c>
      <c r="P82" s="34" t="s">
        <v>102</v>
      </c>
      <c r="Q82" s="35">
        <v>0</v>
      </c>
      <c r="R82" s="35"/>
      <c r="S82" s="35">
        <v>0</v>
      </c>
      <c r="T82" s="35">
        <v>0</v>
      </c>
      <c r="U82" s="35">
        <v>0</v>
      </c>
      <c r="V82" s="35">
        <v>0</v>
      </c>
      <c r="W82" s="35">
        <v>0</v>
      </c>
      <c r="X82" s="35">
        <v>0</v>
      </c>
      <c r="Y82" s="35">
        <v>0</v>
      </c>
      <c r="Z82" s="35">
        <v>0</v>
      </c>
      <c r="AA82" s="35">
        <v>0</v>
      </c>
      <c r="AB82" s="35">
        <v>0</v>
      </c>
      <c r="AC82" s="35">
        <v>0</v>
      </c>
      <c r="AD82" s="35">
        <v>0</v>
      </c>
      <c r="AE82" s="35">
        <v>0</v>
      </c>
      <c r="AF82" s="35">
        <v>0</v>
      </c>
      <c r="AG82" s="35">
        <v>0</v>
      </c>
      <c r="AH82" s="35">
        <v>0</v>
      </c>
      <c r="AI82" s="35">
        <v>0</v>
      </c>
      <c r="AJ82" s="35">
        <v>0</v>
      </c>
      <c r="AK82" s="35">
        <v>0</v>
      </c>
      <c r="AL82" s="35">
        <v>0</v>
      </c>
      <c r="AM82" s="35">
        <v>0</v>
      </c>
      <c r="AN82" s="35">
        <v>0</v>
      </c>
      <c r="AO82" s="36">
        <v>0</v>
      </c>
      <c r="AP82" s="35"/>
      <c r="AQ82" s="35"/>
      <c r="AR82" s="35"/>
      <c r="AS82" s="35"/>
      <c r="AT82" s="35"/>
      <c r="AU82" s="35"/>
      <c r="AX82" t="s">
        <v>36</v>
      </c>
    </row>
    <row r="83" spans="1:50" ht="15.75" x14ac:dyDescent="0.25">
      <c r="A83" s="42" t="s">
        <v>9</v>
      </c>
      <c r="B83" s="25" t="s">
        <v>123</v>
      </c>
      <c r="C83" s="42" t="s">
        <v>124</v>
      </c>
      <c r="D83" s="43">
        <v>32237830</v>
      </c>
      <c r="E83" s="43" t="s">
        <v>148</v>
      </c>
      <c r="F83" s="54">
        <v>32174889</v>
      </c>
      <c r="G83" s="55" t="s">
        <v>133</v>
      </c>
      <c r="H83" s="29" t="s">
        <v>32</v>
      </c>
      <c r="I83" s="25" t="s">
        <v>123</v>
      </c>
      <c r="J83" s="29">
        <v>1</v>
      </c>
      <c r="K83" s="44">
        <v>45933</v>
      </c>
      <c r="L83" s="44">
        <v>35792</v>
      </c>
      <c r="M83" s="31">
        <f t="shared" ca="1" si="4"/>
        <v>1</v>
      </c>
      <c r="N83" s="32">
        <f t="shared" ca="1" si="5"/>
        <v>28.526027397260275</v>
      </c>
      <c r="O83" s="33">
        <v>12</v>
      </c>
      <c r="P83" s="33" t="s">
        <v>129</v>
      </c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5"/>
      <c r="AP83" s="46"/>
      <c r="AQ83" s="46"/>
      <c r="AR83" s="46"/>
      <c r="AS83" s="46"/>
      <c r="AT83" s="46"/>
      <c r="AU83" s="46"/>
      <c r="AX83" t="s">
        <v>36</v>
      </c>
    </row>
    <row r="84" spans="1:50" customFormat="1" ht="15.75" x14ac:dyDescent="0.25">
      <c r="A84" s="13" t="s">
        <v>10</v>
      </c>
      <c r="B84" s="13" t="s">
        <v>201</v>
      </c>
      <c r="C84" s="42" t="s">
        <v>124</v>
      </c>
      <c r="D84" s="76">
        <v>32244174</v>
      </c>
      <c r="E84" s="76" t="s">
        <v>356</v>
      </c>
      <c r="F84" s="82">
        <v>32146677</v>
      </c>
      <c r="G84" s="77" t="s">
        <v>186</v>
      </c>
      <c r="H84" s="13" t="s">
        <v>46</v>
      </c>
      <c r="I84" s="13" t="s">
        <v>187</v>
      </c>
      <c r="J84" s="39">
        <v>1</v>
      </c>
      <c r="K84" s="105"/>
      <c r="L84" s="105"/>
      <c r="M84" s="106"/>
      <c r="N84" s="107"/>
      <c r="O84" s="108"/>
      <c r="P84" s="108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109"/>
      <c r="AP84" s="46"/>
      <c r="AQ84" s="46"/>
      <c r="AR84" s="46"/>
      <c r="AS84" s="46"/>
      <c r="AT84" s="46"/>
      <c r="AU84" s="46"/>
    </row>
    <row r="85" spans="1:50" ht="15.75" x14ac:dyDescent="0.25">
      <c r="A85" s="42" t="s">
        <v>10</v>
      </c>
      <c r="B85" s="42" t="s">
        <v>189</v>
      </c>
      <c r="C85" s="42" t="s">
        <v>184</v>
      </c>
      <c r="D85" s="43">
        <v>32044776</v>
      </c>
      <c r="E85" s="76" t="s">
        <v>190</v>
      </c>
      <c r="F85" s="75">
        <v>32146677</v>
      </c>
      <c r="G85" s="77" t="s">
        <v>186</v>
      </c>
      <c r="H85" s="13" t="s">
        <v>46</v>
      </c>
      <c r="I85" s="13" t="s">
        <v>191</v>
      </c>
      <c r="J85" s="29">
        <v>1</v>
      </c>
      <c r="K85" s="30">
        <v>36381</v>
      </c>
      <c r="L85" s="30">
        <v>25283</v>
      </c>
      <c r="M85" s="31">
        <f t="shared" ca="1" si="4"/>
        <v>27</v>
      </c>
      <c r="N85" s="32">
        <f t="shared" ca="1" si="5"/>
        <v>57.317808219178083</v>
      </c>
      <c r="O85" s="33">
        <f ca="1">VLOOKUP(M85,Edad_Antigüedad!$M$2:$N$36,2)</f>
        <v>30</v>
      </c>
      <c r="P85" s="33" t="s">
        <v>109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1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5"/>
      <c r="AP85" s="46"/>
      <c r="AQ85" s="46"/>
      <c r="AR85" s="46"/>
      <c r="AS85" s="46"/>
      <c r="AT85" s="46"/>
      <c r="AU85" s="46"/>
    </row>
    <row r="86" spans="1:50" ht="15.75" x14ac:dyDescent="0.25">
      <c r="A86" s="42" t="s">
        <v>10</v>
      </c>
      <c r="B86" s="42" t="s">
        <v>204</v>
      </c>
      <c r="C86" s="42" t="s">
        <v>184</v>
      </c>
      <c r="D86" s="43">
        <v>32045128</v>
      </c>
      <c r="E86" s="76" t="s">
        <v>205</v>
      </c>
      <c r="F86" s="75">
        <v>32146677</v>
      </c>
      <c r="G86" s="77" t="s">
        <v>186</v>
      </c>
      <c r="H86" s="13" t="s">
        <v>46</v>
      </c>
      <c r="I86" s="13" t="s">
        <v>206</v>
      </c>
      <c r="J86" s="29">
        <v>1</v>
      </c>
      <c r="K86" s="30">
        <v>36806</v>
      </c>
      <c r="L86" s="30">
        <v>29178</v>
      </c>
      <c r="M86" s="31">
        <f t="shared" ca="1" si="4"/>
        <v>26</v>
      </c>
      <c r="N86" s="32">
        <f t="shared" ca="1" si="5"/>
        <v>46.646575342465752</v>
      </c>
      <c r="O86" s="33">
        <f ca="1">VLOOKUP(M86,Edad_Antigüedad!$M$2:$N$36,2)</f>
        <v>30</v>
      </c>
      <c r="P86" s="33" t="s">
        <v>126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5"/>
      <c r="AP86" s="46"/>
      <c r="AQ86" s="46"/>
      <c r="AR86" s="46"/>
      <c r="AS86" s="46"/>
      <c r="AT86" s="46"/>
      <c r="AU86" s="46"/>
    </row>
    <row r="87" spans="1:50" ht="15.75" x14ac:dyDescent="0.25">
      <c r="A87" s="42" t="s">
        <v>10</v>
      </c>
      <c r="B87" s="42" t="s">
        <v>214</v>
      </c>
      <c r="C87" s="42" t="s">
        <v>184</v>
      </c>
      <c r="D87" s="73">
        <v>32045410</v>
      </c>
      <c r="E87" s="74" t="s">
        <v>217</v>
      </c>
      <c r="F87" s="75">
        <v>32146677</v>
      </c>
      <c r="G87" s="77" t="s">
        <v>186</v>
      </c>
      <c r="H87" s="13" t="s">
        <v>46</v>
      </c>
      <c r="I87" s="13" t="s">
        <v>216</v>
      </c>
      <c r="J87" s="29">
        <v>1</v>
      </c>
      <c r="K87" s="30">
        <v>37062</v>
      </c>
      <c r="L87" s="30">
        <v>29441</v>
      </c>
      <c r="M87" s="31">
        <f t="shared" ca="1" si="4"/>
        <v>25</v>
      </c>
      <c r="N87" s="32">
        <f t="shared" ca="1" si="5"/>
        <v>45.926027397260277</v>
      </c>
      <c r="O87" s="33">
        <f ca="1">VLOOKUP(M87,Edad_Antigüedad!$M$2:$N$36,2)</f>
        <v>28</v>
      </c>
      <c r="P87" s="33" t="s">
        <v>126</v>
      </c>
      <c r="Q87" s="41">
        <v>0</v>
      </c>
      <c r="R87" s="41">
        <v>0</v>
      </c>
      <c r="S87" s="41">
        <v>0</v>
      </c>
      <c r="T87" s="41">
        <v>0</v>
      </c>
      <c r="U87" s="41">
        <v>0</v>
      </c>
      <c r="V87" s="41">
        <v>0</v>
      </c>
      <c r="W87" s="41">
        <v>1</v>
      </c>
      <c r="X87" s="41">
        <v>1</v>
      </c>
      <c r="Y87" s="41">
        <v>0</v>
      </c>
      <c r="Z87" s="41">
        <v>0</v>
      </c>
      <c r="AA87" s="41">
        <v>0</v>
      </c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5"/>
      <c r="AP87" s="46"/>
      <c r="AQ87" s="46"/>
      <c r="AR87" s="46"/>
      <c r="AS87" s="46"/>
      <c r="AT87" s="46"/>
      <c r="AU87" s="46"/>
    </row>
    <row r="88" spans="1:50" ht="15.75" x14ac:dyDescent="0.25">
      <c r="A88" s="42" t="s">
        <v>10</v>
      </c>
      <c r="B88" s="42" t="s">
        <v>183</v>
      </c>
      <c r="C88" s="42" t="s">
        <v>184</v>
      </c>
      <c r="D88" s="43">
        <v>32144776</v>
      </c>
      <c r="E88" s="76" t="s">
        <v>219</v>
      </c>
      <c r="F88" s="75">
        <v>32146677</v>
      </c>
      <c r="G88" s="77" t="s">
        <v>186</v>
      </c>
      <c r="H88" s="13" t="s">
        <v>46</v>
      </c>
      <c r="I88" s="13" t="s">
        <v>187</v>
      </c>
      <c r="J88" s="29">
        <v>1</v>
      </c>
      <c r="K88" s="30">
        <v>42359</v>
      </c>
      <c r="L88" s="30">
        <v>35628</v>
      </c>
      <c r="M88" s="31">
        <f t="shared" ca="1" si="4"/>
        <v>11</v>
      </c>
      <c r="N88" s="32">
        <f t="shared" ca="1" si="5"/>
        <v>28.975342465753425</v>
      </c>
      <c r="O88" s="33">
        <f ca="1">VLOOKUP(M88,Edad_Antigüedad!$M$2:$N$36,2)</f>
        <v>24</v>
      </c>
      <c r="P88" s="33" t="s">
        <v>126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1</v>
      </c>
      <c r="W88" s="41">
        <v>1</v>
      </c>
      <c r="X88" s="41">
        <v>0</v>
      </c>
      <c r="Y88" s="41">
        <v>0</v>
      </c>
      <c r="Z88" s="41">
        <v>0</v>
      </c>
      <c r="AA88" s="41">
        <v>0</v>
      </c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5"/>
      <c r="AP88" s="46"/>
      <c r="AQ88" s="46"/>
      <c r="AR88" s="46"/>
      <c r="AS88" s="46"/>
      <c r="AT88" s="46"/>
      <c r="AU88" s="46"/>
    </row>
    <row r="89" spans="1:50" ht="15.75" x14ac:dyDescent="0.25">
      <c r="A89" s="42" t="s">
        <v>10</v>
      </c>
      <c r="B89" s="42" t="s">
        <v>189</v>
      </c>
      <c r="C89" s="42" t="s">
        <v>184</v>
      </c>
      <c r="D89" s="43">
        <v>32144778</v>
      </c>
      <c r="E89" s="76" t="s">
        <v>240</v>
      </c>
      <c r="F89" s="75">
        <v>32146677</v>
      </c>
      <c r="G89" s="77" t="s">
        <v>186</v>
      </c>
      <c r="H89" s="13" t="s">
        <v>46</v>
      </c>
      <c r="I89" s="13" t="s">
        <v>191</v>
      </c>
      <c r="J89" s="29">
        <v>1</v>
      </c>
      <c r="K89" s="30">
        <v>42359</v>
      </c>
      <c r="L89" s="30">
        <v>33785</v>
      </c>
      <c r="M89" s="31">
        <f t="shared" ca="1" si="4"/>
        <v>11</v>
      </c>
      <c r="N89" s="32">
        <f t="shared" ca="1" si="5"/>
        <v>34.024657534246572</v>
      </c>
      <c r="O89" s="33">
        <f ca="1">VLOOKUP(M89,Edad_Antigüedad!$M$2:$N$36,2)</f>
        <v>24</v>
      </c>
      <c r="P89" s="33" t="s">
        <v>109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1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5"/>
      <c r="AP89" s="46"/>
      <c r="AQ89" s="46"/>
      <c r="AR89" s="46"/>
      <c r="AS89" s="46"/>
      <c r="AT89" s="46"/>
      <c r="AU89" s="46"/>
    </row>
    <row r="90" spans="1:50" ht="15.75" x14ac:dyDescent="0.25">
      <c r="A90" s="42" t="s">
        <v>10</v>
      </c>
      <c r="B90" s="42" t="s">
        <v>40</v>
      </c>
      <c r="C90" s="72">
        <v>7</v>
      </c>
      <c r="D90" s="80">
        <v>32146677</v>
      </c>
      <c r="E90" s="76" t="s">
        <v>186</v>
      </c>
      <c r="F90" s="73">
        <v>32052556</v>
      </c>
      <c r="G90" s="77" t="s">
        <v>41</v>
      </c>
      <c r="H90" s="13" t="s">
        <v>46</v>
      </c>
      <c r="I90" s="56" t="s">
        <v>101</v>
      </c>
      <c r="J90" s="29">
        <v>2</v>
      </c>
      <c r="K90" s="30">
        <v>42430</v>
      </c>
      <c r="L90" s="30">
        <v>32609</v>
      </c>
      <c r="M90" s="31">
        <f t="shared" ca="1" si="4"/>
        <v>10</v>
      </c>
      <c r="N90" s="32">
        <f t="shared" ca="1" si="5"/>
        <v>37.246575342465754</v>
      </c>
      <c r="O90" s="33">
        <f ca="1">VLOOKUP(M90,Edad_Antigüedad!$M$2:$N$36,2)</f>
        <v>22</v>
      </c>
      <c r="P90" s="33" t="s">
        <v>129</v>
      </c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5"/>
      <c r="AP90" s="46"/>
      <c r="AQ90" s="46"/>
      <c r="AR90" s="46"/>
      <c r="AS90" s="46"/>
      <c r="AT90" s="46"/>
      <c r="AU90" s="46"/>
    </row>
    <row r="91" spans="1:50" ht="15.75" x14ac:dyDescent="0.25">
      <c r="A91" s="42" t="s">
        <v>10</v>
      </c>
      <c r="B91" s="42" t="s">
        <v>214</v>
      </c>
      <c r="C91" s="42" t="s">
        <v>184</v>
      </c>
      <c r="D91" s="43">
        <v>32149605</v>
      </c>
      <c r="E91" s="76" t="s">
        <v>251</v>
      </c>
      <c r="F91" s="75">
        <v>32146677</v>
      </c>
      <c r="G91" s="77" t="s">
        <v>186</v>
      </c>
      <c r="H91" s="13" t="s">
        <v>46</v>
      </c>
      <c r="I91" s="13" t="s">
        <v>216</v>
      </c>
      <c r="J91" s="29">
        <v>1</v>
      </c>
      <c r="K91" s="30">
        <v>42527</v>
      </c>
      <c r="L91" s="30">
        <v>34130</v>
      </c>
      <c r="M91" s="31">
        <f t="shared" ca="1" si="4"/>
        <v>10</v>
      </c>
      <c r="N91" s="32">
        <f t="shared" ca="1" si="5"/>
        <v>33.079452054794523</v>
      </c>
      <c r="O91" s="33">
        <f ca="1">VLOOKUP(M91,Edad_Antigüedad!$M$2:$N$36,2)</f>
        <v>22</v>
      </c>
      <c r="P91" s="33" t="s">
        <v>109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1</v>
      </c>
      <c r="X91" s="41">
        <v>1</v>
      </c>
      <c r="Y91" s="41">
        <v>0</v>
      </c>
      <c r="Z91" s="41">
        <v>0</v>
      </c>
      <c r="AA91" s="41">
        <v>0</v>
      </c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5"/>
      <c r="AP91" s="46"/>
      <c r="AQ91" s="46"/>
      <c r="AR91" s="46"/>
      <c r="AS91" s="46"/>
      <c r="AT91" s="46"/>
      <c r="AU91" s="46"/>
    </row>
    <row r="92" spans="1:50" ht="15.75" x14ac:dyDescent="0.25">
      <c r="A92" s="42" t="s">
        <v>10</v>
      </c>
      <c r="B92" s="42" t="s">
        <v>196</v>
      </c>
      <c r="C92" s="42" t="s">
        <v>184</v>
      </c>
      <c r="D92" s="43">
        <v>32196366</v>
      </c>
      <c r="E92" s="76" t="s">
        <v>252</v>
      </c>
      <c r="F92" s="75">
        <v>32146677</v>
      </c>
      <c r="G92" s="77" t="s">
        <v>186</v>
      </c>
      <c r="H92" s="13" t="s">
        <v>46</v>
      </c>
      <c r="I92" s="13" t="s">
        <v>187</v>
      </c>
      <c r="J92" s="29">
        <v>1</v>
      </c>
      <c r="K92" s="30">
        <v>44379</v>
      </c>
      <c r="L92" s="30">
        <v>33559</v>
      </c>
      <c r="M92" s="31">
        <f t="shared" ca="1" si="4"/>
        <v>5</v>
      </c>
      <c r="N92" s="32">
        <f t="shared" ca="1" si="5"/>
        <v>34.643835616438359</v>
      </c>
      <c r="O92" s="33">
        <f ca="1">VLOOKUP(M92,Edad_Antigüedad!$M$2:$N$36,2)</f>
        <v>20</v>
      </c>
      <c r="P92" s="33" t="s">
        <v>199</v>
      </c>
      <c r="Q92" s="41">
        <v>0</v>
      </c>
      <c r="R92" s="41">
        <v>0</v>
      </c>
      <c r="S92" s="41">
        <v>0</v>
      </c>
      <c r="T92" s="41">
        <v>0</v>
      </c>
      <c r="U92" s="41">
        <v>1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5"/>
      <c r="AP92" s="46"/>
      <c r="AQ92" s="46"/>
      <c r="AR92" s="46"/>
      <c r="AS92" s="46"/>
      <c r="AT92" s="46"/>
      <c r="AU92" s="46"/>
    </row>
    <row r="93" spans="1:50" ht="15.75" x14ac:dyDescent="0.25">
      <c r="A93" s="42" t="s">
        <v>10</v>
      </c>
      <c r="B93" s="25" t="s">
        <v>35</v>
      </c>
      <c r="C93" s="72">
        <v>9</v>
      </c>
      <c r="D93" s="80">
        <v>32196674</v>
      </c>
      <c r="E93" s="81" t="s">
        <v>255</v>
      </c>
      <c r="F93" s="75">
        <v>32146677</v>
      </c>
      <c r="G93" s="77" t="s">
        <v>186</v>
      </c>
      <c r="H93" s="13" t="s">
        <v>46</v>
      </c>
      <c r="I93" s="83" t="s">
        <v>213</v>
      </c>
      <c r="J93" s="29">
        <v>2</v>
      </c>
      <c r="K93" s="30">
        <v>44393</v>
      </c>
      <c r="L93" s="30">
        <v>29991</v>
      </c>
      <c r="M93" s="31">
        <f t="shared" ca="1" si="4"/>
        <v>5</v>
      </c>
      <c r="N93" s="32">
        <f t="shared" ca="1" si="5"/>
        <v>44.419178082191777</v>
      </c>
      <c r="O93" s="33">
        <f ca="1">VLOOKUP(M93,Edad_Antigüedad!$M$2:$N$36,2)</f>
        <v>20</v>
      </c>
      <c r="P93" s="33" t="s">
        <v>129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  <c r="Z93" s="41">
        <v>1</v>
      </c>
      <c r="AA93" s="41">
        <v>1</v>
      </c>
      <c r="AB93" s="41">
        <v>0</v>
      </c>
      <c r="AC93" s="41">
        <v>0</v>
      </c>
      <c r="AD93" s="41">
        <v>0</v>
      </c>
      <c r="AE93" s="41">
        <v>0</v>
      </c>
      <c r="AF93" s="41">
        <v>0</v>
      </c>
      <c r="AG93" s="41">
        <v>0</v>
      </c>
      <c r="AH93" s="41">
        <v>0</v>
      </c>
      <c r="AI93" s="41"/>
      <c r="AJ93" s="41"/>
      <c r="AK93" s="41"/>
      <c r="AL93" s="41"/>
      <c r="AM93" s="41"/>
      <c r="AN93" s="41"/>
      <c r="AO93" s="45"/>
      <c r="AP93" s="46"/>
      <c r="AQ93" s="46"/>
      <c r="AR93" s="46"/>
      <c r="AS93" s="46"/>
      <c r="AT93" s="46"/>
      <c r="AU93" s="46"/>
    </row>
    <row r="94" spans="1:50" ht="15.75" x14ac:dyDescent="0.25">
      <c r="A94" s="42" t="s">
        <v>10</v>
      </c>
      <c r="B94" s="42" t="s">
        <v>201</v>
      </c>
      <c r="C94" s="42" t="s">
        <v>184</v>
      </c>
      <c r="D94" s="73">
        <v>32201713</v>
      </c>
      <c r="E94" s="74" t="s">
        <v>256</v>
      </c>
      <c r="F94" s="75">
        <v>32146677</v>
      </c>
      <c r="G94" s="77" t="s">
        <v>186</v>
      </c>
      <c r="H94" s="13" t="s">
        <v>46</v>
      </c>
      <c r="I94" s="13" t="s">
        <v>203</v>
      </c>
      <c r="J94" s="29">
        <v>1</v>
      </c>
      <c r="K94" s="30">
        <v>44498</v>
      </c>
      <c r="L94" s="30">
        <v>37611</v>
      </c>
      <c r="M94" s="31">
        <f t="shared" ca="1" si="4"/>
        <v>5</v>
      </c>
      <c r="N94" s="32">
        <f t="shared" ca="1" si="5"/>
        <v>23.542465753424658</v>
      </c>
      <c r="O94" s="33">
        <f ca="1">VLOOKUP(M94,Edad_Antigüedad!$M$2:$N$36,2)</f>
        <v>20</v>
      </c>
      <c r="P94" s="33" t="s">
        <v>126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5"/>
      <c r="AP94" s="46"/>
      <c r="AQ94" s="46"/>
      <c r="AR94" s="46"/>
      <c r="AS94" s="46"/>
      <c r="AT94" s="46"/>
      <c r="AU94" s="46"/>
    </row>
    <row r="95" spans="1:50" ht="15.75" x14ac:dyDescent="0.25">
      <c r="A95" s="42" t="s">
        <v>10</v>
      </c>
      <c r="B95" s="42" t="s">
        <v>204</v>
      </c>
      <c r="C95" s="42" t="s">
        <v>184</v>
      </c>
      <c r="D95" s="43">
        <v>32209922</v>
      </c>
      <c r="E95" s="76" t="s">
        <v>257</v>
      </c>
      <c r="F95" s="75">
        <v>32146677</v>
      </c>
      <c r="G95" s="77" t="s">
        <v>186</v>
      </c>
      <c r="H95" s="13" t="s">
        <v>46</v>
      </c>
      <c r="I95" s="13" t="s">
        <v>206</v>
      </c>
      <c r="J95" s="29">
        <v>1</v>
      </c>
      <c r="K95" s="30">
        <v>44687</v>
      </c>
      <c r="L95" s="30">
        <v>35060</v>
      </c>
      <c r="M95" s="31">
        <f t="shared" ca="1" si="4"/>
        <v>4</v>
      </c>
      <c r="N95" s="32">
        <f t="shared" ca="1" si="5"/>
        <v>30.531506849315068</v>
      </c>
      <c r="O95" s="33">
        <f ca="1">VLOOKUP(M95,Edad_Antigüedad!$M$2:$N$36,2)</f>
        <v>18</v>
      </c>
      <c r="P95" s="33" t="s">
        <v>126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1</v>
      </c>
      <c r="W95" s="41">
        <v>1</v>
      </c>
      <c r="X95" s="41">
        <v>1</v>
      </c>
      <c r="Y95" s="41">
        <v>0</v>
      </c>
      <c r="Z95" s="41">
        <v>0</v>
      </c>
      <c r="AA95" s="41">
        <v>0</v>
      </c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5"/>
      <c r="AP95" s="46"/>
      <c r="AQ95" s="46"/>
      <c r="AR95" s="46"/>
      <c r="AS95" s="46"/>
      <c r="AT95" s="46"/>
      <c r="AU95" s="46"/>
    </row>
    <row r="96" spans="1:50" ht="15.75" x14ac:dyDescent="0.25">
      <c r="A96" s="42" t="s">
        <v>10</v>
      </c>
      <c r="B96" s="42" t="s">
        <v>201</v>
      </c>
      <c r="C96" s="42" t="s">
        <v>111</v>
      </c>
      <c r="D96" s="43">
        <v>32222222</v>
      </c>
      <c r="E96" s="76" t="s">
        <v>259</v>
      </c>
      <c r="F96" s="75">
        <v>32146677</v>
      </c>
      <c r="G96" s="77" t="s">
        <v>186</v>
      </c>
      <c r="H96" s="13" t="s">
        <v>46</v>
      </c>
      <c r="I96" s="13" t="s">
        <v>222</v>
      </c>
      <c r="J96" s="29">
        <v>1</v>
      </c>
      <c r="K96" s="30">
        <v>45093</v>
      </c>
      <c r="L96" s="30">
        <v>31967</v>
      </c>
      <c r="M96" s="31">
        <f t="shared" ca="1" si="4"/>
        <v>3</v>
      </c>
      <c r="N96" s="32">
        <f t="shared" ca="1" si="5"/>
        <v>39.005479452054793</v>
      </c>
      <c r="O96" s="33">
        <f ca="1">VLOOKUP(M96,Edad_Antigüedad!$M$2:$N$36,2)</f>
        <v>16</v>
      </c>
      <c r="P96" s="33" t="s">
        <v>126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5"/>
      <c r="AP96" s="46"/>
      <c r="AQ96" s="46"/>
      <c r="AR96" s="46"/>
      <c r="AS96" s="46"/>
      <c r="AT96" s="46"/>
      <c r="AU96" s="46"/>
    </row>
    <row r="97" spans="1:47" ht="15.75" x14ac:dyDescent="0.25">
      <c r="A97" s="42" t="s">
        <v>10</v>
      </c>
      <c r="B97" s="42" t="s">
        <v>353</v>
      </c>
      <c r="C97" s="42">
        <v>7</v>
      </c>
      <c r="D97" s="43">
        <v>32231307</v>
      </c>
      <c r="E97" s="76" t="s">
        <v>354</v>
      </c>
      <c r="F97" s="75"/>
      <c r="G97" s="77" t="s">
        <v>30</v>
      </c>
      <c r="H97" s="13" t="s">
        <v>44</v>
      </c>
      <c r="I97" s="13" t="s">
        <v>355</v>
      </c>
      <c r="J97" s="29"/>
      <c r="K97" s="30"/>
      <c r="L97" s="30"/>
      <c r="M97" s="31"/>
      <c r="N97" s="32"/>
      <c r="O97" s="33"/>
      <c r="P97" s="33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5"/>
      <c r="AP97" s="46"/>
      <c r="AQ97" s="46"/>
      <c r="AR97" s="46"/>
      <c r="AS97" s="46"/>
      <c r="AT97" s="46"/>
      <c r="AU97" s="46"/>
    </row>
    <row r="98" spans="1:47" ht="15.75" x14ac:dyDescent="0.25">
      <c r="A98" s="42" t="s">
        <v>10</v>
      </c>
      <c r="B98" s="42" t="s">
        <v>236</v>
      </c>
      <c r="C98" s="42" t="s">
        <v>111</v>
      </c>
      <c r="D98" s="80">
        <v>32222223</v>
      </c>
      <c r="E98" s="81" t="s">
        <v>260</v>
      </c>
      <c r="F98" s="75">
        <v>32146677</v>
      </c>
      <c r="G98" s="77" t="s">
        <v>186</v>
      </c>
      <c r="H98" s="13" t="s">
        <v>46</v>
      </c>
      <c r="I98" s="13" t="s">
        <v>198</v>
      </c>
      <c r="J98" s="29">
        <v>1</v>
      </c>
      <c r="K98" s="30">
        <v>45093</v>
      </c>
      <c r="L98" s="30">
        <v>36243</v>
      </c>
      <c r="M98" s="31">
        <f ca="1">ROUND((($K$2-K98)/365),0)</f>
        <v>3</v>
      </c>
      <c r="N98" s="32">
        <f ca="1">($K$2-L98)/365</f>
        <v>27.290410958904111</v>
      </c>
      <c r="O98" s="33">
        <f ca="1">VLOOKUP(M98,Edad_Antigüedad!$M$2:$N$36,2)</f>
        <v>16</v>
      </c>
      <c r="P98" s="33" t="s">
        <v>199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1</v>
      </c>
      <c r="W98" s="41">
        <v>1</v>
      </c>
      <c r="X98" s="41">
        <v>1</v>
      </c>
      <c r="Y98" s="41">
        <v>0</v>
      </c>
      <c r="Z98" s="41">
        <v>0</v>
      </c>
      <c r="AA98" s="41">
        <v>0</v>
      </c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5"/>
      <c r="AP98" s="46"/>
      <c r="AQ98" s="46"/>
      <c r="AR98" s="46"/>
      <c r="AS98" s="46"/>
      <c r="AT98" s="46"/>
      <c r="AU98" s="46"/>
    </row>
    <row r="99" spans="1:47" ht="15.75" x14ac:dyDescent="0.25">
      <c r="A99" s="42" t="s">
        <v>10</v>
      </c>
      <c r="B99" s="25" t="s">
        <v>35</v>
      </c>
      <c r="C99" s="72">
        <v>9</v>
      </c>
      <c r="D99" s="75">
        <v>32224001</v>
      </c>
      <c r="E99" s="82" t="s">
        <v>262</v>
      </c>
      <c r="F99" s="75">
        <v>32146677</v>
      </c>
      <c r="G99" s="77" t="s">
        <v>186</v>
      </c>
      <c r="H99" s="13" t="s">
        <v>46</v>
      </c>
      <c r="I99" s="83" t="s">
        <v>213</v>
      </c>
      <c r="J99" s="29">
        <v>3</v>
      </c>
      <c r="K99" s="30">
        <v>45215</v>
      </c>
      <c r="L99" s="30">
        <v>36698</v>
      </c>
      <c r="M99" s="31">
        <f ca="1">ROUND((($K$2-K99)/365),0)</f>
        <v>3</v>
      </c>
      <c r="N99" s="32">
        <f ca="1">($K$2-L99)/365</f>
        <v>26.043835616438358</v>
      </c>
      <c r="O99" s="33">
        <f ca="1">VLOOKUP(M99,Edad_Antigüedad!$M$2:$N$36,2)</f>
        <v>16</v>
      </c>
      <c r="P99" s="33" t="s">
        <v>129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1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/>
      <c r="AJ99" s="41"/>
      <c r="AK99" s="41"/>
      <c r="AL99" s="41"/>
      <c r="AM99" s="41"/>
      <c r="AN99" s="41"/>
      <c r="AO99" s="45"/>
      <c r="AP99" s="46"/>
      <c r="AQ99" s="46"/>
      <c r="AR99" s="46"/>
      <c r="AS99" s="46"/>
      <c r="AT99" s="46"/>
      <c r="AU99" s="46"/>
    </row>
    <row r="100" spans="1:47" ht="15.75" x14ac:dyDescent="0.25">
      <c r="A100" s="42" t="s">
        <v>10</v>
      </c>
      <c r="B100" s="25" t="s">
        <v>35</v>
      </c>
      <c r="C100" s="72">
        <v>9</v>
      </c>
      <c r="D100" s="75">
        <v>32231911</v>
      </c>
      <c r="E100" s="82" t="s">
        <v>263</v>
      </c>
      <c r="F100" s="75">
        <v>32146677</v>
      </c>
      <c r="G100" s="77" t="s">
        <v>186</v>
      </c>
      <c r="H100" s="13" t="s">
        <v>46</v>
      </c>
      <c r="I100" s="83" t="s">
        <v>213</v>
      </c>
      <c r="J100" s="29">
        <v>1</v>
      </c>
      <c r="K100" s="30">
        <v>45583</v>
      </c>
      <c r="L100" s="30">
        <v>35877</v>
      </c>
      <c r="M100" s="31">
        <f ca="1">ROUND((($K$2-K100)/365),0)</f>
        <v>2</v>
      </c>
      <c r="N100" s="32">
        <f ca="1">($K$2-L100)/365</f>
        <v>28.293150684931508</v>
      </c>
      <c r="O100" s="33">
        <f ca="1">VLOOKUP(M100,Edad_Antigüedad!$M$2:$N$36,2)</f>
        <v>14</v>
      </c>
      <c r="P100" s="33" t="s">
        <v>129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1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5"/>
      <c r="AP100" s="46"/>
      <c r="AQ100" s="46"/>
      <c r="AR100" s="46"/>
      <c r="AS100" s="46"/>
      <c r="AT100" s="46"/>
      <c r="AU100" s="46"/>
    </row>
    <row r="101" spans="1:47" ht="15.75" x14ac:dyDescent="0.25">
      <c r="A101" s="24" t="s">
        <v>9</v>
      </c>
      <c r="B101" s="25" t="s">
        <v>31</v>
      </c>
      <c r="C101" s="26">
        <v>7</v>
      </c>
      <c r="D101" s="28">
        <v>32045378</v>
      </c>
      <c r="E101" s="39" t="s">
        <v>149</v>
      </c>
      <c r="F101" s="28">
        <v>32132858</v>
      </c>
      <c r="G101" s="29" t="s">
        <v>30</v>
      </c>
      <c r="H101" s="29" t="s">
        <v>34</v>
      </c>
      <c r="I101" s="29" t="s">
        <v>132</v>
      </c>
      <c r="J101" s="29">
        <v>2</v>
      </c>
      <c r="K101" s="30">
        <v>36897</v>
      </c>
      <c r="L101" s="30">
        <v>27117</v>
      </c>
      <c r="M101" s="31">
        <f t="shared" ref="M101:M132" ca="1" si="6">ROUND((($K$2-K101)/365),0)</f>
        <v>25</v>
      </c>
      <c r="N101" s="32">
        <f t="shared" ref="N101:N132" ca="1" si="7">($K$2-L101)/365</f>
        <v>52.293150684931504</v>
      </c>
      <c r="O101" s="33">
        <f ca="1">VLOOKUP(M101,Edad_Antigüedad!$M$2:$N$36,2)</f>
        <v>28</v>
      </c>
      <c r="P101" s="34" t="s">
        <v>102</v>
      </c>
      <c r="Q101" s="35"/>
      <c r="R101" s="35">
        <v>0</v>
      </c>
      <c r="S101" s="35">
        <v>0</v>
      </c>
      <c r="T101" s="35">
        <v>0</v>
      </c>
      <c r="U101" s="35">
        <v>0</v>
      </c>
      <c r="V101" s="35">
        <v>0</v>
      </c>
      <c r="W101" s="35">
        <v>0</v>
      </c>
      <c r="X101" s="35">
        <v>0</v>
      </c>
      <c r="Y101" s="35">
        <v>0</v>
      </c>
      <c r="Z101" s="35">
        <v>0</v>
      </c>
      <c r="AA101" s="35">
        <v>0</v>
      </c>
      <c r="AB101" s="35">
        <v>0</v>
      </c>
      <c r="AC101" s="35">
        <v>0</v>
      </c>
      <c r="AD101" s="35">
        <v>0</v>
      </c>
      <c r="AE101" s="35">
        <v>0</v>
      </c>
      <c r="AF101" s="35">
        <v>0</v>
      </c>
      <c r="AG101" s="35">
        <v>0</v>
      </c>
      <c r="AH101" s="35">
        <v>0</v>
      </c>
      <c r="AI101" s="35">
        <v>0</v>
      </c>
      <c r="AJ101" s="35">
        <v>0</v>
      </c>
      <c r="AK101" s="35">
        <v>0</v>
      </c>
      <c r="AL101" s="35">
        <v>0</v>
      </c>
      <c r="AM101" s="35">
        <v>0</v>
      </c>
      <c r="AN101" s="35">
        <v>0</v>
      </c>
      <c r="AO101" s="36">
        <v>0</v>
      </c>
      <c r="AP101" s="35"/>
      <c r="AQ101" s="35"/>
      <c r="AR101" s="35"/>
      <c r="AS101" s="35"/>
      <c r="AT101" s="35"/>
      <c r="AU101" s="35"/>
    </row>
    <row r="102" spans="1:47" ht="15.75" x14ac:dyDescent="0.25">
      <c r="A102" s="24" t="s">
        <v>9</v>
      </c>
      <c r="B102" s="25" t="s">
        <v>106</v>
      </c>
      <c r="C102" s="25" t="s">
        <v>107</v>
      </c>
      <c r="D102" s="25">
        <v>32045438</v>
      </c>
      <c r="E102" s="39" t="s">
        <v>150</v>
      </c>
      <c r="F102" s="56">
        <v>32209640</v>
      </c>
      <c r="G102" s="47" t="s">
        <v>151</v>
      </c>
      <c r="H102" s="29" t="s">
        <v>34</v>
      </c>
      <c r="I102" s="29" t="s">
        <v>106</v>
      </c>
      <c r="J102" s="29">
        <v>1</v>
      </c>
      <c r="K102" s="30">
        <v>37085</v>
      </c>
      <c r="L102" s="30">
        <v>29981</v>
      </c>
      <c r="M102" s="31">
        <f t="shared" ca="1" si="6"/>
        <v>25</v>
      </c>
      <c r="N102" s="32">
        <f t="shared" ca="1" si="7"/>
        <v>44.446575342465756</v>
      </c>
      <c r="O102" s="33">
        <f ca="1">VLOOKUP(M102,Edad_Antigüedad!$M$2:$N$36,2)</f>
        <v>28</v>
      </c>
      <c r="P102" s="34" t="s">
        <v>109</v>
      </c>
      <c r="Q102" s="35"/>
      <c r="R102" s="35">
        <v>1</v>
      </c>
      <c r="S102" s="35">
        <v>1</v>
      </c>
      <c r="T102" s="35">
        <v>1</v>
      </c>
      <c r="U102" s="35">
        <v>0</v>
      </c>
      <c r="V102" s="35">
        <v>0</v>
      </c>
      <c r="W102" s="35">
        <v>0</v>
      </c>
      <c r="X102" s="35">
        <v>0</v>
      </c>
      <c r="Y102" s="35">
        <v>0</v>
      </c>
      <c r="Z102" s="35">
        <v>0</v>
      </c>
      <c r="AA102" s="35">
        <v>0</v>
      </c>
      <c r="AB102" s="35">
        <v>0</v>
      </c>
      <c r="AC102" s="35">
        <v>0</v>
      </c>
      <c r="AD102" s="35">
        <v>0</v>
      </c>
      <c r="AE102" s="35">
        <v>0</v>
      </c>
      <c r="AF102" s="35">
        <v>0</v>
      </c>
      <c r="AG102" s="35">
        <v>0</v>
      </c>
      <c r="AH102" s="35">
        <v>0</v>
      </c>
      <c r="AI102" s="35">
        <v>0</v>
      </c>
      <c r="AJ102" s="35">
        <v>0</v>
      </c>
      <c r="AK102" s="35">
        <v>0</v>
      </c>
      <c r="AL102" s="35">
        <v>0</v>
      </c>
      <c r="AM102" s="35">
        <v>0</v>
      </c>
      <c r="AN102" s="35">
        <v>0</v>
      </c>
      <c r="AO102" s="36">
        <v>0</v>
      </c>
      <c r="AP102" s="35"/>
      <c r="AQ102" s="35"/>
      <c r="AR102" s="35"/>
      <c r="AS102" s="35"/>
      <c r="AT102" s="35"/>
      <c r="AU102" s="35"/>
    </row>
    <row r="103" spans="1:47" ht="31.5" x14ac:dyDescent="0.25">
      <c r="A103" s="24" t="s">
        <v>9</v>
      </c>
      <c r="B103" s="25" t="s">
        <v>152</v>
      </c>
      <c r="C103" s="25" t="s">
        <v>107</v>
      </c>
      <c r="D103" s="25">
        <v>32044892</v>
      </c>
      <c r="E103" s="39" t="s">
        <v>153</v>
      </c>
      <c r="F103" s="56">
        <v>32209640</v>
      </c>
      <c r="G103" s="47" t="s">
        <v>151</v>
      </c>
      <c r="H103" s="29" t="s">
        <v>34</v>
      </c>
      <c r="I103" s="29" t="s">
        <v>152</v>
      </c>
      <c r="J103" s="29">
        <v>1</v>
      </c>
      <c r="K103" s="30">
        <v>36642</v>
      </c>
      <c r="L103" s="30">
        <v>26211</v>
      </c>
      <c r="M103" s="31">
        <f t="shared" ca="1" si="6"/>
        <v>26</v>
      </c>
      <c r="N103" s="32">
        <f t="shared" ca="1" si="7"/>
        <v>54.775342465753425</v>
      </c>
      <c r="O103" s="33">
        <f ca="1">VLOOKUP(M103,Edad_Antigüedad!$M$2:$N$36,2)</f>
        <v>30</v>
      </c>
      <c r="P103" s="34" t="s">
        <v>109</v>
      </c>
      <c r="Q103" s="35"/>
      <c r="R103" s="35">
        <v>1</v>
      </c>
      <c r="S103" s="35">
        <v>1</v>
      </c>
      <c r="T103" s="35">
        <v>1</v>
      </c>
      <c r="U103" s="35">
        <v>0</v>
      </c>
      <c r="V103" s="35">
        <v>0</v>
      </c>
      <c r="W103" s="35">
        <v>0</v>
      </c>
      <c r="X103" s="35">
        <v>0</v>
      </c>
      <c r="Y103" s="35">
        <v>0</v>
      </c>
      <c r="Z103" s="35">
        <v>0</v>
      </c>
      <c r="AA103" s="35">
        <v>0</v>
      </c>
      <c r="AB103" s="35">
        <v>0</v>
      </c>
      <c r="AC103" s="35">
        <v>0</v>
      </c>
      <c r="AD103" s="35">
        <v>0</v>
      </c>
      <c r="AE103" s="35">
        <v>0</v>
      </c>
      <c r="AF103" s="35">
        <v>0</v>
      </c>
      <c r="AG103" s="35">
        <v>0</v>
      </c>
      <c r="AH103" s="35">
        <v>0</v>
      </c>
      <c r="AI103" s="35">
        <v>0</v>
      </c>
      <c r="AJ103" s="35">
        <v>0</v>
      </c>
      <c r="AK103" s="35">
        <v>0</v>
      </c>
      <c r="AL103" s="35">
        <v>0</v>
      </c>
      <c r="AM103" s="35">
        <v>0</v>
      </c>
      <c r="AN103" s="35">
        <v>0</v>
      </c>
      <c r="AO103" s="36">
        <v>0</v>
      </c>
      <c r="AP103" s="35"/>
      <c r="AQ103" s="35"/>
      <c r="AR103" s="35"/>
      <c r="AS103" s="35"/>
      <c r="AT103" s="35"/>
      <c r="AU103" s="35"/>
    </row>
    <row r="104" spans="1:47" ht="31.5" x14ac:dyDescent="0.25">
      <c r="A104" s="24" t="s">
        <v>9</v>
      </c>
      <c r="B104" s="25" t="s">
        <v>152</v>
      </c>
      <c r="C104" s="25" t="s">
        <v>107</v>
      </c>
      <c r="D104" s="25">
        <v>32044783</v>
      </c>
      <c r="E104" s="39" t="s">
        <v>154</v>
      </c>
      <c r="F104" s="56">
        <v>32209640</v>
      </c>
      <c r="G104" s="47" t="s">
        <v>151</v>
      </c>
      <c r="H104" s="29" t="s">
        <v>34</v>
      </c>
      <c r="I104" s="29" t="s">
        <v>152</v>
      </c>
      <c r="J104" s="29">
        <v>1</v>
      </c>
      <c r="K104" s="30">
        <v>36382</v>
      </c>
      <c r="L104" s="30">
        <v>29791</v>
      </c>
      <c r="M104" s="31">
        <f t="shared" ca="1" si="6"/>
        <v>27</v>
      </c>
      <c r="N104" s="32">
        <f t="shared" ca="1" si="7"/>
        <v>44.967123287671235</v>
      </c>
      <c r="O104" s="33">
        <f ca="1">VLOOKUP(M104,Edad_Antigüedad!$M$2:$N$36,2)</f>
        <v>30</v>
      </c>
      <c r="P104" s="34" t="s">
        <v>109</v>
      </c>
      <c r="Q104" s="35"/>
      <c r="R104" s="35">
        <v>1</v>
      </c>
      <c r="S104" s="35">
        <v>1</v>
      </c>
      <c r="T104" s="35">
        <v>1</v>
      </c>
      <c r="U104" s="35">
        <v>0</v>
      </c>
      <c r="V104" s="35">
        <v>0</v>
      </c>
      <c r="W104" s="35">
        <v>0</v>
      </c>
      <c r="X104" s="35">
        <v>0</v>
      </c>
      <c r="Y104" s="35">
        <v>0</v>
      </c>
      <c r="Z104" s="35">
        <v>0</v>
      </c>
      <c r="AA104" s="35">
        <v>0</v>
      </c>
      <c r="AB104" s="35">
        <v>0</v>
      </c>
      <c r="AC104" s="35">
        <v>0</v>
      </c>
      <c r="AD104" s="35">
        <v>0</v>
      </c>
      <c r="AE104" s="35">
        <v>0</v>
      </c>
      <c r="AF104" s="35">
        <v>0</v>
      </c>
      <c r="AG104" s="35">
        <v>0</v>
      </c>
      <c r="AH104" s="35">
        <v>0</v>
      </c>
      <c r="AI104" s="35">
        <v>0</v>
      </c>
      <c r="AJ104" s="35">
        <v>0</v>
      </c>
      <c r="AK104" s="35">
        <v>0</v>
      </c>
      <c r="AL104" s="35">
        <v>0</v>
      </c>
      <c r="AM104" s="35">
        <v>0</v>
      </c>
      <c r="AN104" s="35">
        <v>0</v>
      </c>
      <c r="AO104" s="36">
        <v>0</v>
      </c>
      <c r="AP104" s="35"/>
      <c r="AQ104" s="35"/>
      <c r="AR104" s="35"/>
      <c r="AS104" s="35"/>
      <c r="AT104" s="35"/>
      <c r="AU104" s="35"/>
    </row>
    <row r="105" spans="1:47" ht="15.75" x14ac:dyDescent="0.25">
      <c r="A105" s="24" t="s">
        <v>9</v>
      </c>
      <c r="B105" s="25" t="s">
        <v>155</v>
      </c>
      <c r="C105" s="25" t="s">
        <v>111</v>
      </c>
      <c r="D105" s="25">
        <v>32209189</v>
      </c>
      <c r="E105" s="39" t="s">
        <v>156</v>
      </c>
      <c r="F105" s="56">
        <v>32209640</v>
      </c>
      <c r="G105" s="47" t="s">
        <v>151</v>
      </c>
      <c r="H105" s="29" t="s">
        <v>34</v>
      </c>
      <c r="I105" s="29" t="s">
        <v>155</v>
      </c>
      <c r="J105" s="29">
        <v>1</v>
      </c>
      <c r="K105" s="30">
        <v>45029</v>
      </c>
      <c r="L105" s="30">
        <v>36141</v>
      </c>
      <c r="M105" s="31">
        <f t="shared" ca="1" si="6"/>
        <v>3</v>
      </c>
      <c r="N105" s="32">
        <f t="shared" ca="1" si="7"/>
        <v>27.56986301369863</v>
      </c>
      <c r="O105" s="33">
        <f ca="1">VLOOKUP(M105,Edad_Antigüedad!$M$2:$N$36,2)</f>
        <v>16</v>
      </c>
      <c r="P105" s="34" t="s">
        <v>105</v>
      </c>
      <c r="Q105" s="35"/>
      <c r="R105" s="35">
        <v>1</v>
      </c>
      <c r="S105" s="35">
        <v>0</v>
      </c>
      <c r="T105" s="35">
        <v>0</v>
      </c>
      <c r="U105" s="35">
        <v>0</v>
      </c>
      <c r="V105" s="35">
        <v>0</v>
      </c>
      <c r="W105" s="35">
        <v>0</v>
      </c>
      <c r="X105" s="35">
        <v>0</v>
      </c>
      <c r="Y105" s="35">
        <v>0</v>
      </c>
      <c r="Z105" s="35">
        <v>0</v>
      </c>
      <c r="AA105" s="35">
        <v>0</v>
      </c>
      <c r="AB105" s="35">
        <v>0</v>
      </c>
      <c r="AC105" s="35">
        <v>0</v>
      </c>
      <c r="AD105" s="35">
        <v>0</v>
      </c>
      <c r="AE105" s="35">
        <v>0</v>
      </c>
      <c r="AF105" s="35">
        <v>0</v>
      </c>
      <c r="AG105" s="35">
        <v>0</v>
      </c>
      <c r="AH105" s="35">
        <v>0</v>
      </c>
      <c r="AI105" s="35">
        <v>0</v>
      </c>
      <c r="AJ105" s="35">
        <v>0</v>
      </c>
      <c r="AK105" s="35">
        <v>0</v>
      </c>
      <c r="AL105" s="35">
        <v>0</v>
      </c>
      <c r="AM105" s="35">
        <v>0</v>
      </c>
      <c r="AN105" s="35">
        <v>0</v>
      </c>
      <c r="AO105" s="36">
        <v>0</v>
      </c>
      <c r="AP105" s="35"/>
      <c r="AQ105" s="35"/>
      <c r="AR105" s="35"/>
      <c r="AS105" s="35"/>
      <c r="AT105" s="35"/>
      <c r="AU105" s="35"/>
    </row>
    <row r="106" spans="1:47" ht="15.75" x14ac:dyDescent="0.25">
      <c r="A106" s="24" t="s">
        <v>9</v>
      </c>
      <c r="B106" s="25" t="s">
        <v>141</v>
      </c>
      <c r="C106" s="25" t="s">
        <v>114</v>
      </c>
      <c r="D106" s="25">
        <v>32132194</v>
      </c>
      <c r="E106" s="39" t="s">
        <v>157</v>
      </c>
      <c r="F106" s="56">
        <v>32209640</v>
      </c>
      <c r="G106" s="47" t="s">
        <v>151</v>
      </c>
      <c r="H106" s="29" t="s">
        <v>34</v>
      </c>
      <c r="I106" s="29" t="s">
        <v>141</v>
      </c>
      <c r="J106" s="29">
        <v>1</v>
      </c>
      <c r="K106" s="30">
        <v>41988</v>
      </c>
      <c r="L106" s="30">
        <v>32727</v>
      </c>
      <c r="M106" s="31">
        <f t="shared" ca="1" si="6"/>
        <v>12</v>
      </c>
      <c r="N106" s="32">
        <f t="shared" ca="1" si="7"/>
        <v>36.923287671232877</v>
      </c>
      <c r="O106" s="33">
        <f ca="1">VLOOKUP(M106,Edad_Antigüedad!$M$2:$N$36,2)</f>
        <v>24</v>
      </c>
      <c r="P106" s="34" t="s">
        <v>105</v>
      </c>
      <c r="Q106" s="35"/>
      <c r="R106" s="35">
        <v>0</v>
      </c>
      <c r="S106" s="35">
        <v>0</v>
      </c>
      <c r="T106" s="35">
        <v>0</v>
      </c>
      <c r="U106" s="35">
        <v>0</v>
      </c>
      <c r="V106" s="35">
        <v>0</v>
      </c>
      <c r="W106" s="35">
        <v>0</v>
      </c>
      <c r="X106" s="35">
        <v>0</v>
      </c>
      <c r="Y106" s="35">
        <v>0</v>
      </c>
      <c r="Z106" s="35">
        <v>0</v>
      </c>
      <c r="AA106" s="35">
        <v>0</v>
      </c>
      <c r="AB106" s="35">
        <v>0</v>
      </c>
      <c r="AC106" s="35">
        <v>0</v>
      </c>
      <c r="AD106" s="35">
        <v>0</v>
      </c>
      <c r="AE106" s="35">
        <v>0</v>
      </c>
      <c r="AF106" s="35">
        <v>0</v>
      </c>
      <c r="AG106" s="35">
        <v>0</v>
      </c>
      <c r="AH106" s="35">
        <v>0</v>
      </c>
      <c r="AI106" s="35">
        <v>0</v>
      </c>
      <c r="AJ106" s="35">
        <v>0</v>
      </c>
      <c r="AK106" s="35">
        <v>0</v>
      </c>
      <c r="AL106" s="35">
        <v>0</v>
      </c>
      <c r="AM106" s="35">
        <v>0</v>
      </c>
      <c r="AN106" s="35">
        <v>0</v>
      </c>
      <c r="AO106" s="36">
        <v>0</v>
      </c>
      <c r="AP106" s="35"/>
      <c r="AQ106" s="35"/>
      <c r="AR106" s="35"/>
      <c r="AS106" s="35"/>
      <c r="AT106" s="35"/>
      <c r="AU106" s="35"/>
    </row>
    <row r="107" spans="1:47" ht="15.75" x14ac:dyDescent="0.25">
      <c r="A107" s="24" t="s">
        <v>9</v>
      </c>
      <c r="B107" s="25" t="s">
        <v>141</v>
      </c>
      <c r="C107" s="25" t="s">
        <v>114</v>
      </c>
      <c r="D107" s="25">
        <v>32188007</v>
      </c>
      <c r="E107" s="39" t="s">
        <v>158</v>
      </c>
      <c r="F107" s="56">
        <v>32209640</v>
      </c>
      <c r="G107" s="47" t="s">
        <v>151</v>
      </c>
      <c r="H107" s="29" t="s">
        <v>34</v>
      </c>
      <c r="I107" s="29" t="s">
        <v>141</v>
      </c>
      <c r="J107" s="29">
        <v>1</v>
      </c>
      <c r="K107" s="30">
        <v>44368</v>
      </c>
      <c r="L107" s="30">
        <v>35995</v>
      </c>
      <c r="M107" s="31">
        <f t="shared" ca="1" si="6"/>
        <v>5</v>
      </c>
      <c r="N107" s="32">
        <f t="shared" ca="1" si="7"/>
        <v>27.969863013698632</v>
      </c>
      <c r="O107" s="33">
        <f ca="1">VLOOKUP(M107,Edad_Antigüedad!$M$2:$N$36,2)</f>
        <v>20</v>
      </c>
      <c r="P107" s="34" t="s">
        <v>105</v>
      </c>
      <c r="Q107" s="35"/>
      <c r="R107" s="35">
        <v>1</v>
      </c>
      <c r="S107" s="35">
        <v>1</v>
      </c>
      <c r="T107" s="35">
        <v>1</v>
      </c>
      <c r="U107" s="35">
        <v>0</v>
      </c>
      <c r="V107" s="35">
        <v>0</v>
      </c>
      <c r="W107" s="35">
        <v>0</v>
      </c>
      <c r="X107" s="35">
        <v>0</v>
      </c>
      <c r="Y107" s="35">
        <v>0</v>
      </c>
      <c r="Z107" s="35">
        <v>0</v>
      </c>
      <c r="AA107" s="35">
        <v>0</v>
      </c>
      <c r="AB107" s="35">
        <v>0</v>
      </c>
      <c r="AC107" s="35">
        <v>0</v>
      </c>
      <c r="AD107" s="35">
        <v>0</v>
      </c>
      <c r="AE107" s="35">
        <v>0</v>
      </c>
      <c r="AF107" s="35">
        <v>0</v>
      </c>
      <c r="AG107" s="35">
        <v>0</v>
      </c>
      <c r="AH107" s="35">
        <v>0</v>
      </c>
      <c r="AI107" s="35">
        <v>0</v>
      </c>
      <c r="AJ107" s="35">
        <v>0</v>
      </c>
      <c r="AK107" s="35">
        <v>0</v>
      </c>
      <c r="AL107" s="35">
        <v>0</v>
      </c>
      <c r="AM107" s="35">
        <v>0</v>
      </c>
      <c r="AN107" s="35">
        <v>0</v>
      </c>
      <c r="AO107" s="36">
        <v>0</v>
      </c>
      <c r="AP107" s="35"/>
      <c r="AQ107" s="35"/>
      <c r="AR107" s="35"/>
      <c r="AS107" s="35"/>
      <c r="AT107" s="35"/>
      <c r="AU107" s="35"/>
    </row>
    <row r="108" spans="1:47" ht="15.75" x14ac:dyDescent="0.25">
      <c r="A108" s="24" t="s">
        <v>9</v>
      </c>
      <c r="B108" s="25" t="s">
        <v>33</v>
      </c>
      <c r="C108" s="26">
        <v>8</v>
      </c>
      <c r="D108" s="25">
        <v>32131972</v>
      </c>
      <c r="E108" s="27" t="s">
        <v>159</v>
      </c>
      <c r="F108" s="56">
        <v>32209640</v>
      </c>
      <c r="G108" s="47" t="s">
        <v>151</v>
      </c>
      <c r="H108" s="29" t="s">
        <v>34</v>
      </c>
      <c r="I108" s="25" t="s">
        <v>33</v>
      </c>
      <c r="J108" s="29">
        <v>1</v>
      </c>
      <c r="K108" s="30">
        <v>41258</v>
      </c>
      <c r="L108" s="30">
        <v>35934</v>
      </c>
      <c r="M108" s="31">
        <f t="shared" ca="1" si="6"/>
        <v>14</v>
      </c>
      <c r="N108" s="32">
        <f t="shared" ca="1" si="7"/>
        <v>28.136986301369863</v>
      </c>
      <c r="O108" s="33">
        <f ca="1">VLOOKUP(M108,Edad_Antigüedad!$M$2:$N$36,2)</f>
        <v>24</v>
      </c>
      <c r="P108" s="34" t="s">
        <v>102</v>
      </c>
      <c r="Q108" s="35"/>
      <c r="R108" s="35">
        <v>1</v>
      </c>
      <c r="S108" s="35">
        <v>1</v>
      </c>
      <c r="T108" s="35">
        <v>1</v>
      </c>
      <c r="U108" s="35">
        <v>1</v>
      </c>
      <c r="V108" s="35">
        <v>0</v>
      </c>
      <c r="W108" s="35">
        <v>0</v>
      </c>
      <c r="X108" s="35">
        <v>0</v>
      </c>
      <c r="Y108" s="35">
        <v>0</v>
      </c>
      <c r="Z108" s="35">
        <v>0</v>
      </c>
      <c r="AA108" s="35">
        <v>0</v>
      </c>
      <c r="AB108" s="35">
        <v>0</v>
      </c>
      <c r="AC108" s="35">
        <v>0</v>
      </c>
      <c r="AD108" s="35">
        <v>0</v>
      </c>
      <c r="AE108" s="35">
        <v>0</v>
      </c>
      <c r="AF108" s="35">
        <v>0</v>
      </c>
      <c r="AG108" s="35">
        <v>0</v>
      </c>
      <c r="AH108" s="35">
        <v>0</v>
      </c>
      <c r="AI108" s="35">
        <v>0</v>
      </c>
      <c r="AJ108" s="35">
        <v>0</v>
      </c>
      <c r="AK108" s="35">
        <v>0</v>
      </c>
      <c r="AL108" s="35">
        <v>0</v>
      </c>
      <c r="AM108" s="35">
        <v>0</v>
      </c>
      <c r="AN108" s="35">
        <v>0</v>
      </c>
      <c r="AO108" s="36">
        <v>0</v>
      </c>
      <c r="AP108" s="35"/>
      <c r="AQ108" s="35"/>
      <c r="AR108" s="35"/>
      <c r="AS108" s="35"/>
      <c r="AT108" s="35"/>
      <c r="AU108" s="35"/>
    </row>
    <row r="109" spans="1:47" ht="15.75" x14ac:dyDescent="0.25">
      <c r="A109" s="24" t="s">
        <v>9</v>
      </c>
      <c r="B109" s="25" t="s">
        <v>35</v>
      </c>
      <c r="C109" s="26">
        <v>9</v>
      </c>
      <c r="D109" s="28">
        <v>32132054</v>
      </c>
      <c r="E109" s="40" t="s">
        <v>160</v>
      </c>
      <c r="F109" s="56">
        <v>32209640</v>
      </c>
      <c r="G109" s="47" t="s">
        <v>151</v>
      </c>
      <c r="H109" s="29" t="s">
        <v>34</v>
      </c>
      <c r="I109" s="25" t="s">
        <v>35</v>
      </c>
      <c r="J109" s="29">
        <v>1</v>
      </c>
      <c r="K109" s="30">
        <v>41988</v>
      </c>
      <c r="L109" s="30">
        <v>33804</v>
      </c>
      <c r="M109" s="31">
        <f t="shared" ca="1" si="6"/>
        <v>12</v>
      </c>
      <c r="N109" s="32">
        <f t="shared" ca="1" si="7"/>
        <v>33.972602739726028</v>
      </c>
      <c r="O109" s="33">
        <f ca="1">VLOOKUP(M109,Edad_Antigüedad!$M$2:$N$36,2)</f>
        <v>24</v>
      </c>
      <c r="P109" s="34" t="s">
        <v>102</v>
      </c>
      <c r="Q109" s="35" t="s">
        <v>161</v>
      </c>
      <c r="R109" s="35">
        <v>1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  <c r="AJ109" s="35">
        <v>0</v>
      </c>
      <c r="AK109" s="35">
        <v>0</v>
      </c>
      <c r="AL109" s="35">
        <v>0</v>
      </c>
      <c r="AM109" s="35">
        <v>0</v>
      </c>
      <c r="AN109" s="35">
        <v>0</v>
      </c>
      <c r="AO109" s="36">
        <v>0</v>
      </c>
      <c r="AP109" s="35"/>
      <c r="AQ109" s="35"/>
      <c r="AR109" s="35"/>
      <c r="AS109" s="35"/>
      <c r="AT109" s="35"/>
      <c r="AU109" s="35"/>
    </row>
    <row r="110" spans="1:47" ht="15.75" x14ac:dyDescent="0.25">
      <c r="A110" s="24" t="s">
        <v>9</v>
      </c>
      <c r="B110" s="25" t="s">
        <v>31</v>
      </c>
      <c r="C110" s="26">
        <v>7</v>
      </c>
      <c r="D110" s="29">
        <v>32209640</v>
      </c>
      <c r="E110" s="39" t="s">
        <v>151</v>
      </c>
      <c r="F110" s="28">
        <v>32132858</v>
      </c>
      <c r="G110" s="29" t="s">
        <v>30</v>
      </c>
      <c r="H110" s="29" t="s">
        <v>34</v>
      </c>
      <c r="I110" s="29" t="s">
        <v>101</v>
      </c>
      <c r="J110" s="29">
        <v>1</v>
      </c>
      <c r="K110" s="30">
        <v>44597</v>
      </c>
      <c r="L110" s="30">
        <v>35890</v>
      </c>
      <c r="M110" s="31">
        <f t="shared" ca="1" si="6"/>
        <v>4</v>
      </c>
      <c r="N110" s="32">
        <f t="shared" ca="1" si="7"/>
        <v>28.257534246575343</v>
      </c>
      <c r="O110" s="33">
        <f ca="1">VLOOKUP(M110,Edad_Antigüedad!$M$2:$N$36,2)</f>
        <v>18</v>
      </c>
      <c r="P110" s="34" t="s">
        <v>102</v>
      </c>
      <c r="Q110" s="35"/>
      <c r="R110" s="35">
        <v>1</v>
      </c>
      <c r="S110" s="35">
        <v>1</v>
      </c>
      <c r="T110" s="35">
        <v>1</v>
      </c>
      <c r="U110" s="35">
        <v>1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5">
        <v>0</v>
      </c>
      <c r="AJ110" s="35">
        <v>0</v>
      </c>
      <c r="AK110" s="35">
        <v>0</v>
      </c>
      <c r="AL110" s="35"/>
      <c r="AM110" s="35">
        <v>0</v>
      </c>
      <c r="AN110" s="35">
        <v>0</v>
      </c>
      <c r="AO110" s="36">
        <v>0</v>
      </c>
      <c r="AP110" s="35"/>
      <c r="AQ110" s="35"/>
      <c r="AR110" s="35"/>
      <c r="AS110" s="35"/>
      <c r="AT110" s="35"/>
      <c r="AU110" s="35"/>
    </row>
    <row r="111" spans="1:47" ht="15.75" x14ac:dyDescent="0.25">
      <c r="A111" s="24" t="s">
        <v>9</v>
      </c>
      <c r="B111" s="25" t="s">
        <v>31</v>
      </c>
      <c r="C111" s="26">
        <v>7</v>
      </c>
      <c r="D111" s="28">
        <v>32044518</v>
      </c>
      <c r="E111" s="39" t="s">
        <v>162</v>
      </c>
      <c r="F111" s="28">
        <v>32132858</v>
      </c>
      <c r="G111" s="29" t="s">
        <v>30</v>
      </c>
      <c r="H111" s="29" t="s">
        <v>36</v>
      </c>
      <c r="I111" s="56" t="s">
        <v>101</v>
      </c>
      <c r="J111" s="29">
        <v>1</v>
      </c>
      <c r="K111" s="30">
        <v>36150</v>
      </c>
      <c r="L111" s="30">
        <v>27550</v>
      </c>
      <c r="M111" s="31">
        <f t="shared" ca="1" si="6"/>
        <v>28</v>
      </c>
      <c r="N111" s="32">
        <f t="shared" ca="1" si="7"/>
        <v>51.106849315068494</v>
      </c>
      <c r="O111" s="33">
        <f ca="1">VLOOKUP(M111,Edad_Antigüedad!$M$2:$N$36,2)</f>
        <v>30</v>
      </c>
      <c r="P111" s="34" t="s">
        <v>102</v>
      </c>
      <c r="Q111" s="35"/>
      <c r="R111" s="35">
        <v>1</v>
      </c>
      <c r="S111" s="35">
        <v>1</v>
      </c>
      <c r="T111" s="35">
        <v>1</v>
      </c>
      <c r="U111" s="35">
        <v>1</v>
      </c>
      <c r="V111" s="35">
        <v>0</v>
      </c>
      <c r="W111" s="35">
        <v>0</v>
      </c>
      <c r="X111" s="35">
        <v>0</v>
      </c>
      <c r="Y111" s="35">
        <v>0</v>
      </c>
      <c r="Z111" s="35">
        <v>0</v>
      </c>
      <c r="AA111" s="35">
        <v>0</v>
      </c>
      <c r="AB111" s="35">
        <v>0</v>
      </c>
      <c r="AC111" s="35">
        <v>0</v>
      </c>
      <c r="AD111" s="35">
        <v>0</v>
      </c>
      <c r="AE111" s="35">
        <v>0</v>
      </c>
      <c r="AF111" s="35">
        <v>0</v>
      </c>
      <c r="AG111" s="35">
        <v>0</v>
      </c>
      <c r="AH111" s="35">
        <v>0</v>
      </c>
      <c r="AI111" s="35">
        <v>0</v>
      </c>
      <c r="AJ111" s="35">
        <v>0</v>
      </c>
      <c r="AK111" s="35">
        <v>0</v>
      </c>
      <c r="AL111" s="35">
        <v>0</v>
      </c>
      <c r="AM111" s="35">
        <v>0</v>
      </c>
      <c r="AN111" s="35">
        <v>0</v>
      </c>
      <c r="AO111" s="36">
        <v>0</v>
      </c>
      <c r="AP111" s="35"/>
      <c r="AQ111" s="35"/>
      <c r="AR111" s="35"/>
      <c r="AS111" s="35"/>
      <c r="AT111" s="35"/>
      <c r="AU111" s="35"/>
    </row>
    <row r="112" spans="1:47" ht="15.75" x14ac:dyDescent="0.25">
      <c r="A112" s="24" t="s">
        <v>9</v>
      </c>
      <c r="B112" s="25" t="s">
        <v>106</v>
      </c>
      <c r="C112" s="25" t="s">
        <v>107</v>
      </c>
      <c r="D112" s="25">
        <v>32044839</v>
      </c>
      <c r="E112" s="39" t="s">
        <v>163</v>
      </c>
      <c r="F112" s="28">
        <v>32044518</v>
      </c>
      <c r="G112" s="39" t="s">
        <v>162</v>
      </c>
      <c r="H112" s="29" t="s">
        <v>36</v>
      </c>
      <c r="I112" s="29" t="s">
        <v>106</v>
      </c>
      <c r="J112" s="29">
        <v>1</v>
      </c>
      <c r="K112" s="30">
        <v>36549</v>
      </c>
      <c r="L112" s="30">
        <v>25939</v>
      </c>
      <c r="M112" s="31">
        <f t="shared" ca="1" si="6"/>
        <v>26</v>
      </c>
      <c r="N112" s="32">
        <f t="shared" ca="1" si="7"/>
        <v>55.520547945205479</v>
      </c>
      <c r="O112" s="33">
        <f ca="1">VLOOKUP(M112,Edad_Antigüedad!$M$2:$N$36,2)</f>
        <v>30</v>
      </c>
      <c r="P112" s="34" t="s">
        <v>109</v>
      </c>
      <c r="Q112" s="35"/>
      <c r="R112" s="35">
        <v>1</v>
      </c>
      <c r="S112" s="35">
        <v>1</v>
      </c>
      <c r="T112" s="35">
        <v>1</v>
      </c>
      <c r="U112" s="35">
        <v>0</v>
      </c>
      <c r="V112" s="35">
        <v>0</v>
      </c>
      <c r="W112" s="35">
        <v>0</v>
      </c>
      <c r="X112" s="35">
        <v>0</v>
      </c>
      <c r="Y112" s="35">
        <v>0</v>
      </c>
      <c r="Z112" s="35">
        <v>0</v>
      </c>
      <c r="AA112" s="35">
        <v>0</v>
      </c>
      <c r="AB112" s="35">
        <v>0</v>
      </c>
      <c r="AC112" s="35">
        <v>0</v>
      </c>
      <c r="AD112" s="35">
        <v>0</v>
      </c>
      <c r="AE112" s="35">
        <v>0</v>
      </c>
      <c r="AF112" s="35">
        <v>0</v>
      </c>
      <c r="AG112" s="35">
        <v>0</v>
      </c>
      <c r="AH112" s="35">
        <v>0</v>
      </c>
      <c r="AI112" s="35">
        <v>0</v>
      </c>
      <c r="AJ112" s="35">
        <v>0</v>
      </c>
      <c r="AK112" s="35">
        <v>0</v>
      </c>
      <c r="AL112" s="35">
        <v>0</v>
      </c>
      <c r="AM112" s="35">
        <v>0</v>
      </c>
      <c r="AN112" s="35">
        <v>0</v>
      </c>
      <c r="AO112" s="36">
        <v>0</v>
      </c>
      <c r="AP112" s="35"/>
      <c r="AQ112" s="35"/>
      <c r="AR112" s="35"/>
      <c r="AS112" s="35"/>
      <c r="AT112" s="35"/>
      <c r="AU112" s="35"/>
    </row>
    <row r="113" spans="1:47" ht="15.75" x14ac:dyDescent="0.25">
      <c r="A113" s="24" t="s">
        <v>9</v>
      </c>
      <c r="B113" s="25" t="s">
        <v>106</v>
      </c>
      <c r="C113" s="25" t="s">
        <v>107</v>
      </c>
      <c r="D113" s="25">
        <v>32045409</v>
      </c>
      <c r="E113" s="39" t="s">
        <v>164</v>
      </c>
      <c r="F113" s="28">
        <v>32044518</v>
      </c>
      <c r="G113" s="39" t="s">
        <v>162</v>
      </c>
      <c r="H113" s="89" t="s">
        <v>36</v>
      </c>
      <c r="I113" s="29" t="s">
        <v>106</v>
      </c>
      <c r="J113" s="29">
        <v>1</v>
      </c>
      <c r="K113" s="30">
        <v>37061</v>
      </c>
      <c r="L113" s="30">
        <v>26851</v>
      </c>
      <c r="M113" s="31">
        <f t="shared" ca="1" si="6"/>
        <v>25</v>
      </c>
      <c r="N113" s="32">
        <f t="shared" ca="1" si="7"/>
        <v>53.021917808219179</v>
      </c>
      <c r="O113" s="33">
        <f ca="1">VLOOKUP(M113,Edad_Antigüedad!$M$2:$N$36,2)</f>
        <v>28</v>
      </c>
      <c r="P113" s="34" t="s">
        <v>109</v>
      </c>
      <c r="Q113" s="35"/>
      <c r="R113" s="35">
        <v>1</v>
      </c>
      <c r="S113" s="35">
        <v>0</v>
      </c>
      <c r="T113" s="35">
        <v>0</v>
      </c>
      <c r="U113" s="35">
        <v>0</v>
      </c>
      <c r="V113" s="35">
        <v>0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/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  <c r="AH113" s="35">
        <v>0</v>
      </c>
      <c r="AI113" s="35">
        <v>0</v>
      </c>
      <c r="AJ113" s="35">
        <v>0</v>
      </c>
      <c r="AK113" s="35">
        <v>0</v>
      </c>
      <c r="AL113" s="35">
        <v>0</v>
      </c>
      <c r="AM113" s="35">
        <v>0</v>
      </c>
      <c r="AN113" s="35">
        <v>0</v>
      </c>
      <c r="AO113" s="36">
        <v>0</v>
      </c>
      <c r="AP113" s="35"/>
      <c r="AQ113" s="35"/>
      <c r="AR113" s="35"/>
      <c r="AS113" s="35"/>
      <c r="AT113" s="35"/>
      <c r="AU113" s="35"/>
    </row>
    <row r="114" spans="1:47" ht="15.75" x14ac:dyDescent="0.25">
      <c r="A114" s="24" t="s">
        <v>9</v>
      </c>
      <c r="B114" s="25" t="s">
        <v>141</v>
      </c>
      <c r="C114" s="25" t="s">
        <v>114</v>
      </c>
      <c r="D114" s="25">
        <v>32197427</v>
      </c>
      <c r="E114" s="39" t="s">
        <v>165</v>
      </c>
      <c r="F114" s="28">
        <v>32044518</v>
      </c>
      <c r="G114" s="39" t="s">
        <v>162</v>
      </c>
      <c r="H114" s="89" t="s">
        <v>36</v>
      </c>
      <c r="I114" s="29" t="s">
        <v>141</v>
      </c>
      <c r="J114" s="29">
        <v>1</v>
      </c>
      <c r="K114" s="30">
        <v>44414</v>
      </c>
      <c r="L114" s="30">
        <v>34539</v>
      </c>
      <c r="M114" s="31">
        <f t="shared" ca="1" si="6"/>
        <v>5</v>
      </c>
      <c r="N114" s="32">
        <f t="shared" ca="1" si="7"/>
        <v>31.958904109589042</v>
      </c>
      <c r="O114" s="33">
        <f ca="1">VLOOKUP(M114,Edad_Antigüedad!$M$2:$N$36,2)</f>
        <v>20</v>
      </c>
      <c r="P114" s="34" t="s">
        <v>166</v>
      </c>
      <c r="Q114" s="35"/>
      <c r="R114" s="35">
        <v>0</v>
      </c>
      <c r="S114" s="35">
        <v>0</v>
      </c>
      <c r="T114" s="35">
        <v>0</v>
      </c>
      <c r="U114" s="35">
        <v>0</v>
      </c>
      <c r="V114" s="35">
        <v>0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5">
        <v>0</v>
      </c>
      <c r="AE114" s="35">
        <v>0</v>
      </c>
      <c r="AF114" s="35">
        <v>0</v>
      </c>
      <c r="AG114" s="35">
        <v>0</v>
      </c>
      <c r="AH114" s="35">
        <v>0</v>
      </c>
      <c r="AI114" s="35">
        <v>0</v>
      </c>
      <c r="AJ114" s="35">
        <v>0</v>
      </c>
      <c r="AK114" s="35">
        <v>0</v>
      </c>
      <c r="AL114" s="35">
        <v>0</v>
      </c>
      <c r="AM114" s="35">
        <v>0</v>
      </c>
      <c r="AN114" s="35">
        <v>0</v>
      </c>
      <c r="AO114" s="36">
        <v>0</v>
      </c>
      <c r="AP114" s="35"/>
      <c r="AQ114" s="35"/>
      <c r="AR114" s="35"/>
      <c r="AS114" s="35"/>
      <c r="AT114" s="35"/>
      <c r="AU114" s="35"/>
    </row>
    <row r="115" spans="1:47" ht="15.75" x14ac:dyDescent="0.25">
      <c r="A115" s="24" t="s">
        <v>9</v>
      </c>
      <c r="B115" s="25" t="s">
        <v>141</v>
      </c>
      <c r="C115" s="25" t="s">
        <v>114</v>
      </c>
      <c r="D115" s="25">
        <v>32148846</v>
      </c>
      <c r="E115" s="39" t="s">
        <v>167</v>
      </c>
      <c r="F115" s="28">
        <v>32044518</v>
      </c>
      <c r="G115" s="39" t="s">
        <v>162</v>
      </c>
      <c r="H115" s="29" t="s">
        <v>36</v>
      </c>
      <c r="I115" s="29" t="s">
        <v>141</v>
      </c>
      <c r="J115" s="29">
        <v>1</v>
      </c>
      <c r="K115" s="30">
        <v>42506</v>
      </c>
      <c r="L115" s="30">
        <v>35034</v>
      </c>
      <c r="M115" s="31">
        <f t="shared" ca="1" si="6"/>
        <v>10</v>
      </c>
      <c r="N115" s="32">
        <f t="shared" ca="1" si="7"/>
        <v>30.602739726027398</v>
      </c>
      <c r="O115" s="33">
        <f ca="1">VLOOKUP(M115,Edad_Antigüedad!$M$2:$N$36,2)</f>
        <v>22</v>
      </c>
      <c r="P115" s="34" t="s">
        <v>105</v>
      </c>
      <c r="Q115" s="35"/>
      <c r="R115" s="35">
        <v>0</v>
      </c>
      <c r="S115" s="35">
        <v>0</v>
      </c>
      <c r="T115" s="35">
        <v>0</v>
      </c>
      <c r="U115" s="35">
        <v>0</v>
      </c>
      <c r="V115" s="35">
        <v>0</v>
      </c>
      <c r="W115" s="35">
        <v>0</v>
      </c>
      <c r="X115" s="35">
        <v>0</v>
      </c>
      <c r="Y115" s="35">
        <v>0</v>
      </c>
      <c r="Z115" s="35">
        <v>0</v>
      </c>
      <c r="AA115" s="35">
        <v>0</v>
      </c>
      <c r="AB115" s="35">
        <v>0</v>
      </c>
      <c r="AC115" s="35">
        <v>0</v>
      </c>
      <c r="AD115" s="35">
        <v>0</v>
      </c>
      <c r="AE115" s="35">
        <v>0</v>
      </c>
      <c r="AF115" s="35">
        <v>0</v>
      </c>
      <c r="AG115" s="35">
        <v>0</v>
      </c>
      <c r="AH115" s="35">
        <v>0</v>
      </c>
      <c r="AI115" s="35">
        <v>0</v>
      </c>
      <c r="AJ115" s="35">
        <v>0</v>
      </c>
      <c r="AK115" s="35">
        <v>0</v>
      </c>
      <c r="AL115" s="35">
        <v>0</v>
      </c>
      <c r="AM115" s="35">
        <v>0</v>
      </c>
      <c r="AN115" s="35">
        <v>0</v>
      </c>
      <c r="AO115" s="36">
        <v>0</v>
      </c>
      <c r="AP115" s="35"/>
      <c r="AQ115" s="35"/>
      <c r="AR115" s="35"/>
      <c r="AS115" s="35"/>
      <c r="AT115" s="35"/>
      <c r="AU115" s="35"/>
    </row>
    <row r="116" spans="1:47" ht="15.75" x14ac:dyDescent="0.25">
      <c r="A116" s="24" t="s">
        <v>9</v>
      </c>
      <c r="B116" s="25" t="s">
        <v>117</v>
      </c>
      <c r="C116" s="25" t="s">
        <v>114</v>
      </c>
      <c r="D116" s="25">
        <v>32045510</v>
      </c>
      <c r="E116" s="39" t="s">
        <v>168</v>
      </c>
      <c r="F116" s="28">
        <v>32044518</v>
      </c>
      <c r="G116" s="39" t="s">
        <v>162</v>
      </c>
      <c r="H116" s="29" t="s">
        <v>36</v>
      </c>
      <c r="I116" s="29" t="s">
        <v>117</v>
      </c>
      <c r="J116" s="29">
        <v>1</v>
      </c>
      <c r="K116" s="30">
        <v>37130</v>
      </c>
      <c r="L116" s="30">
        <v>26131</v>
      </c>
      <c r="M116" s="31">
        <f t="shared" ca="1" si="6"/>
        <v>25</v>
      </c>
      <c r="N116" s="32">
        <f t="shared" ca="1" si="7"/>
        <v>54.994520547945207</v>
      </c>
      <c r="O116" s="33">
        <f ca="1">VLOOKUP(M116,Edad_Antigüedad!$M$2:$N$36,2)</f>
        <v>28</v>
      </c>
      <c r="P116" s="34" t="s">
        <v>109</v>
      </c>
      <c r="Q116" s="35"/>
      <c r="R116" s="35">
        <v>1</v>
      </c>
      <c r="S116" s="35">
        <v>1</v>
      </c>
      <c r="T116" s="35">
        <v>1</v>
      </c>
      <c r="U116" s="35">
        <v>1</v>
      </c>
      <c r="V116" s="35">
        <v>0</v>
      </c>
      <c r="W116" s="35">
        <v>0</v>
      </c>
      <c r="X116" s="35">
        <v>0</v>
      </c>
      <c r="Y116" s="35">
        <v>0</v>
      </c>
      <c r="Z116" s="35">
        <v>0</v>
      </c>
      <c r="AA116" s="35">
        <v>0</v>
      </c>
      <c r="AB116" s="35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  <c r="AH116" s="35">
        <v>0</v>
      </c>
      <c r="AI116" s="35">
        <v>0</v>
      </c>
      <c r="AJ116" s="35">
        <v>0</v>
      </c>
      <c r="AK116" s="35">
        <v>0</v>
      </c>
      <c r="AL116" s="35">
        <v>0</v>
      </c>
      <c r="AM116" s="35">
        <v>0</v>
      </c>
      <c r="AN116" s="35">
        <v>0</v>
      </c>
      <c r="AO116" s="36">
        <v>0</v>
      </c>
      <c r="AP116" s="35"/>
      <c r="AQ116" s="35"/>
      <c r="AR116" s="35"/>
      <c r="AS116" s="35"/>
      <c r="AT116" s="35"/>
      <c r="AU116" s="35"/>
    </row>
    <row r="117" spans="1:47" ht="15.75" x14ac:dyDescent="0.25">
      <c r="A117" s="24" t="s">
        <v>9</v>
      </c>
      <c r="B117" s="25" t="s">
        <v>123</v>
      </c>
      <c r="C117" s="25" t="s">
        <v>120</v>
      </c>
      <c r="D117" s="25">
        <v>32222227</v>
      </c>
      <c r="E117" s="39" t="s">
        <v>169</v>
      </c>
      <c r="F117" s="28">
        <v>32044518</v>
      </c>
      <c r="G117" s="39" t="s">
        <v>162</v>
      </c>
      <c r="H117" s="29" t="s">
        <v>36</v>
      </c>
      <c r="I117" s="29" t="s">
        <v>123</v>
      </c>
      <c r="J117" s="29">
        <v>1</v>
      </c>
      <c r="K117" s="30">
        <v>45093</v>
      </c>
      <c r="L117" s="30">
        <v>33874</v>
      </c>
      <c r="M117" s="31">
        <f t="shared" ca="1" si="6"/>
        <v>3</v>
      </c>
      <c r="N117" s="32">
        <f t="shared" ca="1" si="7"/>
        <v>33.780821917808218</v>
      </c>
      <c r="O117" s="33">
        <f ca="1">VLOOKUP(M117,Edad_Antigüedad!$M$2:$N$36,2)</f>
        <v>16</v>
      </c>
      <c r="P117" s="34" t="s">
        <v>105</v>
      </c>
      <c r="Q117" s="35"/>
      <c r="R117" s="35">
        <v>1</v>
      </c>
      <c r="S117" s="35">
        <v>1</v>
      </c>
      <c r="T117" s="35">
        <v>1</v>
      </c>
      <c r="U117" s="35">
        <v>0</v>
      </c>
      <c r="V117" s="35">
        <v>0</v>
      </c>
      <c r="W117" s="35">
        <v>0</v>
      </c>
      <c r="X117" s="35">
        <v>0</v>
      </c>
      <c r="Y117" s="35">
        <v>0</v>
      </c>
      <c r="Z117" s="35">
        <v>0</v>
      </c>
      <c r="AA117" s="35">
        <v>0</v>
      </c>
      <c r="AB117" s="35">
        <v>0</v>
      </c>
      <c r="AC117" s="35">
        <v>0</v>
      </c>
      <c r="AD117" s="35">
        <v>0</v>
      </c>
      <c r="AE117" s="35">
        <v>0</v>
      </c>
      <c r="AF117" s="35">
        <v>0</v>
      </c>
      <c r="AG117" s="35">
        <v>0</v>
      </c>
      <c r="AH117" s="35">
        <v>0</v>
      </c>
      <c r="AI117" s="35">
        <v>0</v>
      </c>
      <c r="AJ117" s="35">
        <v>0</v>
      </c>
      <c r="AK117" s="35">
        <v>0</v>
      </c>
      <c r="AL117" s="35">
        <v>0</v>
      </c>
      <c r="AM117" s="35">
        <v>0</v>
      </c>
      <c r="AN117" s="35">
        <v>0</v>
      </c>
      <c r="AO117" s="36">
        <v>0</v>
      </c>
      <c r="AP117" s="35"/>
      <c r="AQ117" s="35"/>
      <c r="AR117" s="35"/>
      <c r="AS117" s="35"/>
      <c r="AT117" s="35"/>
      <c r="AU117" s="35"/>
    </row>
    <row r="118" spans="1:47" ht="31.5" x14ac:dyDescent="0.25">
      <c r="A118" s="24" t="s">
        <v>9</v>
      </c>
      <c r="B118" s="25" t="s">
        <v>145</v>
      </c>
      <c r="C118" s="25" t="s">
        <v>170</v>
      </c>
      <c r="D118" s="25">
        <v>32045572</v>
      </c>
      <c r="E118" s="39" t="s">
        <v>171</v>
      </c>
      <c r="F118" s="28">
        <v>32044518</v>
      </c>
      <c r="G118" s="39" t="s">
        <v>162</v>
      </c>
      <c r="H118" s="29" t="s">
        <v>36</v>
      </c>
      <c r="I118" s="29" t="s">
        <v>145</v>
      </c>
      <c r="J118" s="29">
        <v>1</v>
      </c>
      <c r="K118" s="30">
        <v>37291</v>
      </c>
      <c r="L118" s="30">
        <v>26305</v>
      </c>
      <c r="M118" s="31">
        <f t="shared" ca="1" si="6"/>
        <v>24</v>
      </c>
      <c r="N118" s="32">
        <f t="shared" ca="1" si="7"/>
        <v>54.517808219178079</v>
      </c>
      <c r="O118" s="33">
        <f ca="1">VLOOKUP(M118,Edad_Antigüedad!$M$2:$N$36,2)</f>
        <v>28</v>
      </c>
      <c r="P118" s="34" t="s">
        <v>109</v>
      </c>
      <c r="Q118" s="35"/>
      <c r="R118" s="35">
        <v>0</v>
      </c>
      <c r="S118" s="35">
        <v>0</v>
      </c>
      <c r="T118" s="35">
        <v>0</v>
      </c>
      <c r="U118" s="35">
        <v>0</v>
      </c>
      <c r="V118" s="35">
        <v>0</v>
      </c>
      <c r="W118" s="35">
        <v>0</v>
      </c>
      <c r="X118" s="35">
        <v>0</v>
      </c>
      <c r="Y118" s="35">
        <v>0</v>
      </c>
      <c r="Z118" s="35">
        <v>0</v>
      </c>
      <c r="AA118" s="35">
        <v>0</v>
      </c>
      <c r="AB118" s="35">
        <v>0</v>
      </c>
      <c r="AC118" s="35">
        <v>0</v>
      </c>
      <c r="AD118" s="35">
        <v>0</v>
      </c>
      <c r="AE118" s="35">
        <v>0</v>
      </c>
      <c r="AF118" s="35">
        <v>0</v>
      </c>
      <c r="AG118" s="35">
        <v>0</v>
      </c>
      <c r="AH118" s="35">
        <v>0</v>
      </c>
      <c r="AI118" s="35">
        <v>0</v>
      </c>
      <c r="AJ118" s="35">
        <v>0</v>
      </c>
      <c r="AK118" s="35">
        <v>0</v>
      </c>
      <c r="AL118" s="35">
        <v>0</v>
      </c>
      <c r="AM118" s="35">
        <v>0</v>
      </c>
      <c r="AN118" s="35">
        <v>0</v>
      </c>
      <c r="AO118" s="36">
        <v>0</v>
      </c>
      <c r="AP118" s="35"/>
      <c r="AQ118" s="35"/>
      <c r="AR118" s="35"/>
      <c r="AS118" s="35"/>
      <c r="AT118" s="35"/>
      <c r="AU118" s="35"/>
    </row>
    <row r="119" spans="1:47" ht="15.75" x14ac:dyDescent="0.25">
      <c r="A119" s="24" t="s">
        <v>9</v>
      </c>
      <c r="B119" s="25" t="s">
        <v>35</v>
      </c>
      <c r="C119" s="26">
        <v>9</v>
      </c>
      <c r="D119" s="28">
        <v>32186666</v>
      </c>
      <c r="E119" s="40" t="s">
        <v>172</v>
      </c>
      <c r="F119" s="28">
        <v>32044518</v>
      </c>
      <c r="G119" s="39" t="s">
        <v>162</v>
      </c>
      <c r="H119" s="29" t="s">
        <v>36</v>
      </c>
      <c r="I119" s="25" t="s">
        <v>35</v>
      </c>
      <c r="J119" s="29">
        <v>3</v>
      </c>
      <c r="K119" s="30">
        <v>43907</v>
      </c>
      <c r="L119" s="30">
        <v>35160</v>
      </c>
      <c r="M119" s="31">
        <f t="shared" ca="1" si="6"/>
        <v>6</v>
      </c>
      <c r="N119" s="32">
        <f t="shared" ca="1" si="7"/>
        <v>30.257534246575343</v>
      </c>
      <c r="O119" s="33">
        <f ca="1">VLOOKUP(M119,Edad_Antigüedad!$M$2:$N$36,2)</f>
        <v>22</v>
      </c>
      <c r="P119" s="34" t="s">
        <v>102</v>
      </c>
      <c r="Q119" s="35"/>
      <c r="R119" s="35">
        <v>1</v>
      </c>
      <c r="S119" s="35">
        <v>1</v>
      </c>
      <c r="T119" s="35">
        <v>1</v>
      </c>
      <c r="U119" s="35">
        <v>0</v>
      </c>
      <c r="V119" s="35">
        <v>0</v>
      </c>
      <c r="W119" s="35">
        <v>0</v>
      </c>
      <c r="X119" s="35">
        <v>0</v>
      </c>
      <c r="Y119" s="35">
        <v>0</v>
      </c>
      <c r="Z119" s="35">
        <v>0</v>
      </c>
      <c r="AA119" s="35">
        <v>0</v>
      </c>
      <c r="AB119" s="35">
        <v>0</v>
      </c>
      <c r="AC119" s="35">
        <v>0</v>
      </c>
      <c r="AD119" s="35">
        <v>0</v>
      </c>
      <c r="AE119" s="35">
        <v>0</v>
      </c>
      <c r="AF119" s="35">
        <v>0</v>
      </c>
      <c r="AG119" s="35">
        <v>0</v>
      </c>
      <c r="AH119" s="35">
        <v>0</v>
      </c>
      <c r="AI119" s="35">
        <v>0</v>
      </c>
      <c r="AJ119" s="35">
        <v>0</v>
      </c>
      <c r="AK119" s="35">
        <v>0</v>
      </c>
      <c r="AL119" s="35">
        <v>0</v>
      </c>
      <c r="AM119" s="35">
        <v>0</v>
      </c>
      <c r="AN119" s="35">
        <v>0</v>
      </c>
      <c r="AO119" s="36">
        <v>0</v>
      </c>
      <c r="AP119" s="35"/>
      <c r="AQ119" s="35"/>
      <c r="AR119" s="35"/>
      <c r="AS119" s="35"/>
      <c r="AT119" s="35"/>
      <c r="AU119" s="35"/>
    </row>
    <row r="120" spans="1:47" ht="15.75" x14ac:dyDescent="0.25">
      <c r="A120" s="24" t="s">
        <v>9</v>
      </c>
      <c r="B120" s="25" t="s">
        <v>31</v>
      </c>
      <c r="C120" s="26">
        <v>7</v>
      </c>
      <c r="D120" s="28">
        <v>32144668</v>
      </c>
      <c r="E120" s="40" t="s">
        <v>130</v>
      </c>
      <c r="F120" s="28">
        <v>32132858</v>
      </c>
      <c r="G120" s="29" t="s">
        <v>30</v>
      </c>
      <c r="H120" s="13" t="s">
        <v>38</v>
      </c>
      <c r="I120" s="39" t="s">
        <v>101</v>
      </c>
      <c r="J120" s="29">
        <v>1</v>
      </c>
      <c r="K120" s="30">
        <v>42356</v>
      </c>
      <c r="L120" s="30">
        <v>32934</v>
      </c>
      <c r="M120" s="31">
        <f t="shared" ca="1" si="6"/>
        <v>11</v>
      </c>
      <c r="N120" s="32">
        <f t="shared" ca="1" si="7"/>
        <v>36.356164383561641</v>
      </c>
      <c r="O120" s="33">
        <f ca="1">VLOOKUP(M120,Edad_Antigüedad!$M$2:$N$36,2)</f>
        <v>24</v>
      </c>
      <c r="P120" s="34" t="s">
        <v>129</v>
      </c>
      <c r="Q120" s="35"/>
      <c r="R120" s="35">
        <v>1</v>
      </c>
      <c r="S120" s="35">
        <v>1</v>
      </c>
      <c r="T120" s="35">
        <v>1</v>
      </c>
      <c r="U120" s="35">
        <v>0</v>
      </c>
      <c r="V120" s="35">
        <v>0</v>
      </c>
      <c r="W120" s="35">
        <v>0</v>
      </c>
      <c r="X120" s="35">
        <v>0</v>
      </c>
      <c r="Y120" s="35">
        <v>0</v>
      </c>
      <c r="Z120" s="35">
        <v>0</v>
      </c>
      <c r="AA120" s="35">
        <v>0</v>
      </c>
      <c r="AB120" s="35">
        <v>0</v>
      </c>
      <c r="AC120" s="35">
        <v>0</v>
      </c>
      <c r="AD120" s="35">
        <v>0</v>
      </c>
      <c r="AE120" s="35">
        <v>0</v>
      </c>
      <c r="AF120" s="35"/>
      <c r="AG120" s="35">
        <v>0</v>
      </c>
      <c r="AH120" s="35">
        <v>0</v>
      </c>
      <c r="AI120" s="35">
        <v>0</v>
      </c>
      <c r="AJ120" s="35">
        <v>0</v>
      </c>
      <c r="AK120" s="35">
        <v>0</v>
      </c>
      <c r="AL120" s="35">
        <v>0</v>
      </c>
      <c r="AM120" s="35">
        <v>0</v>
      </c>
      <c r="AN120" s="35">
        <v>0</v>
      </c>
      <c r="AO120" s="36">
        <v>0</v>
      </c>
      <c r="AP120" s="35"/>
      <c r="AQ120" s="35"/>
      <c r="AR120" s="35"/>
      <c r="AS120" s="35"/>
      <c r="AT120" s="35"/>
      <c r="AU120" s="35"/>
    </row>
    <row r="121" spans="1:47" ht="15.75" x14ac:dyDescent="0.25">
      <c r="A121" s="24" t="s">
        <v>9</v>
      </c>
      <c r="B121" s="25" t="s">
        <v>31</v>
      </c>
      <c r="C121" s="26">
        <v>7</v>
      </c>
      <c r="D121" s="28">
        <v>32151919</v>
      </c>
      <c r="E121" s="27" t="s">
        <v>131</v>
      </c>
      <c r="F121" s="28">
        <v>32132858</v>
      </c>
      <c r="G121" s="29" t="s">
        <v>30</v>
      </c>
      <c r="H121" s="13" t="s">
        <v>38</v>
      </c>
      <c r="I121" s="47" t="s">
        <v>132</v>
      </c>
      <c r="J121" s="29">
        <v>2</v>
      </c>
      <c r="K121" s="30">
        <v>42598</v>
      </c>
      <c r="L121" s="30">
        <v>33260</v>
      </c>
      <c r="M121" s="31">
        <f t="shared" ca="1" si="6"/>
        <v>10</v>
      </c>
      <c r="N121" s="32">
        <f t="shared" ca="1" si="7"/>
        <v>35.463013698630135</v>
      </c>
      <c r="O121" s="33">
        <f ca="1">VLOOKUP(M121,Edad_Antigüedad!$M$2:$N$36,2)</f>
        <v>22</v>
      </c>
      <c r="P121" s="34" t="s">
        <v>129</v>
      </c>
      <c r="Q121" s="35"/>
      <c r="R121" s="35">
        <v>1</v>
      </c>
      <c r="S121" s="35">
        <v>1</v>
      </c>
      <c r="T121" s="35">
        <v>1</v>
      </c>
      <c r="U121" s="35">
        <v>1</v>
      </c>
      <c r="V121" s="35">
        <v>0</v>
      </c>
      <c r="W121" s="35">
        <v>0</v>
      </c>
      <c r="X121" s="35">
        <v>0</v>
      </c>
      <c r="Y121" s="35">
        <v>0</v>
      </c>
      <c r="Z121" s="35">
        <v>0</v>
      </c>
      <c r="AA121" s="35">
        <v>0</v>
      </c>
      <c r="AB121" s="35">
        <v>0</v>
      </c>
      <c r="AC121" s="35">
        <v>0</v>
      </c>
      <c r="AD121" s="35">
        <v>0</v>
      </c>
      <c r="AE121" s="35">
        <v>0</v>
      </c>
      <c r="AF121" s="35">
        <v>0</v>
      </c>
      <c r="AG121" s="35">
        <v>0</v>
      </c>
      <c r="AH121" s="35">
        <v>0</v>
      </c>
      <c r="AI121" s="35">
        <v>0</v>
      </c>
      <c r="AJ121" s="35">
        <v>0</v>
      </c>
      <c r="AK121" s="35">
        <v>0</v>
      </c>
      <c r="AL121" s="35">
        <v>0</v>
      </c>
      <c r="AM121" s="35">
        <v>0</v>
      </c>
      <c r="AN121" s="35">
        <v>0</v>
      </c>
      <c r="AO121" s="36">
        <v>0</v>
      </c>
      <c r="AP121" s="35"/>
      <c r="AQ121" s="35"/>
      <c r="AR121" s="35"/>
      <c r="AS121" s="35"/>
      <c r="AT121" s="35"/>
      <c r="AU121" s="35"/>
    </row>
    <row r="122" spans="1:47" ht="15.75" x14ac:dyDescent="0.25">
      <c r="A122" s="24" t="s">
        <v>9</v>
      </c>
      <c r="B122" s="25" t="s">
        <v>106</v>
      </c>
      <c r="C122" s="25" t="s">
        <v>107</v>
      </c>
      <c r="D122" s="25">
        <v>32044037</v>
      </c>
      <c r="E122" s="39" t="s">
        <v>173</v>
      </c>
      <c r="F122" s="60">
        <v>32144668</v>
      </c>
      <c r="G122" s="55" t="s">
        <v>130</v>
      </c>
      <c r="H122" s="29" t="s">
        <v>38</v>
      </c>
      <c r="I122" s="29" t="s">
        <v>106</v>
      </c>
      <c r="J122" s="29">
        <v>1</v>
      </c>
      <c r="K122" s="30">
        <v>35502</v>
      </c>
      <c r="L122" s="30">
        <v>26803</v>
      </c>
      <c r="M122" s="31">
        <f t="shared" ca="1" si="6"/>
        <v>29</v>
      </c>
      <c r="N122" s="32">
        <f t="shared" ca="1" si="7"/>
        <v>53.153424657534245</v>
      </c>
      <c r="O122" s="33">
        <f ca="1">VLOOKUP(M122,Edad_Antigüedad!$M$2:$N$36,2)</f>
        <v>30</v>
      </c>
      <c r="P122" s="34" t="s">
        <v>109</v>
      </c>
      <c r="Q122" s="35"/>
      <c r="R122" s="35">
        <v>0</v>
      </c>
      <c r="S122" s="35">
        <v>1</v>
      </c>
      <c r="T122" s="35">
        <v>1</v>
      </c>
      <c r="U122" s="35">
        <v>0</v>
      </c>
      <c r="V122" s="35">
        <v>0</v>
      </c>
      <c r="W122" s="35">
        <v>0</v>
      </c>
      <c r="X122" s="35">
        <v>0</v>
      </c>
      <c r="Y122" s="35">
        <v>0</v>
      </c>
      <c r="Z122" s="35">
        <v>0</v>
      </c>
      <c r="AA122" s="35">
        <v>0</v>
      </c>
      <c r="AB122" s="35">
        <v>0</v>
      </c>
      <c r="AC122" s="35">
        <v>0</v>
      </c>
      <c r="AD122" s="35">
        <v>0</v>
      </c>
      <c r="AE122" s="35">
        <v>0</v>
      </c>
      <c r="AF122" s="35">
        <v>0</v>
      </c>
      <c r="AG122" s="35">
        <v>0</v>
      </c>
      <c r="AH122" s="35">
        <v>0</v>
      </c>
      <c r="AI122" s="35">
        <v>0</v>
      </c>
      <c r="AJ122" s="35">
        <v>0</v>
      </c>
      <c r="AK122" s="35">
        <v>0</v>
      </c>
      <c r="AL122" s="35">
        <v>0</v>
      </c>
      <c r="AM122" s="35">
        <v>0</v>
      </c>
      <c r="AN122" s="35">
        <v>0</v>
      </c>
      <c r="AO122" s="36">
        <v>0</v>
      </c>
      <c r="AP122" s="35"/>
      <c r="AQ122" s="35"/>
      <c r="AR122" s="35"/>
      <c r="AS122" s="35"/>
      <c r="AT122" s="35"/>
      <c r="AU122" s="35"/>
    </row>
    <row r="123" spans="1:47" ht="15.75" x14ac:dyDescent="0.25">
      <c r="A123" s="24" t="s">
        <v>9</v>
      </c>
      <c r="B123" s="25" t="s">
        <v>141</v>
      </c>
      <c r="C123" s="25" t="s">
        <v>114</v>
      </c>
      <c r="D123" s="25">
        <v>32173445</v>
      </c>
      <c r="E123" s="39" t="s">
        <v>174</v>
      </c>
      <c r="F123" s="60">
        <v>32144668</v>
      </c>
      <c r="G123" s="55" t="s">
        <v>130</v>
      </c>
      <c r="H123" s="29" t="s">
        <v>38</v>
      </c>
      <c r="I123" s="29" t="s">
        <v>141</v>
      </c>
      <c r="J123" s="29">
        <v>1</v>
      </c>
      <c r="K123" s="30">
        <v>43434</v>
      </c>
      <c r="L123" s="30">
        <v>36106</v>
      </c>
      <c r="M123" s="31">
        <f t="shared" ca="1" si="6"/>
        <v>8</v>
      </c>
      <c r="N123" s="32">
        <f t="shared" ca="1" si="7"/>
        <v>27.665753424657535</v>
      </c>
      <c r="O123" s="33">
        <f ca="1">VLOOKUP(M123,Edad_Antigüedad!$M$2:$N$36,2)</f>
        <v>22</v>
      </c>
      <c r="P123" s="34" t="s">
        <v>105</v>
      </c>
      <c r="Q123" s="35"/>
      <c r="R123" s="35">
        <v>0</v>
      </c>
      <c r="S123" s="35">
        <v>0</v>
      </c>
      <c r="T123" s="35">
        <v>0</v>
      </c>
      <c r="U123" s="35">
        <v>0</v>
      </c>
      <c r="V123" s="35">
        <v>0</v>
      </c>
      <c r="W123" s="35">
        <v>0</v>
      </c>
      <c r="X123" s="35">
        <v>0</v>
      </c>
      <c r="Y123" s="35">
        <v>0</v>
      </c>
      <c r="Z123" s="35">
        <v>0</v>
      </c>
      <c r="AA123" s="35">
        <v>0</v>
      </c>
      <c r="AB123" s="35">
        <v>0</v>
      </c>
      <c r="AC123" s="35">
        <v>0</v>
      </c>
      <c r="AD123" s="35">
        <v>0</v>
      </c>
      <c r="AE123" s="35">
        <v>0</v>
      </c>
      <c r="AF123" s="35">
        <v>0</v>
      </c>
      <c r="AG123" s="35">
        <v>0</v>
      </c>
      <c r="AH123" s="35">
        <v>0</v>
      </c>
      <c r="AI123" s="35">
        <v>0</v>
      </c>
      <c r="AJ123" s="35">
        <v>0</v>
      </c>
      <c r="AK123" s="35">
        <v>0</v>
      </c>
      <c r="AL123" s="35">
        <v>0</v>
      </c>
      <c r="AM123" s="35">
        <v>0</v>
      </c>
      <c r="AN123" s="35">
        <v>0</v>
      </c>
      <c r="AO123" s="36">
        <v>0</v>
      </c>
      <c r="AP123" s="35"/>
      <c r="AQ123" s="35"/>
      <c r="AR123" s="35"/>
      <c r="AS123" s="35"/>
      <c r="AT123" s="35"/>
      <c r="AU123" s="35"/>
    </row>
    <row r="124" spans="1:47" ht="15.75" x14ac:dyDescent="0.25">
      <c r="A124" s="24" t="s">
        <v>9</v>
      </c>
      <c r="B124" s="25" t="s">
        <v>141</v>
      </c>
      <c r="C124" s="25" t="s">
        <v>114</v>
      </c>
      <c r="D124" s="25">
        <v>32046259</v>
      </c>
      <c r="E124" s="39" t="s">
        <v>175</v>
      </c>
      <c r="F124" s="60">
        <v>32144668</v>
      </c>
      <c r="G124" s="55" t="s">
        <v>130</v>
      </c>
      <c r="H124" s="29" t="s">
        <v>38</v>
      </c>
      <c r="I124" s="29" t="s">
        <v>141</v>
      </c>
      <c r="J124" s="29">
        <v>1</v>
      </c>
      <c r="K124" s="30">
        <v>38438</v>
      </c>
      <c r="L124" s="30">
        <v>29282</v>
      </c>
      <c r="M124" s="31">
        <f t="shared" ca="1" si="6"/>
        <v>21</v>
      </c>
      <c r="N124" s="32">
        <f t="shared" ca="1" si="7"/>
        <v>46.361643835616441</v>
      </c>
      <c r="O124" s="33">
        <f ca="1">VLOOKUP(M124,Edad_Antigüedad!$M$2:$N$36,2)</f>
        <v>28</v>
      </c>
      <c r="P124" s="34" t="s">
        <v>109</v>
      </c>
      <c r="Q124" s="35"/>
      <c r="R124" s="35">
        <v>0</v>
      </c>
      <c r="S124" s="35">
        <v>0</v>
      </c>
      <c r="T124" s="35">
        <v>0</v>
      </c>
      <c r="U124" s="35">
        <v>0</v>
      </c>
      <c r="V124" s="35">
        <v>0</v>
      </c>
      <c r="W124" s="35">
        <v>0</v>
      </c>
      <c r="X124" s="35">
        <v>0</v>
      </c>
      <c r="Y124" s="35">
        <v>0</v>
      </c>
      <c r="Z124" s="35">
        <v>0</v>
      </c>
      <c r="AA124" s="35">
        <v>0</v>
      </c>
      <c r="AB124" s="35">
        <v>0</v>
      </c>
      <c r="AC124" s="35">
        <v>0</v>
      </c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6"/>
      <c r="AP124" s="35"/>
      <c r="AQ124" s="35"/>
      <c r="AR124" s="35"/>
      <c r="AS124" s="35"/>
      <c r="AT124" s="35"/>
      <c r="AU124" s="35"/>
    </row>
    <row r="125" spans="1:47" s="84" customFormat="1" ht="15.75" x14ac:dyDescent="0.25">
      <c r="A125" s="24" t="s">
        <v>9</v>
      </c>
      <c r="B125" s="25" t="s">
        <v>113</v>
      </c>
      <c r="C125" s="25" t="s">
        <v>114</v>
      </c>
      <c r="D125" s="25">
        <v>32177483</v>
      </c>
      <c r="E125" s="39" t="s">
        <v>176</v>
      </c>
      <c r="F125" s="60">
        <v>32144668</v>
      </c>
      <c r="G125" s="55" t="s">
        <v>130</v>
      </c>
      <c r="H125" s="29" t="s">
        <v>38</v>
      </c>
      <c r="I125" s="29" t="s">
        <v>113</v>
      </c>
      <c r="J125" s="29">
        <v>1</v>
      </c>
      <c r="K125" s="30">
        <v>43560</v>
      </c>
      <c r="L125" s="30">
        <v>35032</v>
      </c>
      <c r="M125" s="31">
        <f t="shared" ca="1" si="6"/>
        <v>7</v>
      </c>
      <c r="N125" s="32">
        <f t="shared" ca="1" si="7"/>
        <v>30.608219178082191</v>
      </c>
      <c r="O125" s="33">
        <f ca="1">VLOOKUP(M125,Edad_Antigüedad!$M$2:$N$36,2)</f>
        <v>22</v>
      </c>
      <c r="P125" s="34" t="s">
        <v>105</v>
      </c>
      <c r="Q125" s="35"/>
      <c r="R125" s="35">
        <v>1</v>
      </c>
      <c r="S125" s="35">
        <v>1</v>
      </c>
      <c r="T125" s="35">
        <v>1</v>
      </c>
      <c r="U125" s="35">
        <v>0</v>
      </c>
      <c r="V125" s="35">
        <v>0</v>
      </c>
      <c r="W125" s="35">
        <v>0</v>
      </c>
      <c r="X125" s="35">
        <v>0</v>
      </c>
      <c r="Y125" s="35">
        <v>0</v>
      </c>
      <c r="Z125" s="35">
        <v>0</v>
      </c>
      <c r="AA125" s="35">
        <v>0</v>
      </c>
      <c r="AB125" s="35">
        <v>0</v>
      </c>
      <c r="AC125" s="35">
        <v>0</v>
      </c>
      <c r="AD125" s="35">
        <v>0</v>
      </c>
      <c r="AE125" s="35">
        <v>0</v>
      </c>
      <c r="AF125" s="35">
        <v>0</v>
      </c>
      <c r="AG125" s="35">
        <v>0</v>
      </c>
      <c r="AH125" s="35">
        <v>0</v>
      </c>
      <c r="AI125" s="35">
        <v>0</v>
      </c>
      <c r="AJ125" s="35">
        <v>0</v>
      </c>
      <c r="AK125" s="35">
        <v>0</v>
      </c>
      <c r="AL125" s="35">
        <v>0</v>
      </c>
      <c r="AM125" s="35">
        <v>0</v>
      </c>
      <c r="AN125" s="35">
        <v>0</v>
      </c>
      <c r="AO125" s="36">
        <v>0</v>
      </c>
      <c r="AP125" s="35"/>
      <c r="AQ125" s="35"/>
      <c r="AR125" s="35"/>
      <c r="AS125" s="35"/>
      <c r="AT125" s="35"/>
      <c r="AU125" s="35"/>
    </row>
    <row r="126" spans="1:47" ht="31.5" x14ac:dyDescent="0.25">
      <c r="A126" s="24" t="s">
        <v>9</v>
      </c>
      <c r="B126" s="25" t="s">
        <v>152</v>
      </c>
      <c r="C126" s="25" t="s">
        <v>114</v>
      </c>
      <c r="D126" s="25">
        <v>32132055</v>
      </c>
      <c r="E126" s="39" t="s">
        <v>177</v>
      </c>
      <c r="F126" s="60">
        <v>32144668</v>
      </c>
      <c r="G126" s="55" t="s">
        <v>130</v>
      </c>
      <c r="H126" s="29" t="s">
        <v>38</v>
      </c>
      <c r="I126" s="29" t="s">
        <v>152</v>
      </c>
      <c r="J126" s="29">
        <v>1</v>
      </c>
      <c r="K126" s="30">
        <v>41988</v>
      </c>
      <c r="L126" s="30">
        <v>30492</v>
      </c>
      <c r="M126" s="31">
        <f t="shared" ca="1" si="6"/>
        <v>12</v>
      </c>
      <c r="N126" s="32">
        <f t="shared" ca="1" si="7"/>
        <v>43.046575342465751</v>
      </c>
      <c r="O126" s="33">
        <f ca="1">VLOOKUP(M126,Edad_Antigüedad!$M$2:$N$36,2)</f>
        <v>24</v>
      </c>
      <c r="P126" s="34" t="s">
        <v>105</v>
      </c>
      <c r="Q126" s="35"/>
      <c r="R126" s="35">
        <v>1</v>
      </c>
      <c r="S126" s="35">
        <v>1</v>
      </c>
      <c r="T126" s="35">
        <v>1</v>
      </c>
      <c r="U126" s="35">
        <v>0</v>
      </c>
      <c r="V126" s="35">
        <v>0</v>
      </c>
      <c r="W126" s="35">
        <v>0</v>
      </c>
      <c r="X126" s="35">
        <v>0</v>
      </c>
      <c r="Y126" s="35">
        <v>0</v>
      </c>
      <c r="Z126" s="35">
        <v>0</v>
      </c>
      <c r="AA126" s="35">
        <v>0</v>
      </c>
      <c r="AB126" s="35">
        <v>0</v>
      </c>
      <c r="AC126" s="35">
        <v>0</v>
      </c>
      <c r="AD126" s="35">
        <v>0</v>
      </c>
      <c r="AE126" s="35">
        <v>0</v>
      </c>
      <c r="AF126" s="35">
        <v>0</v>
      </c>
      <c r="AG126" s="35">
        <v>0</v>
      </c>
      <c r="AH126" s="35">
        <v>0</v>
      </c>
      <c r="AI126" s="35">
        <v>0</v>
      </c>
      <c r="AJ126" s="35">
        <v>0</v>
      </c>
      <c r="AK126" s="35">
        <v>0</v>
      </c>
      <c r="AL126" s="35">
        <v>0</v>
      </c>
      <c r="AM126" s="35">
        <v>0</v>
      </c>
      <c r="AN126" s="35">
        <v>0</v>
      </c>
      <c r="AO126" s="36">
        <v>0</v>
      </c>
      <c r="AP126" s="35"/>
      <c r="AQ126" s="35"/>
      <c r="AR126" s="35"/>
      <c r="AS126" s="35"/>
      <c r="AT126" s="35"/>
      <c r="AU126" s="35"/>
    </row>
    <row r="127" spans="1:47" ht="15.75" x14ac:dyDescent="0.25">
      <c r="A127" s="24" t="s">
        <v>9</v>
      </c>
      <c r="B127" s="25" t="s">
        <v>117</v>
      </c>
      <c r="C127" s="25" t="s">
        <v>114</v>
      </c>
      <c r="D127" s="25">
        <v>32137247</v>
      </c>
      <c r="E127" s="39" t="s">
        <v>178</v>
      </c>
      <c r="F127" s="60">
        <v>32144668</v>
      </c>
      <c r="G127" s="55" t="s">
        <v>130</v>
      </c>
      <c r="H127" s="29" t="s">
        <v>38</v>
      </c>
      <c r="I127" s="29" t="s">
        <v>117</v>
      </c>
      <c r="J127" s="29">
        <v>1</v>
      </c>
      <c r="K127" s="30">
        <v>42058</v>
      </c>
      <c r="L127" s="30">
        <v>35249</v>
      </c>
      <c r="M127" s="31">
        <f t="shared" ca="1" si="6"/>
        <v>11</v>
      </c>
      <c r="N127" s="32">
        <f t="shared" ca="1" si="7"/>
        <v>30.013698630136986</v>
      </c>
      <c r="O127" s="33">
        <f ca="1">VLOOKUP(M127,Edad_Antigüedad!$M$2:$N$36,2)</f>
        <v>24</v>
      </c>
      <c r="P127" s="34" t="s">
        <v>105</v>
      </c>
      <c r="Q127" s="35"/>
      <c r="R127" s="35">
        <v>1</v>
      </c>
      <c r="S127" s="35">
        <v>1</v>
      </c>
      <c r="T127" s="35">
        <v>1</v>
      </c>
      <c r="U127" s="35">
        <v>0</v>
      </c>
      <c r="V127" s="35">
        <v>0</v>
      </c>
      <c r="W127" s="35">
        <v>0</v>
      </c>
      <c r="X127" s="35">
        <v>0</v>
      </c>
      <c r="Y127" s="35">
        <v>0</v>
      </c>
      <c r="Z127" s="35">
        <v>0</v>
      </c>
      <c r="AA127" s="35">
        <v>0</v>
      </c>
      <c r="AB127" s="35">
        <v>0</v>
      </c>
      <c r="AC127" s="35">
        <v>0</v>
      </c>
      <c r="AD127" s="35">
        <v>0</v>
      </c>
      <c r="AE127" s="35">
        <v>0</v>
      </c>
      <c r="AF127" s="35">
        <v>0</v>
      </c>
      <c r="AG127" s="35">
        <v>0</v>
      </c>
      <c r="AH127" s="35">
        <v>0</v>
      </c>
      <c r="AI127" s="35">
        <v>0</v>
      </c>
      <c r="AJ127" s="35">
        <v>0</v>
      </c>
      <c r="AK127" s="35">
        <v>0</v>
      </c>
      <c r="AL127" s="35">
        <v>0</v>
      </c>
      <c r="AM127" s="35">
        <v>0</v>
      </c>
      <c r="AN127" s="35">
        <v>0</v>
      </c>
      <c r="AO127" s="36">
        <v>0</v>
      </c>
      <c r="AP127" s="35"/>
      <c r="AQ127" s="35"/>
      <c r="AR127" s="35"/>
      <c r="AS127" s="35"/>
      <c r="AT127" s="35"/>
      <c r="AU127" s="35"/>
    </row>
    <row r="128" spans="1:47" ht="31.5" x14ac:dyDescent="0.25">
      <c r="A128" s="24" t="s">
        <v>9</v>
      </c>
      <c r="B128" s="25" t="s">
        <v>145</v>
      </c>
      <c r="C128" s="25" t="s">
        <v>170</v>
      </c>
      <c r="D128" s="25">
        <v>32045004</v>
      </c>
      <c r="E128" s="39" t="s">
        <v>179</v>
      </c>
      <c r="F128" s="60">
        <v>32144668</v>
      </c>
      <c r="G128" s="55" t="s">
        <v>130</v>
      </c>
      <c r="H128" s="29" t="s">
        <v>38</v>
      </c>
      <c r="I128" s="29" t="s">
        <v>145</v>
      </c>
      <c r="J128" s="29">
        <v>1</v>
      </c>
      <c r="K128" s="30">
        <v>36698</v>
      </c>
      <c r="L128" s="30">
        <v>27692</v>
      </c>
      <c r="M128" s="31">
        <f t="shared" ca="1" si="6"/>
        <v>26</v>
      </c>
      <c r="N128" s="32">
        <f t="shared" ca="1" si="7"/>
        <v>50.717808219178082</v>
      </c>
      <c r="O128" s="33">
        <f ca="1">VLOOKUP(M128,Edad_Antigüedad!$M$2:$N$36,2)</f>
        <v>30</v>
      </c>
      <c r="P128" s="34" t="s">
        <v>180</v>
      </c>
      <c r="Q128" s="35"/>
      <c r="R128" s="35">
        <v>0</v>
      </c>
      <c r="S128" s="35">
        <v>0</v>
      </c>
      <c r="T128" s="35">
        <v>0</v>
      </c>
      <c r="U128" s="35">
        <v>0</v>
      </c>
      <c r="V128" s="35">
        <v>0</v>
      </c>
      <c r="W128" s="35">
        <v>0</v>
      </c>
      <c r="X128" s="35">
        <v>0</v>
      </c>
      <c r="Y128" s="35">
        <v>0</v>
      </c>
      <c r="Z128" s="35">
        <v>0</v>
      </c>
      <c r="AA128" s="35">
        <v>0</v>
      </c>
      <c r="AB128" s="35">
        <v>0</v>
      </c>
      <c r="AC128" s="35">
        <v>0</v>
      </c>
      <c r="AD128" s="35">
        <v>0</v>
      </c>
      <c r="AE128" s="35">
        <v>0</v>
      </c>
      <c r="AF128" s="35">
        <v>0</v>
      </c>
      <c r="AG128" s="35">
        <v>0</v>
      </c>
      <c r="AH128" s="35">
        <v>0</v>
      </c>
      <c r="AI128" s="35">
        <v>0</v>
      </c>
      <c r="AJ128" s="35">
        <v>0</v>
      </c>
      <c r="AK128" s="35">
        <v>0</v>
      </c>
      <c r="AL128" s="35">
        <v>0</v>
      </c>
      <c r="AM128" s="35">
        <v>0</v>
      </c>
      <c r="AN128" s="35">
        <v>0</v>
      </c>
      <c r="AO128" s="36">
        <v>0</v>
      </c>
      <c r="AP128" s="35"/>
      <c r="AQ128" s="35"/>
      <c r="AR128" s="35"/>
      <c r="AS128" s="35"/>
      <c r="AT128" s="35"/>
      <c r="AU128" s="35"/>
    </row>
    <row r="129" spans="1:47" ht="15.75" x14ac:dyDescent="0.25">
      <c r="A129" s="24" t="s">
        <v>9</v>
      </c>
      <c r="B129" s="25" t="s">
        <v>35</v>
      </c>
      <c r="C129" s="26">
        <v>9</v>
      </c>
      <c r="D129" s="28">
        <v>32044983</v>
      </c>
      <c r="E129" s="40" t="s">
        <v>181</v>
      </c>
      <c r="F129" s="60">
        <v>32144668</v>
      </c>
      <c r="G129" s="55" t="s">
        <v>130</v>
      </c>
      <c r="H129" s="29" t="s">
        <v>38</v>
      </c>
      <c r="I129" s="25" t="s">
        <v>35</v>
      </c>
      <c r="J129" s="29">
        <v>3</v>
      </c>
      <c r="K129" s="30">
        <v>36690</v>
      </c>
      <c r="L129" s="30">
        <v>29605</v>
      </c>
      <c r="M129" s="31">
        <f t="shared" ca="1" si="6"/>
        <v>26</v>
      </c>
      <c r="N129" s="32">
        <f t="shared" ca="1" si="7"/>
        <v>45.476712328767121</v>
      </c>
      <c r="O129" s="33">
        <f ca="1">VLOOKUP(M129,Edad_Antigüedad!$M$2:$N$36,2)</f>
        <v>30</v>
      </c>
      <c r="P129" s="34" t="s">
        <v>102</v>
      </c>
      <c r="Q129" s="35" t="s">
        <v>182</v>
      </c>
      <c r="R129" s="35">
        <v>1</v>
      </c>
      <c r="S129" s="35">
        <v>1</v>
      </c>
      <c r="T129" s="35">
        <v>1</v>
      </c>
      <c r="U129" s="35">
        <v>1</v>
      </c>
      <c r="V129" s="35">
        <v>0</v>
      </c>
      <c r="W129" s="35">
        <v>0</v>
      </c>
      <c r="X129" s="35">
        <v>0</v>
      </c>
      <c r="Y129" s="35">
        <v>0</v>
      </c>
      <c r="Z129" s="35">
        <v>0</v>
      </c>
      <c r="AA129" s="35">
        <v>0</v>
      </c>
      <c r="AB129" s="35">
        <v>0</v>
      </c>
      <c r="AC129" s="35">
        <v>0</v>
      </c>
      <c r="AD129" s="35">
        <v>0</v>
      </c>
      <c r="AE129" s="35">
        <v>0</v>
      </c>
      <c r="AF129" s="35">
        <v>0</v>
      </c>
      <c r="AG129" s="35">
        <v>0</v>
      </c>
      <c r="AH129" s="35">
        <v>0</v>
      </c>
      <c r="AI129" s="35">
        <v>0</v>
      </c>
      <c r="AJ129" s="35">
        <v>0</v>
      </c>
      <c r="AK129" s="35">
        <v>0</v>
      </c>
      <c r="AL129" s="35">
        <v>0</v>
      </c>
      <c r="AM129" s="35">
        <v>0</v>
      </c>
      <c r="AN129" s="35">
        <v>0</v>
      </c>
      <c r="AO129" s="36">
        <v>0</v>
      </c>
      <c r="AP129" s="35"/>
      <c r="AQ129" s="35"/>
      <c r="AR129" s="35"/>
      <c r="AS129" s="35"/>
      <c r="AT129" s="35"/>
      <c r="AU129" s="35"/>
    </row>
    <row r="130" spans="1:47" ht="31.5" x14ac:dyDescent="0.25">
      <c r="A130" s="42" t="s">
        <v>12</v>
      </c>
      <c r="B130" s="42" t="s">
        <v>37</v>
      </c>
      <c r="C130" s="42">
        <v>9</v>
      </c>
      <c r="D130" s="43">
        <v>32043804</v>
      </c>
      <c r="E130" s="43" t="s">
        <v>284</v>
      </c>
      <c r="F130" s="42">
        <v>32043857</v>
      </c>
      <c r="G130" s="75" t="s">
        <v>285</v>
      </c>
      <c r="H130" s="85" t="s">
        <v>50</v>
      </c>
      <c r="I130" s="85" t="s">
        <v>286</v>
      </c>
      <c r="J130" s="29">
        <v>1</v>
      </c>
      <c r="K130" s="44">
        <v>35125</v>
      </c>
      <c r="L130" s="44">
        <v>27855</v>
      </c>
      <c r="M130" s="31">
        <f t="shared" ca="1" si="6"/>
        <v>30</v>
      </c>
      <c r="N130" s="32">
        <f t="shared" ca="1" si="7"/>
        <v>50.271232876712325</v>
      </c>
      <c r="O130" s="33">
        <f ca="1">VLOOKUP(M130,Edad_Antigüedad!$M$2:$N$36,2)</f>
        <v>30</v>
      </c>
      <c r="P130" s="33" t="s">
        <v>287</v>
      </c>
      <c r="Q130" s="41">
        <v>0</v>
      </c>
      <c r="R130" s="41">
        <v>0</v>
      </c>
      <c r="S130" s="41">
        <v>0</v>
      </c>
      <c r="T130" s="41">
        <v>0</v>
      </c>
      <c r="U130" s="41">
        <v>0</v>
      </c>
      <c r="V130" s="41">
        <v>1</v>
      </c>
      <c r="W130" s="41">
        <v>0</v>
      </c>
      <c r="X130" s="41">
        <v>0</v>
      </c>
      <c r="Y130" s="41">
        <v>0</v>
      </c>
      <c r="Z130" s="41">
        <v>0</v>
      </c>
      <c r="AA130" s="41">
        <v>0</v>
      </c>
      <c r="AB130" s="41">
        <v>0</v>
      </c>
      <c r="AC130" s="41">
        <v>0</v>
      </c>
      <c r="AD130" s="41">
        <v>0</v>
      </c>
      <c r="AE130" s="41">
        <v>0</v>
      </c>
      <c r="AF130" s="41">
        <v>0</v>
      </c>
      <c r="AG130" s="41">
        <v>0</v>
      </c>
      <c r="AH130" s="41">
        <v>0</v>
      </c>
      <c r="AI130" s="41">
        <v>0</v>
      </c>
      <c r="AJ130" s="41">
        <v>0</v>
      </c>
      <c r="AK130" s="41">
        <v>0</v>
      </c>
      <c r="AL130" s="41">
        <v>0</v>
      </c>
      <c r="AM130" s="41">
        <v>1</v>
      </c>
      <c r="AN130" s="41">
        <v>0</v>
      </c>
      <c r="AO130" s="45">
        <v>0</v>
      </c>
      <c r="AP130" s="46"/>
      <c r="AQ130" s="46"/>
      <c r="AR130" s="46"/>
      <c r="AS130" s="46"/>
      <c r="AT130" s="46"/>
      <c r="AU130" s="46"/>
    </row>
    <row r="131" spans="1:47" ht="45" x14ac:dyDescent="0.25">
      <c r="A131" s="42" t="s">
        <v>12</v>
      </c>
      <c r="B131" s="42" t="s">
        <v>37</v>
      </c>
      <c r="C131" s="42">
        <v>9</v>
      </c>
      <c r="D131" s="43">
        <v>32044319</v>
      </c>
      <c r="E131" s="43" t="s">
        <v>288</v>
      </c>
      <c r="F131" s="42">
        <v>32043857</v>
      </c>
      <c r="G131" s="75" t="s">
        <v>285</v>
      </c>
      <c r="H131" s="85" t="s">
        <v>50</v>
      </c>
      <c r="I131" s="85"/>
      <c r="J131" s="29">
        <v>1</v>
      </c>
      <c r="K131" s="44">
        <v>34960</v>
      </c>
      <c r="L131" s="44">
        <v>28254</v>
      </c>
      <c r="M131" s="31">
        <f t="shared" ca="1" si="6"/>
        <v>31</v>
      </c>
      <c r="N131" s="32">
        <f t="shared" ca="1" si="7"/>
        <v>49.178082191780824</v>
      </c>
      <c r="O131" s="33">
        <f ca="1">VLOOKUP(M131,Edad_Antigüedad!$M$2:$N$36,2)</f>
        <v>32</v>
      </c>
      <c r="P131" s="86" t="s">
        <v>289</v>
      </c>
      <c r="Q131" s="41">
        <v>0</v>
      </c>
      <c r="R131" s="41">
        <v>0</v>
      </c>
      <c r="S131" s="41">
        <v>0</v>
      </c>
      <c r="T131" s="41">
        <v>0</v>
      </c>
      <c r="U131" s="41">
        <v>0</v>
      </c>
      <c r="V131" s="41">
        <v>0</v>
      </c>
      <c r="W131" s="41">
        <v>0</v>
      </c>
      <c r="X131" s="41">
        <v>0</v>
      </c>
      <c r="Y131" s="41">
        <v>0</v>
      </c>
      <c r="Z131" s="41">
        <v>0</v>
      </c>
      <c r="AA131" s="41">
        <v>0</v>
      </c>
      <c r="AB131" s="41">
        <v>0</v>
      </c>
      <c r="AC131" s="41">
        <v>0</v>
      </c>
      <c r="AD131" s="41">
        <v>0</v>
      </c>
      <c r="AE131" s="41">
        <v>0</v>
      </c>
      <c r="AF131" s="41">
        <v>0</v>
      </c>
      <c r="AG131" s="41">
        <v>0</v>
      </c>
      <c r="AH131" s="41">
        <v>0</v>
      </c>
      <c r="AI131" s="41">
        <v>0</v>
      </c>
      <c r="AJ131" s="41">
        <v>0</v>
      </c>
      <c r="AK131" s="41">
        <v>0</v>
      </c>
      <c r="AL131" s="41">
        <v>1</v>
      </c>
      <c r="AM131" s="41">
        <v>0</v>
      </c>
      <c r="AN131" s="41">
        <v>0</v>
      </c>
      <c r="AO131" s="45">
        <v>0</v>
      </c>
      <c r="AP131" s="46"/>
      <c r="AQ131" s="46"/>
      <c r="AR131" s="46"/>
      <c r="AS131" s="46"/>
      <c r="AT131" s="46"/>
      <c r="AU131" s="46"/>
    </row>
    <row r="132" spans="1:47" ht="15.75" x14ac:dyDescent="0.25">
      <c r="A132" s="42" t="s">
        <v>12</v>
      </c>
      <c r="B132" s="42" t="s">
        <v>37</v>
      </c>
      <c r="C132" s="42">
        <v>9</v>
      </c>
      <c r="D132" s="43">
        <v>32044478</v>
      </c>
      <c r="E132" s="43" t="s">
        <v>290</v>
      </c>
      <c r="F132" s="42">
        <v>32043857</v>
      </c>
      <c r="G132" s="75" t="s">
        <v>285</v>
      </c>
      <c r="H132" s="85" t="s">
        <v>50</v>
      </c>
      <c r="I132" s="85"/>
      <c r="J132" s="29">
        <v>1</v>
      </c>
      <c r="K132" s="44">
        <v>35359</v>
      </c>
      <c r="L132" s="44">
        <v>25234</v>
      </c>
      <c r="M132" s="31">
        <f t="shared" ca="1" si="6"/>
        <v>30</v>
      </c>
      <c r="N132" s="32">
        <f t="shared" ca="1" si="7"/>
        <v>57.452054794520549</v>
      </c>
      <c r="O132" s="33">
        <f ca="1">VLOOKUP(M132,Edad_Antigüedad!$M$2:$N$36,2)</f>
        <v>30</v>
      </c>
      <c r="P132" s="33" t="s">
        <v>291</v>
      </c>
      <c r="Q132" s="41">
        <v>0</v>
      </c>
      <c r="R132" s="41">
        <v>0</v>
      </c>
      <c r="S132" s="41">
        <v>0</v>
      </c>
      <c r="T132" s="41">
        <v>0</v>
      </c>
      <c r="U132" s="41">
        <v>0</v>
      </c>
      <c r="V132" s="41">
        <v>0</v>
      </c>
      <c r="W132" s="41">
        <v>0</v>
      </c>
      <c r="X132" s="41">
        <v>0</v>
      </c>
      <c r="Y132" s="41">
        <v>0</v>
      </c>
      <c r="Z132" s="41">
        <v>0</v>
      </c>
      <c r="AA132" s="41">
        <v>0</v>
      </c>
      <c r="AB132" s="41">
        <v>0</v>
      </c>
      <c r="AC132" s="41">
        <v>0</v>
      </c>
      <c r="AD132" s="41">
        <v>0</v>
      </c>
      <c r="AE132" s="41">
        <v>0</v>
      </c>
      <c r="AF132" s="41">
        <v>0</v>
      </c>
      <c r="AG132" s="41">
        <v>0</v>
      </c>
      <c r="AH132" s="41">
        <v>0</v>
      </c>
      <c r="AI132" s="41">
        <v>0</v>
      </c>
      <c r="AJ132" s="41">
        <v>0</v>
      </c>
      <c r="AK132" s="41">
        <v>0</v>
      </c>
      <c r="AL132" s="41">
        <v>0</v>
      </c>
      <c r="AM132" s="41">
        <v>1</v>
      </c>
      <c r="AN132" s="41">
        <v>0</v>
      </c>
      <c r="AO132" s="45">
        <v>0</v>
      </c>
      <c r="AP132" s="46"/>
      <c r="AQ132" s="46"/>
      <c r="AR132" s="46"/>
      <c r="AS132" s="46"/>
      <c r="AT132" s="46"/>
      <c r="AU132" s="46"/>
    </row>
    <row r="133" spans="1:47" ht="15.75" x14ac:dyDescent="0.25">
      <c r="A133" s="42" t="s">
        <v>12</v>
      </c>
      <c r="B133" s="42" t="s">
        <v>37</v>
      </c>
      <c r="C133" s="42">
        <v>9</v>
      </c>
      <c r="D133" s="43">
        <v>32044319</v>
      </c>
      <c r="E133" s="43" t="s">
        <v>292</v>
      </c>
      <c r="F133" s="42">
        <v>32043857</v>
      </c>
      <c r="G133" s="75" t="s">
        <v>285</v>
      </c>
      <c r="H133" s="85" t="s">
        <v>50</v>
      </c>
      <c r="I133" s="85"/>
      <c r="J133" s="29">
        <v>1</v>
      </c>
      <c r="K133" s="44">
        <v>35870</v>
      </c>
      <c r="L133" s="44">
        <v>25785</v>
      </c>
      <c r="M133" s="31">
        <f t="shared" ref="M133:M159" ca="1" si="8">ROUND((($K$2-K133)/365),0)</f>
        <v>28</v>
      </c>
      <c r="N133" s="32">
        <f t="shared" ref="N133:N159" ca="1" si="9">($K$2-L133)/365</f>
        <v>55.942465753424656</v>
      </c>
      <c r="O133" s="33">
        <f ca="1">VLOOKUP(M133,Edad_Antigüedad!$M$2:$N$36,2)</f>
        <v>30</v>
      </c>
      <c r="P133" s="33" t="s">
        <v>287</v>
      </c>
      <c r="Q133" s="41">
        <v>0</v>
      </c>
      <c r="R133" s="41">
        <v>0</v>
      </c>
      <c r="S133" s="41">
        <v>0</v>
      </c>
      <c r="T133" s="41">
        <v>0</v>
      </c>
      <c r="U133" s="41">
        <v>0</v>
      </c>
      <c r="V133" s="41">
        <v>0</v>
      </c>
      <c r="W133" s="41">
        <v>0</v>
      </c>
      <c r="X133" s="41">
        <v>0</v>
      </c>
      <c r="Y133" s="41">
        <v>0</v>
      </c>
      <c r="Z133" s="41">
        <v>0</v>
      </c>
      <c r="AA133" s="41">
        <v>0</v>
      </c>
      <c r="AB133" s="41">
        <v>0</v>
      </c>
      <c r="AC133" s="41">
        <v>0</v>
      </c>
      <c r="AD133" s="41">
        <v>0</v>
      </c>
      <c r="AE133" s="41">
        <v>0</v>
      </c>
      <c r="AF133" s="41">
        <v>0</v>
      </c>
      <c r="AG133" s="41">
        <v>0</v>
      </c>
      <c r="AH133" s="41">
        <v>0</v>
      </c>
      <c r="AI133" s="41">
        <v>0</v>
      </c>
      <c r="AJ133" s="41">
        <v>0</v>
      </c>
      <c r="AK133" s="41">
        <v>0</v>
      </c>
      <c r="AL133" s="41">
        <v>0</v>
      </c>
      <c r="AM133" s="41">
        <v>1</v>
      </c>
      <c r="AN133" s="41">
        <v>0</v>
      </c>
      <c r="AO133" s="45">
        <v>0</v>
      </c>
      <c r="AP133" s="46"/>
      <c r="AQ133" s="46"/>
      <c r="AR133" s="46"/>
      <c r="AS133" s="46"/>
      <c r="AT133" s="46"/>
      <c r="AU133" s="46"/>
    </row>
    <row r="134" spans="1:47" ht="15.75" x14ac:dyDescent="0.25">
      <c r="A134" s="42" t="s">
        <v>12</v>
      </c>
      <c r="B134" s="42" t="s">
        <v>37</v>
      </c>
      <c r="C134" s="42">
        <v>9</v>
      </c>
      <c r="D134" s="43">
        <v>32044789</v>
      </c>
      <c r="E134" s="43" t="s">
        <v>293</v>
      </c>
      <c r="F134" s="42">
        <v>32043857</v>
      </c>
      <c r="G134" s="75" t="s">
        <v>285</v>
      </c>
      <c r="H134" s="85" t="s">
        <v>50</v>
      </c>
      <c r="I134" s="85"/>
      <c r="J134" s="29">
        <v>1</v>
      </c>
      <c r="K134" s="44">
        <v>36423</v>
      </c>
      <c r="L134" s="44">
        <v>29510</v>
      </c>
      <c r="M134" s="31">
        <f t="shared" ca="1" si="8"/>
        <v>27</v>
      </c>
      <c r="N134" s="32">
        <f t="shared" ca="1" si="9"/>
        <v>45.736986301369861</v>
      </c>
      <c r="O134" s="33">
        <f ca="1">VLOOKUP(M134,Edad_Antigüedad!$M$2:$N$36,2)</f>
        <v>30</v>
      </c>
      <c r="P134" s="33" t="s">
        <v>294</v>
      </c>
      <c r="Q134" s="41">
        <v>0</v>
      </c>
      <c r="R134" s="41">
        <v>0</v>
      </c>
      <c r="S134" s="41">
        <v>0</v>
      </c>
      <c r="T134" s="41">
        <v>0</v>
      </c>
      <c r="U134" s="41">
        <v>0</v>
      </c>
      <c r="V134" s="41">
        <v>0</v>
      </c>
      <c r="W134" s="41">
        <v>0</v>
      </c>
      <c r="X134" s="41">
        <v>0</v>
      </c>
      <c r="Y134" s="41">
        <v>0</v>
      </c>
      <c r="Z134" s="41">
        <v>0</v>
      </c>
      <c r="AA134" s="41">
        <v>0</v>
      </c>
      <c r="AB134" s="41">
        <v>0</v>
      </c>
      <c r="AC134" s="41">
        <v>0</v>
      </c>
      <c r="AD134" s="41">
        <v>0</v>
      </c>
      <c r="AE134" s="41">
        <v>0</v>
      </c>
      <c r="AF134" s="41">
        <v>0</v>
      </c>
      <c r="AG134" s="41">
        <v>0</v>
      </c>
      <c r="AH134" s="41">
        <v>0</v>
      </c>
      <c r="AI134" s="41">
        <v>0</v>
      </c>
      <c r="AJ134" s="41">
        <v>0</v>
      </c>
      <c r="AK134" s="41">
        <v>1</v>
      </c>
      <c r="AL134" s="41">
        <v>0</v>
      </c>
      <c r="AM134" s="41">
        <v>0</v>
      </c>
      <c r="AN134" s="41">
        <v>0</v>
      </c>
      <c r="AO134" s="45">
        <v>0</v>
      </c>
      <c r="AP134" s="46"/>
      <c r="AQ134" s="46"/>
      <c r="AR134" s="46"/>
      <c r="AS134" s="46"/>
      <c r="AT134" s="46"/>
      <c r="AU134" s="46"/>
    </row>
    <row r="135" spans="1:47" ht="60" x14ac:dyDescent="0.25">
      <c r="A135" s="42" t="s">
        <v>12</v>
      </c>
      <c r="B135" s="42" t="s">
        <v>37</v>
      </c>
      <c r="C135" s="42">
        <v>9</v>
      </c>
      <c r="D135" s="43">
        <v>32045106</v>
      </c>
      <c r="E135" s="43" t="s">
        <v>295</v>
      </c>
      <c r="F135" s="42">
        <v>32043857</v>
      </c>
      <c r="G135" s="75" t="s">
        <v>285</v>
      </c>
      <c r="H135" s="85" t="s">
        <v>50</v>
      </c>
      <c r="I135" s="85"/>
      <c r="J135" s="29">
        <v>1</v>
      </c>
      <c r="K135" s="44">
        <v>36794</v>
      </c>
      <c r="L135" s="44">
        <v>28397</v>
      </c>
      <c r="M135" s="31">
        <f t="shared" ca="1" si="8"/>
        <v>26</v>
      </c>
      <c r="N135" s="32">
        <f t="shared" ca="1" si="9"/>
        <v>48.786301369863011</v>
      </c>
      <c r="O135" s="33">
        <f ca="1">VLOOKUP(M135,Edad_Antigüedad!$M$2:$N$36,2)</f>
        <v>30</v>
      </c>
      <c r="P135" s="86" t="s">
        <v>296</v>
      </c>
      <c r="Q135" s="41">
        <v>0</v>
      </c>
      <c r="R135" s="41">
        <v>0</v>
      </c>
      <c r="S135" s="41">
        <v>0</v>
      </c>
      <c r="T135" s="41">
        <v>0</v>
      </c>
      <c r="U135" s="41">
        <v>0</v>
      </c>
      <c r="V135" s="41">
        <v>0</v>
      </c>
      <c r="W135" s="41">
        <v>0</v>
      </c>
      <c r="X135" s="41">
        <v>0</v>
      </c>
      <c r="Y135" s="41">
        <v>0</v>
      </c>
      <c r="Z135" s="41">
        <v>0</v>
      </c>
      <c r="AA135" s="41">
        <v>0</v>
      </c>
      <c r="AB135" s="41">
        <v>0</v>
      </c>
      <c r="AC135" s="41">
        <v>0</v>
      </c>
      <c r="AD135" s="41">
        <v>0</v>
      </c>
      <c r="AE135" s="41">
        <v>0</v>
      </c>
      <c r="AF135" s="41">
        <v>0</v>
      </c>
      <c r="AG135" s="41">
        <v>0</v>
      </c>
      <c r="AH135" s="41">
        <v>0</v>
      </c>
      <c r="AI135" s="41">
        <v>0</v>
      </c>
      <c r="AJ135" s="41">
        <v>0</v>
      </c>
      <c r="AK135" s="41">
        <v>1</v>
      </c>
      <c r="AL135" s="41">
        <v>0</v>
      </c>
      <c r="AM135" s="41">
        <v>0</v>
      </c>
      <c r="AN135" s="41">
        <v>0</v>
      </c>
      <c r="AO135" s="45">
        <v>0</v>
      </c>
      <c r="AP135" s="46"/>
      <c r="AQ135" s="46"/>
      <c r="AR135" s="46"/>
      <c r="AS135" s="46"/>
      <c r="AT135" s="46"/>
      <c r="AU135" s="46"/>
    </row>
    <row r="136" spans="1:47" ht="31.5" x14ac:dyDescent="0.25">
      <c r="A136" s="42" t="s">
        <v>12</v>
      </c>
      <c r="B136" s="42" t="s">
        <v>37</v>
      </c>
      <c r="C136" s="42">
        <v>9</v>
      </c>
      <c r="D136" s="43">
        <v>32044909</v>
      </c>
      <c r="E136" s="43" t="s">
        <v>297</v>
      </c>
      <c r="F136" s="42">
        <v>32043857</v>
      </c>
      <c r="G136" s="75" t="s">
        <v>285</v>
      </c>
      <c r="H136" s="85" t="s">
        <v>50</v>
      </c>
      <c r="I136" s="85" t="s">
        <v>298</v>
      </c>
      <c r="J136" s="29">
        <v>1</v>
      </c>
      <c r="K136" s="44">
        <v>36654</v>
      </c>
      <c r="L136" s="44">
        <v>26686</v>
      </c>
      <c r="M136" s="31">
        <f t="shared" ca="1" si="8"/>
        <v>26</v>
      </c>
      <c r="N136" s="32">
        <f t="shared" ca="1" si="9"/>
        <v>53.473972602739728</v>
      </c>
      <c r="O136" s="33">
        <f ca="1">VLOOKUP(M136,Edad_Antigüedad!$M$2:$N$36,2)</f>
        <v>30</v>
      </c>
      <c r="P136" s="33" t="s">
        <v>299</v>
      </c>
      <c r="Q136" s="41">
        <v>0</v>
      </c>
      <c r="R136" s="41">
        <v>0</v>
      </c>
      <c r="S136" s="41">
        <v>0</v>
      </c>
      <c r="T136" s="41">
        <v>0</v>
      </c>
      <c r="U136" s="41">
        <v>0</v>
      </c>
      <c r="V136" s="41">
        <v>0</v>
      </c>
      <c r="W136" s="41">
        <v>0</v>
      </c>
      <c r="X136" s="41">
        <v>0</v>
      </c>
      <c r="Y136" s="41">
        <v>0</v>
      </c>
      <c r="Z136" s="41">
        <v>0</v>
      </c>
      <c r="AA136" s="41">
        <v>0</v>
      </c>
      <c r="AB136" s="41">
        <v>0</v>
      </c>
      <c r="AC136" s="41">
        <v>0</v>
      </c>
      <c r="AD136" s="41">
        <v>0</v>
      </c>
      <c r="AE136" s="41">
        <v>0</v>
      </c>
      <c r="AF136" s="41">
        <v>0</v>
      </c>
      <c r="AG136" s="41">
        <v>0</v>
      </c>
      <c r="AH136" s="41">
        <v>0</v>
      </c>
      <c r="AI136" s="41">
        <v>0</v>
      </c>
      <c r="AJ136" s="41">
        <v>0</v>
      </c>
      <c r="AK136" s="41">
        <v>0</v>
      </c>
      <c r="AL136" s="41">
        <v>0</v>
      </c>
      <c r="AM136" s="41">
        <v>1</v>
      </c>
      <c r="AN136" s="41">
        <v>0</v>
      </c>
      <c r="AO136" s="45">
        <v>0</v>
      </c>
      <c r="AP136" s="46"/>
      <c r="AQ136" s="46"/>
      <c r="AR136" s="46"/>
      <c r="AS136" s="46"/>
      <c r="AT136" s="46"/>
      <c r="AU136" s="46"/>
    </row>
    <row r="137" spans="1:47" ht="45" x14ac:dyDescent="0.25">
      <c r="A137" s="42" t="s">
        <v>12</v>
      </c>
      <c r="B137" s="42" t="s">
        <v>37</v>
      </c>
      <c r="C137" s="42">
        <v>9</v>
      </c>
      <c r="D137" s="43">
        <v>32045043</v>
      </c>
      <c r="E137" s="43" t="s">
        <v>300</v>
      </c>
      <c r="F137" s="42">
        <v>32043857</v>
      </c>
      <c r="G137" s="75" t="s">
        <v>285</v>
      </c>
      <c r="H137" s="85" t="s">
        <v>50</v>
      </c>
      <c r="I137" s="85"/>
      <c r="J137" s="29">
        <v>1</v>
      </c>
      <c r="K137" s="44">
        <v>36734</v>
      </c>
      <c r="L137" s="44">
        <v>30094</v>
      </c>
      <c r="M137" s="31">
        <f t="shared" ca="1" si="8"/>
        <v>26</v>
      </c>
      <c r="N137" s="32">
        <f t="shared" ca="1" si="9"/>
        <v>44.136986301369866</v>
      </c>
      <c r="O137" s="33">
        <f ca="1">VLOOKUP(M137,Edad_Antigüedad!$M$2:$N$36,2)</f>
        <v>30</v>
      </c>
      <c r="P137" s="86" t="s">
        <v>301</v>
      </c>
      <c r="Q137" s="41">
        <v>0</v>
      </c>
      <c r="R137" s="41">
        <v>0</v>
      </c>
      <c r="S137" s="41">
        <v>0</v>
      </c>
      <c r="T137" s="41">
        <v>0</v>
      </c>
      <c r="U137" s="41">
        <v>0</v>
      </c>
      <c r="V137" s="41">
        <v>0</v>
      </c>
      <c r="W137" s="41">
        <v>0</v>
      </c>
      <c r="X137" s="41">
        <v>0</v>
      </c>
      <c r="Y137" s="41">
        <v>0</v>
      </c>
      <c r="Z137" s="41">
        <v>0</v>
      </c>
      <c r="AA137" s="41">
        <v>0</v>
      </c>
      <c r="AB137" s="41">
        <v>0</v>
      </c>
      <c r="AC137" s="41">
        <v>0</v>
      </c>
      <c r="AD137" s="41">
        <v>0</v>
      </c>
      <c r="AE137" s="41">
        <v>0</v>
      </c>
      <c r="AF137" s="41">
        <v>0</v>
      </c>
      <c r="AG137" s="41">
        <v>0</v>
      </c>
      <c r="AH137" s="41">
        <v>0</v>
      </c>
      <c r="AI137" s="41">
        <v>0</v>
      </c>
      <c r="AJ137" s="41">
        <v>0</v>
      </c>
      <c r="AK137" s="41">
        <v>0</v>
      </c>
      <c r="AL137" s="41">
        <v>1</v>
      </c>
      <c r="AM137" s="41">
        <v>0</v>
      </c>
      <c r="AN137" s="41">
        <v>0</v>
      </c>
      <c r="AO137" s="45">
        <v>0</v>
      </c>
      <c r="AP137" s="46"/>
      <c r="AQ137" s="46"/>
      <c r="AR137" s="46"/>
      <c r="AS137" s="46"/>
      <c r="AT137" s="46"/>
      <c r="AU137" s="46"/>
    </row>
    <row r="138" spans="1:47" ht="15.75" x14ac:dyDescent="0.25">
      <c r="A138" s="42" t="s">
        <v>12</v>
      </c>
      <c r="B138" s="42" t="s">
        <v>37</v>
      </c>
      <c r="C138" s="42">
        <v>9</v>
      </c>
      <c r="D138" s="43">
        <v>32045769</v>
      </c>
      <c r="E138" s="43" t="s">
        <v>302</v>
      </c>
      <c r="F138" s="42">
        <v>32043857</v>
      </c>
      <c r="G138" s="75" t="s">
        <v>285</v>
      </c>
      <c r="H138" s="85" t="s">
        <v>50</v>
      </c>
      <c r="I138" s="85"/>
      <c r="J138" s="29">
        <v>1</v>
      </c>
      <c r="K138" s="44">
        <v>37408</v>
      </c>
      <c r="L138" s="44">
        <v>25097</v>
      </c>
      <c r="M138" s="31">
        <f t="shared" ca="1" si="8"/>
        <v>24</v>
      </c>
      <c r="N138" s="32">
        <f t="shared" ca="1" si="9"/>
        <v>57.827397260273976</v>
      </c>
      <c r="O138" s="33">
        <f ca="1">VLOOKUP(M138,Edad_Antigüedad!$M$2:$N$36,2)</f>
        <v>28</v>
      </c>
      <c r="P138" s="33" t="s">
        <v>287</v>
      </c>
      <c r="Q138" s="41">
        <v>0</v>
      </c>
      <c r="R138" s="41">
        <v>0</v>
      </c>
      <c r="S138" s="41">
        <v>0</v>
      </c>
      <c r="T138" s="41">
        <v>0</v>
      </c>
      <c r="U138" s="41">
        <v>0</v>
      </c>
      <c r="V138" s="41">
        <v>0</v>
      </c>
      <c r="W138" s="41">
        <v>0</v>
      </c>
      <c r="X138" s="41">
        <v>0</v>
      </c>
      <c r="Y138" s="41">
        <v>0</v>
      </c>
      <c r="Z138" s="41">
        <v>0</v>
      </c>
      <c r="AA138" s="41">
        <v>0</v>
      </c>
      <c r="AB138" s="41">
        <v>0</v>
      </c>
      <c r="AC138" s="41">
        <v>0</v>
      </c>
      <c r="AD138" s="41">
        <v>0</v>
      </c>
      <c r="AE138" s="41">
        <v>0</v>
      </c>
      <c r="AF138" s="41">
        <v>0</v>
      </c>
      <c r="AG138" s="41">
        <v>0</v>
      </c>
      <c r="AH138" s="41">
        <v>0</v>
      </c>
      <c r="AI138" s="41">
        <v>0</v>
      </c>
      <c r="AJ138" s="41">
        <v>0</v>
      </c>
      <c r="AK138" s="41">
        <v>0</v>
      </c>
      <c r="AL138" s="41">
        <v>0</v>
      </c>
      <c r="AM138" s="41">
        <v>1</v>
      </c>
      <c r="AN138" s="41">
        <v>0</v>
      </c>
      <c r="AO138" s="45">
        <v>0</v>
      </c>
      <c r="AP138" s="46"/>
      <c r="AQ138" s="46"/>
      <c r="AR138" s="46"/>
      <c r="AS138" s="46"/>
      <c r="AT138" s="46"/>
      <c r="AU138" s="46"/>
    </row>
    <row r="139" spans="1:47" ht="25.5" customHeight="1" x14ac:dyDescent="0.25">
      <c r="A139" s="42" t="s">
        <v>12</v>
      </c>
      <c r="B139" s="42" t="s">
        <v>37</v>
      </c>
      <c r="C139" s="42">
        <v>9</v>
      </c>
      <c r="D139" s="43">
        <v>32045952</v>
      </c>
      <c r="E139" s="43" t="s">
        <v>303</v>
      </c>
      <c r="F139" s="42">
        <v>32043857</v>
      </c>
      <c r="G139" s="75" t="s">
        <v>285</v>
      </c>
      <c r="H139" s="85" t="s">
        <v>50</v>
      </c>
      <c r="I139" s="85"/>
      <c r="J139" s="29">
        <v>1</v>
      </c>
      <c r="K139" s="44">
        <v>37788</v>
      </c>
      <c r="L139" s="44">
        <v>30169</v>
      </c>
      <c r="M139" s="31">
        <f t="shared" ca="1" si="8"/>
        <v>23</v>
      </c>
      <c r="N139" s="32">
        <f t="shared" ca="1" si="9"/>
        <v>43.93150684931507</v>
      </c>
      <c r="O139" s="33">
        <f ca="1">VLOOKUP(M139,Edad_Antigüedad!$M$2:$N$36,2)</f>
        <v>28</v>
      </c>
      <c r="P139" s="33" t="s">
        <v>294</v>
      </c>
      <c r="Q139" s="41">
        <v>0</v>
      </c>
      <c r="R139" s="41">
        <v>0</v>
      </c>
      <c r="S139" s="41">
        <v>0</v>
      </c>
      <c r="T139" s="41">
        <v>0</v>
      </c>
      <c r="U139" s="41">
        <v>0</v>
      </c>
      <c r="V139" s="41">
        <v>0</v>
      </c>
      <c r="W139" s="41">
        <v>0</v>
      </c>
      <c r="X139" s="41">
        <v>0</v>
      </c>
      <c r="Y139" s="41">
        <v>0</v>
      </c>
      <c r="Z139" s="41">
        <v>0</v>
      </c>
      <c r="AA139" s="41">
        <v>0</v>
      </c>
      <c r="AB139" s="41">
        <v>0</v>
      </c>
      <c r="AC139" s="41">
        <v>0</v>
      </c>
      <c r="AD139" s="41">
        <v>0</v>
      </c>
      <c r="AE139" s="41">
        <v>0</v>
      </c>
      <c r="AF139" s="41">
        <v>0</v>
      </c>
      <c r="AG139" s="41">
        <v>0</v>
      </c>
      <c r="AH139" s="41">
        <v>0</v>
      </c>
      <c r="AI139" s="41">
        <v>0</v>
      </c>
      <c r="AJ139" s="41">
        <v>0</v>
      </c>
      <c r="AK139" s="41">
        <v>1</v>
      </c>
      <c r="AL139" s="41">
        <v>0</v>
      </c>
      <c r="AM139" s="41">
        <v>0</v>
      </c>
      <c r="AN139" s="41">
        <v>0</v>
      </c>
      <c r="AO139" s="45">
        <v>0</v>
      </c>
      <c r="AP139" s="46"/>
      <c r="AQ139" s="46"/>
      <c r="AR139" s="46"/>
      <c r="AS139" s="46"/>
      <c r="AT139" s="46"/>
      <c r="AU139" s="46"/>
    </row>
    <row r="140" spans="1:47" ht="30" x14ac:dyDescent="0.25">
      <c r="A140" s="42" t="s">
        <v>12</v>
      </c>
      <c r="B140" s="42" t="s">
        <v>37</v>
      </c>
      <c r="C140" s="42">
        <v>9</v>
      </c>
      <c r="D140" s="43">
        <v>32146005</v>
      </c>
      <c r="E140" s="76" t="s">
        <v>304</v>
      </c>
      <c r="F140" s="42">
        <v>32043857</v>
      </c>
      <c r="G140" s="75" t="s">
        <v>285</v>
      </c>
      <c r="H140" s="85" t="s">
        <v>50</v>
      </c>
      <c r="I140" s="85"/>
      <c r="J140" s="29">
        <v>2</v>
      </c>
      <c r="K140" s="44">
        <v>42403</v>
      </c>
      <c r="L140" s="44">
        <v>30535</v>
      </c>
      <c r="M140" s="31">
        <f t="shared" ca="1" si="8"/>
        <v>10</v>
      </c>
      <c r="N140" s="32">
        <f t="shared" ca="1" si="9"/>
        <v>42.92876712328767</v>
      </c>
      <c r="O140" s="33">
        <f ca="1">VLOOKUP(M140,Edad_Antigüedad!$M$2:$N$36,2)</f>
        <v>22</v>
      </c>
      <c r="P140" s="86" t="s">
        <v>305</v>
      </c>
      <c r="Q140" s="41">
        <v>0</v>
      </c>
      <c r="R140" s="41">
        <v>0</v>
      </c>
      <c r="S140" s="41">
        <v>0</v>
      </c>
      <c r="T140" s="41">
        <v>0</v>
      </c>
      <c r="U140" s="41">
        <v>0</v>
      </c>
      <c r="V140" s="41">
        <v>1</v>
      </c>
      <c r="W140" s="41">
        <v>0</v>
      </c>
      <c r="X140" s="41">
        <v>0</v>
      </c>
      <c r="Y140" s="41">
        <v>0</v>
      </c>
      <c r="Z140" s="41">
        <v>0</v>
      </c>
      <c r="AA140" s="41">
        <v>0</v>
      </c>
      <c r="AB140" s="41">
        <v>0</v>
      </c>
      <c r="AC140" s="41">
        <v>0</v>
      </c>
      <c r="AD140" s="41">
        <v>0</v>
      </c>
      <c r="AE140" s="41">
        <v>0</v>
      </c>
      <c r="AF140" s="41">
        <v>0</v>
      </c>
      <c r="AG140" s="41">
        <v>0</v>
      </c>
      <c r="AH140" s="41">
        <v>0</v>
      </c>
      <c r="AI140" s="41">
        <v>0</v>
      </c>
      <c r="AJ140" s="41">
        <v>0</v>
      </c>
      <c r="AK140" s="41">
        <v>0</v>
      </c>
      <c r="AL140" s="41">
        <v>0</v>
      </c>
      <c r="AM140" s="41">
        <v>1</v>
      </c>
      <c r="AN140" s="41">
        <v>0</v>
      </c>
      <c r="AO140" s="45">
        <v>0</v>
      </c>
      <c r="AP140" s="46"/>
      <c r="AQ140" s="46"/>
      <c r="AR140" s="46"/>
      <c r="AS140" s="46"/>
      <c r="AT140" s="46"/>
      <c r="AU140" s="46"/>
    </row>
    <row r="141" spans="1:47" ht="15.75" x14ac:dyDescent="0.25">
      <c r="A141" s="42" t="s">
        <v>12</v>
      </c>
      <c r="B141" s="42" t="s">
        <v>37</v>
      </c>
      <c r="C141" s="42">
        <v>9</v>
      </c>
      <c r="D141" s="43">
        <v>32173447</v>
      </c>
      <c r="E141" s="76" t="s">
        <v>306</v>
      </c>
      <c r="F141" s="42">
        <v>32043857</v>
      </c>
      <c r="G141" s="75" t="s">
        <v>285</v>
      </c>
      <c r="H141" s="85" t="s">
        <v>50</v>
      </c>
      <c r="I141" s="85"/>
      <c r="J141" s="29">
        <v>1</v>
      </c>
      <c r="K141" s="44">
        <v>43434</v>
      </c>
      <c r="L141" s="44">
        <v>35773</v>
      </c>
      <c r="M141" s="31">
        <f t="shared" ca="1" si="8"/>
        <v>8</v>
      </c>
      <c r="N141" s="32">
        <f t="shared" ca="1" si="9"/>
        <v>28.578082191780823</v>
      </c>
      <c r="O141" s="33">
        <f ca="1">VLOOKUP(M141,Edad_Antigüedad!$M$2:$N$36,2)</f>
        <v>22</v>
      </c>
      <c r="P141" s="33" t="s">
        <v>307</v>
      </c>
      <c r="Q141" s="41">
        <v>0</v>
      </c>
      <c r="R141" s="41">
        <v>0</v>
      </c>
      <c r="S141" s="41">
        <v>0</v>
      </c>
      <c r="T141" s="41">
        <v>0</v>
      </c>
      <c r="U141" s="41">
        <v>0</v>
      </c>
      <c r="V141" s="41">
        <v>0</v>
      </c>
      <c r="W141" s="41">
        <v>0</v>
      </c>
      <c r="X141" s="41">
        <v>0</v>
      </c>
      <c r="Y141" s="41">
        <v>0</v>
      </c>
      <c r="Z141" s="41">
        <v>0</v>
      </c>
      <c r="AA141" s="41">
        <v>0</v>
      </c>
      <c r="AB141" s="41">
        <v>0</v>
      </c>
      <c r="AC141" s="41">
        <v>0</v>
      </c>
      <c r="AD141" s="41">
        <v>0</v>
      </c>
      <c r="AE141" s="41">
        <v>0</v>
      </c>
      <c r="AF141" s="41">
        <v>0</v>
      </c>
      <c r="AG141" s="41">
        <v>0</v>
      </c>
      <c r="AH141" s="41">
        <v>0</v>
      </c>
      <c r="AI141" s="41">
        <v>0</v>
      </c>
      <c r="AJ141" s="41">
        <v>0</v>
      </c>
      <c r="AK141" s="41">
        <v>0</v>
      </c>
      <c r="AL141" s="41">
        <v>0</v>
      </c>
      <c r="AM141" s="41">
        <v>1</v>
      </c>
      <c r="AN141" s="41">
        <v>0</v>
      </c>
      <c r="AO141" s="45">
        <v>0</v>
      </c>
      <c r="AP141" s="46"/>
      <c r="AQ141" s="46"/>
      <c r="AR141" s="46"/>
      <c r="AS141" s="46"/>
      <c r="AT141" s="46"/>
      <c r="AU141" s="46"/>
    </row>
    <row r="142" spans="1:47" ht="15.75" x14ac:dyDescent="0.25">
      <c r="A142" s="42" t="s">
        <v>12</v>
      </c>
      <c r="B142" s="42" t="s">
        <v>37</v>
      </c>
      <c r="C142" s="42">
        <v>9</v>
      </c>
      <c r="D142" s="43">
        <v>32176714</v>
      </c>
      <c r="E142" s="76" t="s">
        <v>308</v>
      </c>
      <c r="F142" s="42">
        <v>32043857</v>
      </c>
      <c r="G142" s="75" t="s">
        <v>285</v>
      </c>
      <c r="H142" s="85" t="s">
        <v>50</v>
      </c>
      <c r="I142" s="85"/>
      <c r="J142" s="29">
        <v>1</v>
      </c>
      <c r="K142" s="44">
        <v>43553</v>
      </c>
      <c r="L142" s="44">
        <v>36030</v>
      </c>
      <c r="M142" s="31">
        <f t="shared" ca="1" si="8"/>
        <v>7</v>
      </c>
      <c r="N142" s="32">
        <f t="shared" ca="1" si="9"/>
        <v>27.873972602739727</v>
      </c>
      <c r="O142" s="33">
        <f ca="1">VLOOKUP(M142,Edad_Antigüedad!$M$2:$N$36,2)</f>
        <v>22</v>
      </c>
      <c r="P142" s="33" t="s">
        <v>287</v>
      </c>
      <c r="Q142" s="41">
        <v>0</v>
      </c>
      <c r="R142" s="41">
        <v>0</v>
      </c>
      <c r="S142" s="41">
        <v>0</v>
      </c>
      <c r="T142" s="41">
        <v>0</v>
      </c>
      <c r="U142" s="41">
        <v>0</v>
      </c>
      <c r="V142" s="41">
        <v>0</v>
      </c>
      <c r="W142" s="41">
        <v>0</v>
      </c>
      <c r="X142" s="41">
        <v>0</v>
      </c>
      <c r="Y142" s="41">
        <v>0</v>
      </c>
      <c r="Z142" s="41">
        <v>0</v>
      </c>
      <c r="AA142" s="41">
        <v>0</v>
      </c>
      <c r="AB142" s="41">
        <v>0</v>
      </c>
      <c r="AC142" s="41">
        <v>0</v>
      </c>
      <c r="AD142" s="41">
        <v>0</v>
      </c>
      <c r="AE142" s="41">
        <v>0</v>
      </c>
      <c r="AF142" s="41">
        <v>0</v>
      </c>
      <c r="AG142" s="41">
        <v>0</v>
      </c>
      <c r="AH142" s="41">
        <v>0</v>
      </c>
      <c r="AI142" s="41">
        <v>0</v>
      </c>
      <c r="AJ142" s="41">
        <v>0</v>
      </c>
      <c r="AK142" s="41">
        <v>0</v>
      </c>
      <c r="AL142" s="41">
        <v>0</v>
      </c>
      <c r="AM142" s="41">
        <v>1</v>
      </c>
      <c r="AN142" s="41">
        <v>0</v>
      </c>
      <c r="AO142" s="45">
        <v>0</v>
      </c>
      <c r="AP142" s="46"/>
      <c r="AQ142" s="46"/>
      <c r="AR142" s="46"/>
      <c r="AS142" s="46"/>
      <c r="AT142" s="46"/>
      <c r="AU142" s="46"/>
    </row>
    <row r="143" spans="1:47" ht="24.75" customHeight="1" x14ac:dyDescent="0.25">
      <c r="A143" s="42" t="s">
        <v>12</v>
      </c>
      <c r="B143" s="42" t="s">
        <v>37</v>
      </c>
      <c r="C143" s="42">
        <v>9</v>
      </c>
      <c r="D143" s="73">
        <v>32199794</v>
      </c>
      <c r="E143" s="74" t="s">
        <v>309</v>
      </c>
      <c r="F143" s="42">
        <v>32043857</v>
      </c>
      <c r="G143" s="75" t="s">
        <v>285</v>
      </c>
      <c r="H143" s="41" t="s">
        <v>50</v>
      </c>
      <c r="I143" s="85"/>
      <c r="J143" s="29">
        <v>1</v>
      </c>
      <c r="K143" s="44">
        <v>44463</v>
      </c>
      <c r="L143" s="44">
        <v>36901</v>
      </c>
      <c r="M143" s="31">
        <f t="shared" ca="1" si="8"/>
        <v>5</v>
      </c>
      <c r="N143" s="32">
        <f t="shared" ca="1" si="9"/>
        <v>25.487671232876714</v>
      </c>
      <c r="O143" s="33">
        <f ca="1">VLOOKUP(M143,Edad_Antigüedad!$M$2:$N$36,2)</f>
        <v>20</v>
      </c>
      <c r="P143" s="86" t="s">
        <v>310</v>
      </c>
      <c r="Q143" s="41">
        <v>0</v>
      </c>
      <c r="R143" s="41">
        <v>0</v>
      </c>
      <c r="S143" s="41">
        <v>0</v>
      </c>
      <c r="T143" s="41">
        <v>0</v>
      </c>
      <c r="U143" s="41">
        <v>0</v>
      </c>
      <c r="V143" s="41">
        <v>0</v>
      </c>
      <c r="W143" s="41">
        <v>0</v>
      </c>
      <c r="X143" s="41">
        <v>0</v>
      </c>
      <c r="Y143" s="41">
        <v>0</v>
      </c>
      <c r="Z143" s="41">
        <v>0</v>
      </c>
      <c r="AA143" s="41">
        <v>0</v>
      </c>
      <c r="AB143" s="41">
        <v>0</v>
      </c>
      <c r="AC143" s="41">
        <v>0</v>
      </c>
      <c r="AD143" s="41">
        <v>0</v>
      </c>
      <c r="AE143" s="41">
        <v>0</v>
      </c>
      <c r="AF143" s="41">
        <v>0</v>
      </c>
      <c r="AG143" s="41">
        <v>0</v>
      </c>
      <c r="AH143" s="41">
        <v>0</v>
      </c>
      <c r="AI143" s="41">
        <v>0</v>
      </c>
      <c r="AJ143" s="41">
        <v>0</v>
      </c>
      <c r="AK143" s="41">
        <v>0</v>
      </c>
      <c r="AL143" s="41">
        <v>0</v>
      </c>
      <c r="AM143" s="41">
        <v>1</v>
      </c>
      <c r="AN143" s="41">
        <v>1</v>
      </c>
      <c r="AO143" s="45">
        <v>0</v>
      </c>
      <c r="AP143" s="46"/>
      <c r="AQ143" s="46"/>
      <c r="AR143" s="46"/>
      <c r="AS143" s="46"/>
      <c r="AT143" s="46"/>
      <c r="AU143" s="46"/>
    </row>
    <row r="144" spans="1:47" ht="15.75" x14ac:dyDescent="0.25">
      <c r="A144" s="42" t="s">
        <v>12</v>
      </c>
      <c r="B144" s="42" t="s">
        <v>37</v>
      </c>
      <c r="C144" s="42">
        <v>9</v>
      </c>
      <c r="D144" s="43">
        <v>32219006</v>
      </c>
      <c r="E144" s="76" t="s">
        <v>311</v>
      </c>
      <c r="F144" s="42">
        <v>32043857</v>
      </c>
      <c r="G144" s="75" t="s">
        <v>285</v>
      </c>
      <c r="H144" s="85" t="s">
        <v>50</v>
      </c>
      <c r="I144" s="85"/>
      <c r="J144" s="29">
        <v>1</v>
      </c>
      <c r="K144" s="44">
        <v>44896</v>
      </c>
      <c r="L144" s="44">
        <v>35813</v>
      </c>
      <c r="M144" s="31">
        <f t="shared" ca="1" si="8"/>
        <v>4</v>
      </c>
      <c r="N144" s="32">
        <f t="shared" ca="1" si="9"/>
        <v>28.468493150684932</v>
      </c>
      <c r="O144" s="33">
        <f ca="1">VLOOKUP(M144,Edad_Antigüedad!$M$2:$N$36,2)</f>
        <v>18</v>
      </c>
      <c r="P144" s="33" t="s">
        <v>283</v>
      </c>
      <c r="Q144" s="41">
        <v>0</v>
      </c>
      <c r="R144" s="41">
        <v>0</v>
      </c>
      <c r="S144" s="41">
        <v>0</v>
      </c>
      <c r="T144" s="41">
        <v>0</v>
      </c>
      <c r="U144" s="41">
        <v>0</v>
      </c>
      <c r="V144" s="41">
        <v>0</v>
      </c>
      <c r="W144" s="41">
        <v>0</v>
      </c>
      <c r="X144" s="41">
        <v>0</v>
      </c>
      <c r="Y144" s="41">
        <v>0</v>
      </c>
      <c r="Z144" s="41">
        <v>0</v>
      </c>
      <c r="AA144" s="41">
        <v>0</v>
      </c>
      <c r="AB144" s="41">
        <v>0</v>
      </c>
      <c r="AC144" s="41">
        <v>0</v>
      </c>
      <c r="AD144" s="41">
        <v>0</v>
      </c>
      <c r="AE144" s="41">
        <v>0</v>
      </c>
      <c r="AF144" s="41">
        <v>0</v>
      </c>
      <c r="AG144" s="41">
        <v>0</v>
      </c>
      <c r="AH144" s="41">
        <v>0</v>
      </c>
      <c r="AI144" s="41">
        <v>0</v>
      </c>
      <c r="AJ144" s="41">
        <v>0</v>
      </c>
      <c r="AK144" s="41">
        <v>0</v>
      </c>
      <c r="AL144" s="41">
        <v>1</v>
      </c>
      <c r="AM144" s="41">
        <v>0</v>
      </c>
      <c r="AN144" s="41">
        <v>0</v>
      </c>
      <c r="AO144" s="45">
        <v>0</v>
      </c>
      <c r="AP144" s="46"/>
      <c r="AQ144" s="46"/>
      <c r="AR144" s="46"/>
      <c r="AS144" s="46"/>
      <c r="AT144" s="46"/>
      <c r="AU144" s="46"/>
    </row>
    <row r="145" spans="1:47" ht="15.75" x14ac:dyDescent="0.25">
      <c r="A145" s="42" t="s">
        <v>12</v>
      </c>
      <c r="B145" s="42" t="s">
        <v>45</v>
      </c>
      <c r="C145" s="42">
        <v>7</v>
      </c>
      <c r="D145" s="75">
        <v>32043857</v>
      </c>
      <c r="E145" s="75" t="s">
        <v>285</v>
      </c>
      <c r="F145" s="75">
        <v>32045961</v>
      </c>
      <c r="G145" s="42" t="s">
        <v>49</v>
      </c>
      <c r="H145" s="42" t="s">
        <v>50</v>
      </c>
      <c r="I145" s="29" t="s">
        <v>101</v>
      </c>
      <c r="J145" s="29">
        <v>2</v>
      </c>
      <c r="K145" s="44">
        <v>35293</v>
      </c>
      <c r="L145" s="44">
        <v>28642</v>
      </c>
      <c r="M145" s="31">
        <f t="shared" ca="1" si="8"/>
        <v>30</v>
      </c>
      <c r="N145" s="32">
        <f t="shared" ca="1" si="9"/>
        <v>48.115068493150687</v>
      </c>
      <c r="O145" s="33">
        <f ca="1">VLOOKUP(M145,Edad_Antigüedad!$M$2:$N$36,2)</f>
        <v>30</v>
      </c>
      <c r="P145" s="33" t="s">
        <v>312</v>
      </c>
      <c r="Q145" s="41">
        <v>0</v>
      </c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5"/>
      <c r="AP145" s="46"/>
      <c r="AQ145" s="46"/>
      <c r="AR145" s="46"/>
      <c r="AS145" s="46"/>
      <c r="AT145" s="46"/>
      <c r="AU145" s="46"/>
    </row>
    <row r="146" spans="1:47" ht="15.75" x14ac:dyDescent="0.25">
      <c r="A146" s="42" t="s">
        <v>12</v>
      </c>
      <c r="B146" s="42" t="s">
        <v>45</v>
      </c>
      <c r="C146" s="42">
        <v>7</v>
      </c>
      <c r="D146" s="43">
        <v>32045495</v>
      </c>
      <c r="E146" s="43" t="s">
        <v>313</v>
      </c>
      <c r="F146" s="75">
        <v>32045961</v>
      </c>
      <c r="G146" s="42" t="s">
        <v>49</v>
      </c>
      <c r="H146" s="85" t="s">
        <v>51</v>
      </c>
      <c r="I146" s="29" t="s">
        <v>101</v>
      </c>
      <c r="J146" s="29">
        <v>2</v>
      </c>
      <c r="K146" s="44">
        <v>37119</v>
      </c>
      <c r="L146" s="44">
        <v>30504</v>
      </c>
      <c r="M146" s="31">
        <f t="shared" ca="1" si="8"/>
        <v>25</v>
      </c>
      <c r="N146" s="32">
        <f t="shared" ca="1" si="9"/>
        <v>43.013698630136986</v>
      </c>
      <c r="O146" s="33">
        <f ca="1">VLOOKUP(M146,Edad_Antigüedad!$M$2:$N$36,2)</f>
        <v>28</v>
      </c>
      <c r="P146" s="33" t="s">
        <v>314</v>
      </c>
      <c r="Q146" s="41">
        <v>0</v>
      </c>
      <c r="R146" s="41">
        <v>0</v>
      </c>
      <c r="S146" s="41">
        <v>0</v>
      </c>
      <c r="T146" s="41">
        <v>0</v>
      </c>
      <c r="U146" s="41">
        <v>0</v>
      </c>
      <c r="V146" s="41">
        <v>0</v>
      </c>
      <c r="W146" s="41">
        <v>0</v>
      </c>
      <c r="X146" s="41">
        <v>0</v>
      </c>
      <c r="Y146" s="41">
        <v>0</v>
      </c>
      <c r="Z146" s="41">
        <v>0</v>
      </c>
      <c r="AA146" s="41">
        <v>0</v>
      </c>
      <c r="AB146" s="41">
        <v>0</v>
      </c>
      <c r="AC146" s="41">
        <v>0</v>
      </c>
      <c r="AD146" s="41">
        <v>0</v>
      </c>
      <c r="AE146" s="41">
        <v>0</v>
      </c>
      <c r="AF146" s="41">
        <v>0</v>
      </c>
      <c r="AG146" s="41">
        <v>0</v>
      </c>
      <c r="AH146" s="41">
        <v>0</v>
      </c>
      <c r="AI146" s="41">
        <v>0</v>
      </c>
      <c r="AJ146" s="41">
        <v>0</v>
      </c>
      <c r="AK146" s="41">
        <v>0</v>
      </c>
      <c r="AL146" s="41">
        <v>0</v>
      </c>
      <c r="AM146" s="41">
        <v>1</v>
      </c>
      <c r="AN146" s="41">
        <v>0</v>
      </c>
      <c r="AO146" s="45">
        <v>0</v>
      </c>
      <c r="AP146" s="46"/>
      <c r="AQ146" s="46"/>
      <c r="AR146" s="46"/>
      <c r="AS146" s="46"/>
      <c r="AT146" s="46"/>
      <c r="AU146" s="46"/>
    </row>
    <row r="147" spans="1:47" ht="15.75" x14ac:dyDescent="0.25">
      <c r="A147" s="42" t="s">
        <v>12</v>
      </c>
      <c r="B147" s="42" t="s">
        <v>37</v>
      </c>
      <c r="C147" s="42">
        <v>9</v>
      </c>
      <c r="D147" s="43">
        <v>32043861</v>
      </c>
      <c r="E147" s="43" t="s">
        <v>315</v>
      </c>
      <c r="F147" s="43">
        <v>32043783</v>
      </c>
      <c r="G147" s="43" t="s">
        <v>313</v>
      </c>
      <c r="H147" s="85" t="s">
        <v>51</v>
      </c>
      <c r="I147" s="85"/>
      <c r="J147" s="29">
        <v>1</v>
      </c>
      <c r="K147" s="44">
        <v>35247</v>
      </c>
      <c r="L147" s="44">
        <v>27994</v>
      </c>
      <c r="M147" s="31">
        <f t="shared" ca="1" si="8"/>
        <v>30</v>
      </c>
      <c r="N147" s="32">
        <f t="shared" ca="1" si="9"/>
        <v>49.890410958904113</v>
      </c>
      <c r="O147" s="33">
        <f ca="1">VLOOKUP(M147,Edad_Antigüedad!$M$2:$N$36,2)</f>
        <v>30</v>
      </c>
      <c r="P147" s="33" t="s">
        <v>316</v>
      </c>
      <c r="Q147" s="41">
        <v>0</v>
      </c>
      <c r="R147" s="41">
        <v>0</v>
      </c>
      <c r="S147" s="41">
        <v>1</v>
      </c>
      <c r="T147" s="41">
        <v>1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  <c r="AJ147" s="41">
        <v>0</v>
      </c>
      <c r="AK147" s="41">
        <v>0</v>
      </c>
      <c r="AL147" s="41">
        <v>0</v>
      </c>
      <c r="AM147" s="41">
        <v>1</v>
      </c>
      <c r="AN147" s="41">
        <v>0</v>
      </c>
      <c r="AO147" s="45">
        <v>0</v>
      </c>
      <c r="AP147" s="46"/>
      <c r="AQ147" s="46"/>
      <c r="AR147" s="46"/>
      <c r="AS147" s="46"/>
      <c r="AT147" s="46"/>
      <c r="AU147" s="46"/>
    </row>
    <row r="148" spans="1:47" ht="45" x14ac:dyDescent="0.25">
      <c r="A148" s="42" t="s">
        <v>12</v>
      </c>
      <c r="B148" s="42" t="s">
        <v>37</v>
      </c>
      <c r="C148" s="42">
        <v>9</v>
      </c>
      <c r="D148" s="43">
        <v>32044301</v>
      </c>
      <c r="E148" s="43" t="s">
        <v>317</v>
      </c>
      <c r="F148" s="43">
        <v>32043783</v>
      </c>
      <c r="G148" s="43" t="s">
        <v>313</v>
      </c>
      <c r="H148" s="85" t="s">
        <v>51</v>
      </c>
      <c r="I148" s="85"/>
      <c r="J148" s="29">
        <v>1</v>
      </c>
      <c r="K148" s="44">
        <v>35310</v>
      </c>
      <c r="L148" s="44">
        <v>28173</v>
      </c>
      <c r="M148" s="31">
        <f t="shared" ca="1" si="8"/>
        <v>30</v>
      </c>
      <c r="N148" s="32">
        <f t="shared" ca="1" si="9"/>
        <v>49.4</v>
      </c>
      <c r="O148" s="33">
        <f ca="1">VLOOKUP(M148,Edad_Antigüedad!$M$2:$N$36,2)</f>
        <v>30</v>
      </c>
      <c r="P148" s="86" t="s">
        <v>318</v>
      </c>
      <c r="Q148" s="41">
        <v>0</v>
      </c>
      <c r="R148" s="41">
        <v>0</v>
      </c>
      <c r="S148" s="41">
        <v>0</v>
      </c>
      <c r="T148" s="41">
        <v>0</v>
      </c>
      <c r="U148" s="41">
        <v>0</v>
      </c>
      <c r="V148" s="41">
        <v>0</v>
      </c>
      <c r="W148" s="41">
        <v>0</v>
      </c>
      <c r="X148" s="41">
        <v>0</v>
      </c>
      <c r="Y148" s="41">
        <v>0</v>
      </c>
      <c r="Z148" s="41">
        <v>0</v>
      </c>
      <c r="AA148" s="41">
        <v>0</v>
      </c>
      <c r="AB148" s="41">
        <v>0</v>
      </c>
      <c r="AC148" s="41">
        <v>0</v>
      </c>
      <c r="AD148" s="41">
        <v>0</v>
      </c>
      <c r="AE148" s="41">
        <v>0</v>
      </c>
      <c r="AF148" s="41">
        <v>0</v>
      </c>
      <c r="AG148" s="41">
        <v>0</v>
      </c>
      <c r="AH148" s="41">
        <v>0</v>
      </c>
      <c r="AI148" s="41">
        <v>0</v>
      </c>
      <c r="AJ148" s="41">
        <v>0</v>
      </c>
      <c r="AK148" s="41">
        <v>0</v>
      </c>
      <c r="AL148" s="41">
        <v>0</v>
      </c>
      <c r="AM148" s="41">
        <v>1</v>
      </c>
      <c r="AN148" s="41">
        <v>0</v>
      </c>
      <c r="AO148" s="45">
        <v>0</v>
      </c>
      <c r="AP148" s="46"/>
      <c r="AQ148" s="46"/>
      <c r="AR148" s="46"/>
      <c r="AS148" s="46"/>
      <c r="AT148" s="46"/>
      <c r="AU148" s="46"/>
    </row>
    <row r="149" spans="1:47" ht="15.75" x14ac:dyDescent="0.25">
      <c r="A149" s="42" t="s">
        <v>12</v>
      </c>
      <c r="B149" s="42" t="s">
        <v>37</v>
      </c>
      <c r="C149" s="42">
        <v>9</v>
      </c>
      <c r="D149" s="43">
        <v>32173442</v>
      </c>
      <c r="E149" s="43" t="s">
        <v>319</v>
      </c>
      <c r="F149" s="43">
        <v>32043783</v>
      </c>
      <c r="G149" s="43" t="s">
        <v>313</v>
      </c>
      <c r="H149" s="85" t="s">
        <v>51</v>
      </c>
      <c r="I149" s="85"/>
      <c r="J149" s="29">
        <v>1</v>
      </c>
      <c r="K149" s="44">
        <v>35370</v>
      </c>
      <c r="L149" s="44">
        <v>25915</v>
      </c>
      <c r="M149" s="31">
        <f t="shared" ca="1" si="8"/>
        <v>30</v>
      </c>
      <c r="N149" s="32">
        <f t="shared" ca="1" si="9"/>
        <v>55.586301369863016</v>
      </c>
      <c r="O149" s="33">
        <f ca="1">VLOOKUP(M149,Edad_Antigüedad!$M$2:$N$36,2)</f>
        <v>30</v>
      </c>
      <c r="P149" s="33" t="s">
        <v>291</v>
      </c>
      <c r="Q149" s="41">
        <v>0</v>
      </c>
      <c r="R149" s="41">
        <v>0</v>
      </c>
      <c r="S149" s="41">
        <v>0</v>
      </c>
      <c r="T149" s="41">
        <v>0</v>
      </c>
      <c r="U149" s="41">
        <v>0</v>
      </c>
      <c r="V149" s="41">
        <v>0</v>
      </c>
      <c r="W149" s="41">
        <v>0</v>
      </c>
      <c r="X149" s="41">
        <v>0</v>
      </c>
      <c r="Y149" s="41">
        <v>0</v>
      </c>
      <c r="Z149" s="41">
        <v>0</v>
      </c>
      <c r="AA149" s="41">
        <v>0</v>
      </c>
      <c r="AB149" s="41">
        <v>0</v>
      </c>
      <c r="AC149" s="41">
        <v>0</v>
      </c>
      <c r="AD149" s="41">
        <v>0</v>
      </c>
      <c r="AE149" s="41">
        <v>0</v>
      </c>
      <c r="AF149" s="41">
        <v>0</v>
      </c>
      <c r="AG149" s="41">
        <v>0</v>
      </c>
      <c r="AH149" s="41">
        <v>0</v>
      </c>
      <c r="AI149" s="41">
        <v>0</v>
      </c>
      <c r="AJ149" s="41">
        <v>0</v>
      </c>
      <c r="AK149" s="41">
        <v>0</v>
      </c>
      <c r="AL149" s="41">
        <v>0</v>
      </c>
      <c r="AM149" s="41">
        <v>1</v>
      </c>
      <c r="AN149" s="41">
        <v>0</v>
      </c>
      <c r="AO149" s="45">
        <v>0</v>
      </c>
      <c r="AP149" s="46"/>
      <c r="AQ149" s="46"/>
      <c r="AR149" s="46"/>
      <c r="AS149" s="46"/>
      <c r="AT149" s="46"/>
      <c r="AU149" s="46"/>
    </row>
    <row r="150" spans="1:47" ht="15.75" x14ac:dyDescent="0.25">
      <c r="A150" s="42" t="s">
        <v>12</v>
      </c>
      <c r="B150" s="42" t="s">
        <v>37</v>
      </c>
      <c r="C150" s="42">
        <v>9</v>
      </c>
      <c r="D150" s="43">
        <v>32043739</v>
      </c>
      <c r="E150" s="43" t="s">
        <v>320</v>
      </c>
      <c r="F150" s="43">
        <v>32043783</v>
      </c>
      <c r="G150" s="43" t="s">
        <v>313</v>
      </c>
      <c r="H150" s="85" t="s">
        <v>51</v>
      </c>
      <c r="I150" s="85"/>
      <c r="J150" s="29">
        <v>1</v>
      </c>
      <c r="K150" s="44">
        <v>35840</v>
      </c>
      <c r="L150" s="44">
        <v>28032</v>
      </c>
      <c r="M150" s="31">
        <f t="shared" ca="1" si="8"/>
        <v>28</v>
      </c>
      <c r="N150" s="32">
        <f t="shared" ca="1" si="9"/>
        <v>49.786301369863011</v>
      </c>
      <c r="O150" s="33">
        <f ca="1">VLOOKUP(M150,Edad_Antigüedad!$M$2:$N$36,2)</f>
        <v>30</v>
      </c>
      <c r="P150" s="33" t="s">
        <v>291</v>
      </c>
      <c r="Q150" s="41">
        <v>0</v>
      </c>
      <c r="R150" s="41">
        <v>0</v>
      </c>
      <c r="S150" s="41">
        <v>0</v>
      </c>
      <c r="T150" s="41">
        <v>0</v>
      </c>
      <c r="U150" s="41">
        <v>0</v>
      </c>
      <c r="V150" s="41">
        <v>0</v>
      </c>
      <c r="W150" s="41">
        <v>0</v>
      </c>
      <c r="X150" s="41">
        <v>0</v>
      </c>
      <c r="Y150" s="41">
        <v>0</v>
      </c>
      <c r="Z150" s="41">
        <v>0</v>
      </c>
      <c r="AA150" s="41">
        <v>0</v>
      </c>
      <c r="AB150" s="41">
        <v>0</v>
      </c>
      <c r="AC150" s="41">
        <v>0</v>
      </c>
      <c r="AD150" s="41">
        <v>0</v>
      </c>
      <c r="AE150" s="41">
        <v>0</v>
      </c>
      <c r="AF150" s="41">
        <v>0</v>
      </c>
      <c r="AG150" s="41">
        <v>0</v>
      </c>
      <c r="AH150" s="41">
        <v>0</v>
      </c>
      <c r="AI150" s="41">
        <v>0</v>
      </c>
      <c r="AJ150" s="41">
        <v>0</v>
      </c>
      <c r="AK150" s="41">
        <v>0</v>
      </c>
      <c r="AL150" s="41">
        <v>0</v>
      </c>
      <c r="AM150" s="41">
        <v>1</v>
      </c>
      <c r="AN150" s="41">
        <v>0</v>
      </c>
      <c r="AO150" s="45">
        <v>0</v>
      </c>
      <c r="AP150" s="46"/>
      <c r="AQ150" s="46"/>
      <c r="AR150" s="46"/>
      <c r="AS150" s="46"/>
      <c r="AT150" s="46"/>
      <c r="AU150" s="46"/>
    </row>
    <row r="151" spans="1:47" ht="15.75" x14ac:dyDescent="0.25">
      <c r="A151" s="42" t="s">
        <v>12</v>
      </c>
      <c r="B151" s="42" t="s">
        <v>37</v>
      </c>
      <c r="C151" s="42">
        <v>9</v>
      </c>
      <c r="D151" s="43">
        <v>32044251</v>
      </c>
      <c r="E151" s="43" t="s">
        <v>321</v>
      </c>
      <c r="F151" s="43">
        <v>32043783</v>
      </c>
      <c r="G151" s="43" t="s">
        <v>313</v>
      </c>
      <c r="H151" s="85" t="s">
        <v>51</v>
      </c>
      <c r="I151" s="85"/>
      <c r="J151" s="29">
        <v>1</v>
      </c>
      <c r="K151" s="44">
        <v>35782</v>
      </c>
      <c r="L151" s="44">
        <v>27342</v>
      </c>
      <c r="M151" s="31">
        <f t="shared" ca="1" si="8"/>
        <v>29</v>
      </c>
      <c r="N151" s="32">
        <f t="shared" ca="1" si="9"/>
        <v>51.676712328767124</v>
      </c>
      <c r="O151" s="33">
        <f ca="1">VLOOKUP(M151,Edad_Antigüedad!$M$2:$N$36,2)</f>
        <v>30</v>
      </c>
      <c r="P151" s="33" t="s">
        <v>291</v>
      </c>
      <c r="Q151" s="41">
        <v>0</v>
      </c>
      <c r="R151" s="41">
        <v>0</v>
      </c>
      <c r="S151" s="41">
        <v>0</v>
      </c>
      <c r="T151" s="41">
        <v>0</v>
      </c>
      <c r="U151" s="41">
        <v>0</v>
      </c>
      <c r="V151" s="41">
        <v>0</v>
      </c>
      <c r="W151" s="41">
        <v>0</v>
      </c>
      <c r="X151" s="41">
        <v>0</v>
      </c>
      <c r="Y151" s="41">
        <v>0</v>
      </c>
      <c r="Z151" s="41">
        <v>0</v>
      </c>
      <c r="AA151" s="41">
        <v>0</v>
      </c>
      <c r="AB151" s="41">
        <v>0</v>
      </c>
      <c r="AC151" s="41">
        <v>0</v>
      </c>
      <c r="AD151" s="41">
        <v>0</v>
      </c>
      <c r="AE151" s="41">
        <v>0</v>
      </c>
      <c r="AF151" s="41">
        <v>0</v>
      </c>
      <c r="AG151" s="41">
        <v>0</v>
      </c>
      <c r="AH151" s="41">
        <v>0</v>
      </c>
      <c r="AI151" s="41">
        <v>0</v>
      </c>
      <c r="AJ151" s="41">
        <v>0</v>
      </c>
      <c r="AK151" s="41">
        <v>0</v>
      </c>
      <c r="AL151" s="41">
        <v>1</v>
      </c>
      <c r="AM151" s="41">
        <v>0</v>
      </c>
      <c r="AN151" s="41">
        <v>0</v>
      </c>
      <c r="AO151" s="45">
        <v>0</v>
      </c>
      <c r="AP151" s="46"/>
      <c r="AQ151" s="46"/>
      <c r="AR151" s="46"/>
      <c r="AS151" s="46"/>
      <c r="AT151" s="46"/>
      <c r="AU151" s="46"/>
    </row>
    <row r="152" spans="1:47" ht="15.75" x14ac:dyDescent="0.25">
      <c r="A152" s="42" t="s">
        <v>12</v>
      </c>
      <c r="B152" s="42" t="s">
        <v>37</v>
      </c>
      <c r="C152" s="42">
        <v>9</v>
      </c>
      <c r="D152" s="43">
        <v>32044314</v>
      </c>
      <c r="E152" s="43" t="s">
        <v>322</v>
      </c>
      <c r="F152" s="43">
        <v>32043783</v>
      </c>
      <c r="G152" s="43" t="s">
        <v>313</v>
      </c>
      <c r="H152" s="85" t="s">
        <v>51</v>
      </c>
      <c r="I152" s="85" t="s">
        <v>323</v>
      </c>
      <c r="J152" s="29">
        <v>1</v>
      </c>
      <c r="K152" s="44">
        <v>35856</v>
      </c>
      <c r="L152" s="44">
        <v>28950</v>
      </c>
      <c r="M152" s="31">
        <f t="shared" ca="1" si="8"/>
        <v>28</v>
      </c>
      <c r="N152" s="32">
        <f t="shared" ca="1" si="9"/>
        <v>47.271232876712325</v>
      </c>
      <c r="O152" s="33">
        <f ca="1">VLOOKUP(M152,Edad_Antigüedad!$M$2:$N$36,2)</f>
        <v>30</v>
      </c>
      <c r="P152" s="33" t="s">
        <v>316</v>
      </c>
      <c r="Q152" s="41">
        <v>0</v>
      </c>
      <c r="R152" s="41">
        <v>0</v>
      </c>
      <c r="S152" s="41">
        <v>0</v>
      </c>
      <c r="T152" s="41">
        <v>0</v>
      </c>
      <c r="U152" s="41">
        <v>0</v>
      </c>
      <c r="V152" s="41">
        <v>0</v>
      </c>
      <c r="W152" s="41">
        <v>0</v>
      </c>
      <c r="X152" s="41">
        <v>0</v>
      </c>
      <c r="Y152" s="41">
        <v>0</v>
      </c>
      <c r="Z152" s="41">
        <v>0</v>
      </c>
      <c r="AA152" s="41">
        <v>0</v>
      </c>
      <c r="AB152" s="41">
        <v>0</v>
      </c>
      <c r="AC152" s="41">
        <v>0</v>
      </c>
      <c r="AD152" s="41">
        <v>0</v>
      </c>
      <c r="AE152" s="41">
        <v>0</v>
      </c>
      <c r="AF152" s="41">
        <v>0</v>
      </c>
      <c r="AG152" s="41">
        <v>0</v>
      </c>
      <c r="AH152" s="41">
        <v>0</v>
      </c>
      <c r="AI152" s="41">
        <v>0</v>
      </c>
      <c r="AJ152" s="41">
        <v>0</v>
      </c>
      <c r="AK152" s="41">
        <v>0</v>
      </c>
      <c r="AL152" s="41">
        <v>0</v>
      </c>
      <c r="AM152" s="41">
        <v>1</v>
      </c>
      <c r="AN152" s="41">
        <v>0</v>
      </c>
      <c r="AO152" s="45">
        <v>0</v>
      </c>
      <c r="AP152" s="46"/>
      <c r="AQ152" s="46"/>
      <c r="AR152" s="46"/>
      <c r="AS152" s="46"/>
      <c r="AT152" s="46"/>
      <c r="AU152" s="46"/>
    </row>
    <row r="153" spans="1:47" ht="15.75" x14ac:dyDescent="0.25">
      <c r="A153" s="42" t="s">
        <v>12</v>
      </c>
      <c r="B153" s="42" t="s">
        <v>37</v>
      </c>
      <c r="C153" s="42">
        <v>9</v>
      </c>
      <c r="D153" s="43">
        <v>32145333</v>
      </c>
      <c r="E153" s="43" t="s">
        <v>324</v>
      </c>
      <c r="F153" s="43">
        <v>32043783</v>
      </c>
      <c r="G153" s="43" t="s">
        <v>313</v>
      </c>
      <c r="H153" s="85" t="s">
        <v>51</v>
      </c>
      <c r="I153" s="85"/>
      <c r="J153" s="29">
        <v>1</v>
      </c>
      <c r="K153" s="44">
        <v>35856</v>
      </c>
      <c r="L153" s="44">
        <v>26873</v>
      </c>
      <c r="M153" s="31">
        <f t="shared" ca="1" si="8"/>
        <v>28</v>
      </c>
      <c r="N153" s="32">
        <f t="shared" ca="1" si="9"/>
        <v>52.961643835616435</v>
      </c>
      <c r="O153" s="33">
        <f ca="1">VLOOKUP(M153,Edad_Antigüedad!$M$2:$N$36,2)</f>
        <v>30</v>
      </c>
      <c r="P153" s="33" t="s">
        <v>291</v>
      </c>
      <c r="Q153" s="41">
        <v>0</v>
      </c>
      <c r="R153" s="41">
        <v>0</v>
      </c>
      <c r="S153" s="41">
        <v>0</v>
      </c>
      <c r="T153" s="41">
        <v>0</v>
      </c>
      <c r="U153" s="41">
        <v>0</v>
      </c>
      <c r="V153" s="41">
        <v>0</v>
      </c>
      <c r="W153" s="41">
        <v>0</v>
      </c>
      <c r="X153" s="41">
        <v>0</v>
      </c>
      <c r="Y153" s="41">
        <v>0</v>
      </c>
      <c r="Z153" s="41">
        <v>0</v>
      </c>
      <c r="AA153" s="41">
        <v>0</v>
      </c>
      <c r="AB153" s="41">
        <v>0</v>
      </c>
      <c r="AC153" s="41">
        <v>0</v>
      </c>
      <c r="AD153" s="41">
        <v>0</v>
      </c>
      <c r="AE153" s="41">
        <v>0</v>
      </c>
      <c r="AF153" s="41">
        <v>0</v>
      </c>
      <c r="AG153" s="41">
        <v>0</v>
      </c>
      <c r="AH153" s="41">
        <v>0</v>
      </c>
      <c r="AI153" s="41">
        <v>0</v>
      </c>
      <c r="AJ153" s="41">
        <v>0</v>
      </c>
      <c r="AK153" s="41">
        <v>0</v>
      </c>
      <c r="AL153" s="41">
        <v>0</v>
      </c>
      <c r="AM153" s="41">
        <v>1</v>
      </c>
      <c r="AN153" s="41">
        <v>0</v>
      </c>
      <c r="AO153" s="45">
        <v>0</v>
      </c>
      <c r="AP153" s="46"/>
      <c r="AQ153" s="46"/>
      <c r="AR153" s="46"/>
      <c r="AS153" s="46"/>
      <c r="AT153" s="46"/>
      <c r="AU153" s="46"/>
    </row>
    <row r="154" spans="1:47" ht="15.75" x14ac:dyDescent="0.25">
      <c r="A154" s="42" t="s">
        <v>12</v>
      </c>
      <c r="B154" s="42" t="s">
        <v>37</v>
      </c>
      <c r="C154" s="42">
        <v>9</v>
      </c>
      <c r="D154" s="43">
        <v>32043900</v>
      </c>
      <c r="E154" s="43" t="s">
        <v>325</v>
      </c>
      <c r="F154" s="43">
        <v>32043783</v>
      </c>
      <c r="G154" s="43" t="s">
        <v>313</v>
      </c>
      <c r="H154" s="85" t="s">
        <v>51</v>
      </c>
      <c r="I154" s="85"/>
      <c r="J154" s="29">
        <v>1</v>
      </c>
      <c r="K154" s="44">
        <v>37104</v>
      </c>
      <c r="L154" s="44">
        <v>27363</v>
      </c>
      <c r="M154" s="31">
        <f t="shared" ca="1" si="8"/>
        <v>25</v>
      </c>
      <c r="N154" s="32">
        <f t="shared" ca="1" si="9"/>
        <v>51.61917808219178</v>
      </c>
      <c r="O154" s="33">
        <f ca="1">VLOOKUP(M154,Edad_Antigüedad!$M$2:$N$36,2)</f>
        <v>28</v>
      </c>
      <c r="P154" s="33" t="s">
        <v>291</v>
      </c>
      <c r="Q154" s="41">
        <v>0</v>
      </c>
      <c r="R154" s="41">
        <v>0</v>
      </c>
      <c r="S154" s="41">
        <v>0</v>
      </c>
      <c r="T154" s="41">
        <v>0</v>
      </c>
      <c r="U154" s="41">
        <v>0</v>
      </c>
      <c r="V154" s="41">
        <v>0</v>
      </c>
      <c r="W154" s="41">
        <v>0</v>
      </c>
      <c r="X154" s="41">
        <v>0</v>
      </c>
      <c r="Y154" s="41">
        <v>0</v>
      </c>
      <c r="Z154" s="41">
        <v>0</v>
      </c>
      <c r="AA154" s="41">
        <v>0</v>
      </c>
      <c r="AB154" s="41">
        <v>0</v>
      </c>
      <c r="AC154" s="41">
        <v>0</v>
      </c>
      <c r="AD154" s="41">
        <v>0</v>
      </c>
      <c r="AE154" s="41">
        <v>0</v>
      </c>
      <c r="AF154" s="41">
        <v>0</v>
      </c>
      <c r="AG154" s="41">
        <v>0</v>
      </c>
      <c r="AH154" s="41">
        <v>0</v>
      </c>
      <c r="AI154" s="41">
        <v>0</v>
      </c>
      <c r="AJ154" s="41">
        <v>0</v>
      </c>
      <c r="AK154" s="41">
        <v>0</v>
      </c>
      <c r="AL154" s="41">
        <v>0</v>
      </c>
      <c r="AM154" s="41">
        <v>1</v>
      </c>
      <c r="AN154" s="41">
        <v>0</v>
      </c>
      <c r="AO154" s="45">
        <v>0</v>
      </c>
      <c r="AP154" s="46"/>
      <c r="AQ154" s="46"/>
      <c r="AR154" s="46"/>
      <c r="AS154" s="46"/>
      <c r="AT154" s="46"/>
      <c r="AU154" s="46"/>
    </row>
    <row r="155" spans="1:47" ht="15.75" x14ac:dyDescent="0.25">
      <c r="A155" s="42" t="s">
        <v>12</v>
      </c>
      <c r="B155" s="42" t="s">
        <v>37</v>
      </c>
      <c r="C155" s="42">
        <v>9</v>
      </c>
      <c r="D155" s="43">
        <v>32092747</v>
      </c>
      <c r="E155" s="43" t="s">
        <v>326</v>
      </c>
      <c r="F155" s="43">
        <v>32043783</v>
      </c>
      <c r="G155" s="43" t="s">
        <v>313</v>
      </c>
      <c r="H155" s="85" t="s">
        <v>51</v>
      </c>
      <c r="I155" s="85"/>
      <c r="J155" s="29">
        <v>1</v>
      </c>
      <c r="K155" s="44">
        <v>40360</v>
      </c>
      <c r="L155" s="44">
        <v>30034</v>
      </c>
      <c r="M155" s="31">
        <f t="shared" ca="1" si="8"/>
        <v>16</v>
      </c>
      <c r="N155" s="32">
        <f t="shared" ca="1" si="9"/>
        <v>44.301369863013697</v>
      </c>
      <c r="O155" s="33">
        <f ca="1">VLOOKUP(M155,Edad_Antigüedad!$M$2:$N$36,2)</f>
        <v>26</v>
      </c>
      <c r="P155" s="33" t="s">
        <v>316</v>
      </c>
      <c r="Q155" s="41">
        <v>0</v>
      </c>
      <c r="R155" s="41">
        <v>0</v>
      </c>
      <c r="S155" s="41">
        <v>0</v>
      </c>
      <c r="T155" s="41">
        <v>0</v>
      </c>
      <c r="U155" s="41">
        <v>0</v>
      </c>
      <c r="V155" s="41">
        <v>0</v>
      </c>
      <c r="W155" s="41">
        <v>0</v>
      </c>
      <c r="X155" s="41">
        <v>0</v>
      </c>
      <c r="Y155" s="41">
        <v>0</v>
      </c>
      <c r="Z155" s="41">
        <v>0</v>
      </c>
      <c r="AA155" s="41">
        <v>0</v>
      </c>
      <c r="AB155" s="41">
        <v>0</v>
      </c>
      <c r="AC155" s="41">
        <v>0</v>
      </c>
      <c r="AD155" s="41">
        <v>0</v>
      </c>
      <c r="AE155" s="41">
        <v>0</v>
      </c>
      <c r="AF155" s="41">
        <v>0</v>
      </c>
      <c r="AG155" s="41">
        <v>0</v>
      </c>
      <c r="AH155" s="41">
        <v>0</v>
      </c>
      <c r="AI155" s="41">
        <v>0</v>
      </c>
      <c r="AJ155" s="41">
        <v>0</v>
      </c>
      <c r="AK155" s="41">
        <v>0</v>
      </c>
      <c r="AL155" s="41">
        <v>1</v>
      </c>
      <c r="AM155" s="41">
        <v>0</v>
      </c>
      <c r="AN155" s="41">
        <v>0</v>
      </c>
      <c r="AO155" s="45">
        <v>0</v>
      </c>
      <c r="AP155" s="46"/>
      <c r="AQ155" s="46"/>
      <c r="AR155" s="46"/>
      <c r="AS155" s="46"/>
      <c r="AT155" s="46"/>
      <c r="AU155" s="46"/>
    </row>
    <row r="156" spans="1:47" ht="15.75" x14ac:dyDescent="0.25">
      <c r="A156" s="42" t="s">
        <v>12</v>
      </c>
      <c r="B156" s="42" t="s">
        <v>37</v>
      </c>
      <c r="C156" s="42">
        <v>9</v>
      </c>
      <c r="D156" s="43">
        <v>32043835</v>
      </c>
      <c r="E156" s="43" t="s">
        <v>327</v>
      </c>
      <c r="F156" s="43">
        <v>32043783</v>
      </c>
      <c r="G156" s="43" t="s">
        <v>313</v>
      </c>
      <c r="H156" s="85" t="s">
        <v>51</v>
      </c>
      <c r="I156" s="85"/>
      <c r="J156" s="29">
        <v>3</v>
      </c>
      <c r="K156" s="44">
        <v>42387</v>
      </c>
      <c r="L156" s="44">
        <v>34709</v>
      </c>
      <c r="M156" s="31">
        <f t="shared" ca="1" si="8"/>
        <v>10</v>
      </c>
      <c r="N156" s="32">
        <f t="shared" ca="1" si="9"/>
        <v>31.493150684931507</v>
      </c>
      <c r="O156" s="33">
        <f ca="1">VLOOKUP(M156,Edad_Antigüedad!$M$2:$N$36,2)</f>
        <v>22</v>
      </c>
      <c r="P156" s="33" t="s">
        <v>328</v>
      </c>
      <c r="Q156" s="41">
        <v>0</v>
      </c>
      <c r="R156" s="41">
        <v>0</v>
      </c>
      <c r="S156" s="41">
        <v>0</v>
      </c>
      <c r="T156" s="41">
        <v>0</v>
      </c>
      <c r="U156" s="41">
        <v>0</v>
      </c>
      <c r="V156" s="41">
        <v>0</v>
      </c>
      <c r="W156" s="41">
        <v>0</v>
      </c>
      <c r="X156" s="41">
        <v>0</v>
      </c>
      <c r="Y156" s="41">
        <v>0</v>
      </c>
      <c r="Z156" s="41">
        <v>0</v>
      </c>
      <c r="AA156" s="41">
        <v>0</v>
      </c>
      <c r="AB156" s="41">
        <v>0</v>
      </c>
      <c r="AC156" s="41">
        <v>0</v>
      </c>
      <c r="AD156" s="41">
        <v>0</v>
      </c>
      <c r="AE156" s="41">
        <v>0</v>
      </c>
      <c r="AF156" s="41">
        <v>0</v>
      </c>
      <c r="AG156" s="41">
        <v>0</v>
      </c>
      <c r="AH156" s="41">
        <v>0</v>
      </c>
      <c r="AI156" s="41">
        <v>0</v>
      </c>
      <c r="AJ156" s="41">
        <v>0</v>
      </c>
      <c r="AK156" s="41">
        <v>0</v>
      </c>
      <c r="AL156" s="41">
        <v>0</v>
      </c>
      <c r="AM156" s="41">
        <v>1</v>
      </c>
      <c r="AN156" s="41">
        <v>0</v>
      </c>
      <c r="AO156" s="45">
        <v>0</v>
      </c>
      <c r="AP156" s="46"/>
      <c r="AQ156" s="46"/>
      <c r="AR156" s="46"/>
      <c r="AS156" s="46"/>
      <c r="AT156" s="46"/>
      <c r="AU156" s="46"/>
    </row>
    <row r="157" spans="1:47" ht="30" x14ac:dyDescent="0.25">
      <c r="A157" s="42" t="s">
        <v>12</v>
      </c>
      <c r="B157" s="42" t="s">
        <v>37</v>
      </c>
      <c r="C157" s="42">
        <v>9</v>
      </c>
      <c r="D157" s="43">
        <v>32149490</v>
      </c>
      <c r="E157" s="63" t="s">
        <v>329</v>
      </c>
      <c r="F157" s="43">
        <v>32043783</v>
      </c>
      <c r="G157" s="43" t="s">
        <v>313</v>
      </c>
      <c r="H157" s="85" t="s">
        <v>51</v>
      </c>
      <c r="I157" s="85"/>
      <c r="J157" s="29">
        <v>1</v>
      </c>
      <c r="K157" s="44">
        <v>42522</v>
      </c>
      <c r="L157" s="44">
        <v>34612</v>
      </c>
      <c r="M157" s="31">
        <f t="shared" ca="1" si="8"/>
        <v>10</v>
      </c>
      <c r="N157" s="32">
        <f t="shared" ca="1" si="9"/>
        <v>31.758904109589039</v>
      </c>
      <c r="O157" s="33">
        <f ca="1">VLOOKUP(M157,Edad_Antigüedad!$M$2:$N$36,2)</f>
        <v>22</v>
      </c>
      <c r="P157" s="86" t="s">
        <v>330</v>
      </c>
      <c r="Q157" s="41">
        <v>0</v>
      </c>
      <c r="R157" s="41">
        <v>0</v>
      </c>
      <c r="S157" s="41">
        <v>0</v>
      </c>
      <c r="T157" s="41">
        <v>0</v>
      </c>
      <c r="U157" s="41">
        <v>0</v>
      </c>
      <c r="V157" s="41">
        <v>0</v>
      </c>
      <c r="W157" s="41">
        <v>0</v>
      </c>
      <c r="X157" s="41">
        <v>0</v>
      </c>
      <c r="Y157" s="41">
        <v>0</v>
      </c>
      <c r="Z157" s="41">
        <v>0</v>
      </c>
      <c r="AA157" s="41">
        <v>0</v>
      </c>
      <c r="AB157" s="41">
        <v>0</v>
      </c>
      <c r="AC157" s="41">
        <v>0</v>
      </c>
      <c r="AD157" s="41">
        <v>0</v>
      </c>
      <c r="AE157" s="41">
        <v>0</v>
      </c>
      <c r="AF157" s="41">
        <v>0</v>
      </c>
      <c r="AG157" s="41">
        <v>0</v>
      </c>
      <c r="AH157" s="41">
        <v>0</v>
      </c>
      <c r="AI157" s="41">
        <v>0</v>
      </c>
      <c r="AJ157" s="41">
        <v>0</v>
      </c>
      <c r="AK157" s="41">
        <v>1</v>
      </c>
      <c r="AL157" s="41">
        <v>0</v>
      </c>
      <c r="AM157" s="41">
        <v>0</v>
      </c>
      <c r="AN157" s="41">
        <v>0</v>
      </c>
      <c r="AO157" s="45">
        <v>0</v>
      </c>
      <c r="AP157" s="46"/>
      <c r="AQ157" s="46"/>
      <c r="AR157" s="46"/>
      <c r="AS157" s="46"/>
      <c r="AT157" s="46"/>
      <c r="AU157" s="46"/>
    </row>
    <row r="158" spans="1:47" ht="15.75" x14ac:dyDescent="0.25">
      <c r="A158" s="42" t="s">
        <v>12</v>
      </c>
      <c r="B158" s="42" t="s">
        <v>37</v>
      </c>
      <c r="C158" s="42">
        <v>9</v>
      </c>
      <c r="D158" s="43">
        <v>32044316</v>
      </c>
      <c r="E158" s="63" t="s">
        <v>331</v>
      </c>
      <c r="F158" s="43">
        <v>32043783</v>
      </c>
      <c r="G158" s="43" t="s">
        <v>313</v>
      </c>
      <c r="H158" s="85" t="s">
        <v>51</v>
      </c>
      <c r="I158" s="85"/>
      <c r="J158" s="29">
        <v>1</v>
      </c>
      <c r="K158" s="44">
        <v>43437</v>
      </c>
      <c r="L158" s="44">
        <v>35235</v>
      </c>
      <c r="M158" s="31">
        <f t="shared" ca="1" si="8"/>
        <v>8</v>
      </c>
      <c r="N158" s="32">
        <f t="shared" ca="1" si="9"/>
        <v>30.052054794520547</v>
      </c>
      <c r="O158" s="33">
        <f ca="1">VLOOKUP(M158,Edad_Antigüedad!$M$2:$N$36,2)</f>
        <v>22</v>
      </c>
      <c r="P158" s="33" t="s">
        <v>291</v>
      </c>
      <c r="Q158" s="41">
        <v>0</v>
      </c>
      <c r="R158" s="41">
        <v>0</v>
      </c>
      <c r="S158" s="41">
        <v>0</v>
      </c>
      <c r="T158" s="41">
        <v>0</v>
      </c>
      <c r="U158" s="41">
        <v>0</v>
      </c>
      <c r="V158" s="41">
        <v>0</v>
      </c>
      <c r="W158" s="41">
        <v>0</v>
      </c>
      <c r="X158" s="41">
        <v>0</v>
      </c>
      <c r="Y158" s="41">
        <v>0</v>
      </c>
      <c r="Z158" s="41">
        <v>0</v>
      </c>
      <c r="AA158" s="41">
        <v>0</v>
      </c>
      <c r="AB158" s="41">
        <v>0</v>
      </c>
      <c r="AC158" s="41">
        <v>0</v>
      </c>
      <c r="AD158" s="41">
        <v>0</v>
      </c>
      <c r="AE158" s="41">
        <v>0</v>
      </c>
      <c r="AF158" s="41">
        <v>0</v>
      </c>
      <c r="AG158" s="41">
        <v>0</v>
      </c>
      <c r="AH158" s="41">
        <v>0</v>
      </c>
      <c r="AI158" s="41">
        <v>0</v>
      </c>
      <c r="AJ158" s="41">
        <v>0</v>
      </c>
      <c r="AK158" s="41">
        <v>0</v>
      </c>
      <c r="AL158" s="41">
        <v>0</v>
      </c>
      <c r="AM158" s="41">
        <v>1</v>
      </c>
      <c r="AN158" s="41">
        <v>0</v>
      </c>
      <c r="AO158" s="45">
        <v>0</v>
      </c>
      <c r="AP158" s="46"/>
      <c r="AQ158" s="46"/>
      <c r="AR158" s="46"/>
      <c r="AS158" s="46"/>
      <c r="AT158" s="46"/>
      <c r="AU158" s="46"/>
    </row>
    <row r="159" spans="1:47" ht="15.75" x14ac:dyDescent="0.25">
      <c r="A159" s="42" t="s">
        <v>12</v>
      </c>
      <c r="B159" s="42" t="s">
        <v>37</v>
      </c>
      <c r="C159" s="42">
        <v>9</v>
      </c>
      <c r="D159" s="43">
        <v>32199772</v>
      </c>
      <c r="E159" s="63" t="s">
        <v>332</v>
      </c>
      <c r="F159" s="43">
        <v>32043783</v>
      </c>
      <c r="G159" s="43" t="s">
        <v>313</v>
      </c>
      <c r="H159" s="85" t="s">
        <v>51</v>
      </c>
      <c r="I159" s="85"/>
      <c r="J159" s="29">
        <v>1</v>
      </c>
      <c r="K159" s="44">
        <v>44463</v>
      </c>
      <c r="L159" s="44">
        <v>33961</v>
      </c>
      <c r="M159" s="31">
        <f t="shared" ca="1" si="8"/>
        <v>5</v>
      </c>
      <c r="N159" s="32">
        <f t="shared" ca="1" si="9"/>
        <v>33.542465753424658</v>
      </c>
      <c r="O159" s="33">
        <f ca="1">VLOOKUP(M159,Edad_Antigüedad!$M$2:$N$36,2)</f>
        <v>20</v>
      </c>
      <c r="P159" s="33" t="s">
        <v>307</v>
      </c>
      <c r="Q159" s="41"/>
      <c r="R159" s="41">
        <v>0</v>
      </c>
      <c r="S159" s="41">
        <v>0</v>
      </c>
      <c r="T159" s="41">
        <v>0</v>
      </c>
      <c r="U159" s="41">
        <v>0</v>
      </c>
      <c r="V159" s="41">
        <v>0</v>
      </c>
      <c r="W159" s="41">
        <v>0</v>
      </c>
      <c r="X159" s="41">
        <v>0</v>
      </c>
      <c r="Y159" s="41">
        <v>0</v>
      </c>
      <c r="Z159" s="41">
        <v>0</v>
      </c>
      <c r="AA159" s="41">
        <v>0</v>
      </c>
      <c r="AB159" s="41">
        <v>0</v>
      </c>
      <c r="AC159" s="41">
        <v>0</v>
      </c>
      <c r="AD159" s="41">
        <v>0</v>
      </c>
      <c r="AE159" s="41">
        <v>0</v>
      </c>
      <c r="AF159" s="41">
        <v>0</v>
      </c>
      <c r="AG159" s="41">
        <v>0</v>
      </c>
      <c r="AH159" s="41">
        <v>0</v>
      </c>
      <c r="AI159" s="41">
        <v>0</v>
      </c>
      <c r="AJ159" s="41">
        <v>0</v>
      </c>
      <c r="AK159" s="41">
        <v>0</v>
      </c>
      <c r="AL159" s="41">
        <v>0</v>
      </c>
      <c r="AM159" s="41">
        <v>0</v>
      </c>
      <c r="AN159" s="41">
        <v>1</v>
      </c>
      <c r="AO159" s="45">
        <v>0</v>
      </c>
      <c r="AP159" s="46"/>
      <c r="AQ159" s="46"/>
      <c r="AR159" s="46"/>
      <c r="AS159" s="46"/>
      <c r="AT159" s="46"/>
      <c r="AU159" s="46"/>
    </row>
    <row r="160" spans="1:47" ht="15.75" x14ac:dyDescent="0.25">
      <c r="A160" s="42" t="s">
        <v>10</v>
      </c>
      <c r="B160" s="42" t="s">
        <v>264</v>
      </c>
      <c r="C160" s="42" t="s">
        <v>184</v>
      </c>
      <c r="D160" s="42">
        <v>32181712</v>
      </c>
      <c r="E160" s="13" t="s">
        <v>265</v>
      </c>
      <c r="F160" s="75">
        <v>32231307</v>
      </c>
      <c r="G160" s="83" t="s">
        <v>354</v>
      </c>
      <c r="H160" s="13" t="s">
        <v>44</v>
      </c>
      <c r="I160" s="42" t="s">
        <v>194</v>
      </c>
      <c r="J160" s="29">
        <v>1</v>
      </c>
      <c r="K160" s="30">
        <v>43693</v>
      </c>
      <c r="L160" s="30">
        <v>33341</v>
      </c>
      <c r="M160" s="31">
        <f t="shared" ref="M160:M165" ca="1" si="10">ROUND((($K$2-K160)/365),0)</f>
        <v>7</v>
      </c>
      <c r="N160" s="32">
        <f t="shared" ref="N160:N165" ca="1" si="11">($K$2-L160)/365</f>
        <v>35.241095890410961</v>
      </c>
      <c r="O160" s="33">
        <f ca="1">VLOOKUP(M160,Edad_Antigüedad!$M$2:$N$36,2)</f>
        <v>22</v>
      </c>
      <c r="P160" s="33" t="s">
        <v>126</v>
      </c>
      <c r="Q160" s="41">
        <v>0</v>
      </c>
      <c r="R160" s="41">
        <v>0</v>
      </c>
      <c r="S160" s="41">
        <v>0</v>
      </c>
      <c r="T160" s="41">
        <v>0</v>
      </c>
      <c r="U160" s="41">
        <v>0</v>
      </c>
      <c r="V160" s="41">
        <v>0</v>
      </c>
      <c r="W160" s="41">
        <v>0</v>
      </c>
      <c r="X160" s="41">
        <v>0</v>
      </c>
      <c r="Y160" s="41">
        <v>0</v>
      </c>
      <c r="Z160" s="41">
        <v>0</v>
      </c>
      <c r="AA160" s="41">
        <v>1</v>
      </c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5"/>
      <c r="AP160" s="46"/>
      <c r="AQ160" s="46"/>
      <c r="AR160" s="46"/>
      <c r="AS160" s="46"/>
      <c r="AT160" s="46"/>
      <c r="AU160" s="46"/>
    </row>
    <row r="161" spans="1:47" ht="15.75" x14ac:dyDescent="0.25">
      <c r="A161" s="42" t="s">
        <v>10</v>
      </c>
      <c r="B161" s="42" t="s">
        <v>264</v>
      </c>
      <c r="C161" s="42" t="s">
        <v>184</v>
      </c>
      <c r="D161" s="42">
        <v>32149237</v>
      </c>
      <c r="E161" s="13" t="s">
        <v>266</v>
      </c>
      <c r="F161" s="75">
        <v>32231307</v>
      </c>
      <c r="G161" s="83" t="s">
        <v>354</v>
      </c>
      <c r="H161" s="13" t="s">
        <v>44</v>
      </c>
      <c r="I161" s="42" t="s">
        <v>194</v>
      </c>
      <c r="J161" s="29">
        <v>1</v>
      </c>
      <c r="K161" s="30">
        <v>42520</v>
      </c>
      <c r="L161" s="30">
        <v>34753</v>
      </c>
      <c r="M161" s="31">
        <f t="shared" ca="1" si="10"/>
        <v>10</v>
      </c>
      <c r="N161" s="32">
        <f t="shared" ca="1" si="11"/>
        <v>31.372602739726027</v>
      </c>
      <c r="O161" s="33">
        <f ca="1">VLOOKUP(M161,Edad_Antigüedad!$M$2:$N$36,2)</f>
        <v>22</v>
      </c>
      <c r="P161" s="33" t="s">
        <v>126</v>
      </c>
      <c r="Q161" s="41">
        <v>0</v>
      </c>
      <c r="R161" s="41">
        <v>0</v>
      </c>
      <c r="S161" s="41">
        <v>0</v>
      </c>
      <c r="T161" s="41">
        <v>0</v>
      </c>
      <c r="U161" s="41">
        <v>0</v>
      </c>
      <c r="V161" s="41">
        <v>0</v>
      </c>
      <c r="W161" s="41">
        <v>1</v>
      </c>
      <c r="X161" s="41">
        <v>1</v>
      </c>
      <c r="Y161" s="41">
        <v>0</v>
      </c>
      <c r="Z161" s="41">
        <v>0</v>
      </c>
      <c r="AA161" s="41">
        <v>1</v>
      </c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5"/>
      <c r="AP161" s="46"/>
      <c r="AQ161" s="46"/>
      <c r="AR161" s="46"/>
      <c r="AS161" s="46"/>
      <c r="AT161" s="41"/>
      <c r="AU161" s="41"/>
    </row>
    <row r="162" spans="1:47" ht="15.75" x14ac:dyDescent="0.25">
      <c r="A162" s="42" t="s">
        <v>10</v>
      </c>
      <c r="B162" s="42" t="s">
        <v>264</v>
      </c>
      <c r="C162" s="42" t="s">
        <v>184</v>
      </c>
      <c r="D162" s="42">
        <v>32176720</v>
      </c>
      <c r="E162" s="13" t="s">
        <v>267</v>
      </c>
      <c r="F162" s="75">
        <v>32231307</v>
      </c>
      <c r="G162" s="83" t="s">
        <v>354</v>
      </c>
      <c r="H162" s="13" t="s">
        <v>44</v>
      </c>
      <c r="I162" s="42" t="s">
        <v>194</v>
      </c>
      <c r="J162" s="29">
        <v>1</v>
      </c>
      <c r="K162" s="30">
        <v>43553</v>
      </c>
      <c r="L162" s="30">
        <v>32330</v>
      </c>
      <c r="M162" s="31">
        <f t="shared" ca="1" si="10"/>
        <v>7</v>
      </c>
      <c r="N162" s="32">
        <f t="shared" ca="1" si="11"/>
        <v>38.010958904109586</v>
      </c>
      <c r="O162" s="33">
        <f ca="1">VLOOKUP(M162,Edad_Antigüedad!$M$2:$N$36,2)</f>
        <v>22</v>
      </c>
      <c r="P162" s="33" t="s">
        <v>126</v>
      </c>
      <c r="Q162" s="41">
        <v>0</v>
      </c>
      <c r="R162" s="41">
        <v>0</v>
      </c>
      <c r="S162" s="41">
        <v>0</v>
      </c>
      <c r="T162" s="41">
        <v>0</v>
      </c>
      <c r="U162" s="41">
        <v>0</v>
      </c>
      <c r="V162" s="41">
        <v>0</v>
      </c>
      <c r="W162" s="41">
        <v>1</v>
      </c>
      <c r="X162" s="41">
        <v>1</v>
      </c>
      <c r="Y162" s="41">
        <v>0</v>
      </c>
      <c r="Z162" s="41">
        <v>0</v>
      </c>
      <c r="AA162" s="41">
        <v>1</v>
      </c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5"/>
      <c r="AP162" s="46"/>
      <c r="AQ162" s="46"/>
      <c r="AR162" s="46"/>
      <c r="AS162" s="46"/>
      <c r="AT162" s="46"/>
      <c r="AU162" s="46"/>
    </row>
    <row r="163" spans="1:47" s="84" customFormat="1" ht="15.75" x14ac:dyDescent="0.25">
      <c r="A163" s="42" t="s">
        <v>10</v>
      </c>
      <c r="B163" s="42" t="s">
        <v>264</v>
      </c>
      <c r="C163" s="42" t="s">
        <v>184</v>
      </c>
      <c r="D163" s="80">
        <v>32183480</v>
      </c>
      <c r="E163" s="81" t="s">
        <v>268</v>
      </c>
      <c r="F163" s="75">
        <v>32231307</v>
      </c>
      <c r="G163" s="83" t="s">
        <v>354</v>
      </c>
      <c r="H163" s="13" t="s">
        <v>44</v>
      </c>
      <c r="I163" s="42" t="s">
        <v>194</v>
      </c>
      <c r="J163" s="29">
        <v>1</v>
      </c>
      <c r="K163" s="30">
        <v>43770</v>
      </c>
      <c r="L163" s="30">
        <v>37064</v>
      </c>
      <c r="M163" s="31">
        <f t="shared" ca="1" si="10"/>
        <v>7</v>
      </c>
      <c r="N163" s="32">
        <f t="shared" ca="1" si="11"/>
        <v>25.041095890410958</v>
      </c>
      <c r="O163" s="33">
        <f ca="1">VLOOKUP(M163,Edad_Antigüedad!$M$2:$N$36,2)</f>
        <v>22</v>
      </c>
      <c r="P163" s="33" t="s">
        <v>129</v>
      </c>
      <c r="Q163" s="41">
        <v>0</v>
      </c>
      <c r="R163" s="41">
        <v>0</v>
      </c>
      <c r="S163" s="41">
        <v>0</v>
      </c>
      <c r="T163" s="41">
        <v>0</v>
      </c>
      <c r="U163" s="41">
        <v>0</v>
      </c>
      <c r="V163" s="41">
        <v>0</v>
      </c>
      <c r="W163" s="41">
        <v>0</v>
      </c>
      <c r="X163" s="41">
        <v>0</v>
      </c>
      <c r="Y163" s="41">
        <v>0</v>
      </c>
      <c r="Z163" s="41">
        <v>0</v>
      </c>
      <c r="AA163" s="41">
        <v>1</v>
      </c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5"/>
      <c r="AP163" s="46"/>
      <c r="AQ163" s="46"/>
      <c r="AR163" s="46"/>
      <c r="AS163" s="46"/>
      <c r="AT163" s="46"/>
      <c r="AU163" s="46"/>
    </row>
    <row r="164" spans="1:47" ht="15.75" x14ac:dyDescent="0.25">
      <c r="A164" s="42" t="s">
        <v>10</v>
      </c>
      <c r="B164" s="42" t="s">
        <v>264</v>
      </c>
      <c r="C164" s="42" t="s">
        <v>184</v>
      </c>
      <c r="D164" s="42">
        <v>32197975</v>
      </c>
      <c r="E164" s="13" t="s">
        <v>269</v>
      </c>
      <c r="F164" s="75">
        <v>32231307</v>
      </c>
      <c r="G164" s="83" t="s">
        <v>354</v>
      </c>
      <c r="H164" s="13" t="s">
        <v>44</v>
      </c>
      <c r="I164" s="42" t="s">
        <v>194</v>
      </c>
      <c r="J164" s="29">
        <v>1</v>
      </c>
      <c r="K164" s="30">
        <v>44428</v>
      </c>
      <c r="L164" s="30">
        <v>36713</v>
      </c>
      <c r="M164" s="31">
        <f t="shared" ca="1" si="10"/>
        <v>5</v>
      </c>
      <c r="N164" s="32">
        <f t="shared" ca="1" si="11"/>
        <v>26.002739726027396</v>
      </c>
      <c r="O164" s="33">
        <f ca="1">VLOOKUP(M164,Edad_Antigüedad!$M$2:$N$36,2)</f>
        <v>20</v>
      </c>
      <c r="P164" s="33" t="s">
        <v>199</v>
      </c>
      <c r="Q164" s="41">
        <v>0</v>
      </c>
      <c r="R164" s="41">
        <v>0</v>
      </c>
      <c r="S164" s="41">
        <v>0</v>
      </c>
      <c r="T164" s="41">
        <v>0</v>
      </c>
      <c r="U164" s="41">
        <v>0</v>
      </c>
      <c r="V164" s="41">
        <v>0</v>
      </c>
      <c r="W164" s="41">
        <v>0</v>
      </c>
      <c r="X164" s="41">
        <v>0</v>
      </c>
      <c r="Y164" s="41">
        <v>0</v>
      </c>
      <c r="Z164" s="41">
        <v>0</v>
      </c>
      <c r="AA164" s="41">
        <v>1</v>
      </c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5"/>
      <c r="AP164" s="46"/>
      <c r="AQ164" s="46"/>
      <c r="AR164" s="46"/>
      <c r="AS164" s="46"/>
      <c r="AT164" s="46"/>
      <c r="AU164" s="46"/>
    </row>
    <row r="165" spans="1:47" ht="15.75" x14ac:dyDescent="0.25">
      <c r="A165" s="42" t="s">
        <v>10</v>
      </c>
      <c r="B165" s="42" t="s">
        <v>264</v>
      </c>
      <c r="C165" s="42" t="s">
        <v>184</v>
      </c>
      <c r="D165" s="42">
        <v>32175115</v>
      </c>
      <c r="E165" s="13" t="s">
        <v>270</v>
      </c>
      <c r="F165" s="75">
        <v>32231307</v>
      </c>
      <c r="G165" s="83" t="s">
        <v>354</v>
      </c>
      <c r="H165" s="13" t="s">
        <v>44</v>
      </c>
      <c r="I165" s="42" t="s">
        <v>194</v>
      </c>
      <c r="J165" s="29">
        <v>1</v>
      </c>
      <c r="K165" s="30">
        <v>43525</v>
      </c>
      <c r="L165" s="30">
        <v>35739</v>
      </c>
      <c r="M165" s="31">
        <f t="shared" ca="1" si="10"/>
        <v>7</v>
      </c>
      <c r="N165" s="32">
        <f t="shared" ca="1" si="11"/>
        <v>28.671232876712327</v>
      </c>
      <c r="O165" s="33">
        <f ca="1">VLOOKUP(M165,Edad_Antigüedad!$M$2:$N$36,2)</f>
        <v>22</v>
      </c>
      <c r="P165" s="33" t="s">
        <v>126</v>
      </c>
      <c r="Q165" s="41">
        <v>0</v>
      </c>
      <c r="R165" s="41">
        <v>0</v>
      </c>
      <c r="S165" s="41">
        <v>0</v>
      </c>
      <c r="T165" s="41">
        <v>0</v>
      </c>
      <c r="U165" s="41">
        <v>0</v>
      </c>
      <c r="V165" s="41">
        <v>0</v>
      </c>
      <c r="W165" s="41">
        <v>1</v>
      </c>
      <c r="X165" s="41">
        <v>1</v>
      </c>
      <c r="Y165" s="41">
        <v>0</v>
      </c>
      <c r="Z165" s="41">
        <v>0</v>
      </c>
      <c r="AA165" s="41">
        <v>1</v>
      </c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5"/>
      <c r="AP165" s="46"/>
      <c r="AQ165" s="46"/>
      <c r="AR165" s="46"/>
      <c r="AS165" s="46"/>
      <c r="AT165" s="46"/>
      <c r="AU165" s="46"/>
    </row>
    <row r="166" spans="1:47" ht="15.75" x14ac:dyDescent="0.25">
      <c r="A166" s="87"/>
      <c r="B166" s="58"/>
      <c r="C166" s="58"/>
      <c r="D166" s="88"/>
      <c r="E166" s="89"/>
      <c r="F166" s="88"/>
      <c r="G166" s="89"/>
      <c r="H166" s="58"/>
      <c r="I166" s="58"/>
      <c r="J166" s="89"/>
      <c r="K166" s="90"/>
      <c r="L166" s="90"/>
      <c r="M166" s="91"/>
      <c r="N166" s="92"/>
      <c r="O166" s="93"/>
      <c r="P166" s="94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</row>
    <row r="167" spans="1:47" ht="16.5" thickBot="1" x14ac:dyDescent="0.3">
      <c r="A167" s="87"/>
      <c r="B167" s="58"/>
      <c r="C167" s="58"/>
      <c r="D167" s="88"/>
      <c r="E167" s="89"/>
      <c r="F167" s="88"/>
      <c r="G167" s="89"/>
      <c r="H167" s="58"/>
      <c r="I167" s="58"/>
      <c r="J167" s="89"/>
      <c r="K167" s="90"/>
      <c r="L167" s="90"/>
      <c r="M167" s="91"/>
      <c r="N167" s="92"/>
      <c r="O167" s="93"/>
      <c r="P167" s="94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</row>
    <row r="168" spans="1:47" ht="27" thickBot="1" x14ac:dyDescent="0.3">
      <c r="A168" s="111" t="s">
        <v>340</v>
      </c>
      <c r="B168" s="112"/>
    </row>
    <row r="169" spans="1:47" ht="63" x14ac:dyDescent="0.25">
      <c r="A169" s="95" t="s">
        <v>341</v>
      </c>
      <c r="B169" s="96" t="s">
        <v>342</v>
      </c>
      <c r="C169" s="97" t="s">
        <v>343</v>
      </c>
      <c r="D169" s="97" t="s">
        <v>56</v>
      </c>
      <c r="E169" s="98" t="s">
        <v>344</v>
      </c>
      <c r="F169" s="97" t="s">
        <v>345</v>
      </c>
      <c r="G169" s="97" t="s">
        <v>346</v>
      </c>
      <c r="H169" s="97" t="s">
        <v>347</v>
      </c>
      <c r="I169" s="97" t="s">
        <v>348</v>
      </c>
      <c r="J169" s="97"/>
      <c r="K169" s="97" t="s">
        <v>63</v>
      </c>
      <c r="L169" s="99" t="s">
        <v>64</v>
      </c>
      <c r="M169" s="97" t="s">
        <v>65</v>
      </c>
      <c r="N169" s="97" t="s">
        <v>66</v>
      </c>
      <c r="O169" s="97" t="s">
        <v>67</v>
      </c>
      <c r="P169" s="97" t="s">
        <v>68</v>
      </c>
      <c r="Q169" s="97" t="s">
        <v>69</v>
      </c>
      <c r="R169" s="97" t="s">
        <v>70</v>
      </c>
      <c r="S169" s="97" t="s">
        <v>71</v>
      </c>
      <c r="T169" s="97" t="s">
        <v>72</v>
      </c>
      <c r="U169" s="97" t="s">
        <v>73</v>
      </c>
      <c r="V169" s="97" t="s">
        <v>74</v>
      </c>
      <c r="W169" s="97" t="s">
        <v>75</v>
      </c>
      <c r="X169" s="97" t="s">
        <v>76</v>
      </c>
      <c r="Y169" s="97" t="s">
        <v>77</v>
      </c>
      <c r="Z169" s="97" t="s">
        <v>78</v>
      </c>
      <c r="AA169" s="97" t="s">
        <v>79</v>
      </c>
      <c r="AB169" s="97" t="s">
        <v>80</v>
      </c>
      <c r="AC169" s="97" t="s">
        <v>81</v>
      </c>
      <c r="AD169" s="97" t="s">
        <v>82</v>
      </c>
      <c r="AE169" s="97" t="s">
        <v>83</v>
      </c>
      <c r="AF169" s="97" t="s">
        <v>84</v>
      </c>
      <c r="AG169" s="97" t="s">
        <v>85</v>
      </c>
      <c r="AH169" s="97" t="s">
        <v>86</v>
      </c>
      <c r="AI169" s="97" t="s">
        <v>87</v>
      </c>
      <c r="AJ169" s="97" t="s">
        <v>88</v>
      </c>
      <c r="AK169" s="97" t="s">
        <v>89</v>
      </c>
      <c r="AL169" s="97" t="s">
        <v>90</v>
      </c>
      <c r="AM169" s="97" t="s">
        <v>91</v>
      </c>
      <c r="AN169" s="97" t="s">
        <v>92</v>
      </c>
      <c r="AO169" s="97" t="s">
        <v>93</v>
      </c>
    </row>
    <row r="170" spans="1:47" ht="15.75" x14ac:dyDescent="0.25">
      <c r="A170" s="62" t="s">
        <v>10</v>
      </c>
      <c r="B170" s="62" t="s">
        <v>192</v>
      </c>
      <c r="C170" s="62" t="s">
        <v>193</v>
      </c>
      <c r="D170" s="63">
        <v>32143661</v>
      </c>
      <c r="E170" s="63" t="s">
        <v>349</v>
      </c>
      <c r="F170" s="64">
        <v>32052981</v>
      </c>
      <c r="G170" s="78" t="s">
        <v>195</v>
      </c>
      <c r="H170" s="62" t="s">
        <v>350</v>
      </c>
      <c r="I170" s="62" t="s">
        <v>53</v>
      </c>
      <c r="J170" s="100"/>
      <c r="K170" s="70"/>
      <c r="L170" s="79">
        <v>124.69589041095891</v>
      </c>
      <c r="M170" s="68">
        <v>124.69589041095891</v>
      </c>
      <c r="N170" s="69"/>
      <c r="O170" s="69"/>
      <c r="P170" s="69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7" ht="15.75" x14ac:dyDescent="0.25">
      <c r="A171" s="62" t="s">
        <v>10</v>
      </c>
      <c r="B171" s="62" t="s">
        <v>183</v>
      </c>
      <c r="C171" s="62" t="s">
        <v>184</v>
      </c>
      <c r="D171" s="63">
        <v>32044447</v>
      </c>
      <c r="E171" s="63" t="s">
        <v>185</v>
      </c>
      <c r="F171" s="64">
        <v>32146677</v>
      </c>
      <c r="G171" s="78" t="s">
        <v>195</v>
      </c>
      <c r="H171" s="62" t="s">
        <v>350</v>
      </c>
      <c r="I171" s="62" t="s">
        <v>53</v>
      </c>
      <c r="J171" s="65">
        <v>1</v>
      </c>
      <c r="K171" s="66">
        <v>36060</v>
      </c>
      <c r="L171" s="66">
        <v>25678</v>
      </c>
      <c r="M171" s="67">
        <f ca="1">ROUND((($K$2-K171)/365),0)</f>
        <v>28</v>
      </c>
      <c r="N171" s="68">
        <f ca="1">($K$2-L171)/365</f>
        <v>56.235616438356168</v>
      </c>
      <c r="O171" s="69">
        <f ca="1">VLOOKUP(M171,Edad_Antigüedad!$M$2:$N$36,2)</f>
        <v>30</v>
      </c>
      <c r="P171" s="69" t="s">
        <v>109</v>
      </c>
      <c r="Q171" s="70">
        <v>0</v>
      </c>
      <c r="R171" s="70">
        <v>0</v>
      </c>
      <c r="S171" s="70">
        <v>0</v>
      </c>
      <c r="T171" s="70">
        <v>0</v>
      </c>
      <c r="U171" s="70">
        <v>0</v>
      </c>
      <c r="V171" s="70">
        <v>1</v>
      </c>
      <c r="W171" s="70">
        <v>0</v>
      </c>
      <c r="X171" s="70">
        <v>0</v>
      </c>
      <c r="Y171" s="70">
        <v>0</v>
      </c>
      <c r="Z171" s="70">
        <v>0</v>
      </c>
      <c r="AA171" s="70">
        <v>0</v>
      </c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1"/>
    </row>
    <row r="172" spans="1:47" ht="15.75" x14ac:dyDescent="0.25">
      <c r="A172" s="62" t="s">
        <v>12</v>
      </c>
      <c r="B172" s="62" t="s">
        <v>37</v>
      </c>
      <c r="C172" s="62">
        <v>9</v>
      </c>
      <c r="D172" s="63">
        <v>32173435</v>
      </c>
      <c r="E172" s="63" t="s">
        <v>351</v>
      </c>
      <c r="F172" s="63">
        <v>32043783</v>
      </c>
      <c r="G172" s="63" t="s">
        <v>313</v>
      </c>
      <c r="H172" s="78" t="s">
        <v>51</v>
      </c>
      <c r="I172" s="78"/>
      <c r="J172" s="65">
        <v>1</v>
      </c>
      <c r="K172" s="79">
        <v>43437</v>
      </c>
      <c r="L172" s="79">
        <v>33801</v>
      </c>
      <c r="M172" s="67">
        <v>7</v>
      </c>
      <c r="N172" s="68">
        <v>33.528767123287672</v>
      </c>
      <c r="O172" s="69">
        <v>22</v>
      </c>
      <c r="P172" s="69" t="s">
        <v>287</v>
      </c>
      <c r="Q172" s="70">
        <v>0</v>
      </c>
      <c r="R172" s="70">
        <v>0</v>
      </c>
      <c r="S172" s="70">
        <v>0</v>
      </c>
      <c r="T172" s="70">
        <v>0</v>
      </c>
      <c r="U172" s="70">
        <v>0</v>
      </c>
      <c r="V172" s="70">
        <v>0</v>
      </c>
      <c r="W172" s="70">
        <v>0</v>
      </c>
      <c r="X172" s="70">
        <v>0</v>
      </c>
      <c r="Y172" s="70">
        <v>0</v>
      </c>
      <c r="Z172" s="70">
        <v>0</v>
      </c>
      <c r="AA172" s="70">
        <v>0</v>
      </c>
      <c r="AB172" s="70">
        <v>0</v>
      </c>
      <c r="AC172" s="70">
        <v>0</v>
      </c>
      <c r="AD172" s="70">
        <v>0</v>
      </c>
      <c r="AE172" s="70">
        <v>0</v>
      </c>
      <c r="AF172" s="70">
        <v>0</v>
      </c>
      <c r="AG172" s="70">
        <v>0</v>
      </c>
      <c r="AH172" s="70">
        <v>0</v>
      </c>
      <c r="AI172" s="70">
        <v>0</v>
      </c>
      <c r="AJ172" s="70">
        <v>0</v>
      </c>
      <c r="AK172" s="70">
        <v>1</v>
      </c>
      <c r="AL172" s="70">
        <v>0</v>
      </c>
      <c r="AM172" s="70">
        <v>0</v>
      </c>
      <c r="AN172" s="70">
        <v>0</v>
      </c>
      <c r="AO172" s="71">
        <v>0</v>
      </c>
    </row>
    <row r="173" spans="1:47" x14ac:dyDescent="0.25"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</row>
    <row r="1048543" spans="2:2" x14ac:dyDescent="0.25">
      <c r="B1048543">
        <f>10/166</f>
        <v>6.0240963855421686E-2</v>
      </c>
    </row>
  </sheetData>
  <autoFilter ref="A3:AU165" xr:uid="{21FD2E59-33DC-4445-8D99-5F6F20800A8D}">
    <sortState xmlns:xlrd2="http://schemas.microsoft.com/office/spreadsheetml/2017/richdata2" ref="A4:AU165">
      <sortCondition ref="H3:H165"/>
    </sortState>
  </autoFilter>
  <mergeCells count="48">
    <mergeCell ref="AV8:AW8"/>
    <mergeCell ref="AV3:AW3"/>
    <mergeCell ref="AV4:AW4"/>
    <mergeCell ref="AV5:AW5"/>
    <mergeCell ref="AV6:AW6"/>
    <mergeCell ref="AV7:AW7"/>
    <mergeCell ref="AV19:AW19"/>
    <mergeCell ref="AV9:AW9"/>
    <mergeCell ref="AV10:AW10"/>
    <mergeCell ref="AV11:AW11"/>
    <mergeCell ref="AV12:AW12"/>
    <mergeCell ref="AV13:AW13"/>
    <mergeCell ref="AV14:AW14"/>
    <mergeCell ref="AV15:AW15"/>
    <mergeCell ref="AV16:AW16"/>
    <mergeCell ref="AV17:AW17"/>
    <mergeCell ref="AV18:AW18"/>
    <mergeCell ref="AV30:AW30"/>
    <mergeCell ref="AV20:AW20"/>
    <mergeCell ref="AV21:AW21"/>
    <mergeCell ref="AV22:AW22"/>
    <mergeCell ref="AV23:AW23"/>
    <mergeCell ref="AV24:AW24"/>
    <mergeCell ref="AV25:AW25"/>
    <mergeCell ref="AV26:AW26"/>
    <mergeCell ref="AV27:AW27"/>
    <mergeCell ref="AV28:AW28"/>
    <mergeCell ref="AV29:AW29"/>
    <mergeCell ref="AV43:AW43"/>
    <mergeCell ref="AV31:AW31"/>
    <mergeCell ref="AV32:AW32"/>
    <mergeCell ref="AV33:AW33"/>
    <mergeCell ref="AV34:AW34"/>
    <mergeCell ref="AV35:AW35"/>
    <mergeCell ref="AV36:AW36"/>
    <mergeCell ref="AV37:AW37"/>
    <mergeCell ref="AV38:AW38"/>
    <mergeCell ref="AV39:AW39"/>
    <mergeCell ref="AV40:AW40"/>
    <mergeCell ref="AV41:AW41"/>
    <mergeCell ref="AV50:AW50"/>
    <mergeCell ref="A168:B168"/>
    <mergeCell ref="AV44:AW44"/>
    <mergeCell ref="AV45:AW45"/>
    <mergeCell ref="AV46:AW46"/>
    <mergeCell ref="AV47:AW47"/>
    <mergeCell ref="AV48:AW48"/>
    <mergeCell ref="AV49:AW49"/>
  </mergeCells>
  <conditionalFormatting sqref="R4:AO167">
    <cfRule type="cellIs" dxfId="1" priority="1" operator="equal">
      <formula>1</formula>
    </cfRule>
  </conditionalFormatting>
  <conditionalFormatting sqref="R171:AO172">
    <cfRule type="cellIs" dxfId="0" priority="2" operator="equal">
      <formula>1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Edad_Antigüedad</vt:lpstr>
      <vt:lpstr>EAutonomos</vt:lpstr>
      <vt:lpstr>Personal Total</vt:lpstr>
      <vt:lpstr>EAutonomos!Área_de_impresión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Guillen Ramirez</dc:creator>
  <cp:lastModifiedBy>Sherlyn Garcia Perez</cp:lastModifiedBy>
  <dcterms:created xsi:type="dcterms:W3CDTF">2026-02-26T06:05:01Z</dcterms:created>
  <dcterms:modified xsi:type="dcterms:W3CDTF">2026-07-01T20:34:55Z</dcterms:modified>
</cp:coreProperties>
</file>